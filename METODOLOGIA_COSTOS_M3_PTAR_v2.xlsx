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ermodaco-my.sharepoint.com/personal/lunaop_permoda_com_co/Documents/Documentos/Claude/Projects/App PTAR 2/"/>
    </mc:Choice>
  </mc:AlternateContent>
  <xr:revisionPtr revIDLastSave="38" documentId="11_A840C03FB85482E13D1C7ADADE651CBFE183FBE7" xr6:coauthVersionLast="47" xr6:coauthVersionMax="47" xr10:uidLastSave="{ED6618C3-8F45-4EA4-973B-15C85479A47A}"/>
  <bookViews>
    <workbookView xWindow="23880" yWindow="1830" windowWidth="20730" windowHeight="11040" activeTab="2" xr2:uid="{00000000-000D-0000-FFFF-FFFF00000000}"/>
  </bookViews>
  <sheets>
    <sheet name="1. Resumen Totales" sheetId="1" r:id="rId1"/>
    <sheet name="2. Metodologia" sheetId="2" r:id="rId2"/>
    <sheet name="3. Matriz por Equipo" sheetId="3" r:id="rId3"/>
    <sheet name="4. Verificac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4" l="1"/>
  <c r="E16" i="4"/>
  <c r="E15" i="4"/>
  <c r="E14" i="4"/>
  <c r="E13" i="4"/>
  <c r="E12" i="4"/>
  <c r="E11" i="4"/>
  <c r="E10" i="4"/>
  <c r="E9" i="4"/>
  <c r="E8" i="4"/>
  <c r="E7" i="4"/>
  <c r="E6" i="4"/>
  <c r="E5" i="4"/>
  <c r="E4" i="4"/>
  <c r="J35" i="3"/>
  <c r="I35" i="3"/>
  <c r="H35" i="3"/>
  <c r="G35" i="3"/>
  <c r="F35" i="3"/>
  <c r="E35" i="3"/>
  <c r="D35" i="3"/>
  <c r="C35" i="3"/>
  <c r="J34" i="3"/>
  <c r="J33" i="3"/>
  <c r="J32" i="3"/>
  <c r="J31" i="3"/>
  <c r="J30" i="3"/>
  <c r="J29" i="3"/>
  <c r="J28" i="3"/>
  <c r="J26" i="3"/>
  <c r="J36" i="3" s="1"/>
  <c r="I26" i="3"/>
  <c r="I36" i="3" s="1"/>
  <c r="H26" i="3"/>
  <c r="H36" i="3" s="1"/>
  <c r="G26" i="3"/>
  <c r="G36" i="3" s="1"/>
  <c r="F26" i="3"/>
  <c r="F36" i="3" s="1"/>
  <c r="E26" i="3"/>
  <c r="E36" i="3" s="1"/>
  <c r="D26" i="3"/>
  <c r="D36" i="3" s="1"/>
  <c r="C26" i="3"/>
  <c r="C36" i="3" s="1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E11" i="1"/>
  <c r="D11" i="1"/>
  <c r="C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<sst xmlns="http://schemas.openxmlformats.org/spreadsheetml/2006/main" count="550" uniqueCount="305">
  <si>
    <t>COSTO $/m³ POR CATEGORÍA — TOTALES PROYECTADOS Y CRITERIO DE REPARTO</t>
  </si>
  <si>
    <t>Categoría</t>
  </si>
  <si>
    <t>Color</t>
  </si>
  <si>
    <t>PTAR Fase 2 ($/m³)</t>
  </si>
  <si>
    <t>RO ($/m³)</t>
  </si>
  <si>
    <t>TOTAL ($/m³)</t>
  </si>
  <si>
    <t>Equipos por bloque</t>
  </si>
  <si>
    <t>Criterio de reparto</t>
  </si>
  <si>
    <t>Insumos Químicos</t>
  </si>
  <si>
    <t>●</t>
  </si>
  <si>
    <t>22 PTAR  /  7 RO</t>
  </si>
  <si>
    <t>Asignación directa al equipo que usa el reactivo (no hay reparto proporcional)</t>
  </si>
  <si>
    <t>Residuos y Lodos</t>
  </si>
  <si>
    <t>Cribas por % captura (70/15/15); tanques proporcional al volumen; lodos directamente al GEM</t>
  </si>
  <si>
    <t>Consumibles</t>
  </si>
  <si>
    <t>Asignación directa: membranas amortizadas por MBR, cartuchos+resinas a filtros, puntos Hach por equipo</t>
  </si>
  <si>
    <t>Calibración y Mant.</t>
  </si>
  <si>
    <t>Reparto uniforme dentro de cada bloque: total bloque ÷ n° equipos</t>
  </si>
  <si>
    <t>Nómina</t>
  </si>
  <si>
    <t>70% PTAR F2 / 30% RO (por dedicación operativa), luego ÷ n° equipos de cada bloque</t>
  </si>
  <si>
    <t>Energía Eléctrica</t>
  </si>
  <si>
    <t>Asignación directa por consumo eléctrico medido (corriente A × tensión × FP × horas)</t>
  </si>
  <si>
    <t>Depreciación</t>
  </si>
  <si>
    <t>CAPEX 90% PTAR / 10% RO (por inversión ejecutada), luego ÷ n° equipos de cada bloque</t>
  </si>
  <si>
    <t>TOTAL GENERAL</t>
  </si>
  <si>
    <t xml:space="preserve">   Azul = inputs proyectados (modificables)     Negro = fórmulas calculadas     Tolerancia verificación: ±$1,00 por redondeos</t>
  </si>
  <si>
    <t>METODOLOGÍA DE DISTRIBUCIÓN — PASO A PASO POR CATEGORÍA</t>
  </si>
  <si>
    <t>1. NÓMINA OPERATIVA</t>
  </si>
  <si>
    <t>Total proyectado: $1.182,64 COP/m³  (nómina mensual operarios PTAR ÷ producción m³/mes)</t>
  </si>
  <si>
    <t>Criterio: Los operarios atienden principalmente PTAR Fase 2 (22 equipos). Se asigna 70% al bloque PTAR y 30% al bloque RO. Dentro de cada bloque, reparto uniforme entre todos los equipos.</t>
  </si>
  <si>
    <t>Formula: PTAR F2: $828 / 22 equipos = $37.64/equipo     |     RO: $355 / 7 equipos = $50.71/equipo</t>
  </si>
  <si>
    <t>Bloque</t>
  </si>
  <si>
    <t>% Dedicación</t>
  </si>
  <si>
    <t>Total bloque</t>
  </si>
  <si>
    <t>N° equipos</t>
  </si>
  <si>
    <t>$/m³ por equipo</t>
  </si>
  <si>
    <t>Justificación</t>
  </si>
  <si>
    <t>PTAR Fase 2</t>
  </si>
  <si>
    <t>70%</t>
  </si>
  <si>
    <t>$828,08</t>
  </si>
  <si>
    <t>22 equipos</t>
  </si>
  <si>
    <t>$37.64</t>
  </si>
  <si>
    <t>Mayor cantidad de equipos y puntos de operación</t>
  </si>
  <si>
    <t>RO</t>
  </si>
  <si>
    <t>30%</t>
  </si>
  <si>
    <t>$354,97</t>
  </si>
  <si>
    <t>7 equipos</t>
  </si>
  <si>
    <t>$50.71</t>
  </si>
  <si>
    <t>Proceso más autónomo pero requiere mayor especialización</t>
  </si>
  <si>
    <t>Vertimiento</t>
  </si>
  <si>
    <t>0%</t>
  </si>
  <si>
    <t>$0,00</t>
  </si>
  <si>
    <t>—</t>
  </si>
  <si>
    <t>$0.00</t>
  </si>
  <si>
    <t>Sin carga operativa asignada en modelo actual</t>
  </si>
  <si>
    <t>Nota: El mayor $/m³ de RO ($50.71) vs PTAR ($37.64) refleja que RO tiene menos equipos para repartir su 30% asignado.</t>
  </si>
  <si>
    <t>2. DEPRECIACIÓN (CAPEX)</t>
  </si>
  <si>
    <t>Total proyectado: $1.957,35 COP/m³  (CAPEX total equipos amortizado según vida útil / producción m³/mes)</t>
  </si>
  <si>
    <t>Criterio: El 90% del CAPEX se invirtió en el bloque PTAR Fase 2 (equipos biológicos, GEM, homogeneizador). El 10% restante corresponde al bloque RO. Reparto uniforme dentro de cada bloque.</t>
  </si>
  <si>
    <t>Formula: PTAR F2: $1.761 / 22 equipos = $80.05/equipo     |     RO: $196 / 7 equipos = $28.00/equipo</t>
  </si>
  <si>
    <t>% CAPEX</t>
  </si>
  <si>
    <t>Equipos principales</t>
  </si>
  <si>
    <t>90%</t>
  </si>
  <si>
    <t>$1.761,10</t>
  </si>
  <si>
    <t>$80.05</t>
  </si>
  <si>
    <t>GEM, MBRs, MBBR, Homogeneizador, Cribas</t>
  </si>
  <si>
    <t>10%</t>
  </si>
  <si>
    <t>$196,00</t>
  </si>
  <si>
    <t>$28.00</t>
  </si>
  <si>
    <t>Trenes RO1 E1, E1, RO2, Filtros IO</t>
  </si>
  <si>
    <t>Equipos no incluidos en inventario depreciable activo</t>
  </si>
  <si>
    <t>Nota: TK Rechazo RO2 tiene $28.25 (diferencia de $0.25 por redondeo al distribuir $196 exactamente en 7 equipos).</t>
  </si>
  <si>
    <t>3. CALIBRACIÓN Y MANTENIMIENTO</t>
  </si>
  <si>
    <t>Total proyectado PTAR F2: $478,61 COP/m³   |   Total proyectado RO: $390,25 COP/m³</t>
  </si>
  <si>
    <t>Criterio: Reparto estrictamente uniforme entre todos los equipos del bloque. Se justifica porque todos los equipos son objeto de revisión preventiva programada con la misma frecuencia base.</t>
  </si>
  <si>
    <t>Formula: PTAR F2: $479 / 22 equipos = $21.77/equipo     |     RO: $390 / 7 equipos = $55.71/equipo</t>
  </si>
  <si>
    <t>Base del total</t>
  </si>
  <si>
    <t>$478,94</t>
  </si>
  <si>
    <t>$21.77</t>
  </si>
  <si>
    <t>Contrato mant. preventivo + calibración analizadores Hach bloque PTAR</t>
  </si>
  <si>
    <t>$389,97</t>
  </si>
  <si>
    <t>$55.71</t>
  </si>
  <si>
    <t>Contrato mant. preventivo membranas + calibración analizadores bloque RO</t>
  </si>
  <si>
    <t>Nota: El mayor $/m³ en RO refleja que los contratos de mantenimiento de membranas de OI son más costosos por unidad de tratamiento.</t>
  </si>
  <si>
    <t>4. ENERGÍA ELÉCTRICA</t>
  </si>
  <si>
    <t>Total proyectado PTAR F2: $3.646,07 COP/m³   |   Total proyectado RO: $911,52 COP/m³</t>
  </si>
  <si>
    <t>Criterio: Asignación directa al equipo consumidor medida por corriente eléctrica (A). Los equipos sin medidor propio (tanques pasivos, cárcamo) reciben $0. OZONO+CHILLER+GENERADORES se imputan al TK Homogeneizador.</t>
  </si>
  <si>
    <t>Formula: Costo equipo = (kW × horas/mes × tarifa COP/kWh) ÷ m³/mes tratados</t>
  </si>
  <si>
    <t>Equipo</t>
  </si>
  <si>
    <t>$/m³</t>
  </si>
  <si>
    <t>Equipo principal de consumo</t>
  </si>
  <si>
    <t>Observación</t>
  </si>
  <si>
    <t>TK Recepción 2 m³</t>
  </si>
  <si>
    <t>1.22</t>
  </si>
  <si>
    <t>Bomba sumergible</t>
  </si>
  <si>
    <t>Consumo mínimo</t>
  </si>
  <si>
    <t>TK Buffer 15 m³</t>
  </si>
  <si>
    <t>5.92</t>
  </si>
  <si>
    <t>Bomba recirculación</t>
  </si>
  <si>
    <t>TK 60 m³</t>
  </si>
  <si>
    <t>170.14</t>
  </si>
  <si>
    <t>Bombas autocebantes principales</t>
  </si>
  <si>
    <t>Mayor consumo fase prelim.</t>
  </si>
  <si>
    <t>Criba Rotativa</t>
  </si>
  <si>
    <t>10.12</t>
  </si>
  <si>
    <t>Motor tambor rotativo</t>
  </si>
  <si>
    <t>Criba Vibratoria 1</t>
  </si>
  <si>
    <t>Motor vibración</t>
  </si>
  <si>
    <t>Criba Vibratoria 2</t>
  </si>
  <si>
    <t>TK Pulmón</t>
  </si>
  <si>
    <t>68.97</t>
  </si>
  <si>
    <t>Bomba alimentación torre</t>
  </si>
  <si>
    <t>Torre Enfriamiento</t>
  </si>
  <si>
    <t>103.00</t>
  </si>
  <si>
    <t>Ventilador tiro forzado</t>
  </si>
  <si>
    <t>TK Homogeneizador 800 m³</t>
  </si>
  <si>
    <t>818.49</t>
  </si>
  <si>
    <t>Agitador + OZONO + CHILLER + GENERADORES</t>
  </si>
  <si>
    <t>OZONO/CHILLER/GEN = $450.63 incluido</t>
  </si>
  <si>
    <t>Equipo GEM (DAF)</t>
  </si>
  <si>
    <t>266.39</t>
  </si>
  <si>
    <t>Bomba recircul. + soplador</t>
  </si>
  <si>
    <t>Reactor MBBR</t>
  </si>
  <si>
    <t>863.68</t>
  </si>
  <si>
    <t>Sopladora 90 kW x24h</t>
  </si>
  <si>
    <t>Mayor consumidor PTAR F2</t>
  </si>
  <si>
    <t>MBR TORAY</t>
  </si>
  <si>
    <t>526.93</t>
  </si>
  <si>
    <t>Bomba permeado + soplador MBR2</t>
  </si>
  <si>
    <t>MBR KUBOTA</t>
  </si>
  <si>
    <t>515.01</t>
  </si>
  <si>
    <t>Bomba permeado + soplador MBR1</t>
  </si>
  <si>
    <t>TK Permeado</t>
  </si>
  <si>
    <t>275.90</t>
  </si>
  <si>
    <t>Bomba alta presión alim. RO</t>
  </si>
  <si>
    <t>RO1 Etapa 1</t>
  </si>
  <si>
    <t>264.60</t>
  </si>
  <si>
    <t>Bomba alta presión E1 45 kW</t>
  </si>
  <si>
    <t>RO1 Etapa 2</t>
  </si>
  <si>
    <t>97.02</t>
  </si>
  <si>
    <t>Bomba E2 15 kW</t>
  </si>
  <si>
    <t>RO2</t>
  </si>
  <si>
    <t>549.96</t>
  </si>
  <si>
    <t>Bomba Bangpu 121 kW</t>
  </si>
  <si>
    <t>Mayor consumidor RO</t>
  </si>
  <si>
    <t>Nota: Rotativa, Funza, Tintorería, Lavandería, TK30, Cárcamo, Swingmill, Anóxico, TK Permeado (solo bomba hacia RO ya contada en tkPermeado), Filtros IO, TK Rechazo: $0 en energía (equipos pasivos o sin medición propia).</t>
  </si>
  <si>
    <t>5. INSUMOS QUÍMICOS</t>
  </si>
  <si>
    <t>Total proyectado: $4.558,14 COP/m³   |   GEM representa el 78.6% del total de químicos del sistema</t>
  </si>
  <si>
    <t>Criterio: Asignación directa al equipo que consume el reactivo. No hay reparto proporcional — si un equipo no usa reactivos, recibe $0.</t>
  </si>
  <si>
    <t>Formula: Costo equipo = Σ (consumo mensual kg × precio COP/kg) ÷ m³/mes tratados</t>
  </si>
  <si>
    <t>Reactivos asignados</t>
  </si>
  <si>
    <t>% del total químicos</t>
  </si>
  <si>
    <t>1.24</t>
  </si>
  <si>
    <t>Coagulante pre-tratamiento (entrada torre)</t>
  </si>
  <si>
    <t>0.03%</t>
  </si>
  <si>
    <t>1.27</t>
  </si>
  <si>
    <t>Biocida torres enfriamiento</t>
  </si>
  <si>
    <t>3.582,44</t>
  </si>
  <si>
    <t>Ácido + Decolorante + Coagulante + Floculante cat. + Floculante an.</t>
  </si>
  <si>
    <t>78.8%</t>
  </si>
  <si>
    <t>Reactor Anóxico</t>
  </si>
  <si>
    <t>0.06</t>
  </si>
  <si>
    <t>Nutrientes N/P trazas para biomasa</t>
  </si>
  <si>
    <t>~0%</t>
  </si>
  <si>
    <t>MBR TORAY (MBR2)</t>
  </si>
  <si>
    <t>7.11</t>
  </si>
  <si>
    <t>NaOCl + Ácido cítrico para CIP membranas UF</t>
  </si>
  <si>
    <t>0.16%</t>
  </si>
  <si>
    <t>MBR KUBOTA (MBR1)</t>
  </si>
  <si>
    <t>NaOCl + Ácido cítrico para CIP membranas MF</t>
  </si>
  <si>
    <t>479.42</t>
  </si>
  <si>
    <t>Antiincrustante + Bisulfito de sodio + HCl</t>
  </si>
  <si>
    <t>10.55%</t>
  </si>
  <si>
    <t>479.43</t>
  </si>
  <si>
    <t>Nota: Los CIP (Clean In Place) de membranas MBR se realizan con ciclos programados de hipoclorito y ácido. RO usa antiincrustante continuo + bisulfito para eliminar cloro residual que dañaría las membranas.</t>
  </si>
  <si>
    <t>6. RESIDUOS Y LODOS</t>
  </si>
  <si>
    <t>Total proyectado: $1.303,87 COP/m³   |   Tres sub-rubros: Disposición sólidos cribas $261 + Lavado tanques $316 + Lodos GEM $726,86</t>
  </si>
  <si>
    <t>Criterio: Cada sub-rubro tiene su propio criterio: (a) cribas por porcentaje de captura de sólidos, (b) tanques proporcional al volumen lavado, (c) lodos fisicoquímicos directamente al equipo generador.</t>
  </si>
  <si>
    <t>Formula: (a) $261 x % captura    |    (b) $316 x Volumen_i / 107 m³ total    |    (c) $726.86 directo a GEM</t>
  </si>
  <si>
    <t>Sub-rubro</t>
  </si>
  <si>
    <t>Factor/Criterio</t>
  </si>
  <si>
    <t>Disposición sólidos cribas ($261)</t>
  </si>
  <si>
    <t>70% del total</t>
  </si>
  <si>
    <t>182.70</t>
  </si>
  <si>
    <t>Tamiz 1mm captura la mayor fracción de sólidos gruesos</t>
  </si>
  <si>
    <t>15% del total</t>
  </si>
  <si>
    <t>39.15</t>
  </si>
  <si>
    <t>Captura finos 0.10mm, igual entre las dos vibratorias</t>
  </si>
  <si>
    <t>Lavado tanques ($316)</t>
  </si>
  <si>
    <t>2/107 = 1.87%</t>
  </si>
  <si>
    <t>5.91</t>
  </si>
  <si>
    <t>Proporcional al volumen real del tanque</t>
  </si>
  <si>
    <t>15/107 = 14.0%</t>
  </si>
  <si>
    <t>44.30</t>
  </si>
  <si>
    <t>TK Recepción 30 m³</t>
  </si>
  <si>
    <t>30/107 = 28.0%</t>
  </si>
  <si>
    <t>88.60</t>
  </si>
  <si>
    <t>60/107 = 56.1%</t>
  </si>
  <si>
    <t>177.20</t>
  </si>
  <si>
    <t>Lodos fisicoquímicos GEM</t>
  </si>
  <si>
    <t>100% directo</t>
  </si>
  <si>
    <t>726.86</t>
  </si>
  <si>
    <t>Disposición lodos DAF + transporte (fuente exclusiva del rubro)</t>
  </si>
  <si>
    <t>Nota: Total tanques para lavado: 2+15+30+60 = 107 m³. Los lodos del Swingmill se imputan al GEM por ser éste su única fuente de generación.</t>
  </si>
  <si>
    <t>7. CONSUMIBLES</t>
  </si>
  <si>
    <t>Total proyectado PTAR F2: $211,62 COP/m³   |   Total proyectado RO: $790,94 COP/m³</t>
  </si>
  <si>
    <t>Criterio: Asignación directa por equipo: membranas MBR amortizadas (TORAY+KUBOTA), puntos Hach por equipo medidor, cartuchos por filtro, resinas por columna, membranas RO amortizadas.</t>
  </si>
  <si>
    <t>Formula: Costo = (unidades × precio unitario × reemplazos/año ÷ 12) ÷ m³/mes</t>
  </si>
  <si>
    <t>Consumible principal</t>
  </si>
  <si>
    <t>Base de cálculo</t>
  </si>
  <si>
    <t>26.55</t>
  </si>
  <si>
    <t>Reactivos analizadores Hach</t>
  </si>
  <si>
    <t>27 puntos Hach equivalentes asignados</t>
  </si>
  <si>
    <t>31.00</t>
  </si>
  <si>
    <t>31 puntos Hach equivalentes asignados</t>
  </si>
  <si>
    <t>TK Homogeneizador</t>
  </si>
  <si>
    <t>29.00</t>
  </si>
  <si>
    <t>29 puntos Hach equivalentes asignados</t>
  </si>
  <si>
    <t>4.00</t>
  </si>
  <si>
    <t>4 puntos Hach equivalentes asignados</t>
  </si>
  <si>
    <t>43.00</t>
  </si>
  <si>
    <t>Membranas UF 0.08µm amortizadas + Hach</t>
  </si>
  <si>
    <t>TORAY 4.800 u × $500k / 5 años + 7 pts Hach</t>
  </si>
  <si>
    <t>Membranas MF 0.4µm amortizadas + Hach</t>
  </si>
  <si>
    <t>KUBOTA 2.000 u × $800k / 5 años + 7 pts Hach</t>
  </si>
  <si>
    <t>Filtros Intercambio Iónico</t>
  </si>
  <si>
    <t>188.00</t>
  </si>
  <si>
    <t>Resinas catiónica + aniónica</t>
  </si>
  <si>
    <t>Reposición por agotamiento de resinas en ciclos de regeneración</t>
  </si>
  <si>
    <t>Filtros Cartucho 5 µm</t>
  </si>
  <si>
    <t>389.00</t>
  </si>
  <si>
    <t>40 cartuchos/semana</t>
  </si>
  <si>
    <t>Reemplazo ~semanal o cuando ΔP indica colmatación en RO</t>
  </si>
  <si>
    <t>62.67</t>
  </si>
  <si>
    <t>Membranas RO amortizadas</t>
  </si>
  <si>
    <t>72 membranas × $2.8M / 5 años de vida útil estimada</t>
  </si>
  <si>
    <t>TK Rechazo RO1</t>
  </si>
  <si>
    <t>13.00</t>
  </si>
  <si>
    <t>Gestión muestras y análisis calidad rechazo</t>
  </si>
  <si>
    <t>Membranas RO2 amortizadas</t>
  </si>
  <si>
    <t>42 membranas × $4.0M / 5 años de vida útil estimada</t>
  </si>
  <si>
    <t>TK Rechazo RO2</t>
  </si>
  <si>
    <t>Nota: Puntos Hach: cada punto representa el costo mensual de reactivos para el analizador en línea o equipo portátil asignado a ese punto de muestreo de calidad de agua.</t>
  </si>
  <si>
    <t>MATRIZ DE COSTOS $/m³ — POR EQUIPO Y CATEGORIA</t>
  </si>
  <si>
    <t>ID</t>
  </si>
  <si>
    <t>TOTAL $/m³</t>
  </si>
  <si>
    <t>BLOQUE PTAR FASE 2 — 22 equipos</t>
  </si>
  <si>
    <t>rotativa</t>
  </si>
  <si>
    <t>Descarga Rotativa</t>
  </si>
  <si>
    <t>-</t>
  </si>
  <si>
    <t>funza</t>
  </si>
  <si>
    <t>Descarga Ext. Funza</t>
  </si>
  <si>
    <t>tintoreria</t>
  </si>
  <si>
    <t>Descarga Tintorería</t>
  </si>
  <si>
    <t>lavanderia</t>
  </si>
  <si>
    <t>Descarga Lavandería</t>
  </si>
  <si>
    <t>tk2m3</t>
  </si>
  <si>
    <t>tk15m3</t>
  </si>
  <si>
    <t>tk30m3</t>
  </si>
  <si>
    <t>tk60m3</t>
  </si>
  <si>
    <t>cribRot</t>
  </si>
  <si>
    <t>vibrat1</t>
  </si>
  <si>
    <t>vibrat2</t>
  </si>
  <si>
    <t>tkPulmon</t>
  </si>
  <si>
    <t>torre</t>
  </si>
  <si>
    <t>carcamo</t>
  </si>
  <si>
    <t>Cárcamo</t>
  </si>
  <si>
    <t>homogen</t>
  </si>
  <si>
    <t>eqGem</t>
  </si>
  <si>
    <t>swingmill</t>
  </si>
  <si>
    <t>Espesador Swingmill</t>
  </si>
  <si>
    <t>anoxic</t>
  </si>
  <si>
    <t>mbbr</t>
  </si>
  <si>
    <t>mbrT</t>
  </si>
  <si>
    <t>mbrK</t>
  </si>
  <si>
    <t>tkPermeado</t>
  </si>
  <si>
    <t>SUBTOTAL PTAR FASE 2</t>
  </si>
  <si>
    <t>BLOQUE RO (OSMOSIS INVERSA) — 7 equipos</t>
  </si>
  <si>
    <t>filtrosII</t>
  </si>
  <si>
    <t>filtro5</t>
  </si>
  <si>
    <t>ro1e1</t>
  </si>
  <si>
    <t>Ósmosis Inversa RO1 E1</t>
  </si>
  <si>
    <t>ro1e2</t>
  </si>
  <si>
    <t>Ósmosis Inversa RO1 E2</t>
  </si>
  <si>
    <t>tkRechazo</t>
  </si>
  <si>
    <t>ro2</t>
  </si>
  <si>
    <t>Ósmosis Inversa RO2</t>
  </si>
  <si>
    <t>tkRechazoRO2</t>
  </si>
  <si>
    <t>SUBTOTAL RO</t>
  </si>
  <si>
    <t>VERIFICACION — SUMA CALCULADA vs. TOTAL PROYECTADO POR CATEGORIA Y BLOQUE</t>
  </si>
  <si>
    <t>Target proyectado</t>
  </si>
  <si>
    <t>Suma calculada</t>
  </si>
  <si>
    <t>Diferencia</t>
  </si>
  <si>
    <t>Cuadra?</t>
  </si>
  <si>
    <t>Fuente del target</t>
  </si>
  <si>
    <t>PTAR F2</t>
  </si>
  <si>
    <t>SI</t>
  </si>
  <si>
    <t>Costeo reactivos GEM + RO (cotizaciones proveedor)</t>
  </si>
  <si>
    <t>Contratos disposicion residuos + transporte</t>
  </si>
  <si>
    <t>Membranas + analizadores Hach + cartuchos + resinas</t>
  </si>
  <si>
    <t>Contrato mantenimiento preventivo anual</t>
  </si>
  <si>
    <t>Nomina operativa mensual 2026 (70/30 PTAR/RO)</t>
  </si>
  <si>
    <t>Factura energia promedio 6 meses + medicion corriente</t>
  </si>
  <si>
    <t>CAPEX equipos x tasa depreciacion / produccion m3/mes</t>
  </si>
  <si>
    <t xml:space="preserve">  Tolerancia aceptable: +/-$1.00 por m3 por redondeos al distribuir totales entre equipos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</si>
</sst>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8"/>
      <color rgb="FFFF8A65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8"/>
      <color rgb="FFF06292"/>
      <name val="Calibri"/>
      <family val="2"/>
    </font>
    <font>
      <b/>
      <sz val="18"/>
      <color rgb="FFFFCC02"/>
      <name val="Calibri"/>
      <family val="2"/>
    </font>
    <font>
      <b/>
      <sz val="18"/>
      <color rgb="FF4DB6AC"/>
      <name val="Calibri"/>
      <family val="2"/>
    </font>
    <font>
      <b/>
      <sz val="18"/>
      <color rgb="FF81C784"/>
      <name val="Calibri"/>
      <family val="2"/>
    </font>
    <font>
      <b/>
      <sz val="18"/>
      <color rgb="FF4FC3F7"/>
      <name val="Calibri"/>
      <family val="2"/>
    </font>
    <font>
      <b/>
      <sz val="18"/>
      <color rgb="FFCE93D8"/>
      <name val="Calibri"/>
      <family val="2"/>
    </font>
    <font>
      <i/>
      <sz val="10"/>
      <color rgb="FF555555"/>
      <name val="Calibri"/>
      <family val="2"/>
    </font>
    <font>
      <b/>
      <sz val="12"/>
      <color rgb="FF000000"/>
      <name val="Calibri"/>
      <family val="2"/>
    </font>
    <font>
      <b/>
      <sz val="10"/>
      <color rgb="FF0000FF"/>
      <name val="Calibri"/>
      <family val="2"/>
    </font>
    <font>
      <b/>
      <sz val="10"/>
      <color rgb="FF000000"/>
      <name val="Calibri"/>
      <family val="2"/>
    </font>
    <font>
      <i/>
      <sz val="9"/>
      <color rgb="FF666666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sz val="11"/>
      <color rgb="FFBBBBBB"/>
      <name val="Calibri"/>
      <family val="2"/>
    </font>
    <font>
      <sz val="11"/>
      <color rgb="FF006600"/>
      <name val="Calibri"/>
      <family val="2"/>
    </font>
    <font>
      <b/>
      <sz val="11"/>
      <color rgb="FF006600"/>
      <name val="Calibri"/>
      <family val="2"/>
    </font>
    <font>
      <i/>
      <sz val="10"/>
      <color rgb="FF444444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EEF4FF"/>
      </patternFill>
    </fill>
    <fill>
      <patternFill patternType="solid">
        <fgColor rgb="FF2D3748"/>
      </patternFill>
    </fill>
    <fill>
      <patternFill patternType="solid">
        <fgColor rgb="FF81C784"/>
      </patternFill>
    </fill>
    <fill>
      <patternFill patternType="solid">
        <fgColor rgb="FFF5F5F5"/>
      </patternFill>
    </fill>
    <fill>
      <patternFill patternType="solid">
        <fgColor rgb="FFCE93D8"/>
      </patternFill>
    </fill>
    <fill>
      <patternFill patternType="solid">
        <fgColor rgb="FF4DB6AC"/>
      </patternFill>
    </fill>
    <fill>
      <patternFill patternType="solid">
        <fgColor rgb="FF4FC3F7"/>
      </patternFill>
    </fill>
    <fill>
      <patternFill patternType="solid">
        <fgColor rgb="FFFF8A65"/>
      </patternFill>
    </fill>
    <fill>
      <patternFill patternType="solid">
        <fgColor rgb="FFF06292"/>
      </patternFill>
    </fill>
    <fill>
      <patternFill patternType="solid">
        <fgColor rgb="FFFFCC02"/>
      </patternFill>
    </fill>
    <fill>
      <patternFill patternType="solid">
        <fgColor rgb="FF2B4C7E"/>
      </patternFill>
    </fill>
    <fill>
      <patternFill patternType="solid">
        <fgColor rgb="FFE8F4FD"/>
      </patternFill>
    </fill>
    <fill>
      <patternFill patternType="solid">
        <fgColor rgb="FFD0D7E3"/>
      </patternFill>
    </fill>
    <fill>
      <patternFill patternType="solid">
        <fgColor rgb="FF7B5E2A"/>
      </patternFill>
    </fill>
    <fill>
      <patternFill patternType="solid">
        <fgColor rgb="FFFDF6E8"/>
      </patternFill>
    </fill>
    <fill>
      <patternFill patternType="solid">
        <fgColor rgb="FFE8FF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1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/>
    </xf>
    <xf numFmtId="0" fontId="20" fillId="14" borderId="1" xfId="0" applyFont="1" applyFill="1" applyBorder="1" applyAlignment="1">
      <alignment horizontal="center" vertical="center"/>
    </xf>
    <xf numFmtId="4" fontId="6" fillId="14" borderId="1" xfId="0" applyNumberFormat="1" applyFont="1" applyFill="1" applyBorder="1" applyAlignment="1">
      <alignment horizontal="center" vertical="center"/>
    </xf>
    <xf numFmtId="4" fontId="3" fillId="14" borderId="1" xfId="0" applyNumberFormat="1" applyFont="1" applyFill="1" applyBorder="1" applyAlignment="1">
      <alignment horizontal="center" vertical="center"/>
    </xf>
    <xf numFmtId="4" fontId="3" fillId="15" borderId="1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left" vertical="center"/>
    </xf>
    <xf numFmtId="0" fontId="20" fillId="17" borderId="1" xfId="0" applyFont="1" applyFill="1" applyBorder="1" applyAlignment="1">
      <alignment horizontal="center" vertical="center"/>
    </xf>
    <xf numFmtId="4" fontId="6" fillId="17" borderId="1" xfId="0" applyNumberFormat="1" applyFont="1" applyFill="1" applyBorder="1" applyAlignment="1">
      <alignment horizontal="center" vertical="center"/>
    </xf>
    <xf numFmtId="4" fontId="3" fillId="17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21" fillId="0" borderId="1" xfId="0" applyNumberFormat="1" applyFont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0" fontId="13" fillId="0" borderId="0" xfId="0" applyFont="1"/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left" vertical="center" wrapText="1" indent="1"/>
    </xf>
    <xf numFmtId="0" fontId="17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/>
    </xf>
    <xf numFmtId="0" fontId="18" fillId="10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left" vertical="center" indent="1"/>
    </xf>
    <xf numFmtId="0" fontId="14" fillId="8" borderId="0" xfId="0" applyFont="1" applyFill="1" applyAlignment="1">
      <alignment horizontal="center" vertical="center" wrapText="1"/>
    </xf>
    <xf numFmtId="0" fontId="18" fillId="9" borderId="0" xfId="0" applyFont="1" applyFill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center" vertical="center" wrapText="1"/>
    </xf>
    <xf numFmtId="0" fontId="14" fillId="12" borderId="0" xfId="0" applyFont="1" applyFill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showGridLines="0" workbookViewId="0">
      <pane ySplit="3" topLeftCell="A4" activePane="bottomLeft" state="frozen"/>
      <selection pane="bottomLeft" activeCell="G8" sqref="G8"/>
    </sheetView>
  </sheetViews>
  <sheetFormatPr baseColWidth="10" defaultColWidth="8.88671875" defaultRowHeight="14.4" x14ac:dyDescent="0.3"/>
  <cols>
    <col min="1" max="1" width="35" customWidth="1"/>
    <col min="2" max="2" width="8" customWidth="1"/>
    <col min="3" max="6" width="18" customWidth="1"/>
    <col min="7" max="7" width="58" customWidth="1"/>
  </cols>
  <sheetData>
    <row r="1" spans="1:7" ht="31.95" customHeight="1" x14ac:dyDescent="0.3">
      <c r="A1" s="51" t="s">
        <v>0</v>
      </c>
      <c r="B1" s="49"/>
      <c r="C1" s="49"/>
      <c r="D1" s="49"/>
      <c r="E1" s="49"/>
      <c r="F1" s="49"/>
      <c r="G1" s="49"/>
    </row>
    <row r="2" spans="1:7" ht="6" customHeight="1" x14ac:dyDescent="0.3"/>
    <row r="3" spans="1:7" ht="37.950000000000003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25.95" customHeight="1" x14ac:dyDescent="0.3">
      <c r="A4" s="2" t="s">
        <v>8</v>
      </c>
      <c r="B4" s="3" t="s">
        <v>9</v>
      </c>
      <c r="C4" s="4">
        <v>3599.29</v>
      </c>
      <c r="D4" s="4">
        <v>958.85</v>
      </c>
      <c r="E4" s="5">
        <f t="shared" ref="E4:E10" si="0">C4+D4</f>
        <v>4558.1400000000003</v>
      </c>
      <c r="F4" s="6" t="s">
        <v>10</v>
      </c>
      <c r="G4" s="7" t="s">
        <v>11</v>
      </c>
    </row>
    <row r="5" spans="1:7" ht="25.95" customHeight="1" x14ac:dyDescent="0.3">
      <c r="A5" s="2" t="s">
        <v>12</v>
      </c>
      <c r="B5" s="8" t="s">
        <v>9</v>
      </c>
      <c r="C5" s="4">
        <v>1303.8699999999999</v>
      </c>
      <c r="D5" s="4">
        <v>0</v>
      </c>
      <c r="E5" s="5">
        <f t="shared" si="0"/>
        <v>1303.8699999999999</v>
      </c>
      <c r="F5" s="6" t="s">
        <v>10</v>
      </c>
      <c r="G5" s="7" t="s">
        <v>13</v>
      </c>
    </row>
    <row r="6" spans="1:7" ht="25.95" customHeight="1" x14ac:dyDescent="0.3">
      <c r="A6" s="2" t="s">
        <v>14</v>
      </c>
      <c r="B6" s="9" t="s">
        <v>9</v>
      </c>
      <c r="C6" s="4">
        <v>211.62</v>
      </c>
      <c r="D6" s="4">
        <v>790.94</v>
      </c>
      <c r="E6" s="5">
        <f t="shared" si="0"/>
        <v>1002.5600000000001</v>
      </c>
      <c r="F6" s="6" t="s">
        <v>10</v>
      </c>
      <c r="G6" s="7" t="s">
        <v>15</v>
      </c>
    </row>
    <row r="7" spans="1:7" ht="25.95" customHeight="1" x14ac:dyDescent="0.3">
      <c r="A7" s="2" t="s">
        <v>16</v>
      </c>
      <c r="B7" s="10" t="s">
        <v>9</v>
      </c>
      <c r="C7" s="4">
        <v>478.61</v>
      </c>
      <c r="D7" s="4">
        <v>390.25</v>
      </c>
      <c r="E7" s="5">
        <f t="shared" si="0"/>
        <v>868.86</v>
      </c>
      <c r="F7" s="6" t="s">
        <v>10</v>
      </c>
      <c r="G7" s="7" t="s">
        <v>17</v>
      </c>
    </row>
    <row r="8" spans="1:7" ht="25.95" customHeight="1" x14ac:dyDescent="0.3">
      <c r="A8" s="2" t="s">
        <v>18</v>
      </c>
      <c r="B8" s="11" t="s">
        <v>9</v>
      </c>
      <c r="C8" s="4">
        <v>827.85</v>
      </c>
      <c r="D8" s="4">
        <v>354.79</v>
      </c>
      <c r="E8" s="5">
        <f t="shared" si="0"/>
        <v>1182.6400000000001</v>
      </c>
      <c r="F8" s="6" t="s">
        <v>10</v>
      </c>
      <c r="G8" s="7" t="s">
        <v>19</v>
      </c>
    </row>
    <row r="9" spans="1:7" ht="25.95" customHeight="1" x14ac:dyDescent="0.3">
      <c r="A9" s="2" t="s">
        <v>20</v>
      </c>
      <c r="B9" s="12" t="s">
        <v>9</v>
      </c>
      <c r="C9" s="4">
        <v>3646.07</v>
      </c>
      <c r="D9" s="4">
        <v>911.52</v>
      </c>
      <c r="E9" s="5">
        <f t="shared" si="0"/>
        <v>4557.59</v>
      </c>
      <c r="F9" s="6" t="s">
        <v>10</v>
      </c>
      <c r="G9" s="7" t="s">
        <v>21</v>
      </c>
    </row>
    <row r="10" spans="1:7" ht="25.95" customHeight="1" x14ac:dyDescent="0.3">
      <c r="A10" s="2" t="s">
        <v>22</v>
      </c>
      <c r="B10" s="13" t="s">
        <v>9</v>
      </c>
      <c r="C10" s="4">
        <v>1760.95</v>
      </c>
      <c r="D10" s="4">
        <v>196.4</v>
      </c>
      <c r="E10" s="5">
        <f t="shared" si="0"/>
        <v>1957.3500000000001</v>
      </c>
      <c r="F10" s="6" t="s">
        <v>10</v>
      </c>
      <c r="G10" s="7" t="s">
        <v>23</v>
      </c>
    </row>
    <row r="11" spans="1:7" ht="28.05" customHeight="1" x14ac:dyDescent="0.3">
      <c r="A11" s="50" t="s">
        <v>24</v>
      </c>
      <c r="B11" s="49"/>
      <c r="C11" s="15">
        <f>SUM(C4:C10)</f>
        <v>11828.26</v>
      </c>
      <c r="D11" s="15">
        <f>SUM(D4:D10)</f>
        <v>3602.75</v>
      </c>
      <c r="E11" s="15">
        <f>SUM(E4:E10)</f>
        <v>15431.01</v>
      </c>
      <c r="F11" s="16"/>
      <c r="G11" s="16"/>
    </row>
    <row r="13" spans="1:7" ht="19.95" customHeight="1" x14ac:dyDescent="0.3">
      <c r="A13" s="48" t="s">
        <v>25</v>
      </c>
      <c r="B13" s="49"/>
      <c r="C13" s="49"/>
      <c r="D13" s="49"/>
      <c r="E13" s="49"/>
      <c r="F13" s="49"/>
      <c r="G13" s="49"/>
    </row>
  </sheetData>
  <mergeCells count="3">
    <mergeCell ref="A13:G13"/>
    <mergeCell ref="A11:B1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7"/>
  <sheetViews>
    <sheetView showGridLines="0" topLeftCell="A79" workbookViewId="0">
      <selection activeCell="C67" sqref="C67"/>
    </sheetView>
  </sheetViews>
  <sheetFormatPr baseColWidth="10" defaultColWidth="8.88671875" defaultRowHeight="14.4" x14ac:dyDescent="0.3"/>
  <cols>
    <col min="1" max="2" width="28" customWidth="1"/>
    <col min="3" max="3" width="33.77734375" customWidth="1"/>
    <col min="4" max="4" width="12" customWidth="1"/>
    <col min="5" max="5" width="32" customWidth="1"/>
    <col min="6" max="6" width="18" customWidth="1"/>
  </cols>
  <sheetData>
    <row r="1" spans="1:6" ht="31.95" customHeight="1" x14ac:dyDescent="0.3">
      <c r="A1" s="51" t="s">
        <v>26</v>
      </c>
      <c r="B1" s="49"/>
      <c r="C1" s="49"/>
      <c r="D1" s="49"/>
      <c r="E1" s="49"/>
      <c r="F1" s="49"/>
    </row>
    <row r="3" spans="1:6" ht="28.05" customHeight="1" x14ac:dyDescent="0.3">
      <c r="A3" s="56" t="s">
        <v>27</v>
      </c>
      <c r="B3" s="49"/>
      <c r="C3" s="49"/>
      <c r="D3" s="49"/>
      <c r="E3" s="49"/>
      <c r="F3" s="49"/>
    </row>
    <row r="4" spans="1:6" ht="18" customHeight="1" x14ac:dyDescent="0.3">
      <c r="A4" s="57" t="s">
        <v>28</v>
      </c>
      <c r="B4" s="49"/>
      <c r="C4" s="49"/>
      <c r="D4" s="49"/>
      <c r="E4" s="49"/>
      <c r="F4" s="49"/>
    </row>
    <row r="5" spans="1:6" ht="31.95" customHeight="1" x14ac:dyDescent="0.3">
      <c r="A5" s="54" t="s">
        <v>29</v>
      </c>
      <c r="B5" s="49"/>
      <c r="C5" s="49"/>
      <c r="D5" s="49"/>
      <c r="E5" s="49"/>
      <c r="F5" s="49"/>
    </row>
    <row r="6" spans="1:6" ht="18" customHeight="1" x14ac:dyDescent="0.3">
      <c r="A6" s="52" t="s">
        <v>30</v>
      </c>
      <c r="B6" s="49"/>
      <c r="C6" s="49"/>
      <c r="D6" s="49"/>
      <c r="E6" s="49"/>
      <c r="F6" s="49"/>
    </row>
    <row r="7" spans="1:6" ht="18" customHeight="1" x14ac:dyDescent="0.3">
      <c r="A7" s="17" t="s">
        <v>31</v>
      </c>
      <c r="B7" s="17" t="s">
        <v>32</v>
      </c>
      <c r="C7" s="17" t="s">
        <v>33</v>
      </c>
      <c r="D7" s="17" t="s">
        <v>34</v>
      </c>
      <c r="E7" s="17" t="s">
        <v>35</v>
      </c>
      <c r="F7" s="17" t="s">
        <v>36</v>
      </c>
    </row>
    <row r="8" spans="1:6" ht="43.2" x14ac:dyDescent="0.3">
      <c r="A8" s="18" t="s">
        <v>37</v>
      </c>
      <c r="B8" s="6" t="s">
        <v>38</v>
      </c>
      <c r="C8" s="6" t="s">
        <v>39</v>
      </c>
      <c r="D8" s="6" t="s">
        <v>40</v>
      </c>
      <c r="E8" s="6" t="s">
        <v>41</v>
      </c>
      <c r="F8" s="19" t="s">
        <v>42</v>
      </c>
    </row>
    <row r="9" spans="1:6" ht="57.6" x14ac:dyDescent="0.3">
      <c r="A9" s="20" t="s">
        <v>43</v>
      </c>
      <c r="B9" s="21" t="s">
        <v>44</v>
      </c>
      <c r="C9" s="21" t="s">
        <v>45</v>
      </c>
      <c r="D9" s="21" t="s">
        <v>46</v>
      </c>
      <c r="E9" s="21" t="s">
        <v>47</v>
      </c>
      <c r="F9" s="22" t="s">
        <v>48</v>
      </c>
    </row>
    <row r="10" spans="1:6" ht="43.2" x14ac:dyDescent="0.3">
      <c r="A10" s="18" t="s">
        <v>49</v>
      </c>
      <c r="B10" s="6" t="s">
        <v>50</v>
      </c>
      <c r="C10" s="6" t="s">
        <v>51</v>
      </c>
      <c r="D10" s="6" t="s">
        <v>52</v>
      </c>
      <c r="E10" s="6" t="s">
        <v>53</v>
      </c>
      <c r="F10" s="19" t="s">
        <v>54</v>
      </c>
    </row>
    <row r="11" spans="1:6" ht="30" customHeight="1" x14ac:dyDescent="0.3">
      <c r="A11" s="53" t="s">
        <v>55</v>
      </c>
      <c r="B11" s="49"/>
      <c r="C11" s="49"/>
      <c r="D11" s="49"/>
      <c r="E11" s="49"/>
      <c r="F11" s="49"/>
    </row>
    <row r="13" spans="1:6" ht="28.05" customHeight="1" x14ac:dyDescent="0.3">
      <c r="A13" s="61" t="s">
        <v>56</v>
      </c>
      <c r="B13" s="49"/>
      <c r="C13" s="49"/>
      <c r="D13" s="49"/>
      <c r="E13" s="49"/>
      <c r="F13" s="49"/>
    </row>
    <row r="14" spans="1:6" ht="18" customHeight="1" x14ac:dyDescent="0.3">
      <c r="A14" s="57" t="s">
        <v>57</v>
      </c>
      <c r="B14" s="49"/>
      <c r="C14" s="49"/>
      <c r="D14" s="49"/>
      <c r="E14" s="49"/>
      <c r="F14" s="49"/>
    </row>
    <row r="15" spans="1:6" ht="31.95" customHeight="1" x14ac:dyDescent="0.3">
      <c r="A15" s="54" t="s">
        <v>58</v>
      </c>
      <c r="B15" s="49"/>
      <c r="C15" s="49"/>
      <c r="D15" s="49"/>
      <c r="E15" s="49"/>
      <c r="F15" s="49"/>
    </row>
    <row r="16" spans="1:6" ht="18" customHeight="1" x14ac:dyDescent="0.3">
      <c r="A16" s="52" t="s">
        <v>59</v>
      </c>
      <c r="B16" s="49"/>
      <c r="C16" s="49"/>
      <c r="D16" s="49"/>
      <c r="E16" s="49"/>
      <c r="F16" s="49"/>
    </row>
    <row r="17" spans="1:6" ht="18" customHeight="1" x14ac:dyDescent="0.3">
      <c r="A17" s="23" t="s">
        <v>31</v>
      </c>
      <c r="B17" s="23" t="s">
        <v>60</v>
      </c>
      <c r="C17" s="23" t="s">
        <v>33</v>
      </c>
      <c r="D17" s="23" t="s">
        <v>34</v>
      </c>
      <c r="E17" s="23" t="s">
        <v>35</v>
      </c>
      <c r="F17" s="23" t="s">
        <v>61</v>
      </c>
    </row>
    <row r="18" spans="1:6" ht="18" customHeight="1" x14ac:dyDescent="0.3">
      <c r="A18" s="18" t="s">
        <v>37</v>
      </c>
      <c r="B18" s="6" t="s">
        <v>62</v>
      </c>
      <c r="C18" s="6" t="s">
        <v>63</v>
      </c>
      <c r="D18" s="6" t="s">
        <v>40</v>
      </c>
      <c r="E18" s="6" t="s">
        <v>64</v>
      </c>
      <c r="F18" s="19" t="s">
        <v>65</v>
      </c>
    </row>
    <row r="19" spans="1:6" ht="18" customHeight="1" x14ac:dyDescent="0.3">
      <c r="A19" s="20" t="s">
        <v>43</v>
      </c>
      <c r="B19" s="21" t="s">
        <v>66</v>
      </c>
      <c r="C19" s="21" t="s">
        <v>67</v>
      </c>
      <c r="D19" s="21" t="s">
        <v>46</v>
      </c>
      <c r="E19" s="21" t="s">
        <v>68</v>
      </c>
      <c r="F19" s="22" t="s">
        <v>69</v>
      </c>
    </row>
    <row r="20" spans="1:6" ht="18" customHeight="1" x14ac:dyDescent="0.3">
      <c r="A20" s="18" t="s">
        <v>49</v>
      </c>
      <c r="B20" s="6" t="s">
        <v>50</v>
      </c>
      <c r="C20" s="6" t="s">
        <v>51</v>
      </c>
      <c r="D20" s="6" t="s">
        <v>52</v>
      </c>
      <c r="E20" s="6" t="s">
        <v>53</v>
      </c>
      <c r="F20" s="19" t="s">
        <v>70</v>
      </c>
    </row>
    <row r="21" spans="1:6" ht="30" customHeight="1" x14ac:dyDescent="0.3">
      <c r="A21" s="53" t="s">
        <v>71</v>
      </c>
      <c r="B21" s="49"/>
      <c r="C21" s="49"/>
      <c r="D21" s="49"/>
      <c r="E21" s="49"/>
      <c r="F21" s="49"/>
    </row>
    <row r="23" spans="1:6" ht="28.05" customHeight="1" x14ac:dyDescent="0.3">
      <c r="A23" s="58" t="s">
        <v>72</v>
      </c>
      <c r="B23" s="49"/>
      <c r="C23" s="49"/>
      <c r="D23" s="49"/>
      <c r="E23" s="49"/>
      <c r="F23" s="49"/>
    </row>
    <row r="24" spans="1:6" ht="18" customHeight="1" x14ac:dyDescent="0.3">
      <c r="A24" s="57" t="s">
        <v>73</v>
      </c>
      <c r="B24" s="49"/>
      <c r="C24" s="49"/>
      <c r="D24" s="49"/>
      <c r="E24" s="49"/>
      <c r="F24" s="49"/>
    </row>
    <row r="25" spans="1:6" ht="31.95" customHeight="1" x14ac:dyDescent="0.3">
      <c r="A25" s="54" t="s">
        <v>74</v>
      </c>
      <c r="B25" s="49"/>
      <c r="C25" s="49"/>
      <c r="D25" s="49"/>
      <c r="E25" s="49"/>
      <c r="F25" s="49"/>
    </row>
    <row r="26" spans="1:6" ht="18" customHeight="1" x14ac:dyDescent="0.3">
      <c r="A26" s="52" t="s">
        <v>75</v>
      </c>
      <c r="B26" s="49"/>
      <c r="C26" s="49"/>
      <c r="D26" s="49"/>
      <c r="E26" s="49"/>
      <c r="F26" s="49"/>
    </row>
    <row r="27" spans="1:6" ht="18" customHeight="1" x14ac:dyDescent="0.3">
      <c r="A27" s="24" t="s">
        <v>31</v>
      </c>
      <c r="B27" s="24" t="s">
        <v>33</v>
      </c>
      <c r="C27" s="24" t="s">
        <v>34</v>
      </c>
      <c r="D27" s="24" t="s">
        <v>35</v>
      </c>
      <c r="E27" s="24" t="s">
        <v>76</v>
      </c>
    </row>
    <row r="28" spans="1:6" ht="39.6" customHeight="1" x14ac:dyDescent="0.3">
      <c r="A28" s="18" t="s">
        <v>37</v>
      </c>
      <c r="B28" s="6" t="s">
        <v>77</v>
      </c>
      <c r="C28" s="6" t="s">
        <v>40</v>
      </c>
      <c r="D28" s="6" t="s">
        <v>78</v>
      </c>
      <c r="E28" s="19" t="s">
        <v>79</v>
      </c>
    </row>
    <row r="29" spans="1:6" ht="36.6" customHeight="1" x14ac:dyDescent="0.3">
      <c r="A29" s="20" t="s">
        <v>43</v>
      </c>
      <c r="B29" s="21" t="s">
        <v>80</v>
      </c>
      <c r="C29" s="21" t="s">
        <v>46</v>
      </c>
      <c r="D29" s="21" t="s">
        <v>81</v>
      </c>
      <c r="E29" s="22" t="s">
        <v>82</v>
      </c>
    </row>
    <row r="30" spans="1:6" ht="30" customHeight="1" x14ac:dyDescent="0.3">
      <c r="A30" s="53" t="s">
        <v>83</v>
      </c>
      <c r="B30" s="49"/>
      <c r="C30" s="49"/>
      <c r="D30" s="49"/>
      <c r="E30" s="49"/>
      <c r="F30" s="49"/>
    </row>
    <row r="32" spans="1:6" ht="28.05" customHeight="1" x14ac:dyDescent="0.3">
      <c r="A32" s="59" t="s">
        <v>84</v>
      </c>
      <c r="B32" s="49"/>
      <c r="C32" s="49"/>
      <c r="D32" s="49"/>
      <c r="E32" s="49"/>
      <c r="F32" s="49"/>
    </row>
    <row r="33" spans="1:6" ht="18" customHeight="1" x14ac:dyDescent="0.3">
      <c r="A33" s="57" t="s">
        <v>85</v>
      </c>
      <c r="B33" s="49"/>
      <c r="C33" s="49"/>
      <c r="D33" s="49"/>
      <c r="E33" s="49"/>
      <c r="F33" s="49"/>
    </row>
    <row r="34" spans="1:6" ht="31.95" customHeight="1" x14ac:dyDescent="0.3">
      <c r="A34" s="54" t="s">
        <v>86</v>
      </c>
      <c r="B34" s="49"/>
      <c r="C34" s="49"/>
      <c r="D34" s="49"/>
      <c r="E34" s="49"/>
      <c r="F34" s="49"/>
    </row>
    <row r="35" spans="1:6" ht="18" customHeight="1" x14ac:dyDescent="0.3">
      <c r="A35" s="52" t="s">
        <v>87</v>
      </c>
      <c r="B35" s="49"/>
      <c r="C35" s="49"/>
      <c r="D35" s="49"/>
      <c r="E35" s="49"/>
      <c r="F35" s="49"/>
    </row>
    <row r="36" spans="1:6" ht="18" customHeight="1" x14ac:dyDescent="0.3">
      <c r="A36" s="25" t="s">
        <v>88</v>
      </c>
      <c r="B36" s="25" t="s">
        <v>89</v>
      </c>
      <c r="C36" s="25" t="s">
        <v>90</v>
      </c>
      <c r="D36" s="25" t="s">
        <v>91</v>
      </c>
    </row>
    <row r="37" spans="1:6" ht="28.8" x14ac:dyDescent="0.3">
      <c r="A37" s="18" t="s">
        <v>92</v>
      </c>
      <c r="B37" s="6" t="s">
        <v>93</v>
      </c>
      <c r="C37" s="19" t="s">
        <v>94</v>
      </c>
      <c r="D37" s="19" t="s">
        <v>95</v>
      </c>
    </row>
    <row r="38" spans="1:6" ht="18" customHeight="1" x14ac:dyDescent="0.3">
      <c r="A38" s="20" t="s">
        <v>96</v>
      </c>
      <c r="B38" s="21" t="s">
        <v>97</v>
      </c>
      <c r="C38" s="22" t="s">
        <v>98</v>
      </c>
      <c r="D38" s="22"/>
    </row>
    <row r="39" spans="1:6" ht="43.2" x14ac:dyDescent="0.3">
      <c r="A39" s="18" t="s">
        <v>99</v>
      </c>
      <c r="B39" s="6" t="s">
        <v>100</v>
      </c>
      <c r="C39" s="19" t="s">
        <v>101</v>
      </c>
      <c r="D39" s="19" t="s">
        <v>102</v>
      </c>
    </row>
    <row r="40" spans="1:6" x14ac:dyDescent="0.3">
      <c r="A40" s="20" t="s">
        <v>103</v>
      </c>
      <c r="B40" s="21" t="s">
        <v>104</v>
      </c>
      <c r="C40" s="22" t="s">
        <v>105</v>
      </c>
      <c r="D40" s="22"/>
    </row>
    <row r="41" spans="1:6" ht="18" customHeight="1" x14ac:dyDescent="0.3">
      <c r="A41" s="18" t="s">
        <v>106</v>
      </c>
      <c r="B41" s="6" t="s">
        <v>104</v>
      </c>
      <c r="C41" s="19" t="s">
        <v>107</v>
      </c>
      <c r="D41" s="19"/>
    </row>
    <row r="42" spans="1:6" ht="18" customHeight="1" x14ac:dyDescent="0.3">
      <c r="A42" s="20" t="s">
        <v>108</v>
      </c>
      <c r="B42" s="21" t="s">
        <v>104</v>
      </c>
      <c r="C42" s="22" t="s">
        <v>107</v>
      </c>
      <c r="D42" s="22"/>
    </row>
    <row r="43" spans="1:6" ht="18" customHeight="1" x14ac:dyDescent="0.3">
      <c r="A43" s="18" t="s">
        <v>109</v>
      </c>
      <c r="B43" s="6" t="s">
        <v>110</v>
      </c>
      <c r="C43" s="19" t="s">
        <v>111</v>
      </c>
      <c r="D43" s="19"/>
    </row>
    <row r="44" spans="1:6" ht="18" customHeight="1" x14ac:dyDescent="0.3">
      <c r="A44" s="20" t="s">
        <v>112</v>
      </c>
      <c r="B44" s="21" t="s">
        <v>113</v>
      </c>
      <c r="C44" s="22" t="s">
        <v>114</v>
      </c>
      <c r="D44" s="22"/>
    </row>
    <row r="45" spans="1:6" ht="57.6" x14ac:dyDescent="0.3">
      <c r="A45" s="18" t="s">
        <v>115</v>
      </c>
      <c r="B45" s="6" t="s">
        <v>116</v>
      </c>
      <c r="C45" s="19" t="s">
        <v>117</v>
      </c>
      <c r="D45" s="19" t="s">
        <v>118</v>
      </c>
    </row>
    <row r="46" spans="1:6" ht="18" customHeight="1" x14ac:dyDescent="0.3">
      <c r="A46" s="20" t="s">
        <v>119</v>
      </c>
      <c r="B46" s="21" t="s">
        <v>120</v>
      </c>
      <c r="C46" s="22" t="s">
        <v>121</v>
      </c>
      <c r="D46" s="22"/>
    </row>
    <row r="47" spans="1:6" ht="43.2" x14ac:dyDescent="0.3">
      <c r="A47" s="18" t="s">
        <v>122</v>
      </c>
      <c r="B47" s="6" t="s">
        <v>123</v>
      </c>
      <c r="C47" s="19" t="s">
        <v>124</v>
      </c>
      <c r="D47" s="19" t="s">
        <v>125</v>
      </c>
    </row>
    <row r="48" spans="1:6" ht="18" customHeight="1" x14ac:dyDescent="0.3">
      <c r="A48" s="20" t="s">
        <v>126</v>
      </c>
      <c r="B48" s="21" t="s">
        <v>127</v>
      </c>
      <c r="C48" s="22" t="s">
        <v>128</v>
      </c>
      <c r="D48" s="22"/>
    </row>
    <row r="49" spans="1:6" ht="18" customHeight="1" x14ac:dyDescent="0.3">
      <c r="A49" s="18" t="s">
        <v>129</v>
      </c>
      <c r="B49" s="6" t="s">
        <v>130</v>
      </c>
      <c r="C49" s="19" t="s">
        <v>131</v>
      </c>
      <c r="D49" s="19"/>
    </row>
    <row r="50" spans="1:6" ht="18" customHeight="1" x14ac:dyDescent="0.3">
      <c r="A50" s="20" t="s">
        <v>132</v>
      </c>
      <c r="B50" s="21" t="s">
        <v>133</v>
      </c>
      <c r="C50" s="22" t="s">
        <v>134</v>
      </c>
      <c r="D50" s="22"/>
    </row>
    <row r="51" spans="1:6" ht="18" customHeight="1" x14ac:dyDescent="0.3">
      <c r="A51" s="18" t="s">
        <v>135</v>
      </c>
      <c r="B51" s="6" t="s">
        <v>136</v>
      </c>
      <c r="C51" s="19" t="s">
        <v>137</v>
      </c>
      <c r="D51" s="19"/>
    </row>
    <row r="52" spans="1:6" ht="18" customHeight="1" x14ac:dyDescent="0.3">
      <c r="A52" s="20" t="s">
        <v>138</v>
      </c>
      <c r="B52" s="21" t="s">
        <v>139</v>
      </c>
      <c r="C52" s="22" t="s">
        <v>140</v>
      </c>
      <c r="D52" s="22"/>
    </row>
    <row r="53" spans="1:6" ht="43.2" x14ac:dyDescent="0.3">
      <c r="A53" s="18" t="s">
        <v>141</v>
      </c>
      <c r="B53" s="6" t="s">
        <v>142</v>
      </c>
      <c r="C53" s="19" t="s">
        <v>143</v>
      </c>
      <c r="D53" s="19" t="s">
        <v>144</v>
      </c>
    </row>
    <row r="54" spans="1:6" ht="30" customHeight="1" x14ac:dyDescent="0.3">
      <c r="A54" s="53" t="s">
        <v>145</v>
      </c>
      <c r="B54" s="49"/>
      <c r="C54" s="49"/>
      <c r="D54" s="49"/>
      <c r="E54" s="49"/>
      <c r="F54" s="49"/>
    </row>
    <row r="56" spans="1:6" ht="28.05" customHeight="1" x14ac:dyDescent="0.3">
      <c r="A56" s="55" t="s">
        <v>146</v>
      </c>
      <c r="B56" s="49"/>
      <c r="C56" s="49"/>
      <c r="D56" s="49"/>
      <c r="E56" s="49"/>
      <c r="F56" s="49"/>
    </row>
    <row r="57" spans="1:6" ht="18" customHeight="1" x14ac:dyDescent="0.3">
      <c r="A57" s="57" t="s">
        <v>147</v>
      </c>
      <c r="B57" s="49"/>
      <c r="C57" s="49"/>
      <c r="D57" s="49"/>
      <c r="E57" s="49"/>
      <c r="F57" s="49"/>
    </row>
    <row r="58" spans="1:6" ht="31.95" customHeight="1" x14ac:dyDescent="0.3">
      <c r="A58" s="54" t="s">
        <v>148</v>
      </c>
      <c r="B58" s="49"/>
      <c r="C58" s="49"/>
      <c r="D58" s="49"/>
      <c r="E58" s="49"/>
      <c r="F58" s="49"/>
    </row>
    <row r="59" spans="1:6" ht="18" customHeight="1" x14ac:dyDescent="0.3">
      <c r="A59" s="52" t="s">
        <v>149</v>
      </c>
      <c r="B59" s="49"/>
      <c r="C59" s="49"/>
      <c r="D59" s="49"/>
      <c r="E59" s="49"/>
      <c r="F59" s="49"/>
    </row>
    <row r="60" spans="1:6" ht="18" customHeight="1" x14ac:dyDescent="0.3">
      <c r="A60" s="26" t="s">
        <v>88</v>
      </c>
      <c r="B60" s="26" t="s">
        <v>89</v>
      </c>
      <c r="C60" s="26" t="s">
        <v>150</v>
      </c>
      <c r="D60" s="26" t="s">
        <v>151</v>
      </c>
    </row>
    <row r="61" spans="1:6" ht="43.2" x14ac:dyDescent="0.3">
      <c r="A61" s="18" t="s">
        <v>109</v>
      </c>
      <c r="B61" s="6" t="s">
        <v>152</v>
      </c>
      <c r="C61" s="19" t="s">
        <v>153</v>
      </c>
      <c r="D61" s="19" t="s">
        <v>154</v>
      </c>
    </row>
    <row r="62" spans="1:6" ht="28.8" x14ac:dyDescent="0.3">
      <c r="A62" s="20" t="s">
        <v>112</v>
      </c>
      <c r="B62" s="21" t="s">
        <v>155</v>
      </c>
      <c r="C62" s="22" t="s">
        <v>156</v>
      </c>
      <c r="D62" s="22" t="s">
        <v>154</v>
      </c>
    </row>
    <row r="63" spans="1:6" ht="57.6" x14ac:dyDescent="0.3">
      <c r="A63" s="18" t="s">
        <v>119</v>
      </c>
      <c r="B63" s="6" t="s">
        <v>157</v>
      </c>
      <c r="C63" s="19" t="s">
        <v>158</v>
      </c>
      <c r="D63" s="19" t="s">
        <v>159</v>
      </c>
    </row>
    <row r="64" spans="1:6" ht="28.8" x14ac:dyDescent="0.3">
      <c r="A64" s="20" t="s">
        <v>160</v>
      </c>
      <c r="B64" s="21" t="s">
        <v>161</v>
      </c>
      <c r="C64" s="22" t="s">
        <v>162</v>
      </c>
      <c r="D64" s="22" t="s">
        <v>163</v>
      </c>
    </row>
    <row r="65" spans="1:6" ht="28.8" x14ac:dyDescent="0.3">
      <c r="A65" s="18" t="s">
        <v>122</v>
      </c>
      <c r="B65" s="6" t="s">
        <v>161</v>
      </c>
      <c r="C65" s="19" t="s">
        <v>162</v>
      </c>
      <c r="D65" s="19" t="s">
        <v>163</v>
      </c>
    </row>
    <row r="66" spans="1:6" ht="43.2" x14ac:dyDescent="0.3">
      <c r="A66" s="20" t="s">
        <v>164</v>
      </c>
      <c r="B66" s="21" t="s">
        <v>165</v>
      </c>
      <c r="C66" s="22" t="s">
        <v>166</v>
      </c>
      <c r="D66" s="22" t="s">
        <v>167</v>
      </c>
    </row>
    <row r="67" spans="1:6" ht="43.2" x14ac:dyDescent="0.3">
      <c r="A67" s="18" t="s">
        <v>168</v>
      </c>
      <c r="B67" s="6" t="s">
        <v>165</v>
      </c>
      <c r="C67" s="19" t="s">
        <v>169</v>
      </c>
      <c r="D67" s="19" t="s">
        <v>167</v>
      </c>
    </row>
    <row r="68" spans="1:6" ht="28.8" x14ac:dyDescent="0.3">
      <c r="A68" s="20" t="s">
        <v>135</v>
      </c>
      <c r="B68" s="21" t="s">
        <v>170</v>
      </c>
      <c r="C68" s="22" t="s">
        <v>171</v>
      </c>
      <c r="D68" s="22" t="s">
        <v>172</v>
      </c>
    </row>
    <row r="69" spans="1:6" ht="28.8" x14ac:dyDescent="0.3">
      <c r="A69" s="18" t="s">
        <v>138</v>
      </c>
      <c r="B69" s="6" t="s">
        <v>173</v>
      </c>
      <c r="C69" s="19" t="s">
        <v>171</v>
      </c>
      <c r="D69" s="19" t="s">
        <v>172</v>
      </c>
    </row>
    <row r="70" spans="1:6" ht="30" customHeight="1" x14ac:dyDescent="0.3">
      <c r="A70" s="53" t="s">
        <v>174</v>
      </c>
      <c r="B70" s="49"/>
      <c r="C70" s="49"/>
      <c r="D70" s="49"/>
      <c r="E70" s="49"/>
      <c r="F70" s="49"/>
    </row>
    <row r="72" spans="1:6" ht="28.05" customHeight="1" x14ac:dyDescent="0.3">
      <c r="A72" s="60" t="s">
        <v>175</v>
      </c>
      <c r="B72" s="49"/>
      <c r="C72" s="49"/>
      <c r="D72" s="49"/>
      <c r="E72" s="49"/>
      <c r="F72" s="49"/>
    </row>
    <row r="73" spans="1:6" ht="18" customHeight="1" x14ac:dyDescent="0.3">
      <c r="A73" s="57" t="s">
        <v>176</v>
      </c>
      <c r="B73" s="49"/>
      <c r="C73" s="49"/>
      <c r="D73" s="49"/>
      <c r="E73" s="49"/>
      <c r="F73" s="49"/>
    </row>
    <row r="74" spans="1:6" ht="31.95" customHeight="1" x14ac:dyDescent="0.3">
      <c r="A74" s="54" t="s">
        <v>177</v>
      </c>
      <c r="B74" s="49"/>
      <c r="C74" s="49"/>
      <c r="D74" s="49"/>
      <c r="E74" s="49"/>
      <c r="F74" s="49"/>
    </row>
    <row r="75" spans="1:6" ht="18" customHeight="1" x14ac:dyDescent="0.3">
      <c r="A75" s="52" t="s">
        <v>178</v>
      </c>
      <c r="B75" s="49"/>
      <c r="C75" s="49"/>
      <c r="D75" s="49"/>
      <c r="E75" s="49"/>
      <c r="F75" s="49"/>
    </row>
    <row r="76" spans="1:6" ht="18" customHeight="1" x14ac:dyDescent="0.3">
      <c r="A76" s="27" t="s">
        <v>179</v>
      </c>
      <c r="B76" s="27" t="s">
        <v>88</v>
      </c>
      <c r="C76" s="27" t="s">
        <v>180</v>
      </c>
      <c r="D76" s="27" t="s">
        <v>89</v>
      </c>
      <c r="E76" s="27" t="s">
        <v>36</v>
      </c>
    </row>
    <row r="77" spans="1:6" ht="18" customHeight="1" x14ac:dyDescent="0.3">
      <c r="A77" s="18" t="s">
        <v>181</v>
      </c>
      <c r="B77" s="6" t="s">
        <v>103</v>
      </c>
      <c r="C77" s="6" t="s">
        <v>182</v>
      </c>
      <c r="D77" s="6" t="s">
        <v>183</v>
      </c>
      <c r="E77" s="19" t="s">
        <v>184</v>
      </c>
    </row>
    <row r="78" spans="1:6" ht="18" customHeight="1" x14ac:dyDescent="0.3">
      <c r="A78" s="20" t="s">
        <v>181</v>
      </c>
      <c r="B78" s="21" t="s">
        <v>106</v>
      </c>
      <c r="C78" s="21" t="s">
        <v>185</v>
      </c>
      <c r="D78" s="21" t="s">
        <v>186</v>
      </c>
      <c r="E78" s="22" t="s">
        <v>187</v>
      </c>
    </row>
    <row r="79" spans="1:6" ht="18" customHeight="1" x14ac:dyDescent="0.3">
      <c r="A79" s="18" t="s">
        <v>181</v>
      </c>
      <c r="B79" s="6" t="s">
        <v>108</v>
      </c>
      <c r="C79" s="6" t="s">
        <v>185</v>
      </c>
      <c r="D79" s="6" t="s">
        <v>186</v>
      </c>
      <c r="E79" s="19" t="s">
        <v>187</v>
      </c>
    </row>
    <row r="80" spans="1:6" ht="18" customHeight="1" x14ac:dyDescent="0.3">
      <c r="A80" s="20" t="s">
        <v>188</v>
      </c>
      <c r="B80" s="21" t="s">
        <v>92</v>
      </c>
      <c r="C80" s="21" t="s">
        <v>189</v>
      </c>
      <c r="D80" s="21" t="s">
        <v>190</v>
      </c>
      <c r="E80" s="22" t="s">
        <v>191</v>
      </c>
    </row>
    <row r="81" spans="1:6" ht="18" customHeight="1" x14ac:dyDescent="0.3">
      <c r="A81" s="18" t="s">
        <v>188</v>
      </c>
      <c r="B81" s="6" t="s">
        <v>96</v>
      </c>
      <c r="C81" s="6" t="s">
        <v>192</v>
      </c>
      <c r="D81" s="6" t="s">
        <v>193</v>
      </c>
      <c r="E81" s="19" t="s">
        <v>191</v>
      </c>
    </row>
    <row r="82" spans="1:6" ht="18" customHeight="1" x14ac:dyDescent="0.3">
      <c r="A82" s="20" t="s">
        <v>188</v>
      </c>
      <c r="B82" s="21" t="s">
        <v>194</v>
      </c>
      <c r="C82" s="21" t="s">
        <v>195</v>
      </c>
      <c r="D82" s="21" t="s">
        <v>196</v>
      </c>
      <c r="E82" s="22" t="s">
        <v>191</v>
      </c>
    </row>
    <row r="83" spans="1:6" ht="18" customHeight="1" x14ac:dyDescent="0.3">
      <c r="A83" s="18" t="s">
        <v>188</v>
      </c>
      <c r="B83" s="6" t="s">
        <v>99</v>
      </c>
      <c r="C83" s="6" t="s">
        <v>197</v>
      </c>
      <c r="D83" s="6" t="s">
        <v>198</v>
      </c>
      <c r="E83" s="19" t="s">
        <v>191</v>
      </c>
    </row>
    <row r="84" spans="1:6" ht="18" customHeight="1" x14ac:dyDescent="0.3">
      <c r="A84" s="20" t="s">
        <v>199</v>
      </c>
      <c r="B84" s="21" t="s">
        <v>119</v>
      </c>
      <c r="C84" s="21" t="s">
        <v>200</v>
      </c>
      <c r="D84" s="21" t="s">
        <v>201</v>
      </c>
      <c r="E84" s="22" t="s">
        <v>202</v>
      </c>
    </row>
    <row r="85" spans="1:6" ht="30" customHeight="1" x14ac:dyDescent="0.3">
      <c r="A85" s="53" t="s">
        <v>203</v>
      </c>
      <c r="B85" s="49"/>
      <c r="C85" s="49"/>
      <c r="D85" s="49"/>
      <c r="E85" s="49"/>
      <c r="F85" s="49"/>
    </row>
    <row r="87" spans="1:6" ht="28.05" customHeight="1" x14ac:dyDescent="0.3">
      <c r="A87" s="62" t="s">
        <v>204</v>
      </c>
      <c r="B87" s="49"/>
      <c r="C87" s="49"/>
      <c r="D87" s="49"/>
      <c r="E87" s="49"/>
      <c r="F87" s="49"/>
    </row>
    <row r="88" spans="1:6" ht="18" customHeight="1" x14ac:dyDescent="0.3">
      <c r="A88" s="57" t="s">
        <v>205</v>
      </c>
      <c r="B88" s="49"/>
      <c r="C88" s="49"/>
      <c r="D88" s="49"/>
      <c r="E88" s="49"/>
      <c r="F88" s="49"/>
    </row>
    <row r="89" spans="1:6" ht="31.95" customHeight="1" x14ac:dyDescent="0.3">
      <c r="A89" s="54" t="s">
        <v>206</v>
      </c>
      <c r="B89" s="49"/>
      <c r="C89" s="49"/>
      <c r="D89" s="49"/>
      <c r="E89" s="49"/>
      <c r="F89" s="49"/>
    </row>
    <row r="90" spans="1:6" ht="18" customHeight="1" x14ac:dyDescent="0.3">
      <c r="A90" s="52" t="s">
        <v>207</v>
      </c>
      <c r="B90" s="49"/>
      <c r="C90" s="49"/>
      <c r="D90" s="49"/>
      <c r="E90" s="49"/>
      <c r="F90" s="49"/>
    </row>
    <row r="91" spans="1:6" ht="18" customHeight="1" x14ac:dyDescent="0.3">
      <c r="A91" s="28" t="s">
        <v>88</v>
      </c>
      <c r="B91" s="28" t="s">
        <v>89</v>
      </c>
      <c r="C91" s="28" t="s">
        <v>208</v>
      </c>
      <c r="D91" s="28" t="s">
        <v>209</v>
      </c>
    </row>
    <row r="92" spans="1:6" ht="18" customHeight="1" x14ac:dyDescent="0.3">
      <c r="A92" s="18" t="s">
        <v>109</v>
      </c>
      <c r="B92" s="6" t="s">
        <v>210</v>
      </c>
      <c r="C92" s="6" t="s">
        <v>211</v>
      </c>
      <c r="D92" s="19" t="s">
        <v>212</v>
      </c>
    </row>
    <row r="93" spans="1:6" ht="18" customHeight="1" x14ac:dyDescent="0.3">
      <c r="A93" s="20" t="s">
        <v>112</v>
      </c>
      <c r="B93" s="21" t="s">
        <v>213</v>
      </c>
      <c r="C93" s="21" t="s">
        <v>211</v>
      </c>
      <c r="D93" s="22" t="s">
        <v>214</v>
      </c>
    </row>
    <row r="94" spans="1:6" ht="18" customHeight="1" x14ac:dyDescent="0.3">
      <c r="A94" s="18" t="s">
        <v>215</v>
      </c>
      <c r="B94" s="6" t="s">
        <v>216</v>
      </c>
      <c r="C94" s="6" t="s">
        <v>211</v>
      </c>
      <c r="D94" s="19" t="s">
        <v>217</v>
      </c>
    </row>
    <row r="95" spans="1:6" ht="18" customHeight="1" x14ac:dyDescent="0.3">
      <c r="A95" s="20" t="s">
        <v>119</v>
      </c>
      <c r="B95" s="21" t="s">
        <v>213</v>
      </c>
      <c r="C95" s="21" t="s">
        <v>211</v>
      </c>
      <c r="D95" s="22" t="s">
        <v>214</v>
      </c>
    </row>
    <row r="96" spans="1:6" ht="18" customHeight="1" x14ac:dyDescent="0.3">
      <c r="A96" s="18" t="s">
        <v>160</v>
      </c>
      <c r="B96" s="6" t="s">
        <v>218</v>
      </c>
      <c r="C96" s="6" t="s">
        <v>211</v>
      </c>
      <c r="D96" s="19" t="s">
        <v>219</v>
      </c>
    </row>
    <row r="97" spans="1:6" ht="18" customHeight="1" x14ac:dyDescent="0.3">
      <c r="A97" s="20" t="s">
        <v>122</v>
      </c>
      <c r="B97" s="21" t="s">
        <v>218</v>
      </c>
      <c r="C97" s="21" t="s">
        <v>211</v>
      </c>
      <c r="D97" s="22" t="s">
        <v>219</v>
      </c>
    </row>
    <row r="98" spans="1:6" ht="18" customHeight="1" x14ac:dyDescent="0.3">
      <c r="A98" s="18" t="s">
        <v>164</v>
      </c>
      <c r="B98" s="6" t="s">
        <v>220</v>
      </c>
      <c r="C98" s="6" t="s">
        <v>221</v>
      </c>
      <c r="D98" s="19" t="s">
        <v>222</v>
      </c>
    </row>
    <row r="99" spans="1:6" ht="18" customHeight="1" x14ac:dyDescent="0.3">
      <c r="A99" s="20" t="s">
        <v>168</v>
      </c>
      <c r="B99" s="21" t="s">
        <v>220</v>
      </c>
      <c r="C99" s="21" t="s">
        <v>223</v>
      </c>
      <c r="D99" s="22" t="s">
        <v>224</v>
      </c>
    </row>
    <row r="100" spans="1:6" ht="18" customHeight="1" x14ac:dyDescent="0.3">
      <c r="A100" s="18" t="s">
        <v>225</v>
      </c>
      <c r="B100" s="6" t="s">
        <v>226</v>
      </c>
      <c r="C100" s="6" t="s">
        <v>227</v>
      </c>
      <c r="D100" s="19" t="s">
        <v>228</v>
      </c>
    </row>
    <row r="101" spans="1:6" ht="18" customHeight="1" x14ac:dyDescent="0.3">
      <c r="A101" s="20" t="s">
        <v>229</v>
      </c>
      <c r="B101" s="21" t="s">
        <v>230</v>
      </c>
      <c r="C101" s="21" t="s">
        <v>231</v>
      </c>
      <c r="D101" s="22" t="s">
        <v>232</v>
      </c>
    </row>
    <row r="102" spans="1:6" ht="18" customHeight="1" x14ac:dyDescent="0.3">
      <c r="A102" s="18" t="s">
        <v>135</v>
      </c>
      <c r="B102" s="6" t="s">
        <v>233</v>
      </c>
      <c r="C102" s="6" t="s">
        <v>234</v>
      </c>
      <c r="D102" s="19" t="s">
        <v>235</v>
      </c>
    </row>
    <row r="103" spans="1:6" ht="18" customHeight="1" x14ac:dyDescent="0.3">
      <c r="A103" s="20" t="s">
        <v>138</v>
      </c>
      <c r="B103" s="21" t="s">
        <v>233</v>
      </c>
      <c r="C103" s="21" t="s">
        <v>234</v>
      </c>
      <c r="D103" s="22" t="s">
        <v>235</v>
      </c>
    </row>
    <row r="104" spans="1:6" ht="18" customHeight="1" x14ac:dyDescent="0.3">
      <c r="A104" s="18" t="s">
        <v>236</v>
      </c>
      <c r="B104" s="6" t="s">
        <v>237</v>
      </c>
      <c r="C104" s="6" t="s">
        <v>238</v>
      </c>
      <c r="D104" s="19"/>
    </row>
    <row r="105" spans="1:6" ht="18" customHeight="1" x14ac:dyDescent="0.3">
      <c r="A105" s="20" t="s">
        <v>141</v>
      </c>
      <c r="B105" s="21" t="s">
        <v>233</v>
      </c>
      <c r="C105" s="21" t="s">
        <v>239</v>
      </c>
      <c r="D105" s="22" t="s">
        <v>240</v>
      </c>
    </row>
    <row r="106" spans="1:6" ht="18" customHeight="1" x14ac:dyDescent="0.3">
      <c r="A106" s="18" t="s">
        <v>241</v>
      </c>
      <c r="B106" s="6" t="s">
        <v>237</v>
      </c>
      <c r="C106" s="6" t="s">
        <v>238</v>
      </c>
      <c r="D106" s="19"/>
    </row>
    <row r="107" spans="1:6" ht="30" customHeight="1" x14ac:dyDescent="0.3">
      <c r="A107" s="53" t="s">
        <v>242</v>
      </c>
      <c r="B107" s="49"/>
      <c r="C107" s="49"/>
      <c r="D107" s="49"/>
      <c r="E107" s="49"/>
      <c r="F107" s="49"/>
    </row>
  </sheetData>
  <mergeCells count="36">
    <mergeCell ref="A107:F107"/>
    <mergeCell ref="A1:F1"/>
    <mergeCell ref="A70:F70"/>
    <mergeCell ref="A6:F6"/>
    <mergeCell ref="A88:F88"/>
    <mergeCell ref="A87:F87"/>
    <mergeCell ref="A25:F25"/>
    <mergeCell ref="A15:F15"/>
    <mergeCell ref="A59:F59"/>
    <mergeCell ref="A24:F24"/>
    <mergeCell ref="A73:F73"/>
    <mergeCell ref="A11:F11"/>
    <mergeCell ref="A3:F3"/>
    <mergeCell ref="A21:F21"/>
    <mergeCell ref="A57:F57"/>
    <mergeCell ref="A33:F33"/>
    <mergeCell ref="A85:F85"/>
    <mergeCell ref="A14:F14"/>
    <mergeCell ref="A5:F5"/>
    <mergeCell ref="A23:F23"/>
    <mergeCell ref="A32:F32"/>
    <mergeCell ref="A35:F35"/>
    <mergeCell ref="A4:F4"/>
    <mergeCell ref="A72:F72"/>
    <mergeCell ref="A13:F13"/>
    <mergeCell ref="A58:F58"/>
    <mergeCell ref="A34:F34"/>
    <mergeCell ref="A30:F30"/>
    <mergeCell ref="A16:F16"/>
    <mergeCell ref="A54:F54"/>
    <mergeCell ref="A90:F90"/>
    <mergeCell ref="A75:F75"/>
    <mergeCell ref="A89:F89"/>
    <mergeCell ref="A74:F74"/>
    <mergeCell ref="A56:F56"/>
    <mergeCell ref="A26:F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activeCell="D9" sqref="D9"/>
    </sheetView>
  </sheetViews>
  <sheetFormatPr baseColWidth="10" defaultColWidth="8.88671875" defaultRowHeight="14.4" x14ac:dyDescent="0.3"/>
  <cols>
    <col min="1" max="1" width="18" customWidth="1"/>
    <col min="2" max="2" width="32" customWidth="1"/>
    <col min="3" max="10" width="14" customWidth="1"/>
  </cols>
  <sheetData>
    <row r="1" spans="1:10" ht="31.95" customHeight="1" x14ac:dyDescent="0.3">
      <c r="A1" s="51" t="s">
        <v>243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42" customHeight="1" x14ac:dyDescent="0.3">
      <c r="A2" s="1" t="s">
        <v>244</v>
      </c>
      <c r="B2" s="1" t="s">
        <v>88</v>
      </c>
      <c r="C2" s="29" t="s">
        <v>8</v>
      </c>
      <c r="D2" s="30" t="s">
        <v>12</v>
      </c>
      <c r="E2" s="31" t="s">
        <v>14</v>
      </c>
      <c r="F2" s="32" t="s">
        <v>16</v>
      </c>
      <c r="G2" s="33" t="s">
        <v>18</v>
      </c>
      <c r="H2" s="34" t="s">
        <v>20</v>
      </c>
      <c r="I2" s="35" t="s">
        <v>22</v>
      </c>
      <c r="J2" s="14" t="s">
        <v>245</v>
      </c>
    </row>
    <row r="3" spans="1:10" ht="22.05" customHeight="1" x14ac:dyDescent="0.3">
      <c r="A3" s="65" t="s">
        <v>246</v>
      </c>
      <c r="B3" s="49"/>
      <c r="C3" s="49"/>
      <c r="D3" s="49"/>
      <c r="E3" s="49"/>
      <c r="F3" s="49"/>
      <c r="G3" s="49"/>
      <c r="H3" s="49"/>
      <c r="I3" s="49"/>
      <c r="J3" s="49"/>
    </row>
    <row r="4" spans="1:10" ht="18" customHeight="1" x14ac:dyDescent="0.3">
      <c r="A4" s="36" t="s">
        <v>247</v>
      </c>
      <c r="B4" s="36" t="s">
        <v>248</v>
      </c>
      <c r="C4" s="37" t="s">
        <v>249</v>
      </c>
      <c r="D4" s="37" t="s">
        <v>249</v>
      </c>
      <c r="E4" s="37" t="s">
        <v>249</v>
      </c>
      <c r="F4" s="38">
        <v>21.77</v>
      </c>
      <c r="G4" s="38">
        <v>37.64</v>
      </c>
      <c r="H4" s="37" t="s">
        <v>249</v>
      </c>
      <c r="I4" s="38">
        <v>80.05</v>
      </c>
      <c r="J4" s="39">
        <f t="shared" ref="J4:J25" si="0">SUMPRODUCT(IF(ISNUMBER(C4:I4),C4:I4,0))</f>
        <v>0</v>
      </c>
    </row>
    <row r="5" spans="1:10" ht="18" customHeight="1" x14ac:dyDescent="0.3">
      <c r="A5" s="36" t="s">
        <v>250</v>
      </c>
      <c r="B5" s="36" t="s">
        <v>251</v>
      </c>
      <c r="C5" s="37" t="s">
        <v>249</v>
      </c>
      <c r="D5" s="37" t="s">
        <v>249</v>
      </c>
      <c r="E5" s="37" t="s">
        <v>249</v>
      </c>
      <c r="F5" s="38">
        <v>21.77</v>
      </c>
      <c r="G5" s="38">
        <v>37.64</v>
      </c>
      <c r="H5" s="37" t="s">
        <v>249</v>
      </c>
      <c r="I5" s="38">
        <v>80.05</v>
      </c>
      <c r="J5" s="39">
        <f t="shared" si="0"/>
        <v>0</v>
      </c>
    </row>
    <row r="6" spans="1:10" ht="18" customHeight="1" x14ac:dyDescent="0.3">
      <c r="A6" s="36" t="s">
        <v>252</v>
      </c>
      <c r="B6" s="36" t="s">
        <v>253</v>
      </c>
      <c r="C6" s="37" t="s">
        <v>249</v>
      </c>
      <c r="D6" s="37" t="s">
        <v>249</v>
      </c>
      <c r="E6" s="37" t="s">
        <v>249</v>
      </c>
      <c r="F6" s="38">
        <v>21.77</v>
      </c>
      <c r="G6" s="38">
        <v>37.64</v>
      </c>
      <c r="H6" s="37" t="s">
        <v>249</v>
      </c>
      <c r="I6" s="38">
        <v>80.05</v>
      </c>
      <c r="J6" s="39">
        <f t="shared" si="0"/>
        <v>0</v>
      </c>
    </row>
    <row r="7" spans="1:10" ht="18" customHeight="1" x14ac:dyDescent="0.3">
      <c r="A7" s="36" t="s">
        <v>254</v>
      </c>
      <c r="B7" s="36" t="s">
        <v>255</v>
      </c>
      <c r="C7" s="37" t="s">
        <v>249</v>
      </c>
      <c r="D7" s="37" t="s">
        <v>249</v>
      </c>
      <c r="E7" s="37" t="s">
        <v>249</v>
      </c>
      <c r="F7" s="38">
        <v>21.77</v>
      </c>
      <c r="G7" s="38">
        <v>37.64</v>
      </c>
      <c r="H7" s="37" t="s">
        <v>249</v>
      </c>
      <c r="I7" s="38">
        <v>80.05</v>
      </c>
      <c r="J7" s="39">
        <f t="shared" si="0"/>
        <v>0</v>
      </c>
    </row>
    <row r="8" spans="1:10" ht="18" customHeight="1" x14ac:dyDescent="0.3">
      <c r="A8" s="36" t="s">
        <v>256</v>
      </c>
      <c r="B8" s="36" t="s">
        <v>92</v>
      </c>
      <c r="C8" s="37" t="s">
        <v>249</v>
      </c>
      <c r="D8" s="38">
        <v>5.91</v>
      </c>
      <c r="E8" s="37" t="s">
        <v>249</v>
      </c>
      <c r="F8" s="38">
        <v>21.77</v>
      </c>
      <c r="G8" s="38">
        <v>37.64</v>
      </c>
      <c r="H8" s="38">
        <v>1.22</v>
      </c>
      <c r="I8" s="38">
        <v>80.05</v>
      </c>
      <c r="J8" s="39">
        <f t="shared" si="0"/>
        <v>0</v>
      </c>
    </row>
    <row r="9" spans="1:10" ht="18" customHeight="1" x14ac:dyDescent="0.3">
      <c r="A9" s="36" t="s">
        <v>257</v>
      </c>
      <c r="B9" s="36" t="s">
        <v>96</v>
      </c>
      <c r="C9" s="37" t="s">
        <v>249</v>
      </c>
      <c r="D9" s="38">
        <v>44.3</v>
      </c>
      <c r="E9" s="37" t="s">
        <v>249</v>
      </c>
      <c r="F9" s="38">
        <v>21.77</v>
      </c>
      <c r="G9" s="38">
        <v>37.64</v>
      </c>
      <c r="H9" s="38">
        <v>5.92</v>
      </c>
      <c r="I9" s="38">
        <v>80.05</v>
      </c>
      <c r="J9" s="39">
        <f t="shared" si="0"/>
        <v>0</v>
      </c>
    </row>
    <row r="10" spans="1:10" ht="18" customHeight="1" x14ac:dyDescent="0.3">
      <c r="A10" s="36" t="s">
        <v>258</v>
      </c>
      <c r="B10" s="36" t="s">
        <v>194</v>
      </c>
      <c r="C10" s="37" t="s">
        <v>249</v>
      </c>
      <c r="D10" s="38">
        <v>88.6</v>
      </c>
      <c r="E10" s="37" t="s">
        <v>249</v>
      </c>
      <c r="F10" s="38">
        <v>21.77</v>
      </c>
      <c r="G10" s="38">
        <v>37.64</v>
      </c>
      <c r="H10" s="37" t="s">
        <v>249</v>
      </c>
      <c r="I10" s="38">
        <v>80.05</v>
      </c>
      <c r="J10" s="39">
        <f t="shared" si="0"/>
        <v>0</v>
      </c>
    </row>
    <row r="11" spans="1:10" ht="18" customHeight="1" x14ac:dyDescent="0.3">
      <c r="A11" s="36" t="s">
        <v>259</v>
      </c>
      <c r="B11" s="36" t="s">
        <v>99</v>
      </c>
      <c r="C11" s="37" t="s">
        <v>249</v>
      </c>
      <c r="D11" s="38">
        <v>177.2</v>
      </c>
      <c r="E11" s="37" t="s">
        <v>249</v>
      </c>
      <c r="F11" s="38">
        <v>21.77</v>
      </c>
      <c r="G11" s="38">
        <v>37.64</v>
      </c>
      <c r="H11" s="38">
        <v>170.14</v>
      </c>
      <c r="I11" s="38">
        <v>80.05</v>
      </c>
      <c r="J11" s="39">
        <f t="shared" si="0"/>
        <v>0</v>
      </c>
    </row>
    <row r="12" spans="1:10" ht="18" customHeight="1" x14ac:dyDescent="0.3">
      <c r="A12" s="36" t="s">
        <v>260</v>
      </c>
      <c r="B12" s="36" t="s">
        <v>103</v>
      </c>
      <c r="C12" s="37" t="s">
        <v>249</v>
      </c>
      <c r="D12" s="38">
        <v>182.7</v>
      </c>
      <c r="E12" s="37" t="s">
        <v>249</v>
      </c>
      <c r="F12" s="38">
        <v>21.77</v>
      </c>
      <c r="G12" s="38">
        <v>37.64</v>
      </c>
      <c r="H12" s="38">
        <v>10.119999999999999</v>
      </c>
      <c r="I12" s="38">
        <v>80.05</v>
      </c>
      <c r="J12" s="39">
        <f t="shared" si="0"/>
        <v>0</v>
      </c>
    </row>
    <row r="13" spans="1:10" ht="18" customHeight="1" x14ac:dyDescent="0.3">
      <c r="A13" s="36" t="s">
        <v>261</v>
      </c>
      <c r="B13" s="36" t="s">
        <v>106</v>
      </c>
      <c r="C13" s="37" t="s">
        <v>249</v>
      </c>
      <c r="D13" s="38">
        <v>39.15</v>
      </c>
      <c r="E13" s="37" t="s">
        <v>249</v>
      </c>
      <c r="F13" s="38">
        <v>21.77</v>
      </c>
      <c r="G13" s="38">
        <v>37.64</v>
      </c>
      <c r="H13" s="38">
        <v>10.119999999999999</v>
      </c>
      <c r="I13" s="38">
        <v>80.05</v>
      </c>
      <c r="J13" s="39">
        <f t="shared" si="0"/>
        <v>0</v>
      </c>
    </row>
    <row r="14" spans="1:10" ht="18" customHeight="1" x14ac:dyDescent="0.3">
      <c r="A14" s="36" t="s">
        <v>262</v>
      </c>
      <c r="B14" s="36" t="s">
        <v>108</v>
      </c>
      <c r="C14" s="37" t="s">
        <v>249</v>
      </c>
      <c r="D14" s="38">
        <v>39.15</v>
      </c>
      <c r="E14" s="37" t="s">
        <v>249</v>
      </c>
      <c r="F14" s="38">
        <v>21.77</v>
      </c>
      <c r="G14" s="38">
        <v>37.64</v>
      </c>
      <c r="H14" s="38">
        <v>10.119999999999999</v>
      </c>
      <c r="I14" s="38">
        <v>80.05</v>
      </c>
      <c r="J14" s="39">
        <f t="shared" si="0"/>
        <v>0</v>
      </c>
    </row>
    <row r="15" spans="1:10" ht="18" customHeight="1" x14ac:dyDescent="0.3">
      <c r="A15" s="36" t="s">
        <v>263</v>
      </c>
      <c r="B15" s="36" t="s">
        <v>109</v>
      </c>
      <c r="C15" s="38">
        <v>1.24</v>
      </c>
      <c r="D15" s="37" t="s">
        <v>249</v>
      </c>
      <c r="E15" s="38">
        <v>26.55</v>
      </c>
      <c r="F15" s="38">
        <v>21.77</v>
      </c>
      <c r="G15" s="38">
        <v>37.64</v>
      </c>
      <c r="H15" s="38">
        <v>68.97</v>
      </c>
      <c r="I15" s="38">
        <v>80.05</v>
      </c>
      <c r="J15" s="39">
        <f t="shared" si="0"/>
        <v>0</v>
      </c>
    </row>
    <row r="16" spans="1:10" ht="18" customHeight="1" x14ac:dyDescent="0.3">
      <c r="A16" s="36" t="s">
        <v>264</v>
      </c>
      <c r="B16" s="36" t="s">
        <v>112</v>
      </c>
      <c r="C16" s="38">
        <v>1.27</v>
      </c>
      <c r="D16" s="37" t="s">
        <v>249</v>
      </c>
      <c r="E16" s="38">
        <v>31</v>
      </c>
      <c r="F16" s="38">
        <v>21.77</v>
      </c>
      <c r="G16" s="38">
        <v>37.64</v>
      </c>
      <c r="H16" s="38">
        <v>103</v>
      </c>
      <c r="I16" s="38">
        <v>80.05</v>
      </c>
      <c r="J16" s="39">
        <f t="shared" si="0"/>
        <v>0</v>
      </c>
    </row>
    <row r="17" spans="1:10" ht="18" customHeight="1" x14ac:dyDescent="0.3">
      <c r="A17" s="36" t="s">
        <v>265</v>
      </c>
      <c r="B17" s="36" t="s">
        <v>266</v>
      </c>
      <c r="C17" s="37" t="s">
        <v>249</v>
      </c>
      <c r="D17" s="37" t="s">
        <v>249</v>
      </c>
      <c r="E17" s="37" t="s">
        <v>249</v>
      </c>
      <c r="F17" s="38">
        <v>21.77</v>
      </c>
      <c r="G17" s="38">
        <v>37.64</v>
      </c>
      <c r="H17" s="37" t="s">
        <v>249</v>
      </c>
      <c r="I17" s="38">
        <v>80.05</v>
      </c>
      <c r="J17" s="39">
        <f t="shared" si="0"/>
        <v>0</v>
      </c>
    </row>
    <row r="18" spans="1:10" ht="18" customHeight="1" x14ac:dyDescent="0.3">
      <c r="A18" s="36" t="s">
        <v>267</v>
      </c>
      <c r="B18" s="36" t="s">
        <v>115</v>
      </c>
      <c r="C18" s="37" t="s">
        <v>249</v>
      </c>
      <c r="D18" s="37" t="s">
        <v>249</v>
      </c>
      <c r="E18" s="38">
        <v>29</v>
      </c>
      <c r="F18" s="38">
        <v>21.77</v>
      </c>
      <c r="G18" s="38">
        <v>37.64</v>
      </c>
      <c r="H18" s="38">
        <v>818.49</v>
      </c>
      <c r="I18" s="38">
        <v>80.05</v>
      </c>
      <c r="J18" s="39">
        <f t="shared" si="0"/>
        <v>0</v>
      </c>
    </row>
    <row r="19" spans="1:10" ht="18" customHeight="1" x14ac:dyDescent="0.3">
      <c r="A19" s="36" t="s">
        <v>268</v>
      </c>
      <c r="B19" s="36" t="s">
        <v>119</v>
      </c>
      <c r="C19" s="38">
        <v>3582.44</v>
      </c>
      <c r="D19" s="38">
        <v>726.86</v>
      </c>
      <c r="E19" s="38">
        <v>31</v>
      </c>
      <c r="F19" s="38">
        <v>21.77</v>
      </c>
      <c r="G19" s="38">
        <v>37.64</v>
      </c>
      <c r="H19" s="38">
        <v>266.39</v>
      </c>
      <c r="I19" s="38">
        <v>80.05</v>
      </c>
      <c r="J19" s="39">
        <f t="shared" si="0"/>
        <v>0</v>
      </c>
    </row>
    <row r="20" spans="1:10" ht="18" customHeight="1" x14ac:dyDescent="0.3">
      <c r="A20" s="36" t="s">
        <v>269</v>
      </c>
      <c r="B20" s="36" t="s">
        <v>270</v>
      </c>
      <c r="C20" s="37" t="s">
        <v>249</v>
      </c>
      <c r="D20" s="37" t="s">
        <v>249</v>
      </c>
      <c r="E20" s="37" t="s">
        <v>249</v>
      </c>
      <c r="F20" s="38">
        <v>21.77</v>
      </c>
      <c r="G20" s="38">
        <v>37.64</v>
      </c>
      <c r="H20" s="37" t="s">
        <v>249</v>
      </c>
      <c r="I20" s="38">
        <v>80.05</v>
      </c>
      <c r="J20" s="39">
        <f t="shared" si="0"/>
        <v>0</v>
      </c>
    </row>
    <row r="21" spans="1:10" ht="18" customHeight="1" x14ac:dyDescent="0.3">
      <c r="A21" s="36" t="s">
        <v>271</v>
      </c>
      <c r="B21" s="36" t="s">
        <v>160</v>
      </c>
      <c r="C21" s="38">
        <v>0.06</v>
      </c>
      <c r="D21" s="37" t="s">
        <v>249</v>
      </c>
      <c r="E21" s="38">
        <v>4</v>
      </c>
      <c r="F21" s="38">
        <v>21.77</v>
      </c>
      <c r="G21" s="38">
        <v>37.64</v>
      </c>
      <c r="H21" s="37" t="s">
        <v>249</v>
      </c>
      <c r="I21" s="38">
        <v>80.05</v>
      </c>
      <c r="J21" s="39">
        <f t="shared" si="0"/>
        <v>0</v>
      </c>
    </row>
    <row r="22" spans="1:10" ht="18" customHeight="1" x14ac:dyDescent="0.3">
      <c r="A22" s="36" t="s">
        <v>272</v>
      </c>
      <c r="B22" s="36" t="s">
        <v>122</v>
      </c>
      <c r="C22" s="38">
        <v>0.06</v>
      </c>
      <c r="D22" s="37" t="s">
        <v>249</v>
      </c>
      <c r="E22" s="38">
        <v>4</v>
      </c>
      <c r="F22" s="38">
        <v>21.77</v>
      </c>
      <c r="G22" s="38">
        <v>37.64</v>
      </c>
      <c r="H22" s="38">
        <v>863.68</v>
      </c>
      <c r="I22" s="38">
        <v>80.05</v>
      </c>
      <c r="J22" s="39">
        <f t="shared" si="0"/>
        <v>0</v>
      </c>
    </row>
    <row r="23" spans="1:10" ht="18" customHeight="1" x14ac:dyDescent="0.3">
      <c r="A23" s="36" t="s">
        <v>273</v>
      </c>
      <c r="B23" s="36" t="s">
        <v>164</v>
      </c>
      <c r="C23" s="38">
        <v>7.11</v>
      </c>
      <c r="D23" s="37" t="s">
        <v>249</v>
      </c>
      <c r="E23" s="38">
        <v>43</v>
      </c>
      <c r="F23" s="38">
        <v>21.77</v>
      </c>
      <c r="G23" s="38">
        <v>37.64</v>
      </c>
      <c r="H23" s="38">
        <v>526.92999999999995</v>
      </c>
      <c r="I23" s="38">
        <v>80.05</v>
      </c>
      <c r="J23" s="39">
        <f t="shared" si="0"/>
        <v>0</v>
      </c>
    </row>
    <row r="24" spans="1:10" ht="18" customHeight="1" x14ac:dyDescent="0.3">
      <c r="A24" s="36" t="s">
        <v>274</v>
      </c>
      <c r="B24" s="36" t="s">
        <v>168</v>
      </c>
      <c r="C24" s="38">
        <v>7.11</v>
      </c>
      <c r="D24" s="37" t="s">
        <v>249</v>
      </c>
      <c r="E24" s="38">
        <v>43</v>
      </c>
      <c r="F24" s="38">
        <v>21.77</v>
      </c>
      <c r="G24" s="38">
        <v>37.64</v>
      </c>
      <c r="H24" s="38">
        <v>515.01</v>
      </c>
      <c r="I24" s="38">
        <v>80.05</v>
      </c>
      <c r="J24" s="39">
        <f t="shared" si="0"/>
        <v>0</v>
      </c>
    </row>
    <row r="25" spans="1:10" ht="18" customHeight="1" x14ac:dyDescent="0.3">
      <c r="A25" s="36" t="s">
        <v>275</v>
      </c>
      <c r="B25" s="36" t="s">
        <v>132</v>
      </c>
      <c r="C25" s="37" t="s">
        <v>249</v>
      </c>
      <c r="D25" s="37" t="s">
        <v>249</v>
      </c>
      <c r="E25" s="37" t="s">
        <v>249</v>
      </c>
      <c r="F25" s="38">
        <v>21.77</v>
      </c>
      <c r="G25" s="38">
        <v>37.64</v>
      </c>
      <c r="H25" s="38">
        <v>275.89999999999998</v>
      </c>
      <c r="I25" s="38">
        <v>80.05</v>
      </c>
      <c r="J25" s="39">
        <f t="shared" si="0"/>
        <v>0</v>
      </c>
    </row>
    <row r="26" spans="1:10" ht="22.05" customHeight="1" x14ac:dyDescent="0.3">
      <c r="A26" s="63" t="s">
        <v>276</v>
      </c>
      <c r="B26" s="49"/>
      <c r="C26" s="40">
        <f t="shared" ref="C26:J26" si="1">SUMPRODUCT(IF(ISNUMBER(C4:C25),C4:C25,0))</f>
        <v>0</v>
      </c>
      <c r="D26" s="40">
        <f t="shared" si="1"/>
        <v>0</v>
      </c>
      <c r="E26" s="40">
        <f t="shared" si="1"/>
        <v>0</v>
      </c>
      <c r="F26" s="40">
        <f t="shared" si="1"/>
        <v>0</v>
      </c>
      <c r="G26" s="40">
        <f t="shared" si="1"/>
        <v>0</v>
      </c>
      <c r="H26" s="40">
        <f t="shared" si="1"/>
        <v>0</v>
      </c>
      <c r="I26" s="40">
        <f t="shared" si="1"/>
        <v>0</v>
      </c>
      <c r="J26" s="40">
        <f t="shared" si="1"/>
        <v>0</v>
      </c>
    </row>
    <row r="27" spans="1:10" ht="22.05" customHeight="1" x14ac:dyDescent="0.3">
      <c r="A27" s="64" t="s">
        <v>277</v>
      </c>
      <c r="B27" s="49"/>
      <c r="C27" s="49"/>
      <c r="D27" s="49"/>
      <c r="E27" s="49"/>
      <c r="F27" s="49"/>
      <c r="G27" s="49"/>
      <c r="H27" s="49"/>
      <c r="I27" s="49"/>
      <c r="J27" s="49"/>
    </row>
    <row r="28" spans="1:10" ht="18" customHeight="1" x14ac:dyDescent="0.3">
      <c r="A28" s="41" t="s">
        <v>278</v>
      </c>
      <c r="B28" s="41" t="s">
        <v>225</v>
      </c>
      <c r="C28" s="42" t="s">
        <v>249</v>
      </c>
      <c r="D28" s="42" t="s">
        <v>249</v>
      </c>
      <c r="E28" s="43">
        <v>188</v>
      </c>
      <c r="F28" s="43">
        <v>55.71</v>
      </c>
      <c r="G28" s="43">
        <v>50.71</v>
      </c>
      <c r="H28" s="42" t="s">
        <v>249</v>
      </c>
      <c r="I28" s="43">
        <v>28</v>
      </c>
      <c r="J28" s="44">
        <f t="shared" ref="J28:J34" si="2">SUMPRODUCT(IF(ISNUMBER(C28:I28),C28:I28,0))</f>
        <v>0</v>
      </c>
    </row>
    <row r="29" spans="1:10" ht="18" customHeight="1" x14ac:dyDescent="0.3">
      <c r="A29" s="41" t="s">
        <v>279</v>
      </c>
      <c r="B29" s="41" t="s">
        <v>229</v>
      </c>
      <c r="C29" s="42" t="s">
        <v>249</v>
      </c>
      <c r="D29" s="42" t="s">
        <v>249</v>
      </c>
      <c r="E29" s="43">
        <v>389</v>
      </c>
      <c r="F29" s="43">
        <v>55.71</v>
      </c>
      <c r="G29" s="43">
        <v>50.71</v>
      </c>
      <c r="H29" s="42" t="s">
        <v>249</v>
      </c>
      <c r="I29" s="43">
        <v>28</v>
      </c>
      <c r="J29" s="44">
        <f t="shared" si="2"/>
        <v>0</v>
      </c>
    </row>
    <row r="30" spans="1:10" ht="18" customHeight="1" x14ac:dyDescent="0.3">
      <c r="A30" s="41" t="s">
        <v>280</v>
      </c>
      <c r="B30" s="41" t="s">
        <v>281</v>
      </c>
      <c r="C30" s="43">
        <v>479.42</v>
      </c>
      <c r="D30" s="42" t="s">
        <v>249</v>
      </c>
      <c r="E30" s="43">
        <v>62.67</v>
      </c>
      <c r="F30" s="43">
        <v>55.71</v>
      </c>
      <c r="G30" s="43">
        <v>50.71</v>
      </c>
      <c r="H30" s="43">
        <v>264.60000000000002</v>
      </c>
      <c r="I30" s="43">
        <v>28</v>
      </c>
      <c r="J30" s="44">
        <f t="shared" si="2"/>
        <v>0</v>
      </c>
    </row>
    <row r="31" spans="1:10" ht="18" customHeight="1" x14ac:dyDescent="0.3">
      <c r="A31" s="41" t="s">
        <v>282</v>
      </c>
      <c r="B31" s="41" t="s">
        <v>283</v>
      </c>
      <c r="C31" s="43">
        <v>479.43</v>
      </c>
      <c r="D31" s="42" t="s">
        <v>249</v>
      </c>
      <c r="E31" s="43">
        <v>62.67</v>
      </c>
      <c r="F31" s="43">
        <v>55.71</v>
      </c>
      <c r="G31" s="43">
        <v>50.71</v>
      </c>
      <c r="H31" s="43">
        <v>97.02</v>
      </c>
      <c r="I31" s="43">
        <v>28</v>
      </c>
      <c r="J31" s="44">
        <f t="shared" si="2"/>
        <v>0</v>
      </c>
    </row>
    <row r="32" spans="1:10" ht="18" customHeight="1" x14ac:dyDescent="0.3">
      <c r="A32" s="41" t="s">
        <v>284</v>
      </c>
      <c r="B32" s="41" t="s">
        <v>236</v>
      </c>
      <c r="C32" s="42" t="s">
        <v>249</v>
      </c>
      <c r="D32" s="42" t="s">
        <v>249</v>
      </c>
      <c r="E32" s="43">
        <v>13</v>
      </c>
      <c r="F32" s="43">
        <v>55.71</v>
      </c>
      <c r="G32" s="43">
        <v>50.71</v>
      </c>
      <c r="H32" s="42" t="s">
        <v>249</v>
      </c>
      <c r="I32" s="43">
        <v>28</v>
      </c>
      <c r="J32" s="44">
        <f t="shared" si="2"/>
        <v>0</v>
      </c>
    </row>
    <row r="33" spans="1:10" ht="18" customHeight="1" x14ac:dyDescent="0.3">
      <c r="A33" s="41" t="s">
        <v>285</v>
      </c>
      <c r="B33" s="41" t="s">
        <v>286</v>
      </c>
      <c r="C33" s="42" t="s">
        <v>249</v>
      </c>
      <c r="D33" s="42" t="s">
        <v>249</v>
      </c>
      <c r="E33" s="43">
        <v>62.67</v>
      </c>
      <c r="F33" s="43">
        <v>55.71</v>
      </c>
      <c r="G33" s="43">
        <v>50.71</v>
      </c>
      <c r="H33" s="43">
        <v>549.96</v>
      </c>
      <c r="I33" s="43">
        <v>28</v>
      </c>
      <c r="J33" s="44">
        <f t="shared" si="2"/>
        <v>0</v>
      </c>
    </row>
    <row r="34" spans="1:10" ht="18" customHeight="1" x14ac:dyDescent="0.3">
      <c r="A34" s="41" t="s">
        <v>287</v>
      </c>
      <c r="B34" s="41" t="s">
        <v>241</v>
      </c>
      <c r="C34" s="42" t="s">
        <v>249</v>
      </c>
      <c r="D34" s="42" t="s">
        <v>249</v>
      </c>
      <c r="E34" s="43">
        <v>13</v>
      </c>
      <c r="F34" s="43">
        <v>55.67</v>
      </c>
      <c r="G34" s="43">
        <v>50.3</v>
      </c>
      <c r="H34" s="42" t="s">
        <v>249</v>
      </c>
      <c r="I34" s="43">
        <v>28.25</v>
      </c>
      <c r="J34" s="44">
        <f t="shared" si="2"/>
        <v>0</v>
      </c>
    </row>
    <row r="35" spans="1:10" ht="22.05" customHeight="1" x14ac:dyDescent="0.3">
      <c r="A35" s="63" t="s">
        <v>288</v>
      </c>
      <c r="B35" s="49"/>
      <c r="C35" s="40">
        <f t="shared" ref="C35:J35" si="3">SUMPRODUCT(IF(ISNUMBER(C28:C34),C28:C34,0))</f>
        <v>0</v>
      </c>
      <c r="D35" s="40">
        <f t="shared" si="3"/>
        <v>0</v>
      </c>
      <c r="E35" s="40">
        <f t="shared" si="3"/>
        <v>0</v>
      </c>
      <c r="F35" s="40">
        <f t="shared" si="3"/>
        <v>0</v>
      </c>
      <c r="G35" s="40">
        <f t="shared" si="3"/>
        <v>0</v>
      </c>
      <c r="H35" s="40">
        <f t="shared" si="3"/>
        <v>0</v>
      </c>
      <c r="I35" s="40">
        <f t="shared" si="3"/>
        <v>0</v>
      </c>
      <c r="J35" s="40">
        <f t="shared" si="3"/>
        <v>0</v>
      </c>
    </row>
    <row r="36" spans="1:10" ht="25.95" customHeight="1" x14ac:dyDescent="0.3">
      <c r="A36" s="50" t="s">
        <v>24</v>
      </c>
      <c r="B36" s="49"/>
      <c r="C36" s="15">
        <f t="shared" ref="C36:J36" si="4">C26+C35</f>
        <v>0</v>
      </c>
      <c r="D36" s="15">
        <f t="shared" si="4"/>
        <v>0</v>
      </c>
      <c r="E36" s="15">
        <f t="shared" si="4"/>
        <v>0</v>
      </c>
      <c r="F36" s="15">
        <f t="shared" si="4"/>
        <v>0</v>
      </c>
      <c r="G36" s="15">
        <f t="shared" si="4"/>
        <v>0</v>
      </c>
      <c r="H36" s="15">
        <f t="shared" si="4"/>
        <v>0</v>
      </c>
      <c r="I36" s="15">
        <f t="shared" si="4"/>
        <v>0</v>
      </c>
      <c r="J36" s="15">
        <f t="shared" si="4"/>
        <v>0</v>
      </c>
    </row>
  </sheetData>
  <mergeCells count="6">
    <mergeCell ref="A26:B26"/>
    <mergeCell ref="A1:J1"/>
    <mergeCell ref="A27:J27"/>
    <mergeCell ref="A3:J3"/>
    <mergeCell ref="A36:B36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showGridLines="0" workbookViewId="0"/>
  </sheetViews>
  <sheetFormatPr baseColWidth="10" defaultColWidth="8.88671875" defaultRowHeight="14.4" x14ac:dyDescent="0.3"/>
  <cols>
    <col min="1" max="1" width="26" customWidth="1"/>
    <col min="2" max="2" width="12" customWidth="1"/>
    <col min="3" max="4" width="20" customWidth="1"/>
    <col min="5" max="5" width="14" customWidth="1"/>
    <col min="6" max="6" width="12" customWidth="1"/>
    <col min="7" max="7" width="48" customWidth="1"/>
  </cols>
  <sheetData>
    <row r="1" spans="1:7" ht="31.95" customHeight="1" x14ac:dyDescent="0.3">
      <c r="A1" s="51" t="s">
        <v>289</v>
      </c>
      <c r="B1" s="49"/>
      <c r="C1" s="49"/>
      <c r="D1" s="49"/>
      <c r="E1" s="49"/>
      <c r="F1" s="49"/>
      <c r="G1" s="49"/>
    </row>
    <row r="3" spans="1:7" ht="34.950000000000003" customHeight="1" x14ac:dyDescent="0.3">
      <c r="A3" s="1" t="s">
        <v>1</v>
      </c>
      <c r="B3" s="1" t="s">
        <v>31</v>
      </c>
      <c r="C3" s="1" t="s">
        <v>290</v>
      </c>
      <c r="D3" s="1" t="s">
        <v>291</v>
      </c>
      <c r="E3" s="1" t="s">
        <v>292</v>
      </c>
      <c r="F3" s="1" t="s">
        <v>293</v>
      </c>
      <c r="G3" s="1" t="s">
        <v>294</v>
      </c>
    </row>
    <row r="4" spans="1:7" ht="19.95" customHeight="1" x14ac:dyDescent="0.3">
      <c r="A4" s="2" t="s">
        <v>8</v>
      </c>
      <c r="B4" s="6" t="s">
        <v>295</v>
      </c>
      <c r="C4" s="4">
        <v>3599.29</v>
      </c>
      <c r="D4" s="45">
        <v>3599.29</v>
      </c>
      <c r="E4" s="46">
        <f t="shared" ref="E4:E17" si="0">D4-C4</f>
        <v>0</v>
      </c>
      <c r="F4" s="47" t="s">
        <v>296</v>
      </c>
      <c r="G4" s="7" t="s">
        <v>297</v>
      </c>
    </row>
    <row r="5" spans="1:7" ht="19.95" customHeight="1" x14ac:dyDescent="0.3">
      <c r="A5" s="2" t="s">
        <v>8</v>
      </c>
      <c r="B5" s="6" t="s">
        <v>43</v>
      </c>
      <c r="C5" s="4">
        <v>958.85</v>
      </c>
      <c r="D5" s="45">
        <v>958.85</v>
      </c>
      <c r="E5" s="46">
        <f t="shared" si="0"/>
        <v>0</v>
      </c>
      <c r="F5" s="47" t="s">
        <v>296</v>
      </c>
      <c r="G5" s="7" t="s">
        <v>297</v>
      </c>
    </row>
    <row r="6" spans="1:7" ht="19.95" customHeight="1" x14ac:dyDescent="0.3">
      <c r="A6" s="2" t="s">
        <v>12</v>
      </c>
      <c r="B6" s="6" t="s">
        <v>295</v>
      </c>
      <c r="C6" s="4">
        <v>1303.8699999999999</v>
      </c>
      <c r="D6" s="45">
        <v>1303.8699999999999</v>
      </c>
      <c r="E6" s="46">
        <f t="shared" si="0"/>
        <v>0</v>
      </c>
      <c r="F6" s="47" t="s">
        <v>296</v>
      </c>
      <c r="G6" s="7" t="s">
        <v>298</v>
      </c>
    </row>
    <row r="7" spans="1:7" ht="19.95" customHeight="1" x14ac:dyDescent="0.3">
      <c r="A7" s="2" t="s">
        <v>12</v>
      </c>
      <c r="B7" s="6" t="s">
        <v>43</v>
      </c>
      <c r="C7" s="4">
        <v>0</v>
      </c>
      <c r="D7" s="45">
        <v>0</v>
      </c>
      <c r="E7" s="46">
        <f t="shared" si="0"/>
        <v>0</v>
      </c>
      <c r="F7" s="47" t="s">
        <v>296</v>
      </c>
      <c r="G7" s="7" t="s">
        <v>298</v>
      </c>
    </row>
    <row r="8" spans="1:7" ht="19.95" customHeight="1" x14ac:dyDescent="0.3">
      <c r="A8" s="2" t="s">
        <v>14</v>
      </c>
      <c r="B8" s="6" t="s">
        <v>295</v>
      </c>
      <c r="C8" s="4">
        <v>211.62</v>
      </c>
      <c r="D8" s="45">
        <v>211.55</v>
      </c>
      <c r="E8" s="46">
        <f t="shared" si="0"/>
        <v>-6.9999999999993179E-2</v>
      </c>
      <c r="F8" s="47" t="s">
        <v>296</v>
      </c>
      <c r="G8" s="7" t="s">
        <v>299</v>
      </c>
    </row>
    <row r="9" spans="1:7" ht="19.95" customHeight="1" x14ac:dyDescent="0.3">
      <c r="A9" s="2" t="s">
        <v>14</v>
      </c>
      <c r="B9" s="6" t="s">
        <v>43</v>
      </c>
      <c r="C9" s="4">
        <v>790.94</v>
      </c>
      <c r="D9" s="45">
        <v>791.01</v>
      </c>
      <c r="E9" s="46">
        <f t="shared" si="0"/>
        <v>6.9999999999936335E-2</v>
      </c>
      <c r="F9" s="47" t="s">
        <v>296</v>
      </c>
      <c r="G9" s="7" t="s">
        <v>299</v>
      </c>
    </row>
    <row r="10" spans="1:7" ht="19.95" customHeight="1" x14ac:dyDescent="0.3">
      <c r="A10" s="2" t="s">
        <v>16</v>
      </c>
      <c r="B10" s="6" t="s">
        <v>295</v>
      </c>
      <c r="C10" s="4">
        <v>478.61</v>
      </c>
      <c r="D10" s="45">
        <v>478.94</v>
      </c>
      <c r="E10" s="46">
        <f t="shared" si="0"/>
        <v>0.32999999999998408</v>
      </c>
      <c r="F10" s="47" t="s">
        <v>296</v>
      </c>
      <c r="G10" s="7" t="s">
        <v>300</v>
      </c>
    </row>
    <row r="11" spans="1:7" ht="19.95" customHeight="1" x14ac:dyDescent="0.3">
      <c r="A11" s="2" t="s">
        <v>16</v>
      </c>
      <c r="B11" s="6" t="s">
        <v>43</v>
      </c>
      <c r="C11" s="4">
        <v>390.25</v>
      </c>
      <c r="D11" s="45">
        <v>389.93</v>
      </c>
      <c r="E11" s="46">
        <f t="shared" si="0"/>
        <v>-0.31999999999999318</v>
      </c>
      <c r="F11" s="47" t="s">
        <v>296</v>
      </c>
      <c r="G11" s="7" t="s">
        <v>300</v>
      </c>
    </row>
    <row r="12" spans="1:7" ht="19.95" customHeight="1" x14ac:dyDescent="0.3">
      <c r="A12" s="2" t="s">
        <v>18</v>
      </c>
      <c r="B12" s="6" t="s">
        <v>295</v>
      </c>
      <c r="C12" s="4">
        <v>827.85</v>
      </c>
      <c r="D12" s="45">
        <v>828.08</v>
      </c>
      <c r="E12" s="46">
        <f t="shared" si="0"/>
        <v>0.23000000000001819</v>
      </c>
      <c r="F12" s="47" t="s">
        <v>296</v>
      </c>
      <c r="G12" s="7" t="s">
        <v>301</v>
      </c>
    </row>
    <row r="13" spans="1:7" ht="19.95" customHeight="1" x14ac:dyDescent="0.3">
      <c r="A13" s="2" t="s">
        <v>18</v>
      </c>
      <c r="B13" s="6" t="s">
        <v>43</v>
      </c>
      <c r="C13" s="4">
        <v>354.79</v>
      </c>
      <c r="D13" s="45">
        <v>354.56</v>
      </c>
      <c r="E13" s="46">
        <f t="shared" si="0"/>
        <v>-0.23000000000001819</v>
      </c>
      <c r="F13" s="47" t="s">
        <v>296</v>
      </c>
      <c r="G13" s="7" t="s">
        <v>301</v>
      </c>
    </row>
    <row r="14" spans="1:7" ht="19.95" customHeight="1" x14ac:dyDescent="0.3">
      <c r="A14" s="2" t="s">
        <v>20</v>
      </c>
      <c r="B14" s="6" t="s">
        <v>295</v>
      </c>
      <c r="C14" s="4">
        <v>3646.07</v>
      </c>
      <c r="D14" s="45">
        <v>3646.01</v>
      </c>
      <c r="E14" s="46">
        <f t="shared" si="0"/>
        <v>-5.999999999994543E-2</v>
      </c>
      <c r="F14" s="47" t="s">
        <v>296</v>
      </c>
      <c r="G14" s="7" t="s">
        <v>302</v>
      </c>
    </row>
    <row r="15" spans="1:7" ht="19.95" customHeight="1" x14ac:dyDescent="0.3">
      <c r="A15" s="2" t="s">
        <v>20</v>
      </c>
      <c r="B15" s="6" t="s">
        <v>43</v>
      </c>
      <c r="C15" s="4">
        <v>911.52</v>
      </c>
      <c r="D15" s="45">
        <v>911.58</v>
      </c>
      <c r="E15" s="46">
        <f t="shared" si="0"/>
        <v>6.0000000000059117E-2</v>
      </c>
      <c r="F15" s="47" t="s">
        <v>296</v>
      </c>
      <c r="G15" s="7" t="s">
        <v>302</v>
      </c>
    </row>
    <row r="16" spans="1:7" ht="19.95" customHeight="1" x14ac:dyDescent="0.3">
      <c r="A16" s="2" t="s">
        <v>22</v>
      </c>
      <c r="B16" s="6" t="s">
        <v>295</v>
      </c>
      <c r="C16" s="4">
        <v>1760.95</v>
      </c>
      <c r="D16" s="45">
        <v>1761.1</v>
      </c>
      <c r="E16" s="46">
        <f t="shared" si="0"/>
        <v>0.14999999999986358</v>
      </c>
      <c r="F16" s="47" t="s">
        <v>296</v>
      </c>
      <c r="G16" s="7" t="s">
        <v>303</v>
      </c>
    </row>
    <row r="17" spans="1:7" ht="19.95" customHeight="1" x14ac:dyDescent="0.3">
      <c r="A17" s="2" t="s">
        <v>22</v>
      </c>
      <c r="B17" s="6" t="s">
        <v>43</v>
      </c>
      <c r="C17" s="4">
        <v>196.4</v>
      </c>
      <c r="D17" s="45">
        <v>196.25</v>
      </c>
      <c r="E17" s="46">
        <f t="shared" si="0"/>
        <v>-0.15000000000000568</v>
      </c>
      <c r="F17" s="47" t="s">
        <v>296</v>
      </c>
      <c r="G17" s="7" t="s">
        <v>303</v>
      </c>
    </row>
    <row r="19" spans="1:7" ht="19.95" customHeight="1" x14ac:dyDescent="0.3">
      <c r="A19" s="66" t="s">
        <v>304</v>
      </c>
      <c r="B19" s="49"/>
      <c r="C19" s="49"/>
      <c r="D19" s="49"/>
      <c r="E19" s="49"/>
      <c r="F19" s="49"/>
      <c r="G19" s="49"/>
    </row>
  </sheetData>
  <mergeCells count="2">
    <mergeCell ref="A19:G19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1. Resumen Totales</vt:lpstr>
      <vt:lpstr>2. Metodologia</vt:lpstr>
      <vt:lpstr>3. Matriz por Equipo</vt:lpstr>
      <vt:lpstr>4. Verificacion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Luna Sofia Osorio Parra</cp:lastModifiedBy>
  <dcterms:created xsi:type="dcterms:W3CDTF">2026-06-11T13:38:49Z</dcterms:created>
  <dcterms:modified xsi:type="dcterms:W3CDTF">2026-06-11T13:44:58Z</dcterms:modified>
</cp:coreProperties>
</file>