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permodaco-my.sharepoint.com/personal/lunaop_permoda_com_co/Documents/Documentos/Claude/Projects/App PTAR 2/"/>
    </mc:Choice>
  </mc:AlternateContent>
  <xr:revisionPtr revIDLastSave="29" documentId="11_70E817AB7F24386439EF7CFE36CF3919FEE2A250" xr6:coauthVersionLast="47" xr6:coauthVersionMax="47" xr10:uidLastSave="{9A9E2BE6-D729-4D38-83FF-889BAE74AD0C}"/>
  <bookViews>
    <workbookView xWindow="23880" yWindow="1830" windowWidth="20730" windowHeight="11040" activeTab="1" xr2:uid="{00000000-000D-0000-FFFF-FFFF00000000}"/>
  </bookViews>
  <sheets>
    <sheet name="Lectura primero" sheetId="1" r:id="rId1"/>
    <sheet name="Por equipo" sheetId="2" r:id="rId2"/>
    <sheet name="Comparacion bloques" sheetId="3" r:id="rId3"/>
    <sheet name="Llaves de asignacion" sheetId="4" r:id="rId4"/>
    <sheet name="Mapeo Hach" sheetId="5" r:id="rId5"/>
    <sheet name="Detalle Electricidad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9" i="2" l="1"/>
  <c r="G30" i="2"/>
  <c r="C14" i="2"/>
  <c r="C13" i="2"/>
  <c r="D67" i="6"/>
  <c r="E12" i="5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E2" i="3"/>
  <c r="J40" i="2"/>
  <c r="I38" i="2"/>
  <c r="H38" i="2"/>
  <c r="G38" i="2"/>
  <c r="F38" i="2"/>
  <c r="E38" i="2"/>
  <c r="D38" i="2"/>
  <c r="C38" i="2"/>
  <c r="I37" i="2"/>
  <c r="H37" i="2"/>
  <c r="G37" i="2"/>
  <c r="F37" i="2"/>
  <c r="E37" i="2"/>
  <c r="D37" i="2"/>
  <c r="C37" i="2"/>
  <c r="I36" i="2"/>
  <c r="H36" i="2"/>
  <c r="G36" i="2"/>
  <c r="F36" i="2"/>
  <c r="F39" i="2" s="1"/>
  <c r="F41" i="2" s="1"/>
  <c r="E36" i="2"/>
  <c r="D36" i="2"/>
  <c r="C36" i="2"/>
  <c r="J35" i="2"/>
  <c r="J34" i="2"/>
  <c r="J33" i="2"/>
  <c r="J32" i="2"/>
  <c r="J31" i="2"/>
  <c r="J30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J8" i="2"/>
  <c r="J7" i="2"/>
  <c r="J6" i="2"/>
  <c r="J5" i="2"/>
  <c r="J4" i="2"/>
  <c r="J3" i="2"/>
  <c r="J2" i="2"/>
  <c r="I39" i="2" l="1"/>
  <c r="I41" i="2" s="1"/>
  <c r="H39" i="2"/>
  <c r="H41" i="2" s="1"/>
  <c r="G39" i="2"/>
  <c r="G41" i="2" s="1"/>
  <c r="E39" i="2"/>
  <c r="E41" i="2" s="1"/>
  <c r="J38" i="2"/>
  <c r="J37" i="2"/>
  <c r="D39" i="2"/>
  <c r="D41" i="2" s="1"/>
  <c r="C39" i="2"/>
  <c r="C41" i="2" s="1"/>
  <c r="J36" i="2"/>
  <c r="E42" i="2"/>
  <c r="J39" i="2" l="1"/>
  <c r="J41" i="2" s="1"/>
</calcChain>
</file>

<file path=xl/sharedStrings.xml><?xml version="1.0" encoding="utf-8"?>
<sst xmlns="http://schemas.openxmlformats.org/spreadsheetml/2006/main" count="479" uniqueCount="269">
  <si>
    <t>COSTOS $/m3 POR EQUIPO - PTAR PERMODA (v5 - ELE actualizada)</t>
  </si>
  <si>
    <t>ESTADO: TODO CUADRA contra tus targets (diferencias menores a $1 por redondeo).</t>
  </si>
  <si>
    <t>* Electricidad actualizada con los nuevos valores que enviaste.</t>
  </si>
  <si>
    <t xml:space="preserve">  - PTAR Fase 2: $3,646.01 (target $3,646.07) - CUADRA</t>
  </si>
  <si>
    <t xml:space="preserve">  - RO: $912.00 (target $911.52) - CUADRA</t>
  </si>
  <si>
    <t xml:space="preserve">  - Vertimiento: $0 (target $0) - CUADRA</t>
  </si>
  <si>
    <t xml:space="preserve">  - Total ele: $4,558.01</t>
  </si>
  <si>
    <t>* DECISION: el OZONO ($450.63 = CHILLER + GENERADORES) lo asigne a homogen.</t>
  </si>
  <si>
    <t xml:space="preserve">  Razon: es la electricidad del generador de ozono, y el ozono se dosifica en homogen (pretratamiento).</t>
  </si>
  <si>
    <t xml:space="preserve">  Con esto los subtotales por bloque cuadran exacto con tu target.</t>
  </si>
  <si>
    <t xml:space="preserve">  Si prefieres asignarlo a otro equipo (ej. un equipo aparte 'Generador Ozono'), me dices.</t>
  </si>
  <si>
    <t>* Cambios en valores por equipo:</t>
  </si>
  <si>
    <t xml:space="preserve">  - TK 2: 1.28 -&gt; 1.22 | TK 15: 6.23 -&gt; 5.92 | TK 60: 179.17 -&gt; 170.14</t>
  </si>
  <si>
    <t xml:space="preserve">  - Criba/Vibratorias: 10.65 -&gt; 10.12</t>
  </si>
  <si>
    <t xml:space="preserve">  - TK Pulmon: 72.64 -&gt; 68.97 | Torre: 108.47 -&gt; 103.00</t>
  </si>
  <si>
    <t xml:space="preserve">  - Homogen: 387.40 -&gt; 818.49 (incluye OZONO chiller+gen)</t>
  </si>
  <si>
    <t xml:space="preserve">  - GEM: 280.53 -&gt; 266.39 | MBBR: 909.54 -&gt; 863.68</t>
  </si>
  <si>
    <t xml:space="preserve">  - MBR T: 554.91 -&gt; 526.93 | MBR K: 542.36 -&gt; 515.01</t>
  </si>
  <si>
    <t xml:space="preserve">  - TK Permeado: 290.55 -&gt; 275.90</t>
  </si>
  <si>
    <t xml:space="preserve">  - RO1 E1: 208.44 -&gt; 264.60 | RO1 E2: 76.43 -&gt; 97.02 | RO2: 433.55 -&gt; 550.38</t>
  </si>
  <si>
    <t xml:space="preserve">  - filtVert: 474.56 -&gt; 0 (ozono se movio a homogen)</t>
  </si>
  <si>
    <t>Hojas en este archivo:</t>
  </si>
  <si>
    <t>1. 'Por equipo' - Tabla principal con 7 categorias por equipo, TOTAL $/m3, subtotales por bloque, total general y comparacion contra tu target.</t>
  </si>
  <si>
    <t>2. 'Comparacion bloques' - Diferencias por categoria/bloque. Distingue PTAR Fase 2 fisico vs contable.</t>
  </si>
  <si>
    <t>3. 'Llaves de asignacion' - Como reparti cada categoria.</t>
  </si>
  <si>
    <t>4. 'Mapeo Hach' - Los 10 puntos Hach con equipo destino.</t>
  </si>
  <si>
    <t>5. 'Detalle Electricidad' - Lista completa con descripcion de corriente, equipo destino y valor por linea.</t>
  </si>
  <si>
    <t>PENDIENTE: confirmar que el OZONO va a homogen (no a filtVert) - los numeros dicen que si.</t>
  </si>
  <si>
    <t>Nombre</t>
  </si>
  <si>
    <t>Bloque</t>
  </si>
  <si>
    <t>Insumos quimicos</t>
  </si>
  <si>
    <t>Residuos y lodos</t>
  </si>
  <si>
    <t>Consumibles</t>
  </si>
  <si>
    <t>Cal-Mant PTAR</t>
  </si>
  <si>
    <t>Nomina PTAR</t>
  </si>
  <si>
    <t>Electricidad PTAR</t>
  </si>
  <si>
    <t>Depreciacion PTAR</t>
  </si>
  <si>
    <t>TOTAL $/m3</t>
  </si>
  <si>
    <t>D. Rotativa</t>
  </si>
  <si>
    <t>PTAR Fase 2</t>
  </si>
  <si>
    <t>D. Funza</t>
  </si>
  <si>
    <t>D. Tintoreria</t>
  </si>
  <si>
    <t>D. Lavanderia</t>
  </si>
  <si>
    <t>TK 2 m3</t>
  </si>
  <si>
    <t>TK 15 m3</t>
  </si>
  <si>
    <t>TK 30 m3</t>
  </si>
  <si>
    <t>TK 60 m3</t>
  </si>
  <si>
    <t>Criba Rotativa</t>
  </si>
  <si>
    <t>Vibratoria 1</t>
  </si>
  <si>
    <t>Vibratoria 2</t>
  </si>
  <si>
    <t>TK Pulmon</t>
  </si>
  <si>
    <t>Torre Enfriamiento</t>
  </si>
  <si>
    <t>Carcamo</t>
  </si>
  <si>
    <t>TK Homogeneizador</t>
  </si>
  <si>
    <t>Equipo GEM</t>
  </si>
  <si>
    <t>Espesador (Swingmill)</t>
  </si>
  <si>
    <t>Anoxico</t>
  </si>
  <si>
    <t>MBBR</t>
  </si>
  <si>
    <t>MBR T</t>
  </si>
  <si>
    <t>MBR K</t>
  </si>
  <si>
    <t>TK Permeado</t>
  </si>
  <si>
    <t>Filtro Ionico</t>
  </si>
  <si>
    <t>RO</t>
  </si>
  <si>
    <t>Filtros 5 um (A+B)</t>
  </si>
  <si>
    <t>RO1 Etapa 1</t>
  </si>
  <si>
    <t>RO1 Etapa 2</t>
  </si>
  <si>
    <t>TK Rechazo RO1</t>
  </si>
  <si>
    <t>RO2</t>
  </si>
  <si>
    <t>TK Rechazo RO2</t>
  </si>
  <si>
    <t>Caja Vertimiento</t>
  </si>
  <si>
    <t>Vertimiento</t>
  </si>
  <si>
    <t>TK Permeado Vert</t>
  </si>
  <si>
    <t>Filtro Carbon + O3</t>
  </si>
  <si>
    <t>TK Recirculacion</t>
  </si>
  <si>
    <t>Produccion/Reuso</t>
  </si>
  <si>
    <t>SUBTOTAL PTAR Fase 2 (fisico)</t>
  </si>
  <si>
    <t>SUBTOTAL RO (fisico)</t>
  </si>
  <si>
    <t>SUBTOTAL Vertimiento (fisico)</t>
  </si>
  <si>
    <t>TOTAL MI CALCULO</t>
  </si>
  <si>
    <t>TARGET USUARIO</t>
  </si>
  <si>
    <t>DIFERENCIA (Mi - Target)</t>
  </si>
  <si>
    <t>PTAR contable (fisico + cajaVert cons)</t>
  </si>
  <si>
    <t>Categoria</t>
  </si>
  <si>
    <t>Mi suma (fisico)</t>
  </si>
  <si>
    <t>Target usuario</t>
  </si>
  <si>
    <t>Diferencia</t>
  </si>
  <si>
    <t>Causa probable</t>
  </si>
  <si>
    <t>Electricidad</t>
  </si>
  <si>
    <t>CUADRA (OZONO chiller+gen $450.63 va a homogen)</t>
  </si>
  <si>
    <t>CUADRA</t>
  </si>
  <si>
    <t>Cal-Mant</t>
  </si>
  <si>
    <t>CUADRA (uniforme 22 eq x $21.77)</t>
  </si>
  <si>
    <t>CUADRA (uniforme 7 eq x $55.71)</t>
  </si>
  <si>
    <t>PTAR Fase 2 (fisico)</t>
  </si>
  <si>
    <t>Falta cajaVert $28 (fisico Vert, contable PTAR)</t>
  </si>
  <si>
    <t>PTAR Fase 2 (contable)</t>
  </si>
  <si>
    <t>CUADRA con cajaVert incluido</t>
  </si>
  <si>
    <t>cajaVert fisico aqui, contablemente PTAR</t>
  </si>
  <si>
    <t>Nomina</t>
  </si>
  <si>
    <t>Redondeo</t>
  </si>
  <si>
    <t>Depreciacion</t>
  </si>
  <si>
    <t>Residuos</t>
  </si>
  <si>
    <t>Quimicos</t>
  </si>
  <si>
    <t>Distribucion nitrato proporcional Hach</t>
  </si>
  <si>
    <t>cajaVert recibe nitrato proporcional Hach</t>
  </si>
  <si>
    <t>Llave usada</t>
  </si>
  <si>
    <t>Detalle</t>
  </si>
  <si>
    <t>Por corriente directa (NUEVOS VALORES)</t>
  </si>
  <si>
    <t>Cada corriente A-AT mapea a un equipo. OZONO $450.63 (CHILLER+GENERADORES) ahora va a homogen como electricidad del generador (lugar de uso). filtVert no recibe electricidad.</t>
  </si>
  <si>
    <t>Residuos cribas $261</t>
  </si>
  <si>
    <t>70% / 15% / 15%</t>
  </si>
  <si>
    <t>cribRot $182.70, vibrat1 y vibrat2 $39.15 c/u</t>
  </si>
  <si>
    <t>Residuos lavado tanques $316</t>
  </si>
  <si>
    <t>Proporcional al volumen</t>
  </si>
  <si>
    <t>tk2 $5.91, tk15 $44.30, tk30 $88.60, tk60 $177.20</t>
  </si>
  <si>
    <t>Residuos lodos GEM $726</t>
  </si>
  <si>
    <t>100% a eqGem</t>
  </si>
  <si>
    <t>Carga al GEM (no swingmill)</t>
  </si>
  <si>
    <t>Quimicos Gem $3582</t>
  </si>
  <si>
    <t>Acidificante + Cat + An + Coag + Decol</t>
  </si>
  <si>
    <t>Quimicos RO $959</t>
  </si>
  <si>
    <t>50/50 ro1e1 y ro1e2</t>
  </si>
  <si>
    <t>Solo RO1 (ro2 sin quimicos)</t>
  </si>
  <si>
    <t>Quimicos MBRs $13</t>
  </si>
  <si>
    <t>50/50 mbrT y mbrK</t>
  </si>
  <si>
    <t>Hipoclorito + acido citrico</t>
  </si>
  <si>
    <t>Quimicos AgNO3 $3</t>
  </si>
  <si>
    <t>Proporcional al Hach</t>
  </si>
  <si>
    <t>Distribuido entre los 10 puntos PTAR + cajaVert</t>
  </si>
  <si>
    <t>Cons PTAR Hach $213</t>
  </si>
  <si>
    <t>Por punto Hach</t>
  </si>
  <si>
    <t>Pulmon 29, SALIDA TH 31, Salida GEM 31, Vertimiento 28, Perm MBR1+int 43, Perm MBR2+int 43, Anoxico 4, MBBR 4</t>
  </si>
  <si>
    <t>Cons RO Membranas $149</t>
  </si>
  <si>
    <t>Uniforme 3 ROs</t>
  </si>
  <si>
    <t>$49.67 c/u (ro1e1, ro1e2, ro2)</t>
  </si>
  <si>
    <t>Cons RO Cartuchos $376</t>
  </si>
  <si>
    <t>100% a filtro5</t>
  </si>
  <si>
    <t>A y B juntos</t>
  </si>
  <si>
    <t>Cons RO Resina $175</t>
  </si>
  <si>
    <t>100% a filtrosII</t>
  </si>
  <si>
    <t>Resina cationica</t>
  </si>
  <si>
    <t>Cons RO restante $91</t>
  </si>
  <si>
    <t>UNIFORME 7 equipos RO</t>
  </si>
  <si>
    <t>$13 c/u</t>
  </si>
  <si>
    <t>Cal-Mant PTAR Fase 2 $479</t>
  </si>
  <si>
    <t>UNIFORME 22 equipos</t>
  </si>
  <si>
    <t>$21.77 c/u</t>
  </si>
  <si>
    <t>Cal-Mant RO $390</t>
  </si>
  <si>
    <t>UNIFORME 7 equipos</t>
  </si>
  <si>
    <t>$55.71 c/u</t>
  </si>
  <si>
    <t>Nomina PTAR $828</t>
  </si>
  <si>
    <t>Uniforme 22 equipos</t>
  </si>
  <si>
    <t>$37.64 c/u</t>
  </si>
  <si>
    <t>Nomina RO $355</t>
  </si>
  <si>
    <t>Uniforme 7 equipos</t>
  </si>
  <si>
    <t>$50.71 c/u</t>
  </si>
  <si>
    <t>Depreciacion PTAR $1761</t>
  </si>
  <si>
    <t>$80.05 c/u</t>
  </si>
  <si>
    <t>Depreciacion RO $196</t>
  </si>
  <si>
    <t>$28.00 c/u</t>
  </si>
  <si>
    <t>Punto Hach</t>
  </si>
  <si>
    <t>Equipo destino</t>
  </si>
  <si>
    <t>Bloque equipo (fisico)</t>
  </si>
  <si>
    <t>Bloque contable</t>
  </si>
  <si>
    <t>$/m3 (consumibles)</t>
  </si>
  <si>
    <t>Pulmon</t>
  </si>
  <si>
    <t>tkPulmon</t>
  </si>
  <si>
    <t>SALIDA TH</t>
  </si>
  <si>
    <t>torre</t>
  </si>
  <si>
    <t>Salida GEM</t>
  </si>
  <si>
    <t>eqGem</t>
  </si>
  <si>
    <t>cajaVert</t>
  </si>
  <si>
    <t>Permeado MBR1</t>
  </si>
  <si>
    <t>mbrT</t>
  </si>
  <si>
    <t>Permeado MBR2</t>
  </si>
  <si>
    <t>mbrK</t>
  </si>
  <si>
    <t>anoxic</t>
  </si>
  <si>
    <t>MBBR (preaireacion)</t>
  </si>
  <si>
    <t>mbbr</t>
  </si>
  <si>
    <t>MBR1 interno</t>
  </si>
  <si>
    <t>MBR2 interno</t>
  </si>
  <si>
    <t>TOTAL Hach PTAR contable</t>
  </si>
  <si>
    <t>Descripcion (corriente)</t>
  </si>
  <si>
    <t>$/m3</t>
  </si>
  <si>
    <t>D. ROTATIVA - NO HAY EQUIPOS NI BOMBEO (A)</t>
  </si>
  <si>
    <t>rotativa</t>
  </si>
  <si>
    <t>D. FUNZA (B)</t>
  </si>
  <si>
    <t>funza</t>
  </si>
  <si>
    <t>D. TINTORERIA (C)</t>
  </si>
  <si>
    <t>tintoreria</t>
  </si>
  <si>
    <t>D. LAVANDERIA TK30 (D)</t>
  </si>
  <si>
    <t>lavanderia</t>
  </si>
  <si>
    <t>D. LAVANDERIA TK15 (E)</t>
  </si>
  <si>
    <t>BOMBA TK 15 - SALIDA TK 15 (F)</t>
  </si>
  <si>
    <t>tk15m3</t>
  </si>
  <si>
    <t>BOMBA TK 2 - SALIDA TK 2 (G)</t>
  </si>
  <si>
    <t>tk2m3</t>
  </si>
  <si>
    <t>NO HAY BOMBEO - SALIDA TK 30 (H)</t>
  </si>
  <si>
    <t>tk30m3</t>
  </si>
  <si>
    <t>ENTRADA TK 60 - sin consumo (G+H)</t>
  </si>
  <si>
    <t>tk60m3</t>
  </si>
  <si>
    <t>CONSUMO DE DOS BOMBAS - SALIDA TK 60 (I)</t>
  </si>
  <si>
    <t>RESIDUOS CRIBA ROTATIVA - se va a la salida (J)</t>
  </si>
  <si>
    <t>cribRot</t>
  </si>
  <si>
    <t>CONSUMO DE LA CRIBA - SALIDA CRIBA ROT (K)</t>
  </si>
  <si>
    <t>INGRESO VIBRAT 1 (K1)</t>
  </si>
  <si>
    <t>vibrat1</t>
  </si>
  <si>
    <t>INGRESO VIBRAT 2 (K2)</t>
  </si>
  <si>
    <t>vibrat2</t>
  </si>
  <si>
    <t>RESIDUOS VIBRAT 1 (L1)</t>
  </si>
  <si>
    <t>RESIDUOS VIBRAT 2 (L2)</t>
  </si>
  <si>
    <t>CONSUMO POR MANUAL - SALIDA VIBRAT 1 (N1)</t>
  </si>
  <si>
    <t>CONSUMO POR MANUAL - SALIDA VIBRAT 2 (N2)</t>
  </si>
  <si>
    <t>ALIMENTACION TK PULMON (N1+N2)</t>
  </si>
  <si>
    <t>BOMBA ENVIO A T ENF - SALIDA TK PULMON (O)</t>
  </si>
  <si>
    <t>PERDIDA TORRE (P)</t>
  </si>
  <si>
    <t>CONSUMO DE LA TORRE - SALIDA TORRE (Q)</t>
  </si>
  <si>
    <t>CIP RO - CARCAMO A TH (R)</t>
  </si>
  <si>
    <t>carcamo</t>
  </si>
  <si>
    <t>BOMBA - VERTIMIENTO BOMBA AUX (S)</t>
  </si>
  <si>
    <t>CHILLER + GENERADORES (OZONO al homogen)</t>
  </si>
  <si>
    <t>homogen</t>
  </si>
  <si>
    <t>AGITADOR + 2 BOMBAS NUEVAS + BOMBA CEN - SALIDA TH (T)</t>
  </si>
  <si>
    <t>BOMBA ALIMENTACION GEM - ENTRADA EQUIPO GEM (T1)</t>
  </si>
  <si>
    <t>RECIRCULACION TH (T2)</t>
  </si>
  <si>
    <t>BOMBA ENVIO LODOS - LODOS SALIDA GEM (U)</t>
  </si>
  <si>
    <t>swingmill</t>
  </si>
  <si>
    <t>SWINGMILL MOTOR FLOCULACION</t>
  </si>
  <si>
    <t>SWINGMILL MOTOR EJE TORNILLO</t>
  </si>
  <si>
    <t>SWINGMILL MOTOR EJE LEVAS</t>
  </si>
  <si>
    <t>LIXIVIADO SWINGMILL (V)</t>
  </si>
  <si>
    <t>barre lodo - SALIDA GEM (X)</t>
  </si>
  <si>
    <t>W controlador pH (GEM aux)</t>
  </si>
  <si>
    <t>Bomba coagulante (GEM aux)</t>
  </si>
  <si>
    <t>Decolorante W (GEM aux)</t>
  </si>
  <si>
    <t>Acido W (GEM aux)</t>
  </si>
  <si>
    <t>Mixer anionico (GEM aux)</t>
  </si>
  <si>
    <t>Bomba polimero anionico (GEM aux)</t>
  </si>
  <si>
    <t>Mixer Cationico (GEM aux)</t>
  </si>
  <si>
    <t>Bomba polimero cationico (GEM aux)</t>
  </si>
  <si>
    <t>SALIDA ANOXICO (Y)</t>
  </si>
  <si>
    <t>Soplador 301 - SALIDA MBBR (Z)</t>
  </si>
  <si>
    <t>ALIMENTACION MBR 1 (Z1)</t>
  </si>
  <si>
    <t>ALIMENTACION MBR 2 (Z2)</t>
  </si>
  <si>
    <t>PURGA MBR1 (AA1)</t>
  </si>
  <si>
    <t>PURGA MBR2 (AA2)</t>
  </si>
  <si>
    <t>Bombas de recirculacion - RECIRC MBR1 (AB1)</t>
  </si>
  <si>
    <t>Bombas de recirculacion - RECIRC MBR2 (AB2)</t>
  </si>
  <si>
    <t>Bomba de permeado - SALIDA MBR1 (AC1)</t>
  </si>
  <si>
    <t>Soplador (1/2) MBR1</t>
  </si>
  <si>
    <t>Bomba de permeado - SALIDA MBR2 (AC2)</t>
  </si>
  <si>
    <t>Soplador (1/2) MBR2</t>
  </si>
  <si>
    <t>REBOSE TK PERMEADO (AD)</t>
  </si>
  <si>
    <t>tkPermeado</t>
  </si>
  <si>
    <t>Bomba alimentacion RO - SALIDA TK PERMEADO (AE)</t>
  </si>
  <si>
    <t>SALIDA FILTROS DE IO (AF)</t>
  </si>
  <si>
    <t>filtrosII</t>
  </si>
  <si>
    <t>RECHAZO RO1 ETAPA 1 (AH)</t>
  </si>
  <si>
    <t>ro1e1</t>
  </si>
  <si>
    <t>Bomba de alta - PERMEADO RO1 E1 (AG)</t>
  </si>
  <si>
    <t>Recirculacion - RECHAZO RO1 E2 (AJ)</t>
  </si>
  <si>
    <t>ro1e2</t>
  </si>
  <si>
    <t>Bomba etapa 2 - PERMEADO RO1 E2 (AI)</t>
  </si>
  <si>
    <t>Bomba etapa 2 - PERMEADO RO2</t>
  </si>
  <si>
    <t>ro2</t>
  </si>
  <si>
    <t>Bomba Bangpu RO 2 - alimentacion RO2</t>
  </si>
  <si>
    <t>Bomba de alta (extra)</t>
  </si>
  <si>
    <t>Bomba salida rechazo - RECHAZO RO2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</si>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</sst>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\(#,##0.00\);&quot;-&quot;"/>
  </numFmts>
  <fonts count="4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name val="Arial"/>
      <family val="2"/>
    </font>
    <font>
      <b/>
      <sz val="14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DDEBF7"/>
      </patternFill>
    </fill>
    <fill>
      <patternFill patternType="solid">
        <fgColor rgb="FFFCE4D6"/>
      </patternFill>
    </fill>
    <fill>
      <patternFill patternType="solid">
        <fgColor rgb="FFFFF2CC"/>
      </patternFill>
    </fill>
    <fill>
      <patternFill patternType="solid">
        <fgColor rgb="FFFFE699"/>
      </patternFill>
    </fill>
    <fill>
      <patternFill patternType="solid">
        <fgColor rgb="FFA9D08E"/>
      </patternFill>
    </fill>
    <fill>
      <patternFill patternType="solid">
        <fgColor rgb="FFF4B084"/>
      </patternFill>
    </fill>
    <fill>
      <patternFill patternType="solid">
        <fgColor rgb="FFC9C9C9"/>
      </patternFill>
    </fill>
    <fill>
      <patternFill patternType="solid">
        <fgColor rgb="FFB4C7E7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3" fillId="0" borderId="0" xfId="0" applyFont="1"/>
    <xf numFmtId="0" fontId="1" fillId="0" borderId="0" xfId="0" applyFont="1"/>
    <xf numFmtId="0" fontId="2" fillId="0" borderId="0" xfId="0" applyFont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/>
    </xf>
    <xf numFmtId="164" fontId="2" fillId="3" borderId="1" xfId="0" applyNumberFormat="1" applyFont="1" applyFill="1" applyBorder="1" applyAlignment="1">
      <alignment horizontal="right"/>
    </xf>
    <xf numFmtId="0" fontId="2" fillId="4" borderId="1" xfId="0" applyFont="1" applyFill="1" applyBorder="1" applyAlignment="1">
      <alignment horizontal="left"/>
    </xf>
    <xf numFmtId="164" fontId="2" fillId="4" borderId="1" xfId="0" applyNumberFormat="1" applyFont="1" applyFill="1" applyBorder="1" applyAlignment="1">
      <alignment horizontal="right"/>
    </xf>
    <xf numFmtId="0" fontId="2" fillId="5" borderId="1" xfId="0" applyFont="1" applyFill="1" applyBorder="1" applyAlignment="1">
      <alignment horizontal="left"/>
    </xf>
    <xf numFmtId="164" fontId="2" fillId="5" borderId="1" xfId="0" applyNumberFormat="1" applyFont="1" applyFill="1" applyBorder="1" applyAlignment="1">
      <alignment horizontal="right"/>
    </xf>
    <xf numFmtId="0" fontId="1" fillId="6" borderId="1" xfId="0" applyFont="1" applyFill="1" applyBorder="1" applyAlignment="1">
      <alignment horizontal="left"/>
    </xf>
    <xf numFmtId="164" fontId="1" fillId="6" borderId="1" xfId="0" applyNumberFormat="1" applyFont="1" applyFill="1" applyBorder="1" applyAlignment="1">
      <alignment horizontal="right"/>
    </xf>
    <xf numFmtId="0" fontId="1" fillId="7" borderId="1" xfId="0" applyFont="1" applyFill="1" applyBorder="1" applyAlignment="1">
      <alignment horizontal="left"/>
    </xf>
    <xf numFmtId="164" fontId="1" fillId="7" borderId="1" xfId="0" applyNumberFormat="1" applyFont="1" applyFill="1" applyBorder="1" applyAlignment="1">
      <alignment horizontal="right"/>
    </xf>
    <xf numFmtId="0" fontId="1" fillId="8" borderId="1" xfId="0" applyFont="1" applyFill="1" applyBorder="1" applyAlignment="1">
      <alignment horizontal="left"/>
    </xf>
    <xf numFmtId="164" fontId="1" fillId="8" borderId="1" xfId="0" applyNumberFormat="1" applyFont="1" applyFill="1" applyBorder="1" applyAlignment="1">
      <alignment horizontal="right"/>
    </xf>
    <xf numFmtId="0" fontId="1" fillId="9" borderId="1" xfId="0" applyFont="1" applyFill="1" applyBorder="1" applyAlignment="1">
      <alignment horizontal="left"/>
    </xf>
    <xf numFmtId="164" fontId="1" fillId="9" borderId="1" xfId="0" applyNumberFormat="1" applyFont="1" applyFill="1" applyBorder="1" applyAlignment="1">
      <alignment horizontal="right"/>
    </xf>
    <xf numFmtId="0" fontId="1" fillId="10" borderId="1" xfId="0" applyFont="1" applyFill="1" applyBorder="1" applyAlignment="1">
      <alignment horizontal="left"/>
    </xf>
    <xf numFmtId="164" fontId="1" fillId="10" borderId="1" xfId="0" applyNumberFormat="1" applyFont="1" applyFill="1" applyBorder="1" applyAlignment="1">
      <alignment horizontal="right"/>
    </xf>
    <xf numFmtId="0" fontId="2" fillId="0" borderId="1" xfId="0" applyFont="1" applyBorder="1" applyAlignment="1">
      <alignment horizontal="left"/>
    </xf>
    <xf numFmtId="164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left" vertical="top"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3"/>
  <sheetViews>
    <sheetView topLeftCell="A6" workbookViewId="0"/>
  </sheetViews>
  <sheetFormatPr baseColWidth="10" defaultColWidth="8.88671875" defaultRowHeight="14.4" x14ac:dyDescent="0.3"/>
  <cols>
    <col min="1" max="1" width="130" customWidth="1"/>
  </cols>
  <sheetData>
    <row r="1" spans="1:1" ht="17.399999999999999" x14ac:dyDescent="0.3">
      <c r="A1" s="1" t="s">
        <v>0</v>
      </c>
    </row>
    <row r="3" spans="1:1" x14ac:dyDescent="0.3">
      <c r="A3" s="2" t="s">
        <v>1</v>
      </c>
    </row>
    <row r="4" spans="1:1" x14ac:dyDescent="0.3">
      <c r="A4" s="3" t="s">
        <v>2</v>
      </c>
    </row>
    <row r="5" spans="1:1" x14ac:dyDescent="0.3">
      <c r="A5" s="3" t="s">
        <v>3</v>
      </c>
    </row>
    <row r="6" spans="1:1" x14ac:dyDescent="0.3">
      <c r="A6" s="3" t="s">
        <v>4</v>
      </c>
    </row>
    <row r="7" spans="1:1" x14ac:dyDescent="0.3">
      <c r="A7" s="3" t="s">
        <v>5</v>
      </c>
    </row>
    <row r="8" spans="1:1" x14ac:dyDescent="0.3">
      <c r="A8" s="3" t="s">
        <v>6</v>
      </c>
    </row>
    <row r="9" spans="1:1" x14ac:dyDescent="0.3">
      <c r="A9" s="3"/>
    </row>
    <row r="10" spans="1:1" x14ac:dyDescent="0.3">
      <c r="A10" s="3" t="s">
        <v>7</v>
      </c>
    </row>
    <row r="11" spans="1:1" x14ac:dyDescent="0.3">
      <c r="A11" s="3" t="s">
        <v>8</v>
      </c>
    </row>
    <row r="12" spans="1:1" x14ac:dyDescent="0.3">
      <c r="A12" s="3" t="s">
        <v>9</v>
      </c>
    </row>
    <row r="13" spans="1:1" x14ac:dyDescent="0.3">
      <c r="A13" s="3" t="s">
        <v>10</v>
      </c>
    </row>
    <row r="14" spans="1:1" x14ac:dyDescent="0.3">
      <c r="A14" s="3"/>
    </row>
    <row r="15" spans="1:1" x14ac:dyDescent="0.3">
      <c r="A15" s="3" t="s">
        <v>11</v>
      </c>
    </row>
    <row r="16" spans="1:1" x14ac:dyDescent="0.3">
      <c r="A16" s="3" t="s">
        <v>12</v>
      </c>
    </row>
    <row r="17" spans="1:1" x14ac:dyDescent="0.3">
      <c r="A17" s="3" t="s">
        <v>13</v>
      </c>
    </row>
    <row r="18" spans="1:1" x14ac:dyDescent="0.3">
      <c r="A18" s="3" t="s">
        <v>14</v>
      </c>
    </row>
    <row r="19" spans="1:1" x14ac:dyDescent="0.3">
      <c r="A19" s="3" t="s">
        <v>15</v>
      </c>
    </row>
    <row r="20" spans="1:1" x14ac:dyDescent="0.3">
      <c r="A20" s="3" t="s">
        <v>16</v>
      </c>
    </row>
    <row r="21" spans="1:1" x14ac:dyDescent="0.3">
      <c r="A21" s="3" t="s">
        <v>17</v>
      </c>
    </row>
    <row r="22" spans="1:1" x14ac:dyDescent="0.3">
      <c r="A22" s="3" t="s">
        <v>18</v>
      </c>
    </row>
    <row r="23" spans="1:1" x14ac:dyDescent="0.3">
      <c r="A23" s="3" t="s">
        <v>19</v>
      </c>
    </row>
    <row r="24" spans="1:1" x14ac:dyDescent="0.3">
      <c r="A24" s="3" t="s">
        <v>20</v>
      </c>
    </row>
    <row r="26" spans="1:1" x14ac:dyDescent="0.3">
      <c r="A26" s="2" t="s">
        <v>21</v>
      </c>
    </row>
    <row r="27" spans="1:1" x14ac:dyDescent="0.3">
      <c r="A27" s="3" t="s">
        <v>22</v>
      </c>
    </row>
    <row r="28" spans="1:1" x14ac:dyDescent="0.3">
      <c r="A28" s="3" t="s">
        <v>23</v>
      </c>
    </row>
    <row r="29" spans="1:1" x14ac:dyDescent="0.3">
      <c r="A29" s="3" t="s">
        <v>24</v>
      </c>
    </row>
    <row r="30" spans="1:1" x14ac:dyDescent="0.3">
      <c r="A30" s="3" t="s">
        <v>25</v>
      </c>
    </row>
    <row r="31" spans="1:1" x14ac:dyDescent="0.3">
      <c r="A31" s="3" t="s">
        <v>26</v>
      </c>
    </row>
    <row r="32" spans="1:1" x14ac:dyDescent="0.3">
      <c r="A32" s="3"/>
    </row>
    <row r="33" spans="1:1" x14ac:dyDescent="0.3">
      <c r="A33" s="3" t="s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4"/>
  <sheetViews>
    <sheetView tabSelected="1" workbookViewId="0">
      <pane xSplit="2" ySplit="1" topLeftCell="F2" activePane="bottomRight" state="frozen"/>
      <selection pane="topRight"/>
      <selection pane="bottomLeft"/>
      <selection pane="bottomRight" activeCell="G8" sqref="G8"/>
    </sheetView>
  </sheetViews>
  <sheetFormatPr baseColWidth="10" defaultColWidth="8.88671875" defaultRowHeight="14.4" x14ac:dyDescent="0.3"/>
  <cols>
    <col min="1" max="1" width="30" customWidth="1"/>
    <col min="2" max="4" width="16" customWidth="1"/>
    <col min="5" max="7" width="14" customWidth="1"/>
    <col min="8" max="10" width="16" customWidth="1"/>
  </cols>
  <sheetData>
    <row r="1" spans="1:10" ht="27.6" x14ac:dyDescent="0.3">
      <c r="A1" s="4" t="s">
        <v>28</v>
      </c>
      <c r="B1" s="4" t="s">
        <v>29</v>
      </c>
      <c r="C1" s="4" t="s">
        <v>30</v>
      </c>
      <c r="D1" s="4" t="s">
        <v>31</v>
      </c>
      <c r="E1" s="4" t="s">
        <v>32</v>
      </c>
      <c r="F1" s="4" t="s">
        <v>33</v>
      </c>
      <c r="G1" s="4" t="s">
        <v>34</v>
      </c>
      <c r="H1" s="4" t="s">
        <v>35</v>
      </c>
      <c r="I1" s="4" t="s">
        <v>36</v>
      </c>
      <c r="J1" s="4" t="s">
        <v>37</v>
      </c>
    </row>
    <row r="2" spans="1:10" x14ac:dyDescent="0.3">
      <c r="A2" s="5" t="s">
        <v>38</v>
      </c>
      <c r="B2" s="5" t="s">
        <v>39</v>
      </c>
      <c r="C2" s="6">
        <v>0</v>
      </c>
      <c r="D2" s="6">
        <v>0</v>
      </c>
      <c r="E2" s="6">
        <v>0</v>
      </c>
      <c r="F2" s="6">
        <v>21.77</v>
      </c>
      <c r="G2" s="6">
        <v>37.64</v>
      </c>
      <c r="H2" s="6">
        <v>0</v>
      </c>
      <c r="I2" s="6">
        <v>80.05</v>
      </c>
      <c r="J2" s="6">
        <f t="shared" ref="J2:J38" si="0">SUM(C2:I2)</f>
        <v>139.45999999999998</v>
      </c>
    </row>
    <row r="3" spans="1:10" x14ac:dyDescent="0.3">
      <c r="A3" s="5" t="s">
        <v>40</v>
      </c>
      <c r="B3" s="5" t="s">
        <v>39</v>
      </c>
      <c r="C3" s="6">
        <v>0</v>
      </c>
      <c r="D3" s="6">
        <v>0</v>
      </c>
      <c r="E3" s="6">
        <v>0</v>
      </c>
      <c r="F3" s="6">
        <v>21.77</v>
      </c>
      <c r="G3" s="6">
        <v>37.64</v>
      </c>
      <c r="H3" s="6">
        <v>0</v>
      </c>
      <c r="I3" s="6">
        <v>80.05</v>
      </c>
      <c r="J3" s="6">
        <f t="shared" si="0"/>
        <v>139.45999999999998</v>
      </c>
    </row>
    <row r="4" spans="1:10" x14ac:dyDescent="0.3">
      <c r="A4" s="5" t="s">
        <v>41</v>
      </c>
      <c r="B4" s="5" t="s">
        <v>39</v>
      </c>
      <c r="C4" s="6">
        <v>0</v>
      </c>
      <c r="D4" s="6">
        <v>0</v>
      </c>
      <c r="E4" s="6">
        <v>0</v>
      </c>
      <c r="F4" s="6">
        <v>21.77</v>
      </c>
      <c r="G4" s="6">
        <v>37.64</v>
      </c>
      <c r="H4" s="6">
        <v>0</v>
      </c>
      <c r="I4" s="6">
        <v>80.05</v>
      </c>
      <c r="J4" s="6">
        <f t="shared" si="0"/>
        <v>139.45999999999998</v>
      </c>
    </row>
    <row r="5" spans="1:10" x14ac:dyDescent="0.3">
      <c r="A5" s="5" t="s">
        <v>42</v>
      </c>
      <c r="B5" s="5" t="s">
        <v>39</v>
      </c>
      <c r="C5" s="6">
        <v>0</v>
      </c>
      <c r="D5" s="6">
        <v>0</v>
      </c>
      <c r="E5" s="6">
        <v>0</v>
      </c>
      <c r="F5" s="6">
        <v>21.77</v>
      </c>
      <c r="G5" s="6">
        <v>37.64</v>
      </c>
      <c r="H5" s="6">
        <v>0</v>
      </c>
      <c r="I5" s="6">
        <v>80.05</v>
      </c>
      <c r="J5" s="6">
        <f t="shared" si="0"/>
        <v>139.45999999999998</v>
      </c>
    </row>
    <row r="6" spans="1:10" x14ac:dyDescent="0.3">
      <c r="A6" s="5" t="s">
        <v>43</v>
      </c>
      <c r="B6" s="5" t="s">
        <v>39</v>
      </c>
      <c r="C6" s="6">
        <v>0</v>
      </c>
      <c r="D6" s="6">
        <v>5.91</v>
      </c>
      <c r="E6" s="6">
        <v>0</v>
      </c>
      <c r="F6" s="6">
        <v>21.77</v>
      </c>
      <c r="G6" s="6">
        <v>37.64</v>
      </c>
      <c r="H6" s="6">
        <v>1.22</v>
      </c>
      <c r="I6" s="6">
        <v>80.05</v>
      </c>
      <c r="J6" s="6">
        <f t="shared" si="0"/>
        <v>146.58999999999997</v>
      </c>
    </row>
    <row r="7" spans="1:10" x14ac:dyDescent="0.3">
      <c r="A7" s="5" t="s">
        <v>44</v>
      </c>
      <c r="B7" s="5" t="s">
        <v>39</v>
      </c>
      <c r="C7" s="6">
        <v>0</v>
      </c>
      <c r="D7" s="6">
        <v>44.3</v>
      </c>
      <c r="E7" s="6">
        <v>0</v>
      </c>
      <c r="F7" s="6">
        <v>21.77</v>
      </c>
      <c r="G7" s="6">
        <v>37.64</v>
      </c>
      <c r="H7" s="6">
        <v>5.92</v>
      </c>
      <c r="I7" s="6">
        <v>80.05</v>
      </c>
      <c r="J7" s="6">
        <f t="shared" si="0"/>
        <v>189.68</v>
      </c>
    </row>
    <row r="8" spans="1:10" x14ac:dyDescent="0.3">
      <c r="A8" s="5" t="s">
        <v>45</v>
      </c>
      <c r="B8" s="5" t="s">
        <v>39</v>
      </c>
      <c r="C8" s="6">
        <v>0</v>
      </c>
      <c r="D8" s="6">
        <v>88.6</v>
      </c>
      <c r="E8" s="6">
        <v>0</v>
      </c>
      <c r="F8" s="6">
        <v>21.77</v>
      </c>
      <c r="G8" s="6">
        <v>37.64</v>
      </c>
      <c r="H8" s="6">
        <v>0</v>
      </c>
      <c r="I8" s="6">
        <v>80.05</v>
      </c>
      <c r="J8" s="6">
        <f t="shared" si="0"/>
        <v>228.06</v>
      </c>
    </row>
    <row r="9" spans="1:10" x14ac:dyDescent="0.3">
      <c r="A9" s="5" t="s">
        <v>46</v>
      </c>
      <c r="B9" s="5" t="s">
        <v>39</v>
      </c>
      <c r="C9" s="6">
        <v>0</v>
      </c>
      <c r="D9" s="6">
        <v>177.2</v>
      </c>
      <c r="E9" s="6">
        <v>0</v>
      </c>
      <c r="F9" s="6">
        <v>21.77</v>
      </c>
      <c r="G9" s="6">
        <v>37.64</v>
      </c>
      <c r="H9" s="6">
        <v>170.14</v>
      </c>
      <c r="I9" s="6">
        <v>80.05</v>
      </c>
      <c r="J9" s="6">
        <f t="shared" si="0"/>
        <v>486.8</v>
      </c>
    </row>
    <row r="10" spans="1:10" x14ac:dyDescent="0.3">
      <c r="A10" s="5" t="s">
        <v>47</v>
      </c>
      <c r="B10" s="5" t="s">
        <v>39</v>
      </c>
      <c r="C10" s="6">
        <v>0</v>
      </c>
      <c r="D10" s="6">
        <v>182.7</v>
      </c>
      <c r="E10" s="6">
        <v>0</v>
      </c>
      <c r="F10" s="6">
        <v>21.77</v>
      </c>
      <c r="G10" s="6">
        <v>37.64</v>
      </c>
      <c r="H10" s="6">
        <v>10.119999999999999</v>
      </c>
      <c r="I10" s="6">
        <v>80.05</v>
      </c>
      <c r="J10" s="6">
        <f t="shared" si="0"/>
        <v>332.28000000000003</v>
      </c>
    </row>
    <row r="11" spans="1:10" x14ac:dyDescent="0.3">
      <c r="A11" s="5" t="s">
        <v>48</v>
      </c>
      <c r="B11" s="5" t="s">
        <v>39</v>
      </c>
      <c r="C11" s="6">
        <v>0</v>
      </c>
      <c r="D11" s="6">
        <v>39.15</v>
      </c>
      <c r="E11" s="6">
        <v>0</v>
      </c>
      <c r="F11" s="6">
        <v>21.77</v>
      </c>
      <c r="G11" s="6">
        <v>37.64</v>
      </c>
      <c r="H11" s="6">
        <v>10.119999999999999</v>
      </c>
      <c r="I11" s="6">
        <v>80.05</v>
      </c>
      <c r="J11" s="6">
        <f t="shared" si="0"/>
        <v>188.73000000000002</v>
      </c>
    </row>
    <row r="12" spans="1:10" x14ac:dyDescent="0.3">
      <c r="A12" s="5" t="s">
        <v>49</v>
      </c>
      <c r="B12" s="5" t="s">
        <v>39</v>
      </c>
      <c r="C12" s="6">
        <v>0</v>
      </c>
      <c r="D12" s="6">
        <v>39.15</v>
      </c>
      <c r="E12" s="6">
        <v>0</v>
      </c>
      <c r="F12" s="6">
        <v>21.77</v>
      </c>
      <c r="G12" s="6">
        <v>37.64</v>
      </c>
      <c r="H12" s="6">
        <v>10.119999999999999</v>
      </c>
      <c r="I12" s="6">
        <v>80.05</v>
      </c>
      <c r="J12" s="6">
        <f t="shared" si="0"/>
        <v>188.73000000000002</v>
      </c>
    </row>
    <row r="13" spans="1:10" x14ac:dyDescent="0.3">
      <c r="A13" s="5" t="s">
        <v>50</v>
      </c>
      <c r="B13" s="5" t="s">
        <v>39</v>
      </c>
      <c r="C13" s="6">
        <f>0.41+0.83</f>
        <v>1.24</v>
      </c>
      <c r="D13" s="6">
        <v>0</v>
      </c>
      <c r="E13" s="6">
        <v>26.55</v>
      </c>
      <c r="F13" s="6">
        <v>21.77</v>
      </c>
      <c r="G13" s="6">
        <v>37.64</v>
      </c>
      <c r="H13" s="6">
        <v>68.97</v>
      </c>
      <c r="I13" s="6">
        <v>80.05</v>
      </c>
      <c r="J13" s="6">
        <f t="shared" si="0"/>
        <v>236.22000000000003</v>
      </c>
    </row>
    <row r="14" spans="1:10" x14ac:dyDescent="0.3">
      <c r="A14" s="5" t="s">
        <v>51</v>
      </c>
      <c r="B14" s="5" t="s">
        <v>39</v>
      </c>
      <c r="C14" s="6">
        <f>0.44+0.83</f>
        <v>1.27</v>
      </c>
      <c r="D14" s="6">
        <v>0</v>
      </c>
      <c r="E14" s="6">
        <v>31</v>
      </c>
      <c r="F14" s="6">
        <v>21.77</v>
      </c>
      <c r="G14" s="6">
        <v>37.64</v>
      </c>
      <c r="H14" s="6">
        <v>103</v>
      </c>
      <c r="I14" s="6">
        <v>80.05</v>
      </c>
      <c r="J14" s="6">
        <f t="shared" si="0"/>
        <v>274.73</v>
      </c>
    </row>
    <row r="15" spans="1:10" x14ac:dyDescent="0.3">
      <c r="A15" s="5" t="s">
        <v>52</v>
      </c>
      <c r="B15" s="5" t="s">
        <v>39</v>
      </c>
      <c r="C15" s="6">
        <v>0</v>
      </c>
      <c r="D15" s="6">
        <v>0</v>
      </c>
      <c r="E15" s="6">
        <v>0</v>
      </c>
      <c r="F15" s="6">
        <v>21.77</v>
      </c>
      <c r="G15" s="6">
        <v>37.64</v>
      </c>
      <c r="H15" s="6">
        <v>0</v>
      </c>
      <c r="I15" s="6">
        <v>80.05</v>
      </c>
      <c r="J15" s="6">
        <f t="shared" si="0"/>
        <v>139.45999999999998</v>
      </c>
    </row>
    <row r="16" spans="1:10" x14ac:dyDescent="0.3">
      <c r="A16" s="5" t="s">
        <v>53</v>
      </c>
      <c r="B16" s="5" t="s">
        <v>39</v>
      </c>
      <c r="C16" s="6">
        <v>0</v>
      </c>
      <c r="D16" s="6">
        <v>0</v>
      </c>
      <c r="E16" s="6">
        <v>29</v>
      </c>
      <c r="F16" s="6">
        <v>21.77</v>
      </c>
      <c r="G16" s="6">
        <v>37.64</v>
      </c>
      <c r="H16" s="6">
        <v>818.49</v>
      </c>
      <c r="I16" s="6">
        <v>80.05</v>
      </c>
      <c r="J16" s="6">
        <f t="shared" si="0"/>
        <v>986.94999999999993</v>
      </c>
    </row>
    <row r="17" spans="1:10" x14ac:dyDescent="0.3">
      <c r="A17" s="5" t="s">
        <v>54</v>
      </c>
      <c r="B17" s="5" t="s">
        <v>39</v>
      </c>
      <c r="C17" s="6">
        <v>3582.44</v>
      </c>
      <c r="D17" s="6">
        <v>726.86</v>
      </c>
      <c r="E17" s="6">
        <v>31</v>
      </c>
      <c r="F17" s="6">
        <v>21.77</v>
      </c>
      <c r="G17" s="6">
        <v>37.64</v>
      </c>
      <c r="H17" s="6">
        <v>266.39</v>
      </c>
      <c r="I17" s="6">
        <v>80.05</v>
      </c>
      <c r="J17" s="6">
        <f t="shared" si="0"/>
        <v>4746.1500000000015</v>
      </c>
    </row>
    <row r="18" spans="1:10" x14ac:dyDescent="0.3">
      <c r="A18" s="5" t="s">
        <v>55</v>
      </c>
      <c r="B18" s="5" t="s">
        <v>39</v>
      </c>
      <c r="C18" s="6">
        <v>0</v>
      </c>
      <c r="D18" s="6">
        <v>0</v>
      </c>
      <c r="E18" s="6">
        <v>0</v>
      </c>
      <c r="F18" s="6">
        <v>21.77</v>
      </c>
      <c r="G18" s="6">
        <v>37.64</v>
      </c>
      <c r="H18" s="6">
        <v>0</v>
      </c>
      <c r="I18" s="6">
        <v>80.05</v>
      </c>
      <c r="J18" s="6">
        <f t="shared" si="0"/>
        <v>139.45999999999998</v>
      </c>
    </row>
    <row r="19" spans="1:10" x14ac:dyDescent="0.3">
      <c r="A19" s="5" t="s">
        <v>56</v>
      </c>
      <c r="B19" s="5" t="s">
        <v>39</v>
      </c>
      <c r="C19" s="6">
        <v>0.06</v>
      </c>
      <c r="D19" s="6">
        <v>0</v>
      </c>
      <c r="E19" s="6">
        <v>4</v>
      </c>
      <c r="F19" s="6">
        <v>21.77</v>
      </c>
      <c r="G19" s="6">
        <v>37.64</v>
      </c>
      <c r="H19" s="6">
        <v>0</v>
      </c>
      <c r="I19" s="6">
        <v>80.05</v>
      </c>
      <c r="J19" s="6">
        <f t="shared" si="0"/>
        <v>143.51999999999998</v>
      </c>
    </row>
    <row r="20" spans="1:10" x14ac:dyDescent="0.3">
      <c r="A20" s="5" t="s">
        <v>57</v>
      </c>
      <c r="B20" s="5" t="s">
        <v>39</v>
      </c>
      <c r="C20" s="6">
        <v>0.06</v>
      </c>
      <c r="D20" s="6">
        <v>0</v>
      </c>
      <c r="E20" s="6">
        <v>4</v>
      </c>
      <c r="F20" s="6">
        <v>21.77</v>
      </c>
      <c r="G20" s="6">
        <v>37.64</v>
      </c>
      <c r="H20" s="6">
        <v>863.68</v>
      </c>
      <c r="I20" s="6">
        <v>80.05</v>
      </c>
      <c r="J20" s="6">
        <f t="shared" si="0"/>
        <v>1007.1999999999999</v>
      </c>
    </row>
    <row r="21" spans="1:10" x14ac:dyDescent="0.3">
      <c r="A21" s="5" t="s">
        <v>58</v>
      </c>
      <c r="B21" s="5" t="s">
        <v>39</v>
      </c>
      <c r="C21" s="6">
        <v>7.11</v>
      </c>
      <c r="D21" s="6">
        <v>0</v>
      </c>
      <c r="E21" s="6">
        <v>43</v>
      </c>
      <c r="F21" s="6">
        <v>21.77</v>
      </c>
      <c r="G21" s="6">
        <v>37.64</v>
      </c>
      <c r="H21" s="6">
        <v>526.92999999999995</v>
      </c>
      <c r="I21" s="6">
        <v>80.05</v>
      </c>
      <c r="J21" s="6">
        <f t="shared" si="0"/>
        <v>716.49999999999989</v>
      </c>
    </row>
    <row r="22" spans="1:10" x14ac:dyDescent="0.3">
      <c r="A22" s="5" t="s">
        <v>59</v>
      </c>
      <c r="B22" s="5" t="s">
        <v>39</v>
      </c>
      <c r="C22" s="6">
        <v>7.11</v>
      </c>
      <c r="D22" s="6">
        <v>0</v>
      </c>
      <c r="E22" s="6">
        <v>43</v>
      </c>
      <c r="F22" s="6">
        <v>21.77</v>
      </c>
      <c r="G22" s="6">
        <v>37.64</v>
      </c>
      <c r="H22" s="6">
        <v>515.01</v>
      </c>
      <c r="I22" s="6">
        <v>80.05</v>
      </c>
      <c r="J22" s="6">
        <f t="shared" si="0"/>
        <v>704.57999999999993</v>
      </c>
    </row>
    <row r="23" spans="1:10" x14ac:dyDescent="0.3">
      <c r="A23" s="5" t="s">
        <v>60</v>
      </c>
      <c r="B23" s="5" t="s">
        <v>39</v>
      </c>
      <c r="C23" s="6">
        <v>0</v>
      </c>
      <c r="D23" s="6">
        <v>0</v>
      </c>
      <c r="E23" s="6">
        <v>0</v>
      </c>
      <c r="F23" s="6">
        <v>21.77</v>
      </c>
      <c r="G23" s="6">
        <v>37.64</v>
      </c>
      <c r="H23" s="6">
        <v>275.89999999999998</v>
      </c>
      <c r="I23" s="6">
        <v>80.05</v>
      </c>
      <c r="J23" s="6">
        <f t="shared" si="0"/>
        <v>415.35999999999996</v>
      </c>
    </row>
    <row r="24" spans="1:10" x14ac:dyDescent="0.3">
      <c r="A24" s="7" t="s">
        <v>61</v>
      </c>
      <c r="B24" s="7" t="s">
        <v>62</v>
      </c>
      <c r="C24" s="8">
        <v>0</v>
      </c>
      <c r="D24" s="8">
        <v>0</v>
      </c>
      <c r="E24" s="8">
        <v>188</v>
      </c>
      <c r="F24" s="8">
        <v>55.71</v>
      </c>
      <c r="G24" s="8">
        <v>50.71</v>
      </c>
      <c r="H24" s="8">
        <v>0</v>
      </c>
      <c r="I24" s="8">
        <v>28</v>
      </c>
      <c r="J24" s="8">
        <f t="shared" si="0"/>
        <v>322.42</v>
      </c>
    </row>
    <row r="25" spans="1:10" x14ac:dyDescent="0.3">
      <c r="A25" s="7" t="s">
        <v>63</v>
      </c>
      <c r="B25" s="7" t="s">
        <v>62</v>
      </c>
      <c r="C25" s="8">
        <v>0</v>
      </c>
      <c r="D25" s="8">
        <v>0</v>
      </c>
      <c r="E25" s="8">
        <v>389</v>
      </c>
      <c r="F25" s="8">
        <v>55.71</v>
      </c>
      <c r="G25" s="8">
        <v>50.71</v>
      </c>
      <c r="H25" s="8">
        <v>0</v>
      </c>
      <c r="I25" s="8">
        <v>28</v>
      </c>
      <c r="J25" s="8">
        <f t="shared" si="0"/>
        <v>523.41999999999996</v>
      </c>
    </row>
    <row r="26" spans="1:10" x14ac:dyDescent="0.3">
      <c r="A26" s="7" t="s">
        <v>64</v>
      </c>
      <c r="B26" s="7" t="s">
        <v>62</v>
      </c>
      <c r="C26" s="8">
        <v>479.42</v>
      </c>
      <c r="D26" s="8">
        <v>0</v>
      </c>
      <c r="E26" s="8">
        <v>62.67</v>
      </c>
      <c r="F26" s="8">
        <v>55.71</v>
      </c>
      <c r="G26" s="8">
        <v>50.71</v>
      </c>
      <c r="H26" s="8">
        <v>264.60000000000002</v>
      </c>
      <c r="I26" s="8">
        <v>28</v>
      </c>
      <c r="J26" s="8">
        <f t="shared" si="0"/>
        <v>941.11000000000013</v>
      </c>
    </row>
    <row r="27" spans="1:10" x14ac:dyDescent="0.3">
      <c r="A27" s="7" t="s">
        <v>65</v>
      </c>
      <c r="B27" s="7" t="s">
        <v>62</v>
      </c>
      <c r="C27" s="8">
        <v>479.43</v>
      </c>
      <c r="D27" s="8">
        <v>0</v>
      </c>
      <c r="E27" s="8">
        <v>62.67</v>
      </c>
      <c r="F27" s="8">
        <v>55.71</v>
      </c>
      <c r="G27" s="8">
        <v>50.71</v>
      </c>
      <c r="H27" s="8">
        <v>97.02</v>
      </c>
      <c r="I27" s="8">
        <v>28</v>
      </c>
      <c r="J27" s="8">
        <f t="shared" si="0"/>
        <v>773.54000000000008</v>
      </c>
    </row>
    <row r="28" spans="1:10" x14ac:dyDescent="0.3">
      <c r="A28" s="7" t="s">
        <v>66</v>
      </c>
      <c r="B28" s="7" t="s">
        <v>62</v>
      </c>
      <c r="C28" s="8">
        <v>0</v>
      </c>
      <c r="D28" s="8">
        <v>0</v>
      </c>
      <c r="E28" s="8">
        <v>13</v>
      </c>
      <c r="F28" s="8">
        <v>55.71</v>
      </c>
      <c r="G28" s="8">
        <v>50.71</v>
      </c>
      <c r="H28" s="8">
        <v>0</v>
      </c>
      <c r="I28" s="8">
        <v>28</v>
      </c>
      <c r="J28" s="8">
        <f t="shared" si="0"/>
        <v>147.42000000000002</v>
      </c>
    </row>
    <row r="29" spans="1:10" x14ac:dyDescent="0.3">
      <c r="A29" s="7" t="s">
        <v>67</v>
      </c>
      <c r="B29" s="7" t="s">
        <v>62</v>
      </c>
      <c r="C29" s="8">
        <v>0</v>
      </c>
      <c r="D29" s="8">
        <v>0</v>
      </c>
      <c r="E29" s="8">
        <v>62.67</v>
      </c>
      <c r="F29" s="8">
        <v>55.71</v>
      </c>
      <c r="G29" s="8">
        <v>50.71</v>
      </c>
      <c r="H29" s="8">
        <v>549.96</v>
      </c>
      <c r="I29" s="8">
        <v>28</v>
      </c>
      <c r="J29" s="8">
        <f t="shared" si="0"/>
        <v>747.05000000000007</v>
      </c>
    </row>
    <row r="30" spans="1:10" x14ac:dyDescent="0.3">
      <c r="A30" s="7" t="s">
        <v>68</v>
      </c>
      <c r="B30" s="7" t="s">
        <v>62</v>
      </c>
      <c r="C30" s="8">
        <v>0</v>
      </c>
      <c r="D30" s="8">
        <v>0</v>
      </c>
      <c r="E30" s="8">
        <v>13</v>
      </c>
      <c r="F30" s="8">
        <v>55.67</v>
      </c>
      <c r="G30" s="8">
        <f>50.71-0.41</f>
        <v>50.300000000000004</v>
      </c>
      <c r="H30" s="8">
        <v>0</v>
      </c>
      <c r="I30" s="8">
        <v>28.25</v>
      </c>
      <c r="J30" s="8">
        <f t="shared" si="0"/>
        <v>147.22</v>
      </c>
    </row>
    <row r="31" spans="1:10" x14ac:dyDescent="0.3">
      <c r="A31" s="9" t="s">
        <v>69</v>
      </c>
      <c r="B31" s="9" t="s">
        <v>70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f t="shared" si="0"/>
        <v>0</v>
      </c>
    </row>
    <row r="32" spans="1:10" x14ac:dyDescent="0.3">
      <c r="A32" s="9" t="s">
        <v>71</v>
      </c>
      <c r="B32" s="9" t="s">
        <v>70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f t="shared" si="0"/>
        <v>0</v>
      </c>
    </row>
    <row r="33" spans="1:10" x14ac:dyDescent="0.3">
      <c r="A33" s="9" t="s">
        <v>72</v>
      </c>
      <c r="B33" s="9" t="s">
        <v>70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f t="shared" si="0"/>
        <v>0</v>
      </c>
    </row>
    <row r="34" spans="1:10" x14ac:dyDescent="0.3">
      <c r="A34" s="9" t="s">
        <v>73</v>
      </c>
      <c r="B34" s="9" t="s">
        <v>70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f t="shared" si="0"/>
        <v>0</v>
      </c>
    </row>
    <row r="35" spans="1:10" x14ac:dyDescent="0.3">
      <c r="A35" s="9" t="s">
        <v>74</v>
      </c>
      <c r="B35" s="9" t="s">
        <v>70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f t="shared" si="0"/>
        <v>0</v>
      </c>
    </row>
    <row r="36" spans="1:10" x14ac:dyDescent="0.3">
      <c r="A36" s="11" t="s">
        <v>75</v>
      </c>
      <c r="B36" s="11"/>
      <c r="C36" s="12">
        <f t="shared" ref="C36:I36" si="1">SUMIF($B$2:$B$35,"PTAR Fase 2",C$2:C$35)</f>
        <v>3599.2900000000004</v>
      </c>
      <c r="D36" s="12">
        <f t="shared" si="1"/>
        <v>1303.8699999999999</v>
      </c>
      <c r="E36" s="12">
        <f t="shared" si="1"/>
        <v>211.55</v>
      </c>
      <c r="F36" s="12">
        <f t="shared" si="1"/>
        <v>478.93999999999988</v>
      </c>
      <c r="G36" s="12">
        <f t="shared" si="1"/>
        <v>828.07999999999981</v>
      </c>
      <c r="H36" s="12">
        <f t="shared" si="1"/>
        <v>3646.0099999999998</v>
      </c>
      <c r="I36" s="12">
        <f t="shared" si="1"/>
        <v>1761.0999999999995</v>
      </c>
      <c r="J36" s="12">
        <f t="shared" si="0"/>
        <v>11828.84</v>
      </c>
    </row>
    <row r="37" spans="1:10" x14ac:dyDescent="0.3">
      <c r="A37" s="11" t="s">
        <v>76</v>
      </c>
      <c r="B37" s="11"/>
      <c r="C37" s="12">
        <f t="shared" ref="C37:I37" si="2">SUMIF($B$2:$B$35,"RO",C$2:C$35)</f>
        <v>958.85</v>
      </c>
      <c r="D37" s="12">
        <f t="shared" si="2"/>
        <v>0</v>
      </c>
      <c r="E37" s="12">
        <f t="shared" si="2"/>
        <v>791.00999999999988</v>
      </c>
      <c r="F37" s="12">
        <f t="shared" si="2"/>
        <v>389.93</v>
      </c>
      <c r="G37" s="12">
        <f t="shared" si="2"/>
        <v>354.56</v>
      </c>
      <c r="H37" s="12">
        <f t="shared" si="2"/>
        <v>911.58</v>
      </c>
      <c r="I37" s="12">
        <f t="shared" si="2"/>
        <v>196.25</v>
      </c>
      <c r="J37" s="12">
        <f t="shared" si="0"/>
        <v>3602.18</v>
      </c>
    </row>
    <row r="38" spans="1:10" x14ac:dyDescent="0.3">
      <c r="A38" s="11" t="s">
        <v>77</v>
      </c>
      <c r="B38" s="11"/>
      <c r="C38" s="12">
        <f t="shared" ref="C38:I38" si="3">SUMIF($B$2:$B$35,"Vertimiento",C$2:C$35)</f>
        <v>0</v>
      </c>
      <c r="D38" s="12">
        <f t="shared" si="3"/>
        <v>0</v>
      </c>
      <c r="E38" s="12">
        <f t="shared" si="3"/>
        <v>0</v>
      </c>
      <c r="F38" s="12">
        <f t="shared" si="3"/>
        <v>0</v>
      </c>
      <c r="G38" s="12">
        <f t="shared" si="3"/>
        <v>0</v>
      </c>
      <c r="H38" s="12">
        <f t="shared" si="3"/>
        <v>0</v>
      </c>
      <c r="I38" s="12">
        <f t="shared" si="3"/>
        <v>0</v>
      </c>
      <c r="J38" s="12">
        <f t="shared" si="0"/>
        <v>0</v>
      </c>
    </row>
    <row r="39" spans="1:10" x14ac:dyDescent="0.3">
      <c r="A39" s="13" t="s">
        <v>78</v>
      </c>
      <c r="B39" s="13"/>
      <c r="C39" s="14">
        <f t="shared" ref="C39:J39" si="4">C36+C37+C38</f>
        <v>4558.1400000000003</v>
      </c>
      <c r="D39" s="14">
        <f t="shared" si="4"/>
        <v>1303.8699999999999</v>
      </c>
      <c r="E39" s="14">
        <f t="shared" si="4"/>
        <v>1002.56</v>
      </c>
      <c r="F39" s="14">
        <f t="shared" si="4"/>
        <v>868.86999999999989</v>
      </c>
      <c r="G39" s="14">
        <f t="shared" si="4"/>
        <v>1182.6399999999999</v>
      </c>
      <c r="H39" s="14">
        <f t="shared" si="4"/>
        <v>4557.59</v>
      </c>
      <c r="I39" s="14">
        <f t="shared" si="4"/>
        <v>1957.3499999999995</v>
      </c>
      <c r="J39" s="14">
        <f t="shared" si="4"/>
        <v>15431.02</v>
      </c>
    </row>
    <row r="40" spans="1:10" x14ac:dyDescent="0.3">
      <c r="A40" s="15" t="s">
        <v>79</v>
      </c>
      <c r="B40" s="15"/>
      <c r="C40" s="16">
        <v>4558.1400000000003</v>
      </c>
      <c r="D40" s="16">
        <v>1303.8699999999999</v>
      </c>
      <c r="E40" s="16">
        <v>1002.56</v>
      </c>
      <c r="F40" s="16">
        <v>868.87</v>
      </c>
      <c r="G40" s="16">
        <v>1182.6400000000001</v>
      </c>
      <c r="H40" s="16">
        <v>4557.59</v>
      </c>
      <c r="I40" s="16">
        <v>1957.35</v>
      </c>
      <c r="J40" s="16">
        <f>SUM(C40:I40)</f>
        <v>15431.02</v>
      </c>
    </row>
    <row r="41" spans="1:10" x14ac:dyDescent="0.3">
      <c r="A41" s="17" t="s">
        <v>80</v>
      </c>
      <c r="B41" s="17"/>
      <c r="C41" s="18">
        <f t="shared" ref="C41:J41" si="5">C39-C40</f>
        <v>0</v>
      </c>
      <c r="D41" s="18">
        <f t="shared" si="5"/>
        <v>0</v>
      </c>
      <c r="E41" s="18">
        <f t="shared" si="5"/>
        <v>0</v>
      </c>
      <c r="F41" s="18">
        <f t="shared" si="5"/>
        <v>0</v>
      </c>
      <c r="G41" s="18">
        <f t="shared" si="5"/>
        <v>0</v>
      </c>
      <c r="H41" s="18">
        <f t="shared" si="5"/>
        <v>0</v>
      </c>
      <c r="I41" s="18">
        <f t="shared" si="5"/>
        <v>0</v>
      </c>
      <c r="J41" s="18">
        <f t="shared" si="5"/>
        <v>0</v>
      </c>
    </row>
    <row r="42" spans="1:10" x14ac:dyDescent="0.3">
      <c r="A42" s="19" t="s">
        <v>81</v>
      </c>
      <c r="B42" s="19"/>
      <c r="C42" s="20"/>
      <c r="D42" s="20"/>
      <c r="E42" s="20">
        <f>E36+28</f>
        <v>239.55</v>
      </c>
      <c r="F42" s="20"/>
      <c r="G42" s="20"/>
      <c r="H42" s="20"/>
      <c r="I42" s="20"/>
      <c r="J42" s="20"/>
    </row>
    <row r="44" spans="1:10" x14ac:dyDescent="0.3">
      <c r="C44" s="24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9"/>
  <sheetViews>
    <sheetView workbookViewId="0">
      <pane ySplit="1" topLeftCell="A5" activePane="bottomLeft" state="frozen"/>
      <selection pane="bottomLeft" activeCell="D13" sqref="D13"/>
    </sheetView>
  </sheetViews>
  <sheetFormatPr baseColWidth="10" defaultColWidth="8.88671875" defaultRowHeight="14.4" x14ac:dyDescent="0.3"/>
  <cols>
    <col min="1" max="1" width="16" customWidth="1"/>
    <col min="2" max="2" width="30" customWidth="1"/>
    <col min="3" max="3" width="18" customWidth="1"/>
    <col min="4" max="4" width="16" customWidth="1"/>
    <col min="5" max="5" width="14" customWidth="1"/>
    <col min="6" max="6" width="60" customWidth="1"/>
  </cols>
  <sheetData>
    <row r="1" spans="1:6" x14ac:dyDescent="0.3">
      <c r="A1" s="4" t="s">
        <v>82</v>
      </c>
      <c r="B1" s="4" t="s">
        <v>29</v>
      </c>
      <c r="C1" s="4" t="s">
        <v>83</v>
      </c>
      <c r="D1" s="4" t="s">
        <v>84</v>
      </c>
      <c r="E1" s="4" t="s">
        <v>85</v>
      </c>
      <c r="F1" s="4" t="s">
        <v>86</v>
      </c>
    </row>
    <row r="2" spans="1:6" x14ac:dyDescent="0.3">
      <c r="A2" s="21" t="s">
        <v>87</v>
      </c>
      <c r="B2" s="21" t="s">
        <v>39</v>
      </c>
      <c r="C2" s="22">
        <v>3646.01</v>
      </c>
      <c r="D2" s="22">
        <v>3646.07</v>
      </c>
      <c r="E2" s="22">
        <f t="shared" ref="E2:E19" si="0">C2-D2</f>
        <v>-5.999999999994543E-2</v>
      </c>
      <c r="F2" s="21" t="s">
        <v>88</v>
      </c>
    </row>
    <row r="3" spans="1:6" x14ac:dyDescent="0.3">
      <c r="A3" s="21" t="s">
        <v>87</v>
      </c>
      <c r="B3" s="21" t="s">
        <v>62</v>
      </c>
      <c r="C3" s="22">
        <v>912</v>
      </c>
      <c r="D3" s="22">
        <v>911.52</v>
      </c>
      <c r="E3" s="22">
        <f t="shared" si="0"/>
        <v>0.48000000000001819</v>
      </c>
      <c r="F3" s="21" t="s">
        <v>89</v>
      </c>
    </row>
    <row r="4" spans="1:6" x14ac:dyDescent="0.3">
      <c r="A4" s="21" t="s">
        <v>87</v>
      </c>
      <c r="B4" s="21" t="s">
        <v>70</v>
      </c>
      <c r="C4" s="22">
        <v>0</v>
      </c>
      <c r="D4" s="22">
        <v>0</v>
      </c>
      <c r="E4" s="22">
        <f t="shared" si="0"/>
        <v>0</v>
      </c>
      <c r="F4" s="21" t="s">
        <v>89</v>
      </c>
    </row>
    <row r="5" spans="1:6" x14ac:dyDescent="0.3">
      <c r="A5" s="21" t="s">
        <v>90</v>
      </c>
      <c r="B5" s="21" t="s">
        <v>39</v>
      </c>
      <c r="C5" s="22">
        <v>478.94</v>
      </c>
      <c r="D5" s="22">
        <v>478.61</v>
      </c>
      <c r="E5" s="22">
        <f t="shared" si="0"/>
        <v>0.32999999999998408</v>
      </c>
      <c r="F5" s="21" t="s">
        <v>91</v>
      </c>
    </row>
    <row r="6" spans="1:6" x14ac:dyDescent="0.3">
      <c r="A6" s="21" t="s">
        <v>90</v>
      </c>
      <c r="B6" s="21" t="s">
        <v>62</v>
      </c>
      <c r="C6" s="22">
        <v>389.97</v>
      </c>
      <c r="D6" s="22">
        <v>390.25</v>
      </c>
      <c r="E6" s="22">
        <f t="shared" si="0"/>
        <v>-0.27999999999997272</v>
      </c>
      <c r="F6" s="21" t="s">
        <v>92</v>
      </c>
    </row>
    <row r="7" spans="1:6" x14ac:dyDescent="0.3">
      <c r="A7" s="21" t="s">
        <v>90</v>
      </c>
      <c r="B7" s="21" t="s">
        <v>70</v>
      </c>
      <c r="C7" s="22">
        <v>0</v>
      </c>
      <c r="D7" s="22">
        <v>0</v>
      </c>
      <c r="E7" s="22">
        <f t="shared" si="0"/>
        <v>0</v>
      </c>
      <c r="F7" s="21" t="s">
        <v>89</v>
      </c>
    </row>
    <row r="8" spans="1:6" x14ac:dyDescent="0.3">
      <c r="A8" s="21" t="s">
        <v>32</v>
      </c>
      <c r="B8" s="21" t="s">
        <v>93</v>
      </c>
      <c r="C8" s="22">
        <v>185</v>
      </c>
      <c r="D8" s="22">
        <v>211.62</v>
      </c>
      <c r="E8" s="22">
        <f t="shared" si="0"/>
        <v>-26.620000000000005</v>
      </c>
      <c r="F8" s="21" t="s">
        <v>94</v>
      </c>
    </row>
    <row r="9" spans="1:6" x14ac:dyDescent="0.3">
      <c r="A9" s="21" t="s">
        <v>32</v>
      </c>
      <c r="B9" s="21" t="s">
        <v>95</v>
      </c>
      <c r="C9" s="22">
        <v>213</v>
      </c>
      <c r="D9" s="22">
        <v>211.62</v>
      </c>
      <c r="E9" s="22">
        <f t="shared" si="0"/>
        <v>1.3799999999999955</v>
      </c>
      <c r="F9" s="21" t="s">
        <v>96</v>
      </c>
    </row>
    <row r="10" spans="1:6" x14ac:dyDescent="0.3">
      <c r="A10" s="21" t="s">
        <v>32</v>
      </c>
      <c r="B10" s="21" t="s">
        <v>62</v>
      </c>
      <c r="C10" s="22">
        <v>791.01</v>
      </c>
      <c r="D10" s="22">
        <v>790.94</v>
      </c>
      <c r="E10" s="22">
        <f t="shared" si="0"/>
        <v>6.9999999999936335E-2</v>
      </c>
      <c r="F10" s="21" t="s">
        <v>89</v>
      </c>
    </row>
    <row r="11" spans="1:6" x14ac:dyDescent="0.3">
      <c r="A11" s="21" t="s">
        <v>32</v>
      </c>
      <c r="B11" s="21" t="s">
        <v>70</v>
      </c>
      <c r="C11" s="22">
        <v>28</v>
      </c>
      <c r="D11" s="22">
        <v>0</v>
      </c>
      <c r="E11" s="22">
        <f t="shared" si="0"/>
        <v>28</v>
      </c>
      <c r="F11" s="21" t="s">
        <v>97</v>
      </c>
    </row>
    <row r="12" spans="1:6" x14ac:dyDescent="0.3">
      <c r="A12" s="21" t="s">
        <v>98</v>
      </c>
      <c r="B12" s="21" t="s">
        <v>39</v>
      </c>
      <c r="C12" s="22">
        <v>828.08</v>
      </c>
      <c r="D12" s="22">
        <v>827.85</v>
      </c>
      <c r="E12" s="22">
        <f t="shared" si="0"/>
        <v>0.23000000000001819</v>
      </c>
      <c r="F12" s="21" t="s">
        <v>99</v>
      </c>
    </row>
    <row r="13" spans="1:6" x14ac:dyDescent="0.3">
      <c r="A13" s="21" t="s">
        <v>98</v>
      </c>
      <c r="B13" s="21" t="s">
        <v>62</v>
      </c>
      <c r="C13" s="22">
        <v>354.97</v>
      </c>
      <c r="D13" s="22">
        <v>354.79</v>
      </c>
      <c r="E13" s="22">
        <f t="shared" si="0"/>
        <v>0.18000000000000682</v>
      </c>
      <c r="F13" s="21" t="s">
        <v>99</v>
      </c>
    </row>
    <row r="14" spans="1:6" x14ac:dyDescent="0.3">
      <c r="A14" s="21" t="s">
        <v>100</v>
      </c>
      <c r="B14" s="21" t="s">
        <v>39</v>
      </c>
      <c r="C14" s="22">
        <v>1761.1</v>
      </c>
      <c r="D14" s="22">
        <v>1760.95</v>
      </c>
      <c r="E14" s="22">
        <f t="shared" si="0"/>
        <v>0.14999999999986358</v>
      </c>
      <c r="F14" s="21" t="s">
        <v>99</v>
      </c>
    </row>
    <row r="15" spans="1:6" x14ac:dyDescent="0.3">
      <c r="A15" s="21" t="s">
        <v>100</v>
      </c>
      <c r="B15" s="21" t="s">
        <v>62</v>
      </c>
      <c r="C15" s="22">
        <v>196</v>
      </c>
      <c r="D15" s="22">
        <v>196.4</v>
      </c>
      <c r="E15" s="22">
        <f t="shared" si="0"/>
        <v>-0.40000000000000568</v>
      </c>
      <c r="F15" s="21" t="s">
        <v>99</v>
      </c>
    </row>
    <row r="16" spans="1:6" x14ac:dyDescent="0.3">
      <c r="A16" s="21" t="s">
        <v>101</v>
      </c>
      <c r="B16" s="21" t="s">
        <v>39</v>
      </c>
      <c r="C16" s="22">
        <v>1303.01</v>
      </c>
      <c r="D16" s="22">
        <v>1303.8699999999999</v>
      </c>
      <c r="E16" s="22">
        <f t="shared" si="0"/>
        <v>-0.85999999999989996</v>
      </c>
      <c r="F16" s="21" t="s">
        <v>99</v>
      </c>
    </row>
    <row r="17" spans="1:6" x14ac:dyDescent="0.3">
      <c r="A17" s="21" t="s">
        <v>102</v>
      </c>
      <c r="B17" s="21" t="s">
        <v>39</v>
      </c>
      <c r="C17" s="22">
        <v>3598.46</v>
      </c>
      <c r="D17" s="22">
        <v>3599.29</v>
      </c>
      <c r="E17" s="22">
        <f t="shared" si="0"/>
        <v>-0.82999999999992724</v>
      </c>
      <c r="F17" s="21" t="s">
        <v>103</v>
      </c>
    </row>
    <row r="18" spans="1:6" x14ac:dyDescent="0.3">
      <c r="A18" s="21" t="s">
        <v>102</v>
      </c>
      <c r="B18" s="21" t="s">
        <v>62</v>
      </c>
      <c r="C18" s="22">
        <v>959</v>
      </c>
      <c r="D18" s="22">
        <v>958.85</v>
      </c>
      <c r="E18" s="22">
        <f t="shared" si="0"/>
        <v>0.14999999999997726</v>
      </c>
      <c r="F18" s="21" t="s">
        <v>99</v>
      </c>
    </row>
    <row r="19" spans="1:6" x14ac:dyDescent="0.3">
      <c r="A19" s="21" t="s">
        <v>102</v>
      </c>
      <c r="B19" s="21" t="s">
        <v>70</v>
      </c>
      <c r="C19" s="22">
        <v>0.39</v>
      </c>
      <c r="D19" s="22">
        <v>0</v>
      </c>
      <c r="E19" s="22">
        <f t="shared" si="0"/>
        <v>0.39</v>
      </c>
      <c r="F19" s="21" t="s">
        <v>104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0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30" customWidth="1"/>
    <col min="2" max="2" width="40" customWidth="1"/>
    <col min="3" max="3" width="80" customWidth="1"/>
  </cols>
  <sheetData>
    <row r="1" spans="1:3" x14ac:dyDescent="0.3">
      <c r="A1" s="4" t="s">
        <v>82</v>
      </c>
      <c r="B1" s="4" t="s">
        <v>105</v>
      </c>
      <c r="C1" s="4" t="s">
        <v>106</v>
      </c>
    </row>
    <row r="2" spans="1:3" ht="41.4" x14ac:dyDescent="0.3">
      <c r="A2" s="23" t="s">
        <v>87</v>
      </c>
      <c r="B2" s="23" t="s">
        <v>107</v>
      </c>
      <c r="C2" s="23" t="s">
        <v>108</v>
      </c>
    </row>
    <row r="3" spans="1:3" x14ac:dyDescent="0.3">
      <c r="A3" s="23" t="s">
        <v>109</v>
      </c>
      <c r="B3" s="23" t="s">
        <v>110</v>
      </c>
      <c r="C3" s="23" t="s">
        <v>111</v>
      </c>
    </row>
    <row r="4" spans="1:3" x14ac:dyDescent="0.3">
      <c r="A4" s="23" t="s">
        <v>112</v>
      </c>
      <c r="B4" s="23" t="s">
        <v>113</v>
      </c>
      <c r="C4" s="23" t="s">
        <v>114</v>
      </c>
    </row>
    <row r="5" spans="1:3" x14ac:dyDescent="0.3">
      <c r="A5" s="23" t="s">
        <v>115</v>
      </c>
      <c r="B5" s="23" t="s">
        <v>116</v>
      </c>
      <c r="C5" s="23" t="s">
        <v>117</v>
      </c>
    </row>
    <row r="6" spans="1:3" x14ac:dyDescent="0.3">
      <c r="A6" s="23" t="s">
        <v>118</v>
      </c>
      <c r="B6" s="23" t="s">
        <v>116</v>
      </c>
      <c r="C6" s="23" t="s">
        <v>119</v>
      </c>
    </row>
    <row r="7" spans="1:3" x14ac:dyDescent="0.3">
      <c r="A7" s="23" t="s">
        <v>120</v>
      </c>
      <c r="B7" s="23" t="s">
        <v>121</v>
      </c>
      <c r="C7" s="23" t="s">
        <v>122</v>
      </c>
    </row>
    <row r="8" spans="1:3" x14ac:dyDescent="0.3">
      <c r="A8" s="23" t="s">
        <v>123</v>
      </c>
      <c r="B8" s="23" t="s">
        <v>124</v>
      </c>
      <c r="C8" s="23" t="s">
        <v>125</v>
      </c>
    </row>
    <row r="9" spans="1:3" x14ac:dyDescent="0.3">
      <c r="A9" s="23" t="s">
        <v>126</v>
      </c>
      <c r="B9" s="23" t="s">
        <v>127</v>
      </c>
      <c r="C9" s="23" t="s">
        <v>128</v>
      </c>
    </row>
    <row r="10" spans="1:3" ht="27.6" x14ac:dyDescent="0.3">
      <c r="A10" s="23" t="s">
        <v>129</v>
      </c>
      <c r="B10" s="23" t="s">
        <v>130</v>
      </c>
      <c r="C10" s="23" t="s">
        <v>131</v>
      </c>
    </row>
    <row r="11" spans="1:3" x14ac:dyDescent="0.3">
      <c r="A11" s="23" t="s">
        <v>132</v>
      </c>
      <c r="B11" s="23" t="s">
        <v>133</v>
      </c>
      <c r="C11" s="23" t="s">
        <v>134</v>
      </c>
    </row>
    <row r="12" spans="1:3" x14ac:dyDescent="0.3">
      <c r="A12" s="23" t="s">
        <v>135</v>
      </c>
      <c r="B12" s="23" t="s">
        <v>136</v>
      </c>
      <c r="C12" s="23" t="s">
        <v>137</v>
      </c>
    </row>
    <row r="13" spans="1:3" x14ac:dyDescent="0.3">
      <c r="A13" s="23" t="s">
        <v>138</v>
      </c>
      <c r="B13" s="23" t="s">
        <v>139</v>
      </c>
      <c r="C13" s="23" t="s">
        <v>140</v>
      </c>
    </row>
    <row r="14" spans="1:3" x14ac:dyDescent="0.3">
      <c r="A14" s="23" t="s">
        <v>141</v>
      </c>
      <c r="B14" s="23" t="s">
        <v>142</v>
      </c>
      <c r="C14" s="23" t="s">
        <v>143</v>
      </c>
    </row>
    <row r="15" spans="1:3" x14ac:dyDescent="0.3">
      <c r="A15" s="23" t="s">
        <v>144</v>
      </c>
      <c r="B15" s="23" t="s">
        <v>145</v>
      </c>
      <c r="C15" s="23" t="s">
        <v>146</v>
      </c>
    </row>
    <row r="16" spans="1:3" x14ac:dyDescent="0.3">
      <c r="A16" s="23" t="s">
        <v>147</v>
      </c>
      <c r="B16" s="23" t="s">
        <v>148</v>
      </c>
      <c r="C16" s="23" t="s">
        <v>149</v>
      </c>
    </row>
    <row r="17" spans="1:3" x14ac:dyDescent="0.3">
      <c r="A17" s="23" t="s">
        <v>150</v>
      </c>
      <c r="B17" s="23" t="s">
        <v>151</v>
      </c>
      <c r="C17" s="23" t="s">
        <v>152</v>
      </c>
    </row>
    <row r="18" spans="1:3" x14ac:dyDescent="0.3">
      <c r="A18" s="23" t="s">
        <v>153</v>
      </c>
      <c r="B18" s="23" t="s">
        <v>154</v>
      </c>
      <c r="C18" s="23" t="s">
        <v>155</v>
      </c>
    </row>
    <row r="19" spans="1:3" x14ac:dyDescent="0.3">
      <c r="A19" s="23" t="s">
        <v>156</v>
      </c>
      <c r="B19" s="23" t="s">
        <v>151</v>
      </c>
      <c r="C19" s="23" t="s">
        <v>157</v>
      </c>
    </row>
    <row r="20" spans="1:3" x14ac:dyDescent="0.3">
      <c r="A20" s="23" t="s">
        <v>158</v>
      </c>
      <c r="B20" s="23" t="s">
        <v>154</v>
      </c>
      <c r="C20" s="23" t="s">
        <v>159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2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26" customWidth="1"/>
    <col min="2" max="2" width="16" customWidth="1"/>
    <col min="3" max="3" width="22" customWidth="1"/>
    <col min="4" max="4" width="18" customWidth="1"/>
    <col min="5" max="5" width="20" customWidth="1"/>
  </cols>
  <sheetData>
    <row r="1" spans="1:5" ht="27.6" x14ac:dyDescent="0.3">
      <c r="A1" s="4" t="s">
        <v>160</v>
      </c>
      <c r="B1" s="4" t="s">
        <v>161</v>
      </c>
      <c r="C1" s="4" t="s">
        <v>162</v>
      </c>
      <c r="D1" s="4" t="s">
        <v>163</v>
      </c>
      <c r="E1" s="4" t="s">
        <v>164</v>
      </c>
    </row>
    <row r="2" spans="1:5" x14ac:dyDescent="0.3">
      <c r="A2" s="21" t="s">
        <v>165</v>
      </c>
      <c r="B2" s="21" t="s">
        <v>166</v>
      </c>
      <c r="C2" s="21" t="s">
        <v>39</v>
      </c>
      <c r="D2" s="21" t="s">
        <v>39</v>
      </c>
      <c r="E2" s="22">
        <v>29</v>
      </c>
    </row>
    <row r="3" spans="1:5" x14ac:dyDescent="0.3">
      <c r="A3" s="21" t="s">
        <v>167</v>
      </c>
      <c r="B3" s="21" t="s">
        <v>168</v>
      </c>
      <c r="C3" s="21" t="s">
        <v>39</v>
      </c>
      <c r="D3" s="21" t="s">
        <v>39</v>
      </c>
      <c r="E3" s="22">
        <v>31</v>
      </c>
    </row>
    <row r="4" spans="1:5" x14ac:dyDescent="0.3">
      <c r="A4" s="21" t="s">
        <v>169</v>
      </c>
      <c r="B4" s="21" t="s">
        <v>170</v>
      </c>
      <c r="C4" s="21" t="s">
        <v>39</v>
      </c>
      <c r="D4" s="21" t="s">
        <v>39</v>
      </c>
      <c r="E4" s="22">
        <v>31</v>
      </c>
    </row>
    <row r="5" spans="1:5" x14ac:dyDescent="0.3">
      <c r="A5" s="21" t="s">
        <v>70</v>
      </c>
      <c r="B5" s="21" t="s">
        <v>171</v>
      </c>
      <c r="C5" s="21" t="s">
        <v>70</v>
      </c>
      <c r="D5" s="21" t="s">
        <v>39</v>
      </c>
      <c r="E5" s="22">
        <v>28</v>
      </c>
    </row>
    <row r="6" spans="1:5" x14ac:dyDescent="0.3">
      <c r="A6" s="21" t="s">
        <v>172</v>
      </c>
      <c r="B6" s="21" t="s">
        <v>173</v>
      </c>
      <c r="C6" s="21" t="s">
        <v>39</v>
      </c>
      <c r="D6" s="21" t="s">
        <v>39</v>
      </c>
      <c r="E6" s="22">
        <v>35</v>
      </c>
    </row>
    <row r="7" spans="1:5" x14ac:dyDescent="0.3">
      <c r="A7" s="21" t="s">
        <v>174</v>
      </c>
      <c r="B7" s="21" t="s">
        <v>175</v>
      </c>
      <c r="C7" s="21" t="s">
        <v>39</v>
      </c>
      <c r="D7" s="21" t="s">
        <v>39</v>
      </c>
      <c r="E7" s="22">
        <v>35</v>
      </c>
    </row>
    <row r="8" spans="1:5" x14ac:dyDescent="0.3">
      <c r="A8" s="21" t="s">
        <v>56</v>
      </c>
      <c r="B8" s="21" t="s">
        <v>176</v>
      </c>
      <c r="C8" s="21" t="s">
        <v>39</v>
      </c>
      <c r="D8" s="21" t="s">
        <v>39</v>
      </c>
      <c r="E8" s="22">
        <v>4</v>
      </c>
    </row>
    <row r="9" spans="1:5" x14ac:dyDescent="0.3">
      <c r="A9" s="21" t="s">
        <v>177</v>
      </c>
      <c r="B9" s="21" t="s">
        <v>178</v>
      </c>
      <c r="C9" s="21" t="s">
        <v>39</v>
      </c>
      <c r="D9" s="21" t="s">
        <v>39</v>
      </c>
      <c r="E9" s="22">
        <v>4</v>
      </c>
    </row>
    <row r="10" spans="1:5" x14ac:dyDescent="0.3">
      <c r="A10" s="21" t="s">
        <v>179</v>
      </c>
      <c r="B10" s="21" t="s">
        <v>173</v>
      </c>
      <c r="C10" s="21" t="s">
        <v>39</v>
      </c>
      <c r="D10" s="21" t="s">
        <v>39</v>
      </c>
      <c r="E10" s="22">
        <v>8</v>
      </c>
    </row>
    <row r="11" spans="1:5" x14ac:dyDescent="0.3">
      <c r="A11" s="21" t="s">
        <v>180</v>
      </c>
      <c r="B11" s="21" t="s">
        <v>175</v>
      </c>
      <c r="C11" s="21" t="s">
        <v>39</v>
      </c>
      <c r="D11" s="21" t="s">
        <v>39</v>
      </c>
      <c r="E11" s="22">
        <v>8</v>
      </c>
    </row>
    <row r="12" spans="1:5" x14ac:dyDescent="0.3">
      <c r="A12" s="13" t="s">
        <v>181</v>
      </c>
      <c r="B12" s="13"/>
      <c r="C12" s="13"/>
      <c r="D12" s="13"/>
      <c r="E12" s="14">
        <f>SUM(E2:E11)</f>
        <v>213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67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55" customWidth="1"/>
    <col min="2" max="3" width="16" customWidth="1"/>
    <col min="4" max="4" width="14" customWidth="1"/>
  </cols>
  <sheetData>
    <row r="1" spans="1:4" x14ac:dyDescent="0.3">
      <c r="A1" s="4" t="s">
        <v>182</v>
      </c>
      <c r="B1" s="4" t="s">
        <v>161</v>
      </c>
      <c r="C1" s="4" t="s">
        <v>29</v>
      </c>
      <c r="D1" s="4" t="s">
        <v>183</v>
      </c>
    </row>
    <row r="2" spans="1:4" x14ac:dyDescent="0.3">
      <c r="A2" s="21" t="s">
        <v>184</v>
      </c>
      <c r="B2" s="21" t="s">
        <v>185</v>
      </c>
      <c r="C2" s="21" t="s">
        <v>39</v>
      </c>
      <c r="D2" s="22">
        <v>0</v>
      </c>
    </row>
    <row r="3" spans="1:4" x14ac:dyDescent="0.3">
      <c r="A3" s="21" t="s">
        <v>186</v>
      </c>
      <c r="B3" s="21" t="s">
        <v>187</v>
      </c>
      <c r="C3" s="21" t="s">
        <v>39</v>
      </c>
      <c r="D3" s="22">
        <v>0</v>
      </c>
    </row>
    <row r="4" spans="1:4" x14ac:dyDescent="0.3">
      <c r="A4" s="21" t="s">
        <v>188</v>
      </c>
      <c r="B4" s="21" t="s">
        <v>189</v>
      </c>
      <c r="C4" s="21" t="s">
        <v>39</v>
      </c>
      <c r="D4" s="22">
        <v>0</v>
      </c>
    </row>
    <row r="5" spans="1:4" x14ac:dyDescent="0.3">
      <c r="A5" s="21" t="s">
        <v>190</v>
      </c>
      <c r="B5" s="21" t="s">
        <v>191</v>
      </c>
      <c r="C5" s="21" t="s">
        <v>39</v>
      </c>
      <c r="D5" s="22">
        <v>0</v>
      </c>
    </row>
    <row r="6" spans="1:4" x14ac:dyDescent="0.3">
      <c r="A6" s="21" t="s">
        <v>192</v>
      </c>
      <c r="B6" s="21" t="s">
        <v>191</v>
      </c>
      <c r="C6" s="21" t="s">
        <v>39</v>
      </c>
      <c r="D6" s="22">
        <v>0</v>
      </c>
    </row>
    <row r="7" spans="1:4" x14ac:dyDescent="0.3">
      <c r="A7" s="21" t="s">
        <v>193</v>
      </c>
      <c r="B7" s="21" t="s">
        <v>194</v>
      </c>
      <c r="C7" s="21" t="s">
        <v>39</v>
      </c>
      <c r="D7" s="22">
        <v>5.92</v>
      </c>
    </row>
    <row r="8" spans="1:4" x14ac:dyDescent="0.3">
      <c r="A8" s="21" t="s">
        <v>195</v>
      </c>
      <c r="B8" s="21" t="s">
        <v>196</v>
      </c>
      <c r="C8" s="21" t="s">
        <v>39</v>
      </c>
      <c r="D8" s="22">
        <v>1.22</v>
      </c>
    </row>
    <row r="9" spans="1:4" x14ac:dyDescent="0.3">
      <c r="A9" s="21" t="s">
        <v>197</v>
      </c>
      <c r="B9" s="21" t="s">
        <v>198</v>
      </c>
      <c r="C9" s="21" t="s">
        <v>39</v>
      </c>
      <c r="D9" s="22">
        <v>0</v>
      </c>
    </row>
    <row r="10" spans="1:4" x14ac:dyDescent="0.3">
      <c r="A10" s="21" t="s">
        <v>199</v>
      </c>
      <c r="B10" s="21" t="s">
        <v>200</v>
      </c>
      <c r="C10" s="21" t="s">
        <v>39</v>
      </c>
      <c r="D10" s="22">
        <v>0</v>
      </c>
    </row>
    <row r="11" spans="1:4" x14ac:dyDescent="0.3">
      <c r="A11" s="21" t="s">
        <v>201</v>
      </c>
      <c r="B11" s="21" t="s">
        <v>200</v>
      </c>
      <c r="C11" s="21" t="s">
        <v>39</v>
      </c>
      <c r="D11" s="22">
        <v>170.14</v>
      </c>
    </row>
    <row r="12" spans="1:4" x14ac:dyDescent="0.3">
      <c r="A12" s="21" t="s">
        <v>202</v>
      </c>
      <c r="B12" s="21" t="s">
        <v>203</v>
      </c>
      <c r="C12" s="21" t="s">
        <v>39</v>
      </c>
      <c r="D12" s="22">
        <v>0</v>
      </c>
    </row>
    <row r="13" spans="1:4" x14ac:dyDescent="0.3">
      <c r="A13" s="21" t="s">
        <v>204</v>
      </c>
      <c r="B13" s="21" t="s">
        <v>203</v>
      </c>
      <c r="C13" s="21" t="s">
        <v>39</v>
      </c>
      <c r="D13" s="22">
        <v>10.119999999999999</v>
      </c>
    </row>
    <row r="14" spans="1:4" x14ac:dyDescent="0.3">
      <c r="A14" s="21" t="s">
        <v>205</v>
      </c>
      <c r="B14" s="21" t="s">
        <v>206</v>
      </c>
      <c r="C14" s="21" t="s">
        <v>39</v>
      </c>
      <c r="D14" s="22">
        <v>0</v>
      </c>
    </row>
    <row r="15" spans="1:4" x14ac:dyDescent="0.3">
      <c r="A15" s="21" t="s">
        <v>207</v>
      </c>
      <c r="B15" s="21" t="s">
        <v>208</v>
      </c>
      <c r="C15" s="21" t="s">
        <v>39</v>
      </c>
      <c r="D15" s="22">
        <v>0</v>
      </c>
    </row>
    <row r="16" spans="1:4" x14ac:dyDescent="0.3">
      <c r="A16" s="21" t="s">
        <v>209</v>
      </c>
      <c r="B16" s="21" t="s">
        <v>206</v>
      </c>
      <c r="C16" s="21" t="s">
        <v>39</v>
      </c>
      <c r="D16" s="22">
        <v>0</v>
      </c>
    </row>
    <row r="17" spans="1:4" x14ac:dyDescent="0.3">
      <c r="A17" s="21" t="s">
        <v>210</v>
      </c>
      <c r="B17" s="21" t="s">
        <v>208</v>
      </c>
      <c r="C17" s="21" t="s">
        <v>39</v>
      </c>
      <c r="D17" s="22">
        <v>0</v>
      </c>
    </row>
    <row r="18" spans="1:4" x14ac:dyDescent="0.3">
      <c r="A18" s="21" t="s">
        <v>211</v>
      </c>
      <c r="B18" s="21" t="s">
        <v>206</v>
      </c>
      <c r="C18" s="21" t="s">
        <v>39</v>
      </c>
      <c r="D18" s="22">
        <v>10.119999999999999</v>
      </c>
    </row>
    <row r="19" spans="1:4" x14ac:dyDescent="0.3">
      <c r="A19" s="21" t="s">
        <v>212</v>
      </c>
      <c r="B19" s="21" t="s">
        <v>208</v>
      </c>
      <c r="C19" s="21" t="s">
        <v>39</v>
      </c>
      <c r="D19" s="22">
        <v>10.119999999999999</v>
      </c>
    </row>
    <row r="20" spans="1:4" x14ac:dyDescent="0.3">
      <c r="A20" s="21" t="s">
        <v>213</v>
      </c>
      <c r="B20" s="21" t="s">
        <v>166</v>
      </c>
      <c r="C20" s="21" t="s">
        <v>39</v>
      </c>
      <c r="D20" s="22">
        <v>0</v>
      </c>
    </row>
    <row r="21" spans="1:4" x14ac:dyDescent="0.3">
      <c r="A21" s="21" t="s">
        <v>214</v>
      </c>
      <c r="B21" s="21" t="s">
        <v>166</v>
      </c>
      <c r="C21" s="21" t="s">
        <v>39</v>
      </c>
      <c r="D21" s="22">
        <v>68.97</v>
      </c>
    </row>
    <row r="22" spans="1:4" x14ac:dyDescent="0.3">
      <c r="A22" s="21" t="s">
        <v>215</v>
      </c>
      <c r="B22" s="21" t="s">
        <v>168</v>
      </c>
      <c r="C22" s="21" t="s">
        <v>39</v>
      </c>
      <c r="D22" s="22">
        <v>0</v>
      </c>
    </row>
    <row r="23" spans="1:4" x14ac:dyDescent="0.3">
      <c r="A23" s="21" t="s">
        <v>216</v>
      </c>
      <c r="B23" s="21" t="s">
        <v>168</v>
      </c>
      <c r="C23" s="21" t="s">
        <v>39</v>
      </c>
      <c r="D23" s="22">
        <v>103</v>
      </c>
    </row>
    <row r="24" spans="1:4" x14ac:dyDescent="0.3">
      <c r="A24" s="21" t="s">
        <v>217</v>
      </c>
      <c r="B24" s="21" t="s">
        <v>218</v>
      </c>
      <c r="C24" s="21" t="s">
        <v>39</v>
      </c>
      <c r="D24" s="22">
        <v>0</v>
      </c>
    </row>
    <row r="25" spans="1:4" x14ac:dyDescent="0.3">
      <c r="A25" s="21" t="s">
        <v>219</v>
      </c>
      <c r="B25" s="21" t="s">
        <v>171</v>
      </c>
      <c r="C25" s="21" t="s">
        <v>70</v>
      </c>
      <c r="D25" s="22">
        <v>0</v>
      </c>
    </row>
    <row r="26" spans="1:4" x14ac:dyDescent="0.3">
      <c r="A26" s="21" t="s">
        <v>220</v>
      </c>
      <c r="B26" s="21" t="s">
        <v>221</v>
      </c>
      <c r="C26" s="21" t="s">
        <v>39</v>
      </c>
      <c r="D26" s="22">
        <v>450.63</v>
      </c>
    </row>
    <row r="27" spans="1:4" x14ac:dyDescent="0.3">
      <c r="A27" s="21" t="s">
        <v>222</v>
      </c>
      <c r="B27" s="21" t="s">
        <v>221</v>
      </c>
      <c r="C27" s="21" t="s">
        <v>39</v>
      </c>
      <c r="D27" s="22">
        <v>367.86</v>
      </c>
    </row>
    <row r="28" spans="1:4" x14ac:dyDescent="0.3">
      <c r="A28" s="21" t="s">
        <v>223</v>
      </c>
      <c r="B28" s="21" t="s">
        <v>170</v>
      </c>
      <c r="C28" s="21" t="s">
        <v>39</v>
      </c>
      <c r="D28" s="22">
        <v>205.64</v>
      </c>
    </row>
    <row r="29" spans="1:4" x14ac:dyDescent="0.3">
      <c r="A29" s="21" t="s">
        <v>224</v>
      </c>
      <c r="B29" s="21" t="s">
        <v>221</v>
      </c>
      <c r="C29" s="21" t="s">
        <v>39</v>
      </c>
      <c r="D29" s="22">
        <v>0</v>
      </c>
    </row>
    <row r="30" spans="1:4" x14ac:dyDescent="0.3">
      <c r="A30" s="21" t="s">
        <v>225</v>
      </c>
      <c r="B30" s="21" t="s">
        <v>226</v>
      </c>
      <c r="C30" s="21" t="s">
        <v>39</v>
      </c>
      <c r="D30" s="22">
        <v>0</v>
      </c>
    </row>
    <row r="31" spans="1:4" x14ac:dyDescent="0.3">
      <c r="A31" s="21" t="s">
        <v>227</v>
      </c>
      <c r="B31" s="21" t="s">
        <v>226</v>
      </c>
      <c r="C31" s="21" t="s">
        <v>39</v>
      </c>
      <c r="D31" s="22">
        <v>0</v>
      </c>
    </row>
    <row r="32" spans="1:4" x14ac:dyDescent="0.3">
      <c r="A32" s="21" t="s">
        <v>228</v>
      </c>
      <c r="B32" s="21" t="s">
        <v>226</v>
      </c>
      <c r="C32" s="21" t="s">
        <v>39</v>
      </c>
      <c r="D32" s="22">
        <v>0</v>
      </c>
    </row>
    <row r="33" spans="1:4" x14ac:dyDescent="0.3">
      <c r="A33" s="21" t="s">
        <v>229</v>
      </c>
      <c r="B33" s="21" t="s">
        <v>226</v>
      </c>
      <c r="C33" s="21" t="s">
        <v>39</v>
      </c>
      <c r="D33" s="22">
        <v>0</v>
      </c>
    </row>
    <row r="34" spans="1:4" x14ac:dyDescent="0.3">
      <c r="A34" s="21" t="s">
        <v>230</v>
      </c>
      <c r="B34" s="21" t="s">
        <v>226</v>
      </c>
      <c r="C34" s="21" t="s">
        <v>39</v>
      </c>
      <c r="D34" s="22">
        <v>0</v>
      </c>
    </row>
    <row r="35" spans="1:4" x14ac:dyDescent="0.3">
      <c r="A35" s="21" t="s">
        <v>231</v>
      </c>
      <c r="B35" s="21" t="s">
        <v>170</v>
      </c>
      <c r="C35" s="21" t="s">
        <v>39</v>
      </c>
      <c r="D35" s="22">
        <v>60.75</v>
      </c>
    </row>
    <row r="36" spans="1:4" x14ac:dyDescent="0.3">
      <c r="A36" s="21" t="s">
        <v>232</v>
      </c>
      <c r="B36" s="21" t="s">
        <v>170</v>
      </c>
      <c r="C36" s="21" t="s">
        <v>39</v>
      </c>
      <c r="D36" s="22">
        <v>0</v>
      </c>
    </row>
    <row r="37" spans="1:4" x14ac:dyDescent="0.3">
      <c r="A37" s="21" t="s">
        <v>233</v>
      </c>
      <c r="B37" s="21" t="s">
        <v>170</v>
      </c>
      <c r="C37" s="21" t="s">
        <v>39</v>
      </c>
      <c r="D37" s="22">
        <v>0</v>
      </c>
    </row>
    <row r="38" spans="1:4" x14ac:dyDescent="0.3">
      <c r="A38" s="21" t="s">
        <v>234</v>
      </c>
      <c r="B38" s="21" t="s">
        <v>170</v>
      </c>
      <c r="C38" s="21" t="s">
        <v>39</v>
      </c>
      <c r="D38" s="22">
        <v>0</v>
      </c>
    </row>
    <row r="39" spans="1:4" x14ac:dyDescent="0.3">
      <c r="A39" s="21" t="s">
        <v>235</v>
      </c>
      <c r="B39" s="21" t="s">
        <v>170</v>
      </c>
      <c r="C39" s="21" t="s">
        <v>39</v>
      </c>
      <c r="D39" s="22">
        <v>0</v>
      </c>
    </row>
    <row r="40" spans="1:4" x14ac:dyDescent="0.3">
      <c r="A40" s="21" t="s">
        <v>236</v>
      </c>
      <c r="B40" s="21" t="s">
        <v>170</v>
      </c>
      <c r="C40" s="21" t="s">
        <v>39</v>
      </c>
      <c r="D40" s="22">
        <v>0</v>
      </c>
    </row>
    <row r="41" spans="1:4" x14ac:dyDescent="0.3">
      <c r="A41" s="21" t="s">
        <v>237</v>
      </c>
      <c r="B41" s="21" t="s">
        <v>170</v>
      </c>
      <c r="C41" s="21" t="s">
        <v>39</v>
      </c>
      <c r="D41" s="22">
        <v>0</v>
      </c>
    </row>
    <row r="42" spans="1:4" x14ac:dyDescent="0.3">
      <c r="A42" s="21" t="s">
        <v>238</v>
      </c>
      <c r="B42" s="21" t="s">
        <v>170</v>
      </c>
      <c r="C42" s="21" t="s">
        <v>39</v>
      </c>
      <c r="D42" s="22">
        <v>0</v>
      </c>
    </row>
    <row r="43" spans="1:4" x14ac:dyDescent="0.3">
      <c r="A43" s="21" t="s">
        <v>239</v>
      </c>
      <c r="B43" s="21" t="s">
        <v>170</v>
      </c>
      <c r="C43" s="21" t="s">
        <v>39</v>
      </c>
      <c r="D43" s="22">
        <v>0</v>
      </c>
    </row>
    <row r="44" spans="1:4" x14ac:dyDescent="0.3">
      <c r="A44" s="21" t="s">
        <v>240</v>
      </c>
      <c r="B44" s="21" t="s">
        <v>176</v>
      </c>
      <c r="C44" s="21" t="s">
        <v>39</v>
      </c>
      <c r="D44" s="22">
        <v>0</v>
      </c>
    </row>
    <row r="45" spans="1:4" x14ac:dyDescent="0.3">
      <c r="A45" s="21" t="s">
        <v>241</v>
      </c>
      <c r="B45" s="21" t="s">
        <v>178</v>
      </c>
      <c r="C45" s="21" t="s">
        <v>39</v>
      </c>
      <c r="D45" s="22">
        <v>863.68</v>
      </c>
    </row>
    <row r="46" spans="1:4" x14ac:dyDescent="0.3">
      <c r="A46" s="21" t="s">
        <v>242</v>
      </c>
      <c r="B46" s="21" t="s">
        <v>173</v>
      </c>
      <c r="C46" s="21" t="s">
        <v>39</v>
      </c>
      <c r="D46" s="22">
        <v>0</v>
      </c>
    </row>
    <row r="47" spans="1:4" x14ac:dyDescent="0.3">
      <c r="A47" s="21" t="s">
        <v>243</v>
      </c>
      <c r="B47" s="21" t="s">
        <v>175</v>
      </c>
      <c r="C47" s="21" t="s">
        <v>39</v>
      </c>
      <c r="D47" s="22">
        <v>0</v>
      </c>
    </row>
    <row r="48" spans="1:4" x14ac:dyDescent="0.3">
      <c r="A48" s="21" t="s">
        <v>244</v>
      </c>
      <c r="B48" s="21" t="s">
        <v>173</v>
      </c>
      <c r="C48" s="21" t="s">
        <v>39</v>
      </c>
      <c r="D48" s="22">
        <v>0</v>
      </c>
    </row>
    <row r="49" spans="1:4" x14ac:dyDescent="0.3">
      <c r="A49" s="21" t="s">
        <v>245</v>
      </c>
      <c r="B49" s="21" t="s">
        <v>175</v>
      </c>
      <c r="C49" s="21" t="s">
        <v>39</v>
      </c>
      <c r="D49" s="22">
        <v>0</v>
      </c>
    </row>
    <row r="50" spans="1:4" x14ac:dyDescent="0.3">
      <c r="A50" s="21" t="s">
        <v>246</v>
      </c>
      <c r="B50" s="21" t="s">
        <v>173</v>
      </c>
      <c r="C50" s="21" t="s">
        <v>39</v>
      </c>
      <c r="D50" s="22">
        <v>11.92</v>
      </c>
    </row>
    <row r="51" spans="1:4" x14ac:dyDescent="0.3">
      <c r="A51" s="21" t="s">
        <v>247</v>
      </c>
      <c r="B51" s="21" t="s">
        <v>175</v>
      </c>
      <c r="C51" s="21" t="s">
        <v>39</v>
      </c>
      <c r="D51" s="22">
        <v>0</v>
      </c>
    </row>
    <row r="52" spans="1:4" x14ac:dyDescent="0.3">
      <c r="A52" s="21" t="s">
        <v>248</v>
      </c>
      <c r="B52" s="21" t="s">
        <v>173</v>
      </c>
      <c r="C52" s="21" t="s">
        <v>39</v>
      </c>
      <c r="D52" s="22">
        <v>515.01</v>
      </c>
    </row>
    <row r="53" spans="1:4" x14ac:dyDescent="0.3">
      <c r="A53" s="21" t="s">
        <v>249</v>
      </c>
      <c r="B53" s="21" t="s">
        <v>173</v>
      </c>
      <c r="C53" s="21" t="s">
        <v>39</v>
      </c>
      <c r="D53" s="22">
        <v>0</v>
      </c>
    </row>
    <row r="54" spans="1:4" x14ac:dyDescent="0.3">
      <c r="A54" s="21" t="s">
        <v>250</v>
      </c>
      <c r="B54" s="21" t="s">
        <v>175</v>
      </c>
      <c r="C54" s="21" t="s">
        <v>39</v>
      </c>
      <c r="D54" s="22">
        <v>515.01</v>
      </c>
    </row>
    <row r="55" spans="1:4" x14ac:dyDescent="0.3">
      <c r="A55" s="21" t="s">
        <v>251</v>
      </c>
      <c r="B55" s="21" t="s">
        <v>175</v>
      </c>
      <c r="C55" s="21" t="s">
        <v>39</v>
      </c>
      <c r="D55" s="22">
        <v>0</v>
      </c>
    </row>
    <row r="56" spans="1:4" x14ac:dyDescent="0.3">
      <c r="A56" s="21" t="s">
        <v>252</v>
      </c>
      <c r="B56" s="21" t="s">
        <v>253</v>
      </c>
      <c r="C56" s="21" t="s">
        <v>39</v>
      </c>
      <c r="D56" s="22">
        <v>0</v>
      </c>
    </row>
    <row r="57" spans="1:4" x14ac:dyDescent="0.3">
      <c r="A57" s="21" t="s">
        <v>254</v>
      </c>
      <c r="B57" s="21" t="s">
        <v>253</v>
      </c>
      <c r="C57" s="21" t="s">
        <v>39</v>
      </c>
      <c r="D57" s="22">
        <v>275.89999999999998</v>
      </c>
    </row>
    <row r="58" spans="1:4" x14ac:dyDescent="0.3">
      <c r="A58" s="21" t="s">
        <v>255</v>
      </c>
      <c r="B58" s="21" t="s">
        <v>256</v>
      </c>
      <c r="C58" s="21" t="s">
        <v>62</v>
      </c>
      <c r="D58" s="22">
        <v>0</v>
      </c>
    </row>
    <row r="59" spans="1:4" x14ac:dyDescent="0.3">
      <c r="A59" s="21" t="s">
        <v>257</v>
      </c>
      <c r="B59" s="21" t="s">
        <v>258</v>
      </c>
      <c r="C59" s="21" t="s">
        <v>62</v>
      </c>
      <c r="D59" s="22">
        <v>0</v>
      </c>
    </row>
    <row r="60" spans="1:4" x14ac:dyDescent="0.3">
      <c r="A60" s="21" t="s">
        <v>259</v>
      </c>
      <c r="B60" s="21" t="s">
        <v>258</v>
      </c>
      <c r="C60" s="21" t="s">
        <v>62</v>
      </c>
      <c r="D60" s="22">
        <v>264.60000000000002</v>
      </c>
    </row>
    <row r="61" spans="1:4" x14ac:dyDescent="0.3">
      <c r="A61" s="21" t="s">
        <v>260</v>
      </c>
      <c r="B61" s="21" t="s">
        <v>261</v>
      </c>
      <c r="C61" s="21" t="s">
        <v>62</v>
      </c>
      <c r="D61" s="22">
        <v>8.82</v>
      </c>
    </row>
    <row r="62" spans="1:4" x14ac:dyDescent="0.3">
      <c r="A62" s="21" t="s">
        <v>262</v>
      </c>
      <c r="B62" s="21" t="s">
        <v>261</v>
      </c>
      <c r="C62" s="21" t="s">
        <v>62</v>
      </c>
      <c r="D62" s="22">
        <v>88.2</v>
      </c>
    </row>
    <row r="63" spans="1:4" x14ac:dyDescent="0.3">
      <c r="A63" s="21" t="s">
        <v>263</v>
      </c>
      <c r="B63" s="21" t="s">
        <v>264</v>
      </c>
      <c r="C63" s="21" t="s">
        <v>62</v>
      </c>
      <c r="D63" s="22">
        <v>23.52</v>
      </c>
    </row>
    <row r="64" spans="1:4" x14ac:dyDescent="0.3">
      <c r="A64" s="21" t="s">
        <v>265</v>
      </c>
      <c r="B64" s="21" t="s">
        <v>264</v>
      </c>
      <c r="C64" s="21" t="s">
        <v>62</v>
      </c>
      <c r="D64" s="22">
        <v>517.45000000000005</v>
      </c>
    </row>
    <row r="65" spans="1:4" x14ac:dyDescent="0.3">
      <c r="A65" s="21" t="s">
        <v>266</v>
      </c>
      <c r="B65" s="21" t="s">
        <v>264</v>
      </c>
      <c r="C65" s="21" t="s">
        <v>62</v>
      </c>
      <c r="D65" s="22">
        <v>0</v>
      </c>
    </row>
    <row r="66" spans="1:4" x14ac:dyDescent="0.3">
      <c r="A66" s="21" t="s">
        <v>267</v>
      </c>
      <c r="B66" s="21" t="s">
        <v>264</v>
      </c>
      <c r="C66" s="21" t="s">
        <v>62</v>
      </c>
      <c r="D66" s="22">
        <v>9.41</v>
      </c>
    </row>
    <row r="67" spans="1:4" x14ac:dyDescent="0.3">
      <c r="A67" s="13" t="s">
        <v>268</v>
      </c>
      <c r="B67" s="13"/>
      <c r="C67" s="13"/>
      <c r="D67" s="14">
        <f>SUM(D2:D66)</f>
        <v>4558.0099999999993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Lectura primero</vt:lpstr>
      <vt:lpstr>Por equipo</vt:lpstr>
      <vt:lpstr>Comparacion bloques</vt:lpstr>
      <vt:lpstr>Llaves de asignacion</vt:lpstr>
      <vt:lpstr>Mapeo Hach</vt:lpstr>
      <vt:lpstr>Detalle Electricidad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Luna Sofia Osorio Parra</cp:lastModifiedBy>
  <dcterms:created xsi:type="dcterms:W3CDTF">2026-06-04T19:14:34Z</dcterms:created>
  <dcterms:modified xsi:type="dcterms:W3CDTF">2026-06-05T20:56:45Z</dcterms:modified>
</cp:coreProperties>
</file>