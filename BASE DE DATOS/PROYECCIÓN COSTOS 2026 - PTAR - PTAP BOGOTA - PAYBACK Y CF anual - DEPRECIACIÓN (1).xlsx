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comments7.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T:\2026\INFORMES Y PRUEBAS\"/>
    </mc:Choice>
  </mc:AlternateContent>
  <xr:revisionPtr revIDLastSave="0" documentId="8_{3A310F81-3CFF-423A-BEA4-F11E518ECFD9}" xr6:coauthVersionLast="47" xr6:coauthVersionMax="47" xr10:uidLastSave="{00000000-0000-0000-0000-000000000000}"/>
  <bookViews>
    <workbookView xWindow="23880" yWindow="1830" windowWidth="20730" windowHeight="11040" firstSheet="1" activeTab="2" xr2:uid="{D53765BE-1572-42DE-A621-0B38E531BF78}"/>
  </bookViews>
  <sheets>
    <sheet name="Resumen costos Ptar Bogotá" sheetId="8" state="hidden" r:id="rId1"/>
    <sheet name="PROYEC COSTO M3 PERMODA BOGOTA" sheetId="21" r:id="rId2"/>
    <sheet name="PLAN MAESTRO BOGOTA RECIRCU" sheetId="13" r:id="rId3"/>
    <sheet name="PROYECCIÓN INSUMOS QUÍMICOS" sheetId="9" r:id="rId4"/>
    <sheet name="PROYECCIÓN RESIDUOS Y LODOS" sheetId="10" r:id="rId5"/>
    <sheet name="PROYECCIÓN CONSUMIBLES PTAR" sheetId="11" r:id="rId6"/>
    <sheet name="PROYECCIÓN CALIBR-MANTE PTAR" sheetId="12" r:id="rId7"/>
    <sheet name="PROYECCIÓN NOMINA PTAR" sheetId="14" r:id="rId8"/>
    <sheet name="PROYECCIÓN ELECTRICIDAD PTAR" sheetId="15" r:id="rId9"/>
    <sheet name="PROYECCIÓN DEPRECIACIÓN PTAR" sheetId="16" r:id="rId10"/>
    <sheet name="PROYECCIÓN PAGO USO POZO" sheetId="19" r:id="rId11"/>
  </sheets>
  <definedNames>
    <definedName name="_xlnm._FilterDatabase" localSheetId="0" hidden="1">'Resumen costos Ptar Bogotá'!$A$5:$AU$113</definedName>
    <definedName name="ANALISTA">#REF!</definedName>
    <definedName name="BALANCEO">#REF!</definedName>
    <definedName name="ESTADO">#REF!</definedName>
    <definedName name="PLANTAS">#REF!</definedName>
    <definedName name="PRENDA">#REF!</definedName>
    <definedName name="PROCESO">#REF!</definedName>
    <definedName name="TIP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9" i="13" l="1"/>
  <c r="Z9" i="13"/>
  <c r="X9" i="13"/>
  <c r="V9" i="13"/>
  <c r="T9" i="13"/>
  <c r="R9" i="13"/>
  <c r="P9" i="13"/>
  <c r="N10" i="13"/>
  <c r="M10" i="13" s="1"/>
  <c r="T6" i="11"/>
  <c r="T7" i="11"/>
  <c r="D5" i="21"/>
  <c r="E5" i="21"/>
  <c r="O26" i="16"/>
  <c r="R6" i="16"/>
  <c r="D74" i="21"/>
  <c r="T20" i="14"/>
  <c r="T9" i="16"/>
  <c r="G18" i="13"/>
  <c r="G19" i="13"/>
  <c r="G20" i="13"/>
  <c r="G17" i="13"/>
  <c r="H14" i="13"/>
  <c r="H13" i="13"/>
  <c r="T11" i="16"/>
  <c r="T11" i="12"/>
  <c r="S8" i="11"/>
  <c r="S20" i="12"/>
  <c r="S8" i="12"/>
  <c r="T9" i="14"/>
  <c r="S6" i="14"/>
  <c r="G31" i="14"/>
  <c r="G32" i="14"/>
  <c r="V27" i="16"/>
  <c r="T6" i="19"/>
  <c r="W23" i="16"/>
  <c r="W22" i="16"/>
  <c r="V25" i="16"/>
  <c r="S6" i="16" s="1"/>
  <c r="D75" i="21"/>
  <c r="R7" i="16"/>
  <c r="L24" i="16"/>
  <c r="L23" i="16"/>
  <c r="L20" i="16"/>
  <c r="O22" i="16"/>
  <c r="I23" i="16"/>
  <c r="I22" i="16"/>
  <c r="L22" i="16" s="1"/>
  <c r="T12" i="11" l="1"/>
  <c r="R17" i="16"/>
  <c r="S17" i="16" s="1"/>
  <c r="F17" i="14"/>
  <c r="H24" i="14"/>
  <c r="T21" i="12"/>
  <c r="T20" i="12"/>
  <c r="T13" i="12"/>
  <c r="T12" i="12"/>
  <c r="T8" i="12"/>
  <c r="T7" i="12"/>
  <c r="S10" i="12"/>
  <c r="T10" i="12" s="1"/>
  <c r="S9" i="12"/>
  <c r="T9" i="12" s="1"/>
  <c r="T8" i="11"/>
  <c r="T6" i="16"/>
  <c r="S18" i="16"/>
  <c r="S7" i="16"/>
  <c r="E20" i="15"/>
  <c r="F20" i="15" s="1"/>
  <c r="G20" i="15" s="1"/>
  <c r="H20" i="15" s="1"/>
  <c r="S6" i="15" s="1"/>
  <c r="F30" i="9"/>
  <c r="F31" i="9"/>
  <c r="F32" i="9"/>
  <c r="F33" i="9"/>
  <c r="F34" i="9"/>
  <c r="F29" i="9"/>
  <c r="F17" i="9"/>
  <c r="F18" i="9"/>
  <c r="F19" i="9"/>
  <c r="F20" i="9"/>
  <c r="F7" i="9"/>
  <c r="F8" i="9"/>
  <c r="F9" i="9"/>
  <c r="F10" i="9"/>
  <c r="F11" i="9"/>
  <c r="F12" i="9"/>
  <c r="F13" i="9"/>
  <c r="F14" i="9"/>
  <c r="F15" i="9"/>
  <c r="F16" i="9"/>
  <c r="F6" i="9"/>
  <c r="S7" i="12"/>
  <c r="F8" i="21"/>
  <c r="F53" i="21" s="1"/>
  <c r="F7" i="21"/>
  <c r="F52" i="21" s="1"/>
  <c r="T7" i="16"/>
  <c r="E21" i="15"/>
  <c r="F21" i="15" s="1"/>
  <c r="G21" i="15" s="1"/>
  <c r="T18" i="16"/>
  <c r="H29" i="14"/>
  <c r="H28" i="14"/>
  <c r="H27" i="14"/>
  <c r="H26" i="14"/>
  <c r="H25" i="14"/>
  <c r="T21" i="11"/>
  <c r="T7" i="10"/>
  <c r="F37" i="21" l="1"/>
  <c r="F38" i="21"/>
  <c r="F22" i="21"/>
  <c r="F23" i="21"/>
  <c r="G6" i="14"/>
  <c r="K6" i="14"/>
  <c r="O6" i="14"/>
  <c r="Q6" i="14"/>
  <c r="N6" i="14"/>
  <c r="H6" i="14"/>
  <c r="L6" i="14"/>
  <c r="P6" i="14"/>
  <c r="I6" i="14"/>
  <c r="M6" i="14"/>
  <c r="J6" i="14"/>
  <c r="F6" i="14"/>
  <c r="H21" i="15"/>
  <c r="S15" i="15" s="1"/>
  <c r="G17" i="14"/>
  <c r="K17" i="14"/>
  <c r="O17" i="14"/>
  <c r="H17" i="14"/>
  <c r="L17" i="14"/>
  <c r="P17" i="14"/>
  <c r="I17" i="14"/>
  <c r="M17" i="14"/>
  <c r="Q17" i="14"/>
  <c r="J17" i="14"/>
  <c r="N17" i="14"/>
  <c r="S17" i="14" l="1"/>
  <c r="H3" i="13" l="1"/>
  <c r="J3" i="13"/>
  <c r="L3" i="13"/>
  <c r="N3" i="13"/>
  <c r="N5" i="13" s="1"/>
  <c r="P3" i="13"/>
  <c r="R3" i="13"/>
  <c r="T3" i="13"/>
  <c r="V3" i="13"/>
  <c r="V5" i="13" s="1"/>
  <c r="X3" i="13"/>
  <c r="Z3" i="13"/>
  <c r="AB3" i="13"/>
  <c r="H4" i="13"/>
  <c r="H5" i="13" s="1"/>
  <c r="J4" i="13"/>
  <c r="L4" i="13"/>
  <c r="N4" i="13"/>
  <c r="P4" i="13"/>
  <c r="P5" i="13" s="1"/>
  <c r="R4" i="13"/>
  <c r="T4" i="13"/>
  <c r="V4" i="13"/>
  <c r="X4" i="13"/>
  <c r="X5" i="13" s="1"/>
  <c r="Z4" i="13"/>
  <c r="AB4" i="13"/>
  <c r="J5" i="13"/>
  <c r="J10" i="13" s="1"/>
  <c r="L5" i="13"/>
  <c r="R5" i="13"/>
  <c r="R10" i="13" s="1"/>
  <c r="T5" i="13"/>
  <c r="Z5" i="13"/>
  <c r="Z10" i="13" s="1"/>
  <c r="AB5" i="13"/>
  <c r="E7" i="13"/>
  <c r="J7" i="13"/>
  <c r="K7" i="13"/>
  <c r="L7" i="13" s="1"/>
  <c r="AB7" i="13"/>
  <c r="L8" i="13"/>
  <c r="T8" i="13"/>
  <c r="AB8" i="13"/>
  <c r="L9" i="13"/>
  <c r="S7" i="13"/>
  <c r="T7" i="13" s="1"/>
  <c r="L10" i="13"/>
  <c r="T10" i="13"/>
  <c r="AB10" i="13"/>
  <c r="D21" i="21"/>
  <c r="D82" i="21"/>
  <c r="D89" i="21" s="1"/>
  <c r="AO62" i="13"/>
  <c r="AO59" i="13"/>
  <c r="D76" i="21" s="1"/>
  <c r="D77" i="21" s="1"/>
  <c r="D88" i="21" s="1"/>
  <c r="AO53" i="13"/>
  <c r="D52" i="21"/>
  <c r="G52" i="21" s="1"/>
  <c r="D51" i="21"/>
  <c r="D50" i="21"/>
  <c r="D37" i="21"/>
  <c r="G37" i="21" s="1"/>
  <c r="D35" i="21"/>
  <c r="D90" i="21" l="1"/>
  <c r="V8" i="13"/>
  <c r="U7" i="13"/>
  <c r="V7" i="13" s="1"/>
  <c r="V10" i="13"/>
  <c r="H8" i="13"/>
  <c r="H9" i="13"/>
  <c r="H10" i="13"/>
  <c r="H7" i="13"/>
  <c r="X8" i="13"/>
  <c r="W7" i="13"/>
  <c r="X7" i="13" s="1"/>
  <c r="X10" i="13"/>
  <c r="P8" i="13"/>
  <c r="O7" i="13"/>
  <c r="P7" i="13" s="1"/>
  <c r="P10" i="13"/>
  <c r="N8" i="13"/>
  <c r="Z7" i="13"/>
  <c r="Q7" i="13"/>
  <c r="R7" i="13" s="1"/>
  <c r="J9" i="13"/>
  <c r="Z8" i="13"/>
  <c r="R8" i="13"/>
  <c r="J8" i="13"/>
  <c r="AO69" i="13"/>
  <c r="AQ19" i="13" l="1"/>
  <c r="AQ36" i="13" l="1"/>
  <c r="AJ36" i="13"/>
  <c r="AQ35" i="13"/>
  <c r="AJ35" i="13"/>
  <c r="AJ34" i="13"/>
  <c r="T17" i="16"/>
  <c r="T19" i="16" s="1"/>
  <c r="T15" i="15"/>
  <c r="T16" i="15" s="1"/>
  <c r="S19" i="14"/>
  <c r="T19" i="14" s="1"/>
  <c r="S18" i="14"/>
  <c r="T18" i="14"/>
  <c r="T17" i="14"/>
  <c r="R28" i="9"/>
  <c r="Q28" i="9"/>
  <c r="P28" i="9"/>
  <c r="O28" i="9"/>
  <c r="N28" i="9"/>
  <c r="M28" i="9"/>
  <c r="L28" i="9"/>
  <c r="G28" i="9"/>
  <c r="T64" i="8"/>
  <c r="S64" i="8"/>
  <c r="F5" i="16"/>
  <c r="F5" i="15"/>
  <c r="F5" i="14"/>
  <c r="F5" i="12"/>
  <c r="F5" i="11"/>
  <c r="F7" i="11" s="1"/>
  <c r="F5" i="10"/>
  <c r="G5" i="9"/>
  <c r="T9" i="11"/>
  <c r="AJ19" i="13"/>
  <c r="U7" i="8"/>
  <c r="U6" i="8"/>
  <c r="U18" i="8"/>
  <c r="U20" i="8"/>
  <c r="T20" i="8"/>
  <c r="T8" i="16"/>
  <c r="T6" i="15"/>
  <c r="T7" i="14"/>
  <c r="T8" i="14"/>
  <c r="T6" i="14"/>
  <c r="T6" i="12"/>
  <c r="W10" i="8"/>
  <c r="E20" i="9"/>
  <c r="E19" i="9"/>
  <c r="E17" i="9"/>
  <c r="E14" i="9"/>
  <c r="E13" i="9"/>
  <c r="E12" i="9"/>
  <c r="E11" i="9"/>
  <c r="E10" i="9"/>
  <c r="E9" i="9"/>
  <c r="E8" i="9"/>
  <c r="E7" i="9"/>
  <c r="E6" i="9"/>
  <c r="R112" i="8"/>
  <c r="O112" i="8"/>
  <c r="Q112" i="8" s="1"/>
  <c r="N112" i="8"/>
  <c r="M112" i="8"/>
  <c r="L112" i="8"/>
  <c r="K112" i="8"/>
  <c r="J112" i="8"/>
  <c r="I112" i="8"/>
  <c r="H112" i="8"/>
  <c r="G112" i="8"/>
  <c r="F112" i="8"/>
  <c r="E112" i="8"/>
  <c r="O111" i="8"/>
  <c r="R111" i="8" s="1"/>
  <c r="N111" i="8"/>
  <c r="M111" i="8"/>
  <c r="L111" i="8"/>
  <c r="K111" i="8"/>
  <c r="J111" i="8"/>
  <c r="I111" i="8"/>
  <c r="H111" i="8"/>
  <c r="G111" i="8"/>
  <c r="F111" i="8"/>
  <c r="E111" i="8"/>
  <c r="S108" i="8"/>
  <c r="R108" i="8"/>
  <c r="Q108" i="8"/>
  <c r="P108" i="8"/>
  <c r="Q107" i="8"/>
  <c r="O107" i="8"/>
  <c r="O113" i="8" s="1"/>
  <c r="N107" i="8"/>
  <c r="N113" i="8" s="1"/>
  <c r="M107" i="8"/>
  <c r="M113" i="8" s="1"/>
  <c r="L107" i="8"/>
  <c r="L113" i="8" s="1"/>
  <c r="K107" i="8"/>
  <c r="K113" i="8" s="1"/>
  <c r="J107" i="8"/>
  <c r="J113" i="8" s="1"/>
  <c r="I107" i="8"/>
  <c r="I113" i="8" s="1"/>
  <c r="H107" i="8"/>
  <c r="H113" i="8" s="1"/>
  <c r="G107" i="8"/>
  <c r="G113" i="8" s="1"/>
  <c r="F107" i="8"/>
  <c r="F113" i="8" s="1"/>
  <c r="E107" i="8"/>
  <c r="E113" i="8" s="1"/>
  <c r="R106" i="8"/>
  <c r="Q106" i="8"/>
  <c r="P106" i="8"/>
  <c r="R105" i="8"/>
  <c r="Q105" i="8"/>
  <c r="P105" i="8"/>
  <c r="Q104" i="8"/>
  <c r="O104" i="8"/>
  <c r="N104" i="8"/>
  <c r="R104" i="8" s="1"/>
  <c r="M104" i="8"/>
  <c r="L104" i="8"/>
  <c r="K104" i="8"/>
  <c r="J104" i="8"/>
  <c r="I104" i="8"/>
  <c r="H104" i="8"/>
  <c r="P104" i="8" s="1"/>
  <c r="G104" i="8"/>
  <c r="F104" i="8"/>
  <c r="E104" i="8"/>
  <c r="Q102" i="8"/>
  <c r="O102" i="8"/>
  <c r="R102" i="8" s="1"/>
  <c r="N102" i="8"/>
  <c r="M102" i="8"/>
  <c r="L102" i="8"/>
  <c r="K102" i="8"/>
  <c r="J102" i="8"/>
  <c r="I102" i="8"/>
  <c r="H102" i="8"/>
  <c r="P102" i="8" s="1"/>
  <c r="G102" i="8"/>
  <c r="F102" i="8"/>
  <c r="E102" i="8"/>
  <c r="R101" i="8"/>
  <c r="Q101" i="8"/>
  <c r="P101" i="8"/>
  <c r="R100" i="8"/>
  <c r="Q100" i="8"/>
  <c r="P100" i="8"/>
  <c r="Q99" i="8"/>
  <c r="O99" i="8"/>
  <c r="R99" i="8" s="1"/>
  <c r="N99" i="8"/>
  <c r="M99" i="8"/>
  <c r="M96" i="8" s="1"/>
  <c r="M97" i="8" s="1"/>
  <c r="L99" i="8"/>
  <c r="L96" i="8" s="1"/>
  <c r="L97" i="8" s="1"/>
  <c r="K99" i="8"/>
  <c r="J99" i="8"/>
  <c r="I99" i="8"/>
  <c r="I96" i="8" s="1"/>
  <c r="I97" i="8" s="1"/>
  <c r="H99" i="8"/>
  <c r="H96" i="8" s="1"/>
  <c r="H97" i="8" s="1"/>
  <c r="G99" i="8"/>
  <c r="F99" i="8"/>
  <c r="E99" i="8"/>
  <c r="E96" i="8" s="1"/>
  <c r="R98" i="8"/>
  <c r="Q98" i="8"/>
  <c r="P98" i="8"/>
  <c r="N97" i="8"/>
  <c r="J97" i="8"/>
  <c r="F97" i="8"/>
  <c r="O96" i="8"/>
  <c r="R96" i="8" s="1"/>
  <c r="N96" i="8"/>
  <c r="K96" i="8"/>
  <c r="K97" i="8" s="1"/>
  <c r="J96" i="8"/>
  <c r="G96" i="8"/>
  <c r="G97" i="8" s="1"/>
  <c r="F96" i="8"/>
  <c r="Q95" i="8"/>
  <c r="O95" i="8"/>
  <c r="N95" i="8"/>
  <c r="R95" i="8" s="1"/>
  <c r="M95" i="8"/>
  <c r="L95" i="8"/>
  <c r="K95" i="8"/>
  <c r="J95" i="8"/>
  <c r="I95" i="8"/>
  <c r="H95" i="8"/>
  <c r="G95" i="8"/>
  <c r="F95" i="8"/>
  <c r="E95" i="8"/>
  <c r="P95" i="8" s="1"/>
  <c r="R94" i="8"/>
  <c r="Q94" i="8"/>
  <c r="P94" i="8"/>
  <c r="R93" i="8"/>
  <c r="Q93" i="8"/>
  <c r="P93" i="8"/>
  <c r="R92" i="8"/>
  <c r="Q92" i="8"/>
  <c r="P92" i="8"/>
  <c r="R91" i="8"/>
  <c r="Q91" i="8"/>
  <c r="P91" i="8"/>
  <c r="R90" i="8"/>
  <c r="Q90" i="8"/>
  <c r="P90" i="8"/>
  <c r="R89" i="8"/>
  <c r="Q89" i="8"/>
  <c r="P89" i="8"/>
  <c r="Q88" i="8"/>
  <c r="O88" i="8"/>
  <c r="N88" i="8"/>
  <c r="R88" i="8" s="1"/>
  <c r="M88" i="8"/>
  <c r="L88" i="8"/>
  <c r="K88" i="8"/>
  <c r="J88" i="8"/>
  <c r="I88" i="8"/>
  <c r="H88" i="8"/>
  <c r="G88" i="8"/>
  <c r="F88" i="8"/>
  <c r="E88" i="8"/>
  <c r="P88" i="8" s="1"/>
  <c r="R87" i="8"/>
  <c r="Q87" i="8"/>
  <c r="P87" i="8"/>
  <c r="R86" i="8"/>
  <c r="Q86" i="8"/>
  <c r="P86" i="8"/>
  <c r="R85" i="8"/>
  <c r="Q85" i="8"/>
  <c r="P85" i="8"/>
  <c r="R84" i="8"/>
  <c r="Q84" i="8"/>
  <c r="P84" i="8"/>
  <c r="R83" i="8"/>
  <c r="Q83" i="8"/>
  <c r="P83" i="8"/>
  <c r="R82" i="8"/>
  <c r="Q82" i="8"/>
  <c r="P82" i="8"/>
  <c r="R81" i="8"/>
  <c r="Q81" i="8"/>
  <c r="P81" i="8"/>
  <c r="R80" i="8"/>
  <c r="Q80" i="8"/>
  <c r="P80" i="8"/>
  <c r="R79" i="8"/>
  <c r="Q79" i="8"/>
  <c r="P79" i="8"/>
  <c r="R78" i="8"/>
  <c r="Q78" i="8"/>
  <c r="P78" i="8"/>
  <c r="R77" i="8"/>
  <c r="Q77" i="8"/>
  <c r="P77" i="8"/>
  <c r="R76" i="8"/>
  <c r="Q76" i="8"/>
  <c r="P76" i="8"/>
  <c r="O75" i="8"/>
  <c r="R75" i="8" s="1"/>
  <c r="N75" i="8"/>
  <c r="M75" i="8"/>
  <c r="L75" i="8"/>
  <c r="K75" i="8"/>
  <c r="J75" i="8"/>
  <c r="I75" i="8"/>
  <c r="H75" i="8"/>
  <c r="G75" i="8"/>
  <c r="F75" i="8"/>
  <c r="E75" i="8"/>
  <c r="R74" i="8"/>
  <c r="Q74" i="8"/>
  <c r="P74" i="8"/>
  <c r="R73" i="8"/>
  <c r="Q73" i="8"/>
  <c r="P73" i="8"/>
  <c r="R72" i="8"/>
  <c r="Q72" i="8"/>
  <c r="P72" i="8"/>
  <c r="R71" i="8"/>
  <c r="Q71" i="8"/>
  <c r="P71" i="8"/>
  <c r="R70" i="8"/>
  <c r="Q70" i="8"/>
  <c r="P70" i="8"/>
  <c r="R69" i="8"/>
  <c r="Q69" i="8"/>
  <c r="P69" i="8"/>
  <c r="O68" i="8"/>
  <c r="R68" i="8" s="1"/>
  <c r="N68" i="8"/>
  <c r="M68" i="8"/>
  <c r="L68" i="8"/>
  <c r="K68" i="8"/>
  <c r="J68" i="8"/>
  <c r="I68" i="8"/>
  <c r="H68" i="8"/>
  <c r="G68" i="8"/>
  <c r="P68" i="8" s="1"/>
  <c r="F68" i="8"/>
  <c r="E68" i="8"/>
  <c r="R67" i="8"/>
  <c r="Q67" i="8"/>
  <c r="P67" i="8"/>
  <c r="R66" i="8"/>
  <c r="Q66" i="8"/>
  <c r="P66" i="8"/>
  <c r="O65" i="8"/>
  <c r="R65" i="8" s="1"/>
  <c r="N65" i="8"/>
  <c r="M65" i="8"/>
  <c r="L65" i="8"/>
  <c r="K65" i="8"/>
  <c r="J65" i="8"/>
  <c r="I65" i="8"/>
  <c r="H65" i="8"/>
  <c r="G65" i="8"/>
  <c r="P65" i="8" s="1"/>
  <c r="F65" i="8"/>
  <c r="E65" i="8"/>
  <c r="R64" i="8"/>
  <c r="Q64" i="8"/>
  <c r="P64" i="8"/>
  <c r="Q63" i="8"/>
  <c r="O63" i="8"/>
  <c r="R63" i="8" s="1"/>
  <c r="N63" i="8"/>
  <c r="M63" i="8"/>
  <c r="L63" i="8"/>
  <c r="K63" i="8"/>
  <c r="J63" i="8"/>
  <c r="I63" i="8"/>
  <c r="H63" i="8"/>
  <c r="P63" i="8" s="1"/>
  <c r="G63" i="8"/>
  <c r="F63" i="8"/>
  <c r="E63" i="8"/>
  <c r="R62" i="8"/>
  <c r="Q62" i="8"/>
  <c r="P62" i="8"/>
  <c r="R61" i="8"/>
  <c r="Q61" i="8"/>
  <c r="P61" i="8"/>
  <c r="R60" i="8"/>
  <c r="Q60" i="8"/>
  <c r="P60" i="8"/>
  <c r="R59" i="8"/>
  <c r="Q59" i="8"/>
  <c r="P59" i="8"/>
  <c r="R58" i="8"/>
  <c r="Q58" i="8"/>
  <c r="P58" i="8"/>
  <c r="Q57" i="8"/>
  <c r="O57" i="8"/>
  <c r="N57" i="8"/>
  <c r="R57" i="8" s="1"/>
  <c r="M57" i="8"/>
  <c r="L57" i="8"/>
  <c r="K57" i="8"/>
  <c r="J57" i="8"/>
  <c r="I57" i="8"/>
  <c r="H57" i="8"/>
  <c r="G57" i="8"/>
  <c r="F57" i="8"/>
  <c r="E57" i="8"/>
  <c r="P57" i="8" s="1"/>
  <c r="R56" i="8"/>
  <c r="Q56" i="8"/>
  <c r="P56" i="8"/>
  <c r="R55" i="8"/>
  <c r="Q55" i="8"/>
  <c r="P55" i="8"/>
  <c r="R54" i="8"/>
  <c r="Q54" i="8"/>
  <c r="P54" i="8"/>
  <c r="R53" i="8"/>
  <c r="Q53" i="8"/>
  <c r="P53" i="8"/>
  <c r="O52" i="8"/>
  <c r="R52" i="8" s="1"/>
  <c r="N52" i="8"/>
  <c r="M52" i="8"/>
  <c r="L52" i="8"/>
  <c r="H52" i="8"/>
  <c r="G52" i="8"/>
  <c r="F52" i="8"/>
  <c r="E52" i="8"/>
  <c r="P52" i="8" s="1"/>
  <c r="R51" i="8"/>
  <c r="Q51" i="8"/>
  <c r="P51" i="8"/>
  <c r="R50" i="8"/>
  <c r="Q50" i="8"/>
  <c r="P50" i="8"/>
  <c r="R49" i="8"/>
  <c r="Q49" i="8"/>
  <c r="P49" i="8"/>
  <c r="R48" i="8"/>
  <c r="Q48" i="8"/>
  <c r="P48" i="8"/>
  <c r="R47" i="8"/>
  <c r="Q47" i="8"/>
  <c r="P47" i="8"/>
  <c r="R46" i="8"/>
  <c r="Q46" i="8"/>
  <c r="P46" i="8"/>
  <c r="R45" i="8"/>
  <c r="Q45" i="8"/>
  <c r="P45" i="8"/>
  <c r="R44" i="8"/>
  <c r="Q44" i="8"/>
  <c r="P44" i="8"/>
  <c r="R43" i="8"/>
  <c r="Q43" i="8"/>
  <c r="P43" i="8"/>
  <c r="R42" i="8"/>
  <c r="Q42" i="8"/>
  <c r="P42" i="8"/>
  <c r="Q41" i="8"/>
  <c r="O41" i="8"/>
  <c r="R41" i="8" s="1"/>
  <c r="N41" i="8"/>
  <c r="M41" i="8"/>
  <c r="L41" i="8"/>
  <c r="K41" i="8"/>
  <c r="J41" i="8"/>
  <c r="I41" i="8"/>
  <c r="H41" i="8"/>
  <c r="P41" i="8" s="1"/>
  <c r="G41" i="8"/>
  <c r="F41" i="8"/>
  <c r="E41" i="8"/>
  <c r="R40" i="8"/>
  <c r="Q40" i="8"/>
  <c r="P40" i="8"/>
  <c r="R39" i="8"/>
  <c r="Q39" i="8"/>
  <c r="P39" i="8"/>
  <c r="R38" i="8"/>
  <c r="Q38" i="8"/>
  <c r="P38" i="8"/>
  <c r="R37" i="8"/>
  <c r="Q37" i="8"/>
  <c r="P37" i="8"/>
  <c r="R36" i="8"/>
  <c r="Q36" i="8"/>
  <c r="P36" i="8"/>
  <c r="R35" i="8"/>
  <c r="Q35" i="8"/>
  <c r="P35" i="8"/>
  <c r="R34" i="8"/>
  <c r="Q34" i="8"/>
  <c r="P34" i="8"/>
  <c r="R33" i="8"/>
  <c r="Q33" i="8"/>
  <c r="P33" i="8"/>
  <c r="R32" i="8"/>
  <c r="Q32" i="8"/>
  <c r="P32" i="8"/>
  <c r="R31" i="8"/>
  <c r="Q31" i="8"/>
  <c r="P31" i="8"/>
  <c r="R30" i="8"/>
  <c r="Q30" i="8"/>
  <c r="P30" i="8"/>
  <c r="R29" i="8"/>
  <c r="Q29" i="8"/>
  <c r="P29" i="8"/>
  <c r="R28" i="8"/>
  <c r="Q28" i="8"/>
  <c r="P28" i="8"/>
  <c r="R27" i="8"/>
  <c r="Q27" i="8"/>
  <c r="P27" i="8"/>
  <c r="Q26" i="8"/>
  <c r="O26" i="8"/>
  <c r="R26" i="8" s="1"/>
  <c r="N26" i="8"/>
  <c r="M26" i="8"/>
  <c r="L26" i="8"/>
  <c r="K26" i="8"/>
  <c r="J26" i="8"/>
  <c r="I26" i="8"/>
  <c r="H26" i="8"/>
  <c r="P26" i="8" s="1"/>
  <c r="G26" i="8"/>
  <c r="F26" i="8"/>
  <c r="E26" i="8"/>
  <c r="R25" i="8"/>
  <c r="Q25" i="8"/>
  <c r="P25" i="8"/>
  <c r="R23" i="8"/>
  <c r="Q23" i="8"/>
  <c r="P23" i="8"/>
  <c r="O22" i="8"/>
  <c r="N22" i="8"/>
  <c r="M22" i="8"/>
  <c r="L22" i="8"/>
  <c r="K22" i="8"/>
  <c r="J22" i="8"/>
  <c r="J103" i="8" s="1"/>
  <c r="J110" i="8" s="1"/>
  <c r="I22" i="8"/>
  <c r="H22" i="8"/>
  <c r="G22" i="8"/>
  <c r="F22" i="8"/>
  <c r="F103" i="8" s="1"/>
  <c r="F110" i="8" s="1"/>
  <c r="E22" i="8"/>
  <c r="R21" i="8"/>
  <c r="Q21" i="8"/>
  <c r="P21" i="8"/>
  <c r="T21" i="8" s="1"/>
  <c r="U21" i="8" s="1"/>
  <c r="R20" i="8"/>
  <c r="Q20" i="8"/>
  <c r="P20" i="8"/>
  <c r="R19" i="8"/>
  <c r="Q19" i="8"/>
  <c r="P19" i="8"/>
  <c r="T19" i="8" s="1"/>
  <c r="U19" i="8" s="1"/>
  <c r="E18" i="9" s="1"/>
  <c r="R18" i="8"/>
  <c r="Q18" i="8"/>
  <c r="P18" i="8"/>
  <c r="T18" i="8" s="1"/>
  <c r="R17" i="8"/>
  <c r="Q17" i="8"/>
  <c r="P17" i="8"/>
  <c r="T17" i="8" s="1"/>
  <c r="U17" i="8" s="1"/>
  <c r="R16" i="8"/>
  <c r="Q16" i="8"/>
  <c r="P16" i="8"/>
  <c r="T16" i="8" s="1"/>
  <c r="U16" i="8" s="1"/>
  <c r="E15" i="9" s="1"/>
  <c r="T15" i="8"/>
  <c r="U15" i="8" s="1"/>
  <c r="R15" i="8"/>
  <c r="Q15" i="8"/>
  <c r="P15" i="8"/>
  <c r="R14" i="8"/>
  <c r="Q14" i="8"/>
  <c r="P14" i="8"/>
  <c r="T14" i="8" s="1"/>
  <c r="U14" i="8" s="1"/>
  <c r="R13" i="8"/>
  <c r="Q13" i="8"/>
  <c r="P13" i="8"/>
  <c r="T13" i="8" s="1"/>
  <c r="U13" i="8" s="1"/>
  <c r="T12" i="8"/>
  <c r="U12" i="8" s="1"/>
  <c r="R12" i="8"/>
  <c r="Q12" i="8"/>
  <c r="P12" i="8"/>
  <c r="T11" i="8"/>
  <c r="U11" i="8" s="1"/>
  <c r="R11" i="8"/>
  <c r="Q11" i="8"/>
  <c r="P11" i="8"/>
  <c r="R10" i="8"/>
  <c r="Q10" i="8"/>
  <c r="P10" i="8"/>
  <c r="T10" i="8" s="1"/>
  <c r="U10" i="8" s="1"/>
  <c r="R9" i="8"/>
  <c r="Q9" i="8"/>
  <c r="P9" i="8"/>
  <c r="R8" i="8"/>
  <c r="Q8" i="8"/>
  <c r="P8" i="8"/>
  <c r="T8" i="8" s="1"/>
  <c r="U8" i="8" s="1"/>
  <c r="V7" i="8"/>
  <c r="U9" i="8" s="1"/>
  <c r="T7" i="8"/>
  <c r="R7" i="8"/>
  <c r="Q7" i="8"/>
  <c r="P7" i="8"/>
  <c r="R6" i="8"/>
  <c r="Q6" i="8"/>
  <c r="P6" i="8"/>
  <c r="T6" i="8" s="1"/>
  <c r="T20" i="11" l="1"/>
  <c r="T22" i="12"/>
  <c r="L30" i="9"/>
  <c r="K15" i="10"/>
  <c r="K18" i="11" s="1"/>
  <c r="P30" i="9"/>
  <c r="O15" i="10"/>
  <c r="O31" i="9"/>
  <c r="N15" i="10"/>
  <c r="M30" i="9"/>
  <c r="L15" i="10"/>
  <c r="Q31" i="9"/>
  <c r="P15" i="10"/>
  <c r="G31" i="9"/>
  <c r="F15" i="10"/>
  <c r="N29" i="9"/>
  <c r="M15" i="10"/>
  <c r="R29" i="9"/>
  <c r="Q15" i="10"/>
  <c r="R32" i="9"/>
  <c r="N32" i="9"/>
  <c r="G32" i="9"/>
  <c r="O32" i="9"/>
  <c r="Q32" i="9"/>
  <c r="M32" i="9"/>
  <c r="P32" i="9"/>
  <c r="L32" i="9"/>
  <c r="G34" i="9"/>
  <c r="O30" i="9"/>
  <c r="G19" i="9"/>
  <c r="N34" i="9"/>
  <c r="Q29" i="9"/>
  <c r="N30" i="9"/>
  <c r="R31" i="9"/>
  <c r="R34" i="9"/>
  <c r="M29" i="9"/>
  <c r="G30" i="9"/>
  <c r="Q33" i="9"/>
  <c r="M33" i="9"/>
  <c r="N31" i="9"/>
  <c r="O34" i="9"/>
  <c r="R30" i="9"/>
  <c r="M31" i="9"/>
  <c r="P33" i="9"/>
  <c r="P29" i="9"/>
  <c r="L29" i="9"/>
  <c r="P31" i="9"/>
  <c r="L31" i="9"/>
  <c r="G33" i="9"/>
  <c r="O33" i="9"/>
  <c r="Q34" i="9"/>
  <c r="M34" i="9"/>
  <c r="G29" i="9"/>
  <c r="O29" i="9"/>
  <c r="Q30" i="9"/>
  <c r="G6" i="9"/>
  <c r="L33" i="9"/>
  <c r="R33" i="9"/>
  <c r="N33" i="9"/>
  <c r="P34" i="9"/>
  <c r="L34" i="9"/>
  <c r="Q22" i="8"/>
  <c r="E16" i="9"/>
  <c r="G103" i="8"/>
  <c r="G110" i="8" s="1"/>
  <c r="T7" i="15"/>
  <c r="G14" i="9"/>
  <c r="G15" i="9"/>
  <c r="G18" i="9"/>
  <c r="G10" i="9"/>
  <c r="G12" i="9"/>
  <c r="G17" i="9"/>
  <c r="G13" i="9"/>
  <c r="G20" i="9"/>
  <c r="G9" i="9"/>
  <c r="G11" i="9"/>
  <c r="F8" i="10"/>
  <c r="F9" i="10" s="1"/>
  <c r="G8" i="9"/>
  <c r="G7" i="9"/>
  <c r="R22" i="8"/>
  <c r="N103" i="8"/>
  <c r="N110" i="8" s="1"/>
  <c r="M103" i="8"/>
  <c r="M109" i="8" s="1"/>
  <c r="L103" i="8"/>
  <c r="L110" i="8" s="1"/>
  <c r="I103" i="8"/>
  <c r="I110" i="8" s="1"/>
  <c r="H103" i="8"/>
  <c r="H109" i="8" s="1"/>
  <c r="P22" i="8"/>
  <c r="P96" i="8"/>
  <c r="E97" i="8"/>
  <c r="K103" i="8"/>
  <c r="R113" i="8"/>
  <c r="Q113" i="8"/>
  <c r="P99" i="8"/>
  <c r="P107" i="8"/>
  <c r="F109" i="8"/>
  <c r="J109" i="8"/>
  <c r="P75" i="8"/>
  <c r="Q52" i="8"/>
  <c r="Q65" i="8"/>
  <c r="Q68" i="8"/>
  <c r="Q75" i="8"/>
  <c r="Q96" i="8"/>
  <c r="O97" i="8"/>
  <c r="R107" i="8"/>
  <c r="Q111" i="8"/>
  <c r="K16" i="10" l="1"/>
  <c r="K17" i="10" s="1"/>
  <c r="K18" i="12"/>
  <c r="K16" i="14" s="1"/>
  <c r="K16" i="16" s="1"/>
  <c r="K22" i="11"/>
  <c r="G109" i="8"/>
  <c r="I109" i="8"/>
  <c r="H110" i="8"/>
  <c r="O16" i="10"/>
  <c r="O17" i="10" s="1"/>
  <c r="O18" i="11"/>
  <c r="I5" i="16"/>
  <c r="I5" i="15"/>
  <c r="I5" i="14"/>
  <c r="I5" i="12"/>
  <c r="I5" i="11"/>
  <c r="I7" i="11" s="1"/>
  <c r="I5" i="10"/>
  <c r="J5" i="9"/>
  <c r="J16" i="9" s="1"/>
  <c r="P5" i="16"/>
  <c r="P5" i="15"/>
  <c r="P5" i="14"/>
  <c r="P5" i="12"/>
  <c r="P5" i="11"/>
  <c r="P7" i="11" s="1"/>
  <c r="P5" i="10"/>
  <c r="Q5" i="9"/>
  <c r="L18" i="11"/>
  <c r="L16" i="10"/>
  <c r="L17" i="10" s="1"/>
  <c r="Q18" i="11"/>
  <c r="Q16" i="10"/>
  <c r="Q17" i="10" s="1"/>
  <c r="Q16" i="9"/>
  <c r="O5" i="16"/>
  <c r="O5" i="15"/>
  <c r="O5" i="14"/>
  <c r="O5" i="12"/>
  <c r="O5" i="11"/>
  <c r="O7" i="11" s="1"/>
  <c r="O5" i="10"/>
  <c r="P5" i="9"/>
  <c r="L5" i="16"/>
  <c r="L5" i="15"/>
  <c r="L5" i="14"/>
  <c r="L5" i="12"/>
  <c r="L5" i="11"/>
  <c r="L7" i="11" s="1"/>
  <c r="L5" i="10"/>
  <c r="M5" i="9"/>
  <c r="M16" i="9" s="1"/>
  <c r="N5" i="12"/>
  <c r="N5" i="11"/>
  <c r="N7" i="11" s="1"/>
  <c r="N5" i="16"/>
  <c r="N5" i="15"/>
  <c r="N5" i="14"/>
  <c r="N5" i="10"/>
  <c r="O5" i="9"/>
  <c r="P18" i="11"/>
  <c r="P16" i="10"/>
  <c r="P17" i="10" s="1"/>
  <c r="F18" i="11"/>
  <c r="F22" i="11" s="1"/>
  <c r="F16" i="10"/>
  <c r="Q5" i="16"/>
  <c r="Q5" i="12"/>
  <c r="Q5" i="15"/>
  <c r="Q5" i="11"/>
  <c r="Q7" i="11" s="1"/>
  <c r="Q5" i="14"/>
  <c r="Q5" i="10"/>
  <c r="R5" i="9"/>
  <c r="R16" i="9" s="1"/>
  <c r="I28" i="9"/>
  <c r="H15" i="10" s="1"/>
  <c r="K5" i="16"/>
  <c r="K5" i="15"/>
  <c r="K5" i="14"/>
  <c r="K5" i="12"/>
  <c r="K5" i="11"/>
  <c r="K7" i="11" s="1"/>
  <c r="K5" i="10"/>
  <c r="L5" i="9"/>
  <c r="L16" i="9" s="1"/>
  <c r="H5" i="16"/>
  <c r="H5" i="15"/>
  <c r="H5" i="14"/>
  <c r="H5" i="12"/>
  <c r="H5" i="11"/>
  <c r="H7" i="11" s="1"/>
  <c r="H5" i="10"/>
  <c r="I5" i="9"/>
  <c r="I16" i="9" s="1"/>
  <c r="J5" i="16"/>
  <c r="J5" i="14"/>
  <c r="J5" i="10"/>
  <c r="J5" i="12"/>
  <c r="J5" i="11"/>
  <c r="J7" i="11" s="1"/>
  <c r="J5" i="15"/>
  <c r="K5" i="9"/>
  <c r="K16" i="9" s="1"/>
  <c r="M5" i="16"/>
  <c r="M5" i="15"/>
  <c r="M5" i="14"/>
  <c r="M5" i="12"/>
  <c r="M5" i="11"/>
  <c r="M7" i="11" s="1"/>
  <c r="M5" i="10"/>
  <c r="N5" i="9"/>
  <c r="N16" i="9" s="1"/>
  <c r="G5" i="16"/>
  <c r="G5" i="15"/>
  <c r="G5" i="14"/>
  <c r="G5" i="12"/>
  <c r="G5" i="11"/>
  <c r="G5" i="10"/>
  <c r="H5" i="9"/>
  <c r="H16" i="9" s="1"/>
  <c r="M18" i="11"/>
  <c r="M16" i="10"/>
  <c r="M17" i="10" s="1"/>
  <c r="N16" i="10"/>
  <c r="N17" i="10" s="1"/>
  <c r="N18" i="11"/>
  <c r="G16" i="9"/>
  <c r="O16" i="9"/>
  <c r="AG3" i="13"/>
  <c r="D3" i="21" s="1"/>
  <c r="N109" i="8"/>
  <c r="L109" i="8"/>
  <c r="M110" i="8"/>
  <c r="Q97" i="8"/>
  <c r="R97" i="8"/>
  <c r="O103" i="8"/>
  <c r="P97" i="8"/>
  <c r="E103" i="8"/>
  <c r="K110" i="8"/>
  <c r="K109" i="8"/>
  <c r="K14" i="15" l="1"/>
  <c r="K5" i="19"/>
  <c r="N18" i="12"/>
  <c r="N16" i="14" s="1"/>
  <c r="N16" i="16" s="1"/>
  <c r="N22" i="11"/>
  <c r="L18" i="12"/>
  <c r="L16" i="14" s="1"/>
  <c r="L5" i="19" s="1"/>
  <c r="L22" i="11"/>
  <c r="P18" i="12"/>
  <c r="P16" i="14" s="1"/>
  <c r="P5" i="19" s="1"/>
  <c r="P22" i="11"/>
  <c r="Q18" i="12"/>
  <c r="Q16" i="14" s="1"/>
  <c r="Q16" i="16" s="1"/>
  <c r="Q22" i="11"/>
  <c r="D18" i="21"/>
  <c r="D33" i="21"/>
  <c r="D4" i="21"/>
  <c r="M18" i="12"/>
  <c r="M16" i="14" s="1"/>
  <c r="M16" i="16" s="1"/>
  <c r="M22" i="11"/>
  <c r="O18" i="12"/>
  <c r="O16" i="14" s="1"/>
  <c r="O16" i="16" s="1"/>
  <c r="O22" i="11"/>
  <c r="AG5" i="13"/>
  <c r="AO36" i="13"/>
  <c r="AH34" i="13"/>
  <c r="AH35" i="13"/>
  <c r="AH36" i="13"/>
  <c r="AO34" i="13"/>
  <c r="AO35" i="13"/>
  <c r="R5" i="14"/>
  <c r="U9" i="14" s="1"/>
  <c r="I31" i="9"/>
  <c r="I29" i="9"/>
  <c r="I32" i="9"/>
  <c r="I33" i="9"/>
  <c r="I34" i="9"/>
  <c r="I30" i="9"/>
  <c r="F18" i="12"/>
  <c r="P9" i="9"/>
  <c r="P14" i="9"/>
  <c r="P18" i="9"/>
  <c r="P13" i="9"/>
  <c r="P12" i="9"/>
  <c r="P19" i="9"/>
  <c r="P6" i="9"/>
  <c r="P8" i="9"/>
  <c r="P11" i="9"/>
  <c r="P7" i="9"/>
  <c r="P10" i="9"/>
  <c r="P17" i="9"/>
  <c r="P15" i="9"/>
  <c r="P20" i="9"/>
  <c r="H28" i="9"/>
  <c r="G15" i="10" s="1"/>
  <c r="P16" i="9"/>
  <c r="S16" i="9" s="1"/>
  <c r="U16" i="9" s="1"/>
  <c r="R5" i="10"/>
  <c r="U7" i="10" s="1"/>
  <c r="G8" i="10"/>
  <c r="R5" i="15"/>
  <c r="U6" i="15" s="1"/>
  <c r="M8" i="10"/>
  <c r="M9" i="10" s="1"/>
  <c r="M6" i="10"/>
  <c r="H6" i="10"/>
  <c r="H8" i="10"/>
  <c r="H9" i="10" s="1"/>
  <c r="K6" i="10"/>
  <c r="K8" i="10"/>
  <c r="K9" i="10" s="1"/>
  <c r="N8" i="10"/>
  <c r="N9" i="10" s="1"/>
  <c r="N6" i="10"/>
  <c r="L6" i="10"/>
  <c r="L8" i="10"/>
  <c r="L9" i="10" s="1"/>
  <c r="P6" i="10"/>
  <c r="P8" i="10"/>
  <c r="P9" i="10" s="1"/>
  <c r="G7" i="11"/>
  <c r="R7" i="11" s="1"/>
  <c r="T13" i="11" s="1"/>
  <c r="R5" i="11"/>
  <c r="U8" i="11" s="1"/>
  <c r="R5" i="16"/>
  <c r="K13" i="9"/>
  <c r="K18" i="9"/>
  <c r="K20" i="9"/>
  <c r="K12" i="9"/>
  <c r="K17" i="9"/>
  <c r="K19" i="9"/>
  <c r="K9" i="9"/>
  <c r="K14" i="9"/>
  <c r="K11" i="9"/>
  <c r="K10" i="9"/>
  <c r="K15" i="9"/>
  <c r="K6" i="9"/>
  <c r="K7" i="9"/>
  <c r="K8" i="9"/>
  <c r="R19" i="9"/>
  <c r="R12" i="9"/>
  <c r="R13" i="9"/>
  <c r="R15" i="9"/>
  <c r="R10" i="9"/>
  <c r="R17" i="9"/>
  <c r="R20" i="9"/>
  <c r="R9" i="9"/>
  <c r="R14" i="9"/>
  <c r="R18" i="9"/>
  <c r="R11" i="9"/>
  <c r="R8" i="9"/>
  <c r="R7" i="9"/>
  <c r="R6" i="9"/>
  <c r="O8" i="10"/>
  <c r="O9" i="10" s="1"/>
  <c r="O6" i="10"/>
  <c r="I6" i="10"/>
  <c r="I8" i="10"/>
  <c r="I9" i="10" s="1"/>
  <c r="J14" i="9"/>
  <c r="J18" i="9"/>
  <c r="J9" i="9"/>
  <c r="J20" i="9"/>
  <c r="J12" i="9"/>
  <c r="J13" i="9"/>
  <c r="J7" i="9"/>
  <c r="J8" i="9"/>
  <c r="J19" i="9"/>
  <c r="J6" i="9"/>
  <c r="J10" i="9"/>
  <c r="J15" i="9"/>
  <c r="J11" i="9"/>
  <c r="J17" i="9"/>
  <c r="AG15" i="13"/>
  <c r="AG32" i="13" s="1"/>
  <c r="AO19" i="13"/>
  <c r="AN3" i="13"/>
  <c r="AO17" i="13"/>
  <c r="J28" i="9"/>
  <c r="I15" i="10" s="1"/>
  <c r="H15" i="9"/>
  <c r="H10" i="9"/>
  <c r="H7" i="9"/>
  <c r="H6" i="9"/>
  <c r="H12" i="9"/>
  <c r="H20" i="9"/>
  <c r="H17" i="9"/>
  <c r="H11" i="9"/>
  <c r="H19" i="9"/>
  <c r="H9" i="9"/>
  <c r="H13" i="9"/>
  <c r="H8" i="9"/>
  <c r="H14" i="9"/>
  <c r="H18" i="9"/>
  <c r="S5" i="9"/>
  <c r="R5" i="12"/>
  <c r="N20" i="9"/>
  <c r="N9" i="9"/>
  <c r="N17" i="9"/>
  <c r="N19" i="9"/>
  <c r="N14" i="9"/>
  <c r="N18" i="9"/>
  <c r="N10" i="9"/>
  <c r="N12" i="9"/>
  <c r="N6" i="9"/>
  <c r="N13" i="9"/>
  <c r="N15" i="9"/>
  <c r="N11" i="9"/>
  <c r="N8" i="9"/>
  <c r="N7" i="9"/>
  <c r="J6" i="10"/>
  <c r="J8" i="10"/>
  <c r="J9" i="10" s="1"/>
  <c r="I12" i="9"/>
  <c r="I20" i="9"/>
  <c r="I17" i="9"/>
  <c r="I9" i="9"/>
  <c r="I14" i="9"/>
  <c r="I18" i="9"/>
  <c r="I11" i="9"/>
  <c r="I19" i="9"/>
  <c r="I13" i="9"/>
  <c r="I7" i="9"/>
  <c r="I8" i="9"/>
  <c r="I10" i="9"/>
  <c r="I15" i="9"/>
  <c r="I6" i="9"/>
  <c r="L13" i="9"/>
  <c r="L10" i="9"/>
  <c r="L14" i="9"/>
  <c r="L18" i="9"/>
  <c r="L17" i="9"/>
  <c r="L9" i="9"/>
  <c r="L15" i="9"/>
  <c r="L7" i="9"/>
  <c r="L12" i="9"/>
  <c r="L19" i="9"/>
  <c r="L6" i="9"/>
  <c r="L8" i="9"/>
  <c r="L11" i="9"/>
  <c r="L20" i="9"/>
  <c r="Q6" i="10"/>
  <c r="Q8" i="10"/>
  <c r="Q9" i="10" s="1"/>
  <c r="F17" i="10"/>
  <c r="O17" i="9"/>
  <c r="O12" i="9"/>
  <c r="O9" i="9"/>
  <c r="O15" i="9"/>
  <c r="O10" i="9"/>
  <c r="O20" i="9"/>
  <c r="O18" i="9"/>
  <c r="O6" i="9"/>
  <c r="O8" i="9"/>
  <c r="O7" i="9"/>
  <c r="O14" i="9"/>
  <c r="O13" i="9"/>
  <c r="O11" i="9"/>
  <c r="O19" i="9"/>
  <c r="M10" i="9"/>
  <c r="M19" i="9"/>
  <c r="M17" i="9"/>
  <c r="M12" i="9"/>
  <c r="M20" i="9"/>
  <c r="M8" i="9"/>
  <c r="M6" i="9"/>
  <c r="M13" i="9"/>
  <c r="M14" i="9"/>
  <c r="M18" i="9"/>
  <c r="M15" i="9"/>
  <c r="M7" i="9"/>
  <c r="M9" i="9"/>
  <c r="M11" i="9"/>
  <c r="Q13" i="9"/>
  <c r="Q15" i="9"/>
  <c r="Q10" i="9"/>
  <c r="Q11" i="9"/>
  <c r="Q20" i="9"/>
  <c r="Q9" i="9"/>
  <c r="Q7" i="9"/>
  <c r="Q19" i="9"/>
  <c r="Q8" i="9"/>
  <c r="Q6" i="9"/>
  <c r="Q14" i="9"/>
  <c r="Q18" i="9"/>
  <c r="Q17" i="9"/>
  <c r="Q12" i="9"/>
  <c r="AG8" i="13"/>
  <c r="AN8" i="13" s="1"/>
  <c r="D8" i="21" s="1"/>
  <c r="G8" i="21" s="1"/>
  <c r="AH17" i="13"/>
  <c r="AG4" i="13"/>
  <c r="AH19" i="13"/>
  <c r="O110" i="8"/>
  <c r="Q103" i="8"/>
  <c r="O109" i="8"/>
  <c r="R103" i="8"/>
  <c r="E109" i="8"/>
  <c r="E110" i="8"/>
  <c r="P103" i="8"/>
  <c r="U11" i="12" l="1"/>
  <c r="U12" i="12"/>
  <c r="U13" i="12"/>
  <c r="U9" i="16"/>
  <c r="U10" i="16" s="1"/>
  <c r="U6" i="16"/>
  <c r="U7" i="16"/>
  <c r="U8" i="16"/>
  <c r="U18" i="14"/>
  <c r="U6" i="14"/>
  <c r="U20" i="12"/>
  <c r="U9" i="12"/>
  <c r="U10" i="12"/>
  <c r="U8" i="12"/>
  <c r="U7" i="12"/>
  <c r="T11" i="11"/>
  <c r="U11" i="11" s="1"/>
  <c r="L16" i="16"/>
  <c r="N14" i="15"/>
  <c r="L14" i="15"/>
  <c r="Q5" i="19"/>
  <c r="U18" i="16"/>
  <c r="P16" i="16"/>
  <c r="N5" i="19"/>
  <c r="P14" i="15"/>
  <c r="M5" i="19"/>
  <c r="O5" i="19"/>
  <c r="Q14" i="15"/>
  <c r="O14" i="15"/>
  <c r="D23" i="21"/>
  <c r="G23" i="21" s="1"/>
  <c r="E8" i="21"/>
  <c r="M14" i="15"/>
  <c r="D48" i="21"/>
  <c r="D34" i="21"/>
  <c r="E35" i="21"/>
  <c r="E37" i="21"/>
  <c r="E21" i="21"/>
  <c r="D19" i="21"/>
  <c r="V16" i="9"/>
  <c r="S12" i="9"/>
  <c r="U12" i="9" s="1"/>
  <c r="V12" i="9" s="1"/>
  <c r="U9" i="11"/>
  <c r="U6" i="11"/>
  <c r="AG16" i="13"/>
  <c r="U6" i="12"/>
  <c r="U8" i="14"/>
  <c r="U7" i="11"/>
  <c r="S15" i="9"/>
  <c r="U15" i="9" s="1"/>
  <c r="V15" i="9" s="1"/>
  <c r="AH8" i="13"/>
  <c r="U19" i="14"/>
  <c r="U7" i="14"/>
  <c r="AG37" i="13"/>
  <c r="AG33" i="13"/>
  <c r="S19" i="9"/>
  <c r="U19" i="9" s="1"/>
  <c r="G9" i="10"/>
  <c r="R8" i="10"/>
  <c r="T8" i="10" s="1"/>
  <c r="S8" i="9"/>
  <c r="U8" i="9" s="1"/>
  <c r="S6" i="9"/>
  <c r="U6" i="9" s="1"/>
  <c r="AN15" i="13"/>
  <c r="AN4" i="13"/>
  <c r="U12" i="11"/>
  <c r="S13" i="9"/>
  <c r="U13" i="9" s="1"/>
  <c r="V13" i="9" s="1"/>
  <c r="S17" i="9"/>
  <c r="U17" i="9" s="1"/>
  <c r="V17" i="9" s="1"/>
  <c r="S7" i="9"/>
  <c r="U7" i="9" s="1"/>
  <c r="V7" i="9" s="1"/>
  <c r="J29" i="9"/>
  <c r="J32" i="9"/>
  <c r="J31" i="9"/>
  <c r="J30" i="9"/>
  <c r="J33" i="9"/>
  <c r="J34" i="9"/>
  <c r="S14" i="9"/>
  <c r="U14" i="9" s="1"/>
  <c r="V14" i="9" s="1"/>
  <c r="U13" i="11"/>
  <c r="U10" i="11"/>
  <c r="F16" i="14"/>
  <c r="S11" i="9"/>
  <c r="U11" i="9" s="1"/>
  <c r="V11" i="9" s="1"/>
  <c r="R6" i="10"/>
  <c r="T6" i="10" s="1"/>
  <c r="H30" i="9"/>
  <c r="H32" i="9"/>
  <c r="H29" i="9"/>
  <c r="H34" i="9"/>
  <c r="H33" i="9"/>
  <c r="H31" i="9"/>
  <c r="AO8" i="13"/>
  <c r="AQ8" i="13"/>
  <c r="AJ8" i="13"/>
  <c r="AH5" i="13"/>
  <c r="AN5" i="13"/>
  <c r="S18" i="9"/>
  <c r="U18" i="9" s="1"/>
  <c r="V18" i="9" s="1"/>
  <c r="S9" i="9"/>
  <c r="U9" i="9" s="1"/>
  <c r="S20" i="9"/>
  <c r="U20" i="9" s="1"/>
  <c r="V20" i="9" s="1"/>
  <c r="S10" i="9"/>
  <c r="U10" i="9" s="1"/>
  <c r="V10" i="9" s="1"/>
  <c r="U17" i="16"/>
  <c r="H18" i="11"/>
  <c r="H16" i="10"/>
  <c r="H17" i="10" s="1"/>
  <c r="U7" i="15"/>
  <c r="U8" i="15" s="1"/>
  <c r="P110" i="8"/>
  <c r="Q109" i="8"/>
  <c r="R109" i="8"/>
  <c r="P109" i="8"/>
  <c r="R110" i="8"/>
  <c r="Q110" i="8"/>
  <c r="U21" i="9" l="1"/>
  <c r="U8" i="10"/>
  <c r="U22" i="9"/>
  <c r="V22" i="9" s="1"/>
  <c r="V6" i="9"/>
  <c r="U23" i="9"/>
  <c r="V23" i="9" s="1"/>
  <c r="R9" i="10"/>
  <c r="T9" i="10" s="1"/>
  <c r="T10" i="10" s="1"/>
  <c r="U10" i="10" s="1"/>
  <c r="U19" i="16"/>
  <c r="E52" i="21"/>
  <c r="E51" i="21"/>
  <c r="E50" i="21"/>
  <c r="D49" i="21"/>
  <c r="AO5" i="13"/>
  <c r="E23" i="21"/>
  <c r="H18" i="12"/>
  <c r="H16" i="14" s="1"/>
  <c r="H16" i="16" s="1"/>
  <c r="H22" i="11"/>
  <c r="U11" i="14"/>
  <c r="U10" i="14"/>
  <c r="V9" i="9"/>
  <c r="AJ37" i="13"/>
  <c r="AJ40" i="13" s="1"/>
  <c r="AH37" i="13"/>
  <c r="AN16" i="13"/>
  <c r="AN32" i="13"/>
  <c r="U11" i="16"/>
  <c r="G18" i="11"/>
  <c r="G22" i="11" s="1"/>
  <c r="G16" i="10"/>
  <c r="AJ17" i="13"/>
  <c r="V19" i="9"/>
  <c r="V8" i="9"/>
  <c r="U6" i="10"/>
  <c r="V21" i="9"/>
  <c r="U9" i="15"/>
  <c r="AI5" i="13" s="1"/>
  <c r="I18" i="11"/>
  <c r="I16" i="10"/>
  <c r="I17" i="10" s="1"/>
  <c r="F16" i="16"/>
  <c r="F14" i="15"/>
  <c r="F5" i="19"/>
  <c r="AP5" i="13" l="1"/>
  <c r="F5" i="21" s="1"/>
  <c r="G5" i="21" s="1"/>
  <c r="H5" i="19"/>
  <c r="H14" i="15"/>
  <c r="U9" i="10"/>
  <c r="I18" i="12"/>
  <c r="I16" i="14" s="1"/>
  <c r="I5" i="19" s="1"/>
  <c r="I22" i="11"/>
  <c r="D20" i="21"/>
  <c r="AN37" i="13"/>
  <c r="D53" i="21" s="1"/>
  <c r="G53" i="21" s="1"/>
  <c r="AN33" i="13"/>
  <c r="G17" i="10"/>
  <c r="G18" i="12"/>
  <c r="AI4" i="13" l="1"/>
  <c r="AP4" i="13" s="1"/>
  <c r="F4" i="21" s="1"/>
  <c r="I16" i="16"/>
  <c r="F35" i="21"/>
  <c r="G35" i="21" s="1"/>
  <c r="F50" i="21"/>
  <c r="G50" i="21" s="1"/>
  <c r="I14" i="15"/>
  <c r="F20" i="21"/>
  <c r="G20" i="21" s="1"/>
  <c r="J77" i="21"/>
  <c r="E53" i="21"/>
  <c r="E20" i="21"/>
  <c r="D22" i="21"/>
  <c r="G22" i="21" s="1"/>
  <c r="AO37" i="13"/>
  <c r="AQ37" i="13"/>
  <c r="AQ40" i="13" s="1"/>
  <c r="G16" i="14"/>
  <c r="AQ5" i="13"/>
  <c r="AJ5" i="13"/>
  <c r="AJ4" i="13" l="1"/>
  <c r="AJ10" i="13" s="1"/>
  <c r="AI16" i="13"/>
  <c r="AI33" i="13" s="1"/>
  <c r="AJ33" i="13" s="1"/>
  <c r="AJ39" i="13" s="1"/>
  <c r="AJ41" i="13" s="1"/>
  <c r="AP16" i="13"/>
  <c r="AQ16" i="13" s="1"/>
  <c r="AQ22" i="13" s="1"/>
  <c r="F49" i="21"/>
  <c r="G4" i="21"/>
  <c r="E22" i="21"/>
  <c r="F19" i="21"/>
  <c r="G19" i="21" s="1"/>
  <c r="G25" i="21" s="1"/>
  <c r="G26" i="21" s="1"/>
  <c r="F34" i="21"/>
  <c r="AJ16" i="13"/>
  <c r="AQ4" i="13"/>
  <c r="AR52" i="13" s="1"/>
  <c r="AJ38" i="13"/>
  <c r="G16" i="16"/>
  <c r="G14" i="15"/>
  <c r="G5" i="19"/>
  <c r="AP33" i="13" l="1"/>
  <c r="AQ33" i="13" s="1"/>
  <c r="AQ38" i="13" s="1"/>
  <c r="AQ45" i="13" s="1"/>
  <c r="G10" i="21"/>
  <c r="G11" i="21" s="1"/>
  <c r="G49" i="21"/>
  <c r="G34" i="21"/>
  <c r="AQ10" i="13"/>
  <c r="AJ22" i="13"/>
  <c r="AJ44" i="13"/>
  <c r="AQ39" i="13" l="1"/>
  <c r="AQ41" i="13" s="1"/>
  <c r="G40" i="21"/>
  <c r="G41" i="21" s="1"/>
  <c r="G55" i="21"/>
  <c r="G56" i="21" l="1"/>
  <c r="M7" i="13" l="1"/>
  <c r="N7" i="13" s="1"/>
  <c r="AG7" i="13" s="1"/>
  <c r="N9" i="13"/>
  <c r="AG6" i="13" s="1"/>
  <c r="AG18" i="13" l="1"/>
  <c r="AH18" i="13" s="1"/>
  <c r="AH6" i="13"/>
  <c r="AN6" i="13"/>
  <c r="AO6" i="13" s="1"/>
  <c r="K28" i="9"/>
  <c r="K31" i="9" s="1"/>
  <c r="S31" i="9" s="1"/>
  <c r="U31" i="9" s="1"/>
  <c r="AH7" i="13"/>
  <c r="AJ7" i="13"/>
  <c r="AN7" i="13"/>
  <c r="AG20" i="13" l="1"/>
  <c r="D6" i="21"/>
  <c r="E6" i="21" s="1"/>
  <c r="AN18" i="13"/>
  <c r="D36" i="21" s="1"/>
  <c r="J15" i="10"/>
  <c r="K34" i="9"/>
  <c r="S34" i="9" s="1"/>
  <c r="U34" i="9" s="1"/>
  <c r="K29" i="9"/>
  <c r="S29" i="9" s="1"/>
  <c r="U29" i="9" s="1"/>
  <c r="K32" i="9"/>
  <c r="S32" i="9" s="1"/>
  <c r="U32" i="9" s="1"/>
  <c r="S28" i="9"/>
  <c r="V31" i="9" s="1"/>
  <c r="K33" i="9"/>
  <c r="S33" i="9" s="1"/>
  <c r="U33" i="9" s="1"/>
  <c r="K30" i="9"/>
  <c r="S30" i="9" s="1"/>
  <c r="U30" i="9" s="1"/>
  <c r="R15" i="10"/>
  <c r="J18" i="11"/>
  <c r="J16" i="10"/>
  <c r="AJ20" i="13"/>
  <c r="AH20" i="13"/>
  <c r="AO18" i="13"/>
  <c r="AO7" i="13"/>
  <c r="AQ7" i="13"/>
  <c r="D7" i="21" l="1"/>
  <c r="AN20" i="13"/>
  <c r="V32" i="9"/>
  <c r="V33" i="9"/>
  <c r="V29" i="9"/>
  <c r="V34" i="9"/>
  <c r="U35" i="9"/>
  <c r="V35" i="9" s="1"/>
  <c r="V30" i="9"/>
  <c r="R18" i="11"/>
  <c r="J22" i="11"/>
  <c r="R22" i="11" s="1"/>
  <c r="T22" i="11" s="1"/>
  <c r="J18" i="12"/>
  <c r="J17" i="10"/>
  <c r="R17" i="10" s="1"/>
  <c r="T17" i="10" s="1"/>
  <c r="U17" i="10" s="1"/>
  <c r="R16" i="10"/>
  <c r="T16" i="10" s="1"/>
  <c r="E36" i="21"/>
  <c r="E7" i="21"/>
  <c r="G7" i="21"/>
  <c r="AO20" i="13"/>
  <c r="AQ20" i="13"/>
  <c r="D38" i="21"/>
  <c r="T23" i="11" l="1"/>
  <c r="U23" i="11" s="1"/>
  <c r="U22" i="11"/>
  <c r="U16" i="10"/>
  <c r="T18" i="10"/>
  <c r="U18" i="10" s="1"/>
  <c r="E38" i="21"/>
  <c r="G38" i="21"/>
  <c r="J16" i="14"/>
  <c r="R18" i="12"/>
  <c r="U21" i="11"/>
  <c r="U20" i="11"/>
  <c r="U22" i="12" l="1"/>
  <c r="U21" i="12"/>
  <c r="U19" i="12"/>
  <c r="R16" i="14"/>
  <c r="U17" i="14" s="1"/>
  <c r="U20" i="14" s="1"/>
  <c r="J16" i="16"/>
  <c r="R16" i="16" s="1"/>
  <c r="J5" i="19"/>
  <c r="R5" i="19" s="1"/>
  <c r="J14" i="15"/>
  <c r="R14" i="15" s="1"/>
  <c r="U15" i="15" s="1"/>
  <c r="U16" i="15" s="1"/>
  <c r="U6" i="19" l="1"/>
  <c r="S7" i="19"/>
  <c r="T7" i="19" s="1"/>
  <c r="T8" i="19" l="1"/>
  <c r="U7" i="19"/>
  <c r="U8" i="19" s="1"/>
  <c r="AI6" i="13" s="1"/>
  <c r="AJ6" i="13" l="1"/>
  <c r="AP6" i="13"/>
  <c r="AI18" i="13"/>
  <c r="AJ18" i="13" s="1"/>
  <c r="AJ23" i="13" l="1"/>
  <c r="AJ24" i="13" s="1"/>
  <c r="AJ21" i="13"/>
  <c r="AJ27" i="13" s="1"/>
  <c r="F6" i="21"/>
  <c r="AP18" i="13"/>
  <c r="AQ18" i="13" s="1"/>
  <c r="AQ6" i="13"/>
  <c r="AJ9" i="13"/>
  <c r="AJ26" i="13" s="1"/>
  <c r="AJ43" i="13" s="1"/>
  <c r="AJ47" i="13" s="1"/>
  <c r="AJ11" i="13"/>
  <c r="AJ12" i="13" s="1"/>
  <c r="F36" i="21" l="1"/>
  <c r="G36" i="21" s="1"/>
  <c r="F51" i="21"/>
  <c r="G51" i="21" s="1"/>
  <c r="F21" i="21"/>
  <c r="G21" i="21" s="1"/>
  <c r="G6" i="21"/>
  <c r="AQ11" i="13"/>
  <c r="AQ12" i="13" s="1"/>
  <c r="AR41" i="13" s="1"/>
  <c r="AQ9" i="13"/>
  <c r="AQ21" i="13"/>
  <c r="AQ23" i="13"/>
  <c r="AQ24" i="13" s="1"/>
  <c r="AJ29" i="13"/>
  <c r="AR24" i="13" l="1"/>
  <c r="AQ44" i="13"/>
  <c r="AQ27" i="13"/>
  <c r="G57" i="21"/>
  <c r="G54" i="21"/>
  <c r="AQ43" i="13"/>
  <c r="AQ26" i="13"/>
  <c r="J84" i="21"/>
  <c r="J91" i="21" s="1"/>
  <c r="G9" i="21"/>
  <c r="G12" i="21"/>
  <c r="G24" i="21"/>
  <c r="G27" i="21"/>
  <c r="G42" i="21"/>
  <c r="G39" i="21"/>
  <c r="AQ47" i="13" l="1"/>
  <c r="AR45" i="13"/>
  <c r="AQ29" i="13"/>
  <c r="G43" i="21"/>
  <c r="G44" i="21"/>
  <c r="G28" i="21"/>
  <c r="G29" i="21"/>
  <c r="G59" i="21"/>
  <c r="G58" i="21"/>
  <c r="G14" i="21"/>
  <c r="G13" i="21"/>
  <c r="AR44" i="13"/>
  <c r="G70" i="21" l="1"/>
  <c r="G60" i="21"/>
  <c r="G71" i="21" s="1"/>
  <c r="G30" i="21"/>
  <c r="G67" i="21" s="1"/>
  <c r="G66" i="21"/>
  <c r="G45" i="21"/>
  <c r="G69" i="21" s="1"/>
  <c r="G68" i="21"/>
  <c r="G64" i="21"/>
  <c r="G15" i="21"/>
  <c r="G65" i="21" s="1"/>
  <c r="AQ50" i="13"/>
  <c r="AR54" i="13"/>
  <c r="AR56" i="13" s="1"/>
  <c r="I64" i="21" l="1"/>
  <c r="I68" i="21"/>
  <c r="I66" i="21"/>
  <c r="O64" i="21"/>
  <c r="M64" i="21"/>
  <c r="H68" i="21"/>
  <c r="G84" i="21" s="1"/>
  <c r="J85" i="21" s="1"/>
  <c r="E84" i="21" s="1"/>
  <c r="H66" i="21"/>
  <c r="G77" i="21" s="1"/>
  <c r="J78" i="21" s="1"/>
  <c r="E77" i="21" s="1"/>
  <c r="H64" i="21"/>
  <c r="G91" i="21" s="1"/>
  <c r="J92" i="21" s="1"/>
  <c r="E91" i="2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Mayra Alejandra Vargas Becerra</author>
    <author>Noedy Rocio Nova</author>
    <author>Noedy Rocio Nova Sierra</author>
  </authors>
  <commentList>
    <comment ref="F13" authorId="0" shapeId="0" xr:uid="{F0C56B90-917B-41BA-AF29-85C80374A9EF}">
      <text>
        <r>
          <rPr>
            <b/>
            <sz val="9"/>
            <color indexed="81"/>
            <rFont val="Tahoma"/>
            <family val="2"/>
          </rPr>
          <t>Mayra Alejandra Vargas Becerra:</t>
        </r>
        <r>
          <rPr>
            <sz val="9"/>
            <color indexed="81"/>
            <rFont val="Tahoma"/>
            <family val="2"/>
          </rPr>
          <t xml:space="preserve">
Se estaba en negociación con proveedor, tenemos consumos de enero</t>
        </r>
      </text>
    </comment>
    <comment ref="F23" authorId="0" shapeId="0" xr:uid="{78319361-15AB-4C03-A460-D5950D2FD020}">
      <text>
        <r>
          <rPr>
            <b/>
            <sz val="9"/>
            <color indexed="81"/>
            <rFont val="Tahoma"/>
            <family val="2"/>
          </rPr>
          <t>Mayra Alejandra Vargas Becerra:</t>
        </r>
        <r>
          <rPr>
            <sz val="9"/>
            <color indexed="81"/>
            <rFont val="Tahoma"/>
            <family val="2"/>
          </rPr>
          <t xml:space="preserve">
Consumo de enero-febrero</t>
        </r>
      </text>
    </comment>
    <comment ref="L25" authorId="1" shapeId="0" xr:uid="{9B919995-99C5-4D4C-A09D-792382C9B309}">
      <text>
        <r>
          <rPr>
            <b/>
            <sz val="9"/>
            <color indexed="81"/>
            <rFont val="Tahoma"/>
            <family val="2"/>
          </rPr>
          <t xml:space="preserve">El servicio se ejecutó el 30 y 31 de agosto
</t>
        </r>
        <r>
          <rPr>
            <sz val="9"/>
            <color indexed="81"/>
            <rFont val="Tahoma"/>
            <family val="2"/>
          </rPr>
          <t xml:space="preserve">
</t>
        </r>
      </text>
    </comment>
    <comment ref="I27" authorId="0" shapeId="0" xr:uid="{07D17143-1DB0-4353-BDBB-61D2DD52C0B7}">
      <text>
        <r>
          <rPr>
            <b/>
            <sz val="9"/>
            <color indexed="81"/>
            <rFont val="Tahoma"/>
            <family val="2"/>
          </rPr>
          <t>Mayra Alejandra Vargas Becerra:</t>
        </r>
        <r>
          <rPr>
            <sz val="9"/>
            <color indexed="81"/>
            <rFont val="Tahoma"/>
            <family val="2"/>
          </rPr>
          <t xml:space="preserve">
Cambio de membranas etapa II ósmosis</t>
        </r>
      </text>
    </comment>
    <comment ref="N32" authorId="1" shapeId="0" xr:uid="{52AB21BC-BCAD-496F-8537-5C9919DFA0A0}">
      <text>
        <r>
          <rPr>
            <sz val="9"/>
            <color indexed="81"/>
            <rFont val="Tahoma"/>
            <family val="2"/>
          </rPr>
          <t>PLATISCO - 1000 ml -
TRANSPARENTE</t>
        </r>
      </text>
    </comment>
    <comment ref="C34" authorId="0" shapeId="0" xr:uid="{34C1EED8-73E3-4B68-AEB2-6AC7619B3846}">
      <text>
        <r>
          <rPr>
            <b/>
            <sz val="9"/>
            <color indexed="81"/>
            <rFont val="Tahoma"/>
            <family val="2"/>
          </rPr>
          <t>Mayra Alejandra Vargas Becerra:</t>
        </r>
        <r>
          <rPr>
            <sz val="9"/>
            <color indexed="81"/>
            <rFont val="Tahoma"/>
            <family val="2"/>
          </rPr>
          <t xml:space="preserve">
Prefiltros ósmosis Inversa</t>
        </r>
      </text>
    </comment>
    <comment ref="J34" authorId="1" shapeId="0" xr:uid="{D3D02C02-316D-47B6-A00D-09D9549EA59B}">
      <text>
        <r>
          <rPr>
            <b/>
            <sz val="9"/>
            <color indexed="81"/>
            <rFont val="Tahoma"/>
            <family val="2"/>
          </rPr>
          <t>Cambio de filtros osmosis dos</t>
        </r>
        <r>
          <rPr>
            <sz val="9"/>
            <color indexed="81"/>
            <rFont val="Tahoma"/>
            <family val="2"/>
          </rPr>
          <t xml:space="preserve">
</t>
        </r>
      </text>
    </comment>
    <comment ref="C48" authorId="0" shapeId="0" xr:uid="{F49C5707-F512-4B3A-B310-E114C97BF1CC}">
      <text>
        <r>
          <rPr>
            <b/>
            <sz val="9"/>
            <color indexed="81"/>
            <rFont val="Tahoma"/>
            <family val="2"/>
          </rPr>
          <t>Mayra Alejandra Vargas Becerra:</t>
        </r>
        <r>
          <rPr>
            <sz val="9"/>
            <color indexed="81"/>
            <rFont val="Tahoma"/>
            <family val="2"/>
          </rPr>
          <t xml:space="preserve">
Vaso Acrilico</t>
        </r>
      </text>
    </comment>
    <comment ref="L49" authorId="1" shapeId="0" xr:uid="{A2815ADF-0452-4B67-88DC-1CFE5D4807CB}">
      <text>
        <r>
          <rPr>
            <sz val="9"/>
            <color indexed="81"/>
            <rFont val="Tahoma"/>
            <family val="2"/>
          </rPr>
          <t>Servicios Ambientales en Matriz AGUA, análisis de Agua Residual</t>
        </r>
        <r>
          <rPr>
            <sz val="9"/>
            <color indexed="81"/>
            <rFont val="Tahoma"/>
            <family val="2"/>
          </rPr>
          <t xml:space="preserve">
</t>
        </r>
      </text>
    </comment>
    <comment ref="F59" authorId="0" shapeId="0" xr:uid="{8AA216AE-C1DC-400D-A649-C2A01E43A7D9}">
      <text>
        <r>
          <rPr>
            <b/>
            <sz val="9"/>
            <color indexed="81"/>
            <rFont val="Tahoma"/>
            <family val="2"/>
          </rPr>
          <t>Mayra Alejandra Vargas Becerra:</t>
        </r>
        <r>
          <rPr>
            <sz val="9"/>
            <color indexed="81"/>
            <rFont val="Tahoma"/>
            <family val="2"/>
          </rPr>
          <t xml:space="preserve">
Calibraciones equipos de laboratorio Ptar, y consumo de mallas </t>
        </r>
      </text>
    </comment>
    <comment ref="G59" authorId="0" shapeId="0" xr:uid="{3138E6C6-884E-43ED-85F1-8411482BD1BC}">
      <text>
        <r>
          <rPr>
            <b/>
            <sz val="9"/>
            <color indexed="81"/>
            <rFont val="Tahoma"/>
            <family val="2"/>
          </rPr>
          <t>Mayra Alejandra Vargas Becerra:</t>
        </r>
        <r>
          <rPr>
            <sz val="9"/>
            <color indexed="81"/>
            <rFont val="Tahoma"/>
            <family val="2"/>
          </rPr>
          <t xml:space="preserve">
Intervención linea de alimentación GEM para instalación de 100m3 y Servicio ductos residuos</t>
        </r>
      </text>
    </comment>
    <comment ref="H59" authorId="0" shapeId="0" xr:uid="{473A4E84-4DBE-41F5-9281-2153D9FA693C}">
      <text>
        <r>
          <rPr>
            <b/>
            <sz val="9"/>
            <color indexed="81"/>
            <rFont val="Tahoma"/>
            <family val="2"/>
          </rPr>
          <t>Mayra Alejandra Vargas Becerra:</t>
        </r>
        <r>
          <rPr>
            <sz val="9"/>
            <color indexed="81"/>
            <rFont val="Tahoma"/>
            <family val="2"/>
          </rPr>
          <t xml:space="preserve">
Intervención Membranas $29.500.000, cambio de filtro y mmto equipo ozono</t>
        </r>
      </text>
    </comment>
    <comment ref="I59" authorId="0" shapeId="0" xr:uid="{C6D52E0A-7F28-4C72-A2C9-9B2854CB1FCA}">
      <text>
        <r>
          <rPr>
            <b/>
            <sz val="9"/>
            <color indexed="81"/>
            <rFont val="Tahoma"/>
            <family val="2"/>
          </rPr>
          <t>Mayra Alejandra Vargas Becerra:</t>
        </r>
        <r>
          <rPr>
            <sz val="9"/>
            <color indexed="81"/>
            <rFont val="Tahoma"/>
            <family val="2"/>
          </rPr>
          <t xml:space="preserve">
Cambio mallas</t>
        </r>
      </text>
    </comment>
    <comment ref="J59" authorId="0" shapeId="0" xr:uid="{3991B7A0-8024-45D9-B2D1-D6BA72A9E6AE}">
      <text>
        <r>
          <rPr>
            <b/>
            <sz val="9"/>
            <color indexed="81"/>
            <rFont val="Tahoma"/>
            <family val="2"/>
          </rPr>
          <t>Mayra Alejandra Vargas Becerra:</t>
        </r>
        <r>
          <rPr>
            <sz val="9"/>
            <color indexed="81"/>
            <rFont val="Tahoma"/>
            <family val="2"/>
          </rPr>
          <t xml:space="preserve">
Instalación bomba sumergible tanque TH</t>
        </r>
      </text>
    </comment>
    <comment ref="K59" authorId="1" shapeId="0" xr:uid="{01D62C42-7C90-4E88-9336-9684EC5B9C42}">
      <text>
        <r>
          <rPr>
            <b/>
            <sz val="9"/>
            <color indexed="81"/>
            <rFont val="Tahoma"/>
            <family val="2"/>
          </rPr>
          <t>Noedy Rocio Nova:</t>
        </r>
        <r>
          <rPr>
            <sz val="9"/>
            <color indexed="81"/>
            <rFont val="Tahoma"/>
            <family val="2"/>
          </rPr>
          <t xml:space="preserve">
Servicio cambio de rodamianeto motor, servicio técnico de instalacion de backup Siemens,servicio de inspección y mantenimiento preventivo trimestral a 6 bombas dosificadoras de quimicos</t>
        </r>
      </text>
    </comment>
    <comment ref="L59" authorId="1" shapeId="0" xr:uid="{C603CD64-09C9-4705-A71F-0A740E9FAB78}">
      <text>
        <r>
          <rPr>
            <b/>
            <sz val="9"/>
            <color indexed="81"/>
            <rFont val="Tahoma"/>
            <family val="2"/>
          </rPr>
          <t>Noedy Rocio Nova:</t>
        </r>
        <r>
          <rPr>
            <sz val="9"/>
            <color indexed="81"/>
            <rFont val="Tahoma"/>
            <family val="2"/>
          </rPr>
          <t xml:space="preserve">
-FABRICACIÓN SUMINISTRO DE COLLARIN O (ABRAZADERA) EN ACERO INOX. 304, PTAR EN LÁMINA DE 1/2" CON 6 
-CAMBIO MALLA Z48 MESH 80 CON MESH 10
-Servicio de Mantenimiento General motores (lavado-Barnizado-Secado), cambio de rodamientos, cambio de cable</t>
        </r>
      </text>
    </comment>
    <comment ref="M59" authorId="1" shapeId="0" xr:uid="{257C37E0-41F8-4AE4-A5DA-1E5C99625EEC}">
      <text>
        <r>
          <rPr>
            <b/>
            <sz val="9"/>
            <color indexed="81"/>
            <rFont val="Tahoma"/>
            <family val="2"/>
          </rPr>
          <t>Noedy Rocio Nova:</t>
        </r>
        <r>
          <rPr>
            <sz val="9"/>
            <color indexed="81"/>
            <rFont val="Tahoma"/>
            <family val="2"/>
          </rPr>
          <t xml:space="preserve">
1. Hora de Servicio Técnico BU1
2.SER.MTTO.BOMBAS.DOSIFICADORAS.PTAR
3.SERVICIO DE MANTENIMIENTO A TORRE DE ENFRIAMIENTO GLACIAL
4.Servicio de Mantenimiento General BOMBA DOSIFICADORA MILTON RO</t>
        </r>
      </text>
    </comment>
    <comment ref="N59" authorId="1" shapeId="0" xr:uid="{E48047D5-3089-4161-BA95-C49131BEE31A}">
      <text>
        <r>
          <rPr>
            <sz val="9"/>
            <color indexed="81"/>
            <rFont val="Tahoma"/>
            <family val="2"/>
          </rPr>
          <t xml:space="preserve">1. MOTOBOMBA EJE LIBRE EBARA HP 10 - Servicio de Alineacion Laser
2. SUMINISTRO DE CODOS 4" INOX TUBERIA PVC SCH 80 DE 1" COT 2540 - SER.INSTALACION.BOMBAS.PTAR//WBM
3. BOMBA MULTIETAPASINOX. BANGPU OSMOSIS  Servicio de Mantenimiento General- Cambio de Rodamiento NU 308
</t>
        </r>
      </text>
    </comment>
    <comment ref="O59" authorId="1" shapeId="0" xr:uid="{A3F359EA-49C5-4E3F-8C98-EEBCCF2E4D44}">
      <text>
        <r>
          <rPr>
            <sz val="9"/>
            <color indexed="81"/>
            <rFont val="Tahoma"/>
            <family val="2"/>
          </rPr>
          <t xml:space="preserve">1. REPARACÍON DE BOMBA EBARA TH-80/200 MANCA
2. Servicio de Bobinado - Cambio de Rodamiento 6310 2Z - C3 SKF
3. Construcción cárcamos conexión tanque de 60 m3PTAR//JEM
</t>
        </r>
      </text>
    </comment>
    <comment ref="F61" authorId="0" shapeId="0" xr:uid="{863E565D-B6AF-45CA-9ADF-A9D1F12C5330}">
      <text>
        <r>
          <rPr>
            <b/>
            <sz val="9"/>
            <color indexed="81"/>
            <rFont val="Tahoma"/>
            <family val="2"/>
          </rPr>
          <t>Mayra Alejandra Vargas Becerra:</t>
        </r>
        <r>
          <rPr>
            <sz val="9"/>
            <color indexed="81"/>
            <rFont val="Tahoma"/>
            <family val="2"/>
          </rPr>
          <t xml:space="preserve">
Impulsor para bomba Ebara centrifuga</t>
        </r>
      </text>
    </comment>
    <comment ref="C66" authorId="0" shapeId="0" xr:uid="{07468A87-07E4-42F8-BFD0-51373EE5F301}">
      <text>
        <r>
          <rPr>
            <b/>
            <sz val="9"/>
            <color indexed="81"/>
            <rFont val="Tahoma"/>
            <family val="2"/>
          </rPr>
          <t>Mayra Alejandra Vargas Becerra:</t>
        </r>
        <r>
          <rPr>
            <sz val="9"/>
            <color indexed="81"/>
            <rFont val="Tahoma"/>
            <family val="2"/>
          </rPr>
          <t xml:space="preserve">
No se tomara el servicio de aseo y vigilancia.
Agrega polimero-agua de acuducto</t>
        </r>
      </text>
    </comment>
    <comment ref="F74" authorId="0" shapeId="0" xr:uid="{28ADD5E4-8FEB-494C-AC5D-D421ECF59B71}">
      <text>
        <r>
          <rPr>
            <b/>
            <sz val="9"/>
            <color indexed="81"/>
            <rFont val="Tahoma"/>
            <family val="2"/>
          </rPr>
          <t>Mayra Alejandra Vargas Becerra:</t>
        </r>
        <r>
          <rPr>
            <sz val="9"/>
            <color indexed="81"/>
            <rFont val="Tahoma"/>
            <family val="2"/>
          </rPr>
          <t xml:space="preserve">
AX Dynamics </t>
        </r>
      </text>
    </comment>
    <comment ref="G74" authorId="0" shapeId="0" xr:uid="{DC39BB0A-86FC-4B2C-B38F-CF8E2A431904}">
      <text>
        <r>
          <rPr>
            <b/>
            <sz val="9"/>
            <color indexed="81"/>
            <rFont val="Tahoma"/>
            <family val="2"/>
          </rPr>
          <t>Mayra Alejandra Vargas Becerra:</t>
        </r>
        <r>
          <rPr>
            <sz val="9"/>
            <color indexed="81"/>
            <rFont val="Tahoma"/>
            <family val="2"/>
          </rPr>
          <t xml:space="preserve">
Pago anual de Microsoft</t>
        </r>
      </text>
    </comment>
    <comment ref="M76" authorId="1" shapeId="0" xr:uid="{E9F7BDA5-8182-4CD5-A003-C4E0BB23D0A2}">
      <text>
        <r>
          <rPr>
            <sz val="9"/>
            <color indexed="81"/>
            <rFont val="Tahoma"/>
            <family val="2"/>
          </rPr>
          <t>1. CURSO DE ALTURAS
2. VALOR CORRESPONDIENTE AL TOTAL DEL ESTUDIO DE SUELOS Y ANALSIS DE CIMENTACIONES PARA 3 TANQUES SATURADORES Y 3 FILTROS QUE SE CONSTRUIRÁN EN LA PLANTA PERMODA, UBICADA EN LA CALLE 19A NO. 69B-20/58</t>
        </r>
      </text>
    </comment>
    <comment ref="N76" authorId="1" shapeId="0" xr:uid="{1E5A39B5-3E1A-4010-ACF6-E8924422946F}">
      <text>
        <r>
          <rPr>
            <sz val="9"/>
            <color indexed="81"/>
            <rFont val="Tahoma"/>
            <family val="2"/>
          </rPr>
          <t>HONORARIOS POR PRESTACION DE SERVICIOS Diseño estructuras para de apoyo de tanques saturadores y filtros de carbón</t>
        </r>
      </text>
    </comment>
    <comment ref="G77" authorId="0" shapeId="0" xr:uid="{6AE55303-7573-4D91-9E49-3EB02E1C953B}">
      <text>
        <r>
          <rPr>
            <b/>
            <sz val="9"/>
            <color indexed="81"/>
            <rFont val="Tahoma"/>
            <family val="2"/>
          </rPr>
          <t>Mayra Alejandra Vargas Becerra:</t>
        </r>
        <r>
          <rPr>
            <sz val="9"/>
            <color indexed="81"/>
            <rFont val="Tahoma"/>
            <family val="2"/>
          </rPr>
          <t xml:space="preserve">
Seguros Bolivar</t>
        </r>
      </text>
    </comment>
    <comment ref="M82" authorId="1" shapeId="0" xr:uid="{42F84F3D-DCD1-49D6-A1E6-3223648C0B31}">
      <text>
        <r>
          <rPr>
            <b/>
            <sz val="9"/>
            <color indexed="81"/>
            <rFont val="Tahoma"/>
            <family val="2"/>
          </rPr>
          <t>Noedy Rocio Nova:</t>
        </r>
        <r>
          <rPr>
            <sz val="9"/>
            <color indexed="81"/>
            <rFont val="Tahoma"/>
            <family val="2"/>
          </rPr>
          <t xml:space="preserve">
MANTENIMIENTO DUCHAS LAVA OJOS</t>
        </r>
      </text>
    </comment>
    <comment ref="C91" authorId="0" shapeId="0" xr:uid="{D9CAF555-555B-4EB3-84C6-5D344191AA28}">
      <text>
        <r>
          <rPr>
            <b/>
            <sz val="9"/>
            <color indexed="81"/>
            <rFont val="Tahoma"/>
            <family val="2"/>
          </rPr>
          <t>Mayra Alejandra Vargas Becerra:</t>
        </r>
        <r>
          <rPr>
            <sz val="9"/>
            <color indexed="81"/>
            <rFont val="Tahoma"/>
            <family val="2"/>
          </rPr>
          <t xml:space="preserve">
Proyecto</t>
        </r>
      </text>
    </comment>
    <comment ref="B96" authorId="2" shapeId="0" xr:uid="{F1D17AE3-326E-4BF4-AC56-F53806B87905}">
      <text>
        <r>
          <rPr>
            <sz val="9"/>
            <color indexed="81"/>
            <rFont val="Tahoma"/>
            <family val="2"/>
          </rPr>
          <t>Tomar el costo ponderado mes a mes del archivo servicios públicos
5 cuentas de calle 22</t>
        </r>
      </text>
    </comment>
    <comment ref="G99" authorId="0" shapeId="0" xr:uid="{741561B5-1EE4-46A0-98FA-5B571B9A70D8}">
      <text>
        <r>
          <rPr>
            <b/>
            <sz val="9"/>
            <color indexed="81"/>
            <rFont val="Tahoma"/>
            <family val="2"/>
          </rPr>
          <t>Mayra Alejandra Vargas Becerra:</t>
        </r>
        <r>
          <rPr>
            <sz val="9"/>
            <color indexed="81"/>
            <rFont val="Tahoma"/>
            <family val="2"/>
          </rPr>
          <t xml:space="preserve">
Promedio agua carrotanque TINCARGA y A ALDIA</t>
        </r>
      </text>
    </comment>
    <comment ref="H99" authorId="0" shapeId="0" xr:uid="{9F77CDD6-F08D-4F10-89A9-FADEC5C2585E}">
      <text>
        <r>
          <rPr>
            <b/>
            <sz val="9"/>
            <color indexed="81"/>
            <rFont val="Tahoma"/>
            <family val="2"/>
          </rPr>
          <t>Mayra Alejandra Vargas Becerra:</t>
        </r>
        <r>
          <rPr>
            <sz val="9"/>
            <color indexed="81"/>
            <rFont val="Tahoma"/>
            <family val="2"/>
          </rPr>
          <t xml:space="preserve">
Promedio agua carrotanque TINCARGA y A ALDIA</t>
        </r>
      </text>
    </comment>
    <comment ref="B105" authorId="0" shapeId="0" xr:uid="{6F1DCE00-888C-4A59-9D22-149CE6EE259F}">
      <text>
        <r>
          <rPr>
            <b/>
            <sz val="9"/>
            <color indexed="81"/>
            <rFont val="Tahoma"/>
            <family val="2"/>
          </rPr>
          <t>Mayra Alejandra Vargas Becerra:</t>
        </r>
        <r>
          <rPr>
            <sz val="9"/>
            <color indexed="81"/>
            <rFont val="Tahoma"/>
            <family val="2"/>
          </rPr>
          <t xml:space="preserve">
El agua que se va para Ósmosis depende de los niveles de los tanques, del estado de los equipos, de si se han consumido el agua de rechazo, esa agua se consume en producción para procesos oscuros.</t>
        </r>
      </text>
    </comment>
    <comment ref="B107" authorId="0" shapeId="0" xr:uid="{B9968566-2F04-4CE0-B1E9-282B32055C52}">
      <text>
        <r>
          <rPr>
            <b/>
            <sz val="9"/>
            <color indexed="81"/>
            <rFont val="Tahoma"/>
            <family val="2"/>
          </rPr>
          <t>Mayra Alejandra Vargas Becerra:</t>
        </r>
        <r>
          <rPr>
            <sz val="9"/>
            <color indexed="81"/>
            <rFont val="Tahoma"/>
            <family val="2"/>
          </rPr>
          <t xml:space="preserve">
Se utiliza en producción para procesos oscuros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tc={D758CF5F-E7AF-4021-83D3-F359B9199242}</author>
  </authors>
  <commentList>
    <comment ref="D37" authorId="0" shapeId="0" xr:uid="{D758CF5F-E7AF-4021-83D3-F359B9199242}">
      <text>
        <t>[Comentario encadenado]
Su versión de Excel le permite leer este comentario encadenado; sin embargo, las ediciones que se apliquen se quitarán si el archivo se abre en una versión más reciente de Excel. Más información: https://go.microsoft.com/fwlink/?linkid=870924
Comentario:
    Se proyecta 32 m3/h, X 24 horas, x 25 días efectivos. Para un total de 19.200 m3/Mes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tc={C0D91809-4745-428D-8E02-46F537946AE4}</author>
    <author>tc={39FBCCE4-E168-40C5-A705-C651901F9C2B}</author>
    <author>tc={3E48641B-5224-4687-8A48-2FAEF1F1D78D}</author>
    <author>tc={02524BEA-5DAC-4711-BF4B-A3D468CD8FFA}</author>
    <author>tc={F98A35EE-CC07-41AD-A5F9-29BA63F067E7}</author>
    <author>tc={C2081837-A6F3-4D1C-B363-06D2D198C84A}</author>
    <author>tc={0189A5EF-2805-4454-BD12-2BA306E1A29B}</author>
    <author>tc={75CAA601-EB4B-438B-86E9-0E52DC840144}</author>
  </authors>
  <commentList>
    <comment ref="N9" authorId="0" shapeId="0" xr:uid="{C0D91809-4745-428D-8E02-46F537946A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proyecta un permiso de concesión de 10 PS (12 Horas), esto quiere decir que son 432 m3/día, 10,800 m3/mes (Contemplando 25 días)
</t>
      </text>
    </comment>
    <comment ref="P9" authorId="1" shapeId="0" xr:uid="{39FBCCE4-E168-40C5-A705-C651901F9C2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proyecta un permiso de concesión de 10 PS (12 Horas), esto quiere decir que son 432 m3/día, 10,800 m3/mes (Contemplando 25 días)
</t>
      </text>
    </comment>
    <comment ref="R9" authorId="2" shapeId="0" xr:uid="{3E48641B-5224-4687-8A48-2FAEF1F1D78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proyecta un permiso de concesión de 10 PS (12 Horas), esto quiere decir que son 432 m3/día, 10,800 m3/mes (Contemplando 25 días)
</t>
      </text>
    </comment>
    <comment ref="T9" authorId="3" shapeId="0" xr:uid="{02524BEA-5DAC-4711-BF4B-A3D468CD8FF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proyecta un permiso de concesión de 10 PS (12 Horas), esto quiere decir que son 432 m3/día, 10,800 m3/mes (Contemplando 25 días)
</t>
      </text>
    </comment>
    <comment ref="V9" authorId="4" shapeId="0" xr:uid="{F98A35EE-CC07-41AD-A5F9-29BA63F067E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proyecta un permiso de concesión de 10 PS (12 Horas), esto quiere decir que son 432 m3/día, 10,800 m3/mes (Contemplando 25 días)
</t>
      </text>
    </comment>
    <comment ref="X9" authorId="5" shapeId="0" xr:uid="{C2081837-A6F3-4D1C-B363-06D2D198C8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proyecta un permiso de concesión de 10 PS (12 Horas), esto quiere decir que son 432 m3/día, 10,800 m3/mes (Contemplando 25 días)
</t>
      </text>
    </comment>
    <comment ref="Z9" authorId="6" shapeId="0" xr:uid="{0189A5EF-2805-4454-BD12-2BA306E1A29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proyecta un permiso de concesión de 10 PS (12 Horas), esto quiere decir que son 432 m3/día, 10,800 m3/mes (Contemplando 25 días)
</t>
      </text>
    </comment>
    <comment ref="AB9" authorId="7" shapeId="0" xr:uid="{75CAA601-EB4B-438B-86E9-0E52DC84014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proyecta un permiso de concesión de 10 PS (12 Horas), esto quiere decir que son 432 m3/día, 10,800 m3/mes (Contemplando 25 días)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tc={3DB74E97-E90C-46C9-BF68-7D116F5951C7}</author>
    <author>tc={7912B910-66F5-4574-AB32-6144FF5C25AF}</author>
    <author>tc={27EFB2E6-00A8-4E26-80EF-50BE0F33BE01}</author>
  </authors>
  <commentList>
    <comment ref="T6" authorId="0" shapeId="0" xr:uid="{3DB74E97-E90C-46C9-BF68-7D116F5951C7}">
      <text>
        <t>[Comentario encadenado]
Su versión de Excel le permite leer este comentario encadenado; sin embargo, las ediciones que se apliquen se quitarán si el archivo se abre en una versión más reciente de Excel. Más información: https://go.microsoft.com/fwlink/?linkid=870924
Comentario:
    Se proyecta una duración de las membranas de 3 años</t>
      </text>
    </comment>
    <comment ref="T8" authorId="1" shapeId="0" xr:uid="{7912B910-66F5-4574-AB32-6144FF5C25AF}">
      <text>
        <t>[Comentario encadenado]
Su versión de Excel le permite leer este comentario encadenado; sin embargo, las ediciones que se apliquen se quitarán si el archivo se abre en una versión más reciente de Excel. Más información: https://go.microsoft.com/fwlink/?linkid=870924
Comentario:
    Se proyecta una durabilidad de 2 años</t>
      </text>
    </comment>
    <comment ref="T21" authorId="2" shapeId="0" xr:uid="{27EFB2E6-00A8-4E26-80EF-50BE0F33BE0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proyecta que las membranas pueden tener una durabilidad de 5 años, según calidad el agua tratada y especificaciones del proveedor</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tc={AAF36DE2-337B-44D8-A022-0CD3C7F8DFC1}</author>
    <author>tc={057D388A-646F-469D-8CAF-433F95527CD3}</author>
    <author>tc={6F1E22C4-C92E-451D-9323-B77D3C2F647B}</author>
    <author>tc={ED535A95-13F4-4801-A16C-D243E9A4EDF3}</author>
    <author>tc={49AEB093-C222-437E-8A51-E648DD81A5A4}</author>
  </authors>
  <commentList>
    <comment ref="S8" authorId="0" shapeId="0" xr:uid="{AAF36DE2-337B-44D8-A022-0CD3C7F8DFC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proyecta una durabilidad de 2 años.</t>
      </text>
    </comment>
    <comment ref="S9" authorId="1" shapeId="0" xr:uid="{057D388A-646F-469D-8CAF-433F95527CD3}">
      <text>
        <t>[Comentario encadenado]
Su versión de Excel le permite leer este comentario encadenado; sin embargo, las ediciones que se apliquen se quitarán si el archivo se abre en una versión más reciente de Excel. Más información: https://go.microsoft.com/fwlink/?linkid=870924
Comentario:
    Se proyecta por los 15 años de equipos</t>
      </text>
    </comment>
    <comment ref="R10" authorId="2" shapeId="0" xr:uid="{6F1E22C4-C92E-451D-9323-B77D3C2F647B}">
      <text>
        <t>[Comentario encadenado]
Su versión de Excel le permite leer este comentario encadenado; sin embargo, las ediciones que se apliquen se quitarán si el archivo se abre en una versión más reciente de Excel. Más información: https://go.microsoft.com/fwlink/?linkid=870924
Comentario:
    En este item se proyecta: 1) Cambio de la resina existente
2) Suministro e instalación de bombas dosificadoras
3) Independizar etapas de RO
4) Programación y automatización de RO</t>
      </text>
    </comment>
    <comment ref="S10" authorId="3" shapeId="0" xr:uid="{ED535A95-13F4-4801-A16C-D243E9A4EDF3}">
      <text>
        <t>[Comentario encadenado]
Su versión de Excel le permite leer este comentario encadenado; sin embargo, las ediciones que se apliquen se quitarán si el archivo se abre en una versión más reciente de Excel. Más información: https://go.microsoft.com/fwlink/?linkid=870924
Comentario:
    Se proyecta que la programación sea para 3 años</t>
      </text>
    </comment>
    <comment ref="T19" authorId="4" shapeId="0" xr:uid="{49AEB093-C222-437E-8A51-E648DD81A5A4}">
      <text>
        <t>[Comentario encadenado]
Su versión de Excel le permite leer este comentario encadenado; sin embargo, las ediciones que se apliquen se quitarán si el archivo se abre en una versión más reciente de Excel. Más información: https://go.microsoft.com/fwlink/?linkid=870924
Comentario:
    Costo cotizado para el mtto del pozo de Bógota.</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tc={1A29725B-E2B1-4764-A368-1DCFAF484B6A}</author>
    <author>tc={EAD25ACE-0C26-4223-B0E4-2D9D305007AF}</author>
    <author>tc={6613CF7D-A386-4F49-A46E-DFF4B4ADE549}</author>
    <author>tc={9952AF4E-DAED-493C-BA7B-4417356AB1D6}</author>
  </authors>
  <commentList>
    <comment ref="S6" authorId="0" shapeId="0" xr:uid="{1A29725B-E2B1-4764-A368-1DCFAF484B6A}">
      <text>
        <t>[Comentario encadenado]
Su versión de Excel le permite leer este comentario encadenado; sin embargo, las ediciones que se apliquen se quitarán si el archivo se abre en una versión más reciente de Excel. Más información: https://go.microsoft.com/fwlink/?linkid=870924
Comentario:
    Se realiza la proyección a 15 años por los equipos</t>
      </text>
    </comment>
    <comment ref="S7" authorId="1" shapeId="0" xr:uid="{EAD25ACE-0C26-4223-B0E4-2D9D305007AF}">
      <text>
        <t>[Comentario encadenado]
Su versión de Excel le permite leer este comentario encadenado; sin embargo, las ediciones que se apliquen se quitarán si el archivo se abre en una versión más reciente de Excel. Más información: https://go.microsoft.com/fwlink/?linkid=870924
Comentario:
    Se realiza proyección de obras civiles a 30 años</t>
      </text>
    </comment>
    <comment ref="S17" authorId="2" shapeId="0" xr:uid="{6613CF7D-A386-4F49-A46E-DFF4B4ADE5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realiza proyección a 10 años, por concesión de aguas
</t>
      </text>
    </comment>
    <comment ref="S18" authorId="3" shapeId="0" xr:uid="{9952AF4E-DAED-493C-BA7B-4417356AB1D6}">
      <text>
        <t>[Comentario encadenado]
Su versión de Excel le permite leer este comentario encadenado; sin embargo, las ediciones que se apliquen se quitarán si el archivo se abre en una versión más reciente de Excel. Más información: https://go.microsoft.com/fwlink/?linkid=870924
Comentario:
    Se realiza una proyección a 10 años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tc={B3D5CC78-5228-4650-B433-52F2C6A28294}</author>
    <author>tc={D100C161-52AF-4444-B5D6-AF084635F034}</author>
  </authors>
  <commentList>
    <comment ref="S6" authorId="0" shapeId="0" xr:uid="{B3D5CC78-5228-4650-B433-52F2C6A28294}">
      <text>
        <t>[Comentario encadenado]
Su versión de Excel le permite leer este comentario encadenado; sin embargo, las ediciones que se apliquen se quitarán si el archivo se abre en una versión más reciente de Excel. Más información: https://go.microsoft.com/fwlink/?linkid=870924
Comentario:
    Costo a pagar por seguimiento y control CAR</t>
      </text>
    </comment>
    <comment ref="S7" authorId="1" shapeId="0" xr:uid="{D100C161-52AF-4444-B5D6-AF084635F03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proyecta un pago de $129/m3, como tasa retributiva por uso de pozo.</t>
      </text>
    </comment>
  </commentList>
</comments>
</file>

<file path=xl/sharedStrings.xml><?xml version="1.0" encoding="utf-8"?>
<sst xmlns="http://schemas.openxmlformats.org/spreadsheetml/2006/main" count="1334" uniqueCount="420">
  <si>
    <t>Bogotá</t>
  </si>
  <si>
    <t>COSTO PLANTA DE TRATAMIENTO DE AGUA RESIDUAL</t>
  </si>
  <si>
    <t>Clasificación</t>
  </si>
  <si>
    <t>Detalle</t>
  </si>
  <si>
    <t>Unidad</t>
  </si>
  <si>
    <t>ACIDO CLORHIDRICO 31,5%</t>
  </si>
  <si>
    <t>kg</t>
  </si>
  <si>
    <t>SODIO BISULFITO</t>
  </si>
  <si>
    <t>NITRATO DE PLATA</t>
  </si>
  <si>
    <t>INSUMOS HACH</t>
  </si>
  <si>
    <t>uni</t>
  </si>
  <si>
    <t>ACIDIFICANTE</t>
  </si>
  <si>
    <t>QUIMICO FLOCULANTE PARA TRATAMIENTO DE AGUA (Cationico)</t>
  </si>
  <si>
    <t>QUIMICO FLOCULANTE PARA TRATAMIENTO DE AGUA (Anionico)</t>
  </si>
  <si>
    <t>QUIMICO COAGULANTE PARA TRATAMIENTO DE AGUA (Coagulante)</t>
  </si>
  <si>
    <t>QUIMICO COAGULANTE PARA TRATAMIENTO DE AGUA (Decolorante)</t>
  </si>
  <si>
    <t>HIPOCLORITO DE SODIO</t>
  </si>
  <si>
    <t>SODA CAUSTICA LIQUI48%  90 KL</t>
  </si>
  <si>
    <t>QUIMICO ANTINCRUSTANTE PARA ÓSMOSIS INVERSA</t>
  </si>
  <si>
    <t>QUIMICO PARA TRATAMIENTO CIP ALCALINO ÓSMOSIS INVERSA</t>
  </si>
  <si>
    <t>QUIMICO PARA TRATAMIENTO BIODISPERSANTE ÓMOSIS INVERSA</t>
  </si>
  <si>
    <t>QUIMICO PARA TRATAMIENTO CIP ACIDO ÓMOSIS INVERSA</t>
  </si>
  <si>
    <t>Kg</t>
  </si>
  <si>
    <t>ml</t>
  </si>
  <si>
    <t>ACIDO CITRICO</t>
  </si>
  <si>
    <t>Subtotal</t>
  </si>
  <si>
    <t>Disposición</t>
  </si>
  <si>
    <t>DISPOSICIÓN DE LODOS</t>
  </si>
  <si>
    <t>LAVADO DE TANQUES - CARCAMOS</t>
  </si>
  <si>
    <t>Consumibles</t>
  </si>
  <si>
    <t>MEMBRANAS DE ÓSMOSIS INVERSA</t>
  </si>
  <si>
    <t>Und</t>
  </si>
  <si>
    <t>MEMBRANAS DE ULTRAFILTRACIÓN</t>
  </si>
  <si>
    <t>SILICA GEL</t>
  </si>
  <si>
    <t>CUBETA PARA ESPECTROFOTÓMETRO</t>
  </si>
  <si>
    <t>EMBUDO</t>
  </si>
  <si>
    <t>CONO</t>
  </si>
  <si>
    <t>FRASCO</t>
  </si>
  <si>
    <t>CARTUCHO</t>
  </si>
  <si>
    <t>FILTRO</t>
  </si>
  <si>
    <t>CEPILLO GRATA EN BRONCE</t>
  </si>
  <si>
    <t>PIPETA</t>
  </si>
  <si>
    <t>JERINGA</t>
  </si>
  <si>
    <t>CRISOL</t>
  </si>
  <si>
    <t>MATERIALES VARIOS</t>
  </si>
  <si>
    <t>Análisis Laboratorio</t>
  </si>
  <si>
    <t>DENSIMETRO</t>
  </si>
  <si>
    <t>HIERRO</t>
  </si>
  <si>
    <t>DUREZA RB</t>
  </si>
  <si>
    <t>ERLENMEYER</t>
  </si>
  <si>
    <t>BEAKER P/LABORATORIO</t>
  </si>
  <si>
    <t>BURETA LABORATORIO</t>
  </si>
  <si>
    <t>ACCESORIO</t>
  </si>
  <si>
    <t>MEDICION DE CALIDAD DE AGUA DE VERTIMIENTO</t>
  </si>
  <si>
    <t>MEDICIÓN OLORES OFENSIVO</t>
  </si>
  <si>
    <t>MONITOREO PRESIÓN SONORA</t>
  </si>
  <si>
    <t>Sueldos</t>
  </si>
  <si>
    <t>COORDINADOR Y OPERARIOS</t>
  </si>
  <si>
    <t xml:space="preserve">OTROS SERVICIOS( Exámenes médicos) </t>
  </si>
  <si>
    <t>PRUEBAS CARGOS</t>
  </si>
  <si>
    <t>DOTACIÓN</t>
  </si>
  <si>
    <t>Mantenimiento</t>
  </si>
  <si>
    <t>CALIBRACIONES</t>
  </si>
  <si>
    <t>MANTENIMIENTOS</t>
  </si>
  <si>
    <t>ALQUILER DE MAQUINARIA</t>
  </si>
  <si>
    <t>MATERIALES MANTENIMIENTO</t>
  </si>
  <si>
    <t>OTROS MATERIALES MANTENIMIENTO</t>
  </si>
  <si>
    <t>Consumo Eléctrico</t>
  </si>
  <si>
    <t>CONSUMO ELÉCTRICO PTAR</t>
  </si>
  <si>
    <t>kW</t>
  </si>
  <si>
    <t>Consumo Agua Potable</t>
  </si>
  <si>
    <t>PREPARACIÓN FLOCULANTE</t>
  </si>
  <si>
    <t>m3</t>
  </si>
  <si>
    <t>ASEO Y VIGILANCIA</t>
  </si>
  <si>
    <t xml:space="preserve">Inversión </t>
  </si>
  <si>
    <t>INVERSIÓN DYE</t>
  </si>
  <si>
    <t>LICENCIA DE CONSTRUCCIÓN</t>
  </si>
  <si>
    <t>INVERSIÓN JABONOSAS</t>
  </si>
  <si>
    <t>INVERSIÓN LAVANDERÍA</t>
  </si>
  <si>
    <t>INVERSIÓN PTAR</t>
  </si>
  <si>
    <t>PROYECTO TI</t>
  </si>
  <si>
    <t>Honorarios</t>
  </si>
  <si>
    <t xml:space="preserve">HONORARIOS </t>
  </si>
  <si>
    <t>Seguros</t>
  </si>
  <si>
    <t>SEGUROS</t>
  </si>
  <si>
    <t>Transporte y viajes</t>
  </si>
  <si>
    <t>TRANSPORTE-ASESORIAS</t>
  </si>
  <si>
    <t>Diversos</t>
  </si>
  <si>
    <t>DIVERSOS</t>
  </si>
  <si>
    <t>Gestión Humana</t>
  </si>
  <si>
    <t>GESTION HUMANA</t>
  </si>
  <si>
    <t>Arriendos</t>
  </si>
  <si>
    <t xml:space="preserve">ARRIENDO Y ADMINISTRACIÓN </t>
  </si>
  <si>
    <t>Ambiental</t>
  </si>
  <si>
    <t>SEGURIDAD AMBIENTAL</t>
  </si>
  <si>
    <t>Obsequios</t>
  </si>
  <si>
    <t>OBSEQUIOS GH</t>
  </si>
  <si>
    <t>Control</t>
  </si>
  <si>
    <t>CONTROL DE PLAGAS</t>
  </si>
  <si>
    <t>Aseo y cafeteria</t>
  </si>
  <si>
    <t xml:space="preserve">ELEMENTOS DE ASEO Y CAFETERIA </t>
  </si>
  <si>
    <t>Papeleria</t>
  </si>
  <si>
    <t>ELEMENTOS DE PAPELERIA</t>
  </si>
  <si>
    <t xml:space="preserve">Servicio contraprestacion </t>
  </si>
  <si>
    <t>SONIDO</t>
  </si>
  <si>
    <t>Depreciación</t>
  </si>
  <si>
    <t>CONSTRUCCIONES Y EDIFICACIONES</t>
  </si>
  <si>
    <t>DERECHOS DE USO EDIFICACIONES</t>
  </si>
  <si>
    <t>OBRA CIVIL</t>
  </si>
  <si>
    <t>EQUIPO DE OFICINA</t>
  </si>
  <si>
    <t>MAQUINARIA Y EQUIPO 1</t>
  </si>
  <si>
    <t>MAQUINARIA Y EQUIPO</t>
  </si>
  <si>
    <t>Agua acueducto</t>
  </si>
  <si>
    <t>m3 ACUEDUCTO</t>
  </si>
  <si>
    <t>COSTO m3 AGUA ACUEDUCTO</t>
  </si>
  <si>
    <t>Agua carrotanque</t>
  </si>
  <si>
    <t>COSTO m3 AGUA CARROTANQUE</t>
  </si>
  <si>
    <t>m3 CARROTANQUE</t>
  </si>
  <si>
    <t>Agua PTAP</t>
  </si>
  <si>
    <t>m3 PLANTA PTAP (Tratados)</t>
  </si>
  <si>
    <t>m3 PLANTA PTAP (Recuperados)</t>
  </si>
  <si>
    <t>COSTO m3 PTAP</t>
  </si>
  <si>
    <t>TOTAL ($/MES)</t>
  </si>
  <si>
    <t>CAUDAL m3</t>
  </si>
  <si>
    <t>Ósmosis inversa (recirculación) volumen enviado</t>
  </si>
  <si>
    <t>Volumen recuperado</t>
  </si>
  <si>
    <t>Volumen agua de rechazo</t>
  </si>
  <si>
    <t>TOTAL CAUDAL M3</t>
  </si>
  <si>
    <t>TOTAL COSTO m3 TRATADO + ACUEDUCTO</t>
  </si>
  <si>
    <t>TOTAL COSTO TRATAMIENTO POR m3</t>
  </si>
  <si>
    <t>Porcentaje de agua enviada a ósmosis inversa</t>
  </si>
  <si>
    <t>Porcentaje de agua recuperada</t>
  </si>
  <si>
    <t>Porcentaje de agua rechazo</t>
  </si>
  <si>
    <t>$/Kg</t>
  </si>
  <si>
    <t>Viajes</t>
  </si>
  <si>
    <t>$/Und</t>
  </si>
  <si>
    <t>Kg/m3</t>
  </si>
  <si>
    <t>TOTAL</t>
  </si>
  <si>
    <t>PLAN MAESTRO 2026</t>
  </si>
  <si>
    <t xml:space="preserve">Kg de Tintorería </t>
  </si>
  <si>
    <t>Und de Lavandería</t>
  </si>
  <si>
    <t>Enero</t>
  </si>
  <si>
    <t>Febrero</t>
  </si>
  <si>
    <t>Marzo</t>
  </si>
  <si>
    <t>Abril</t>
  </si>
  <si>
    <t>Mayo</t>
  </si>
  <si>
    <t>Junio</t>
  </si>
  <si>
    <t>Julio</t>
  </si>
  <si>
    <t>Agosto</t>
  </si>
  <si>
    <t>Septiembre</t>
  </si>
  <si>
    <t>Octubre</t>
  </si>
  <si>
    <t>Noviembre</t>
  </si>
  <si>
    <t>Diciembre</t>
  </si>
  <si>
    <t>Consumo de Agua proyectado (m3/MES)</t>
  </si>
  <si>
    <t>Indicador de Consumo (Histórico 2025)</t>
  </si>
  <si>
    <t>Consumo Total (m3/Mes)</t>
  </si>
  <si>
    <t>FUENTES DE ABASTECIMIENTO</t>
  </si>
  <si>
    <t>PTAP</t>
  </si>
  <si>
    <t>CARRO TANQUES</t>
  </si>
  <si>
    <t>ACUEDUCTO (M3)</t>
  </si>
  <si>
    <t>OSMOSIS INVERSA - PTAR (M3</t>
  </si>
  <si>
    <t>PTAP (M3)</t>
  </si>
  <si>
    <t>CARRO TANQUES (M3)</t>
  </si>
  <si>
    <t>M3</t>
  </si>
  <si>
    <t>%</t>
  </si>
  <si>
    <t>Porcentaje</t>
  </si>
  <si>
    <t>FUENTES ABASTECIMIENTO</t>
  </si>
  <si>
    <t>OSMOSIS INVERSA</t>
  </si>
  <si>
    <t xml:space="preserve">ACUEDUCTO </t>
  </si>
  <si>
    <t>$/m3</t>
  </si>
  <si>
    <t>$ Total</t>
  </si>
  <si>
    <t>CONSUMO TOTAL (M3) PLAN MAESTRO</t>
  </si>
  <si>
    <t>Volumen (M3)</t>
  </si>
  <si>
    <t>$/M3</t>
  </si>
  <si>
    <t>EJECUTADO PTAR AÑO 2025 BOGOTÁ</t>
  </si>
  <si>
    <t>Enero 2025</t>
  </si>
  <si>
    <t>Febrero 2025</t>
  </si>
  <si>
    <t>Marzo 2025</t>
  </si>
  <si>
    <t>Abril 2025</t>
  </si>
  <si>
    <t>Mayo 2025</t>
  </si>
  <si>
    <t>Junio 2025</t>
  </si>
  <si>
    <t>Julio 2025</t>
  </si>
  <si>
    <t>Agosto 2025</t>
  </si>
  <si>
    <t>Septiembre 2025</t>
  </si>
  <si>
    <t>Octubre 2025</t>
  </si>
  <si>
    <t>Noviembre 2025</t>
  </si>
  <si>
    <t xml:space="preserve">Total general </t>
  </si>
  <si>
    <t>Diferencia</t>
  </si>
  <si>
    <t>% Variación</t>
  </si>
  <si>
    <t>Kg/Año</t>
  </si>
  <si>
    <t xml:space="preserve">TRANSPORTE DE LODOS </t>
  </si>
  <si>
    <t>Diciembre 2026</t>
  </si>
  <si>
    <t>Noviembre 2026</t>
  </si>
  <si>
    <t>Octubre 2026</t>
  </si>
  <si>
    <t>Septiembre 2026</t>
  </si>
  <si>
    <t>Agosto 2026</t>
  </si>
  <si>
    <t>Julio 2026</t>
  </si>
  <si>
    <t>Junio 2026</t>
  </si>
  <si>
    <t>Mayo 2026</t>
  </si>
  <si>
    <t>Abril 2026</t>
  </si>
  <si>
    <t>Marzo 2026</t>
  </si>
  <si>
    <t>Febrero 2026</t>
  </si>
  <si>
    <t>Enero 2026</t>
  </si>
  <si>
    <t>N/A</t>
  </si>
  <si>
    <t>QUIMICOS (GEM + RO)</t>
  </si>
  <si>
    <t>Dosificación</t>
  </si>
  <si>
    <t>CAUDAL PLAN MAESTRO</t>
  </si>
  <si>
    <t>DISPOSICIÓN DE RESIDUOS (MOTA, PIEDRA, RESIDUOS DE TELA)</t>
  </si>
  <si>
    <t>LAVADO DE TANQUES DE 2, 15, 30 Y 60 M3</t>
  </si>
  <si>
    <t>DISPOSICIÓN DE LODOS DESHIDRATADOS GEM</t>
  </si>
  <si>
    <t>TRANSPORTE DE LODOS DESHIDRATADOS</t>
  </si>
  <si>
    <t>MEMBRANAS DE RO 1</t>
  </si>
  <si>
    <t>cantidad</t>
  </si>
  <si>
    <t>CARTUCHOS 5 MICRAS</t>
  </si>
  <si>
    <t xml:space="preserve">Global </t>
  </si>
  <si>
    <t>CONSUMIBLES LAB (Buretas, erlenmeyer, vasos precipitación)</t>
  </si>
  <si>
    <t xml:space="preserve">REACTIVOS LAB HACH </t>
  </si>
  <si>
    <t>RESIDUOS Y LODOS</t>
  </si>
  <si>
    <t>CONSUMIBLES</t>
  </si>
  <si>
    <t>MANTENIMIENTO</t>
  </si>
  <si>
    <t>CALIBRACIONES EQUIPO LAB</t>
  </si>
  <si>
    <t>$/Año</t>
  </si>
  <si>
    <t>MANTENIMIENTOS (Herramienta, materiales de mantenimiento)</t>
  </si>
  <si>
    <t>NÓMINA</t>
  </si>
  <si>
    <t xml:space="preserve">PERSONAL TÉCNICO </t>
  </si>
  <si>
    <t>OTROS SERVICIOS (ÉXAMENES MÉDICOS)</t>
  </si>
  <si>
    <t>CONSUMO ELÉCTRICO</t>
  </si>
  <si>
    <t>DEPRECIACIÓN</t>
  </si>
  <si>
    <t>OSMOSIS INVERSA (Costo procesar por RO - OPEX) SIN DEPRECIACIÓN</t>
  </si>
  <si>
    <t xml:space="preserve">TRATAMIENTO DE AGUA RESIDUAL </t>
  </si>
  <si>
    <t>PTAR (Costo de Tratamiento hasta Fase 2 - Cumplimiento Ambiental) OPEX SIN DEPRECIACIÓN</t>
  </si>
  <si>
    <t>PTAR FASE 2</t>
  </si>
  <si>
    <t>QUIMICO FLOCULANTE PARA TRATAMIENTO DE AGUA (Catiónico)</t>
  </si>
  <si>
    <t>QUIMICO FLOCULANTE PARA TRATAMIENTO DE AGUA (Aniónico)</t>
  </si>
  <si>
    <t>ACIDO CÍTRICO</t>
  </si>
  <si>
    <t>PROYECCIÓN SIN RECIRCULACIÓN</t>
  </si>
  <si>
    <t xml:space="preserve">PROYECCIÓN CON RECIRCULACIÓN </t>
  </si>
  <si>
    <t xml:space="preserve">COSTO DE TRATAMIENTO DE AGUA RESIDUAL </t>
  </si>
  <si>
    <t>COSTO DE SUMINISTRO DE AGUA A PROCESO</t>
  </si>
  <si>
    <t>COSTO TOTAL M3 PERMODA</t>
  </si>
  <si>
    <t>AHORRO PROYECTADO RECIRCULANDO</t>
  </si>
  <si>
    <t>PTAR (Costo de Tratamiento hasta Fase 2 - Cumplimiento Ambiental) OPEX CON DEPRECIACIÓN</t>
  </si>
  <si>
    <t>COSTO PLANTA DE TRATAMIENTO DE AGUA DE POZO PROFUNDO</t>
  </si>
  <si>
    <t>EJECUTADO PTAR AÑO 2026 BOGOTÁ</t>
  </si>
  <si>
    <t>DISPOSICIÓN DE LODOS DESHIDRATADOS GEM PTAP</t>
  </si>
  <si>
    <t xml:space="preserve">TRANSPORTE DE LODOS DESHIDRATADOS </t>
  </si>
  <si>
    <t>EJECUTADO PTAP AÑO 2026 BOGOTÁ</t>
  </si>
  <si>
    <t>PTAP (Costo de Tratamiento de Agua de Pozo Sin depreciación)</t>
  </si>
  <si>
    <t>PROYECCIÓN SIN RECIRCULACIÓN SIN PTAP</t>
  </si>
  <si>
    <t>PROYECCIÓN CON RECIRCULACIÓN Y PTAP</t>
  </si>
  <si>
    <t>TASA RETRIBUTIVA</t>
  </si>
  <si>
    <t>cwt</t>
  </si>
  <si>
    <t xml:space="preserve">Obra civil </t>
  </si>
  <si>
    <t>adicionales</t>
  </si>
  <si>
    <t>Negociación CWT</t>
  </si>
  <si>
    <t>años</t>
  </si>
  <si>
    <t xml:space="preserve">Ahorro </t>
  </si>
  <si>
    <t>Obra civil Funza</t>
  </si>
  <si>
    <t>electricos</t>
  </si>
  <si>
    <t>waternext</t>
  </si>
  <si>
    <t>m3/día</t>
  </si>
  <si>
    <t>m3/Recuperado</t>
  </si>
  <si>
    <t>Ton/Día</t>
  </si>
  <si>
    <t>L/Kg</t>
  </si>
  <si>
    <t>QUIMICO PARA TRATAMIENTO CIP ACIDO ÓSMOSIS INVERSA</t>
  </si>
  <si>
    <t xml:space="preserve">FILTROS MANGA </t>
  </si>
  <si>
    <t>Und/m3</t>
  </si>
  <si>
    <t>OSMOSIS INVERSA (Costo procesamiento de agua permeada para planta de producción)</t>
  </si>
  <si>
    <t>PTAP - OPEX Con depreciación</t>
  </si>
  <si>
    <t>PTAR (Costo de Tratamiento hasta Fase 2 - Cumplimiento Ambiental) OPEX Con depreciación</t>
  </si>
  <si>
    <t>COSTO DE SUMINISTRO DE AGUA A PROCESO TEXTIL</t>
  </si>
  <si>
    <t>TOTAL ($/Año)</t>
  </si>
  <si>
    <t>COSTO TOTAL M3 PERMODA (Tratado + Fuentes)</t>
  </si>
  <si>
    <t>INDICADOR POR M3 TRATADO AGUA RESIDUAL</t>
  </si>
  <si>
    <t>INDICADOR POR M3 DE AGUA A PROCESO TEXTIL</t>
  </si>
  <si>
    <t>INDICADOR PERMODA BOGOTA (Tratamiento + Suministro)</t>
  </si>
  <si>
    <t>CONSUMO TOTAL (M3) PLAN MAESTRO BOGOTA  - CON RECIRCULACIÓN OSMOSIS INVERSA Y PTAP (Pozo Subterraneo)</t>
  </si>
  <si>
    <t>CONSUMO TOTAL (M3) PLAN MAESTRO BOGOTA  - CON PTAP (Pozo Subterraneo) Y SIN RECIRCULACIÓN DE OSMOSIS INVERSA</t>
  </si>
  <si>
    <t>CONSUMO TOTAL (M3) PLAN MAESTRO BOGOTA  - SIN PTAP (Pozo Subterraneo) Y SIN RECIRCULACIÓN DE OSMOSIS INVERSA</t>
  </si>
  <si>
    <t>MODELO 1</t>
  </si>
  <si>
    <t>MODELO 2</t>
  </si>
  <si>
    <t>MODELO 3</t>
  </si>
  <si>
    <t xml:space="preserve">PROYECCIÓN DE AHORROS </t>
  </si>
  <si>
    <t>OBSERVACIONES</t>
  </si>
  <si>
    <t xml:space="preserve">El ahorro proyectado al utilizar unicamente la PTAP se da en este marco (Sin Osmosis Inversa), garantizando que la fuente interna de PERMODA LTDA represente un 28,72% , el resto (71,28%) corresponderián a fuentes externas (60,77% Acueducto y 10,51% Carrotanques). Para este modelo es importante tener en cuenta que la red de acueducto no sería capaz de suplir toda la necesidad, ya que nos suministra en promedio 32 m3/h, por tal motivo la suplencia por parte de carro tanques debe aumentar. </t>
  </si>
  <si>
    <t xml:space="preserve">Efectivamente este modelo es el mas costos para PERMODA LTDA, ya que al no contar con fuentes internas (Osmosis Inversa y PTAP), todo lo debería suplir con el máximo de acueducto y aumentar el abastecimiento por medio de carro tanques </t>
  </si>
  <si>
    <t>Ahorro Global ($/Año)</t>
  </si>
  <si>
    <t>Ahorro por m3 ($/m3)</t>
  </si>
  <si>
    <t xml:space="preserve">PROYECTO PTAR CWT </t>
  </si>
  <si>
    <t>COSTO ($) COP</t>
  </si>
  <si>
    <t>OBRAS CIVILES - TANQUES</t>
  </si>
  <si>
    <t>NEGOCIACIÓN CON CWT (A FAVOR)</t>
  </si>
  <si>
    <t xml:space="preserve">PROYECTO PTAR BOGOTA </t>
  </si>
  <si>
    <t xml:space="preserve">PROYECTO PTAP BOGOTA </t>
  </si>
  <si>
    <t xml:space="preserve">PROYECTO PTAP DPWATERING </t>
  </si>
  <si>
    <t>MODELO 4</t>
  </si>
  <si>
    <t>El ahorro proyectado al utilizar el sistema de osmosis inversa y no tener la PTAP se da en este marco, garantizando que las fuentes internas de PERMODA sean representativas y correspondan al 54,78% de suplencia, el resto (45,22%) corresponderián a fuentes externas (44,63% Acueducto y 0,59% Carrotanques).</t>
  </si>
  <si>
    <t>Volumen requerido por Producción (M3)</t>
  </si>
  <si>
    <t>PAYBACK</t>
  </si>
  <si>
    <t>TOTAL INVERSIÓN PTAR (CAPEX)</t>
  </si>
  <si>
    <t>PAYBACK (Indicador financiero que mide el tiempo necesario para recuperar el capital inicial invertido en un proyecto)</t>
  </si>
  <si>
    <t>Cash Flow Anual (Fujo de caja anual)</t>
  </si>
  <si>
    <t>AHORROS PROYECTADOS CON OSMOSIS INVERSA</t>
  </si>
  <si>
    <t>CONSUMO TOTAL (M3) PLAN MAESTRO BOGOTA  - CON RECIRCULACIÓN OSMOSIS INVERSA Y SIN PTAP (Pozo Subterraneo)</t>
  </si>
  <si>
    <t>OPEX RO</t>
  </si>
  <si>
    <t>CF</t>
  </si>
  <si>
    <t>Años</t>
  </si>
  <si>
    <t>AHORROS PROYECTADOS CON PTAP</t>
  </si>
  <si>
    <t>OPEX PTAP</t>
  </si>
  <si>
    <t>TOTAL INVERSIÓN PTAP (CAPEX)</t>
  </si>
  <si>
    <t xml:space="preserve">PAYBACK </t>
  </si>
  <si>
    <t xml:space="preserve">El ahorro proyectado al utilizar el sistema de osmosis inversa y la PTAP se da en este marco, garantizando que las fuentes internas de PERMODA sean representativas y correspondan al 83,5% de suplencia, el resto (16,5%) corresponderián a fuentes externas (15,91% Acueducto y 0,59% Carrotanques). </t>
  </si>
  <si>
    <t>PROYECTOS PTAR - PTAP</t>
  </si>
  <si>
    <t>AHORROS PROYECTADOS CON PTAR Y PTAP</t>
  </si>
  <si>
    <t>OPEX PTAR + OPEX PTAP</t>
  </si>
  <si>
    <t xml:space="preserve">TOTAL INVERSIÓN PTAR </t>
  </si>
  <si>
    <t>$</t>
  </si>
  <si>
    <t xml:space="preserve">PTAR FASE 2 (GEM + MBR) </t>
  </si>
  <si>
    <t>QUIMICOS (Clarifloculador + UF)</t>
  </si>
  <si>
    <t>QUIMICO PARA TRATAMIENTO BIODISPERSANTE ÓSMOSIS INVERSA</t>
  </si>
  <si>
    <t>Generación</t>
  </si>
  <si>
    <t>Kg/Viaje Amplirrol</t>
  </si>
  <si>
    <t>PTAR FASE 2 (GEM + MBR)</t>
  </si>
  <si>
    <t>ÓSMOSIS INVERSA</t>
  </si>
  <si>
    <t xml:space="preserve">MANTENIMIENTO POZO </t>
  </si>
  <si>
    <t>MEMBRANAS DUPONT UF</t>
  </si>
  <si>
    <t xml:space="preserve">NÓMINA PROYECTADA </t>
  </si>
  <si>
    <t>CARGO</t>
  </si>
  <si>
    <t>SALARIO</t>
  </si>
  <si>
    <t>DEDICACIÓN</t>
  </si>
  <si>
    <t xml:space="preserve">UBICACIÓN </t>
  </si>
  <si>
    <t>NÚMERO</t>
  </si>
  <si>
    <t>Auxiliar de MTTO PTAR</t>
  </si>
  <si>
    <t>PTAR Bógota</t>
  </si>
  <si>
    <t>TOTAL ($)/Mes</t>
  </si>
  <si>
    <t>Técnico de MTTO PTAR</t>
  </si>
  <si>
    <t>PTAP Bógota</t>
  </si>
  <si>
    <t>Coordinación PTAR/PTAP</t>
  </si>
  <si>
    <t>JEFATURA PTAR/PTAP</t>
  </si>
  <si>
    <t>Cantidad</t>
  </si>
  <si>
    <t>Total PTAR Bógota</t>
  </si>
  <si>
    <t>Total PTAP Bógota</t>
  </si>
  <si>
    <t xml:space="preserve">kW Proyectados y medidos </t>
  </si>
  <si>
    <t>Costo ($/Kw)</t>
  </si>
  <si>
    <t>Costo Total ($/Hora)</t>
  </si>
  <si>
    <t>Costo Total ($/Día)</t>
  </si>
  <si>
    <t>Costo Total ($/Mes)</t>
  </si>
  <si>
    <t>Costo Total ($/Año)</t>
  </si>
  <si>
    <t>PTAR</t>
  </si>
  <si>
    <t>CONTRUCCIÓN POZO</t>
  </si>
  <si>
    <t>Total presupuestal</t>
  </si>
  <si>
    <t>2.EQUIPOS DE SOPORTE</t>
  </si>
  <si>
    <t>1.EQUIPOS PROCESOS</t>
  </si>
  <si>
    <t>1.Caldera CBEXWW 700- 300 BHP</t>
  </si>
  <si>
    <t>2.MAQUINARIA-A CWT</t>
  </si>
  <si>
    <t>3.ADECUACIONES Y MONTAJES</t>
  </si>
  <si>
    <t>1.OBRAS CIVILES</t>
  </si>
  <si>
    <t>2.Obras SGC</t>
  </si>
  <si>
    <t>3.Obras Civil Otros</t>
  </si>
  <si>
    <t>2.MONTAJE MECANICO</t>
  </si>
  <si>
    <t>1.Demolicion-Method – Ozono</t>
  </si>
  <si>
    <t>10.PASAMUROS TANQUES</t>
  </si>
  <si>
    <t>11.PUENTE GRUA</t>
  </si>
  <si>
    <t>12.REJILLAS</t>
  </si>
  <si>
    <t>14. Sistema de suavización PTAR</t>
  </si>
  <si>
    <t xml:space="preserve">15. Ingeniería básica, hidráulica y eléctrica presentada por CWT </t>
  </si>
  <si>
    <t>16. Suministro e instalación de las 3 líneas y la bomba que realizarán el trasiego de los químicos</t>
  </si>
  <si>
    <t xml:space="preserve">18. Adecuaciones red de vertimiento </t>
  </si>
  <si>
    <t>19. Adecuación trasiego de químicos</t>
  </si>
  <si>
    <t>20.Elevación Swingmill - CWT</t>
  </si>
  <si>
    <t>6.MONTAJE REDES AGUA</t>
  </si>
  <si>
    <t>7.MONTAJE REDES AIRE COMPRIMIDO</t>
  </si>
  <si>
    <t>8.MONTAJE REDES DESAGUE</t>
  </si>
  <si>
    <t>9.MONTAJE REDES VAPOR Y CONDENSADO</t>
  </si>
  <si>
    <t>3.MONTAJE ELECTRICO</t>
  </si>
  <si>
    <t>1.Luminarias</t>
  </si>
  <si>
    <t>2.PY21D5.Cambio de Estructura M.T e Instalacion de Cuchillas en L.V. Retiro de M.T Cable XLPE. Des Energizacion del CD35028, Para cambio de Transformador- Aumento de carga</t>
  </si>
  <si>
    <t>3.REDES INTERNAS  - CAMARGO ELÉCTRICOS</t>
  </si>
  <si>
    <t>4.Puntos de datos laboratorio PTAR</t>
  </si>
  <si>
    <t>4.MATERIALES PARA PUESTA EN MARCHA</t>
  </si>
  <si>
    <t>2.Dotación del laboratorio  (espectrofotómetro DR3900 con un costo aproximado de $27.000.000 , seguidos del termorreactor y el turbidímetro con un valor cada uno de $9.500.000)</t>
  </si>
  <si>
    <t>6.repuestos</t>
  </si>
  <si>
    <t>4.SERVICIOS Y PUESTA EN MARCHA</t>
  </si>
  <si>
    <t>1.SERVICIOS</t>
  </si>
  <si>
    <t>10.Estudio de suelos - Alfonso Uribe</t>
  </si>
  <si>
    <t>12.Otros</t>
  </si>
  <si>
    <t>13.RED NEUMATICA NUEVA</t>
  </si>
  <si>
    <t>14.Servicios de Importación</t>
  </si>
  <si>
    <t>15.Traynco</t>
  </si>
  <si>
    <t>16.VISITA CALCULISTA TANQUE 200 M3//JEM</t>
  </si>
  <si>
    <t>2.Alquiler de montacargas y grua</t>
  </si>
  <si>
    <t>3.Bancolombia</t>
  </si>
  <si>
    <t>4.Contrato Sunrise- Auditoria Aduanera</t>
  </si>
  <si>
    <t>5.Contrato Sunrise- Beneficios Tributarios</t>
  </si>
  <si>
    <t xml:space="preserve">6.Contrato Sunrise- Ingenieria documental </t>
  </si>
  <si>
    <t>5.PERIFERICOS</t>
  </si>
  <si>
    <t>1.HSE</t>
  </si>
  <si>
    <t>1.GH23E6  DOTACIÓN DE EMERGENCIAS (extintores, señalización, camilla)</t>
  </si>
  <si>
    <t>2.MOBILIARIO</t>
  </si>
  <si>
    <t>1.Mobiliario ( 2 mesones, 3 puestos de trabajo, cajoneras antiexplosivas,)</t>
  </si>
  <si>
    <t>CAPEX EQUIPOS</t>
  </si>
  <si>
    <t xml:space="preserve">CAPEX OBRA CIVIL </t>
  </si>
  <si>
    <t>RESINA CATIÓNICA</t>
  </si>
  <si>
    <t>Suministro e instalación de bombas dosificadoras OSMOSIS INVERSA</t>
  </si>
  <si>
    <t>g/m3</t>
  </si>
  <si>
    <t>TQI</t>
  </si>
  <si>
    <t>OZONO</t>
  </si>
  <si>
    <t>Programación y automatización de ósmosis inversa</t>
  </si>
  <si>
    <t>Independizar CIP de la ósmosis inversa</t>
  </si>
  <si>
    <t>EVAPORADOR</t>
  </si>
  <si>
    <t>CAPEX REAL EQUIPOS TOTAL</t>
  </si>
  <si>
    <t>CAPEX OBRA CIVIL</t>
  </si>
  <si>
    <t>Caldera CBEXWW 700-300 BHP</t>
  </si>
  <si>
    <t>IVA</t>
  </si>
  <si>
    <t>RENTA</t>
  </si>
  <si>
    <t>BENEFICIOS TRIBUTARIOS (25%)</t>
  </si>
  <si>
    <t>Kw/h</t>
  </si>
  <si>
    <t>TASAS</t>
  </si>
  <si>
    <t xml:space="preserve">Total General </t>
  </si>
  <si>
    <t>COSTO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</si>
</sst>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6" formatCode="&quot;$&quot;\ #,##0;[Red]\-&quot;$&quot;\ #,##0"/>
    <numFmt numFmtId="8" formatCode="&quot;$&quot;\ #,##0.00;[Red]\-&quot;$&quot;\ #,##0.00"/>
    <numFmt numFmtId="41" formatCode="_-* #,##0_-;\-* #,##0_-;_-* &quot;-&quot;_-;_-@_-"/>
    <numFmt numFmtId="44" formatCode="_-&quot;$&quot;\ * #,##0.00_-;\-&quot;$&quot;\ * #,##0.00_-;_-&quot;$&quot;\ * &quot;-&quot;??_-;_-@_-"/>
    <numFmt numFmtId="164" formatCode="[$$-240A]\ #,##0"/>
    <numFmt numFmtId="165" formatCode="_-&quot;$&quot;\ * #,##0_-;\-&quot;$&quot;\ * #,##0_-;_-&quot;$&quot;\ * &quot;-&quot;??_-;_-@_-"/>
    <numFmt numFmtId="166" formatCode="_(* #,##0.00_);_(* \(#,##0.00\);_(* &quot;-&quot;??_);_(@_)"/>
    <numFmt numFmtId="167" formatCode="_(* #,##0_);_(* \(#,##0\);_(* &quot;-&quot;??_);_(@_)"/>
    <numFmt numFmtId="168" formatCode="&quot;$&quot;\ #,##0"/>
    <numFmt numFmtId="169" formatCode="#,##0.0"/>
    <numFmt numFmtId="170" formatCode="0.0%"/>
    <numFmt numFmtId="171" formatCode="_-* #,##0.0000_-;\-* #,##0.0000_-;_-* &quot;-&quot;_-;_-@_-"/>
    <numFmt numFmtId="172" formatCode="#,##0.0000"/>
    <numFmt numFmtId="173" formatCode="#,##0.00000"/>
    <numFmt numFmtId="174" formatCode="_-* #,##0.000_-;\-* #,##0.000_-;_-* &quot;-&quot;_-;_-@_-"/>
    <numFmt numFmtId="175" formatCode="&quot;$&quot;\ #,##0.0"/>
    <numFmt numFmtId="176" formatCode="#,##0.000"/>
    <numFmt numFmtId="177" formatCode="[$USD]\ #,##0"/>
  </numFmts>
  <fonts count="14" x14ac:knownFonts="1">
    <font>
      <sz val="11"/>
      <color theme="1"/>
      <name val="Aptos Narrow"/>
      <family val="2"/>
      <scheme val="minor"/>
    </font>
    <font>
      <sz val="11"/>
      <color theme="1"/>
      <name val="Aptos Narrow"/>
      <family val="2"/>
      <scheme val="minor"/>
    </font>
    <font>
      <sz val="9"/>
      <name val="Aptos Narrow"/>
      <family val="2"/>
      <scheme val="minor"/>
    </font>
    <font>
      <b/>
      <sz val="9"/>
      <name val="Aptos Narrow"/>
      <family val="2"/>
      <scheme val="minor"/>
    </font>
    <font>
      <sz val="9"/>
      <color theme="1"/>
      <name val="Aptos Narrow"/>
      <family val="2"/>
      <scheme val="minor"/>
    </font>
    <font>
      <sz val="9"/>
      <color rgb="FF000000"/>
      <name val="Calibri"/>
      <family val="2"/>
    </font>
    <font>
      <b/>
      <sz val="9"/>
      <color theme="1"/>
      <name val="Aptos Narrow"/>
      <family val="2"/>
      <scheme val="minor"/>
    </font>
    <font>
      <b/>
      <sz val="9"/>
      <color indexed="81"/>
      <name val="Tahoma"/>
      <family val="2"/>
    </font>
    <font>
      <sz val="9"/>
      <color indexed="81"/>
      <name val="Tahoma"/>
      <family val="2"/>
    </font>
    <font>
      <sz val="8"/>
      <color theme="1"/>
      <name val="Aptos Narrow"/>
      <family val="2"/>
      <scheme val="minor"/>
    </font>
    <font>
      <sz val="8"/>
      <name val="Aptos Narrow"/>
      <family val="2"/>
      <scheme val="minor"/>
    </font>
    <font>
      <b/>
      <sz val="8"/>
      <name val="Aptos Narrow"/>
      <family val="2"/>
      <scheme val="minor"/>
    </font>
    <font>
      <b/>
      <sz val="8"/>
      <color theme="1"/>
      <name val="Aptos Narrow"/>
      <family val="2"/>
      <scheme val="minor"/>
    </font>
    <font>
      <sz val="8"/>
      <color rgb="FF000000"/>
      <name val="Calibri"/>
      <family val="2"/>
    </font>
  </fonts>
  <fills count="34">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FEF5F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rgb="FF00B0F0"/>
        <bgColor indexed="64"/>
      </patternFill>
    </fill>
    <fill>
      <patternFill patternType="solid">
        <fgColor rgb="FFF8D8C0"/>
        <bgColor indexed="64"/>
      </patternFill>
    </fill>
    <fill>
      <patternFill patternType="solid">
        <fgColor rgb="FFFBEADD"/>
        <bgColor theme="4" tint="0.79998168889431442"/>
      </patternFill>
    </fill>
    <fill>
      <patternFill patternType="solid">
        <fgColor theme="5" tint="0.59999389629810485"/>
        <bgColor theme="4" tint="0.79998168889431442"/>
      </patternFill>
    </fill>
    <fill>
      <patternFill patternType="solid">
        <fgColor rgb="FFFBEADD"/>
        <bgColor indexed="64"/>
      </patternFill>
    </fill>
    <fill>
      <patternFill patternType="solid">
        <fgColor rgb="FFFFC00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3" tint="0.499984740745262"/>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4" tint="0.59999389629810485"/>
        <bgColor indexed="64"/>
      </patternFill>
    </fill>
  </fills>
  <borders count="96">
    <border>
      <left/>
      <right/>
      <top/>
      <bottom/>
      <diagonal/>
    </border>
    <border>
      <left style="thin">
        <color theme="0" tint="-0.249977111117893"/>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bottom/>
      <diagonal/>
    </border>
    <border>
      <left/>
      <right style="thin">
        <color theme="0" tint="-0.249977111117893"/>
      </right>
      <top/>
      <bottom style="thin">
        <color theme="0" tint="-0.249977111117893"/>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diagonal/>
    </border>
    <border>
      <left style="thin">
        <color indexed="64"/>
      </left>
      <right/>
      <top/>
      <bottom/>
      <diagonal/>
    </border>
    <border>
      <left style="thin">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249977111117893"/>
      </left>
      <right/>
      <top style="thin">
        <color theme="0" tint="-0.249977111117893"/>
      </top>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249977111117893"/>
      </left>
      <right/>
      <top/>
      <bottom style="thin">
        <color theme="0" tint="-0.249977111117893"/>
      </bottom>
      <diagonal/>
    </border>
    <border>
      <left/>
      <right style="medium">
        <color indexed="64"/>
      </right>
      <top/>
      <bottom style="medium">
        <color indexed="64"/>
      </bottom>
      <diagonal/>
    </border>
    <border>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style="medium">
        <color indexed="64"/>
      </bottom>
      <diagonal/>
    </border>
    <border>
      <left/>
      <right style="thin">
        <color indexed="64"/>
      </right>
      <top style="medium">
        <color indexed="64"/>
      </top>
      <bottom/>
      <diagonal/>
    </border>
    <border>
      <left/>
      <right style="medium">
        <color indexed="64"/>
      </right>
      <top style="thin">
        <color indexed="64"/>
      </top>
      <bottom/>
      <diagonal/>
    </border>
    <border>
      <left style="thin">
        <color indexed="64"/>
      </left>
      <right/>
      <top style="medium">
        <color indexed="64"/>
      </top>
      <bottom/>
      <diagonal/>
    </border>
    <border>
      <left/>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right style="thin">
        <color theme="1" tint="0.499984740745262"/>
      </right>
      <top style="thin">
        <color theme="0" tint="-0.14999847407452621"/>
      </top>
      <bottom/>
      <diagonal/>
    </border>
    <border>
      <left/>
      <right/>
      <top style="thin">
        <color theme="0" tint="-0.14999847407452621"/>
      </top>
      <bottom/>
      <diagonal/>
    </border>
  </borders>
  <cellStyleXfs count="7">
    <xf numFmtId="0" fontId="0" fillId="0" borderId="0"/>
    <xf numFmtId="41"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0" fontId="1" fillId="0" borderId="0"/>
    <xf numFmtId="166" fontId="1" fillId="0" borderId="0" applyFont="0" applyFill="0" applyBorder="0" applyAlignment="0" applyProtection="0"/>
  </cellStyleXfs>
  <cellXfs count="850">
    <xf numFmtId="0" fontId="0" fillId="0" borderId="0" xfId="0"/>
    <xf numFmtId="164" fontId="2" fillId="0" borderId="0" xfId="4" applyFont="1" applyAlignment="1">
      <alignment horizontal="left" vertical="center"/>
    </xf>
    <xf numFmtId="164" fontId="2" fillId="0" borderId="0" xfId="4" applyFont="1" applyAlignment="1">
      <alignment horizontal="center" vertical="center"/>
    </xf>
    <xf numFmtId="164" fontId="3" fillId="2" borderId="2" xfId="4" applyFont="1" applyFill="1" applyBorder="1" applyAlignment="1">
      <alignment horizontal="left" vertical="center"/>
    </xf>
    <xf numFmtId="164" fontId="3" fillId="2" borderId="2" xfId="4" applyFont="1" applyFill="1" applyBorder="1" applyAlignment="1">
      <alignment horizontal="center" vertical="center"/>
    </xf>
    <xf numFmtId="164" fontId="4" fillId="0" borderId="2" xfId="4" applyFont="1" applyBorder="1" applyAlignment="1">
      <alignment horizontal="left"/>
    </xf>
    <xf numFmtId="41" fontId="5" fillId="0" borderId="2" xfId="1" applyFont="1" applyBorder="1" applyAlignment="1">
      <alignment horizontal="center" vertical="center"/>
    </xf>
    <xf numFmtId="41" fontId="5" fillId="0" borderId="2" xfId="1" applyFont="1" applyFill="1" applyBorder="1" applyAlignment="1">
      <alignment horizontal="center" vertical="center"/>
    </xf>
    <xf numFmtId="41" fontId="4" fillId="0" borderId="2" xfId="1" applyFont="1" applyBorder="1" applyAlignment="1">
      <alignment horizontal="center" vertical="center"/>
    </xf>
    <xf numFmtId="0" fontId="4" fillId="0" borderId="3" xfId="5" applyFont="1" applyBorder="1" applyAlignment="1">
      <alignment horizontal="left"/>
    </xf>
    <xf numFmtId="49" fontId="4" fillId="0" borderId="3" xfId="4" applyNumberFormat="1" applyFont="1" applyBorder="1"/>
    <xf numFmtId="41" fontId="5" fillId="2" borderId="2" xfId="1" applyFont="1" applyFill="1" applyBorder="1" applyAlignment="1">
      <alignment vertical="center"/>
    </xf>
    <xf numFmtId="41" fontId="5" fillId="2" borderId="2" xfId="1" applyFont="1" applyFill="1" applyBorder="1" applyAlignment="1">
      <alignment horizontal="center" vertical="center"/>
    </xf>
    <xf numFmtId="41" fontId="2" fillId="2" borderId="2" xfId="1" applyFont="1" applyFill="1" applyBorder="1" applyAlignment="1">
      <alignment horizontal="center" vertical="center"/>
    </xf>
    <xf numFmtId="41" fontId="2" fillId="3" borderId="2" xfId="1" applyFont="1" applyFill="1" applyBorder="1" applyAlignment="1">
      <alignment horizontal="left" vertical="center"/>
    </xf>
    <xf numFmtId="41" fontId="2" fillId="3" borderId="2" xfId="1" applyFont="1" applyFill="1" applyBorder="1" applyAlignment="1">
      <alignment horizontal="center" vertical="center"/>
    </xf>
    <xf numFmtId="41" fontId="4" fillId="3" borderId="2" xfId="1" applyFont="1" applyFill="1" applyBorder="1" applyAlignment="1">
      <alignment horizontal="left" vertical="center" wrapText="1"/>
    </xf>
    <xf numFmtId="41" fontId="5" fillId="3" borderId="2" xfId="1" applyFont="1" applyFill="1" applyBorder="1" applyAlignment="1">
      <alignment horizontal="left" vertical="center"/>
    </xf>
    <xf numFmtId="41" fontId="4" fillId="3" borderId="2" xfId="1" applyFont="1" applyFill="1" applyBorder="1" applyAlignment="1">
      <alignment vertical="center" wrapText="1"/>
    </xf>
    <xf numFmtId="41" fontId="5" fillId="3" borderId="2" xfId="1" applyFont="1" applyFill="1" applyBorder="1" applyAlignment="1">
      <alignment vertical="center"/>
    </xf>
    <xf numFmtId="41" fontId="6" fillId="3" borderId="2" xfId="1" applyFont="1" applyFill="1" applyBorder="1" applyAlignment="1">
      <alignment horizontal="left" vertical="center"/>
    </xf>
    <xf numFmtId="41" fontId="4" fillId="3" borderId="2" xfId="1" applyFont="1" applyFill="1" applyBorder="1" applyAlignment="1">
      <alignment vertical="center"/>
    </xf>
    <xf numFmtId="41" fontId="2" fillId="0" borderId="2" xfId="1" applyFont="1" applyFill="1" applyBorder="1" applyAlignment="1">
      <alignment horizontal="center" vertical="center"/>
    </xf>
    <xf numFmtId="41" fontId="4" fillId="2" borderId="2" xfId="1" applyFont="1" applyFill="1" applyBorder="1" applyAlignment="1">
      <alignment vertical="center"/>
    </xf>
    <xf numFmtId="41" fontId="4" fillId="0" borderId="2" xfId="1" applyFont="1" applyFill="1" applyBorder="1" applyAlignment="1">
      <alignment vertical="center"/>
    </xf>
    <xf numFmtId="41" fontId="4" fillId="2" borderId="2" xfId="1" applyFont="1" applyFill="1" applyBorder="1" applyAlignment="1">
      <alignment horizontal="left" vertical="center"/>
    </xf>
    <xf numFmtId="41" fontId="4" fillId="3" borderId="2" xfId="1" applyFont="1" applyFill="1" applyBorder="1" applyAlignment="1">
      <alignment horizontal="left" vertical="center"/>
    </xf>
    <xf numFmtId="41" fontId="6" fillId="0" borderId="2" xfId="1" applyFont="1" applyFill="1" applyBorder="1" applyAlignment="1">
      <alignment horizontal="left" vertical="center"/>
    </xf>
    <xf numFmtId="41" fontId="4" fillId="0" borderId="2" xfId="1" applyFont="1" applyBorder="1" applyAlignment="1">
      <alignment horizontal="left"/>
    </xf>
    <xf numFmtId="41" fontId="4" fillId="0" borderId="2" xfId="1" applyFont="1" applyFill="1" applyBorder="1" applyAlignment="1">
      <alignment horizontal="left"/>
    </xf>
    <xf numFmtId="41" fontId="4" fillId="5" borderId="2" xfId="1" applyFont="1" applyFill="1" applyBorder="1" applyAlignment="1">
      <alignment vertical="center" wrapText="1"/>
    </xf>
    <xf numFmtId="41" fontId="4" fillId="5" borderId="2" xfId="1" applyFont="1" applyFill="1" applyBorder="1" applyAlignment="1">
      <alignment horizontal="center" vertical="center" wrapText="1"/>
    </xf>
    <xf numFmtId="41" fontId="4" fillId="5" borderId="2" xfId="1" applyFont="1" applyFill="1" applyBorder="1" applyAlignment="1">
      <alignment horizontal="left" vertical="center" wrapText="1"/>
    </xf>
    <xf numFmtId="41" fontId="4" fillId="2" borderId="2" xfId="1" applyFont="1" applyFill="1" applyBorder="1" applyAlignment="1">
      <alignment horizontal="left" vertical="center" wrapText="1"/>
    </xf>
    <xf numFmtId="41" fontId="4" fillId="2" borderId="2" xfId="1" applyFont="1" applyFill="1" applyBorder="1" applyAlignment="1">
      <alignment horizontal="center" vertical="center" wrapText="1"/>
    </xf>
    <xf numFmtId="41" fontId="4" fillId="2" borderId="7" xfId="1" applyFont="1" applyFill="1" applyBorder="1" applyAlignment="1">
      <alignment horizontal="center" vertical="center" wrapText="1"/>
    </xf>
    <xf numFmtId="41" fontId="4" fillId="6" borderId="10" xfId="1" applyFont="1" applyFill="1" applyBorder="1" applyAlignment="1">
      <alignment horizontal="left" vertical="center" wrapText="1"/>
    </xf>
    <xf numFmtId="41" fontId="4" fillId="6" borderId="7" xfId="1" applyFont="1" applyFill="1" applyBorder="1" applyAlignment="1">
      <alignment horizontal="center" vertical="center" wrapText="1"/>
    </xf>
    <xf numFmtId="165" fontId="3" fillId="4" borderId="6" xfId="2" applyNumberFormat="1" applyFont="1" applyFill="1" applyBorder="1" applyAlignment="1">
      <alignment horizontal="left" vertical="center"/>
    </xf>
    <xf numFmtId="165" fontId="3" fillId="4" borderId="2" xfId="2" applyNumberFormat="1" applyFont="1" applyFill="1" applyBorder="1" applyAlignment="1">
      <alignment horizontal="left" vertical="center"/>
    </xf>
    <xf numFmtId="165" fontId="3" fillId="4" borderId="2" xfId="2" applyNumberFormat="1" applyFont="1" applyFill="1" applyBorder="1" applyAlignment="1">
      <alignment horizontal="center" vertical="center"/>
    </xf>
    <xf numFmtId="165" fontId="4" fillId="5" borderId="2" xfId="2" applyNumberFormat="1" applyFont="1" applyFill="1" applyBorder="1" applyAlignment="1">
      <alignment horizontal="left" vertical="center"/>
    </xf>
    <xf numFmtId="165" fontId="4" fillId="5" borderId="2" xfId="2" applyNumberFormat="1" applyFont="1" applyFill="1" applyBorder="1" applyAlignment="1">
      <alignment vertical="center"/>
    </xf>
    <xf numFmtId="165" fontId="3" fillId="4" borderId="3" xfId="2" applyNumberFormat="1" applyFont="1" applyFill="1" applyBorder="1" applyAlignment="1">
      <alignment horizontal="left" vertical="center"/>
    </xf>
    <xf numFmtId="165" fontId="4" fillId="2" borderId="2" xfId="2" applyNumberFormat="1" applyFont="1" applyFill="1" applyBorder="1" applyAlignment="1">
      <alignment horizontal="left" vertical="center"/>
    </xf>
    <xf numFmtId="165" fontId="4" fillId="2" borderId="2" xfId="2" applyNumberFormat="1" applyFont="1" applyFill="1" applyBorder="1" applyAlignment="1">
      <alignment vertical="center"/>
    </xf>
    <xf numFmtId="0" fontId="9" fillId="0" borderId="0" xfId="0" applyFont="1"/>
    <xf numFmtId="2" fontId="2" fillId="0" borderId="0" xfId="4" applyNumberFormat="1" applyFont="1" applyAlignment="1">
      <alignment horizontal="center" vertical="center"/>
    </xf>
    <xf numFmtId="3" fontId="2" fillId="0" borderId="0" xfId="4" applyNumberFormat="1" applyFont="1" applyAlignment="1">
      <alignment horizontal="center" vertical="center"/>
    </xf>
    <xf numFmtId="164" fontId="3" fillId="0" borderId="0" xfId="4" applyFont="1" applyAlignment="1">
      <alignment horizontal="center" vertical="center"/>
    </xf>
    <xf numFmtId="165" fontId="4" fillId="5" borderId="3" xfId="2" applyNumberFormat="1" applyFont="1" applyFill="1" applyBorder="1" applyAlignment="1">
      <alignment vertical="center"/>
    </xf>
    <xf numFmtId="9" fontId="2" fillId="0" borderId="3" xfId="3" applyFont="1" applyFill="1" applyBorder="1" applyAlignment="1">
      <alignment horizontal="center" vertical="center"/>
    </xf>
    <xf numFmtId="165" fontId="2" fillId="9" borderId="3" xfId="2" applyNumberFormat="1" applyFont="1" applyFill="1" applyBorder="1"/>
    <xf numFmtId="165" fontId="4" fillId="9" borderId="3" xfId="2" applyNumberFormat="1" applyFont="1" applyFill="1" applyBorder="1"/>
    <xf numFmtId="168" fontId="0" fillId="0" borderId="0" xfId="0" applyNumberFormat="1"/>
    <xf numFmtId="164" fontId="4" fillId="0" borderId="0" xfId="4" applyFont="1" applyAlignment="1">
      <alignment horizontal="center" vertical="center"/>
    </xf>
    <xf numFmtId="164" fontId="3" fillId="23" borderId="7" xfId="4" applyFont="1" applyFill="1" applyBorder="1" applyAlignment="1">
      <alignment horizontal="centerContinuous" vertical="center"/>
    </xf>
    <xf numFmtId="164" fontId="3" fillId="23" borderId="8" xfId="4" applyFont="1" applyFill="1" applyBorder="1" applyAlignment="1">
      <alignment horizontal="centerContinuous" vertical="center"/>
    </xf>
    <xf numFmtId="164" fontId="6" fillId="23" borderId="8" xfId="4" applyFont="1" applyFill="1" applyBorder="1" applyAlignment="1">
      <alignment horizontal="centerContinuous" vertical="center"/>
    </xf>
    <xf numFmtId="164" fontId="3" fillId="23" borderId="10" xfId="4" applyFont="1" applyFill="1" applyBorder="1" applyAlignment="1">
      <alignment horizontal="centerContinuous" vertical="center"/>
    </xf>
    <xf numFmtId="49" fontId="6" fillId="24" borderId="75" xfId="2" applyNumberFormat="1" applyFont="1" applyFill="1" applyBorder="1" applyAlignment="1">
      <alignment horizontal="center" vertical="center"/>
    </xf>
    <xf numFmtId="49" fontId="3" fillId="24" borderId="75" xfId="2" applyNumberFormat="1" applyFont="1" applyFill="1" applyBorder="1" applyAlignment="1">
      <alignment horizontal="center" vertical="center"/>
    </xf>
    <xf numFmtId="164" fontId="6" fillId="25" borderId="75" xfId="4" applyFont="1" applyFill="1" applyBorder="1" applyAlignment="1">
      <alignment horizontal="center" vertical="center"/>
    </xf>
    <xf numFmtId="164" fontId="6" fillId="24" borderId="75" xfId="4" applyFont="1" applyFill="1" applyBorder="1" applyAlignment="1">
      <alignment horizontal="center" vertical="center"/>
    </xf>
    <xf numFmtId="41" fontId="2" fillId="0" borderId="0" xfId="1" applyFont="1" applyFill="1" applyBorder="1" applyAlignment="1">
      <alignment horizontal="center" vertical="center"/>
    </xf>
    <xf numFmtId="165" fontId="4" fillId="5" borderId="3" xfId="2" applyNumberFormat="1" applyFont="1" applyFill="1" applyBorder="1" applyAlignment="1"/>
    <xf numFmtId="44" fontId="2" fillId="0" borderId="0" xfId="2" applyFont="1" applyFill="1" applyBorder="1" applyAlignment="1">
      <alignment horizontal="center" vertical="center" wrapText="1"/>
    </xf>
    <xf numFmtId="171" fontId="2" fillId="0" borderId="0" xfId="1" applyNumberFormat="1" applyFont="1" applyFill="1" applyBorder="1" applyAlignment="1">
      <alignment horizontal="center" vertical="center"/>
    </xf>
    <xf numFmtId="44" fontId="2" fillId="0" borderId="0" xfId="2" applyFont="1" applyFill="1" applyBorder="1" applyAlignment="1">
      <alignment horizontal="center" vertical="center"/>
    </xf>
    <xf numFmtId="165" fontId="3" fillId="23" borderId="2" xfId="2" applyNumberFormat="1" applyFont="1" applyFill="1" applyBorder="1" applyAlignment="1">
      <alignment horizontal="center" vertical="center"/>
    </xf>
    <xf numFmtId="165" fontId="3" fillId="23" borderId="4" xfId="2" applyNumberFormat="1" applyFont="1" applyFill="1" applyBorder="1" applyAlignment="1">
      <alignment horizontal="center" vertical="center"/>
    </xf>
    <xf numFmtId="165" fontId="6" fillId="23" borderId="4" xfId="2" applyNumberFormat="1" applyFont="1" applyFill="1" applyBorder="1" applyAlignment="1">
      <alignment horizontal="center" vertical="center"/>
    </xf>
    <xf numFmtId="9" fontId="3" fillId="23" borderId="2" xfId="3" applyFont="1" applyFill="1" applyBorder="1" applyAlignment="1">
      <alignment horizontal="center" vertical="center"/>
    </xf>
    <xf numFmtId="165" fontId="4" fillId="9" borderId="3" xfId="2" applyNumberFormat="1" applyFont="1" applyFill="1" applyBorder="1" applyAlignment="1">
      <alignment vertical="center"/>
    </xf>
    <xf numFmtId="165" fontId="2" fillId="9" borderId="3" xfId="2" applyNumberFormat="1" applyFont="1" applyFill="1" applyBorder="1" applyAlignment="1">
      <alignment vertical="center"/>
    </xf>
    <xf numFmtId="165" fontId="4" fillId="5" borderId="76" xfId="2" applyNumberFormat="1" applyFont="1" applyFill="1" applyBorder="1" applyAlignment="1">
      <alignment vertical="center"/>
    </xf>
    <xf numFmtId="169" fontId="2" fillId="0" borderId="0" xfId="4" applyNumberFormat="1" applyFont="1" applyAlignment="1">
      <alignment horizontal="center" vertical="center"/>
    </xf>
    <xf numFmtId="165" fontId="4" fillId="9" borderId="0" xfId="2" applyNumberFormat="1" applyFont="1" applyFill="1" applyBorder="1" applyAlignment="1">
      <alignment vertical="center"/>
    </xf>
    <xf numFmtId="165" fontId="4" fillId="9" borderId="7" xfId="2" applyNumberFormat="1" applyFont="1" applyFill="1" applyBorder="1" applyAlignment="1">
      <alignment vertical="center"/>
    </xf>
    <xf numFmtId="165" fontId="3" fillId="23" borderId="7" xfId="2" applyNumberFormat="1" applyFont="1" applyFill="1" applyBorder="1" applyAlignment="1">
      <alignment horizontal="center" vertical="center"/>
    </xf>
    <xf numFmtId="165" fontId="6" fillId="23" borderId="7" xfId="2" applyNumberFormat="1" applyFont="1" applyFill="1" applyBorder="1" applyAlignment="1">
      <alignment horizontal="center" vertical="center"/>
    </xf>
    <xf numFmtId="165" fontId="3" fillId="23" borderId="10" xfId="2" applyNumberFormat="1" applyFont="1" applyFill="1" applyBorder="1" applyAlignment="1">
      <alignment horizontal="center" vertical="center"/>
    </xf>
    <xf numFmtId="165" fontId="4" fillId="9" borderId="7" xfId="2" applyNumberFormat="1" applyFont="1" applyFill="1" applyBorder="1"/>
    <xf numFmtId="165" fontId="2" fillId="9" borderId="7" xfId="2" applyNumberFormat="1" applyFont="1" applyFill="1" applyBorder="1"/>
    <xf numFmtId="165" fontId="4" fillId="9" borderId="77" xfId="2" applyNumberFormat="1" applyFont="1" applyFill="1" applyBorder="1"/>
    <xf numFmtId="165" fontId="2" fillId="9" borderId="77" xfId="2" applyNumberFormat="1" applyFont="1" applyFill="1" applyBorder="1"/>
    <xf numFmtId="165" fontId="4" fillId="5" borderId="78" xfId="2" applyNumberFormat="1" applyFont="1" applyFill="1" applyBorder="1" applyAlignment="1">
      <alignment vertical="center"/>
    </xf>
    <xf numFmtId="9" fontId="2" fillId="0" borderId="79" xfId="3" applyFont="1" applyFill="1" applyBorder="1" applyAlignment="1">
      <alignment horizontal="center" vertical="center"/>
    </xf>
    <xf numFmtId="165" fontId="3" fillId="23" borderId="3" xfId="2" applyNumberFormat="1" applyFont="1" applyFill="1" applyBorder="1" applyAlignment="1">
      <alignment horizontal="center" vertical="center"/>
    </xf>
    <xf numFmtId="165" fontId="6" fillId="23" borderId="3" xfId="2" applyNumberFormat="1" applyFont="1" applyFill="1" applyBorder="1" applyAlignment="1">
      <alignment horizontal="center" vertical="center"/>
    </xf>
    <xf numFmtId="9" fontId="3" fillId="23" borderId="3" xfId="3" applyFont="1" applyFill="1" applyBorder="1" applyAlignment="1">
      <alignment horizontal="center" vertical="center"/>
    </xf>
    <xf numFmtId="165" fontId="4" fillId="0" borderId="3" xfId="2" applyNumberFormat="1" applyFont="1" applyFill="1" applyBorder="1" applyAlignment="1">
      <alignment vertical="center"/>
    </xf>
    <xf numFmtId="165" fontId="2" fillId="0" borderId="3" xfId="2" applyNumberFormat="1" applyFont="1" applyFill="1" applyBorder="1" applyAlignment="1">
      <alignment vertical="center"/>
    </xf>
    <xf numFmtId="165" fontId="4" fillId="9" borderId="3" xfId="2" applyNumberFormat="1" applyFont="1" applyFill="1" applyBorder="1" applyAlignment="1">
      <alignment horizontal="center" vertical="center"/>
    </xf>
    <xf numFmtId="165" fontId="2" fillId="9" borderId="3" xfId="2" applyNumberFormat="1" applyFont="1" applyFill="1" applyBorder="1" applyAlignment="1">
      <alignment horizontal="center" vertical="center"/>
    </xf>
    <xf numFmtId="167" fontId="2" fillId="9" borderId="3" xfId="6" applyNumberFormat="1" applyFont="1" applyFill="1" applyBorder="1" applyAlignment="1">
      <alignment horizontal="center" vertical="center"/>
    </xf>
    <xf numFmtId="167" fontId="4" fillId="9" borderId="3" xfId="6" applyNumberFormat="1" applyFont="1" applyFill="1" applyBorder="1" applyAlignment="1">
      <alignment horizontal="center" vertical="center"/>
    </xf>
    <xf numFmtId="167" fontId="4" fillId="5" borderId="3" xfId="6" applyNumberFormat="1" applyFont="1" applyFill="1" applyBorder="1" applyAlignment="1">
      <alignment vertical="center"/>
    </xf>
    <xf numFmtId="167" fontId="2" fillId="9" borderId="3" xfId="6" applyNumberFormat="1" applyFont="1" applyFill="1" applyBorder="1"/>
    <xf numFmtId="167" fontId="4" fillId="9" borderId="3" xfId="6" applyNumberFormat="1" applyFont="1" applyFill="1" applyBorder="1"/>
    <xf numFmtId="167" fontId="3" fillId="23" borderId="3" xfId="6" applyNumberFormat="1" applyFont="1" applyFill="1" applyBorder="1" applyAlignment="1">
      <alignment horizontal="center" vertical="center"/>
    </xf>
    <xf numFmtId="167" fontId="6" fillId="23" borderId="3" xfId="6" applyNumberFormat="1" applyFont="1" applyFill="1" applyBorder="1" applyAlignment="1">
      <alignment horizontal="center" vertical="center"/>
    </xf>
    <xf numFmtId="165" fontId="4" fillId="23" borderId="3" xfId="2" applyNumberFormat="1" applyFont="1" applyFill="1" applyBorder="1" applyAlignment="1">
      <alignment vertical="center"/>
    </xf>
    <xf numFmtId="9" fontId="2" fillId="23" borderId="3" xfId="3" applyFont="1" applyFill="1" applyBorder="1" applyAlignment="1">
      <alignment horizontal="center" vertical="center"/>
    </xf>
    <xf numFmtId="167" fontId="2" fillId="9" borderId="3" xfId="6" applyNumberFormat="1" applyFont="1" applyFill="1" applyBorder="1" applyAlignment="1">
      <alignment vertical="center"/>
    </xf>
    <xf numFmtId="167" fontId="4" fillId="5" borderId="2" xfId="6" applyNumberFormat="1" applyFont="1" applyFill="1" applyBorder="1" applyAlignment="1">
      <alignment horizontal="left" vertical="center"/>
    </xf>
    <xf numFmtId="167" fontId="4" fillId="5" borderId="2" xfId="6" applyNumberFormat="1" applyFont="1" applyFill="1" applyBorder="1" applyAlignment="1">
      <alignment vertical="center"/>
    </xf>
    <xf numFmtId="167" fontId="4" fillId="9" borderId="3" xfId="6" applyNumberFormat="1" applyFont="1" applyFill="1" applyBorder="1" applyAlignment="1">
      <alignment vertical="center"/>
    </xf>
    <xf numFmtId="167" fontId="2" fillId="0" borderId="0" xfId="6" applyNumberFormat="1" applyFont="1" applyFill="1" applyAlignment="1">
      <alignment horizontal="center" vertical="center"/>
    </xf>
    <xf numFmtId="167" fontId="2" fillId="0" borderId="0" xfId="6" applyNumberFormat="1" applyFont="1" applyAlignment="1">
      <alignment horizontal="center" vertical="center"/>
    </xf>
    <xf numFmtId="167" fontId="3" fillId="2" borderId="3" xfId="6" applyNumberFormat="1" applyFont="1" applyFill="1" applyBorder="1" applyAlignment="1">
      <alignment horizontal="left" vertical="center"/>
    </xf>
    <xf numFmtId="167" fontId="3" fillId="2" borderId="3" xfId="6" applyNumberFormat="1" applyFont="1" applyFill="1" applyBorder="1" applyAlignment="1">
      <alignment horizontal="center" vertical="center"/>
    </xf>
    <xf numFmtId="167" fontId="3" fillId="26" borderId="3" xfId="6" applyNumberFormat="1" applyFont="1" applyFill="1" applyBorder="1" applyAlignment="1">
      <alignment horizontal="center" vertical="center"/>
    </xf>
    <xf numFmtId="167" fontId="6" fillId="26" borderId="3" xfId="6" applyNumberFormat="1" applyFont="1" applyFill="1" applyBorder="1" applyAlignment="1">
      <alignment horizontal="center" vertical="center"/>
    </xf>
    <xf numFmtId="167" fontId="4" fillId="26" borderId="3" xfId="6" applyNumberFormat="1" applyFont="1" applyFill="1" applyBorder="1" applyAlignment="1">
      <alignment vertical="center"/>
    </xf>
    <xf numFmtId="9" fontId="2" fillId="26" borderId="3" xfId="3" applyFont="1" applyFill="1" applyBorder="1" applyAlignment="1">
      <alignment horizontal="center" vertical="center"/>
    </xf>
    <xf numFmtId="165" fontId="3" fillId="23" borderId="3" xfId="2" applyNumberFormat="1" applyFont="1" applyFill="1" applyBorder="1" applyAlignment="1">
      <alignment horizontal="right" vertical="center"/>
    </xf>
    <xf numFmtId="165" fontId="6" fillId="23" borderId="3" xfId="2" applyNumberFormat="1" applyFont="1" applyFill="1" applyBorder="1" applyAlignment="1">
      <alignment horizontal="right" vertical="center"/>
    </xf>
    <xf numFmtId="164" fontId="2" fillId="2" borderId="0" xfId="4" applyFont="1" applyFill="1" applyAlignment="1">
      <alignment horizontal="center" vertical="center"/>
    </xf>
    <xf numFmtId="165" fontId="2" fillId="0" borderId="0" xfId="2" applyNumberFormat="1" applyFont="1" applyAlignment="1">
      <alignment horizontal="center" vertical="center"/>
    </xf>
    <xf numFmtId="165" fontId="4" fillId="26" borderId="3" xfId="2" applyNumberFormat="1" applyFont="1" applyFill="1" applyBorder="1" applyAlignment="1">
      <alignment vertical="center"/>
    </xf>
    <xf numFmtId="165" fontId="2" fillId="26" borderId="3" xfId="2" applyNumberFormat="1" applyFont="1" applyFill="1" applyBorder="1" applyAlignment="1">
      <alignment vertical="center"/>
    </xf>
    <xf numFmtId="9" fontId="4" fillId="9" borderId="3" xfId="3" applyFont="1" applyFill="1" applyBorder="1" applyAlignment="1">
      <alignment vertical="center"/>
    </xf>
    <xf numFmtId="9" fontId="2" fillId="9" borderId="3" xfId="3" applyFont="1" applyFill="1" applyBorder="1" applyAlignment="1">
      <alignment vertical="center"/>
    </xf>
    <xf numFmtId="9" fontId="4" fillId="5" borderId="3" xfId="3" applyFont="1" applyFill="1" applyBorder="1" applyAlignment="1">
      <alignment vertical="center"/>
    </xf>
    <xf numFmtId="164" fontId="9" fillId="0" borderId="13" xfId="4" applyFont="1" applyBorder="1" applyAlignment="1">
      <alignment horizontal="center" vertical="center" wrapText="1"/>
    </xf>
    <xf numFmtId="0" fontId="9" fillId="0" borderId="13" xfId="5" applyFont="1" applyBorder="1" applyAlignment="1">
      <alignment horizontal="center" vertical="center" wrapText="1"/>
    </xf>
    <xf numFmtId="49" fontId="9" fillId="0" borderId="13" xfId="4" applyNumberFormat="1" applyFont="1" applyBorder="1" applyAlignment="1">
      <alignment horizontal="center" vertical="center" wrapText="1"/>
    </xf>
    <xf numFmtId="164" fontId="11" fillId="2" borderId="70" xfId="4" applyFont="1" applyFill="1" applyBorder="1" applyAlignment="1">
      <alignment horizontal="center" vertical="center" wrapText="1"/>
    </xf>
    <xf numFmtId="41" fontId="13" fillId="0" borderId="13" xfId="1" applyFont="1" applyBorder="1" applyAlignment="1">
      <alignment horizontal="center" vertical="center" wrapText="1"/>
    </xf>
    <xf numFmtId="168" fontId="10" fillId="0" borderId="22" xfId="1" applyNumberFormat="1" applyFont="1" applyFill="1" applyBorder="1" applyAlignment="1">
      <alignment horizontal="center" vertical="center" wrapText="1"/>
    </xf>
    <xf numFmtId="41" fontId="13" fillId="0" borderId="13" xfId="1" applyFont="1" applyFill="1" applyBorder="1" applyAlignment="1">
      <alignment horizontal="center" vertical="center" wrapText="1"/>
    </xf>
    <xf numFmtId="168" fontId="10" fillId="0" borderId="25" xfId="1" applyNumberFormat="1" applyFont="1" applyFill="1" applyBorder="1" applyAlignment="1">
      <alignment horizontal="center" vertical="center" wrapText="1"/>
    </xf>
    <xf numFmtId="41" fontId="11" fillId="3" borderId="23" xfId="1" applyFont="1" applyFill="1" applyBorder="1" applyAlignment="1">
      <alignment horizontal="center" vertical="center" wrapText="1"/>
    </xf>
    <xf numFmtId="41" fontId="11" fillId="4" borderId="25" xfId="1" applyFont="1" applyFill="1" applyBorder="1" applyAlignment="1">
      <alignment horizontal="center" vertical="center" wrapText="1"/>
    </xf>
    <xf numFmtId="168" fontId="10" fillId="0" borderId="52" xfId="3" applyNumberFormat="1" applyFont="1" applyFill="1" applyBorder="1" applyAlignment="1">
      <alignment horizontal="center" vertical="center" wrapText="1"/>
    </xf>
    <xf numFmtId="168" fontId="10" fillId="0" borderId="54" xfId="3" applyNumberFormat="1" applyFont="1" applyFill="1" applyBorder="1" applyAlignment="1">
      <alignment horizontal="center" vertical="center" wrapText="1"/>
    </xf>
    <xf numFmtId="3" fontId="9" fillId="9" borderId="13" xfId="2" applyNumberFormat="1" applyFont="1" applyFill="1" applyBorder="1" applyAlignment="1">
      <alignment horizontal="center" vertical="center" wrapText="1"/>
    </xf>
    <xf numFmtId="3" fontId="9" fillId="5" borderId="21" xfId="2" applyNumberFormat="1" applyFont="1" applyFill="1" applyBorder="1" applyAlignment="1">
      <alignment horizontal="center" vertical="center" wrapText="1"/>
    </xf>
    <xf numFmtId="165" fontId="9" fillId="5" borderId="22" xfId="2" applyNumberFormat="1" applyFont="1" applyFill="1" applyBorder="1" applyAlignment="1">
      <alignment horizontal="center" vertical="center" wrapText="1"/>
    </xf>
    <xf numFmtId="3" fontId="9" fillId="9" borderId="21" xfId="2" applyNumberFormat="1" applyFont="1" applyFill="1" applyBorder="1" applyAlignment="1">
      <alignment horizontal="center" vertical="center" wrapText="1"/>
    </xf>
    <xf numFmtId="3" fontId="9" fillId="9" borderId="22" xfId="2" applyNumberFormat="1" applyFont="1" applyFill="1" applyBorder="1" applyAlignment="1">
      <alignment horizontal="center" vertical="center" wrapText="1"/>
    </xf>
    <xf numFmtId="3" fontId="9" fillId="5" borderId="23" xfId="2" applyNumberFormat="1" applyFont="1" applyFill="1" applyBorder="1" applyAlignment="1">
      <alignment horizontal="center" vertical="center" wrapText="1"/>
    </xf>
    <xf numFmtId="165" fontId="9" fillId="5" borderId="25" xfId="2" applyNumberFormat="1" applyFont="1" applyFill="1" applyBorder="1" applyAlignment="1">
      <alignment horizontal="center" vertical="center" wrapText="1"/>
    </xf>
    <xf numFmtId="165" fontId="9" fillId="5" borderId="40" xfId="2" applyNumberFormat="1" applyFont="1" applyFill="1" applyBorder="1" applyAlignment="1">
      <alignment horizontal="center" vertical="center" wrapText="1"/>
    </xf>
    <xf numFmtId="168" fontId="10" fillId="0" borderId="46" xfId="3" applyNumberFormat="1" applyFont="1" applyFill="1" applyBorder="1" applyAlignment="1">
      <alignment horizontal="center" vertical="center" wrapText="1"/>
    </xf>
    <xf numFmtId="168" fontId="10" fillId="0" borderId="40" xfId="1" applyNumberFormat="1" applyFont="1" applyFill="1" applyBorder="1" applyAlignment="1">
      <alignment horizontal="center" vertical="center" wrapText="1"/>
    </xf>
    <xf numFmtId="164" fontId="11" fillId="0" borderId="62" xfId="4" applyFont="1" applyBorder="1" applyAlignment="1">
      <alignment horizontal="center" vertical="center" wrapText="1"/>
    </xf>
    <xf numFmtId="3" fontId="12" fillId="25" borderId="64" xfId="4" applyNumberFormat="1" applyFont="1" applyFill="1" applyBorder="1" applyAlignment="1">
      <alignment horizontal="center" vertical="center" wrapText="1"/>
    </xf>
    <xf numFmtId="3" fontId="9" fillId="5" borderId="18" xfId="2" applyNumberFormat="1" applyFont="1" applyFill="1" applyBorder="1" applyAlignment="1">
      <alignment horizontal="center" vertical="center" wrapText="1"/>
    </xf>
    <xf numFmtId="165" fontId="9" fillId="5" borderId="20" xfId="2" applyNumberFormat="1" applyFont="1" applyFill="1" applyBorder="1" applyAlignment="1">
      <alignment horizontal="center" vertical="center" wrapText="1"/>
    </xf>
    <xf numFmtId="3" fontId="9" fillId="5" borderId="22" xfId="2" applyNumberFormat="1" applyFont="1" applyFill="1" applyBorder="1" applyAlignment="1">
      <alignment horizontal="center" vertical="center" wrapText="1"/>
    </xf>
    <xf numFmtId="169" fontId="13" fillId="0" borderId="26" xfId="1" applyNumberFormat="1" applyFont="1" applyBorder="1" applyAlignment="1">
      <alignment horizontal="center" vertical="center" wrapText="1"/>
    </xf>
    <xf numFmtId="172" fontId="13" fillId="0" borderId="26" xfId="1" applyNumberFormat="1" applyFont="1" applyBorder="1" applyAlignment="1">
      <alignment horizontal="center" vertical="center" wrapText="1"/>
    </xf>
    <xf numFmtId="169" fontId="13" fillId="0" borderId="26" xfId="1" applyNumberFormat="1" applyFont="1" applyFill="1" applyBorder="1" applyAlignment="1">
      <alignment horizontal="center" vertical="center" wrapText="1"/>
    </xf>
    <xf numFmtId="3" fontId="13" fillId="0" borderId="26" xfId="1" applyNumberFormat="1" applyFont="1" applyFill="1" applyBorder="1" applyAlignment="1">
      <alignment horizontal="center" vertical="center" wrapText="1"/>
    </xf>
    <xf numFmtId="3" fontId="9" fillId="5" borderId="63" xfId="2" applyNumberFormat="1" applyFont="1" applyFill="1" applyBorder="1" applyAlignment="1">
      <alignment horizontal="center" vertical="center" wrapText="1"/>
    </xf>
    <xf numFmtId="3" fontId="9" fillId="5" borderId="52" xfId="2" applyNumberFormat="1" applyFont="1" applyFill="1" applyBorder="1" applyAlignment="1">
      <alignment horizontal="center" vertical="center" wrapText="1"/>
    </xf>
    <xf numFmtId="3" fontId="9" fillId="5" borderId="54" xfId="2" applyNumberFormat="1" applyFont="1" applyFill="1" applyBorder="1" applyAlignment="1">
      <alignment horizontal="center" vertical="center" wrapText="1"/>
    </xf>
    <xf numFmtId="3" fontId="10" fillId="9" borderId="13" xfId="2" applyNumberFormat="1" applyFont="1" applyFill="1" applyBorder="1" applyAlignment="1">
      <alignment horizontal="center" vertical="center" wrapText="1"/>
    </xf>
    <xf numFmtId="3" fontId="9" fillId="9" borderId="18" xfId="2" applyNumberFormat="1" applyFont="1" applyFill="1" applyBorder="1" applyAlignment="1">
      <alignment horizontal="center" vertical="center" wrapText="1"/>
    </xf>
    <xf numFmtId="3" fontId="9" fillId="9" borderId="19" xfId="2" applyNumberFormat="1" applyFont="1" applyFill="1" applyBorder="1" applyAlignment="1">
      <alignment horizontal="center" vertical="center" wrapText="1"/>
    </xf>
    <xf numFmtId="3" fontId="9" fillId="9" borderId="20" xfId="2" applyNumberFormat="1" applyFont="1" applyFill="1" applyBorder="1" applyAlignment="1">
      <alignment horizontal="center" vertical="center" wrapText="1"/>
    </xf>
    <xf numFmtId="3" fontId="10" fillId="9" borderId="21" xfId="2" applyNumberFormat="1" applyFont="1" applyFill="1" applyBorder="1" applyAlignment="1">
      <alignment horizontal="center" vertical="center" wrapText="1"/>
    </xf>
    <xf numFmtId="3" fontId="10" fillId="9" borderId="22" xfId="2" applyNumberFormat="1" applyFont="1" applyFill="1" applyBorder="1" applyAlignment="1">
      <alignment horizontal="center" vertical="center" wrapText="1"/>
    </xf>
    <xf numFmtId="3" fontId="9" fillId="9" borderId="23" xfId="2" applyNumberFormat="1" applyFont="1" applyFill="1" applyBorder="1" applyAlignment="1">
      <alignment horizontal="center" vertical="center" wrapText="1"/>
    </xf>
    <xf numFmtId="3" fontId="9" fillId="9" borderId="24" xfId="2" applyNumberFormat="1" applyFont="1" applyFill="1" applyBorder="1" applyAlignment="1">
      <alignment horizontal="center" vertical="center" wrapText="1"/>
    </xf>
    <xf numFmtId="3" fontId="9" fillId="9" borderId="25" xfId="2" applyNumberFormat="1" applyFont="1" applyFill="1" applyBorder="1" applyAlignment="1">
      <alignment horizontal="center" vertical="center" wrapText="1"/>
    </xf>
    <xf numFmtId="3" fontId="9" fillId="5" borderId="46" xfId="2" applyNumberFormat="1" applyFont="1" applyFill="1" applyBorder="1" applyAlignment="1">
      <alignment horizontal="center" vertical="center" wrapText="1"/>
    </xf>
    <xf numFmtId="4" fontId="10" fillId="9" borderId="13" xfId="2" applyNumberFormat="1" applyFont="1" applyFill="1" applyBorder="1" applyAlignment="1">
      <alignment horizontal="center" vertical="center" wrapText="1"/>
    </xf>
    <xf numFmtId="4" fontId="10" fillId="9" borderId="22" xfId="2" applyNumberFormat="1" applyFont="1" applyFill="1" applyBorder="1" applyAlignment="1">
      <alignment horizontal="center" vertical="center" wrapText="1"/>
    </xf>
    <xf numFmtId="174" fontId="2" fillId="0" borderId="0" xfId="1" applyNumberFormat="1" applyFont="1" applyFill="1" applyBorder="1" applyAlignment="1">
      <alignment horizontal="center" vertical="center"/>
    </xf>
    <xf numFmtId="3" fontId="12" fillId="24" borderId="15" xfId="2" applyNumberFormat="1" applyFont="1" applyFill="1" applyBorder="1" applyAlignment="1">
      <alignment horizontal="center" vertical="center" wrapText="1"/>
    </xf>
    <xf numFmtId="3" fontId="12" fillId="24" borderId="16" xfId="2" applyNumberFormat="1" applyFont="1" applyFill="1" applyBorder="1" applyAlignment="1">
      <alignment horizontal="center" vertical="center" wrapText="1"/>
    </xf>
    <xf numFmtId="3" fontId="11" fillId="24" borderId="16" xfId="2" applyNumberFormat="1" applyFont="1" applyFill="1" applyBorder="1" applyAlignment="1">
      <alignment horizontal="center" vertical="center" wrapText="1"/>
    </xf>
    <xf numFmtId="3" fontId="12" fillId="24" borderId="17" xfId="2" applyNumberFormat="1" applyFont="1" applyFill="1" applyBorder="1" applyAlignment="1">
      <alignment horizontal="center" vertical="center" wrapText="1"/>
    </xf>
    <xf numFmtId="49" fontId="12" fillId="24" borderId="15" xfId="2" applyNumberFormat="1" applyFont="1" applyFill="1" applyBorder="1" applyAlignment="1">
      <alignment horizontal="center" vertical="center" wrapText="1"/>
    </xf>
    <xf numFmtId="49" fontId="12" fillId="24" borderId="16" xfId="2" applyNumberFormat="1" applyFont="1" applyFill="1" applyBorder="1" applyAlignment="1">
      <alignment horizontal="center" vertical="center" wrapText="1"/>
    </xf>
    <xf numFmtId="49" fontId="11" fillId="24" borderId="16" xfId="2" applyNumberFormat="1" applyFont="1" applyFill="1" applyBorder="1" applyAlignment="1">
      <alignment horizontal="center" vertical="center" wrapText="1"/>
    </xf>
    <xf numFmtId="49" fontId="12" fillId="24" borderId="17" xfId="2" applyNumberFormat="1" applyFont="1" applyFill="1" applyBorder="1" applyAlignment="1">
      <alignment horizontal="center" vertical="center" wrapText="1"/>
    </xf>
    <xf numFmtId="164" fontId="9" fillId="0" borderId="28" xfId="4" applyFont="1" applyBorder="1" applyAlignment="1">
      <alignment horizontal="center" vertical="center" wrapText="1"/>
    </xf>
    <xf numFmtId="164" fontId="11" fillId="2" borderId="43" xfId="4" applyFont="1" applyFill="1" applyBorder="1" applyAlignment="1">
      <alignment horizontal="center" vertical="center" wrapText="1"/>
    </xf>
    <xf numFmtId="164" fontId="9" fillId="0" borderId="21" xfId="4" applyFont="1" applyBorder="1" applyAlignment="1">
      <alignment horizontal="center" vertical="center" wrapText="1"/>
    </xf>
    <xf numFmtId="3" fontId="12" fillId="24" borderId="49" xfId="2" applyNumberFormat="1" applyFont="1" applyFill="1" applyBorder="1" applyAlignment="1">
      <alignment horizontal="center" vertical="center" wrapText="1"/>
    </xf>
    <xf numFmtId="3" fontId="10" fillId="9" borderId="23" xfId="2" applyNumberFormat="1" applyFont="1" applyFill="1" applyBorder="1" applyAlignment="1">
      <alignment horizontal="center" vertical="center" wrapText="1"/>
    </xf>
    <xf numFmtId="3" fontId="10" fillId="9" borderId="24" xfId="2" applyNumberFormat="1" applyFont="1" applyFill="1" applyBorder="1" applyAlignment="1">
      <alignment horizontal="center" vertical="center" wrapText="1"/>
    </xf>
    <xf numFmtId="3" fontId="10" fillId="9" borderId="25" xfId="2" applyNumberFormat="1" applyFont="1" applyFill="1" applyBorder="1" applyAlignment="1">
      <alignment horizontal="center" vertical="center" wrapText="1"/>
    </xf>
    <xf numFmtId="0" fontId="0" fillId="0" borderId="57" xfId="0" applyBorder="1" applyAlignment="1">
      <alignment horizontal="center" vertical="center" wrapText="1"/>
    </xf>
    <xf numFmtId="3" fontId="9" fillId="9" borderId="15" xfId="2" applyNumberFormat="1" applyFont="1" applyFill="1" applyBorder="1" applyAlignment="1">
      <alignment horizontal="center" vertical="center" wrapText="1"/>
    </xf>
    <xf numFmtId="3" fontId="9" fillId="9" borderId="16" xfId="2" applyNumberFormat="1" applyFont="1" applyFill="1" applyBorder="1" applyAlignment="1">
      <alignment horizontal="center" vertical="center" wrapText="1"/>
    </xf>
    <xf numFmtId="3" fontId="9" fillId="9" borderId="17" xfId="2" applyNumberFormat="1" applyFont="1" applyFill="1" applyBorder="1" applyAlignment="1">
      <alignment horizontal="center" vertical="center" wrapText="1"/>
    </xf>
    <xf numFmtId="3" fontId="9" fillId="5" borderId="15" xfId="2" applyNumberFormat="1" applyFont="1" applyFill="1" applyBorder="1" applyAlignment="1">
      <alignment horizontal="center" vertical="center" wrapText="1"/>
    </xf>
    <xf numFmtId="165" fontId="9" fillId="5" borderId="17" xfId="2" applyNumberFormat="1" applyFont="1" applyFill="1" applyBorder="1" applyAlignment="1">
      <alignment horizontal="center" vertical="center" wrapText="1"/>
    </xf>
    <xf numFmtId="164" fontId="11" fillId="0" borderId="59" xfId="4" applyFont="1" applyBorder="1" applyAlignment="1">
      <alignment horizontal="center" vertical="center" wrapText="1"/>
    </xf>
    <xf numFmtId="164" fontId="9" fillId="0" borderId="20" xfId="0" applyNumberFormat="1" applyFont="1" applyBorder="1" applyAlignment="1">
      <alignment horizontal="center" vertical="center" wrapText="1"/>
    </xf>
    <xf numFmtId="164" fontId="9" fillId="0" borderId="25" xfId="0" applyNumberFormat="1" applyFont="1" applyBorder="1" applyAlignment="1">
      <alignment horizontal="center" vertical="center" wrapText="1"/>
    </xf>
    <xf numFmtId="9" fontId="12" fillId="0" borderId="18" xfId="0" applyNumberFormat="1" applyFont="1" applyBorder="1" applyAlignment="1">
      <alignment horizontal="center" vertical="center" wrapText="1"/>
    </xf>
    <xf numFmtId="9" fontId="12" fillId="0" borderId="23" xfId="0" applyNumberFormat="1" applyFont="1" applyBorder="1" applyAlignment="1">
      <alignment horizontal="center" vertical="center" wrapText="1"/>
    </xf>
    <xf numFmtId="168" fontId="11" fillId="23" borderId="14" xfId="3" applyNumberFormat="1" applyFont="1" applyFill="1" applyBorder="1" applyAlignment="1">
      <alignment horizontal="center" vertical="center" wrapText="1"/>
    </xf>
    <xf numFmtId="168" fontId="11" fillId="23" borderId="61" xfId="3" applyNumberFormat="1" applyFont="1" applyFill="1" applyBorder="1" applyAlignment="1">
      <alignment horizontal="center" vertical="center" wrapText="1"/>
    </xf>
    <xf numFmtId="164" fontId="11" fillId="0" borderId="14" xfId="4" applyFont="1" applyBorder="1" applyAlignment="1">
      <alignment horizontal="center" vertical="center" wrapText="1"/>
    </xf>
    <xf numFmtId="165" fontId="11" fillId="0" borderId="12" xfId="2" applyNumberFormat="1" applyFont="1" applyFill="1" applyBorder="1" applyAlignment="1">
      <alignment horizontal="center" vertical="center" wrapText="1"/>
    </xf>
    <xf numFmtId="165" fontId="11" fillId="0" borderId="5" xfId="2" applyNumberFormat="1" applyFont="1" applyFill="1" applyBorder="1" applyAlignment="1">
      <alignment horizontal="center" vertical="center" wrapText="1"/>
    </xf>
    <xf numFmtId="165" fontId="12" fillId="0" borderId="5" xfId="2" applyNumberFormat="1" applyFont="1" applyFill="1" applyBorder="1" applyAlignment="1">
      <alignment horizontal="center" vertical="center" wrapText="1"/>
    </xf>
    <xf numFmtId="165" fontId="11" fillId="0" borderId="1" xfId="2" applyNumberFormat="1" applyFont="1" applyFill="1" applyBorder="1" applyAlignment="1">
      <alignment horizontal="center" vertical="center" wrapText="1"/>
    </xf>
    <xf numFmtId="164" fontId="11" fillId="2" borderId="31" xfId="4" applyFont="1" applyFill="1" applyBorder="1" applyAlignment="1">
      <alignment horizontal="center" vertical="center" wrapText="1"/>
    </xf>
    <xf numFmtId="165" fontId="11" fillId="0" borderId="80" xfId="2" applyNumberFormat="1" applyFont="1" applyFill="1" applyBorder="1" applyAlignment="1">
      <alignment horizontal="center" vertical="center" wrapText="1"/>
    </xf>
    <xf numFmtId="165" fontId="12" fillId="0" borderId="1" xfId="2" applyNumberFormat="1" applyFont="1" applyFill="1" applyBorder="1" applyAlignment="1">
      <alignment horizontal="center" vertical="center" wrapText="1"/>
    </xf>
    <xf numFmtId="164" fontId="11" fillId="2" borderId="26" xfId="4" applyFont="1" applyFill="1" applyBorder="1" applyAlignment="1">
      <alignment horizontal="center" vertical="center" wrapText="1"/>
    </xf>
    <xf numFmtId="168" fontId="11" fillId="23" borderId="56" xfId="3" applyNumberFormat="1" applyFont="1" applyFill="1" applyBorder="1" applyAlignment="1">
      <alignment horizontal="center" vertical="center" wrapText="1"/>
    </xf>
    <xf numFmtId="168" fontId="0" fillId="0" borderId="0" xfId="0" applyNumberFormat="1" applyAlignment="1">
      <alignment horizontal="center" vertical="center" wrapText="1"/>
    </xf>
    <xf numFmtId="3" fontId="9" fillId="5" borderId="39" xfId="2" applyNumberFormat="1" applyFont="1" applyFill="1" applyBorder="1" applyAlignment="1">
      <alignment horizontal="center" vertical="center" wrapText="1"/>
    </xf>
    <xf numFmtId="3" fontId="12" fillId="25" borderId="14" xfId="4" applyNumberFormat="1" applyFont="1" applyFill="1" applyBorder="1" applyAlignment="1">
      <alignment horizontal="center" vertical="center" wrapText="1"/>
    </xf>
    <xf numFmtId="3" fontId="9" fillId="5" borderId="84" xfId="2" applyNumberFormat="1" applyFont="1" applyFill="1" applyBorder="1" applyAlignment="1">
      <alignment horizontal="center" vertical="center" wrapText="1"/>
    </xf>
    <xf numFmtId="165" fontId="9" fillId="5" borderId="65" xfId="2" applyNumberFormat="1" applyFont="1" applyFill="1" applyBorder="1" applyAlignment="1">
      <alignment horizontal="center" vertical="center" wrapText="1"/>
    </xf>
    <xf numFmtId="3" fontId="10" fillId="9" borderId="18" xfId="2" applyNumberFormat="1" applyFont="1" applyFill="1" applyBorder="1" applyAlignment="1">
      <alignment horizontal="center" vertical="center" wrapText="1"/>
    </xf>
    <xf numFmtId="3" fontId="10" fillId="9" borderId="19" xfId="2" applyNumberFormat="1" applyFont="1" applyFill="1" applyBorder="1" applyAlignment="1">
      <alignment horizontal="center" vertical="center" wrapText="1"/>
    </xf>
    <xf numFmtId="3" fontId="10" fillId="9" borderId="20" xfId="2" applyNumberFormat="1" applyFont="1" applyFill="1" applyBorder="1" applyAlignment="1">
      <alignment horizontal="center" vertical="center" wrapText="1"/>
    </xf>
    <xf numFmtId="3" fontId="10" fillId="9" borderId="15" xfId="2" applyNumberFormat="1" applyFont="1" applyFill="1" applyBorder="1" applyAlignment="1">
      <alignment horizontal="center" vertical="center" wrapText="1"/>
    </xf>
    <xf numFmtId="3" fontId="10" fillId="9" borderId="16" xfId="2" applyNumberFormat="1" applyFont="1" applyFill="1" applyBorder="1" applyAlignment="1">
      <alignment horizontal="center" vertical="center" wrapText="1"/>
    </xf>
    <xf numFmtId="3" fontId="10" fillId="9" borderId="17" xfId="2" applyNumberFormat="1" applyFont="1" applyFill="1" applyBorder="1" applyAlignment="1">
      <alignment horizontal="center" vertical="center" wrapText="1"/>
    </xf>
    <xf numFmtId="0" fontId="0" fillId="0" borderId="0" xfId="0" applyAlignment="1">
      <alignment horizontal="center" vertical="center" wrapText="1"/>
    </xf>
    <xf numFmtId="165" fontId="9" fillId="0" borderId="20" xfId="2" applyNumberFormat="1" applyFont="1" applyFill="1" applyBorder="1" applyAlignment="1">
      <alignment horizontal="center" vertical="center" wrapText="1"/>
    </xf>
    <xf numFmtId="164" fontId="11" fillId="2" borderId="29" xfId="4" applyFont="1" applyFill="1" applyBorder="1" applyAlignment="1">
      <alignment horizontal="center" vertical="center" wrapText="1"/>
    </xf>
    <xf numFmtId="164" fontId="11" fillId="2" borderId="86" xfId="4" applyFont="1" applyFill="1" applyBorder="1" applyAlignment="1">
      <alignment horizontal="center" vertical="center" wrapText="1"/>
    </xf>
    <xf numFmtId="164" fontId="11" fillId="2" borderId="71" xfId="4" applyFont="1" applyFill="1" applyBorder="1" applyAlignment="1">
      <alignment horizontal="center" vertical="center" wrapText="1"/>
    </xf>
    <xf numFmtId="3" fontId="12" fillId="24" borderId="88" xfId="2" applyNumberFormat="1" applyFont="1" applyFill="1" applyBorder="1" applyAlignment="1">
      <alignment horizontal="center" vertical="center" wrapText="1"/>
    </xf>
    <xf numFmtId="3" fontId="12" fillId="24" borderId="58" xfId="2" applyNumberFormat="1" applyFont="1" applyFill="1" applyBorder="1" applyAlignment="1">
      <alignment horizontal="center" vertical="center" wrapText="1"/>
    </xf>
    <xf numFmtId="3" fontId="12" fillId="25" borderId="57" xfId="4" applyNumberFormat="1" applyFont="1" applyFill="1" applyBorder="1" applyAlignment="1">
      <alignment horizontal="center" vertical="center" wrapText="1"/>
    </xf>
    <xf numFmtId="164" fontId="12" fillId="25" borderId="89" xfId="4" applyFont="1" applyFill="1" applyBorder="1" applyAlignment="1">
      <alignment horizontal="center" vertical="center" wrapText="1"/>
    </xf>
    <xf numFmtId="164" fontId="12" fillId="24" borderId="84" xfId="4" applyFont="1" applyFill="1" applyBorder="1" applyAlignment="1">
      <alignment horizontal="center" vertical="center" wrapText="1"/>
    </xf>
    <xf numFmtId="164" fontId="12" fillId="24" borderId="65" xfId="4" applyFont="1" applyFill="1" applyBorder="1" applyAlignment="1">
      <alignment horizontal="center" vertical="center" wrapText="1"/>
    </xf>
    <xf numFmtId="164" fontId="9" fillId="0" borderId="64" xfId="4" applyFont="1" applyBorder="1" applyAlignment="1">
      <alignment horizontal="center" vertical="center" wrapText="1"/>
    </xf>
    <xf numFmtId="41" fontId="13" fillId="0" borderId="27" xfId="1" applyFont="1" applyFill="1" applyBorder="1" applyAlignment="1">
      <alignment horizontal="center" vertical="center" wrapText="1"/>
    </xf>
    <xf numFmtId="169" fontId="13" fillId="0" borderId="85" xfId="1" applyNumberFormat="1" applyFont="1" applyFill="1" applyBorder="1" applyAlignment="1">
      <alignment horizontal="center" vertical="center" wrapText="1"/>
    </xf>
    <xf numFmtId="168" fontId="11" fillId="23" borderId="73" xfId="3" applyNumberFormat="1" applyFont="1" applyFill="1" applyBorder="1" applyAlignment="1">
      <alignment horizontal="center" vertical="center" wrapText="1"/>
    </xf>
    <xf numFmtId="164" fontId="11" fillId="0" borderId="48" xfId="4" applyFont="1" applyBorder="1" applyAlignment="1">
      <alignment horizontal="center" vertical="center" wrapText="1"/>
    </xf>
    <xf numFmtId="168" fontId="10" fillId="0" borderId="20" xfId="1" applyNumberFormat="1" applyFont="1" applyFill="1" applyBorder="1" applyAlignment="1">
      <alignment horizontal="center" vertical="center" wrapText="1"/>
    </xf>
    <xf numFmtId="168" fontId="10" fillId="0" borderId="63" xfId="3" applyNumberFormat="1" applyFont="1" applyFill="1" applyBorder="1" applyAlignment="1">
      <alignment horizontal="center" vertical="center" wrapText="1"/>
    </xf>
    <xf numFmtId="164" fontId="11" fillId="2" borderId="58" xfId="4" applyFont="1" applyFill="1" applyBorder="1" applyAlignment="1">
      <alignment horizontal="center" vertical="center" wrapText="1"/>
    </xf>
    <xf numFmtId="165" fontId="9" fillId="9" borderId="21" xfId="2" applyNumberFormat="1" applyFont="1" applyFill="1" applyBorder="1" applyAlignment="1">
      <alignment horizontal="center" vertical="center" wrapText="1"/>
    </xf>
    <xf numFmtId="3" fontId="12" fillId="24" borderId="42" xfId="2" applyNumberFormat="1" applyFont="1" applyFill="1" applyBorder="1" applyAlignment="1">
      <alignment horizontal="center" vertical="center" wrapText="1"/>
    </xf>
    <xf numFmtId="3" fontId="11" fillId="24" borderId="42" xfId="2" applyNumberFormat="1" applyFont="1" applyFill="1" applyBorder="1" applyAlignment="1">
      <alignment horizontal="center" vertical="center" wrapText="1"/>
    </xf>
    <xf numFmtId="3" fontId="12" fillId="24" borderId="43" xfId="2" applyNumberFormat="1" applyFont="1" applyFill="1" applyBorder="1" applyAlignment="1">
      <alignment horizontal="center" vertical="center" wrapText="1"/>
    </xf>
    <xf numFmtId="165" fontId="9" fillId="9" borderId="13" xfId="2" applyNumberFormat="1" applyFont="1" applyFill="1" applyBorder="1" applyAlignment="1">
      <alignment horizontal="center" vertical="center" wrapText="1"/>
    </xf>
    <xf numFmtId="165" fontId="9" fillId="9" borderId="22" xfId="2" applyNumberFormat="1" applyFont="1" applyFill="1" applyBorder="1" applyAlignment="1">
      <alignment horizontal="center" vertical="center" wrapText="1"/>
    </xf>
    <xf numFmtId="0" fontId="12" fillId="0" borderId="15" xfId="0" applyFont="1" applyBorder="1" applyAlignment="1">
      <alignment horizontal="center" vertical="center" wrapText="1"/>
    </xf>
    <xf numFmtId="0" fontId="12" fillId="0" borderId="17" xfId="0" applyFont="1" applyBorder="1" applyAlignment="1">
      <alignment horizontal="center" vertical="center" wrapText="1"/>
    </xf>
    <xf numFmtId="168" fontId="12" fillId="0" borderId="92" xfId="0" applyNumberFormat="1" applyFont="1" applyBorder="1" applyAlignment="1">
      <alignment horizontal="center" vertical="center" wrapText="1"/>
    </xf>
    <xf numFmtId="168" fontId="9" fillId="0" borderId="17" xfId="0" applyNumberFormat="1" applyFont="1" applyBorder="1" applyAlignment="1">
      <alignment horizontal="center" vertical="center" wrapText="1"/>
    </xf>
    <xf numFmtId="168" fontId="12" fillId="0" borderId="33" xfId="0" applyNumberFormat="1" applyFont="1" applyBorder="1" applyAlignment="1">
      <alignment horizontal="center" vertical="center" wrapText="1"/>
    </xf>
    <xf numFmtId="168" fontId="9" fillId="0" borderId="37" xfId="0" applyNumberFormat="1" applyFont="1" applyBorder="1" applyAlignment="1">
      <alignment horizontal="center" vertical="center" wrapText="1"/>
    </xf>
    <xf numFmtId="168" fontId="12" fillId="0" borderId="16" xfId="0" applyNumberFormat="1" applyFont="1" applyBorder="1" applyAlignment="1">
      <alignment horizontal="center" vertical="center" wrapText="1"/>
    </xf>
    <xf numFmtId="164" fontId="9" fillId="0" borderId="18" xfId="4" applyFont="1" applyBorder="1" applyAlignment="1">
      <alignment horizontal="center" vertical="center" wrapText="1"/>
    </xf>
    <xf numFmtId="41" fontId="13" fillId="0" borderId="19" xfId="1" applyFont="1" applyFill="1" applyBorder="1" applyAlignment="1">
      <alignment horizontal="center" vertical="center" wrapText="1"/>
    </xf>
    <xf numFmtId="164" fontId="9" fillId="0" borderId="23" xfId="4" applyFont="1" applyBorder="1" applyAlignment="1">
      <alignment horizontal="center" vertical="center" wrapText="1"/>
    </xf>
    <xf numFmtId="41" fontId="13" fillId="0" borderId="24" xfId="1" applyFont="1" applyFill="1" applyBorder="1" applyAlignment="1">
      <alignment horizontal="center" vertical="center" wrapText="1"/>
    </xf>
    <xf numFmtId="0" fontId="12" fillId="0" borderId="34" xfId="0" applyFont="1" applyBorder="1" applyAlignment="1">
      <alignment horizontal="center" vertical="center" wrapText="1"/>
    </xf>
    <xf numFmtId="0" fontId="12" fillId="0" borderId="36" xfId="0" applyFont="1" applyBorder="1" applyAlignment="1">
      <alignment horizontal="center" vertical="center" wrapText="1"/>
    </xf>
    <xf numFmtId="168" fontId="10" fillId="0" borderId="86" xfId="3" applyNumberFormat="1" applyFont="1" applyFill="1" applyBorder="1" applyAlignment="1">
      <alignment horizontal="center" vertical="center" wrapText="1"/>
    </xf>
    <xf numFmtId="168" fontId="10" fillId="0" borderId="72" xfId="1" applyNumberFormat="1" applyFont="1" applyFill="1" applyBorder="1" applyAlignment="1">
      <alignment horizontal="center" vertical="center" wrapText="1"/>
    </xf>
    <xf numFmtId="0" fontId="12" fillId="0" borderId="49" xfId="0" applyFont="1" applyBorder="1" applyAlignment="1">
      <alignment horizontal="center" vertical="center" wrapText="1"/>
    </xf>
    <xf numFmtId="0" fontId="12" fillId="0" borderId="42" xfId="0" applyFont="1" applyBorder="1" applyAlignment="1">
      <alignment horizontal="center" vertical="center" wrapText="1"/>
    </xf>
    <xf numFmtId="0" fontId="12" fillId="0" borderId="43"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6" fontId="9" fillId="0" borderId="16" xfId="0" applyNumberFormat="1" applyFont="1" applyBorder="1" applyAlignment="1">
      <alignment horizontal="center" vertical="center" wrapText="1"/>
    </xf>
    <xf numFmtId="9" fontId="9" fillId="0" borderId="16" xfId="0" applyNumberFormat="1" applyFont="1" applyBorder="1" applyAlignment="1">
      <alignment horizontal="center" vertical="center" wrapText="1"/>
    </xf>
    <xf numFmtId="6" fontId="9" fillId="0" borderId="17" xfId="0" applyNumberFormat="1" applyFont="1" applyBorder="1" applyAlignment="1">
      <alignment horizontal="center" vertical="center" wrapText="1"/>
    </xf>
    <xf numFmtId="0" fontId="9" fillId="0" borderId="70" xfId="0" applyFont="1" applyBorder="1" applyAlignment="1">
      <alignment horizontal="center" vertical="center" wrapText="1"/>
    </xf>
    <xf numFmtId="6" fontId="9" fillId="0" borderId="29" xfId="0" applyNumberFormat="1" applyFont="1" applyBorder="1" applyAlignment="1">
      <alignment horizontal="center" vertical="center" wrapText="1"/>
    </xf>
    <xf numFmtId="0" fontId="9" fillId="0" borderId="29" xfId="0" applyFont="1" applyBorder="1" applyAlignment="1">
      <alignment horizontal="center" vertical="center" wrapText="1"/>
    </xf>
    <xf numFmtId="9" fontId="9" fillId="0" borderId="29" xfId="0" applyNumberFormat="1" applyFont="1" applyBorder="1" applyAlignment="1">
      <alignment horizontal="center" vertical="center" wrapText="1"/>
    </xf>
    <xf numFmtId="6" fontId="9" fillId="0" borderId="72" xfId="0" applyNumberFormat="1" applyFont="1" applyBorder="1" applyAlignment="1">
      <alignment horizontal="center" vertical="center" wrapText="1"/>
    </xf>
    <xf numFmtId="6" fontId="9" fillId="0" borderId="19" xfId="0" applyNumberFormat="1" applyFont="1" applyBorder="1" applyAlignment="1">
      <alignment horizontal="center" vertical="center" wrapText="1"/>
    </xf>
    <xf numFmtId="0" fontId="9" fillId="0" borderId="19" xfId="0" applyFont="1" applyBorder="1" applyAlignment="1">
      <alignment horizontal="center" vertical="center" wrapText="1"/>
    </xf>
    <xf numFmtId="9" fontId="9" fillId="0" borderId="19" xfId="0" applyNumberFormat="1" applyFont="1" applyBorder="1" applyAlignment="1">
      <alignment horizontal="center" vertical="center" wrapText="1"/>
    </xf>
    <xf numFmtId="6" fontId="9" fillId="0" borderId="20" xfId="0" applyNumberFormat="1" applyFont="1" applyBorder="1" applyAlignment="1">
      <alignment horizontal="center" vertical="center" wrapText="1"/>
    </xf>
    <xf numFmtId="6" fontId="9" fillId="0" borderId="24" xfId="0" applyNumberFormat="1" applyFont="1" applyBorder="1" applyAlignment="1">
      <alignment horizontal="center" vertical="center" wrapText="1"/>
    </xf>
    <xf numFmtId="0" fontId="9" fillId="0" borderId="24" xfId="0" applyFont="1" applyBorder="1" applyAlignment="1">
      <alignment horizontal="center" vertical="center" wrapText="1"/>
    </xf>
    <xf numFmtId="9" fontId="9" fillId="0" borderId="24" xfId="0" applyNumberFormat="1" applyFont="1" applyBorder="1" applyAlignment="1">
      <alignment horizontal="center" vertical="center" wrapText="1"/>
    </xf>
    <xf numFmtId="6" fontId="9" fillId="0" borderId="25" xfId="0" applyNumberFormat="1" applyFont="1" applyBorder="1" applyAlignment="1">
      <alignment horizontal="center" vertical="center" wrapText="1"/>
    </xf>
    <xf numFmtId="9" fontId="9" fillId="0" borderId="0" xfId="0" applyNumberFormat="1" applyFont="1" applyAlignment="1">
      <alignment horizontal="center" vertical="center" wrapText="1"/>
    </xf>
    <xf numFmtId="6" fontId="9" fillId="0" borderId="0" xfId="0" applyNumberFormat="1" applyFont="1" applyAlignment="1">
      <alignment horizontal="center" vertical="center" wrapText="1"/>
    </xf>
    <xf numFmtId="0" fontId="9" fillId="0" borderId="0" xfId="0" applyFont="1" applyAlignment="1">
      <alignment horizontal="center" vertical="center" wrapText="1"/>
    </xf>
    <xf numFmtId="9" fontId="9" fillId="0" borderId="18" xfId="0" applyNumberFormat="1" applyFont="1" applyBorder="1" applyAlignment="1">
      <alignment horizontal="center" vertical="center" wrapText="1"/>
    </xf>
    <xf numFmtId="9" fontId="9" fillId="0" borderId="23" xfId="0" applyNumberFormat="1" applyFont="1" applyBorder="1" applyAlignment="1">
      <alignment horizontal="center" vertical="center" wrapText="1"/>
    </xf>
    <xf numFmtId="165" fontId="9" fillId="9" borderId="18" xfId="2" applyNumberFormat="1" applyFont="1" applyFill="1" applyBorder="1" applyAlignment="1">
      <alignment horizontal="center" vertical="center" wrapText="1"/>
    </xf>
    <xf numFmtId="169" fontId="13" fillId="0" borderId="13" xfId="1" applyNumberFormat="1" applyFont="1" applyBorder="1" applyAlignment="1">
      <alignment horizontal="center" vertical="center" wrapText="1"/>
    </xf>
    <xf numFmtId="41" fontId="13" fillId="0" borderId="19" xfId="1" applyFont="1" applyBorder="1" applyAlignment="1">
      <alignment horizontal="center" vertical="center" wrapText="1"/>
    </xf>
    <xf numFmtId="169" fontId="13" fillId="0" borderId="19" xfId="1" applyNumberFormat="1" applyFont="1" applyBorder="1" applyAlignment="1">
      <alignment horizontal="center" vertical="center" wrapText="1"/>
    </xf>
    <xf numFmtId="165" fontId="9" fillId="9" borderId="19" xfId="2" applyNumberFormat="1" applyFont="1" applyFill="1" applyBorder="1" applyAlignment="1">
      <alignment horizontal="center" vertical="center" wrapText="1"/>
    </xf>
    <xf numFmtId="165" fontId="9" fillId="9" borderId="20" xfId="2" applyNumberFormat="1" applyFont="1" applyFill="1" applyBorder="1" applyAlignment="1">
      <alignment horizontal="center" vertical="center" wrapText="1"/>
    </xf>
    <xf numFmtId="41" fontId="13" fillId="0" borderId="24" xfId="1" applyFont="1" applyBorder="1" applyAlignment="1">
      <alignment horizontal="center" vertical="center" wrapText="1"/>
    </xf>
    <xf numFmtId="169" fontId="13" fillId="0" borderId="24" xfId="1" applyNumberFormat="1" applyFont="1" applyBorder="1" applyAlignment="1">
      <alignment horizontal="center" vertical="center" wrapText="1"/>
    </xf>
    <xf numFmtId="0" fontId="9" fillId="0" borderId="0" xfId="0" applyFont="1" applyAlignment="1">
      <alignment horizontal="center" vertical="center"/>
    </xf>
    <xf numFmtId="6" fontId="9" fillId="0" borderId="0" xfId="0" applyNumberFormat="1" applyFont="1" applyAlignment="1">
      <alignment horizontal="center" vertical="center"/>
    </xf>
    <xf numFmtId="44" fontId="9" fillId="0" borderId="0" xfId="2" applyFont="1" applyAlignment="1">
      <alignment horizontal="center" vertical="center" wrapText="1"/>
    </xf>
    <xf numFmtId="44" fontId="9" fillId="0" borderId="0" xfId="0" applyNumberFormat="1" applyFont="1" applyAlignment="1">
      <alignment horizontal="center" vertical="center"/>
    </xf>
    <xf numFmtId="8" fontId="9" fillId="0" borderId="0" xfId="0" applyNumberFormat="1" applyFont="1" applyAlignment="1">
      <alignment horizontal="center" vertical="center"/>
    </xf>
    <xf numFmtId="0" fontId="9" fillId="0" borderId="57" xfId="0" applyFont="1" applyBorder="1" applyAlignment="1">
      <alignment horizontal="center" vertical="center" wrapText="1"/>
    </xf>
    <xf numFmtId="165" fontId="9" fillId="0" borderId="16" xfId="2" applyNumberFormat="1" applyFont="1" applyBorder="1" applyAlignment="1">
      <alignment horizontal="center" vertical="center" wrapText="1"/>
    </xf>
    <xf numFmtId="165" fontId="9" fillId="0" borderId="17" xfId="0" applyNumberFormat="1" applyFont="1" applyBorder="1" applyAlignment="1">
      <alignment horizontal="center" vertical="center" wrapText="1"/>
    </xf>
    <xf numFmtId="165" fontId="9" fillId="0" borderId="17" xfId="2" applyNumberFormat="1" applyFont="1" applyFill="1" applyBorder="1" applyAlignment="1">
      <alignment horizontal="center" vertical="center" wrapText="1"/>
    </xf>
    <xf numFmtId="165" fontId="11" fillId="0" borderId="14" xfId="2" applyNumberFormat="1" applyFont="1" applyFill="1" applyBorder="1" applyAlignment="1">
      <alignment horizontal="center" vertical="center" wrapText="1"/>
    </xf>
    <xf numFmtId="0" fontId="12" fillId="0" borderId="59" xfId="0" applyFont="1" applyBorder="1" applyAlignment="1">
      <alignment horizontal="center" vertical="center" wrapText="1"/>
    </xf>
    <xf numFmtId="3" fontId="12" fillId="0" borderId="47" xfId="0" applyNumberFormat="1" applyFont="1" applyBorder="1" applyAlignment="1">
      <alignment horizontal="center" vertical="center" wrapText="1"/>
    </xf>
    <xf numFmtId="9" fontId="12" fillId="0" borderId="47" xfId="0" applyNumberFormat="1" applyFont="1" applyBorder="1" applyAlignment="1">
      <alignment horizontal="center" vertical="center" wrapText="1"/>
    </xf>
    <xf numFmtId="10" fontId="9" fillId="0" borderId="0" xfId="3" applyNumberFormat="1" applyFont="1" applyAlignment="1">
      <alignment horizontal="center" vertical="center" wrapText="1"/>
    </xf>
    <xf numFmtId="170" fontId="9" fillId="0" borderId="0" xfId="3" applyNumberFormat="1" applyFont="1" applyAlignment="1">
      <alignment horizontal="center" vertical="center" wrapText="1"/>
    </xf>
    <xf numFmtId="168" fontId="9" fillId="0" borderId="0" xfId="0" applyNumberFormat="1" applyFont="1" applyAlignment="1">
      <alignment horizontal="center" vertical="center" wrapText="1"/>
    </xf>
    <xf numFmtId="2" fontId="9" fillId="0" borderId="0" xfId="3" applyNumberFormat="1" applyFont="1" applyAlignment="1">
      <alignment horizontal="center" vertical="center" wrapText="1"/>
    </xf>
    <xf numFmtId="0" fontId="9" fillId="13" borderId="35" xfId="0" applyFont="1" applyFill="1" applyBorder="1" applyAlignment="1">
      <alignment horizontal="center" vertical="center" wrapText="1"/>
    </xf>
    <xf numFmtId="3" fontId="9" fillId="13" borderId="45" xfId="0" applyNumberFormat="1" applyFont="1" applyFill="1" applyBorder="1" applyAlignment="1">
      <alignment horizontal="center" vertical="center"/>
    </xf>
    <xf numFmtId="10" fontId="9" fillId="13" borderId="35" xfId="3" applyNumberFormat="1" applyFont="1" applyFill="1" applyBorder="1" applyAlignment="1">
      <alignment horizontal="center" vertical="center"/>
    </xf>
    <xf numFmtId="168" fontId="9" fillId="13" borderId="52" xfId="0" applyNumberFormat="1" applyFont="1" applyFill="1" applyBorder="1" applyAlignment="1">
      <alignment horizontal="center" vertical="center" wrapText="1"/>
    </xf>
    <xf numFmtId="168" fontId="9" fillId="13" borderId="22" xfId="0" applyNumberFormat="1" applyFont="1" applyFill="1" applyBorder="1" applyAlignment="1">
      <alignment horizontal="center" vertical="center" wrapText="1"/>
    </xf>
    <xf numFmtId="0" fontId="9" fillId="30" borderId="45" xfId="0" applyFont="1" applyFill="1" applyBorder="1" applyAlignment="1">
      <alignment horizontal="center" vertical="center"/>
    </xf>
    <xf numFmtId="3" fontId="9" fillId="30" borderId="45" xfId="0" applyNumberFormat="1" applyFont="1" applyFill="1" applyBorder="1" applyAlignment="1">
      <alignment horizontal="center" vertical="center"/>
    </xf>
    <xf numFmtId="10" fontId="9" fillId="30" borderId="35" xfId="3" applyNumberFormat="1" applyFont="1" applyFill="1" applyBorder="1" applyAlignment="1">
      <alignment horizontal="center" vertical="center"/>
    </xf>
    <xf numFmtId="168" fontId="9" fillId="30" borderId="52" xfId="0" applyNumberFormat="1" applyFont="1" applyFill="1" applyBorder="1" applyAlignment="1">
      <alignment horizontal="center" vertical="center" wrapText="1"/>
    </xf>
    <xf numFmtId="168" fontId="9" fillId="30" borderId="22" xfId="0" applyNumberFormat="1" applyFont="1" applyFill="1" applyBorder="1" applyAlignment="1">
      <alignment horizontal="center" vertical="center" wrapText="1"/>
    </xf>
    <xf numFmtId="0" fontId="9" fillId="5" borderId="51" xfId="0" applyFont="1" applyFill="1" applyBorder="1" applyAlignment="1">
      <alignment horizontal="center" vertical="center"/>
    </xf>
    <xf numFmtId="3" fontId="9" fillId="5" borderId="51" xfId="0" applyNumberFormat="1" applyFont="1" applyFill="1" applyBorder="1" applyAlignment="1">
      <alignment horizontal="center" vertical="center"/>
    </xf>
    <xf numFmtId="10" fontId="9" fillId="5" borderId="36" xfId="3" applyNumberFormat="1" applyFont="1" applyFill="1" applyBorder="1" applyAlignment="1">
      <alignment horizontal="center" vertical="center"/>
    </xf>
    <xf numFmtId="168" fontId="9" fillId="5" borderId="54" xfId="0" applyNumberFormat="1" applyFont="1" applyFill="1" applyBorder="1" applyAlignment="1">
      <alignment horizontal="center" vertical="center" wrapText="1"/>
    </xf>
    <xf numFmtId="168" fontId="9" fillId="5" borderId="25" xfId="0" applyNumberFormat="1" applyFont="1" applyFill="1" applyBorder="1" applyAlignment="1">
      <alignment horizontal="center" vertical="center" wrapText="1"/>
    </xf>
    <xf numFmtId="168" fontId="9" fillId="0" borderId="0" xfId="3" applyNumberFormat="1" applyFont="1" applyAlignment="1">
      <alignment horizontal="center" vertical="center" wrapText="1"/>
    </xf>
    <xf numFmtId="168" fontId="9" fillId="0" borderId="0" xfId="0" applyNumberFormat="1" applyFont="1"/>
    <xf numFmtId="0" fontId="9" fillId="0" borderId="0" xfId="0" applyFont="1" applyAlignment="1">
      <alignment vertical="center" textRotation="90" wrapText="1"/>
    </xf>
    <xf numFmtId="0" fontId="12" fillId="0" borderId="70" xfId="0" applyFont="1" applyBorder="1" applyAlignment="1">
      <alignment horizontal="center" vertical="center" wrapText="1"/>
    </xf>
    <xf numFmtId="168" fontId="12" fillId="0" borderId="72" xfId="0" applyNumberFormat="1" applyFont="1" applyBorder="1" applyAlignment="1">
      <alignment horizontal="center" vertical="center" wrapText="1"/>
    </xf>
    <xf numFmtId="0" fontId="12" fillId="29" borderId="42" xfId="0" applyFont="1" applyFill="1" applyBorder="1" applyAlignment="1">
      <alignment horizontal="center" vertical="center" wrapText="1"/>
    </xf>
    <xf numFmtId="168" fontId="12" fillId="29" borderId="43" xfId="0" applyNumberFormat="1" applyFont="1" applyFill="1" applyBorder="1" applyAlignment="1">
      <alignment horizontal="center" vertical="center" wrapText="1"/>
    </xf>
    <xf numFmtId="168" fontId="12" fillId="0" borderId="43" xfId="0" applyNumberFormat="1" applyFont="1" applyBorder="1" applyAlignment="1">
      <alignment horizontal="center" vertical="center" wrapText="1"/>
    </xf>
    <xf numFmtId="0" fontId="12" fillId="22" borderId="16" xfId="0" applyFont="1" applyFill="1" applyBorder="1" applyAlignment="1">
      <alignment horizontal="center" vertical="center" wrapText="1"/>
    </xf>
    <xf numFmtId="168" fontId="12" fillId="22" borderId="17" xfId="0" applyNumberFormat="1" applyFont="1" applyFill="1" applyBorder="1" applyAlignment="1">
      <alignment horizontal="center" vertical="center" wrapText="1"/>
    </xf>
    <xf numFmtId="175" fontId="9" fillId="0" borderId="0" xfId="0" applyNumberFormat="1" applyFont="1"/>
    <xf numFmtId="0" fontId="12" fillId="0" borderId="0" xfId="0" applyFont="1" applyAlignment="1">
      <alignment horizontal="center" vertical="center" wrapText="1"/>
    </xf>
    <xf numFmtId="168" fontId="12" fillId="0" borderId="0" xfId="0" applyNumberFormat="1" applyFont="1" applyAlignment="1">
      <alignment horizontal="center" vertical="center" wrapText="1"/>
    </xf>
    <xf numFmtId="0" fontId="12" fillId="0" borderId="21" xfId="0" applyFont="1" applyBorder="1" applyAlignment="1">
      <alignment horizontal="center" vertical="center" wrapText="1"/>
    </xf>
    <xf numFmtId="0" fontId="12" fillId="0" borderId="13" xfId="0" applyFont="1" applyBorder="1" applyAlignment="1">
      <alignment horizontal="center" vertical="center" wrapText="1"/>
    </xf>
    <xf numFmtId="0" fontId="9" fillId="0" borderId="49" xfId="0" applyFont="1" applyBorder="1" applyAlignment="1">
      <alignment horizontal="center" vertical="center"/>
    </xf>
    <xf numFmtId="0" fontId="9" fillId="0" borderId="43" xfId="0" applyFont="1" applyBorder="1" applyAlignment="1">
      <alignment horizontal="center" vertical="center"/>
    </xf>
    <xf numFmtId="0" fontId="9" fillId="0" borderId="18" xfId="0" applyFont="1" applyBorder="1" applyAlignment="1">
      <alignment horizontal="left" vertical="center"/>
    </xf>
    <xf numFmtId="165" fontId="9" fillId="0" borderId="20" xfId="2" applyNumberFormat="1" applyFont="1" applyBorder="1"/>
    <xf numFmtId="0" fontId="9" fillId="0" borderId="21" xfId="0" applyFont="1" applyBorder="1" applyAlignment="1">
      <alignment horizontal="left" vertical="center"/>
    </xf>
    <xf numFmtId="165" fontId="9" fillId="0" borderId="22" xfId="2" applyNumberFormat="1" applyFont="1" applyBorder="1"/>
    <xf numFmtId="0" fontId="12" fillId="0" borderId="18" xfId="0" applyFont="1" applyBorder="1" applyAlignment="1">
      <alignment horizontal="center" vertical="center" wrapText="1"/>
    </xf>
    <xf numFmtId="0" fontId="9" fillId="0" borderId="64" xfId="0" applyFont="1" applyBorder="1" applyAlignment="1">
      <alignment horizontal="left" vertical="center"/>
    </xf>
    <xf numFmtId="165" fontId="9" fillId="0" borderId="85" xfId="2" applyNumberFormat="1" applyFont="1" applyBorder="1"/>
    <xf numFmtId="0" fontId="9" fillId="22" borderId="25" xfId="0" applyFont="1" applyFill="1" applyBorder="1" applyAlignment="1">
      <alignment horizontal="center" vertical="center" wrapText="1"/>
    </xf>
    <xf numFmtId="0" fontId="9" fillId="27" borderId="15" xfId="0" applyFont="1" applyFill="1" applyBorder="1" applyAlignment="1">
      <alignment horizontal="left" vertical="center"/>
    </xf>
    <xf numFmtId="165" fontId="9" fillId="27" borderId="17" xfId="0" applyNumberFormat="1" applyFont="1" applyFill="1" applyBorder="1"/>
    <xf numFmtId="0" fontId="9" fillId="0" borderId="49" xfId="0" applyFont="1" applyBorder="1"/>
    <xf numFmtId="0" fontId="9" fillId="0" borderId="18" xfId="0" applyFont="1" applyBorder="1"/>
    <xf numFmtId="0" fontId="9" fillId="27" borderId="15" xfId="0" applyFont="1" applyFill="1" applyBorder="1"/>
    <xf numFmtId="2" fontId="9" fillId="22" borderId="23" xfId="0" applyNumberFormat="1" applyFont="1" applyFill="1" applyBorder="1" applyAlignment="1">
      <alignment horizontal="center" vertical="center" wrapText="1"/>
    </xf>
    <xf numFmtId="165" fontId="9" fillId="0" borderId="0" xfId="0" applyNumberFormat="1" applyFont="1"/>
    <xf numFmtId="2" fontId="9" fillId="0" borderId="0" xfId="0" applyNumberFormat="1" applyFont="1"/>
    <xf numFmtId="164" fontId="10" fillId="0" borderId="0" xfId="4" applyFont="1" applyAlignment="1">
      <alignment horizontal="center" vertical="center"/>
    </xf>
    <xf numFmtId="164" fontId="11" fillId="11" borderId="14" xfId="4" applyFont="1" applyFill="1" applyBorder="1" applyAlignment="1">
      <alignment horizontal="center" vertical="center" wrapText="1"/>
    </xf>
    <xf numFmtId="164" fontId="11" fillId="12" borderId="56" xfId="4" applyFont="1" applyFill="1" applyBorder="1" applyAlignment="1">
      <alignment horizontal="center" vertical="center" wrapText="1"/>
    </xf>
    <xf numFmtId="164" fontId="11" fillId="12" borderId="14" xfId="4" applyFont="1" applyFill="1" applyBorder="1" applyAlignment="1">
      <alignment horizontal="center" vertical="center" wrapText="1"/>
    </xf>
    <xf numFmtId="164" fontId="11" fillId="13" borderId="53" xfId="4" applyFont="1" applyFill="1" applyBorder="1" applyAlignment="1">
      <alignment horizontal="center" vertical="center" wrapText="1"/>
    </xf>
    <xf numFmtId="164" fontId="11" fillId="13" borderId="14" xfId="4" applyFont="1" applyFill="1" applyBorder="1" applyAlignment="1">
      <alignment horizontal="center" vertical="center" wrapText="1"/>
    </xf>
    <xf numFmtId="164" fontId="11" fillId="14" borderId="53" xfId="4" applyFont="1" applyFill="1" applyBorder="1" applyAlignment="1">
      <alignment horizontal="center" vertical="center" wrapText="1"/>
    </xf>
    <xf numFmtId="164" fontId="11" fillId="14" borderId="14" xfId="4" applyFont="1" applyFill="1" applyBorder="1" applyAlignment="1">
      <alignment horizontal="center" vertical="center" wrapText="1"/>
    </xf>
    <xf numFmtId="164" fontId="11" fillId="15" borderId="53" xfId="4" applyFont="1" applyFill="1" applyBorder="1" applyAlignment="1">
      <alignment horizontal="center" vertical="center" wrapText="1"/>
    </xf>
    <xf numFmtId="164" fontId="11" fillId="15" borderId="14" xfId="4" applyFont="1" applyFill="1" applyBorder="1" applyAlignment="1">
      <alignment horizontal="center" vertical="center" wrapText="1"/>
    </xf>
    <xf numFmtId="164" fontId="11" fillId="16" borderId="53" xfId="4" applyFont="1" applyFill="1" applyBorder="1" applyAlignment="1">
      <alignment horizontal="center" vertical="center" wrapText="1"/>
    </xf>
    <xf numFmtId="164" fontId="11" fillId="16" borderId="14" xfId="4" applyFont="1" applyFill="1" applyBorder="1" applyAlignment="1">
      <alignment horizontal="center" vertical="center" wrapText="1"/>
    </xf>
    <xf numFmtId="164" fontId="11" fillId="17" borderId="53" xfId="4" applyFont="1" applyFill="1" applyBorder="1" applyAlignment="1">
      <alignment horizontal="center" vertical="center" wrapText="1"/>
    </xf>
    <xf numFmtId="164" fontId="11" fillId="17" borderId="14" xfId="4" applyFont="1" applyFill="1" applyBorder="1" applyAlignment="1">
      <alignment horizontal="center" vertical="center" wrapText="1"/>
    </xf>
    <xf numFmtId="164" fontId="11" fillId="0" borderId="53" xfId="4" applyFont="1" applyBorder="1" applyAlignment="1">
      <alignment horizontal="center" vertical="center" wrapText="1"/>
    </xf>
    <xf numFmtId="164" fontId="11" fillId="18" borderId="53" xfId="4" applyFont="1" applyFill="1" applyBorder="1" applyAlignment="1">
      <alignment horizontal="center" vertical="center" wrapText="1"/>
    </xf>
    <xf numFmtId="164" fontId="11" fillId="18" borderId="14" xfId="4" applyFont="1" applyFill="1" applyBorder="1" applyAlignment="1">
      <alignment horizontal="center" vertical="center" wrapText="1"/>
    </xf>
    <xf numFmtId="164" fontId="11" fillId="19" borderId="53" xfId="4" applyFont="1" applyFill="1" applyBorder="1" applyAlignment="1">
      <alignment horizontal="center" vertical="center" wrapText="1"/>
    </xf>
    <xf numFmtId="164" fontId="11" fillId="19" borderId="14" xfId="4" applyFont="1" applyFill="1" applyBorder="1" applyAlignment="1">
      <alignment horizontal="center" vertical="center" wrapText="1"/>
    </xf>
    <xf numFmtId="164" fontId="11" fillId="20" borderId="53" xfId="4" applyFont="1" applyFill="1" applyBorder="1" applyAlignment="1">
      <alignment horizontal="center" vertical="center" wrapText="1"/>
    </xf>
    <xf numFmtId="164" fontId="11" fillId="20" borderId="14" xfId="4" applyFont="1" applyFill="1" applyBorder="1" applyAlignment="1">
      <alignment horizontal="center" vertical="center" wrapText="1"/>
    </xf>
    <xf numFmtId="164" fontId="11" fillId="21" borderId="53" xfId="4" applyFont="1" applyFill="1" applyBorder="1" applyAlignment="1">
      <alignment horizontal="center" vertical="center" wrapText="1"/>
    </xf>
    <xf numFmtId="164" fontId="11" fillId="21" borderId="14" xfId="4" applyFont="1" applyFill="1" applyBorder="1" applyAlignment="1">
      <alignment horizontal="center" vertical="center" wrapText="1"/>
    </xf>
    <xf numFmtId="164" fontId="10" fillId="0" borderId="56" xfId="4" applyFont="1" applyBorder="1" applyAlignment="1">
      <alignment horizontal="center" vertical="center" wrapText="1"/>
    </xf>
    <xf numFmtId="3" fontId="9" fillId="0" borderId="14" xfId="0" applyNumberFormat="1" applyFont="1" applyBorder="1" applyAlignment="1">
      <alignment horizontal="center" vertical="center" wrapText="1"/>
    </xf>
    <xf numFmtId="169" fontId="9" fillId="0" borderId="14" xfId="0" applyNumberFormat="1" applyFont="1" applyBorder="1" applyAlignment="1">
      <alignment horizontal="center" vertical="center" wrapText="1"/>
    </xf>
    <xf numFmtId="3" fontId="9" fillId="11" borderId="14" xfId="0" applyNumberFormat="1" applyFont="1" applyFill="1" applyBorder="1" applyAlignment="1">
      <alignment horizontal="center" vertical="center" wrapText="1"/>
    </xf>
    <xf numFmtId="3" fontId="9" fillId="12" borderId="56" xfId="0" applyNumberFormat="1" applyFont="1" applyFill="1" applyBorder="1" applyAlignment="1">
      <alignment horizontal="center" vertical="center" wrapText="1"/>
    </xf>
    <xf numFmtId="3" fontId="9" fillId="12" borderId="14" xfId="0" applyNumberFormat="1" applyFont="1" applyFill="1" applyBorder="1" applyAlignment="1">
      <alignment horizontal="center" vertical="center" wrapText="1"/>
    </xf>
    <xf numFmtId="3" fontId="9" fillId="13" borderId="53" xfId="0" applyNumberFormat="1" applyFont="1" applyFill="1" applyBorder="1" applyAlignment="1">
      <alignment horizontal="center" vertical="center" wrapText="1"/>
    </xf>
    <xf numFmtId="3" fontId="9" fillId="13" borderId="14" xfId="0" applyNumberFormat="1" applyFont="1" applyFill="1" applyBorder="1" applyAlignment="1">
      <alignment horizontal="center" vertical="center" wrapText="1"/>
    </xf>
    <xf numFmtId="3" fontId="9" fillId="14" borderId="53" xfId="0" applyNumberFormat="1" applyFont="1" applyFill="1" applyBorder="1" applyAlignment="1">
      <alignment horizontal="center" vertical="center" wrapText="1"/>
    </xf>
    <xf numFmtId="3" fontId="9" fillId="14" borderId="14" xfId="0" applyNumberFormat="1" applyFont="1" applyFill="1" applyBorder="1" applyAlignment="1">
      <alignment horizontal="center" vertical="center" wrapText="1"/>
    </xf>
    <xf numFmtId="3" fontId="9" fillId="15" borderId="53" xfId="0" applyNumberFormat="1" applyFont="1" applyFill="1" applyBorder="1" applyAlignment="1">
      <alignment horizontal="center" vertical="center" wrapText="1"/>
    </xf>
    <xf numFmtId="3" fontId="9" fillId="15" borderId="14" xfId="0" applyNumberFormat="1" applyFont="1" applyFill="1" applyBorder="1" applyAlignment="1">
      <alignment horizontal="center" vertical="center" wrapText="1"/>
    </xf>
    <xf numFmtId="3" fontId="9" fillId="16" borderId="53" xfId="0" applyNumberFormat="1" applyFont="1" applyFill="1" applyBorder="1" applyAlignment="1">
      <alignment horizontal="center" vertical="center" wrapText="1"/>
    </xf>
    <xf numFmtId="3" fontId="9" fillId="16" borderId="14" xfId="0" applyNumberFormat="1" applyFont="1" applyFill="1" applyBorder="1" applyAlignment="1">
      <alignment horizontal="center" vertical="center" wrapText="1"/>
    </xf>
    <xf numFmtId="3" fontId="9" fillId="17" borderId="53" xfId="0" applyNumberFormat="1" applyFont="1" applyFill="1" applyBorder="1" applyAlignment="1">
      <alignment horizontal="center" vertical="center" wrapText="1"/>
    </xf>
    <xf numFmtId="3" fontId="9" fillId="17" borderId="14" xfId="0" applyNumberFormat="1" applyFont="1" applyFill="1" applyBorder="1" applyAlignment="1">
      <alignment horizontal="center" vertical="center" wrapText="1"/>
    </xf>
    <xf numFmtId="3" fontId="9" fillId="0" borderId="53" xfId="0" applyNumberFormat="1" applyFont="1" applyBorder="1" applyAlignment="1">
      <alignment horizontal="center" vertical="center" wrapText="1"/>
    </xf>
    <xf numFmtId="3" fontId="9" fillId="18" borderId="53" xfId="0" applyNumberFormat="1" applyFont="1" applyFill="1" applyBorder="1" applyAlignment="1">
      <alignment horizontal="center" vertical="center" wrapText="1"/>
    </xf>
    <xf numFmtId="3" fontId="9" fillId="18" borderId="14" xfId="0" applyNumberFormat="1" applyFont="1" applyFill="1" applyBorder="1" applyAlignment="1">
      <alignment horizontal="center" vertical="center" wrapText="1"/>
    </xf>
    <xf numFmtId="3" fontId="9" fillId="19" borderId="53" xfId="0" applyNumberFormat="1" applyFont="1" applyFill="1" applyBorder="1" applyAlignment="1">
      <alignment horizontal="center" vertical="center" wrapText="1"/>
    </xf>
    <xf numFmtId="3" fontId="9" fillId="19" borderId="14" xfId="0" applyNumberFormat="1" applyFont="1" applyFill="1" applyBorder="1" applyAlignment="1">
      <alignment horizontal="center" vertical="center" wrapText="1"/>
    </xf>
    <xf numFmtId="3" fontId="9" fillId="20" borderId="53" xfId="0" applyNumberFormat="1" applyFont="1" applyFill="1" applyBorder="1" applyAlignment="1">
      <alignment horizontal="center" vertical="center" wrapText="1"/>
    </xf>
    <xf numFmtId="3" fontId="9" fillId="20" borderId="14" xfId="0" applyNumberFormat="1" applyFont="1" applyFill="1" applyBorder="1" applyAlignment="1">
      <alignment horizontal="center" vertical="center" wrapText="1"/>
    </xf>
    <xf numFmtId="3" fontId="9" fillId="21" borderId="53" xfId="0" applyNumberFormat="1" applyFont="1" applyFill="1" applyBorder="1" applyAlignment="1">
      <alignment horizontal="center" vertical="center" wrapText="1"/>
    </xf>
    <xf numFmtId="3" fontId="9" fillId="21" borderId="14" xfId="0" applyNumberFormat="1" applyFont="1" applyFill="1" applyBorder="1" applyAlignment="1">
      <alignment horizontal="center" vertical="center" wrapText="1"/>
    </xf>
    <xf numFmtId="0" fontId="12" fillId="0" borderId="44" xfId="0" applyFont="1" applyBorder="1" applyAlignment="1">
      <alignment horizontal="center" vertical="center" textRotation="90" wrapText="1"/>
    </xf>
    <xf numFmtId="0" fontId="9" fillId="10" borderId="14" xfId="0" applyFont="1" applyFill="1" applyBorder="1" applyAlignment="1">
      <alignment horizontal="center" vertical="center" wrapText="1"/>
    </xf>
    <xf numFmtId="3" fontId="9" fillId="10" borderId="14" xfId="0" applyNumberFormat="1" applyFont="1" applyFill="1" applyBorder="1" applyAlignment="1">
      <alignment horizontal="center" vertical="center"/>
    </xf>
    <xf numFmtId="9" fontId="9" fillId="10" borderId="14" xfId="3" applyFont="1" applyFill="1" applyBorder="1" applyAlignment="1">
      <alignment horizontal="center" vertical="center"/>
    </xf>
    <xf numFmtId="168" fontId="9" fillId="10" borderId="15" xfId="0" applyNumberFormat="1" applyFont="1" applyFill="1" applyBorder="1" applyAlignment="1">
      <alignment horizontal="center" vertical="center" wrapText="1"/>
    </xf>
    <xf numFmtId="168" fontId="9" fillId="10" borderId="17" xfId="0" applyNumberFormat="1" applyFont="1" applyFill="1" applyBorder="1" applyAlignment="1">
      <alignment horizontal="center" vertical="center" wrapText="1"/>
    </xf>
    <xf numFmtId="3" fontId="9" fillId="10" borderId="47" xfId="0" applyNumberFormat="1" applyFont="1" applyFill="1" applyBorder="1" applyAlignment="1">
      <alignment horizontal="center" vertical="center"/>
    </xf>
    <xf numFmtId="0" fontId="12" fillId="11" borderId="0" xfId="0" applyFont="1" applyFill="1" applyAlignment="1">
      <alignment vertical="center" wrapText="1"/>
    </xf>
    <xf numFmtId="3" fontId="12" fillId="11" borderId="14" xfId="0" applyNumberFormat="1" applyFont="1" applyFill="1" applyBorder="1" applyAlignment="1">
      <alignment horizontal="center" vertical="center" wrapText="1"/>
    </xf>
    <xf numFmtId="0" fontId="12" fillId="0" borderId="58" xfId="0" applyFont="1" applyBorder="1" applyAlignment="1">
      <alignment horizontal="center" vertical="center" wrapText="1"/>
    </xf>
    <xf numFmtId="3" fontId="12" fillId="0" borderId="14" xfId="0" applyNumberFormat="1" applyFont="1" applyBorder="1" applyAlignment="1">
      <alignment horizontal="center" vertical="center" wrapText="1"/>
    </xf>
    <xf numFmtId="0" fontId="9" fillId="0" borderId="34" xfId="0" applyFont="1" applyBorder="1" applyAlignment="1">
      <alignment horizontal="center" vertical="center" wrapText="1"/>
    </xf>
    <xf numFmtId="3" fontId="9" fillId="0" borderId="34" xfId="0" applyNumberFormat="1" applyFont="1" applyBorder="1" applyAlignment="1">
      <alignment horizontal="center" vertical="center"/>
    </xf>
    <xf numFmtId="10" fontId="9" fillId="8" borderId="34" xfId="3" applyNumberFormat="1" applyFont="1" applyFill="1" applyBorder="1" applyAlignment="1">
      <alignment horizontal="center" vertical="center"/>
    </xf>
    <xf numFmtId="168" fontId="9" fillId="0" borderId="18" xfId="0" applyNumberFormat="1" applyFont="1" applyBorder="1" applyAlignment="1">
      <alignment horizontal="center" vertical="center" wrapText="1"/>
    </xf>
    <xf numFmtId="168" fontId="9" fillId="0" borderId="20" xfId="0" applyNumberFormat="1" applyFont="1" applyBorder="1" applyAlignment="1">
      <alignment horizontal="center" vertical="center" wrapText="1"/>
    </xf>
    <xf numFmtId="0" fontId="9" fillId="0" borderId="44" xfId="0" applyFont="1" applyBorder="1" applyAlignment="1">
      <alignment horizontal="center" vertical="center" wrapText="1"/>
    </xf>
    <xf numFmtId="10" fontId="9" fillId="8" borderId="32" xfId="3" applyNumberFormat="1" applyFont="1" applyFill="1" applyBorder="1" applyAlignment="1">
      <alignment horizontal="center" vertical="center"/>
    </xf>
    <xf numFmtId="0" fontId="12" fillId="11" borderId="14" xfId="0" applyFont="1" applyFill="1" applyBorder="1" applyAlignment="1">
      <alignment horizontal="center" vertical="center" wrapText="1"/>
    </xf>
    <xf numFmtId="0" fontId="12" fillId="11" borderId="62" xfId="0" applyFont="1" applyFill="1" applyBorder="1" applyAlignment="1">
      <alignment horizontal="center" vertical="center" wrapText="1"/>
    </xf>
    <xf numFmtId="0" fontId="12" fillId="0" borderId="47" xfId="0" applyFont="1" applyBorder="1" applyAlignment="1">
      <alignment horizontal="center" vertical="center" wrapText="1"/>
    </xf>
    <xf numFmtId="0" fontId="12" fillId="0" borderId="30" xfId="0" applyFont="1" applyBorder="1" applyAlignment="1">
      <alignment horizontal="center" vertical="center" wrapText="1"/>
    </xf>
    <xf numFmtId="0" fontId="9" fillId="0" borderId="35" xfId="0" applyFont="1" applyBorder="1" applyAlignment="1">
      <alignment horizontal="center" vertical="center" wrapText="1"/>
    </xf>
    <xf numFmtId="3" fontId="9" fillId="0" borderId="35" xfId="0" applyNumberFormat="1" applyFont="1" applyBorder="1" applyAlignment="1">
      <alignment horizontal="center" vertical="center"/>
    </xf>
    <xf numFmtId="10" fontId="9" fillId="8" borderId="35" xfId="3" applyNumberFormat="1" applyFont="1" applyFill="1" applyBorder="1" applyAlignment="1">
      <alignment horizontal="center" vertical="center"/>
    </xf>
    <xf numFmtId="168" fontId="9" fillId="0" borderId="21" xfId="0" applyNumberFormat="1" applyFont="1" applyBorder="1" applyAlignment="1">
      <alignment horizontal="center" vertical="center" wrapText="1"/>
    </xf>
    <xf numFmtId="168" fontId="9" fillId="0" borderId="22" xfId="0" applyNumberFormat="1" applyFont="1" applyBorder="1" applyAlignment="1">
      <alignment horizontal="center" vertical="center" wrapText="1"/>
    </xf>
    <xf numFmtId="10" fontId="9" fillId="8" borderId="83" xfId="3" applyNumberFormat="1" applyFont="1" applyFill="1" applyBorder="1" applyAlignment="1">
      <alignment horizontal="center" vertical="center"/>
    </xf>
    <xf numFmtId="10" fontId="9" fillId="11" borderId="18" xfId="3" applyNumberFormat="1" applyFont="1" applyFill="1" applyBorder="1" applyAlignment="1">
      <alignment horizontal="center" vertical="center" wrapText="1"/>
    </xf>
    <xf numFmtId="3" fontId="9" fillId="11" borderId="31" xfId="0" applyNumberFormat="1" applyFont="1" applyFill="1" applyBorder="1" applyAlignment="1">
      <alignment horizontal="center" vertical="center" wrapText="1"/>
    </xf>
    <xf numFmtId="10" fontId="9" fillId="0" borderId="18" xfId="3" applyNumberFormat="1" applyFont="1" applyBorder="1" applyAlignment="1">
      <alignment horizontal="center" vertical="center" wrapText="1"/>
    </xf>
    <xf numFmtId="3" fontId="12" fillId="0" borderId="31" xfId="0" applyNumberFormat="1" applyFont="1" applyBorder="1" applyAlignment="1">
      <alignment horizontal="center" vertical="center" wrapText="1"/>
    </xf>
    <xf numFmtId="10" fontId="9" fillId="0" borderId="39" xfId="3" applyNumberFormat="1" applyFont="1" applyBorder="1" applyAlignment="1">
      <alignment horizontal="center" vertical="center" wrapText="1"/>
    </xf>
    <xf numFmtId="3" fontId="12" fillId="0" borderId="55" xfId="0" applyNumberFormat="1" applyFont="1" applyBorder="1" applyAlignment="1">
      <alignment horizontal="center" vertical="center" wrapText="1"/>
    </xf>
    <xf numFmtId="170" fontId="9" fillId="0" borderId="18" xfId="3" applyNumberFormat="1" applyFont="1" applyBorder="1" applyAlignment="1">
      <alignment horizontal="center" vertical="center" wrapText="1"/>
    </xf>
    <xf numFmtId="3" fontId="12" fillId="0" borderId="20" xfId="0" applyNumberFormat="1" applyFont="1" applyBorder="1" applyAlignment="1">
      <alignment horizontal="center" vertical="center" wrapText="1"/>
    </xf>
    <xf numFmtId="0" fontId="9" fillId="0" borderId="35" xfId="0" applyFont="1" applyBorder="1" applyAlignment="1">
      <alignment horizontal="center" vertical="center"/>
    </xf>
    <xf numFmtId="0" fontId="9" fillId="0" borderId="45" xfId="0" applyFont="1" applyBorder="1" applyAlignment="1">
      <alignment horizontal="center" vertical="center"/>
    </xf>
    <xf numFmtId="10" fontId="9" fillId="11" borderId="21" xfId="3" applyNumberFormat="1" applyFont="1" applyFill="1" applyBorder="1" applyAlignment="1">
      <alignment horizontal="center" vertical="center" wrapText="1"/>
    </xf>
    <xf numFmtId="3" fontId="9" fillId="11" borderId="26" xfId="0" applyNumberFormat="1" applyFont="1" applyFill="1" applyBorder="1" applyAlignment="1">
      <alignment horizontal="center" vertical="center" wrapText="1"/>
    </xf>
    <xf numFmtId="10" fontId="9" fillId="0" borderId="21" xfId="3" applyNumberFormat="1" applyFont="1" applyBorder="1" applyAlignment="1">
      <alignment horizontal="center" vertical="center" wrapText="1"/>
    </xf>
    <xf numFmtId="3" fontId="12" fillId="0" borderId="26" xfId="0" applyNumberFormat="1" applyFont="1" applyBorder="1" applyAlignment="1">
      <alignment horizontal="center" vertical="center" wrapText="1"/>
    </xf>
    <xf numFmtId="3" fontId="12" fillId="0" borderId="22" xfId="0" applyNumberFormat="1" applyFont="1" applyBorder="1" applyAlignment="1">
      <alignment horizontal="center" vertical="center" wrapText="1"/>
    </xf>
    <xf numFmtId="0" fontId="9" fillId="0" borderId="36" xfId="0" applyFont="1" applyBorder="1" applyAlignment="1">
      <alignment horizontal="center" vertical="center"/>
    </xf>
    <xf numFmtId="3" fontId="9" fillId="0" borderId="36" xfId="0" applyNumberFormat="1" applyFont="1" applyBorder="1" applyAlignment="1">
      <alignment horizontal="center" vertical="center"/>
    </xf>
    <xf numFmtId="10" fontId="9" fillId="8" borderId="36" xfId="3" applyNumberFormat="1" applyFont="1" applyFill="1" applyBorder="1" applyAlignment="1">
      <alignment horizontal="center" vertical="center"/>
    </xf>
    <xf numFmtId="168" fontId="9" fillId="0" borderId="23" xfId="0" applyNumberFormat="1" applyFont="1" applyBorder="1" applyAlignment="1">
      <alignment horizontal="center" vertical="center" wrapText="1"/>
    </xf>
    <xf numFmtId="168" fontId="9" fillId="0" borderId="25" xfId="0" applyNumberFormat="1" applyFont="1" applyBorder="1" applyAlignment="1">
      <alignment horizontal="center" vertical="center" wrapText="1"/>
    </xf>
    <xf numFmtId="0" fontId="9" fillId="0" borderId="51" xfId="0" applyFont="1" applyBorder="1" applyAlignment="1">
      <alignment horizontal="center" vertical="center"/>
    </xf>
    <xf numFmtId="10" fontId="9" fillId="8" borderId="68" xfId="3" applyNumberFormat="1" applyFont="1" applyFill="1" applyBorder="1" applyAlignment="1">
      <alignment horizontal="center" vertical="center"/>
    </xf>
    <xf numFmtId="10" fontId="9" fillId="11" borderId="23" xfId="3" applyNumberFormat="1" applyFont="1" applyFill="1" applyBorder="1" applyAlignment="1">
      <alignment horizontal="center" vertical="center" wrapText="1"/>
    </xf>
    <xf numFmtId="3" fontId="9" fillId="11" borderId="38" xfId="0" applyNumberFormat="1" applyFont="1" applyFill="1" applyBorder="1" applyAlignment="1">
      <alignment horizontal="center" vertical="center" wrapText="1"/>
    </xf>
    <xf numFmtId="10" fontId="9" fillId="0" borderId="23" xfId="3" applyNumberFormat="1" applyFont="1" applyBorder="1" applyAlignment="1">
      <alignment horizontal="center" vertical="center" wrapText="1"/>
    </xf>
    <xf numFmtId="3" fontId="12" fillId="0" borderId="38" xfId="0" applyNumberFormat="1" applyFont="1" applyBorder="1" applyAlignment="1">
      <alignment horizontal="center" vertical="center" wrapText="1"/>
    </xf>
    <xf numFmtId="3" fontId="12" fillId="0" borderId="25" xfId="0" applyNumberFormat="1" applyFont="1" applyBorder="1" applyAlignment="1">
      <alignment horizontal="center" vertical="center" wrapText="1"/>
    </xf>
    <xf numFmtId="10" fontId="9" fillId="0" borderId="0" xfId="3" applyNumberFormat="1" applyFont="1" applyFill="1" applyBorder="1" applyAlignment="1">
      <alignment horizontal="center" vertical="center" wrapText="1"/>
    </xf>
    <xf numFmtId="3" fontId="9" fillId="0" borderId="0" xfId="0" applyNumberFormat="1" applyFont="1" applyAlignment="1">
      <alignment horizontal="center" vertical="center" wrapText="1"/>
    </xf>
    <xf numFmtId="10" fontId="9" fillId="0" borderId="0" xfId="3" applyNumberFormat="1" applyFont="1" applyBorder="1" applyAlignment="1">
      <alignment horizontal="center" vertical="center" wrapText="1"/>
    </xf>
    <xf numFmtId="3" fontId="12" fillId="0" borderId="0" xfId="0" applyNumberFormat="1" applyFont="1" applyAlignment="1">
      <alignment horizontal="center" vertical="center" wrapText="1"/>
    </xf>
    <xf numFmtId="164" fontId="11" fillId="0" borderId="0" xfId="4" applyFont="1" applyAlignment="1">
      <alignment horizontal="center" vertical="center" wrapText="1"/>
    </xf>
    <xf numFmtId="164" fontId="10" fillId="0" borderId="0" xfId="4" applyFont="1" applyAlignment="1">
      <alignment horizontal="center" vertical="center" wrapText="1"/>
    </xf>
    <xf numFmtId="169" fontId="9" fillId="0" borderId="0" xfId="0" applyNumberFormat="1" applyFont="1" applyAlignment="1">
      <alignment horizontal="center" vertical="center" wrapText="1"/>
    </xf>
    <xf numFmtId="10" fontId="9" fillId="10" borderId="14" xfId="3" applyNumberFormat="1" applyFont="1" applyFill="1" applyBorder="1" applyAlignment="1">
      <alignment horizontal="center" vertical="center"/>
    </xf>
    <xf numFmtId="0" fontId="12" fillId="0" borderId="0" xfId="0" applyFont="1" applyAlignment="1">
      <alignment vertical="center" wrapText="1"/>
    </xf>
    <xf numFmtId="3" fontId="9" fillId="0" borderId="0" xfId="0" applyNumberFormat="1" applyFont="1"/>
    <xf numFmtId="168" fontId="9" fillId="28" borderId="14" xfId="0" applyNumberFormat="1" applyFont="1" applyFill="1" applyBorder="1" applyAlignment="1">
      <alignment horizontal="center" vertical="center" wrapText="1"/>
    </xf>
    <xf numFmtId="168" fontId="9" fillId="0" borderId="17" xfId="0" applyNumberFormat="1" applyFont="1" applyBorder="1" applyAlignment="1">
      <alignment horizontal="center" vertical="center"/>
    </xf>
    <xf numFmtId="168" fontId="9" fillId="0" borderId="37" xfId="0" applyNumberFormat="1" applyFont="1" applyBorder="1" applyAlignment="1">
      <alignment horizontal="center" vertical="center"/>
    </xf>
    <xf numFmtId="168" fontId="9" fillId="10" borderId="17" xfId="0" applyNumberFormat="1" applyFont="1" applyFill="1" applyBorder="1"/>
    <xf numFmtId="168" fontId="9" fillId="0" borderId="30" xfId="0" applyNumberFormat="1" applyFont="1" applyBorder="1" applyAlignment="1">
      <alignment horizontal="center" vertical="center"/>
    </xf>
    <xf numFmtId="168" fontId="9" fillId="8" borderId="14" xfId="0" applyNumberFormat="1" applyFont="1" applyFill="1" applyBorder="1" applyAlignment="1">
      <alignment horizontal="center" vertical="center" wrapText="1"/>
    </xf>
    <xf numFmtId="168" fontId="9" fillId="0" borderId="0" xfId="0" applyNumberFormat="1" applyFont="1" applyAlignment="1">
      <alignment horizontal="center" vertical="center"/>
    </xf>
    <xf numFmtId="168" fontId="9" fillId="0" borderId="73" xfId="0" applyNumberFormat="1" applyFont="1" applyBorder="1" applyAlignment="1">
      <alignment horizontal="center" vertical="center"/>
    </xf>
    <xf numFmtId="168" fontId="9" fillId="8" borderId="48" xfId="0" applyNumberFormat="1" applyFont="1" applyFill="1" applyBorder="1" applyAlignment="1">
      <alignment horizontal="center" vertical="center" wrapText="1"/>
    </xf>
    <xf numFmtId="168" fontId="9" fillId="10" borderId="17" xfId="0" applyNumberFormat="1" applyFont="1" applyFill="1" applyBorder="1" applyAlignment="1">
      <alignment horizontal="center" vertical="center"/>
    </xf>
    <xf numFmtId="165" fontId="9" fillId="0" borderId="13" xfId="0" applyNumberFormat="1" applyFont="1" applyBorder="1" applyAlignment="1">
      <alignment vertical="center" wrapText="1"/>
    </xf>
    <xf numFmtId="0" fontId="9" fillId="0" borderId="21" xfId="0" applyFont="1" applyBorder="1" applyAlignment="1">
      <alignment horizontal="left" vertical="center" wrapText="1"/>
    </xf>
    <xf numFmtId="165" fontId="9" fillId="0" borderId="22" xfId="0" applyNumberFormat="1" applyFont="1" applyBorder="1" applyAlignment="1">
      <alignment vertical="center" wrapText="1"/>
    </xf>
    <xf numFmtId="0" fontId="12" fillId="0" borderId="23" xfId="0" applyFont="1" applyBorder="1" applyAlignment="1">
      <alignment horizontal="left" vertical="center" wrapText="1"/>
    </xf>
    <xf numFmtId="165" fontId="12" fillId="0" borderId="24" xfId="0" applyNumberFormat="1" applyFont="1" applyBorder="1" applyAlignment="1">
      <alignment vertical="center" wrapText="1"/>
    </xf>
    <xf numFmtId="165" fontId="12" fillId="0" borderId="25" xfId="0" applyNumberFormat="1" applyFont="1" applyBorder="1" applyAlignment="1">
      <alignment vertical="center" wrapText="1"/>
    </xf>
    <xf numFmtId="165" fontId="9" fillId="0" borderId="20" xfId="2" applyNumberFormat="1" applyFont="1" applyFill="1" applyBorder="1"/>
    <xf numFmtId="3" fontId="10" fillId="9" borderId="63" xfId="2" applyNumberFormat="1" applyFont="1" applyFill="1" applyBorder="1" applyAlignment="1">
      <alignment horizontal="center" vertical="center" wrapText="1"/>
    </xf>
    <xf numFmtId="3" fontId="10" fillId="9" borderId="52" xfId="2" applyNumberFormat="1" applyFont="1" applyFill="1" applyBorder="1" applyAlignment="1">
      <alignment horizontal="center" vertical="center" wrapText="1"/>
    </xf>
    <xf numFmtId="3" fontId="10" fillId="9" borderId="54" xfId="2" applyNumberFormat="1" applyFont="1" applyFill="1" applyBorder="1" applyAlignment="1">
      <alignment horizontal="center" vertical="center" wrapText="1"/>
    </xf>
    <xf numFmtId="169" fontId="13" fillId="0" borderId="20" xfId="1" applyNumberFormat="1" applyFont="1" applyFill="1" applyBorder="1" applyAlignment="1">
      <alignment horizontal="center" vertical="center" wrapText="1"/>
    </xf>
    <xf numFmtId="169" fontId="13" fillId="0" borderId="22" xfId="1" applyNumberFormat="1" applyFont="1" applyFill="1" applyBorder="1" applyAlignment="1">
      <alignment horizontal="center" vertical="center" wrapText="1"/>
    </xf>
    <xf numFmtId="176" fontId="13" fillId="0" borderId="25" xfId="1" applyNumberFormat="1" applyFont="1" applyFill="1" applyBorder="1" applyAlignment="1">
      <alignment horizontal="center" vertical="center" wrapText="1"/>
    </xf>
    <xf numFmtId="164" fontId="9" fillId="0" borderId="63" xfId="4" applyFont="1" applyBorder="1" applyAlignment="1">
      <alignment horizontal="center" vertical="center" wrapText="1"/>
    </xf>
    <xf numFmtId="164" fontId="9" fillId="0" borderId="52" xfId="4" applyFont="1" applyBorder="1" applyAlignment="1">
      <alignment horizontal="center" vertical="center" wrapText="1"/>
    </xf>
    <xf numFmtId="164" fontId="9" fillId="0" borderId="54" xfId="4" applyFont="1" applyBorder="1" applyAlignment="1">
      <alignment horizontal="center" vertical="center" wrapText="1"/>
    </xf>
    <xf numFmtId="3" fontId="12" fillId="24" borderId="92" xfId="2" applyNumberFormat="1" applyFont="1" applyFill="1" applyBorder="1" applyAlignment="1">
      <alignment horizontal="center" vertical="center" wrapText="1"/>
    </xf>
    <xf numFmtId="3" fontId="9" fillId="9" borderId="63" xfId="2" applyNumberFormat="1" applyFont="1" applyFill="1" applyBorder="1" applyAlignment="1">
      <alignment horizontal="center" vertical="center" wrapText="1"/>
    </xf>
    <xf numFmtId="3" fontId="9" fillId="9" borderId="52" xfId="2" applyNumberFormat="1" applyFont="1" applyFill="1" applyBorder="1" applyAlignment="1">
      <alignment horizontal="center" vertical="center" wrapText="1"/>
    </xf>
    <xf numFmtId="4" fontId="10" fillId="9" borderId="52" xfId="2" applyNumberFormat="1" applyFont="1" applyFill="1" applyBorder="1" applyAlignment="1">
      <alignment horizontal="center" vertical="center" wrapText="1"/>
    </xf>
    <xf numFmtId="3" fontId="9" fillId="9" borderId="54" xfId="2" applyNumberFormat="1" applyFont="1" applyFill="1" applyBorder="1" applyAlignment="1">
      <alignment horizontal="center" vertical="center" wrapText="1"/>
    </xf>
    <xf numFmtId="41" fontId="13" fillId="0" borderId="55" xfId="1" applyFont="1" applyBorder="1" applyAlignment="1">
      <alignment horizontal="center" vertical="center" wrapText="1"/>
    </xf>
    <xf numFmtId="41" fontId="13" fillId="0" borderId="26" xfId="1" applyFont="1" applyBorder="1" applyAlignment="1">
      <alignment horizontal="center" vertical="center" wrapText="1"/>
    </xf>
    <xf numFmtId="41" fontId="13" fillId="0" borderId="26" xfId="1" applyFont="1" applyFill="1" applyBorder="1" applyAlignment="1">
      <alignment horizontal="center" vertical="center" wrapText="1"/>
    </xf>
    <xf numFmtId="41" fontId="9" fillId="0" borderId="26" xfId="1" applyFont="1" applyBorder="1" applyAlignment="1">
      <alignment horizontal="center" vertical="center" wrapText="1"/>
    </xf>
    <xf numFmtId="172" fontId="13" fillId="0" borderId="21" xfId="1" applyNumberFormat="1" applyFont="1" applyBorder="1" applyAlignment="1">
      <alignment horizontal="center" vertical="center" wrapText="1"/>
    </xf>
    <xf numFmtId="172" fontId="13" fillId="0" borderId="22" xfId="1" applyNumberFormat="1" applyFont="1" applyBorder="1" applyAlignment="1">
      <alignment horizontal="center" vertical="center" wrapText="1"/>
    </xf>
    <xf numFmtId="173" fontId="13" fillId="0" borderId="21" xfId="1" applyNumberFormat="1" applyFont="1" applyFill="1" applyBorder="1" applyAlignment="1">
      <alignment horizontal="center" vertical="center" wrapText="1"/>
    </xf>
    <xf numFmtId="172" fontId="9" fillId="0" borderId="21" xfId="1" applyNumberFormat="1" applyFont="1" applyBorder="1" applyAlignment="1">
      <alignment horizontal="center" vertical="center" wrapText="1"/>
    </xf>
    <xf numFmtId="172" fontId="13" fillId="0" borderId="23" xfId="1" applyNumberFormat="1" applyFont="1" applyBorder="1" applyAlignment="1">
      <alignment horizontal="center" vertical="center" wrapText="1"/>
    </xf>
    <xf numFmtId="172" fontId="13" fillId="0" borderId="25" xfId="1" applyNumberFormat="1" applyFont="1" applyBorder="1" applyAlignment="1">
      <alignment horizontal="center" vertical="center" wrapText="1"/>
    </xf>
    <xf numFmtId="172" fontId="13" fillId="0" borderId="39" xfId="1" applyNumberFormat="1" applyFont="1" applyBorder="1" applyAlignment="1">
      <alignment horizontal="center" vertical="center" wrapText="1"/>
    </xf>
    <xf numFmtId="172" fontId="13" fillId="0" borderId="40" xfId="1" applyNumberFormat="1" applyFont="1" applyBorder="1" applyAlignment="1">
      <alignment horizontal="center" vertical="center" wrapText="1"/>
    </xf>
    <xf numFmtId="41" fontId="11" fillId="0" borderId="0" xfId="1" applyFont="1" applyFill="1" applyBorder="1" applyAlignment="1">
      <alignment horizontal="center" vertical="center" wrapText="1"/>
    </xf>
    <xf numFmtId="168" fontId="10" fillId="32" borderId="52" xfId="3" applyNumberFormat="1" applyFont="1" applyFill="1" applyBorder="1" applyAlignment="1">
      <alignment horizontal="center" vertical="center" wrapText="1"/>
    </xf>
    <xf numFmtId="0" fontId="9" fillId="0" borderId="18" xfId="0" applyFont="1" applyBorder="1" applyAlignment="1">
      <alignment horizontal="center" vertical="center" wrapText="1"/>
    </xf>
    <xf numFmtId="165" fontId="9" fillId="5" borderId="21" xfId="2" applyNumberFormat="1" applyFont="1" applyFill="1" applyBorder="1" applyAlignment="1">
      <alignment horizontal="center" vertical="center" wrapText="1"/>
    </xf>
    <xf numFmtId="165" fontId="9" fillId="5" borderId="23" xfId="2" applyNumberFormat="1" applyFont="1" applyFill="1" applyBorder="1" applyAlignment="1">
      <alignment horizontal="center" vertical="center" wrapText="1"/>
    </xf>
    <xf numFmtId="165" fontId="12" fillId="0" borderId="63" xfId="2" applyNumberFormat="1" applyFont="1" applyBorder="1" applyAlignment="1">
      <alignment horizontal="center" vertical="center" wrapText="1"/>
    </xf>
    <xf numFmtId="165" fontId="12" fillId="0" borderId="54" xfId="2" applyNumberFormat="1" applyFont="1" applyBorder="1" applyAlignment="1">
      <alignment horizontal="center" vertical="center" wrapText="1"/>
    </xf>
    <xf numFmtId="164" fontId="9" fillId="31" borderId="21" xfId="4" applyFont="1" applyFill="1" applyBorder="1" applyAlignment="1">
      <alignment horizontal="center" vertical="center" wrapText="1"/>
    </xf>
    <xf numFmtId="41" fontId="13" fillId="31" borderId="13" xfId="1" applyFont="1" applyFill="1" applyBorder="1" applyAlignment="1">
      <alignment horizontal="center" vertical="center" wrapText="1"/>
    </xf>
    <xf numFmtId="169" fontId="13" fillId="31" borderId="26" xfId="1" applyNumberFormat="1" applyFont="1" applyFill="1" applyBorder="1" applyAlignment="1">
      <alignment horizontal="center" vertical="center" wrapText="1"/>
    </xf>
    <xf numFmtId="3" fontId="9" fillId="31" borderId="15" xfId="2" applyNumberFormat="1" applyFont="1" applyFill="1" applyBorder="1" applyAlignment="1">
      <alignment horizontal="center" vertical="center" wrapText="1"/>
    </xf>
    <xf numFmtId="3" fontId="9" fillId="31" borderId="16" xfId="2" applyNumberFormat="1" applyFont="1" applyFill="1" applyBorder="1" applyAlignment="1">
      <alignment horizontal="center" vertical="center" wrapText="1"/>
    </xf>
    <xf numFmtId="3" fontId="9" fillId="31" borderId="17" xfId="2" applyNumberFormat="1" applyFont="1" applyFill="1" applyBorder="1" applyAlignment="1">
      <alignment horizontal="center" vertical="center" wrapText="1"/>
    </xf>
    <xf numFmtId="165" fontId="9" fillId="31" borderId="17" xfId="2" applyNumberFormat="1" applyFont="1" applyFill="1" applyBorder="1" applyAlignment="1">
      <alignment horizontal="center" vertical="center" wrapText="1"/>
    </xf>
    <xf numFmtId="168" fontId="10" fillId="31" borderId="46" xfId="3" applyNumberFormat="1" applyFont="1" applyFill="1" applyBorder="1" applyAlignment="1">
      <alignment horizontal="center" vertical="center" wrapText="1"/>
    </xf>
    <xf numFmtId="168" fontId="10" fillId="31" borderId="40" xfId="1" applyNumberFormat="1" applyFont="1" applyFill="1" applyBorder="1" applyAlignment="1">
      <alignment horizontal="center" vertical="center" wrapText="1"/>
    </xf>
    <xf numFmtId="0" fontId="12" fillId="15" borderId="28" xfId="0" applyFont="1" applyFill="1" applyBorder="1" applyAlignment="1">
      <alignment horizontal="center" vertical="center" wrapText="1"/>
    </xf>
    <xf numFmtId="168" fontId="12" fillId="15" borderId="40" xfId="0" applyNumberFormat="1" applyFont="1" applyFill="1" applyBorder="1" applyAlignment="1">
      <alignment horizontal="center" vertical="center" wrapText="1"/>
    </xf>
    <xf numFmtId="0" fontId="9" fillId="15" borderId="61" xfId="0" applyFont="1" applyFill="1" applyBorder="1" applyAlignment="1">
      <alignment horizontal="center" vertical="center"/>
    </xf>
    <xf numFmtId="0" fontId="9" fillId="15" borderId="59" xfId="0" applyFont="1" applyFill="1" applyBorder="1" applyAlignment="1">
      <alignment horizontal="center" vertical="center"/>
    </xf>
    <xf numFmtId="0" fontId="12" fillId="15" borderId="24" xfId="0" applyFont="1" applyFill="1" applyBorder="1" applyAlignment="1">
      <alignment horizontal="center" vertical="center" wrapText="1"/>
    </xf>
    <xf numFmtId="168" fontId="12" fillId="15" borderId="25" xfId="0" applyNumberFormat="1" applyFont="1" applyFill="1" applyBorder="1" applyAlignment="1">
      <alignment horizontal="center" vertical="center" wrapText="1"/>
    </xf>
    <xf numFmtId="0" fontId="9" fillId="15" borderId="73" xfId="0" applyFont="1" applyFill="1" applyBorder="1" applyAlignment="1">
      <alignment horizontal="center" vertical="center"/>
    </xf>
    <xf numFmtId="0" fontId="9" fillId="15" borderId="81" xfId="0" applyFont="1" applyFill="1" applyBorder="1" applyAlignment="1">
      <alignment horizontal="center" vertical="center"/>
    </xf>
    <xf numFmtId="0" fontId="12" fillId="12" borderId="19" xfId="0" applyFont="1" applyFill="1" applyBorder="1" applyAlignment="1">
      <alignment horizontal="center" vertical="center" wrapText="1"/>
    </xf>
    <xf numFmtId="168" fontId="12" fillId="12" borderId="31" xfId="0" applyNumberFormat="1" applyFont="1" applyFill="1" applyBorder="1" applyAlignment="1">
      <alignment horizontal="center" vertical="center" wrapText="1"/>
    </xf>
    <xf numFmtId="0" fontId="12" fillId="12" borderId="24" xfId="0" applyFont="1" applyFill="1" applyBorder="1" applyAlignment="1">
      <alignment horizontal="center" vertical="center" wrapText="1"/>
    </xf>
    <xf numFmtId="168" fontId="12" fillId="12" borderId="38" xfId="0" applyNumberFormat="1" applyFont="1" applyFill="1" applyBorder="1" applyAlignment="1">
      <alignment horizontal="center" vertical="center" wrapText="1"/>
    </xf>
    <xf numFmtId="0" fontId="12" fillId="33" borderId="19" xfId="0" applyFont="1" applyFill="1" applyBorder="1" applyAlignment="1">
      <alignment horizontal="center" vertical="center" wrapText="1"/>
    </xf>
    <xf numFmtId="168" fontId="12" fillId="33" borderId="31" xfId="0" applyNumberFormat="1" applyFont="1" applyFill="1" applyBorder="1" applyAlignment="1">
      <alignment horizontal="center" vertical="center" wrapText="1"/>
    </xf>
    <xf numFmtId="0" fontId="12" fillId="33" borderId="24" xfId="0" applyFont="1" applyFill="1" applyBorder="1" applyAlignment="1">
      <alignment horizontal="center" vertical="center" wrapText="1"/>
    </xf>
    <xf numFmtId="168" fontId="12" fillId="33" borderId="38" xfId="0" applyNumberFormat="1" applyFont="1" applyFill="1" applyBorder="1" applyAlignment="1">
      <alignment horizontal="center" vertical="center" wrapText="1"/>
    </xf>
    <xf numFmtId="177" fontId="9" fillId="0" borderId="19" xfId="0" applyNumberFormat="1" applyFont="1" applyBorder="1" applyAlignment="1">
      <alignment horizontal="center" vertical="center" wrapText="1"/>
    </xf>
    <xf numFmtId="177" fontId="9" fillId="0" borderId="24" xfId="0" applyNumberFormat="1" applyFont="1" applyBorder="1" applyAlignment="1">
      <alignment horizontal="center" vertical="center" wrapText="1"/>
    </xf>
    <xf numFmtId="0" fontId="12" fillId="0" borderId="23" xfId="0" applyFont="1" applyBorder="1" applyAlignment="1">
      <alignment horizontal="center" vertical="center" wrapText="1"/>
    </xf>
    <xf numFmtId="165" fontId="9" fillId="0" borderId="20" xfId="0" applyNumberFormat="1" applyFont="1" applyBorder="1" applyAlignment="1">
      <alignment horizontal="center" vertical="center" wrapText="1"/>
    </xf>
    <xf numFmtId="0" fontId="9" fillId="0" borderId="0" xfId="0" applyFont="1" applyAlignment="1">
      <alignment horizontal="left" vertical="center" wrapText="1"/>
    </xf>
    <xf numFmtId="165" fontId="9" fillId="0" borderId="0" xfId="0" applyNumberFormat="1" applyFont="1" applyAlignment="1">
      <alignment vertical="center" wrapText="1"/>
    </xf>
    <xf numFmtId="0" fontId="12" fillId="0" borderId="22" xfId="0" applyFont="1" applyBorder="1" applyAlignment="1">
      <alignment horizontal="center" vertical="center" wrapText="1"/>
    </xf>
    <xf numFmtId="0" fontId="12" fillId="0" borderId="94" xfId="0" applyFont="1" applyBorder="1" applyAlignment="1">
      <alignment horizontal="center" vertical="center" wrapText="1"/>
    </xf>
    <xf numFmtId="165" fontId="12" fillId="0" borderId="95" xfId="0" applyNumberFormat="1" applyFont="1" applyBorder="1" applyAlignment="1">
      <alignment horizontal="center" vertical="center" wrapText="1"/>
    </xf>
    <xf numFmtId="165" fontId="12" fillId="0" borderId="13" xfId="0" applyNumberFormat="1" applyFont="1" applyBorder="1" applyAlignment="1">
      <alignment horizontal="center" vertical="center" wrapText="1"/>
    </xf>
    <xf numFmtId="165" fontId="9" fillId="31" borderId="13" xfId="0" applyNumberFormat="1" applyFont="1" applyFill="1" applyBorder="1" applyAlignment="1">
      <alignment horizontal="center" vertical="center" wrapText="1"/>
    </xf>
    <xf numFmtId="0" fontId="9" fillId="0" borderId="13" xfId="0" applyFont="1" applyBorder="1" applyAlignment="1">
      <alignment horizontal="center" vertical="center" wrapText="1"/>
    </xf>
    <xf numFmtId="165" fontId="9" fillId="0" borderId="13" xfId="0" applyNumberFormat="1" applyFont="1" applyBorder="1" applyAlignment="1">
      <alignment horizontal="center" vertical="center" wrapText="1"/>
    </xf>
    <xf numFmtId="165" fontId="12" fillId="20" borderId="13" xfId="0" applyNumberFormat="1" applyFont="1" applyFill="1" applyBorder="1" applyAlignment="1">
      <alignment horizontal="center" vertical="center" wrapText="1"/>
    </xf>
    <xf numFmtId="165" fontId="12" fillId="18" borderId="13" xfId="0" applyNumberFormat="1" applyFont="1" applyFill="1" applyBorder="1" applyAlignment="1">
      <alignment horizontal="center" vertical="center" wrapText="1"/>
    </xf>
    <xf numFmtId="165" fontId="12" fillId="0" borderId="19" xfId="0" applyNumberFormat="1" applyFont="1" applyBorder="1" applyAlignment="1">
      <alignment horizontal="center" vertical="center" wrapText="1"/>
    </xf>
    <xf numFmtId="165" fontId="12" fillId="0" borderId="20" xfId="0" applyNumberFormat="1" applyFont="1" applyBorder="1" applyAlignment="1">
      <alignment horizontal="center" vertical="center" wrapText="1"/>
    </xf>
    <xf numFmtId="0" fontId="9" fillId="31" borderId="21" xfId="0" applyFont="1" applyFill="1" applyBorder="1" applyAlignment="1">
      <alignment horizontal="center" vertical="center" wrapText="1"/>
    </xf>
    <xf numFmtId="165" fontId="9" fillId="31" borderId="22" xfId="0" applyNumberFormat="1" applyFont="1" applyFill="1" applyBorder="1" applyAlignment="1">
      <alignment horizontal="center" vertical="center" wrapText="1"/>
    </xf>
    <xf numFmtId="0" fontId="9" fillId="0" borderId="21" xfId="0" applyFont="1" applyBorder="1" applyAlignment="1">
      <alignment horizontal="center" vertical="center" wrapText="1"/>
    </xf>
    <xf numFmtId="165" fontId="9" fillId="0" borderId="22" xfId="0" applyNumberFormat="1" applyFont="1" applyBorder="1" applyAlignment="1">
      <alignment horizontal="center" vertical="center" wrapText="1"/>
    </xf>
    <xf numFmtId="0" fontId="12" fillId="20" borderId="21" xfId="0" applyFont="1" applyFill="1" applyBorder="1" applyAlignment="1">
      <alignment horizontal="center" vertical="center" wrapText="1"/>
    </xf>
    <xf numFmtId="165" fontId="12" fillId="20" borderId="22" xfId="0" applyNumberFormat="1" applyFont="1" applyFill="1" applyBorder="1" applyAlignment="1">
      <alignment horizontal="center" vertical="center" wrapText="1"/>
    </xf>
    <xf numFmtId="165" fontId="12" fillId="0" borderId="22" xfId="0" applyNumberFormat="1" applyFont="1" applyBorder="1" applyAlignment="1">
      <alignment horizontal="center" vertical="center" wrapText="1"/>
    </xf>
    <xf numFmtId="0" fontId="12" fillId="18" borderId="21" xfId="0" applyFont="1" applyFill="1" applyBorder="1" applyAlignment="1">
      <alignment horizontal="center" vertical="center" wrapText="1"/>
    </xf>
    <xf numFmtId="165" fontId="12" fillId="18" borderId="22" xfId="0" applyNumberFormat="1" applyFont="1" applyFill="1" applyBorder="1" applyAlignment="1">
      <alignment horizontal="center" vertical="center" wrapText="1"/>
    </xf>
    <xf numFmtId="0" fontId="9" fillId="27" borderId="24" xfId="0" applyFont="1" applyFill="1" applyBorder="1" applyAlignment="1">
      <alignment horizontal="center" vertical="center" wrapText="1"/>
    </xf>
    <xf numFmtId="165" fontId="9" fillId="0" borderId="20" xfId="2" applyNumberFormat="1" applyFont="1" applyBorder="1" applyAlignment="1">
      <alignment horizontal="center" vertical="center" wrapText="1"/>
    </xf>
    <xf numFmtId="165" fontId="9" fillId="0" borderId="22" xfId="2" applyNumberFormat="1" applyFont="1" applyBorder="1" applyAlignment="1">
      <alignment horizontal="center" vertical="center" wrapText="1"/>
    </xf>
    <xf numFmtId="165" fontId="9" fillId="27" borderId="25" xfId="2" applyNumberFormat="1" applyFont="1" applyFill="1" applyBorder="1" applyAlignment="1">
      <alignment horizontal="center" vertical="center" wrapText="1"/>
    </xf>
    <xf numFmtId="9" fontId="0" fillId="0" borderId="0" xfId="3" applyFont="1" applyAlignment="1">
      <alignment horizontal="center" vertical="center" wrapText="1"/>
    </xf>
    <xf numFmtId="9" fontId="9" fillId="0" borderId="0" xfId="3" applyFont="1" applyAlignment="1">
      <alignment horizontal="center" vertical="center" wrapText="1"/>
    </xf>
    <xf numFmtId="0" fontId="12" fillId="11" borderId="44" xfId="0" applyFont="1" applyFill="1" applyBorder="1" applyAlignment="1">
      <alignment horizontal="center" vertical="center" textRotation="90" wrapText="1"/>
    </xf>
    <xf numFmtId="0" fontId="9" fillId="11" borderId="14" xfId="0" applyFont="1" applyFill="1" applyBorder="1" applyAlignment="1">
      <alignment horizontal="center" vertical="center" wrapText="1"/>
    </xf>
    <xf numFmtId="3" fontId="9" fillId="11" borderId="47" xfId="0" applyNumberFormat="1" applyFont="1" applyFill="1" applyBorder="1" applyAlignment="1">
      <alignment horizontal="center" vertical="center"/>
    </xf>
    <xf numFmtId="9" fontId="9" fillId="11" borderId="47" xfId="3" applyFont="1" applyFill="1" applyBorder="1" applyAlignment="1">
      <alignment horizontal="center" vertical="center"/>
    </xf>
    <xf numFmtId="168" fontId="9" fillId="11" borderId="15" xfId="0" applyNumberFormat="1" applyFont="1" applyFill="1" applyBorder="1" applyAlignment="1">
      <alignment horizontal="center" vertical="center" wrapText="1"/>
    </xf>
    <xf numFmtId="168" fontId="9" fillId="11" borderId="17" xfId="0" applyNumberFormat="1" applyFont="1" applyFill="1" applyBorder="1" applyAlignment="1">
      <alignment horizontal="center" vertical="center" wrapText="1"/>
    </xf>
    <xf numFmtId="0" fontId="9" fillId="21" borderId="44" xfId="0" applyFont="1" applyFill="1" applyBorder="1" applyAlignment="1">
      <alignment horizontal="center" vertical="center" wrapText="1"/>
    </xf>
    <xf numFmtId="3" fontId="9" fillId="21" borderId="44" xfId="0" applyNumberFormat="1" applyFont="1" applyFill="1" applyBorder="1" applyAlignment="1">
      <alignment horizontal="center" vertical="center"/>
    </xf>
    <xf numFmtId="10" fontId="9" fillId="21" borderId="34" xfId="3" applyNumberFormat="1" applyFont="1" applyFill="1" applyBorder="1" applyAlignment="1">
      <alignment horizontal="center" vertical="center"/>
    </xf>
    <xf numFmtId="168" fontId="9" fillId="21" borderId="63" xfId="0" applyNumberFormat="1" applyFont="1" applyFill="1" applyBorder="1" applyAlignment="1">
      <alignment horizontal="center" vertical="center" wrapText="1"/>
    </xf>
    <xf numFmtId="168" fontId="9" fillId="21" borderId="20" xfId="0" applyNumberFormat="1" applyFont="1" applyFill="1" applyBorder="1" applyAlignment="1">
      <alignment horizontal="center" vertical="center" wrapText="1"/>
    </xf>
    <xf numFmtId="0" fontId="12" fillId="21" borderId="19" xfId="0" applyFont="1" applyFill="1" applyBorder="1" applyAlignment="1">
      <alignment horizontal="center" vertical="center" wrapText="1"/>
    </xf>
    <xf numFmtId="168" fontId="12" fillId="21" borderId="31" xfId="0" applyNumberFormat="1" applyFont="1" applyFill="1" applyBorder="1" applyAlignment="1">
      <alignment horizontal="center" vertical="center" wrapText="1"/>
    </xf>
    <xf numFmtId="0" fontId="12" fillId="21" borderId="24" xfId="0" applyFont="1" applyFill="1" applyBorder="1" applyAlignment="1">
      <alignment horizontal="center" vertical="center" wrapText="1"/>
    </xf>
    <xf numFmtId="168" fontId="12" fillId="21" borderId="38" xfId="0" applyNumberFormat="1" applyFont="1" applyFill="1" applyBorder="1" applyAlignment="1">
      <alignment horizontal="center" vertical="center" wrapText="1"/>
    </xf>
    <xf numFmtId="164" fontId="11" fillId="12" borderId="18" xfId="4" applyFont="1" applyFill="1" applyBorder="1" applyAlignment="1">
      <alignment horizontal="center" vertical="center" wrapText="1"/>
    </xf>
    <xf numFmtId="164" fontId="11" fillId="12" borderId="20" xfId="4" applyFont="1" applyFill="1" applyBorder="1" applyAlignment="1">
      <alignment horizontal="center" vertical="center" wrapText="1"/>
    </xf>
    <xf numFmtId="3" fontId="9" fillId="12" borderId="21" xfId="0" applyNumberFormat="1" applyFont="1" applyFill="1" applyBorder="1" applyAlignment="1">
      <alignment horizontal="center" vertical="center" wrapText="1"/>
    </xf>
    <xf numFmtId="3" fontId="9" fillId="12" borderId="22" xfId="0" applyNumberFormat="1" applyFont="1" applyFill="1" applyBorder="1" applyAlignment="1">
      <alignment horizontal="center" vertical="center" wrapText="1"/>
    </xf>
    <xf numFmtId="41" fontId="11" fillId="3" borderId="0" xfId="1" applyFont="1" applyFill="1" applyBorder="1" applyAlignment="1">
      <alignment horizontal="center" vertical="center" wrapText="1"/>
    </xf>
    <xf numFmtId="41" fontId="13" fillId="0" borderId="27" xfId="1" applyFont="1" applyBorder="1" applyAlignment="1">
      <alignment horizontal="center" vertical="center" wrapText="1"/>
    </xf>
    <xf numFmtId="169" fontId="13" fillId="0" borderId="85" xfId="1" applyNumberFormat="1" applyFont="1" applyBorder="1" applyAlignment="1">
      <alignment horizontal="center" vertical="center" wrapText="1"/>
    </xf>
    <xf numFmtId="165" fontId="11" fillId="0" borderId="0" xfId="2" applyNumberFormat="1" applyFont="1" applyFill="1" applyBorder="1" applyAlignment="1">
      <alignment vertical="center" wrapText="1"/>
    </xf>
    <xf numFmtId="165" fontId="11" fillId="0" borderId="48" xfId="2" applyNumberFormat="1" applyFont="1" applyFill="1" applyBorder="1" applyAlignment="1">
      <alignment horizontal="center" vertical="center" wrapText="1"/>
    </xf>
    <xf numFmtId="3" fontId="10" fillId="9" borderId="31" xfId="2" applyNumberFormat="1" applyFont="1" applyFill="1" applyBorder="1" applyAlignment="1">
      <alignment horizontal="center" vertical="center" wrapText="1"/>
    </xf>
    <xf numFmtId="3" fontId="10" fillId="9" borderId="26" xfId="2" applyNumberFormat="1" applyFont="1" applyFill="1" applyBorder="1" applyAlignment="1">
      <alignment horizontal="center" vertical="center" wrapText="1"/>
    </xf>
    <xf numFmtId="3" fontId="10" fillId="9" borderId="38" xfId="2" applyNumberFormat="1" applyFont="1" applyFill="1" applyBorder="1" applyAlignment="1">
      <alignment horizontal="center" vertical="center" wrapText="1"/>
    </xf>
    <xf numFmtId="0" fontId="9" fillId="0" borderId="56" xfId="0" applyFont="1" applyBorder="1" applyAlignment="1">
      <alignment horizontal="center" vertical="center" wrapText="1"/>
    </xf>
    <xf numFmtId="0" fontId="9" fillId="0" borderId="62" xfId="0" applyFont="1" applyBorder="1" applyAlignment="1">
      <alignment horizontal="center" vertical="center" wrapText="1"/>
    </xf>
    <xf numFmtId="0" fontId="9" fillId="0" borderId="53" xfId="0" applyFont="1" applyBorder="1" applyAlignment="1">
      <alignment horizontal="center" vertical="center" wrapText="1"/>
    </xf>
    <xf numFmtId="0" fontId="9" fillId="0" borderId="61" xfId="0" applyFont="1" applyBorder="1" applyAlignment="1">
      <alignment horizontal="center"/>
    </xf>
    <xf numFmtId="0" fontId="9" fillId="0" borderId="59" xfId="0" applyFont="1" applyBorder="1" applyAlignment="1">
      <alignment horizontal="center"/>
    </xf>
    <xf numFmtId="0" fontId="9" fillId="0" borderId="57" xfId="0" applyFont="1" applyBorder="1" applyAlignment="1">
      <alignment horizontal="center"/>
    </xf>
    <xf numFmtId="0" fontId="9" fillId="0" borderId="60" xfId="0" applyFont="1" applyBorder="1" applyAlignment="1">
      <alignment horizontal="center"/>
    </xf>
    <xf numFmtId="168" fontId="9" fillId="0" borderId="61" xfId="0" applyNumberFormat="1" applyFont="1" applyBorder="1" applyAlignment="1">
      <alignment horizontal="center" vertical="center" wrapText="1"/>
    </xf>
    <xf numFmtId="168" fontId="9" fillId="0" borderId="58" xfId="0" applyNumberFormat="1" applyFont="1" applyBorder="1" applyAlignment="1">
      <alignment horizontal="center" vertical="center" wrapText="1"/>
    </xf>
    <xf numFmtId="168" fontId="9" fillId="0" borderId="59" xfId="0" applyNumberFormat="1" applyFont="1" applyBorder="1" applyAlignment="1">
      <alignment horizontal="center" vertical="center" wrapText="1"/>
    </xf>
    <xf numFmtId="168" fontId="9" fillId="0" borderId="57" xfId="0" applyNumberFormat="1" applyFont="1" applyBorder="1" applyAlignment="1">
      <alignment horizontal="center" vertical="center" wrapText="1"/>
    </xf>
    <xf numFmtId="168" fontId="9" fillId="0" borderId="0" xfId="0" applyNumberFormat="1" applyFont="1" applyAlignment="1">
      <alignment horizontal="center" vertical="center" wrapText="1"/>
    </xf>
    <xf numFmtId="168" fontId="9" fillId="0" borderId="60" xfId="0" applyNumberFormat="1" applyFont="1" applyBorder="1" applyAlignment="1">
      <alignment horizontal="center" vertical="center" wrapText="1"/>
    </xf>
    <xf numFmtId="0" fontId="12" fillId="0" borderId="18" xfId="0" applyFont="1" applyBorder="1" applyAlignment="1">
      <alignment horizontal="center" vertical="center" wrapText="1"/>
    </xf>
    <xf numFmtId="0" fontId="12" fillId="0" borderId="20" xfId="0" applyFont="1" applyBorder="1" applyAlignment="1">
      <alignment horizontal="center" vertical="center" wrapText="1"/>
    </xf>
    <xf numFmtId="0" fontId="9" fillId="0" borderId="63" xfId="0" applyFont="1" applyBorder="1" applyAlignment="1">
      <alignment horizontal="center" vertical="center"/>
    </xf>
    <xf numFmtId="0" fontId="9" fillId="0" borderId="19" xfId="0" applyFont="1" applyBorder="1" applyAlignment="1">
      <alignment horizontal="center" vertical="center"/>
    </xf>
    <xf numFmtId="0" fontId="9" fillId="0" borderId="19" xfId="0" applyFont="1" applyBorder="1" applyAlignment="1">
      <alignment horizontal="center" vertical="center" wrapText="1"/>
    </xf>
    <xf numFmtId="0" fontId="9" fillId="0" borderId="20" xfId="0" applyFont="1" applyBorder="1" applyAlignment="1">
      <alignment horizontal="center" vertical="center" wrapText="1"/>
    </xf>
    <xf numFmtId="175" fontId="12" fillId="0" borderId="18" xfId="0" applyNumberFormat="1" applyFont="1" applyBorder="1" applyAlignment="1">
      <alignment horizontal="center" vertical="center" wrapText="1"/>
    </xf>
    <xf numFmtId="175" fontId="12" fillId="0" borderId="19" xfId="0" applyNumberFormat="1" applyFont="1" applyBorder="1" applyAlignment="1">
      <alignment horizontal="center" vertical="center" wrapText="1"/>
    </xf>
    <xf numFmtId="175" fontId="12" fillId="0" borderId="20" xfId="0" applyNumberFormat="1" applyFont="1" applyBorder="1" applyAlignment="1">
      <alignment horizontal="center" vertical="center" wrapText="1"/>
    </xf>
    <xf numFmtId="168" fontId="9" fillId="0" borderId="54" xfId="0" applyNumberFormat="1" applyFont="1" applyBorder="1" applyAlignment="1">
      <alignment horizontal="center" vertical="center" wrapText="1"/>
    </xf>
    <xf numFmtId="0" fontId="9" fillId="0" borderId="24" xfId="0" applyFont="1" applyBorder="1" applyAlignment="1">
      <alignment horizontal="center" vertical="center" wrapText="1"/>
    </xf>
    <xf numFmtId="168" fontId="9" fillId="0" borderId="24" xfId="0" applyNumberFormat="1" applyFont="1" applyBorder="1" applyAlignment="1">
      <alignment horizontal="center"/>
    </xf>
    <xf numFmtId="168" fontId="9" fillId="0" borderId="25" xfId="0" applyNumberFormat="1" applyFont="1" applyBorder="1" applyAlignment="1">
      <alignment horizontal="center"/>
    </xf>
    <xf numFmtId="0" fontId="9" fillId="11" borderId="50" xfId="0" applyFont="1" applyFill="1" applyBorder="1" applyAlignment="1">
      <alignment horizontal="center" vertical="center" wrapText="1"/>
    </xf>
    <xf numFmtId="0" fontId="9" fillId="11" borderId="33" xfId="0" applyFont="1" applyFill="1" applyBorder="1" applyAlignment="1">
      <alignment horizontal="center" vertical="center" wrapText="1"/>
    </xf>
    <xf numFmtId="168" fontId="9" fillId="18" borderId="33" xfId="0" applyNumberFormat="1" applyFont="1" applyFill="1" applyBorder="1" applyAlignment="1">
      <alignment horizontal="center"/>
    </xf>
    <xf numFmtId="168" fontId="9" fillId="18" borderId="37" xfId="0" applyNumberFormat="1" applyFont="1" applyFill="1" applyBorder="1" applyAlignment="1">
      <alignment horizontal="center"/>
    </xf>
    <xf numFmtId="0" fontId="9" fillId="15" borderId="61" xfId="0" applyFont="1" applyFill="1" applyBorder="1" applyAlignment="1">
      <alignment horizontal="left" vertical="center" wrapText="1"/>
    </xf>
    <xf numFmtId="0" fontId="9" fillId="15" borderId="59" xfId="0" applyFont="1" applyFill="1" applyBorder="1" applyAlignment="1">
      <alignment horizontal="left" vertical="center" wrapText="1"/>
    </xf>
    <xf numFmtId="0" fontId="9" fillId="15" borderId="73" xfId="0" applyFont="1" applyFill="1" applyBorder="1" applyAlignment="1">
      <alignment horizontal="left" vertical="center" wrapText="1"/>
    </xf>
    <xf numFmtId="0" fontId="9" fillId="15" borderId="81" xfId="0" applyFont="1" applyFill="1" applyBorder="1" applyAlignment="1">
      <alignment horizontal="left" vertical="center" wrapText="1"/>
    </xf>
    <xf numFmtId="168" fontId="9" fillId="11" borderId="33" xfId="0" applyNumberFormat="1" applyFont="1" applyFill="1" applyBorder="1" applyAlignment="1">
      <alignment horizontal="center"/>
    </xf>
    <xf numFmtId="168" fontId="9" fillId="11" borderId="37" xfId="0" applyNumberFormat="1" applyFont="1" applyFill="1" applyBorder="1" applyAlignment="1">
      <alignment horizontal="center"/>
    </xf>
    <xf numFmtId="0" fontId="9" fillId="15" borderId="24" xfId="0" applyFont="1" applyFill="1" applyBorder="1" applyAlignment="1">
      <alignment horizontal="center" vertical="center" wrapText="1"/>
    </xf>
    <xf numFmtId="0" fontId="9" fillId="15" borderId="28" xfId="0" applyFont="1" applyFill="1" applyBorder="1" applyAlignment="1">
      <alignment horizontal="center" vertical="center" wrapText="1"/>
    </xf>
    <xf numFmtId="0" fontId="12" fillId="0" borderId="13" xfId="0" applyFont="1" applyBorder="1" applyAlignment="1">
      <alignment horizontal="center" vertical="center" wrapText="1"/>
    </xf>
    <xf numFmtId="0" fontId="12" fillId="0" borderId="22" xfId="0" applyFont="1" applyBorder="1" applyAlignment="1">
      <alignment horizontal="center" vertical="center" wrapText="1"/>
    </xf>
    <xf numFmtId="168" fontId="9" fillId="21" borderId="21" xfId="0" applyNumberFormat="1" applyFont="1" applyFill="1" applyBorder="1" applyAlignment="1">
      <alignment horizontal="center" vertical="center"/>
    </xf>
    <xf numFmtId="168" fontId="9" fillId="21" borderId="64" xfId="0" applyNumberFormat="1" applyFont="1" applyFill="1" applyBorder="1" applyAlignment="1">
      <alignment horizontal="center" vertical="center"/>
    </xf>
    <xf numFmtId="168" fontId="9" fillId="21" borderId="13" xfId="0" applyNumberFormat="1" applyFont="1" applyFill="1" applyBorder="1" applyAlignment="1">
      <alignment horizontal="center" vertical="center"/>
    </xf>
    <xf numFmtId="168" fontId="9" fillId="21" borderId="27" xfId="0" applyNumberFormat="1" applyFont="1" applyFill="1" applyBorder="1" applyAlignment="1">
      <alignment horizontal="center" vertical="center"/>
    </xf>
    <xf numFmtId="0" fontId="9" fillId="21" borderId="13" xfId="0" applyFont="1" applyFill="1" applyBorder="1" applyAlignment="1">
      <alignment horizontal="left" vertical="center" wrapText="1"/>
    </xf>
    <xf numFmtId="0" fontId="9" fillId="21" borderId="22" xfId="0" applyFont="1" applyFill="1" applyBorder="1" applyAlignment="1">
      <alignment horizontal="left" vertical="center" wrapText="1"/>
    </xf>
    <xf numFmtId="0" fontId="9" fillId="21" borderId="27" xfId="0" applyFont="1" applyFill="1" applyBorder="1" applyAlignment="1">
      <alignment horizontal="left" vertical="center" wrapText="1"/>
    </xf>
    <xf numFmtId="0" fontId="9" fillId="21" borderId="65" xfId="0" applyFont="1" applyFill="1" applyBorder="1" applyAlignment="1">
      <alignment horizontal="left" vertical="center" wrapText="1"/>
    </xf>
    <xf numFmtId="0" fontId="9" fillId="12" borderId="19" xfId="0" applyFont="1" applyFill="1" applyBorder="1" applyAlignment="1">
      <alignment horizontal="center" vertical="center" wrapText="1"/>
    </xf>
    <xf numFmtId="168" fontId="9" fillId="33" borderId="21" xfId="0" applyNumberFormat="1" applyFont="1" applyFill="1" applyBorder="1" applyAlignment="1">
      <alignment horizontal="center" vertical="center"/>
    </xf>
    <xf numFmtId="168" fontId="9" fillId="33" borderId="64" xfId="0" applyNumberFormat="1" applyFont="1" applyFill="1" applyBorder="1" applyAlignment="1">
      <alignment horizontal="center" vertical="center"/>
    </xf>
    <xf numFmtId="0" fontId="9" fillId="12" borderId="24" xfId="0" applyFont="1" applyFill="1" applyBorder="1" applyAlignment="1">
      <alignment horizontal="center" vertical="center" wrapText="1"/>
    </xf>
    <xf numFmtId="168" fontId="9" fillId="33" borderId="13" xfId="0" applyNumberFormat="1" applyFont="1" applyFill="1" applyBorder="1" applyAlignment="1">
      <alignment horizontal="center" vertical="center"/>
    </xf>
    <xf numFmtId="168" fontId="9" fillId="33" borderId="27" xfId="0" applyNumberFormat="1" applyFont="1" applyFill="1" applyBorder="1" applyAlignment="1">
      <alignment horizontal="center" vertical="center"/>
    </xf>
    <xf numFmtId="0" fontId="9" fillId="33" borderId="13" xfId="0" applyFont="1" applyFill="1" applyBorder="1" applyAlignment="1">
      <alignment horizontal="left" vertical="center" wrapText="1"/>
    </xf>
    <xf numFmtId="0" fontId="9" fillId="33" borderId="22" xfId="0" applyFont="1" applyFill="1" applyBorder="1" applyAlignment="1">
      <alignment horizontal="left" vertical="center" wrapText="1"/>
    </xf>
    <xf numFmtId="0" fontId="9" fillId="33" borderId="27" xfId="0" applyFont="1" applyFill="1" applyBorder="1" applyAlignment="1">
      <alignment horizontal="left" vertical="center" wrapText="1"/>
    </xf>
    <xf numFmtId="0" fontId="9" fillId="33" borderId="65" xfId="0" applyFont="1" applyFill="1" applyBorder="1" applyAlignment="1">
      <alignment horizontal="left" vertical="center" wrapText="1"/>
    </xf>
    <xf numFmtId="168" fontId="9" fillId="12" borderId="18" xfId="0" applyNumberFormat="1" applyFont="1" applyFill="1" applyBorder="1" applyAlignment="1">
      <alignment horizontal="center" vertical="center"/>
    </xf>
    <xf numFmtId="0" fontId="9" fillId="12" borderId="23" xfId="0" applyFont="1" applyFill="1" applyBorder="1" applyAlignment="1">
      <alignment horizontal="center" vertical="center"/>
    </xf>
    <xf numFmtId="168" fontId="9" fillId="12" borderId="19" xfId="0" applyNumberFormat="1" applyFont="1" applyFill="1" applyBorder="1" applyAlignment="1">
      <alignment horizontal="center" vertical="center"/>
    </xf>
    <xf numFmtId="0" fontId="9" fillId="12" borderId="24" xfId="0" applyFont="1" applyFill="1" applyBorder="1" applyAlignment="1">
      <alignment horizontal="center" vertical="center"/>
    </xf>
    <xf numFmtId="0" fontId="9" fillId="12" borderId="19" xfId="0" applyFont="1" applyFill="1" applyBorder="1" applyAlignment="1">
      <alignment horizontal="left" vertical="center" wrapText="1"/>
    </xf>
    <xf numFmtId="0" fontId="9" fillId="12" borderId="20" xfId="0" applyFont="1" applyFill="1" applyBorder="1" applyAlignment="1">
      <alignment horizontal="left" vertical="center" wrapText="1"/>
    </xf>
    <xf numFmtId="0" fontId="9" fillId="12" borderId="24" xfId="0" applyFont="1" applyFill="1" applyBorder="1" applyAlignment="1">
      <alignment horizontal="left" vertical="center" wrapText="1"/>
    </xf>
    <xf numFmtId="0" fontId="9" fillId="12" borderId="25" xfId="0" applyFont="1" applyFill="1" applyBorder="1" applyAlignment="1">
      <alignment horizontal="left" vertical="center" wrapText="1"/>
    </xf>
    <xf numFmtId="0" fontId="9" fillId="12" borderId="18" xfId="0" applyFont="1" applyFill="1" applyBorder="1" applyAlignment="1">
      <alignment horizontal="center" vertical="center" wrapText="1"/>
    </xf>
    <xf numFmtId="0" fontId="9" fillId="12" borderId="23" xfId="0" applyFont="1" applyFill="1" applyBorder="1" applyAlignment="1">
      <alignment horizontal="center" vertical="center" wrapText="1"/>
    </xf>
    <xf numFmtId="0" fontId="9" fillId="15" borderId="39" xfId="0" applyFont="1" applyFill="1" applyBorder="1" applyAlignment="1">
      <alignment horizontal="center" vertical="center" wrapText="1"/>
    </xf>
    <xf numFmtId="0" fontId="9" fillId="15" borderId="23" xfId="0" applyFont="1" applyFill="1" applyBorder="1" applyAlignment="1">
      <alignment horizontal="center" vertical="center" wrapText="1"/>
    </xf>
    <xf numFmtId="0" fontId="12" fillId="0" borderId="49" xfId="0" applyFont="1" applyBorder="1" applyAlignment="1">
      <alignment horizontal="center" vertical="center" wrapText="1"/>
    </xf>
    <xf numFmtId="0" fontId="12" fillId="0" borderId="42" xfId="0" applyFont="1" applyBorder="1" applyAlignment="1">
      <alignment horizontal="center" vertical="center" wrapText="1"/>
    </xf>
    <xf numFmtId="0" fontId="12" fillId="22" borderId="15" xfId="0" applyFont="1" applyFill="1" applyBorder="1" applyAlignment="1">
      <alignment horizontal="center" vertical="center" wrapText="1"/>
    </xf>
    <xf numFmtId="0" fontId="12" fillId="22" borderId="16" xfId="0" applyFont="1" applyFill="1" applyBorder="1" applyAlignment="1">
      <alignment horizontal="center" vertical="center" wrapText="1"/>
    </xf>
    <xf numFmtId="0" fontId="12" fillId="0" borderId="61" xfId="0" applyFont="1" applyBorder="1" applyAlignment="1">
      <alignment horizontal="center" vertical="center" wrapText="1"/>
    </xf>
    <xf numFmtId="0" fontId="12" fillId="0" borderId="59" xfId="0" applyFont="1" applyBorder="1" applyAlignment="1">
      <alignment horizontal="center" vertical="center" wrapText="1"/>
    </xf>
    <xf numFmtId="0" fontId="12" fillId="0" borderId="73" xfId="0" applyFont="1" applyBorder="1" applyAlignment="1">
      <alignment horizontal="center" vertical="center" wrapText="1"/>
    </xf>
    <xf numFmtId="0" fontId="12" fillId="0" borderId="60" xfId="0" applyFont="1" applyBorder="1" applyAlignment="1">
      <alignment horizontal="center" vertical="center" wrapText="1"/>
    </xf>
    <xf numFmtId="0" fontId="12" fillId="0" borderId="47" xfId="0" applyFont="1" applyBorder="1" applyAlignment="1">
      <alignment horizontal="center" vertical="center" textRotation="90" wrapText="1"/>
    </xf>
    <xf numFmtId="0" fontId="12" fillId="0" borderId="74" xfId="0" applyFont="1" applyBorder="1" applyAlignment="1">
      <alignment horizontal="center" vertical="center" textRotation="90" wrapText="1"/>
    </xf>
    <xf numFmtId="0" fontId="12" fillId="0" borderId="48" xfId="0" applyFont="1" applyBorder="1" applyAlignment="1">
      <alignment horizontal="center" vertical="center" textRotation="90" wrapText="1"/>
    </xf>
    <xf numFmtId="0" fontId="12" fillId="29" borderId="49" xfId="0" applyFont="1" applyFill="1" applyBorder="1" applyAlignment="1">
      <alignment horizontal="center" vertical="center" wrapText="1"/>
    </xf>
    <xf numFmtId="0" fontId="12" fillId="29" borderId="42" xfId="0" applyFont="1" applyFill="1" applyBorder="1" applyAlignment="1">
      <alignment horizontal="center" vertical="center" wrapText="1"/>
    </xf>
    <xf numFmtId="0" fontId="9" fillId="33" borderId="18" xfId="0" applyFont="1" applyFill="1" applyBorder="1" applyAlignment="1">
      <alignment horizontal="center" vertical="center" wrapText="1"/>
    </xf>
    <xf numFmtId="0" fontId="9" fillId="33" borderId="23" xfId="0" applyFont="1" applyFill="1" applyBorder="1" applyAlignment="1">
      <alignment horizontal="center" vertical="center" wrapText="1"/>
    </xf>
    <xf numFmtId="0" fontId="9" fillId="33" borderId="19" xfId="0" applyFont="1" applyFill="1" applyBorder="1" applyAlignment="1">
      <alignment horizontal="center" vertical="center" wrapText="1"/>
    </xf>
    <xf numFmtId="0" fontId="9" fillId="33" borderId="24" xfId="0" applyFont="1" applyFill="1" applyBorder="1" applyAlignment="1">
      <alignment horizontal="center" vertical="center" wrapText="1"/>
    </xf>
    <xf numFmtId="0" fontId="9" fillId="21" borderId="18" xfId="0" applyFont="1" applyFill="1" applyBorder="1" applyAlignment="1">
      <alignment horizontal="center" vertical="center" wrapText="1"/>
    </xf>
    <xf numFmtId="0" fontId="9" fillId="21" borderId="23" xfId="0" applyFont="1" applyFill="1" applyBorder="1" applyAlignment="1">
      <alignment horizontal="center" vertical="center" wrapText="1"/>
    </xf>
    <xf numFmtId="0" fontId="9" fillId="21" borderId="19" xfId="0" applyFont="1" applyFill="1" applyBorder="1" applyAlignment="1">
      <alignment horizontal="center" vertical="center" wrapText="1"/>
    </xf>
    <xf numFmtId="0" fontId="9" fillId="21" borderId="24" xfId="0" applyFont="1" applyFill="1" applyBorder="1" applyAlignment="1">
      <alignment horizontal="center" vertical="center" wrapText="1"/>
    </xf>
    <xf numFmtId="165" fontId="3" fillId="0" borderId="0" xfId="2" applyNumberFormat="1" applyFont="1" applyFill="1" applyBorder="1" applyAlignment="1">
      <alignment horizontal="center" vertical="center"/>
    </xf>
    <xf numFmtId="164" fontId="3" fillId="2" borderId="1" xfId="4" applyFont="1" applyFill="1" applyBorder="1" applyAlignment="1">
      <alignment horizontal="center" vertical="center" wrapText="1"/>
    </xf>
    <xf numFmtId="164" fontId="3" fillId="2" borderId="0" xfId="4" applyFont="1" applyFill="1" applyAlignment="1">
      <alignment horizontal="center" vertical="center" wrapText="1"/>
    </xf>
    <xf numFmtId="41" fontId="3" fillId="3" borderId="2" xfId="1" applyFont="1" applyFill="1" applyBorder="1" applyAlignment="1">
      <alignment horizontal="left" vertical="center" wrapText="1"/>
    </xf>
    <xf numFmtId="41" fontId="3" fillId="4" borderId="2" xfId="1" applyFont="1" applyFill="1" applyBorder="1" applyAlignment="1">
      <alignment horizontal="center" vertical="center"/>
    </xf>
    <xf numFmtId="41" fontId="3" fillId="2" borderId="2" xfId="1" applyFont="1" applyFill="1" applyBorder="1" applyAlignment="1">
      <alignment horizontal="left" vertical="center"/>
    </xf>
    <xf numFmtId="41" fontId="6" fillId="0" borderId="4" xfId="1" applyFont="1" applyFill="1" applyBorder="1" applyAlignment="1">
      <alignment horizontal="left" vertical="center"/>
    </xf>
    <xf numFmtId="41" fontId="6" fillId="0" borderId="5" xfId="1" applyFont="1" applyFill="1" applyBorder="1" applyAlignment="1">
      <alignment horizontal="left" vertical="center"/>
    </xf>
    <xf numFmtId="41" fontId="6" fillId="0" borderId="6" xfId="1" applyFont="1" applyFill="1" applyBorder="1" applyAlignment="1">
      <alignment horizontal="left" vertical="center"/>
    </xf>
    <xf numFmtId="41" fontId="3" fillId="4" borderId="7" xfId="1" applyFont="1" applyFill="1" applyBorder="1" applyAlignment="1">
      <alignment horizontal="center" vertical="center"/>
    </xf>
    <xf numFmtId="41" fontId="3" fillId="4" borderId="8" xfId="1" applyFont="1" applyFill="1" applyBorder="1" applyAlignment="1">
      <alignment horizontal="center" vertical="center"/>
    </xf>
    <xf numFmtId="41" fontId="6" fillId="3" borderId="2" xfId="1" applyFont="1" applyFill="1" applyBorder="1" applyAlignment="1">
      <alignment horizontal="center" vertical="center" wrapText="1"/>
    </xf>
    <xf numFmtId="41" fontId="6" fillId="3" borderId="2" xfId="1" applyFont="1" applyFill="1" applyBorder="1" applyAlignment="1">
      <alignment horizontal="left" vertical="center"/>
    </xf>
    <xf numFmtId="41" fontId="6" fillId="2" borderId="2" xfId="1" applyFont="1" applyFill="1" applyBorder="1" applyAlignment="1">
      <alignment horizontal="left" vertical="center"/>
    </xf>
    <xf numFmtId="41" fontId="6" fillId="3" borderId="4" xfId="1" applyFont="1" applyFill="1" applyBorder="1" applyAlignment="1">
      <alignment horizontal="left" vertical="center"/>
    </xf>
    <xf numFmtId="41" fontId="6" fillId="3" borderId="6" xfId="1" applyFont="1" applyFill="1" applyBorder="1" applyAlignment="1">
      <alignment horizontal="left" vertical="center"/>
    </xf>
    <xf numFmtId="41" fontId="6" fillId="2" borderId="4" xfId="1" applyFont="1" applyFill="1" applyBorder="1" applyAlignment="1">
      <alignment horizontal="left" vertical="center"/>
    </xf>
    <xf numFmtId="41" fontId="6" fillId="2" borderId="5" xfId="1" applyFont="1" applyFill="1" applyBorder="1" applyAlignment="1">
      <alignment horizontal="left" vertical="center"/>
    </xf>
    <xf numFmtId="41" fontId="6" fillId="6" borderId="9" xfId="1" applyFont="1" applyFill="1" applyBorder="1" applyAlignment="1">
      <alignment horizontal="left" vertical="center"/>
    </xf>
    <xf numFmtId="41" fontId="6" fillId="6" borderId="11" xfId="1" applyFont="1" applyFill="1" applyBorder="1" applyAlignment="1">
      <alignment horizontal="left" vertical="center"/>
    </xf>
    <xf numFmtId="41" fontId="6" fillId="6" borderId="12" xfId="1" applyFont="1" applyFill="1" applyBorder="1" applyAlignment="1">
      <alignment horizontal="left" vertical="center"/>
    </xf>
    <xf numFmtId="41" fontId="6" fillId="7" borderId="7" xfId="1" applyFont="1" applyFill="1" applyBorder="1" applyAlignment="1">
      <alignment horizontal="center" vertical="center" wrapText="1"/>
    </xf>
    <xf numFmtId="41" fontId="6" fillId="7" borderId="8" xfId="1" applyFont="1" applyFill="1" applyBorder="1" applyAlignment="1">
      <alignment horizontal="center" vertical="center" wrapText="1"/>
    </xf>
    <xf numFmtId="41" fontId="6" fillId="5" borderId="4" xfId="1" applyFont="1" applyFill="1" applyBorder="1" applyAlignment="1">
      <alignment horizontal="left" vertical="center"/>
    </xf>
    <xf numFmtId="41" fontId="6" fillId="5" borderId="6" xfId="1" applyFont="1" applyFill="1" applyBorder="1" applyAlignment="1">
      <alignment horizontal="left" vertical="center"/>
    </xf>
    <xf numFmtId="0" fontId="12" fillId="10" borderId="15" xfId="0" applyFont="1" applyFill="1" applyBorder="1" applyAlignment="1">
      <alignment horizontal="center" vertical="center" wrapText="1"/>
    </xf>
    <xf numFmtId="0" fontId="12" fillId="10" borderId="16" xfId="0" applyFont="1" applyFill="1" applyBorder="1" applyAlignment="1">
      <alignment horizontal="center" vertical="center" wrapText="1"/>
    </xf>
    <xf numFmtId="0" fontId="12" fillId="0" borderId="50" xfId="0" applyFont="1" applyBorder="1" applyAlignment="1">
      <alignment horizontal="center" vertical="center" wrapText="1"/>
    </xf>
    <xf numFmtId="0" fontId="12" fillId="0" borderId="87"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33" xfId="0" applyFont="1" applyBorder="1" applyAlignment="1">
      <alignment horizontal="center" vertical="center" wrapText="1"/>
    </xf>
    <xf numFmtId="0" fontId="9" fillId="0" borderId="0" xfId="0" applyFont="1" applyAlignment="1">
      <alignment horizontal="center" vertical="center" wrapText="1"/>
    </xf>
    <xf numFmtId="0" fontId="12" fillId="0" borderId="56" xfId="0" applyFont="1" applyBorder="1" applyAlignment="1">
      <alignment horizontal="center" vertical="center" wrapText="1"/>
    </xf>
    <xf numFmtId="0" fontId="12" fillId="0" borderId="53" xfId="0" applyFont="1" applyBorder="1" applyAlignment="1">
      <alignment horizontal="center" vertical="center" wrapText="1"/>
    </xf>
    <xf numFmtId="0" fontId="12" fillId="0" borderId="62" xfId="0" applyFont="1" applyBorder="1" applyAlignment="1">
      <alignment horizontal="center" vertical="center" wrapText="1"/>
    </xf>
    <xf numFmtId="0" fontId="9" fillId="0" borderId="44" xfId="0" applyFont="1" applyBorder="1" applyAlignment="1">
      <alignment horizontal="center" vertical="center" wrapText="1"/>
    </xf>
    <xf numFmtId="0" fontId="9" fillId="0" borderId="66" xfId="0" applyFont="1" applyBorder="1" applyAlignment="1">
      <alignment horizontal="center" vertical="center" wrapText="1"/>
    </xf>
    <xf numFmtId="0" fontId="9" fillId="0" borderId="32" xfId="0" applyFont="1" applyBorder="1" applyAlignment="1">
      <alignment horizontal="center" vertical="center" wrapText="1"/>
    </xf>
    <xf numFmtId="0" fontId="9" fillId="0" borderId="45" xfId="0" applyFont="1" applyBorder="1" applyAlignment="1">
      <alignment horizontal="center" vertical="center" wrapText="1"/>
    </xf>
    <xf numFmtId="0" fontId="9" fillId="0" borderId="91" xfId="0" applyFont="1" applyBorder="1" applyAlignment="1">
      <alignment horizontal="center" vertical="center" wrapText="1"/>
    </xf>
    <xf numFmtId="0" fontId="9" fillId="0" borderId="83" xfId="0" applyFont="1" applyBorder="1" applyAlignment="1">
      <alignment horizontal="center" vertical="center" wrapText="1"/>
    </xf>
    <xf numFmtId="0" fontId="9" fillId="0" borderId="51" xfId="0" applyFont="1" applyBorder="1" applyAlignment="1">
      <alignment horizontal="center" vertical="center" wrapText="1"/>
    </xf>
    <xf numFmtId="0" fontId="9" fillId="0" borderId="69" xfId="0" applyFont="1" applyBorder="1" applyAlignment="1">
      <alignment horizontal="center" vertical="center" wrapText="1"/>
    </xf>
    <xf numFmtId="0" fontId="9" fillId="0" borderId="68" xfId="0" applyFont="1" applyBorder="1" applyAlignment="1">
      <alignment horizontal="center" vertical="center" wrapText="1"/>
    </xf>
    <xf numFmtId="164" fontId="11" fillId="0" borderId="0" xfId="4" applyFont="1" applyAlignment="1">
      <alignment horizontal="center" vertical="center" wrapText="1"/>
    </xf>
    <xf numFmtId="164" fontId="11" fillId="0" borderId="56" xfId="4" applyFont="1" applyBorder="1" applyAlignment="1">
      <alignment horizontal="center" vertical="center" wrapText="1"/>
    </xf>
    <xf numFmtId="164" fontId="11" fillId="0" borderId="62" xfId="4" applyFont="1" applyBorder="1" applyAlignment="1">
      <alignment horizontal="center" vertical="center" wrapText="1"/>
    </xf>
    <xf numFmtId="164" fontId="11" fillId="2" borderId="20" xfId="4" applyFont="1" applyFill="1" applyBorder="1" applyAlignment="1">
      <alignment horizontal="center" vertical="center" wrapText="1"/>
    </xf>
    <xf numFmtId="164" fontId="11" fillId="2" borderId="22" xfId="4" applyFont="1" applyFill="1" applyBorder="1" applyAlignment="1">
      <alignment horizontal="center" vertical="center" wrapText="1"/>
    </xf>
    <xf numFmtId="164" fontId="11" fillId="2" borderId="25" xfId="4" applyFont="1" applyFill="1" applyBorder="1" applyAlignment="1">
      <alignment horizontal="center" vertical="center" wrapText="1"/>
    </xf>
    <xf numFmtId="164" fontId="11" fillId="2" borderId="90" xfId="4" applyFont="1" applyFill="1" applyBorder="1" applyAlignment="1">
      <alignment horizontal="center" vertical="center" wrapText="1"/>
    </xf>
    <xf numFmtId="164" fontId="11" fillId="2" borderId="59" xfId="4" applyFont="1" applyFill="1" applyBorder="1" applyAlignment="1">
      <alignment horizontal="center" vertical="center" wrapText="1"/>
    </xf>
    <xf numFmtId="41" fontId="11" fillId="3" borderId="39" xfId="1" applyFont="1" applyFill="1" applyBorder="1" applyAlignment="1">
      <alignment horizontal="center" vertical="center" wrapText="1"/>
    </xf>
    <xf numFmtId="41" fontId="11" fillId="3" borderId="21" xfId="1" applyFont="1" applyFill="1" applyBorder="1" applyAlignment="1">
      <alignment horizontal="center" vertical="center" wrapText="1"/>
    </xf>
    <xf numFmtId="41" fontId="11" fillId="3" borderId="23" xfId="1" applyFont="1" applyFill="1" applyBorder="1" applyAlignment="1">
      <alignment horizontal="center" vertical="center" wrapText="1"/>
    </xf>
    <xf numFmtId="41" fontId="11" fillId="4" borderId="38" xfId="1" applyFont="1" applyFill="1" applyBorder="1" applyAlignment="1">
      <alignment horizontal="center" vertical="center" wrapText="1"/>
    </xf>
    <xf numFmtId="41" fontId="11" fillId="4" borderId="69" xfId="1" applyFont="1" applyFill="1" applyBorder="1" applyAlignment="1">
      <alignment horizontal="center" vertical="center" wrapText="1"/>
    </xf>
    <xf numFmtId="41" fontId="11" fillId="4" borderId="81" xfId="1" applyFont="1" applyFill="1" applyBorder="1" applyAlignment="1">
      <alignment horizontal="center" vertical="center" wrapText="1"/>
    </xf>
    <xf numFmtId="164" fontId="11" fillId="2" borderId="61" xfId="4" applyFont="1" applyFill="1" applyBorder="1" applyAlignment="1">
      <alignment horizontal="center" vertical="center" wrapText="1"/>
    </xf>
    <xf numFmtId="164" fontId="11" fillId="2" borderId="58" xfId="4" applyFont="1" applyFill="1" applyBorder="1" applyAlignment="1">
      <alignment horizontal="center" vertical="center" wrapText="1"/>
    </xf>
    <xf numFmtId="164" fontId="11" fillId="23" borderId="58" xfId="4" applyFont="1" applyFill="1" applyBorder="1" applyAlignment="1">
      <alignment horizontal="center" vertical="center" wrapText="1"/>
    </xf>
    <xf numFmtId="164" fontId="11" fillId="23" borderId="53" xfId="4" applyFont="1" applyFill="1" applyBorder="1" applyAlignment="1">
      <alignment horizontal="center" vertical="center" wrapText="1"/>
    </xf>
    <xf numFmtId="164" fontId="11" fillId="23" borderId="62" xfId="4" applyFont="1" applyFill="1" applyBorder="1" applyAlignment="1">
      <alignment horizontal="center" vertical="center" wrapText="1"/>
    </xf>
    <xf numFmtId="164" fontId="11" fillId="2" borderId="49" xfId="4" applyFont="1" applyFill="1" applyBorder="1" applyAlignment="1">
      <alignment horizontal="center" vertical="center" wrapText="1"/>
    </xf>
    <xf numFmtId="164" fontId="11" fillId="2" borderId="70" xfId="4" applyFont="1" applyFill="1" applyBorder="1" applyAlignment="1">
      <alignment horizontal="center" vertical="center" wrapText="1"/>
    </xf>
    <xf numFmtId="164" fontId="11" fillId="2" borderId="50" xfId="4" applyFont="1" applyFill="1" applyBorder="1" applyAlignment="1">
      <alignment horizontal="center" vertical="center" wrapText="1"/>
    </xf>
    <xf numFmtId="164" fontId="11" fillId="2" borderId="42" xfId="4" applyFont="1" applyFill="1" applyBorder="1" applyAlignment="1">
      <alignment horizontal="center" vertical="center" wrapText="1"/>
    </xf>
    <xf numFmtId="164" fontId="11" fillId="2" borderId="29" xfId="4" applyFont="1" applyFill="1" applyBorder="1" applyAlignment="1">
      <alignment horizontal="center" vertical="center" wrapText="1"/>
    </xf>
    <xf numFmtId="164" fontId="11" fillId="2" borderId="33" xfId="4" applyFont="1" applyFill="1" applyBorder="1" applyAlignment="1">
      <alignment horizontal="center" vertical="center" wrapText="1"/>
    </xf>
    <xf numFmtId="164" fontId="11" fillId="2" borderId="71" xfId="4" applyFont="1" applyFill="1" applyBorder="1" applyAlignment="1">
      <alignment horizontal="center" vertical="center" wrapText="1"/>
    </xf>
    <xf numFmtId="164" fontId="11" fillId="2" borderId="87" xfId="4" applyFont="1" applyFill="1" applyBorder="1" applyAlignment="1">
      <alignment horizontal="center" vertical="center" wrapText="1"/>
    </xf>
    <xf numFmtId="164" fontId="12" fillId="25" borderId="34" xfId="4" applyFont="1" applyFill="1" applyBorder="1" applyAlignment="1">
      <alignment horizontal="center" vertical="center" wrapText="1"/>
    </xf>
    <xf numFmtId="164" fontId="12" fillId="25" borderId="36" xfId="4" applyFont="1" applyFill="1" applyBorder="1" applyAlignment="1">
      <alignment horizontal="center" vertical="center" wrapText="1"/>
    </xf>
    <xf numFmtId="164" fontId="12" fillId="25" borderId="32" xfId="4" applyFont="1" applyFill="1" applyBorder="1" applyAlignment="1">
      <alignment horizontal="center" vertical="center" wrapText="1"/>
    </xf>
    <xf numFmtId="164" fontId="12" fillId="25" borderId="83" xfId="4" applyFont="1" applyFill="1" applyBorder="1" applyAlignment="1">
      <alignment horizontal="center" vertical="center" wrapText="1"/>
    </xf>
    <xf numFmtId="164" fontId="12" fillId="25" borderId="68" xfId="4" applyFont="1" applyFill="1" applyBorder="1" applyAlignment="1">
      <alignment horizontal="center" vertical="center" wrapText="1"/>
    </xf>
    <xf numFmtId="164" fontId="12" fillId="24" borderId="63" xfId="4" applyFont="1" applyFill="1" applyBorder="1" applyAlignment="1">
      <alignment horizontal="center" vertical="center" wrapText="1"/>
    </xf>
    <xf numFmtId="164" fontId="12" fillId="24" borderId="46" xfId="4" applyFont="1" applyFill="1" applyBorder="1" applyAlignment="1">
      <alignment horizontal="center" vertical="center" wrapText="1"/>
    </xf>
    <xf numFmtId="164" fontId="12" fillId="24" borderId="54" xfId="4" applyFont="1" applyFill="1" applyBorder="1" applyAlignment="1">
      <alignment horizontal="center" vertical="center" wrapText="1"/>
    </xf>
    <xf numFmtId="164" fontId="12" fillId="24" borderId="20" xfId="4" applyFont="1" applyFill="1" applyBorder="1" applyAlignment="1">
      <alignment horizontal="center" vertical="center" wrapText="1"/>
    </xf>
    <xf numFmtId="164" fontId="12" fillId="24" borderId="40" xfId="4" applyFont="1" applyFill="1" applyBorder="1" applyAlignment="1">
      <alignment horizontal="center" vertical="center" wrapText="1"/>
    </xf>
    <xf numFmtId="164" fontId="12" fillId="24" borderId="25" xfId="4" applyFont="1" applyFill="1" applyBorder="1" applyAlignment="1">
      <alignment horizontal="center" vertical="center" wrapText="1"/>
    </xf>
    <xf numFmtId="164" fontId="11" fillId="2" borderId="18" xfId="4" applyFont="1" applyFill="1" applyBorder="1" applyAlignment="1">
      <alignment horizontal="center" vertical="center" wrapText="1"/>
    </xf>
    <xf numFmtId="164" fontId="11" fillId="2" borderId="23" xfId="4" applyFont="1" applyFill="1" applyBorder="1" applyAlignment="1">
      <alignment horizontal="center" vertical="center" wrapText="1"/>
    </xf>
    <xf numFmtId="49" fontId="12" fillId="24" borderId="86" xfId="2" applyNumberFormat="1" applyFont="1" applyFill="1" applyBorder="1" applyAlignment="1">
      <alignment horizontal="center" vertical="center" wrapText="1"/>
    </xf>
    <xf numFmtId="49" fontId="12" fillId="24" borderId="29" xfId="2" applyNumberFormat="1" applyFont="1" applyFill="1" applyBorder="1" applyAlignment="1">
      <alignment horizontal="center" vertical="center" wrapText="1"/>
    </xf>
    <xf numFmtId="49" fontId="12" fillId="24" borderId="71" xfId="2" applyNumberFormat="1" applyFont="1" applyFill="1" applyBorder="1" applyAlignment="1">
      <alignment horizontal="center" vertical="center" wrapText="1"/>
    </xf>
    <xf numFmtId="0" fontId="12" fillId="0" borderId="17" xfId="0" applyFont="1" applyBorder="1" applyAlignment="1">
      <alignment horizontal="center" vertical="center" wrapText="1"/>
    </xf>
    <xf numFmtId="164" fontId="11" fillId="2" borderId="47" xfId="4" applyFont="1" applyFill="1" applyBorder="1" applyAlignment="1">
      <alignment horizontal="center" vertical="center" wrapText="1"/>
    </xf>
    <xf numFmtId="164" fontId="11" fillId="2" borderId="74" xfId="4" applyFont="1" applyFill="1" applyBorder="1" applyAlignment="1">
      <alignment horizontal="center" vertical="center" wrapText="1"/>
    </xf>
    <xf numFmtId="164" fontId="11" fillId="2" borderId="48" xfId="4" applyFont="1" applyFill="1" applyBorder="1" applyAlignment="1">
      <alignment horizontal="center" vertical="center" wrapText="1"/>
    </xf>
    <xf numFmtId="164" fontId="11" fillId="2" borderId="21" xfId="4" applyFont="1" applyFill="1" applyBorder="1" applyAlignment="1">
      <alignment horizontal="center" vertical="center" wrapText="1"/>
    </xf>
    <xf numFmtId="164" fontId="11" fillId="2" borderId="43" xfId="4" applyFont="1" applyFill="1" applyBorder="1" applyAlignment="1">
      <alignment horizontal="center" vertical="center" wrapText="1"/>
    </xf>
    <xf numFmtId="164" fontId="11" fillId="2" borderId="72" xfId="4" applyFont="1" applyFill="1" applyBorder="1" applyAlignment="1">
      <alignment horizontal="center" vertical="center" wrapText="1"/>
    </xf>
    <xf numFmtId="164" fontId="11" fillId="2" borderId="37" xfId="4" applyFont="1" applyFill="1" applyBorder="1" applyAlignment="1">
      <alignment horizontal="center" vertical="center" wrapText="1"/>
    </xf>
    <xf numFmtId="164" fontId="11" fillId="2" borderId="56" xfId="4" applyFont="1" applyFill="1" applyBorder="1" applyAlignment="1">
      <alignment horizontal="center" vertical="center" wrapText="1"/>
    </xf>
    <xf numFmtId="164" fontId="11" fillId="2" borderId="62" xfId="4" applyFont="1" applyFill="1" applyBorder="1" applyAlignment="1">
      <alignment horizontal="center" vertical="center" wrapText="1"/>
    </xf>
    <xf numFmtId="165" fontId="11" fillId="0" borderId="56" xfId="2" applyNumberFormat="1" applyFont="1" applyFill="1" applyBorder="1" applyAlignment="1">
      <alignment horizontal="center" vertical="center" wrapText="1"/>
    </xf>
    <xf numFmtId="165" fontId="11" fillId="0" borderId="62" xfId="2" applyNumberFormat="1" applyFont="1" applyFill="1" applyBorder="1" applyAlignment="1">
      <alignment horizontal="center" vertical="center" wrapText="1"/>
    </xf>
    <xf numFmtId="164" fontId="11" fillId="2" borderId="65" xfId="4" applyFont="1" applyFill="1" applyBorder="1" applyAlignment="1">
      <alignment horizontal="center" vertical="center" wrapText="1"/>
    </xf>
    <xf numFmtId="49" fontId="12" fillId="24" borderId="70" xfId="2" applyNumberFormat="1" applyFont="1" applyFill="1" applyBorder="1" applyAlignment="1">
      <alignment horizontal="center" vertical="center" wrapText="1"/>
    </xf>
    <xf numFmtId="41" fontId="11" fillId="4" borderId="68" xfId="1" applyFont="1" applyFill="1" applyBorder="1" applyAlignment="1">
      <alignment horizontal="center" vertical="center" wrapText="1"/>
    </xf>
    <xf numFmtId="164" fontId="11" fillId="2" borderId="64" xfId="4" applyFont="1" applyFill="1" applyBorder="1" applyAlignment="1">
      <alignment horizontal="center" vertical="center" wrapText="1"/>
    </xf>
    <xf numFmtId="164" fontId="11" fillId="2" borderId="39" xfId="4" applyFont="1" applyFill="1" applyBorder="1" applyAlignment="1">
      <alignment horizontal="center" vertical="center" wrapText="1"/>
    </xf>
    <xf numFmtId="164" fontId="11" fillId="2" borderId="27" xfId="4" applyFont="1" applyFill="1" applyBorder="1" applyAlignment="1">
      <alignment horizontal="center" vertical="center" wrapText="1"/>
    </xf>
    <xf numFmtId="164" fontId="11" fillId="2" borderId="28" xfId="4" applyFont="1" applyFill="1" applyBorder="1" applyAlignment="1">
      <alignment horizontal="center" vertical="center" wrapText="1"/>
    </xf>
    <xf numFmtId="164" fontId="12" fillId="25" borderId="63" xfId="4" applyFont="1" applyFill="1" applyBorder="1" applyAlignment="1">
      <alignment horizontal="center" vertical="center" wrapText="1"/>
    </xf>
    <xf numFmtId="164" fontId="12" fillId="25" borderId="21" xfId="4" applyFont="1" applyFill="1" applyBorder="1" applyAlignment="1">
      <alignment horizontal="center" vertical="center" wrapText="1"/>
    </xf>
    <xf numFmtId="164" fontId="12" fillId="25" borderId="20" xfId="4" applyFont="1" applyFill="1" applyBorder="1" applyAlignment="1">
      <alignment horizontal="center" vertical="center" wrapText="1"/>
    </xf>
    <xf numFmtId="164" fontId="12" fillId="25" borderId="22" xfId="4" applyFont="1" applyFill="1" applyBorder="1" applyAlignment="1">
      <alignment horizontal="center" vertical="center" wrapText="1"/>
    </xf>
    <xf numFmtId="164" fontId="12" fillId="25" borderId="65" xfId="4" applyFont="1" applyFill="1" applyBorder="1" applyAlignment="1">
      <alignment horizontal="center" vertical="center" wrapText="1"/>
    </xf>
    <xf numFmtId="164" fontId="12" fillId="24" borderId="18" xfId="4" applyFont="1" applyFill="1" applyBorder="1" applyAlignment="1">
      <alignment horizontal="center" vertical="center" wrapText="1"/>
    </xf>
    <xf numFmtId="164" fontId="12" fillId="24" borderId="39" xfId="4" applyFont="1" applyFill="1" applyBorder="1" applyAlignment="1">
      <alignment horizontal="center" vertical="center" wrapText="1"/>
    </xf>
    <xf numFmtId="164" fontId="12" fillId="24" borderId="23" xfId="4" applyFont="1" applyFill="1" applyBorder="1" applyAlignment="1">
      <alignment horizontal="center" vertical="center" wrapText="1"/>
    </xf>
    <xf numFmtId="164" fontId="11" fillId="2" borderId="40" xfId="4" applyFont="1" applyFill="1" applyBorder="1" applyAlignment="1">
      <alignment horizontal="center" vertical="center" wrapText="1"/>
    </xf>
    <xf numFmtId="49" fontId="12" fillId="24" borderId="39" xfId="2" applyNumberFormat="1" applyFont="1" applyFill="1" applyBorder="1" applyAlignment="1">
      <alignment horizontal="center" vertical="center" wrapText="1"/>
    </xf>
    <xf numFmtId="49" fontId="12" fillId="24" borderId="28" xfId="2" applyNumberFormat="1" applyFont="1" applyFill="1" applyBorder="1" applyAlignment="1">
      <alignment horizontal="center" vertical="center" wrapText="1"/>
    </xf>
    <xf numFmtId="49" fontId="12" fillId="24" borderId="55" xfId="2" applyNumberFormat="1" applyFont="1" applyFill="1" applyBorder="1" applyAlignment="1">
      <alignment horizontal="center" vertical="center" wrapText="1"/>
    </xf>
    <xf numFmtId="41" fontId="11" fillId="4" borderId="24" xfId="1" applyFont="1" applyFill="1" applyBorder="1" applyAlignment="1">
      <alignment horizontal="center" vertical="center" wrapText="1"/>
    </xf>
    <xf numFmtId="164" fontId="11" fillId="2" borderId="44" xfId="4" applyFont="1" applyFill="1" applyBorder="1" applyAlignment="1">
      <alignment horizontal="center" vertical="center" wrapText="1"/>
    </xf>
    <xf numFmtId="164" fontId="11" fillId="2" borderId="66" xfId="4" applyFont="1" applyFill="1" applyBorder="1" applyAlignment="1">
      <alignment horizontal="center" vertical="center" wrapText="1"/>
    </xf>
    <xf numFmtId="164" fontId="11" fillId="2" borderId="32" xfId="4" applyFont="1" applyFill="1" applyBorder="1" applyAlignment="1">
      <alignment horizontal="center" vertical="center" wrapText="1"/>
    </xf>
    <xf numFmtId="41" fontId="11" fillId="3" borderId="34" xfId="1" applyFont="1" applyFill="1" applyBorder="1" applyAlignment="1">
      <alignment horizontal="center" vertical="center" wrapText="1"/>
    </xf>
    <xf numFmtId="41" fontId="11" fillId="3" borderId="74" xfId="1" applyFont="1" applyFill="1" applyBorder="1" applyAlignment="1">
      <alignment horizontal="center" vertical="center" wrapText="1"/>
    </xf>
    <xf numFmtId="41" fontId="11" fillId="3" borderId="36" xfId="1" applyFont="1" applyFill="1" applyBorder="1" applyAlignment="1">
      <alignment horizontal="center" vertical="center" wrapText="1"/>
    </xf>
    <xf numFmtId="41" fontId="11" fillId="4" borderId="82" xfId="1" applyFont="1" applyFill="1" applyBorder="1" applyAlignment="1">
      <alignment horizontal="center" vertical="center" wrapText="1"/>
    </xf>
    <xf numFmtId="41" fontId="11" fillId="3" borderId="35" xfId="1" applyFont="1" applyFill="1" applyBorder="1" applyAlignment="1">
      <alignment horizontal="center" vertical="center" wrapText="1"/>
    </xf>
    <xf numFmtId="41" fontId="11" fillId="4" borderId="23" xfId="1" applyFont="1" applyFill="1" applyBorder="1" applyAlignment="1">
      <alignment horizontal="center" vertical="center" wrapText="1"/>
    </xf>
    <xf numFmtId="41" fontId="11" fillId="4" borderId="56" xfId="1" applyFont="1" applyFill="1" applyBorder="1" applyAlignment="1">
      <alignment horizontal="center" vertical="center" wrapText="1"/>
    </xf>
    <xf numFmtId="41" fontId="11" fillId="4" borderId="53" xfId="1" applyFont="1" applyFill="1" applyBorder="1" applyAlignment="1">
      <alignment horizontal="center" vertical="center" wrapText="1"/>
    </xf>
    <xf numFmtId="41" fontId="11" fillId="4" borderId="62" xfId="1" applyFont="1" applyFill="1" applyBorder="1" applyAlignment="1">
      <alignment horizontal="center" vertical="center" wrapText="1"/>
    </xf>
    <xf numFmtId="41" fontId="11" fillId="3" borderId="61" xfId="1" applyFont="1" applyFill="1" applyBorder="1" applyAlignment="1">
      <alignment horizontal="center" vertical="center" wrapText="1"/>
    </xf>
    <xf numFmtId="41" fontId="11" fillId="3" borderId="57" xfId="1" applyFont="1" applyFill="1" applyBorder="1" applyAlignment="1">
      <alignment horizontal="center" vertical="center" wrapText="1"/>
    </xf>
    <xf numFmtId="41" fontId="11" fillId="3" borderId="73" xfId="1" applyFont="1" applyFill="1" applyBorder="1" applyAlignment="1">
      <alignment horizontal="center" vertical="center" wrapText="1"/>
    </xf>
    <xf numFmtId="41" fontId="11" fillId="3" borderId="45" xfId="1" applyFont="1" applyFill="1" applyBorder="1" applyAlignment="1">
      <alignment horizontal="center" vertical="center" wrapText="1"/>
    </xf>
    <xf numFmtId="41" fontId="11" fillId="3" borderId="51" xfId="1" applyFont="1" applyFill="1" applyBorder="1" applyAlignment="1">
      <alignment horizontal="center" vertical="center" wrapText="1"/>
    </xf>
    <xf numFmtId="164" fontId="11" fillId="2" borderId="67" xfId="4" applyFont="1" applyFill="1" applyBorder="1" applyAlignment="1">
      <alignment horizontal="center" vertical="center" wrapText="1"/>
    </xf>
    <xf numFmtId="164" fontId="11" fillId="2" borderId="57" xfId="4" applyFont="1" applyFill="1" applyBorder="1" applyAlignment="1">
      <alignment horizontal="center" vertical="center" wrapText="1"/>
    </xf>
    <xf numFmtId="164" fontId="11" fillId="2" borderId="41" xfId="4" applyFont="1" applyFill="1" applyBorder="1" applyAlignment="1">
      <alignment horizontal="center" vertical="center" wrapText="1"/>
    </xf>
    <xf numFmtId="0" fontId="9" fillId="0" borderId="18" xfId="0" applyFont="1" applyBorder="1" applyAlignment="1">
      <alignment horizontal="center" vertical="center" wrapText="1"/>
    </xf>
    <xf numFmtId="0" fontId="9" fillId="0" borderId="23" xfId="0" applyFont="1" applyBorder="1" applyAlignment="1">
      <alignment horizontal="center" vertical="center" wrapText="1"/>
    </xf>
    <xf numFmtId="41" fontId="11" fillId="4" borderId="87" xfId="1" applyFont="1" applyFill="1" applyBorder="1" applyAlignment="1">
      <alignment horizontal="center" vertical="center" wrapText="1"/>
    </xf>
    <xf numFmtId="0" fontId="12" fillId="0" borderId="43" xfId="0" applyFont="1" applyBorder="1" applyAlignment="1">
      <alignment horizontal="center" vertical="center" wrapText="1"/>
    </xf>
    <xf numFmtId="0" fontId="9" fillId="0" borderId="57" xfId="0" applyFont="1" applyBorder="1" applyAlignment="1">
      <alignment horizontal="center" vertical="center" wrapText="1"/>
    </xf>
    <xf numFmtId="0" fontId="12" fillId="0" borderId="18" xfId="0" applyFont="1" applyBorder="1" applyAlignment="1">
      <alignment horizontal="center" vertical="center" textRotation="90" wrapText="1"/>
    </xf>
    <xf numFmtId="0" fontId="12" fillId="0" borderId="21" xfId="0" applyFont="1" applyBorder="1" applyAlignment="1">
      <alignment horizontal="center" vertical="center" textRotation="90" wrapText="1"/>
    </xf>
    <xf numFmtId="0" fontId="12" fillId="0" borderId="23" xfId="0" applyFont="1" applyBorder="1" applyAlignment="1">
      <alignment horizontal="center" vertical="center" textRotation="90" wrapText="1"/>
    </xf>
    <xf numFmtId="0" fontId="9" fillId="0" borderId="26" xfId="0" applyFont="1" applyBorder="1" applyAlignment="1">
      <alignment horizontal="center" vertical="center" wrapText="1"/>
    </xf>
    <xf numFmtId="41" fontId="11" fillId="3" borderId="93" xfId="1" applyFont="1" applyFill="1" applyBorder="1" applyAlignment="1">
      <alignment horizontal="center" vertical="center" wrapText="1"/>
    </xf>
    <xf numFmtId="41" fontId="11" fillId="3" borderId="48" xfId="1" applyFont="1" applyFill="1" applyBorder="1" applyAlignment="1">
      <alignment horizontal="center" vertical="center" wrapText="1"/>
    </xf>
  </cellXfs>
  <cellStyles count="7">
    <cellStyle name="Millares [0]" xfId="1" builtinId="6"/>
    <cellStyle name="Millares 2" xfId="6" xr:uid="{59A9757F-7ACA-4813-B001-99F18193BDD0}"/>
    <cellStyle name="Moneda" xfId="2" builtinId="4"/>
    <cellStyle name="Normal" xfId="0" builtinId="0"/>
    <cellStyle name="Normal 212" xfId="4" xr:uid="{073F24EA-B92B-4E7B-9E3B-E8CE48BDC18F}"/>
    <cellStyle name="Normal 460" xfId="5" xr:uid="{F453EA94-BC20-41DC-A667-D9EFBA8201D2}"/>
    <cellStyle name="Porcentaje" xfId="3" builtinId="5"/>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504825</xdr:colOff>
      <xdr:row>72</xdr:row>
      <xdr:rowOff>761999</xdr:rowOff>
    </xdr:from>
    <xdr:ext cx="1771650" cy="476251"/>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5B19D5E7-0DD4-8055-E424-EFE159FFC386}"/>
                </a:ext>
              </a:extLst>
            </xdr:cNvPr>
            <xdr:cNvSpPr txBox="1"/>
          </xdr:nvSpPr>
          <xdr:spPr>
            <a:xfrm>
              <a:off x="4981575" y="24688799"/>
              <a:ext cx="1771650" cy="4762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CO" sz="1800"/>
                <a:t>Payback</a:t>
              </a:r>
              <a14:m>
                <m:oMath xmlns:m="http://schemas.openxmlformats.org/officeDocument/2006/math">
                  <m:r>
                    <a:rPr lang="es-CO" sz="1800" i="1">
                      <a:latin typeface="Cambria Math" panose="02040503050406030204" pitchFamily="18" charset="0"/>
                    </a:rPr>
                    <m:t>=</m:t>
                  </m:r>
                  <m:f>
                    <m:fPr>
                      <m:ctrlPr>
                        <a:rPr lang="es-CO" sz="1800" i="1">
                          <a:latin typeface="Cambria Math" panose="02040503050406030204" pitchFamily="18" charset="0"/>
                        </a:rPr>
                      </m:ctrlPr>
                    </m:fPr>
                    <m:num>
                      <m:r>
                        <a:rPr lang="es-ES" sz="1800" b="0" i="1">
                          <a:latin typeface="Cambria Math" panose="02040503050406030204" pitchFamily="18" charset="0"/>
                        </a:rPr>
                        <m:t>𝐶𝐴𝑃𝐸𝑋</m:t>
                      </m:r>
                    </m:num>
                    <m:den>
                      <m:r>
                        <a:rPr lang="es-ES" sz="1800" b="0" i="1">
                          <a:latin typeface="Cambria Math" panose="02040503050406030204" pitchFamily="18" charset="0"/>
                        </a:rPr>
                        <m:t>𝐶𝐹</m:t>
                      </m:r>
                      <m:r>
                        <a:rPr lang="es-ES" sz="1800" b="0" i="1">
                          <a:latin typeface="Cambria Math" panose="02040503050406030204" pitchFamily="18" charset="0"/>
                        </a:rPr>
                        <m:t> </m:t>
                      </m:r>
                      <m:r>
                        <a:rPr lang="es-ES" sz="1800" b="0" i="1">
                          <a:latin typeface="Cambria Math" panose="02040503050406030204" pitchFamily="18" charset="0"/>
                        </a:rPr>
                        <m:t>𝑎𝑛𝑢𝑎𝑙</m:t>
                      </m:r>
                    </m:den>
                  </m:f>
                </m:oMath>
              </a14:m>
              <a:endParaRPr lang="es-CO" sz="1800"/>
            </a:p>
          </xdr:txBody>
        </xdr:sp>
      </mc:Choice>
      <mc:Fallback xmlns="">
        <xdr:sp macro="" textlink="">
          <xdr:nvSpPr>
            <xdr:cNvPr id="2" name="CuadroTexto 1">
              <a:extLst>
                <a:ext uri="{FF2B5EF4-FFF2-40B4-BE49-F238E27FC236}">
                  <a16:creationId xmlns:a16="http://schemas.microsoft.com/office/drawing/2014/main" id="{5B19D5E7-0DD4-8055-E424-EFE159FFC386}"/>
                </a:ext>
              </a:extLst>
            </xdr:cNvPr>
            <xdr:cNvSpPr txBox="1"/>
          </xdr:nvSpPr>
          <xdr:spPr>
            <a:xfrm>
              <a:off x="4981575" y="24688799"/>
              <a:ext cx="1771650" cy="4762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CO" sz="1800"/>
                <a:t>Payback</a:t>
              </a:r>
              <a:r>
                <a:rPr lang="es-CO" sz="1800" i="0">
                  <a:latin typeface="Cambria Math" panose="02040503050406030204" pitchFamily="18" charset="0"/>
                </a:rPr>
                <a:t>=</a:t>
              </a:r>
              <a:r>
                <a:rPr lang="es-ES" sz="1800" b="0" i="0">
                  <a:latin typeface="Cambria Math" panose="02040503050406030204" pitchFamily="18" charset="0"/>
                </a:rPr>
                <a:t>𝐶𝐴𝑃𝐸𝑋</a:t>
              </a:r>
              <a:r>
                <a:rPr lang="es-CO" sz="1800" b="0" i="0">
                  <a:latin typeface="Cambria Math" panose="02040503050406030204" pitchFamily="18" charset="0"/>
                </a:rPr>
                <a:t>/(</a:t>
              </a:r>
              <a:r>
                <a:rPr lang="es-ES" sz="1800" b="0" i="0">
                  <a:latin typeface="Cambria Math" panose="02040503050406030204" pitchFamily="18" charset="0"/>
                </a:rPr>
                <a:t>𝐶𝐹 𝑎𝑛𝑢𝑎𝑙</a:t>
              </a:r>
              <a:r>
                <a:rPr lang="es-CO" sz="1800" b="0" i="0">
                  <a:latin typeface="Cambria Math" panose="02040503050406030204" pitchFamily="18" charset="0"/>
                </a:rPr>
                <a:t>)</a:t>
              </a:r>
              <a:endParaRPr lang="es-CO" sz="1800"/>
            </a:p>
          </xdr:txBody>
        </xdr:sp>
      </mc:Fallback>
    </mc:AlternateContent>
    <xdr:clientData/>
  </xdr:oneCellAnchor>
  <xdr:oneCellAnchor>
    <xdr:from>
      <xdr:col>6</xdr:col>
      <xdr:colOff>409574</xdr:colOff>
      <xdr:row>73</xdr:row>
      <xdr:rowOff>66675</xdr:rowOff>
    </xdr:from>
    <xdr:ext cx="4581525" cy="476251"/>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B16F5169-397C-45CC-9AEF-7CBCFD1CB191}"/>
                </a:ext>
              </a:extLst>
            </xdr:cNvPr>
            <xdr:cNvSpPr txBox="1"/>
          </xdr:nvSpPr>
          <xdr:spPr>
            <a:xfrm>
              <a:off x="7629524" y="24441150"/>
              <a:ext cx="4581525" cy="4762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CO" sz="1800"/>
                <a:t>C</a:t>
              </a:r>
              <a14:m>
                <m:oMath xmlns:m="http://schemas.openxmlformats.org/officeDocument/2006/math">
                  <m:r>
                    <m:rPr>
                      <m:sty m:val="p"/>
                    </m:rPr>
                    <a:rPr lang="es-ES" sz="1800" b="0" i="0">
                      <a:latin typeface="Cambria Math" panose="02040503050406030204" pitchFamily="18" charset="0"/>
                    </a:rPr>
                    <m:t>F</m:t>
                  </m:r>
                  <m:r>
                    <a:rPr lang="es-ES" sz="1800" b="0" i="0">
                      <a:latin typeface="Cambria Math" panose="02040503050406030204" pitchFamily="18" charset="0"/>
                    </a:rPr>
                    <m:t> </m:t>
                  </m:r>
                  <m:r>
                    <m:rPr>
                      <m:sty m:val="p"/>
                    </m:rPr>
                    <a:rPr lang="es-ES" sz="1800" b="0" i="0">
                      <a:latin typeface="Cambria Math" panose="02040503050406030204" pitchFamily="18" charset="0"/>
                    </a:rPr>
                    <m:t>anual</m:t>
                  </m:r>
                  <m:r>
                    <a:rPr lang="es-CO" sz="1800" i="1">
                      <a:latin typeface="Cambria Math" panose="02040503050406030204" pitchFamily="18" charset="0"/>
                    </a:rPr>
                    <m:t>=</m:t>
                  </m:r>
                  <m:d>
                    <m:dPr>
                      <m:ctrlPr>
                        <a:rPr lang="es-ES" sz="1800" b="0" i="1">
                          <a:latin typeface="Cambria Math" panose="02040503050406030204" pitchFamily="18" charset="0"/>
                        </a:rPr>
                      </m:ctrlPr>
                    </m:dPr>
                    <m:e>
                      <m:r>
                        <a:rPr lang="es-ES" sz="1800" b="0" i="1">
                          <a:latin typeface="Cambria Math" panose="02040503050406030204" pitchFamily="18" charset="0"/>
                        </a:rPr>
                        <m:t>𝐴h𝑜𝑟𝑟𝑜𝑠</m:t>
                      </m:r>
                      <m:r>
                        <a:rPr lang="es-ES" sz="1800" b="0" i="1">
                          <a:latin typeface="Cambria Math" panose="02040503050406030204" pitchFamily="18" charset="0"/>
                        </a:rPr>
                        <m:t>+</m:t>
                      </m:r>
                      <m:r>
                        <a:rPr lang="es-ES" sz="1800" b="0" i="1">
                          <a:latin typeface="Cambria Math" panose="02040503050406030204" pitchFamily="18" charset="0"/>
                        </a:rPr>
                        <m:t>𝐼𝑛𝑔𝑟𝑒𝑠𝑜𝑠</m:t>
                      </m:r>
                    </m:e>
                  </m:d>
                  <m:r>
                    <a:rPr lang="es-ES" sz="1800" b="0" i="1">
                      <a:latin typeface="Cambria Math" panose="02040503050406030204" pitchFamily="18" charset="0"/>
                    </a:rPr>
                    <m:t>−(</m:t>
                  </m:r>
                  <m:r>
                    <a:rPr lang="es-ES" sz="1800" b="0" i="1">
                      <a:latin typeface="Cambria Math" panose="02040503050406030204" pitchFamily="18" charset="0"/>
                    </a:rPr>
                    <m:t>𝑂𝑃𝐸𝑋</m:t>
                  </m:r>
                  <m:r>
                    <a:rPr lang="es-ES" sz="1800" b="0" i="1">
                      <a:latin typeface="Cambria Math" panose="02040503050406030204" pitchFamily="18" charset="0"/>
                    </a:rPr>
                    <m:t>)</m:t>
                  </m:r>
                </m:oMath>
              </a14:m>
              <a:endParaRPr lang="es-CO" sz="1800"/>
            </a:p>
          </xdr:txBody>
        </xdr:sp>
      </mc:Choice>
      <mc:Fallback xmlns="">
        <xdr:sp macro="" textlink="">
          <xdr:nvSpPr>
            <xdr:cNvPr id="3" name="CuadroTexto 2">
              <a:extLst>
                <a:ext uri="{FF2B5EF4-FFF2-40B4-BE49-F238E27FC236}">
                  <a16:creationId xmlns:a16="http://schemas.microsoft.com/office/drawing/2014/main" id="{B16F5169-397C-45CC-9AEF-7CBCFD1CB191}"/>
                </a:ext>
              </a:extLst>
            </xdr:cNvPr>
            <xdr:cNvSpPr txBox="1"/>
          </xdr:nvSpPr>
          <xdr:spPr>
            <a:xfrm>
              <a:off x="7629524" y="24441150"/>
              <a:ext cx="4581525" cy="4762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CO" sz="1800"/>
                <a:t>C</a:t>
              </a:r>
              <a:r>
                <a:rPr lang="es-ES" sz="1800" b="0" i="0">
                  <a:latin typeface="Cambria Math" panose="02040503050406030204" pitchFamily="18" charset="0"/>
                </a:rPr>
                <a:t>F anual</a:t>
              </a:r>
              <a:r>
                <a:rPr lang="es-CO" sz="1800" i="0">
                  <a:latin typeface="Cambria Math" panose="02040503050406030204" pitchFamily="18" charset="0"/>
                </a:rPr>
                <a:t>=</a:t>
              </a:r>
              <a:r>
                <a:rPr lang="es-ES" sz="1800" b="0" i="0">
                  <a:latin typeface="Cambria Math" panose="02040503050406030204" pitchFamily="18" charset="0"/>
                </a:rPr>
                <a:t>(𝐴ℎ𝑜𝑟𝑟𝑜𝑠+𝐼𝑛𝑔𝑟𝑒𝑠𝑜𝑠)−(𝑂𝑃𝐸𝑋)</a:t>
              </a:r>
              <a:endParaRPr lang="es-CO" sz="1800"/>
            </a:p>
          </xdr:txBody>
        </xdr:sp>
      </mc:Fallback>
    </mc:AlternateContent>
    <xdr:clientData/>
  </xdr:oneCellAnchor>
  <xdr:oneCellAnchor>
    <xdr:from>
      <xdr:col>4</xdr:col>
      <xdr:colOff>428625</xdr:colOff>
      <xdr:row>80</xdr:row>
      <xdr:rowOff>38099</xdr:rowOff>
    </xdr:from>
    <xdr:ext cx="1771650" cy="476251"/>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00C9954C-98E6-4F59-9E2B-959A489DD144}"/>
                </a:ext>
              </a:extLst>
            </xdr:cNvPr>
            <xdr:cNvSpPr txBox="1"/>
          </xdr:nvSpPr>
          <xdr:spPr>
            <a:xfrm>
              <a:off x="4905375" y="26041349"/>
              <a:ext cx="1771650" cy="4762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CO" sz="1800"/>
                <a:t>Payback</a:t>
              </a:r>
              <a14:m>
                <m:oMath xmlns:m="http://schemas.openxmlformats.org/officeDocument/2006/math">
                  <m:r>
                    <a:rPr lang="es-CO" sz="1800" i="1">
                      <a:latin typeface="Cambria Math" panose="02040503050406030204" pitchFamily="18" charset="0"/>
                    </a:rPr>
                    <m:t>=</m:t>
                  </m:r>
                  <m:f>
                    <m:fPr>
                      <m:ctrlPr>
                        <a:rPr lang="es-CO" sz="1800" i="1">
                          <a:latin typeface="Cambria Math" panose="02040503050406030204" pitchFamily="18" charset="0"/>
                        </a:rPr>
                      </m:ctrlPr>
                    </m:fPr>
                    <m:num>
                      <m:r>
                        <a:rPr lang="es-ES" sz="1800" b="0" i="1">
                          <a:latin typeface="Cambria Math" panose="02040503050406030204" pitchFamily="18" charset="0"/>
                        </a:rPr>
                        <m:t>𝐶𝐴𝑃𝐸𝑋</m:t>
                      </m:r>
                    </m:num>
                    <m:den>
                      <m:r>
                        <a:rPr lang="es-ES" sz="1800" b="0" i="1">
                          <a:latin typeface="Cambria Math" panose="02040503050406030204" pitchFamily="18" charset="0"/>
                        </a:rPr>
                        <m:t>𝐶𝐹</m:t>
                      </m:r>
                      <m:r>
                        <a:rPr lang="es-ES" sz="1800" b="0" i="1">
                          <a:latin typeface="Cambria Math" panose="02040503050406030204" pitchFamily="18" charset="0"/>
                        </a:rPr>
                        <m:t> </m:t>
                      </m:r>
                      <m:r>
                        <a:rPr lang="es-ES" sz="1800" b="0" i="1">
                          <a:latin typeface="Cambria Math" panose="02040503050406030204" pitchFamily="18" charset="0"/>
                        </a:rPr>
                        <m:t>𝑎𝑛𝑢𝑎𝑙</m:t>
                      </m:r>
                    </m:den>
                  </m:f>
                </m:oMath>
              </a14:m>
              <a:endParaRPr lang="es-CO" sz="1800"/>
            </a:p>
          </xdr:txBody>
        </xdr:sp>
      </mc:Choice>
      <mc:Fallback xmlns="">
        <xdr:sp macro="" textlink="">
          <xdr:nvSpPr>
            <xdr:cNvPr id="4" name="CuadroTexto 3">
              <a:extLst>
                <a:ext uri="{FF2B5EF4-FFF2-40B4-BE49-F238E27FC236}">
                  <a16:creationId xmlns:a16="http://schemas.microsoft.com/office/drawing/2014/main" id="{00C9954C-98E6-4F59-9E2B-959A489DD144}"/>
                </a:ext>
              </a:extLst>
            </xdr:cNvPr>
            <xdr:cNvSpPr txBox="1"/>
          </xdr:nvSpPr>
          <xdr:spPr>
            <a:xfrm>
              <a:off x="4905375" y="26041349"/>
              <a:ext cx="1771650" cy="4762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CO" sz="1800"/>
                <a:t>Payback</a:t>
              </a:r>
              <a:r>
                <a:rPr lang="es-CO" sz="1800" i="0">
                  <a:latin typeface="Cambria Math" panose="02040503050406030204" pitchFamily="18" charset="0"/>
                </a:rPr>
                <a:t>=</a:t>
              </a:r>
              <a:r>
                <a:rPr lang="es-ES" sz="1800" b="0" i="0">
                  <a:latin typeface="Cambria Math" panose="02040503050406030204" pitchFamily="18" charset="0"/>
                </a:rPr>
                <a:t>𝐶𝐴𝑃𝐸𝑋</a:t>
              </a:r>
              <a:r>
                <a:rPr lang="es-CO" sz="1800" b="0" i="0">
                  <a:latin typeface="Cambria Math" panose="02040503050406030204" pitchFamily="18" charset="0"/>
                </a:rPr>
                <a:t>/(</a:t>
              </a:r>
              <a:r>
                <a:rPr lang="es-ES" sz="1800" b="0" i="0">
                  <a:latin typeface="Cambria Math" panose="02040503050406030204" pitchFamily="18" charset="0"/>
                </a:rPr>
                <a:t>𝐶𝐹 𝑎𝑛𝑢𝑎𝑙</a:t>
              </a:r>
              <a:r>
                <a:rPr lang="es-CO" sz="1800" b="0" i="0">
                  <a:latin typeface="Cambria Math" panose="02040503050406030204" pitchFamily="18" charset="0"/>
                </a:rPr>
                <a:t>)</a:t>
              </a:r>
              <a:endParaRPr lang="es-CO" sz="1800"/>
            </a:p>
          </xdr:txBody>
        </xdr:sp>
      </mc:Fallback>
    </mc:AlternateContent>
    <xdr:clientData/>
  </xdr:oneCellAnchor>
  <xdr:oneCellAnchor>
    <xdr:from>
      <xdr:col>6</xdr:col>
      <xdr:colOff>447674</xdr:colOff>
      <xdr:row>80</xdr:row>
      <xdr:rowOff>76200</xdr:rowOff>
    </xdr:from>
    <xdr:ext cx="4581525" cy="476251"/>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C90BC2A8-8F5C-43F5-9F12-328A956D111F}"/>
                </a:ext>
              </a:extLst>
            </xdr:cNvPr>
            <xdr:cNvSpPr txBox="1"/>
          </xdr:nvSpPr>
          <xdr:spPr>
            <a:xfrm>
              <a:off x="7667624" y="25879425"/>
              <a:ext cx="4581525" cy="4762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CO" sz="1800"/>
                <a:t>C</a:t>
              </a:r>
              <a14:m>
                <m:oMath xmlns:m="http://schemas.openxmlformats.org/officeDocument/2006/math">
                  <m:r>
                    <m:rPr>
                      <m:sty m:val="p"/>
                    </m:rPr>
                    <a:rPr lang="es-ES" sz="1800" b="0" i="0">
                      <a:latin typeface="Cambria Math" panose="02040503050406030204" pitchFamily="18" charset="0"/>
                    </a:rPr>
                    <m:t>F</m:t>
                  </m:r>
                  <m:r>
                    <a:rPr lang="es-ES" sz="1800" b="0" i="0">
                      <a:latin typeface="Cambria Math" panose="02040503050406030204" pitchFamily="18" charset="0"/>
                    </a:rPr>
                    <m:t> </m:t>
                  </m:r>
                  <m:r>
                    <m:rPr>
                      <m:sty m:val="p"/>
                    </m:rPr>
                    <a:rPr lang="es-ES" sz="1800" b="0" i="0">
                      <a:latin typeface="Cambria Math" panose="02040503050406030204" pitchFamily="18" charset="0"/>
                    </a:rPr>
                    <m:t>anual</m:t>
                  </m:r>
                  <m:r>
                    <a:rPr lang="es-CO" sz="1800" i="1">
                      <a:latin typeface="Cambria Math" panose="02040503050406030204" pitchFamily="18" charset="0"/>
                    </a:rPr>
                    <m:t>=</m:t>
                  </m:r>
                  <m:d>
                    <m:dPr>
                      <m:ctrlPr>
                        <a:rPr lang="es-ES" sz="1800" b="0" i="1">
                          <a:latin typeface="Cambria Math" panose="02040503050406030204" pitchFamily="18" charset="0"/>
                        </a:rPr>
                      </m:ctrlPr>
                    </m:dPr>
                    <m:e>
                      <m:r>
                        <a:rPr lang="es-ES" sz="1800" b="0" i="1">
                          <a:latin typeface="Cambria Math" panose="02040503050406030204" pitchFamily="18" charset="0"/>
                        </a:rPr>
                        <m:t>𝐴h𝑜𝑟𝑟𝑜𝑠</m:t>
                      </m:r>
                      <m:r>
                        <a:rPr lang="es-ES" sz="1800" b="0" i="1">
                          <a:latin typeface="Cambria Math" panose="02040503050406030204" pitchFamily="18" charset="0"/>
                        </a:rPr>
                        <m:t>+</m:t>
                      </m:r>
                      <m:r>
                        <a:rPr lang="es-ES" sz="1800" b="0" i="1">
                          <a:latin typeface="Cambria Math" panose="02040503050406030204" pitchFamily="18" charset="0"/>
                        </a:rPr>
                        <m:t>𝐼𝑛𝑔𝑟𝑒𝑠𝑜𝑠</m:t>
                      </m:r>
                    </m:e>
                  </m:d>
                  <m:r>
                    <a:rPr lang="es-ES" sz="1800" b="0" i="1">
                      <a:latin typeface="Cambria Math" panose="02040503050406030204" pitchFamily="18" charset="0"/>
                    </a:rPr>
                    <m:t>−(</m:t>
                  </m:r>
                  <m:r>
                    <a:rPr lang="es-ES" sz="1800" b="0" i="1">
                      <a:latin typeface="Cambria Math" panose="02040503050406030204" pitchFamily="18" charset="0"/>
                    </a:rPr>
                    <m:t>𝑂𝑃𝐸𝑋</m:t>
                  </m:r>
                  <m:r>
                    <a:rPr lang="es-ES" sz="1800" b="0" i="1">
                      <a:latin typeface="Cambria Math" panose="02040503050406030204" pitchFamily="18" charset="0"/>
                    </a:rPr>
                    <m:t>)</m:t>
                  </m:r>
                </m:oMath>
              </a14:m>
              <a:endParaRPr lang="es-CO" sz="1800"/>
            </a:p>
          </xdr:txBody>
        </xdr:sp>
      </mc:Choice>
      <mc:Fallback xmlns="">
        <xdr:sp macro="" textlink="">
          <xdr:nvSpPr>
            <xdr:cNvPr id="5" name="CuadroTexto 4">
              <a:extLst>
                <a:ext uri="{FF2B5EF4-FFF2-40B4-BE49-F238E27FC236}">
                  <a16:creationId xmlns:a16="http://schemas.microsoft.com/office/drawing/2014/main" id="{C90BC2A8-8F5C-43F5-9F12-328A956D111F}"/>
                </a:ext>
              </a:extLst>
            </xdr:cNvPr>
            <xdr:cNvSpPr txBox="1"/>
          </xdr:nvSpPr>
          <xdr:spPr>
            <a:xfrm>
              <a:off x="7667624" y="25879425"/>
              <a:ext cx="4581525" cy="4762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CO" sz="1800"/>
                <a:t>C</a:t>
              </a:r>
              <a:r>
                <a:rPr lang="es-ES" sz="1800" b="0" i="0">
                  <a:latin typeface="Cambria Math" panose="02040503050406030204" pitchFamily="18" charset="0"/>
                </a:rPr>
                <a:t>F anual</a:t>
              </a:r>
              <a:r>
                <a:rPr lang="es-CO" sz="1800" i="0">
                  <a:latin typeface="Cambria Math" panose="02040503050406030204" pitchFamily="18" charset="0"/>
                </a:rPr>
                <a:t>=</a:t>
              </a:r>
              <a:r>
                <a:rPr lang="es-ES" sz="1800" b="0" i="0">
                  <a:latin typeface="Cambria Math" panose="02040503050406030204" pitchFamily="18" charset="0"/>
                </a:rPr>
                <a:t>(𝐴ℎ𝑜𝑟𝑟𝑜𝑠+𝐼𝑛𝑔𝑟𝑒𝑠𝑜𝑠)−(𝑂𝑃𝐸𝑋)</a:t>
              </a:r>
              <a:endParaRPr lang="es-CO" sz="1800"/>
            </a:p>
          </xdr:txBody>
        </xdr:sp>
      </mc:Fallback>
    </mc:AlternateContent>
    <xdr:clientData/>
  </xdr:oneCellAnchor>
  <xdr:oneCellAnchor>
    <xdr:from>
      <xdr:col>4</xdr:col>
      <xdr:colOff>381000</xdr:colOff>
      <xdr:row>86</xdr:row>
      <xdr:rowOff>190499</xdr:rowOff>
    </xdr:from>
    <xdr:ext cx="1771650" cy="438151"/>
    <mc:AlternateContent xmlns:mc="http://schemas.openxmlformats.org/markup-compatibility/2006" xmlns:a14="http://schemas.microsoft.com/office/drawing/2010/main">
      <mc:Choice Requires="a14">
        <xdr:sp macro="" textlink="">
          <xdr:nvSpPr>
            <xdr:cNvPr id="8" name="CuadroTexto 7">
              <a:extLst>
                <a:ext uri="{FF2B5EF4-FFF2-40B4-BE49-F238E27FC236}">
                  <a16:creationId xmlns:a16="http://schemas.microsoft.com/office/drawing/2014/main" id="{A7EFF4D8-33C0-4AEF-8B1F-32F85F3CFEED}"/>
                </a:ext>
              </a:extLst>
            </xdr:cNvPr>
            <xdr:cNvSpPr txBox="1"/>
          </xdr:nvSpPr>
          <xdr:spPr>
            <a:xfrm>
              <a:off x="4857750" y="27270074"/>
              <a:ext cx="1771650" cy="438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CO" sz="1800"/>
                <a:t>Payback</a:t>
              </a:r>
              <a14:m>
                <m:oMath xmlns:m="http://schemas.openxmlformats.org/officeDocument/2006/math">
                  <m:r>
                    <a:rPr lang="es-CO" sz="1800" i="1">
                      <a:latin typeface="Cambria Math" panose="02040503050406030204" pitchFamily="18" charset="0"/>
                    </a:rPr>
                    <m:t>=</m:t>
                  </m:r>
                  <m:f>
                    <m:fPr>
                      <m:ctrlPr>
                        <a:rPr lang="es-CO" sz="1800" i="1">
                          <a:latin typeface="Cambria Math" panose="02040503050406030204" pitchFamily="18" charset="0"/>
                        </a:rPr>
                      </m:ctrlPr>
                    </m:fPr>
                    <m:num>
                      <m:r>
                        <a:rPr lang="es-ES" sz="1800" b="0" i="1">
                          <a:latin typeface="Cambria Math" panose="02040503050406030204" pitchFamily="18" charset="0"/>
                        </a:rPr>
                        <m:t>𝐶𝐴𝑃𝐸𝑋</m:t>
                      </m:r>
                    </m:num>
                    <m:den>
                      <m:r>
                        <a:rPr lang="es-ES" sz="1800" b="0" i="1">
                          <a:latin typeface="Cambria Math" panose="02040503050406030204" pitchFamily="18" charset="0"/>
                        </a:rPr>
                        <m:t>𝐶𝐹</m:t>
                      </m:r>
                      <m:r>
                        <a:rPr lang="es-ES" sz="1800" b="0" i="1">
                          <a:latin typeface="Cambria Math" panose="02040503050406030204" pitchFamily="18" charset="0"/>
                        </a:rPr>
                        <m:t> </m:t>
                      </m:r>
                      <m:r>
                        <a:rPr lang="es-ES" sz="1800" b="0" i="1">
                          <a:latin typeface="Cambria Math" panose="02040503050406030204" pitchFamily="18" charset="0"/>
                        </a:rPr>
                        <m:t>𝑎𝑛𝑢𝑎𝑙</m:t>
                      </m:r>
                    </m:den>
                  </m:f>
                </m:oMath>
              </a14:m>
              <a:endParaRPr lang="es-CO" sz="1800"/>
            </a:p>
          </xdr:txBody>
        </xdr:sp>
      </mc:Choice>
      <mc:Fallback xmlns="">
        <xdr:sp macro="" textlink="">
          <xdr:nvSpPr>
            <xdr:cNvPr id="8" name="CuadroTexto 7">
              <a:extLst>
                <a:ext uri="{FF2B5EF4-FFF2-40B4-BE49-F238E27FC236}">
                  <a16:creationId xmlns:a16="http://schemas.microsoft.com/office/drawing/2014/main" id="{A7EFF4D8-33C0-4AEF-8B1F-32F85F3CFEED}"/>
                </a:ext>
              </a:extLst>
            </xdr:cNvPr>
            <xdr:cNvSpPr txBox="1"/>
          </xdr:nvSpPr>
          <xdr:spPr>
            <a:xfrm>
              <a:off x="4857750" y="27270074"/>
              <a:ext cx="1771650" cy="438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CO" sz="1800"/>
                <a:t>Payback</a:t>
              </a:r>
              <a:r>
                <a:rPr lang="es-CO" sz="1800" i="0">
                  <a:latin typeface="Cambria Math" panose="02040503050406030204" pitchFamily="18" charset="0"/>
                </a:rPr>
                <a:t>=</a:t>
              </a:r>
              <a:r>
                <a:rPr lang="es-ES" sz="1800" b="0" i="0">
                  <a:latin typeface="Cambria Math" panose="02040503050406030204" pitchFamily="18" charset="0"/>
                </a:rPr>
                <a:t>𝐶𝐴𝑃𝐸𝑋</a:t>
              </a:r>
              <a:r>
                <a:rPr lang="es-CO" sz="1800" b="0" i="0">
                  <a:latin typeface="Cambria Math" panose="02040503050406030204" pitchFamily="18" charset="0"/>
                </a:rPr>
                <a:t>/(</a:t>
              </a:r>
              <a:r>
                <a:rPr lang="es-ES" sz="1800" b="0" i="0">
                  <a:latin typeface="Cambria Math" panose="02040503050406030204" pitchFamily="18" charset="0"/>
                </a:rPr>
                <a:t>𝐶𝐹 𝑎𝑛𝑢𝑎𝑙</a:t>
              </a:r>
              <a:r>
                <a:rPr lang="es-CO" sz="1800" b="0" i="0">
                  <a:latin typeface="Cambria Math" panose="02040503050406030204" pitchFamily="18" charset="0"/>
                </a:rPr>
                <a:t>)</a:t>
              </a:r>
              <a:endParaRPr lang="es-CO" sz="1800"/>
            </a:p>
          </xdr:txBody>
        </xdr:sp>
      </mc:Fallback>
    </mc:AlternateContent>
    <xdr:clientData/>
  </xdr:oneCellAnchor>
  <xdr:oneCellAnchor>
    <xdr:from>
      <xdr:col>6</xdr:col>
      <xdr:colOff>447674</xdr:colOff>
      <xdr:row>87</xdr:row>
      <xdr:rowOff>76200</xdr:rowOff>
    </xdr:from>
    <xdr:ext cx="4581525" cy="476251"/>
    <mc:AlternateContent xmlns:mc="http://schemas.openxmlformats.org/markup-compatibility/2006" xmlns:a14="http://schemas.microsoft.com/office/drawing/2010/main">
      <mc:Choice Requires="a14">
        <xdr:sp macro="" textlink="">
          <xdr:nvSpPr>
            <xdr:cNvPr id="9" name="CuadroTexto 8">
              <a:extLst>
                <a:ext uri="{FF2B5EF4-FFF2-40B4-BE49-F238E27FC236}">
                  <a16:creationId xmlns:a16="http://schemas.microsoft.com/office/drawing/2014/main" id="{6927E308-51A6-4B49-911D-3A59C5D6B8BC}"/>
                </a:ext>
              </a:extLst>
            </xdr:cNvPr>
            <xdr:cNvSpPr txBox="1"/>
          </xdr:nvSpPr>
          <xdr:spPr>
            <a:xfrm>
              <a:off x="7667624" y="25879425"/>
              <a:ext cx="4581525" cy="4762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CO" sz="1800"/>
                <a:t>C</a:t>
              </a:r>
              <a14:m>
                <m:oMath xmlns:m="http://schemas.openxmlformats.org/officeDocument/2006/math">
                  <m:r>
                    <m:rPr>
                      <m:sty m:val="p"/>
                    </m:rPr>
                    <a:rPr lang="es-ES" sz="1800" b="0" i="0">
                      <a:latin typeface="Cambria Math" panose="02040503050406030204" pitchFamily="18" charset="0"/>
                    </a:rPr>
                    <m:t>F</m:t>
                  </m:r>
                  <m:r>
                    <a:rPr lang="es-ES" sz="1800" b="0" i="0">
                      <a:latin typeface="Cambria Math" panose="02040503050406030204" pitchFamily="18" charset="0"/>
                    </a:rPr>
                    <m:t> </m:t>
                  </m:r>
                  <m:r>
                    <m:rPr>
                      <m:sty m:val="p"/>
                    </m:rPr>
                    <a:rPr lang="es-ES" sz="1800" b="0" i="0">
                      <a:latin typeface="Cambria Math" panose="02040503050406030204" pitchFamily="18" charset="0"/>
                    </a:rPr>
                    <m:t>anual</m:t>
                  </m:r>
                  <m:r>
                    <a:rPr lang="es-CO" sz="1800" i="1">
                      <a:latin typeface="Cambria Math" panose="02040503050406030204" pitchFamily="18" charset="0"/>
                    </a:rPr>
                    <m:t>=</m:t>
                  </m:r>
                  <m:d>
                    <m:dPr>
                      <m:ctrlPr>
                        <a:rPr lang="es-ES" sz="1800" b="0" i="1">
                          <a:latin typeface="Cambria Math" panose="02040503050406030204" pitchFamily="18" charset="0"/>
                        </a:rPr>
                      </m:ctrlPr>
                    </m:dPr>
                    <m:e>
                      <m:r>
                        <a:rPr lang="es-ES" sz="1800" b="0" i="1">
                          <a:latin typeface="Cambria Math" panose="02040503050406030204" pitchFamily="18" charset="0"/>
                        </a:rPr>
                        <m:t>𝐴h𝑜𝑟𝑟𝑜𝑠</m:t>
                      </m:r>
                      <m:r>
                        <a:rPr lang="es-ES" sz="1800" b="0" i="1">
                          <a:latin typeface="Cambria Math" panose="02040503050406030204" pitchFamily="18" charset="0"/>
                        </a:rPr>
                        <m:t>+</m:t>
                      </m:r>
                      <m:r>
                        <a:rPr lang="es-ES" sz="1800" b="0" i="1">
                          <a:latin typeface="Cambria Math" panose="02040503050406030204" pitchFamily="18" charset="0"/>
                        </a:rPr>
                        <m:t>𝐼𝑛𝑔𝑟𝑒𝑠𝑜𝑠</m:t>
                      </m:r>
                    </m:e>
                  </m:d>
                  <m:r>
                    <a:rPr lang="es-ES" sz="1800" b="0" i="1">
                      <a:latin typeface="Cambria Math" panose="02040503050406030204" pitchFamily="18" charset="0"/>
                    </a:rPr>
                    <m:t>−(</m:t>
                  </m:r>
                  <m:r>
                    <a:rPr lang="es-ES" sz="1800" b="0" i="1">
                      <a:latin typeface="Cambria Math" panose="02040503050406030204" pitchFamily="18" charset="0"/>
                    </a:rPr>
                    <m:t>𝑂𝑃𝐸𝑋</m:t>
                  </m:r>
                  <m:r>
                    <a:rPr lang="es-ES" sz="1800" b="0" i="1">
                      <a:latin typeface="Cambria Math" panose="02040503050406030204" pitchFamily="18" charset="0"/>
                    </a:rPr>
                    <m:t>)</m:t>
                  </m:r>
                </m:oMath>
              </a14:m>
              <a:endParaRPr lang="es-CO" sz="1800"/>
            </a:p>
          </xdr:txBody>
        </xdr:sp>
      </mc:Choice>
      <mc:Fallback xmlns="">
        <xdr:sp macro="" textlink="">
          <xdr:nvSpPr>
            <xdr:cNvPr id="9" name="CuadroTexto 8">
              <a:extLst>
                <a:ext uri="{FF2B5EF4-FFF2-40B4-BE49-F238E27FC236}">
                  <a16:creationId xmlns:a16="http://schemas.microsoft.com/office/drawing/2014/main" id="{6927E308-51A6-4B49-911D-3A59C5D6B8BC}"/>
                </a:ext>
              </a:extLst>
            </xdr:cNvPr>
            <xdr:cNvSpPr txBox="1"/>
          </xdr:nvSpPr>
          <xdr:spPr>
            <a:xfrm>
              <a:off x="7667624" y="25879425"/>
              <a:ext cx="4581525" cy="4762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CO" sz="1800"/>
                <a:t>C</a:t>
              </a:r>
              <a:r>
                <a:rPr lang="es-ES" sz="1800" b="0" i="0">
                  <a:latin typeface="Cambria Math" panose="02040503050406030204" pitchFamily="18" charset="0"/>
                </a:rPr>
                <a:t>F anual</a:t>
              </a:r>
              <a:r>
                <a:rPr lang="es-CO" sz="1800" i="0">
                  <a:latin typeface="Cambria Math" panose="02040503050406030204" pitchFamily="18" charset="0"/>
                </a:rPr>
                <a:t>=</a:t>
              </a:r>
              <a:r>
                <a:rPr lang="es-ES" sz="1800" b="0" i="0">
                  <a:latin typeface="Cambria Math" panose="02040503050406030204" pitchFamily="18" charset="0"/>
                </a:rPr>
                <a:t>(𝐴ℎ𝑜𝑟𝑟𝑜𝑠+𝐼𝑛𝑔𝑟𝑒𝑠𝑜𝑠)−(𝑂𝑃𝐸𝑋)</a:t>
              </a:r>
              <a:endParaRPr lang="es-CO" sz="1800"/>
            </a:p>
          </xdr:txBody>
        </xdr:sp>
      </mc:Fallback>
    </mc:AlternateContent>
    <xdr:clientData/>
  </xdr:oneCellAnchor>
</xdr:wsDr>
</file>

<file path=xl/persons/person.xml><?xml version="1.0" encoding="utf-8"?>
<personList xmlns="http://schemas.microsoft.com/office/spreadsheetml/2018/threadedcomments" xmlns:x="http://schemas.openxmlformats.org/spreadsheetml/2006/main">
  <person displayName="Juan Nicolas Rodriguez Lovera" id="{B576C57E-CD2C-4439-A4C7-21E70E22B0B5}" userId="S::Juannr@permoda.com.co::c1b3e0ae-66b5-4862-ab0a-f5efe3956edd"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37" dT="2026-03-11T12:15:51.03" personId="{B576C57E-CD2C-4439-A4C7-21E70E22B0B5}" id="{D758CF5F-E7AF-4021-83D3-F359B9199242}">
    <text>Se proyecta 32 m3/h, X 24 horas, x 25 días efectivos. Para un total de 19.200 m3/Mes</text>
  </threadedComment>
</ThreadedComments>
</file>

<file path=xl/threadedComments/threadedComment2.xml><?xml version="1.0" encoding="utf-8"?>
<ThreadedComments xmlns="http://schemas.microsoft.com/office/spreadsheetml/2018/threadedcomments" xmlns:x="http://schemas.openxmlformats.org/spreadsheetml/2006/main">
  <threadedComment ref="N9" dT="2026-02-18T11:27:59.24" personId="{B576C57E-CD2C-4439-A4C7-21E70E22B0B5}" id="{C0D91809-4745-428D-8E02-46F537946AE4}">
    <text xml:space="preserve">Se proyecta un permiso de concesión de 10 PS (12 Horas), esto quiere decir que son 432 m3/día, 10,800 m3/mes (Contemplando 25 días)
</text>
  </threadedComment>
  <threadedComment ref="P9" dT="2026-02-18T11:27:59.24" personId="{B576C57E-CD2C-4439-A4C7-21E70E22B0B5}" id="{39FBCCE4-E168-40C5-A705-C651901F9C2B}">
    <text xml:space="preserve">Se proyecta un permiso de concesión de 10 PS (12 Horas), esto quiere decir que son 432 m3/día, 10,800 m3/mes (Contemplando 25 días)
</text>
  </threadedComment>
  <threadedComment ref="R9" dT="2026-02-18T11:27:59.24" personId="{B576C57E-CD2C-4439-A4C7-21E70E22B0B5}" id="{3E48641B-5224-4687-8A48-2FAEF1F1D78D}">
    <text xml:space="preserve">Se proyecta un permiso de concesión de 10 PS (12 Horas), esto quiere decir que son 432 m3/día, 10,800 m3/mes (Contemplando 25 días)
</text>
  </threadedComment>
  <threadedComment ref="T9" dT="2026-02-18T11:27:59.24" personId="{B576C57E-CD2C-4439-A4C7-21E70E22B0B5}" id="{02524BEA-5DAC-4711-BF4B-A3D468CD8FFA}">
    <text xml:space="preserve">Se proyecta un permiso de concesión de 10 PS (12 Horas), esto quiere decir que son 432 m3/día, 10,800 m3/mes (Contemplando 25 días)
</text>
  </threadedComment>
  <threadedComment ref="V9" dT="2026-02-18T11:27:59.24" personId="{B576C57E-CD2C-4439-A4C7-21E70E22B0B5}" id="{F98A35EE-CC07-41AD-A5F9-29BA63F067E7}">
    <text xml:space="preserve">Se proyecta un permiso de concesión de 10 PS (12 Horas), esto quiere decir que son 432 m3/día, 10,800 m3/mes (Contemplando 25 días)
</text>
  </threadedComment>
  <threadedComment ref="X9" dT="2026-02-18T11:27:59.24" personId="{B576C57E-CD2C-4439-A4C7-21E70E22B0B5}" id="{C2081837-A6F3-4D1C-B363-06D2D198C84A}">
    <text xml:space="preserve">Se proyecta un permiso de concesión de 10 PS (12 Horas), esto quiere decir que son 432 m3/día, 10,800 m3/mes (Contemplando 25 días)
</text>
  </threadedComment>
  <threadedComment ref="Z9" dT="2026-02-18T11:27:59.24" personId="{B576C57E-CD2C-4439-A4C7-21E70E22B0B5}" id="{0189A5EF-2805-4454-BD12-2BA306E1A29B}">
    <text xml:space="preserve">Se proyecta un permiso de concesión de 10 PS (12 Horas), esto quiere decir que son 432 m3/día, 10,800 m3/mes (Contemplando 25 días)
</text>
  </threadedComment>
  <threadedComment ref="AB9" dT="2026-02-18T11:27:59.24" personId="{B576C57E-CD2C-4439-A4C7-21E70E22B0B5}" id="{75CAA601-EB4B-438B-86E9-0E52DC840144}">
    <text xml:space="preserve">Se proyecta un permiso de concesión de 10 PS (12 Horas), esto quiere decir que son 432 m3/día, 10,800 m3/mes (Contemplando 25 días)
</text>
  </threadedComment>
</ThreadedComments>
</file>

<file path=xl/threadedComments/threadedComment3.xml><?xml version="1.0" encoding="utf-8"?>
<ThreadedComments xmlns="http://schemas.microsoft.com/office/spreadsheetml/2018/threadedcomments" xmlns:x="http://schemas.openxmlformats.org/spreadsheetml/2006/main">
  <threadedComment ref="T6" dT="2026-03-12T12:09:46.35" personId="{B576C57E-CD2C-4439-A4C7-21E70E22B0B5}" id="{3DB74E97-E90C-46C9-BF68-7D116F5951C7}">
    <text>Se proyecta una duración de las membranas de 3 años</text>
  </threadedComment>
  <threadedComment ref="T8" dT="2026-03-11T11:05:54.09" personId="{B576C57E-CD2C-4439-A4C7-21E70E22B0B5}" id="{7912B910-66F5-4574-AB32-6144FF5C25AF}">
    <text>Se proyecta una durabilidad de 2 años</text>
  </threadedComment>
  <threadedComment ref="T21" dT="2026-03-10T11:36:03.28" personId="{B576C57E-CD2C-4439-A4C7-21E70E22B0B5}" id="{27EFB2E6-00A8-4E26-80EF-50BE0F33BE01}">
    <text>Se proyecta que las membranas pueden tener una durabilidad de 5 años, según calidad el agua tratada y especificaciones del proveedor</text>
  </threadedComment>
</ThreadedComments>
</file>

<file path=xl/threadedComments/threadedComment4.xml><?xml version="1.0" encoding="utf-8"?>
<ThreadedComments xmlns="http://schemas.microsoft.com/office/spreadsheetml/2018/threadedcomments" xmlns:x="http://schemas.openxmlformats.org/spreadsheetml/2006/main">
  <threadedComment ref="S8" dT="2026-03-10T15:47:43.28" personId="{B576C57E-CD2C-4439-A4C7-21E70E22B0B5}" id="{AAF36DE2-337B-44D8-A022-0CD3C7F8DFC1}">
    <text>Se proyecta una durabilidad de 2 años.</text>
  </threadedComment>
  <threadedComment ref="S9" dT="2026-02-18T17:50:15.19" personId="{B576C57E-CD2C-4439-A4C7-21E70E22B0B5}" id="{057D388A-646F-469D-8CAF-433F95527CD3}">
    <text>Se proyecta por los 15 años de equipos</text>
  </threadedComment>
  <threadedComment ref="R10" dT="2026-02-18T17:50:15.19" personId="{B576C57E-CD2C-4439-A4C7-21E70E22B0B5}" id="{6F1E22C4-C92E-451D-9323-B77D3C2F647B}">
    <text>En este item se proyecta: 1) Cambio de la resina existente
2) Suministro e instalación de bombas dosificadoras
3) Independizar etapas de RO
4) Programación y automatización de RO</text>
  </threadedComment>
  <threadedComment ref="S10" dT="2026-02-18T17:50:15.19" personId="{B576C57E-CD2C-4439-A4C7-21E70E22B0B5}" id="{ED535A95-13F4-4801-A16C-D243E9A4EDF3}">
    <text>Se proyecta que la programación sea para 3 años</text>
  </threadedComment>
  <threadedComment ref="T19" dT="2026-03-12T12:07:25.93" personId="{B576C57E-CD2C-4439-A4C7-21E70E22B0B5}" id="{49AEB093-C222-437E-8A51-E648DD81A5A4}">
    <text>Costo cotizado para el mtto del pozo de Bógota.</text>
  </threadedComment>
</ThreadedComments>
</file>

<file path=xl/threadedComments/threadedComment5.xml><?xml version="1.0" encoding="utf-8"?>
<ThreadedComments xmlns="http://schemas.microsoft.com/office/spreadsheetml/2018/threadedcomments" xmlns:x="http://schemas.openxmlformats.org/spreadsheetml/2006/main">
  <threadedComment ref="S6" dT="2026-03-12T11:46:39.79" personId="{B576C57E-CD2C-4439-A4C7-21E70E22B0B5}" id="{1A29725B-E2B1-4764-A368-1DCFAF484B6A}">
    <text>Se realiza la proyección a 15 años por los equipos</text>
  </threadedComment>
  <threadedComment ref="S7" dT="2026-03-12T11:47:40.80" personId="{B576C57E-CD2C-4439-A4C7-21E70E22B0B5}" id="{EAD25ACE-0C26-4223-B0E4-2D9D305007AF}">
    <text>Se realiza proyección de obras civiles a 30 años</text>
  </threadedComment>
  <threadedComment ref="S17" dT="2026-02-18T13:22:02.45" personId="{B576C57E-CD2C-4439-A4C7-21E70E22B0B5}" id="{6613CF7D-A386-4F49-A46E-DFF4B4ADE549}">
    <text xml:space="preserve">Se realiza proyección a 10 años, por concesión de aguas
</text>
  </threadedComment>
  <threadedComment ref="S18" dT="2026-03-10T13:07:23.58" personId="{B576C57E-CD2C-4439-A4C7-21E70E22B0B5}" id="{9952AF4E-DAED-493C-BA7B-4417356AB1D6}">
    <text>Se realiza una proyección a 10 años</text>
  </threadedComment>
</ThreadedComments>
</file>

<file path=xl/threadedComments/threadedComment6.xml><?xml version="1.0" encoding="utf-8"?>
<ThreadedComments xmlns="http://schemas.microsoft.com/office/spreadsheetml/2018/threadedcomments" xmlns:x="http://schemas.openxmlformats.org/spreadsheetml/2006/main">
  <threadedComment ref="S6" dT="2026-03-11T18:22:47.83" personId="{B576C57E-CD2C-4439-A4C7-21E70E22B0B5}" id="{B3D5CC78-5228-4650-B433-52F2C6A28294}">
    <text>Costo a pagar por seguimiento y control CAR</text>
  </threadedComment>
  <threadedComment ref="S7" dT="2026-02-18T13:27:31.32" personId="{B576C57E-CD2C-4439-A4C7-21E70E22B0B5}" id="{D100C161-52AF-4444-B5D6-AF084635F034}">
    <text>Se proyecta un pago de $129/m3, como tasa retributiva por uso de pozo.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D3D0A-DAA9-45FF-A159-3152D42AD133}">
  <sheetPr>
    <tabColor theme="4" tint="0.39997558519241921"/>
  </sheetPr>
  <dimension ref="A1:AU113"/>
  <sheetViews>
    <sheetView showGridLines="0" zoomScale="90" zoomScaleNormal="90" workbookViewId="0">
      <pane xSplit="4" ySplit="5" topLeftCell="AB6" activePane="bottomRight" state="frozen"/>
      <selection pane="topRight" activeCell="E1" sqref="E1"/>
      <selection pane="bottomLeft" activeCell="A6" sqref="A6"/>
      <selection pane="bottomRight" activeCell="U17" sqref="U17"/>
    </sheetView>
  </sheetViews>
  <sheetFormatPr baseColWidth="10" defaultColWidth="11.44140625" defaultRowHeight="12" x14ac:dyDescent="0.3"/>
  <cols>
    <col min="1" max="1" width="2" style="2" customWidth="1"/>
    <col min="2" max="2" width="12.5546875" style="1" customWidth="1"/>
    <col min="3" max="3" width="40.6640625" style="2" customWidth="1"/>
    <col min="4" max="4" width="7.5546875" style="2" customWidth="1"/>
    <col min="5" max="13" width="16.6640625" style="2" customWidth="1"/>
    <col min="14" max="15" width="16.6640625" style="55" customWidth="1"/>
    <col min="16" max="17" width="16.5546875" style="2" customWidth="1"/>
    <col min="18" max="18" width="13.44140625" style="2" bestFit="1" customWidth="1"/>
    <col min="19" max="19" width="18.5546875" style="2" customWidth="1"/>
    <col min="20" max="20" width="13.33203125" style="2" customWidth="1"/>
    <col min="21" max="16384" width="11.44140625" style="2"/>
  </cols>
  <sheetData>
    <row r="1" spans="1:23" ht="12.75" customHeight="1" x14ac:dyDescent="0.3"/>
    <row r="2" spans="1:23" ht="9.75" customHeight="1" x14ac:dyDescent="0.3"/>
    <row r="3" spans="1:23" x14ac:dyDescent="0.3">
      <c r="B3" s="1" t="s">
        <v>0</v>
      </c>
      <c r="C3" s="699"/>
      <c r="D3" s="699"/>
    </row>
    <row r="4" spans="1:23" ht="30.75" customHeight="1" x14ac:dyDescent="0.3">
      <c r="B4" s="700" t="s">
        <v>1</v>
      </c>
      <c r="C4" s="701"/>
      <c r="D4" s="701"/>
      <c r="E4" s="56" t="s">
        <v>174</v>
      </c>
      <c r="F4" s="57"/>
      <c r="G4" s="57"/>
      <c r="H4" s="57"/>
      <c r="I4" s="57"/>
      <c r="J4" s="57"/>
      <c r="K4" s="57"/>
      <c r="L4" s="57"/>
      <c r="M4" s="57"/>
      <c r="N4" s="58"/>
      <c r="O4" s="58"/>
      <c r="P4" s="57"/>
      <c r="Q4" s="57"/>
      <c r="R4" s="59"/>
    </row>
    <row r="5" spans="1:23" s="64" customFormat="1" ht="28.5" customHeight="1" x14ac:dyDescent="0.3">
      <c r="A5" s="2"/>
      <c r="B5" s="3" t="s">
        <v>2</v>
      </c>
      <c r="C5" s="4" t="s">
        <v>3</v>
      </c>
      <c r="D5" s="4" t="s">
        <v>4</v>
      </c>
      <c r="E5" s="60" t="s">
        <v>175</v>
      </c>
      <c r="F5" s="60" t="s">
        <v>176</v>
      </c>
      <c r="G5" s="60" t="s">
        <v>177</v>
      </c>
      <c r="H5" s="60" t="s">
        <v>178</v>
      </c>
      <c r="I5" s="60" t="s">
        <v>179</v>
      </c>
      <c r="J5" s="60" t="s">
        <v>180</v>
      </c>
      <c r="K5" s="61" t="s">
        <v>181</v>
      </c>
      <c r="L5" s="61" t="s">
        <v>182</v>
      </c>
      <c r="M5" s="61" t="s">
        <v>183</v>
      </c>
      <c r="N5" s="60" t="s">
        <v>184</v>
      </c>
      <c r="O5" s="60" t="s">
        <v>185</v>
      </c>
      <c r="P5" s="62" t="s">
        <v>186</v>
      </c>
      <c r="Q5" s="62" t="s">
        <v>187</v>
      </c>
      <c r="R5" s="63" t="s">
        <v>188</v>
      </c>
      <c r="S5" s="64" t="s">
        <v>133</v>
      </c>
      <c r="T5" s="64" t="s">
        <v>189</v>
      </c>
      <c r="U5" s="64" t="s">
        <v>136</v>
      </c>
    </row>
    <row r="6" spans="1:23" s="64" customFormat="1" ht="13.5" customHeight="1" x14ac:dyDescent="0.25">
      <c r="A6" s="2"/>
      <c r="B6" s="702"/>
      <c r="C6" s="5" t="s">
        <v>5</v>
      </c>
      <c r="D6" s="6" t="s">
        <v>6</v>
      </c>
      <c r="E6" s="53">
        <v>359600</v>
      </c>
      <c r="F6" s="53">
        <v>775000</v>
      </c>
      <c r="G6" s="53">
        <v>372000</v>
      </c>
      <c r="H6" s="53">
        <v>372000</v>
      </c>
      <c r="I6" s="53">
        <v>372000</v>
      </c>
      <c r="J6" s="53">
        <v>372000</v>
      </c>
      <c r="K6" s="53">
        <v>372000</v>
      </c>
      <c r="L6" s="53">
        <v>372000</v>
      </c>
      <c r="M6" s="53">
        <v>372000</v>
      </c>
      <c r="N6" s="53">
        <v>372000</v>
      </c>
      <c r="O6" s="53">
        <v>372000</v>
      </c>
      <c r="P6" s="65">
        <f t="shared" ref="P6:P68" si="0">+SUM(E6:O6)</f>
        <v>4482600</v>
      </c>
      <c r="Q6" s="65">
        <f t="shared" ref="Q6:Q69" si="1">+O6-N6</f>
        <v>0</v>
      </c>
      <c r="R6" s="51">
        <f t="shared" ref="R6:R69" si="2">+IFERROR((O6-N6)/N6,0)</f>
        <v>0</v>
      </c>
      <c r="S6" s="66">
        <v>1650</v>
      </c>
      <c r="T6" s="64">
        <f>P6/S6</f>
        <v>2716.7272727272725</v>
      </c>
      <c r="U6" s="67">
        <f>T6/$V$8</f>
        <v>1.3583636363636362E-2</v>
      </c>
    </row>
    <row r="7" spans="1:23" s="64" customFormat="1" ht="13.5" customHeight="1" x14ac:dyDescent="0.25">
      <c r="A7" s="2"/>
      <c r="B7" s="702"/>
      <c r="C7" s="5" t="s">
        <v>7</v>
      </c>
      <c r="D7" s="6" t="s">
        <v>6</v>
      </c>
      <c r="E7" s="53">
        <v>91000</v>
      </c>
      <c r="F7" s="53">
        <v>91000</v>
      </c>
      <c r="G7" s="53">
        <v>91000</v>
      </c>
      <c r="H7" s="53">
        <v>91000</v>
      </c>
      <c r="I7" s="53">
        <v>91000</v>
      </c>
      <c r="J7" s="53">
        <v>91000</v>
      </c>
      <c r="K7" s="53">
        <v>91000</v>
      </c>
      <c r="L7" s="53">
        <v>91000</v>
      </c>
      <c r="M7" s="53">
        <v>91000</v>
      </c>
      <c r="N7" s="53">
        <v>91000</v>
      </c>
      <c r="O7" s="53">
        <v>91000</v>
      </c>
      <c r="P7" s="65">
        <f t="shared" si="0"/>
        <v>1001000</v>
      </c>
      <c r="Q7" s="65">
        <f t="shared" si="1"/>
        <v>0</v>
      </c>
      <c r="R7" s="51">
        <f t="shared" si="2"/>
        <v>0</v>
      </c>
      <c r="S7" s="66">
        <v>4200</v>
      </c>
      <c r="T7" s="64">
        <f t="shared" ref="T7:T21" si="3">P7/S7</f>
        <v>238.33333333333334</v>
      </c>
      <c r="U7" s="67">
        <f>T7/$V$8</f>
        <v>1.1916666666666666E-3</v>
      </c>
      <c r="V7" s="64">
        <f>P108</f>
        <v>508614</v>
      </c>
    </row>
    <row r="8" spans="1:23" s="64" customFormat="1" ht="13.5" customHeight="1" x14ac:dyDescent="0.25">
      <c r="A8" s="2"/>
      <c r="B8" s="702"/>
      <c r="C8" s="5" t="s">
        <v>8</v>
      </c>
      <c r="D8" s="7" t="s">
        <v>6</v>
      </c>
      <c r="E8" s="52">
        <v>150800</v>
      </c>
      <c r="F8" s="52">
        <v>150800</v>
      </c>
      <c r="G8" s="52">
        <v>150800</v>
      </c>
      <c r="H8" s="52">
        <v>150800</v>
      </c>
      <c r="I8" s="52">
        <v>150800</v>
      </c>
      <c r="J8" s="52">
        <v>150800</v>
      </c>
      <c r="K8" s="52">
        <v>150800</v>
      </c>
      <c r="L8" s="52">
        <v>150800</v>
      </c>
      <c r="M8" s="52">
        <v>150800</v>
      </c>
      <c r="N8" s="52">
        <v>150800</v>
      </c>
      <c r="O8" s="52">
        <v>150800</v>
      </c>
      <c r="P8" s="65">
        <f t="shared" si="0"/>
        <v>1658800</v>
      </c>
      <c r="Q8" s="65">
        <f t="shared" si="1"/>
        <v>0</v>
      </c>
      <c r="R8" s="51">
        <f t="shared" si="2"/>
        <v>0</v>
      </c>
      <c r="S8" s="66">
        <v>180000</v>
      </c>
      <c r="T8" s="64">
        <f t="shared" si="3"/>
        <v>9.2155555555555555</v>
      </c>
      <c r="U8" s="67">
        <f t="shared" ref="U8:U21" si="4">T8/$V$7</f>
        <v>1.8118957707722468E-5</v>
      </c>
      <c r="V8" s="64">
        <v>200000</v>
      </c>
    </row>
    <row r="9" spans="1:23" s="64" customFormat="1" ht="13.5" customHeight="1" x14ac:dyDescent="0.25">
      <c r="A9" s="2"/>
      <c r="B9" s="702"/>
      <c r="C9" s="5" t="s">
        <v>9</v>
      </c>
      <c r="D9" s="7" t="s">
        <v>10</v>
      </c>
      <c r="E9" s="53">
        <v>0</v>
      </c>
      <c r="F9" s="53">
        <v>0</v>
      </c>
      <c r="G9" s="53">
        <v>0</v>
      </c>
      <c r="H9" s="53">
        <v>12832747.040000001</v>
      </c>
      <c r="I9" s="53">
        <v>15149312.720000001</v>
      </c>
      <c r="J9" s="53">
        <v>0</v>
      </c>
      <c r="K9" s="52">
        <v>0</v>
      </c>
      <c r="L9" s="52">
        <v>0</v>
      </c>
      <c r="M9" s="52">
        <v>0</v>
      </c>
      <c r="N9" s="53">
        <v>0</v>
      </c>
      <c r="O9" s="53">
        <v>4421528.78</v>
      </c>
      <c r="P9" s="65">
        <f t="shared" si="0"/>
        <v>32403588.540000003</v>
      </c>
      <c r="Q9" s="65">
        <f t="shared" si="1"/>
        <v>4421528.78</v>
      </c>
      <c r="R9" s="51">
        <f t="shared" si="2"/>
        <v>0</v>
      </c>
      <c r="S9" s="66"/>
      <c r="U9" s="67">
        <f t="shared" si="4"/>
        <v>0</v>
      </c>
      <c r="W9" s="64">
        <v>7680</v>
      </c>
    </row>
    <row r="10" spans="1:23" s="64" customFormat="1" ht="13.5" customHeight="1" x14ac:dyDescent="0.25">
      <c r="A10" s="2"/>
      <c r="B10" s="702"/>
      <c r="C10" s="5" t="s">
        <v>11</v>
      </c>
      <c r="D10" s="8" t="s">
        <v>6</v>
      </c>
      <c r="E10" s="53">
        <v>48418570</v>
      </c>
      <c r="F10" s="53">
        <v>36323100</v>
      </c>
      <c r="G10" s="53">
        <v>30697300</v>
      </c>
      <c r="H10" s="53">
        <v>43917930</v>
      </c>
      <c r="I10" s="53">
        <v>46821332</v>
      </c>
      <c r="J10" s="53">
        <v>26661400</v>
      </c>
      <c r="K10" s="52">
        <v>31421316</v>
      </c>
      <c r="L10" s="52">
        <v>33429482</v>
      </c>
      <c r="M10" s="52">
        <v>31223190</v>
      </c>
      <c r="N10" s="53">
        <v>21221006.800000001</v>
      </c>
      <c r="O10" s="53">
        <v>33089488</v>
      </c>
      <c r="P10" s="65">
        <f t="shared" si="0"/>
        <v>383224114.80000001</v>
      </c>
      <c r="Q10" s="65">
        <f t="shared" si="1"/>
        <v>11868481.199999999</v>
      </c>
      <c r="R10" s="51">
        <f t="shared" si="2"/>
        <v>0.55927983586528041</v>
      </c>
      <c r="S10" s="66">
        <v>2446</v>
      </c>
      <c r="T10" s="64">
        <f t="shared" si="3"/>
        <v>156673.80000000002</v>
      </c>
      <c r="U10" s="67">
        <f t="shared" si="4"/>
        <v>0.30804067524684736</v>
      </c>
      <c r="W10" s="171">
        <f>W9/V7</f>
        <v>1.509985961849261E-2</v>
      </c>
    </row>
    <row r="11" spans="1:23" s="64" customFormat="1" ht="13.5" customHeight="1" x14ac:dyDescent="0.25">
      <c r="A11" s="2"/>
      <c r="B11" s="702"/>
      <c r="C11" s="5" t="s">
        <v>12</v>
      </c>
      <c r="D11" s="6" t="s">
        <v>6</v>
      </c>
      <c r="E11" s="53">
        <v>7566500</v>
      </c>
      <c r="F11" s="53">
        <v>3067500</v>
      </c>
      <c r="G11" s="53">
        <v>6646250</v>
      </c>
      <c r="H11" s="53">
        <v>11554250</v>
      </c>
      <c r="I11" s="53">
        <v>8282250</v>
      </c>
      <c r="J11" s="53">
        <v>6544000</v>
      </c>
      <c r="K11" s="52">
        <v>8486750</v>
      </c>
      <c r="L11" s="52">
        <v>6646250</v>
      </c>
      <c r="M11" s="52">
        <v>12576750</v>
      </c>
      <c r="N11" s="53">
        <v>14867150</v>
      </c>
      <c r="O11" s="53">
        <v>8732150</v>
      </c>
      <c r="P11" s="65">
        <f t="shared" si="0"/>
        <v>94969800</v>
      </c>
      <c r="Q11" s="65">
        <f t="shared" si="1"/>
        <v>-6135000</v>
      </c>
      <c r="R11" s="51">
        <f t="shared" si="2"/>
        <v>-0.4126547455295736</v>
      </c>
      <c r="S11" s="66">
        <v>20450</v>
      </c>
      <c r="T11" s="64">
        <f t="shared" si="3"/>
        <v>4644</v>
      </c>
      <c r="U11" s="67">
        <f t="shared" si="4"/>
        <v>9.1306963630572498E-3</v>
      </c>
    </row>
    <row r="12" spans="1:23" s="64" customFormat="1" ht="13.5" customHeight="1" x14ac:dyDescent="0.25">
      <c r="A12" s="2"/>
      <c r="B12" s="702"/>
      <c r="C12" s="5" t="s">
        <v>13</v>
      </c>
      <c r="D12" s="6" t="s">
        <v>6</v>
      </c>
      <c r="E12" s="53">
        <v>4823610</v>
      </c>
      <c r="F12" s="53">
        <v>9236700</v>
      </c>
      <c r="G12" s="53">
        <v>4002570</v>
      </c>
      <c r="H12" s="53">
        <v>6157800</v>
      </c>
      <c r="I12" s="53">
        <v>4536246</v>
      </c>
      <c r="J12" s="53">
        <v>1334190</v>
      </c>
      <c r="K12" s="52">
        <v>7081470</v>
      </c>
      <c r="L12" s="52">
        <v>4823610</v>
      </c>
      <c r="M12" s="52">
        <v>4762032</v>
      </c>
      <c r="N12" s="53">
        <v>4018990.8</v>
      </c>
      <c r="O12" s="53">
        <v>5788332</v>
      </c>
      <c r="P12" s="65">
        <f t="shared" si="0"/>
        <v>56565550.799999997</v>
      </c>
      <c r="Q12" s="65">
        <f t="shared" si="1"/>
        <v>1769341.2000000002</v>
      </c>
      <c r="R12" s="51">
        <f t="shared" si="2"/>
        <v>0.44024514811031673</v>
      </c>
      <c r="S12" s="66">
        <v>20526</v>
      </c>
      <c r="T12" s="64">
        <f t="shared" si="3"/>
        <v>2755.7999999999997</v>
      </c>
      <c r="U12" s="67">
        <f t="shared" si="4"/>
        <v>5.4182543146669175E-3</v>
      </c>
    </row>
    <row r="13" spans="1:23" s="64" customFormat="1" ht="13.5" customHeight="1" x14ac:dyDescent="0.25">
      <c r="A13" s="2"/>
      <c r="B13" s="702"/>
      <c r="C13" s="5" t="s">
        <v>14</v>
      </c>
      <c r="D13" s="6" t="s">
        <v>6</v>
      </c>
      <c r="E13" s="53">
        <v>30945388</v>
      </c>
      <c r="F13" s="53">
        <v>138960020</v>
      </c>
      <c r="G13" s="53">
        <v>53367206</v>
      </c>
      <c r="H13" s="53">
        <v>49252534</v>
      </c>
      <c r="I13" s="53">
        <v>73118530</v>
      </c>
      <c r="J13" s="53">
        <v>21907484</v>
      </c>
      <c r="K13" s="52">
        <v>53437955</v>
      </c>
      <c r="L13" s="52">
        <v>46067706</v>
      </c>
      <c r="M13" s="52">
        <v>57560488</v>
      </c>
      <c r="N13" s="53">
        <v>59429160</v>
      </c>
      <c r="O13" s="53">
        <v>34878134</v>
      </c>
      <c r="P13" s="65">
        <f t="shared" si="0"/>
        <v>618924605</v>
      </c>
      <c r="Q13" s="65">
        <f t="shared" si="1"/>
        <v>-24551026</v>
      </c>
      <c r="R13" s="51">
        <f t="shared" si="2"/>
        <v>-0.41311413454270596</v>
      </c>
      <c r="S13" s="66">
        <v>2246</v>
      </c>
      <c r="T13" s="64">
        <f t="shared" si="3"/>
        <v>275567.5</v>
      </c>
      <c r="U13" s="67">
        <f t="shared" si="4"/>
        <v>0.54180085487226071</v>
      </c>
    </row>
    <row r="14" spans="1:23" s="64" customFormat="1" ht="13.5" customHeight="1" x14ac:dyDescent="0.25">
      <c r="A14" s="2"/>
      <c r="B14" s="702"/>
      <c r="C14" s="5" t="s">
        <v>15</v>
      </c>
      <c r="D14" s="6" t="s">
        <v>6</v>
      </c>
      <c r="E14" s="53">
        <v>159385590</v>
      </c>
      <c r="F14" s="53">
        <v>153612160</v>
      </c>
      <c r="G14" s="53">
        <v>135150158</v>
      </c>
      <c r="H14" s="53">
        <v>164121100</v>
      </c>
      <c r="I14" s="53">
        <v>151017360</v>
      </c>
      <c r="J14" s="53">
        <v>101897796</v>
      </c>
      <c r="K14" s="52">
        <v>170270776</v>
      </c>
      <c r="L14" s="52">
        <v>109305950</v>
      </c>
      <c r="M14" s="52">
        <v>151017360</v>
      </c>
      <c r="N14" s="53">
        <v>131361750</v>
      </c>
      <c r="O14" s="53">
        <v>140404628</v>
      </c>
      <c r="P14" s="65">
        <f t="shared" si="0"/>
        <v>1567544628</v>
      </c>
      <c r="Q14" s="65">
        <f t="shared" si="1"/>
        <v>9042878</v>
      </c>
      <c r="R14" s="51">
        <f t="shared" si="2"/>
        <v>6.8839506172839501E-2</v>
      </c>
      <c r="S14" s="66">
        <v>12974</v>
      </c>
      <c r="T14" s="64">
        <f t="shared" si="3"/>
        <v>120822</v>
      </c>
      <c r="U14" s="67">
        <f t="shared" si="4"/>
        <v>0.23755146338873881</v>
      </c>
    </row>
    <row r="15" spans="1:23" s="64" customFormat="1" ht="13.5" customHeight="1" x14ac:dyDescent="0.25">
      <c r="A15" s="2"/>
      <c r="B15" s="702"/>
      <c r="C15" s="5" t="s">
        <v>16</v>
      </c>
      <c r="D15" s="6" t="s">
        <v>6</v>
      </c>
      <c r="E15" s="53">
        <v>1646999.99</v>
      </c>
      <c r="F15" s="53">
        <v>317199.99</v>
      </c>
      <c r="G15" s="53">
        <v>317199.99</v>
      </c>
      <c r="H15" s="53">
        <v>317199.99</v>
      </c>
      <c r="I15" s="53">
        <v>317199.99</v>
      </c>
      <c r="J15" s="53">
        <v>317199.99</v>
      </c>
      <c r="K15" s="53">
        <v>317199.99</v>
      </c>
      <c r="L15" s="53">
        <v>317199.99</v>
      </c>
      <c r="M15" s="53">
        <v>317199.99</v>
      </c>
      <c r="N15" s="53">
        <v>317199.99</v>
      </c>
      <c r="O15" s="53">
        <v>317199.99</v>
      </c>
      <c r="P15" s="65">
        <f t="shared" si="0"/>
        <v>4818999.8900000015</v>
      </c>
      <c r="Q15" s="65">
        <f t="shared" si="1"/>
        <v>0</v>
      </c>
      <c r="R15" s="51">
        <f t="shared" si="2"/>
        <v>0</v>
      </c>
      <c r="S15" s="66">
        <v>1298</v>
      </c>
      <c r="T15" s="64">
        <f t="shared" si="3"/>
        <v>3712.634738058553</v>
      </c>
      <c r="U15" s="67">
        <f t="shared" si="4"/>
        <v>7.2995134582582331E-3</v>
      </c>
    </row>
    <row r="16" spans="1:23" s="64" customFormat="1" ht="13.5" customHeight="1" x14ac:dyDescent="0.25">
      <c r="A16" s="2"/>
      <c r="B16" s="702"/>
      <c r="C16" s="5" t="s">
        <v>17</v>
      </c>
      <c r="D16" s="6" t="s">
        <v>6</v>
      </c>
      <c r="E16" s="53">
        <v>449331.6</v>
      </c>
      <c r="F16" s="53">
        <v>449331.6</v>
      </c>
      <c r="G16" s="53">
        <v>449331.6</v>
      </c>
      <c r="H16" s="53">
        <v>449331.6</v>
      </c>
      <c r="I16" s="53">
        <v>449331.6</v>
      </c>
      <c r="J16" s="53">
        <v>449331.6</v>
      </c>
      <c r="K16" s="53">
        <v>449331.6</v>
      </c>
      <c r="L16" s="53">
        <v>449331.6</v>
      </c>
      <c r="M16" s="53">
        <v>449331.6</v>
      </c>
      <c r="N16" s="53">
        <v>449331.6</v>
      </c>
      <c r="O16" s="53">
        <v>449331.6</v>
      </c>
      <c r="P16" s="65">
        <f t="shared" si="0"/>
        <v>4942647.5999999996</v>
      </c>
      <c r="Q16" s="65">
        <f t="shared" si="1"/>
        <v>0</v>
      </c>
      <c r="R16" s="51">
        <f t="shared" si="2"/>
        <v>0</v>
      </c>
      <c r="S16" s="68">
        <v>1862</v>
      </c>
      <c r="T16" s="64">
        <f t="shared" si="3"/>
        <v>2654.4831364124593</v>
      </c>
      <c r="U16" s="67">
        <f>T16/$V$8</f>
        <v>1.3272415682062296E-2</v>
      </c>
    </row>
    <row r="17" spans="1:21" s="64" customFormat="1" ht="13.5" customHeight="1" x14ac:dyDescent="0.25">
      <c r="A17" s="2"/>
      <c r="B17" s="702"/>
      <c r="C17" s="5" t="s">
        <v>18</v>
      </c>
      <c r="D17" s="6" t="s">
        <v>6</v>
      </c>
      <c r="E17" s="53">
        <v>9068935.9499999993</v>
      </c>
      <c r="F17" s="53">
        <v>9068935.9499999993</v>
      </c>
      <c r="G17" s="53">
        <v>9068935.9499999993</v>
      </c>
      <c r="H17" s="53">
        <v>9068935.9499999993</v>
      </c>
      <c r="I17" s="53">
        <v>9068935.9499999993</v>
      </c>
      <c r="J17" s="53">
        <v>9068935.9499999993</v>
      </c>
      <c r="K17" s="53">
        <v>9068935.9499999993</v>
      </c>
      <c r="L17" s="53">
        <v>9068935.9499999993</v>
      </c>
      <c r="M17" s="53">
        <v>9068935.9499999993</v>
      </c>
      <c r="N17" s="53">
        <v>9068935.9499999993</v>
      </c>
      <c r="O17" s="53">
        <v>9068935.9499999993</v>
      </c>
      <c r="P17" s="65">
        <f t="shared" si="0"/>
        <v>99758295.450000018</v>
      </c>
      <c r="Q17" s="65">
        <f t="shared" si="1"/>
        <v>0</v>
      </c>
      <c r="R17" s="51">
        <f t="shared" si="2"/>
        <v>0</v>
      </c>
      <c r="S17" s="68">
        <v>36239</v>
      </c>
      <c r="T17" s="64">
        <f t="shared" si="3"/>
        <v>2752.7883067965458</v>
      </c>
      <c r="U17" s="67">
        <f t="shared" ref="U17:U19" si="5">T17/$V$8</f>
        <v>1.376394153398273E-2</v>
      </c>
    </row>
    <row r="18" spans="1:21" s="64" customFormat="1" ht="13.5" customHeight="1" x14ac:dyDescent="0.25">
      <c r="A18" s="2"/>
      <c r="B18" s="702"/>
      <c r="C18" s="5" t="s">
        <v>19</v>
      </c>
      <c r="D18" s="6" t="s">
        <v>6</v>
      </c>
      <c r="E18" s="53">
        <v>543261.04</v>
      </c>
      <c r="F18" s="53">
        <v>543261.04</v>
      </c>
      <c r="G18" s="53">
        <v>543261.04</v>
      </c>
      <c r="H18" s="53">
        <v>543261.04</v>
      </c>
      <c r="I18" s="53">
        <v>543261.04</v>
      </c>
      <c r="J18" s="53">
        <v>543261.04</v>
      </c>
      <c r="K18" s="53">
        <v>543261.04</v>
      </c>
      <c r="L18" s="53">
        <v>543261.04</v>
      </c>
      <c r="M18" s="53">
        <v>543261.04</v>
      </c>
      <c r="N18" s="53">
        <v>543261.04</v>
      </c>
      <c r="O18" s="53">
        <v>543261.04</v>
      </c>
      <c r="P18" s="65">
        <f t="shared" si="0"/>
        <v>5975871.4400000004</v>
      </c>
      <c r="Q18" s="65">
        <f t="shared" si="1"/>
        <v>0</v>
      </c>
      <c r="R18" s="51">
        <f t="shared" si="2"/>
        <v>0</v>
      </c>
      <c r="S18" s="68">
        <v>32490</v>
      </c>
      <c r="T18" s="64">
        <f t="shared" si="3"/>
        <v>183.92956109572177</v>
      </c>
      <c r="U18" s="67">
        <f t="shared" si="5"/>
        <v>9.1964780547860883E-4</v>
      </c>
    </row>
    <row r="19" spans="1:21" s="64" customFormat="1" ht="13.5" customHeight="1" x14ac:dyDescent="0.25">
      <c r="A19" s="2"/>
      <c r="B19" s="702"/>
      <c r="C19" s="9" t="s">
        <v>20</v>
      </c>
      <c r="D19" s="6" t="s">
        <v>6</v>
      </c>
      <c r="E19" s="53">
        <v>6330327.5999999996</v>
      </c>
      <c r="F19" s="53">
        <v>6330327.5999999996</v>
      </c>
      <c r="G19" s="53">
        <v>6330327.5999999996</v>
      </c>
      <c r="H19" s="53">
        <v>6330327.5999999996</v>
      </c>
      <c r="I19" s="53">
        <v>6330327.5999999996</v>
      </c>
      <c r="J19" s="53">
        <v>6330327.5999999996</v>
      </c>
      <c r="K19" s="53">
        <v>6330327.5999999996</v>
      </c>
      <c r="L19" s="53">
        <v>6330327.5999999996</v>
      </c>
      <c r="M19" s="53">
        <v>6330327.5999999996</v>
      </c>
      <c r="N19" s="53">
        <v>6330327.5999999996</v>
      </c>
      <c r="O19" s="53">
        <v>6330327.5999999996</v>
      </c>
      <c r="P19" s="65">
        <f t="shared" si="0"/>
        <v>69633603.600000009</v>
      </c>
      <c r="Q19" s="65">
        <f t="shared" si="1"/>
        <v>0</v>
      </c>
      <c r="R19" s="51">
        <f t="shared" si="2"/>
        <v>0</v>
      </c>
      <c r="S19" s="68">
        <v>19160</v>
      </c>
      <c r="T19" s="64">
        <f t="shared" si="3"/>
        <v>3634.3216910229648</v>
      </c>
      <c r="U19" s="67">
        <f t="shared" si="5"/>
        <v>1.8171608455114823E-2</v>
      </c>
    </row>
    <row r="20" spans="1:21" s="64" customFormat="1" ht="13.5" customHeight="1" x14ac:dyDescent="0.25">
      <c r="A20" s="2"/>
      <c r="B20" s="702"/>
      <c r="C20" s="10" t="s">
        <v>21</v>
      </c>
      <c r="D20" s="6" t="s">
        <v>22</v>
      </c>
      <c r="E20" s="53">
        <v>543261.04</v>
      </c>
      <c r="F20" s="53">
        <v>543261.04</v>
      </c>
      <c r="G20" s="53">
        <v>543261.04</v>
      </c>
      <c r="H20" s="53">
        <v>543261.04</v>
      </c>
      <c r="I20" s="53">
        <v>543261.04</v>
      </c>
      <c r="J20" s="53">
        <v>543261.04</v>
      </c>
      <c r="K20" s="53">
        <v>543261.04</v>
      </c>
      <c r="L20" s="53">
        <v>543261.04</v>
      </c>
      <c r="M20" s="53">
        <v>543261.04</v>
      </c>
      <c r="N20" s="53">
        <v>543261.04</v>
      </c>
      <c r="O20" s="53">
        <v>543261.04</v>
      </c>
      <c r="P20" s="65">
        <f t="shared" si="0"/>
        <v>5975871.4400000004</v>
      </c>
      <c r="Q20" s="65">
        <f t="shared" si="1"/>
        <v>0</v>
      </c>
      <c r="R20" s="51">
        <f t="shared" si="2"/>
        <v>0</v>
      </c>
      <c r="S20" s="68">
        <v>34156</v>
      </c>
      <c r="T20" s="64">
        <f>P20/S20</f>
        <v>174.95817543037828</v>
      </c>
      <c r="U20" s="67">
        <f>T20/$V$8</f>
        <v>8.7479087715189134E-4</v>
      </c>
    </row>
    <row r="21" spans="1:21" s="64" customFormat="1" ht="13.5" customHeight="1" x14ac:dyDescent="0.25">
      <c r="A21" s="2"/>
      <c r="B21" s="702"/>
      <c r="C21" s="5" t="s">
        <v>24</v>
      </c>
      <c r="D21" s="6" t="s">
        <v>23</v>
      </c>
      <c r="E21" s="53">
        <v>0</v>
      </c>
      <c r="F21" s="53">
        <v>0</v>
      </c>
      <c r="G21" s="53">
        <v>527415.29</v>
      </c>
      <c r="H21" s="53">
        <v>0</v>
      </c>
      <c r="I21" s="53">
        <v>0</v>
      </c>
      <c r="J21" s="53">
        <v>527415.29</v>
      </c>
      <c r="K21" s="52">
        <v>0</v>
      </c>
      <c r="L21" s="52">
        <v>0</v>
      </c>
      <c r="M21" s="53">
        <v>527415.29</v>
      </c>
      <c r="N21" s="53"/>
      <c r="O21" s="53">
        <v>527415.29</v>
      </c>
      <c r="P21" s="65">
        <f t="shared" si="0"/>
        <v>2109661.16</v>
      </c>
      <c r="Q21" s="65">
        <f t="shared" si="1"/>
        <v>527415.29</v>
      </c>
      <c r="R21" s="51">
        <f t="shared" si="2"/>
        <v>0</v>
      </c>
      <c r="S21" s="68">
        <v>5200</v>
      </c>
      <c r="T21" s="64">
        <f t="shared" si="3"/>
        <v>405.70406923076928</v>
      </c>
      <c r="U21" s="67">
        <f t="shared" si="4"/>
        <v>7.976659494838311E-4</v>
      </c>
    </row>
    <row r="22" spans="1:21" s="49" customFormat="1" ht="13.5" customHeight="1" x14ac:dyDescent="0.3">
      <c r="B22" s="702"/>
      <c r="C22" s="703" t="s">
        <v>25</v>
      </c>
      <c r="D22" s="703"/>
      <c r="E22" s="69">
        <f t="shared" ref="E22:O22" si="6">SUM(E6:E21)</f>
        <v>270323175.22000003</v>
      </c>
      <c r="F22" s="70">
        <f t="shared" si="6"/>
        <v>359468597.22000009</v>
      </c>
      <c r="G22" s="70">
        <f t="shared" si="6"/>
        <v>248257016.50999996</v>
      </c>
      <c r="H22" s="70">
        <f t="shared" si="6"/>
        <v>305702478.26000005</v>
      </c>
      <c r="I22" s="70">
        <f t="shared" si="6"/>
        <v>316791147.94000012</v>
      </c>
      <c r="J22" s="70">
        <f t="shared" si="6"/>
        <v>176738402.50999996</v>
      </c>
      <c r="K22" s="70">
        <f t="shared" si="6"/>
        <v>288564384.22000009</v>
      </c>
      <c r="L22" s="70">
        <f t="shared" si="6"/>
        <v>218139115.21999997</v>
      </c>
      <c r="M22" s="70">
        <f t="shared" si="6"/>
        <v>275533352.51000005</v>
      </c>
      <c r="N22" s="71">
        <f t="shared" si="6"/>
        <v>248764174.81999996</v>
      </c>
      <c r="O22" s="71">
        <f t="shared" si="6"/>
        <v>245707793.28999996</v>
      </c>
      <c r="P22" s="69">
        <f t="shared" si="0"/>
        <v>2953989637.7200003</v>
      </c>
      <c r="Q22" s="69">
        <f t="shared" si="1"/>
        <v>-3056381.5300000012</v>
      </c>
      <c r="R22" s="72">
        <f t="shared" si="2"/>
        <v>-1.2286260801867989E-2</v>
      </c>
    </row>
    <row r="23" spans="1:21" ht="13.5" customHeight="1" x14ac:dyDescent="0.3">
      <c r="B23" s="704" t="s">
        <v>26</v>
      </c>
      <c r="C23" s="11" t="s">
        <v>27</v>
      </c>
      <c r="D23" s="12"/>
      <c r="E23" s="73">
        <v>32990880</v>
      </c>
      <c r="F23" s="73">
        <v>29812080</v>
      </c>
      <c r="G23" s="73">
        <v>32990880</v>
      </c>
      <c r="H23" s="73">
        <v>32990880</v>
      </c>
      <c r="I23" s="73">
        <v>32990880</v>
      </c>
      <c r="J23" s="73">
        <v>32990880</v>
      </c>
      <c r="K23" s="73">
        <v>32990880</v>
      </c>
      <c r="L23" s="73">
        <v>32990880</v>
      </c>
      <c r="M23" s="74">
        <v>53422896</v>
      </c>
      <c r="N23" s="73">
        <v>108517008</v>
      </c>
      <c r="O23" s="73">
        <v>2530000</v>
      </c>
      <c r="P23" s="75">
        <f t="shared" si="0"/>
        <v>425218144</v>
      </c>
      <c r="Q23" s="75">
        <f t="shared" si="1"/>
        <v>-105987008</v>
      </c>
      <c r="R23" s="51">
        <f t="shared" si="2"/>
        <v>-0.97668568230336761</v>
      </c>
      <c r="S23" s="2">
        <v>96</v>
      </c>
      <c r="U23" s="76">
        <v>3.4</v>
      </c>
    </row>
    <row r="24" spans="1:21" ht="13.5" customHeight="1" x14ac:dyDescent="0.3">
      <c r="B24" s="704"/>
      <c r="C24" s="11" t="s">
        <v>190</v>
      </c>
      <c r="D24" s="12"/>
      <c r="E24" s="77"/>
      <c r="F24" s="73"/>
      <c r="G24" s="73"/>
      <c r="H24" s="73"/>
      <c r="I24" s="73"/>
      <c r="J24" s="73"/>
      <c r="K24" s="73"/>
      <c r="L24" s="73"/>
      <c r="M24" s="74"/>
      <c r="N24" s="73"/>
      <c r="O24" s="73"/>
      <c r="P24" s="75"/>
      <c r="Q24" s="75"/>
      <c r="R24" s="51"/>
      <c r="S24" s="2">
        <v>600000</v>
      </c>
      <c r="U24" s="76"/>
    </row>
    <row r="25" spans="1:21" ht="13.5" customHeight="1" x14ac:dyDescent="0.3">
      <c r="B25" s="704"/>
      <c r="C25" s="11" t="s">
        <v>28</v>
      </c>
      <c r="D25" s="12"/>
      <c r="E25" s="78">
        <v>28778200</v>
      </c>
      <c r="F25" s="73">
        <v>32794000</v>
      </c>
      <c r="G25" s="73">
        <v>32837500</v>
      </c>
      <c r="H25" s="73">
        <v>32837500</v>
      </c>
      <c r="I25" s="73">
        <v>32837500</v>
      </c>
      <c r="J25" s="73">
        <v>32837500</v>
      </c>
      <c r="K25" s="74">
        <v>32968000</v>
      </c>
      <c r="L25" s="74">
        <v>0</v>
      </c>
      <c r="M25" s="74">
        <v>66081000</v>
      </c>
      <c r="N25" s="73">
        <v>32939000</v>
      </c>
      <c r="O25" s="73">
        <v>33142000</v>
      </c>
      <c r="P25" s="75">
        <f t="shared" si="0"/>
        <v>358052200</v>
      </c>
      <c r="Q25" s="75">
        <f t="shared" si="1"/>
        <v>203000</v>
      </c>
      <c r="R25" s="51">
        <f t="shared" si="2"/>
        <v>6.162907192082334E-3</v>
      </c>
      <c r="S25" s="2">
        <v>290</v>
      </c>
      <c r="T25" s="48">
        <v>1140000</v>
      </c>
      <c r="U25" s="47">
        <v>2.5</v>
      </c>
    </row>
    <row r="26" spans="1:21" s="49" customFormat="1" ht="13.5" customHeight="1" x14ac:dyDescent="0.3">
      <c r="B26" s="704"/>
      <c r="C26" s="703" t="s">
        <v>25</v>
      </c>
      <c r="D26" s="703"/>
      <c r="E26" s="79">
        <f t="shared" ref="E26:L26" si="7">SUM(E23:E25)</f>
        <v>61769080</v>
      </c>
      <c r="F26" s="79">
        <f t="shared" si="7"/>
        <v>62606080</v>
      </c>
      <c r="G26" s="79">
        <f t="shared" si="7"/>
        <v>65828380</v>
      </c>
      <c r="H26" s="79">
        <f t="shared" si="7"/>
        <v>65828380</v>
      </c>
      <c r="I26" s="79">
        <f t="shared" si="7"/>
        <v>65828380</v>
      </c>
      <c r="J26" s="79">
        <f t="shared" si="7"/>
        <v>65828380</v>
      </c>
      <c r="K26" s="79">
        <f t="shared" si="7"/>
        <v>65958880</v>
      </c>
      <c r="L26" s="79">
        <f t="shared" si="7"/>
        <v>32990880</v>
      </c>
      <c r="M26" s="79">
        <f>SUM(M23:M25)</f>
        <v>119503896</v>
      </c>
      <c r="N26" s="80">
        <f>SUM(N23:N25)</f>
        <v>141456008</v>
      </c>
      <c r="O26" s="80">
        <f>SUM(O23:O25)</f>
        <v>35672000</v>
      </c>
      <c r="P26" s="81">
        <f t="shared" si="0"/>
        <v>783270344</v>
      </c>
      <c r="Q26" s="81">
        <f t="shared" si="1"/>
        <v>-105784008</v>
      </c>
      <c r="R26" s="72">
        <f t="shared" si="2"/>
        <v>-0.74782265875903975</v>
      </c>
    </row>
    <row r="27" spans="1:21" ht="13.5" customHeight="1" x14ac:dyDescent="0.25">
      <c r="B27" s="705" t="s">
        <v>29</v>
      </c>
      <c r="C27" s="11" t="s">
        <v>30</v>
      </c>
      <c r="D27" s="13" t="s">
        <v>31</v>
      </c>
      <c r="E27" s="53">
        <v>0</v>
      </c>
      <c r="F27" s="53">
        <v>0</v>
      </c>
      <c r="G27" s="53">
        <v>0</v>
      </c>
      <c r="H27" s="53">
        <v>0</v>
      </c>
      <c r="I27" s="53">
        <v>150552000</v>
      </c>
      <c r="J27" s="53">
        <v>0</v>
      </c>
      <c r="K27" s="52">
        <v>0</v>
      </c>
      <c r="L27" s="52">
        <v>0</v>
      </c>
      <c r="M27" s="52">
        <v>0</v>
      </c>
      <c r="N27" s="53">
        <v>0</v>
      </c>
      <c r="O27" s="53">
        <v>0</v>
      </c>
      <c r="P27" s="75">
        <f t="shared" si="0"/>
        <v>150552000</v>
      </c>
      <c r="Q27" s="75">
        <f t="shared" si="1"/>
        <v>0</v>
      </c>
      <c r="R27" s="51">
        <f t="shared" si="2"/>
        <v>0</v>
      </c>
    </row>
    <row r="28" spans="1:21" ht="13.5" customHeight="1" x14ac:dyDescent="0.25">
      <c r="B28" s="706"/>
      <c r="C28" s="11" t="s">
        <v>32</v>
      </c>
      <c r="D28" s="13" t="s">
        <v>31</v>
      </c>
      <c r="E28" s="53">
        <v>0</v>
      </c>
      <c r="F28" s="53">
        <v>0</v>
      </c>
      <c r="G28" s="53">
        <v>0</v>
      </c>
      <c r="H28" s="53">
        <v>0</v>
      </c>
      <c r="I28" s="53">
        <v>0</v>
      </c>
      <c r="J28" s="53">
        <v>0</v>
      </c>
      <c r="K28" s="52">
        <v>0</v>
      </c>
      <c r="L28" s="52">
        <v>0</v>
      </c>
      <c r="M28" s="52">
        <v>0</v>
      </c>
      <c r="N28" s="53">
        <v>0</v>
      </c>
      <c r="O28" s="53">
        <v>0</v>
      </c>
      <c r="P28" s="75">
        <f t="shared" si="0"/>
        <v>0</v>
      </c>
      <c r="Q28" s="75">
        <f t="shared" si="1"/>
        <v>0</v>
      </c>
      <c r="R28" s="51">
        <f t="shared" si="2"/>
        <v>0</v>
      </c>
    </row>
    <row r="29" spans="1:21" ht="13.5" customHeight="1" x14ac:dyDescent="0.25">
      <c r="B29" s="706"/>
      <c r="C29" s="11" t="s">
        <v>33</v>
      </c>
      <c r="D29" s="13" t="s">
        <v>31</v>
      </c>
      <c r="E29" s="53">
        <v>0</v>
      </c>
      <c r="F29" s="53">
        <v>0</v>
      </c>
      <c r="G29" s="53">
        <v>0</v>
      </c>
      <c r="H29" s="53">
        <v>0</v>
      </c>
      <c r="I29" s="53">
        <v>0</v>
      </c>
      <c r="J29" s="53">
        <v>0</v>
      </c>
      <c r="K29" s="52">
        <v>0</v>
      </c>
      <c r="L29" s="52">
        <v>0</v>
      </c>
      <c r="M29" s="52">
        <v>0</v>
      </c>
      <c r="N29" s="53">
        <v>0</v>
      </c>
      <c r="O29" s="53">
        <v>0</v>
      </c>
      <c r="P29" s="75">
        <f t="shared" si="0"/>
        <v>0</v>
      </c>
      <c r="Q29" s="75">
        <f t="shared" si="1"/>
        <v>0</v>
      </c>
      <c r="R29" s="51">
        <f t="shared" si="2"/>
        <v>0</v>
      </c>
    </row>
    <row r="30" spans="1:21" ht="13.5" customHeight="1" x14ac:dyDescent="0.25">
      <c r="B30" s="706"/>
      <c r="C30" s="11" t="s">
        <v>34</v>
      </c>
      <c r="D30" s="13" t="s">
        <v>31</v>
      </c>
      <c r="E30" s="53">
        <v>0</v>
      </c>
      <c r="F30" s="53">
        <v>0</v>
      </c>
      <c r="G30" s="53">
        <v>0</v>
      </c>
      <c r="H30" s="53">
        <v>0</v>
      </c>
      <c r="I30" s="53">
        <v>0</v>
      </c>
      <c r="J30" s="53">
        <v>0</v>
      </c>
      <c r="K30" s="52">
        <v>0</v>
      </c>
      <c r="L30" s="52">
        <v>0</v>
      </c>
      <c r="M30" s="52">
        <v>0</v>
      </c>
      <c r="N30" s="53">
        <v>0</v>
      </c>
      <c r="O30" s="53">
        <v>0</v>
      </c>
      <c r="P30" s="75">
        <f t="shared" si="0"/>
        <v>0</v>
      </c>
      <c r="Q30" s="75">
        <f t="shared" si="1"/>
        <v>0</v>
      </c>
      <c r="R30" s="51">
        <f t="shared" si="2"/>
        <v>0</v>
      </c>
    </row>
    <row r="31" spans="1:21" ht="13.5" customHeight="1" x14ac:dyDescent="0.25">
      <c r="B31" s="706"/>
      <c r="C31" s="11" t="s">
        <v>35</v>
      </c>
      <c r="D31" s="13" t="s">
        <v>31</v>
      </c>
      <c r="E31" s="53">
        <v>0</v>
      </c>
      <c r="F31" s="53">
        <v>0</v>
      </c>
      <c r="G31" s="53">
        <v>0</v>
      </c>
      <c r="H31" s="53">
        <v>0</v>
      </c>
      <c r="I31" s="53">
        <v>0</v>
      </c>
      <c r="J31" s="53">
        <v>0</v>
      </c>
      <c r="K31" s="52">
        <v>0</v>
      </c>
      <c r="L31" s="52">
        <v>0</v>
      </c>
      <c r="M31" s="52">
        <v>0</v>
      </c>
      <c r="N31" s="53">
        <v>200000</v>
      </c>
      <c r="O31" s="53">
        <v>0</v>
      </c>
      <c r="P31" s="75">
        <f t="shared" si="0"/>
        <v>200000</v>
      </c>
      <c r="Q31" s="75">
        <f t="shared" si="1"/>
        <v>-200000</v>
      </c>
      <c r="R31" s="51">
        <f t="shared" si="2"/>
        <v>-1</v>
      </c>
    </row>
    <row r="32" spans="1:21" ht="13.5" customHeight="1" x14ac:dyDescent="0.25">
      <c r="B32" s="706"/>
      <c r="C32" s="11" t="s">
        <v>36</v>
      </c>
      <c r="D32" s="13" t="s">
        <v>31</v>
      </c>
      <c r="E32" s="53">
        <v>0</v>
      </c>
      <c r="F32" s="53">
        <v>0</v>
      </c>
      <c r="G32" s="53">
        <v>0</v>
      </c>
      <c r="H32" s="53">
        <v>0</v>
      </c>
      <c r="I32" s="53">
        <v>0</v>
      </c>
      <c r="J32" s="53">
        <v>0</v>
      </c>
      <c r="K32" s="52">
        <v>0</v>
      </c>
      <c r="L32" s="52">
        <v>0</v>
      </c>
      <c r="M32" s="52">
        <v>0</v>
      </c>
      <c r="N32" s="53">
        <v>648000</v>
      </c>
      <c r="O32" s="53">
        <v>0</v>
      </c>
      <c r="P32" s="75">
        <f t="shared" si="0"/>
        <v>648000</v>
      </c>
      <c r="Q32" s="75">
        <f t="shared" si="1"/>
        <v>-648000</v>
      </c>
      <c r="R32" s="51">
        <f t="shared" si="2"/>
        <v>-1</v>
      </c>
    </row>
    <row r="33" spans="2:18" ht="13.5" customHeight="1" x14ac:dyDescent="0.25">
      <c r="B33" s="706"/>
      <c r="C33" s="11" t="s">
        <v>37</v>
      </c>
      <c r="D33" s="13" t="s">
        <v>31</v>
      </c>
      <c r="E33" s="53">
        <v>0</v>
      </c>
      <c r="F33" s="53">
        <v>0</v>
      </c>
      <c r="G33" s="53">
        <v>0</v>
      </c>
      <c r="H33" s="53">
        <v>0</v>
      </c>
      <c r="I33" s="53">
        <v>0</v>
      </c>
      <c r="J33" s="53">
        <v>125858.29</v>
      </c>
      <c r="K33" s="52">
        <v>0</v>
      </c>
      <c r="L33" s="52">
        <v>0</v>
      </c>
      <c r="M33" s="52">
        <v>0</v>
      </c>
      <c r="N33" s="53">
        <v>0</v>
      </c>
      <c r="O33" s="53">
        <v>0</v>
      </c>
      <c r="P33" s="75">
        <f t="shared" si="0"/>
        <v>125858.29</v>
      </c>
      <c r="Q33" s="75">
        <f t="shared" si="1"/>
        <v>0</v>
      </c>
      <c r="R33" s="51">
        <f t="shared" si="2"/>
        <v>0</v>
      </c>
    </row>
    <row r="34" spans="2:18" ht="13.5" customHeight="1" x14ac:dyDescent="0.25">
      <c r="B34" s="706"/>
      <c r="C34" s="11" t="s">
        <v>38</v>
      </c>
      <c r="D34" s="13" t="s">
        <v>31</v>
      </c>
      <c r="E34" s="53">
        <v>1925410</v>
      </c>
      <c r="F34" s="53">
        <v>3209016.67</v>
      </c>
      <c r="G34" s="53">
        <v>287700</v>
      </c>
      <c r="H34" s="53">
        <v>1444057.5</v>
      </c>
      <c r="I34" s="53">
        <v>1399370.08</v>
      </c>
      <c r="J34" s="53">
        <v>3498425.2</v>
      </c>
      <c r="K34" s="52">
        <v>1706617.83</v>
      </c>
      <c r="L34" s="52">
        <v>2901250.32</v>
      </c>
      <c r="M34" s="52">
        <v>6776050.6200000001</v>
      </c>
      <c r="N34" s="53">
        <v>7623056.9700000007</v>
      </c>
      <c r="O34" s="53">
        <v>5082037.9799999995</v>
      </c>
      <c r="P34" s="75">
        <f t="shared" si="0"/>
        <v>35852993.169999994</v>
      </c>
      <c r="Q34" s="75">
        <f t="shared" si="1"/>
        <v>-2541018.9900000012</v>
      </c>
      <c r="R34" s="51">
        <f t="shared" si="2"/>
        <v>-0.33333333333333348</v>
      </c>
    </row>
    <row r="35" spans="2:18" ht="13.5" customHeight="1" x14ac:dyDescent="0.25">
      <c r="B35" s="706"/>
      <c r="C35" s="11" t="s">
        <v>39</v>
      </c>
      <c r="D35" s="13" t="s">
        <v>31</v>
      </c>
      <c r="E35" s="53">
        <v>0</v>
      </c>
      <c r="F35" s="53">
        <v>0</v>
      </c>
      <c r="G35" s="53">
        <v>0</v>
      </c>
      <c r="H35" s="53">
        <v>143706</v>
      </c>
      <c r="I35" s="53">
        <v>0</v>
      </c>
      <c r="J35" s="53">
        <v>9813067.6199999992</v>
      </c>
      <c r="K35" s="52">
        <v>0</v>
      </c>
      <c r="L35" s="52">
        <v>0</v>
      </c>
      <c r="M35" s="52">
        <v>1495881.57</v>
      </c>
      <c r="N35" s="53">
        <v>558000</v>
      </c>
      <c r="O35" s="53">
        <v>1834000</v>
      </c>
      <c r="P35" s="75">
        <f t="shared" si="0"/>
        <v>13844655.189999999</v>
      </c>
      <c r="Q35" s="75">
        <f t="shared" si="1"/>
        <v>1276000</v>
      </c>
      <c r="R35" s="51">
        <f t="shared" si="2"/>
        <v>2.2867383512544803</v>
      </c>
    </row>
    <row r="36" spans="2:18" ht="13.5" customHeight="1" x14ac:dyDescent="0.25">
      <c r="B36" s="706"/>
      <c r="C36" s="11" t="s">
        <v>40</v>
      </c>
      <c r="D36" s="13" t="s">
        <v>31</v>
      </c>
      <c r="E36" s="53">
        <v>0</v>
      </c>
      <c r="F36" s="53">
        <v>0</v>
      </c>
      <c r="G36" s="53">
        <v>0</v>
      </c>
      <c r="H36" s="53">
        <v>7800</v>
      </c>
      <c r="I36" s="53">
        <v>0</v>
      </c>
      <c r="J36" s="53">
        <v>0</v>
      </c>
      <c r="K36" s="52">
        <v>0</v>
      </c>
      <c r="L36" s="52">
        <v>0</v>
      </c>
      <c r="M36" s="52">
        <v>0</v>
      </c>
      <c r="N36" s="53">
        <v>0</v>
      </c>
      <c r="O36" s="53">
        <v>0</v>
      </c>
      <c r="P36" s="75">
        <f t="shared" si="0"/>
        <v>7800</v>
      </c>
      <c r="Q36" s="75">
        <f t="shared" si="1"/>
        <v>0</v>
      </c>
      <c r="R36" s="51">
        <f t="shared" si="2"/>
        <v>0</v>
      </c>
    </row>
    <row r="37" spans="2:18" ht="13.5" customHeight="1" x14ac:dyDescent="0.25">
      <c r="B37" s="706"/>
      <c r="C37" s="11" t="s">
        <v>41</v>
      </c>
      <c r="D37" s="13" t="s">
        <v>31</v>
      </c>
      <c r="E37" s="53">
        <v>0</v>
      </c>
      <c r="F37" s="53">
        <v>0</v>
      </c>
      <c r="G37" s="53">
        <v>0</v>
      </c>
      <c r="H37" s="53">
        <v>0</v>
      </c>
      <c r="I37" s="53">
        <v>0</v>
      </c>
      <c r="J37" s="53">
        <v>0</v>
      </c>
      <c r="K37" s="52">
        <v>0</v>
      </c>
      <c r="L37" s="52">
        <v>0</v>
      </c>
      <c r="M37" s="52">
        <v>0</v>
      </c>
      <c r="N37" s="53">
        <v>77200</v>
      </c>
      <c r="O37" s="53">
        <v>0</v>
      </c>
      <c r="P37" s="75">
        <f t="shared" si="0"/>
        <v>77200</v>
      </c>
      <c r="Q37" s="75">
        <f t="shared" si="1"/>
        <v>-77200</v>
      </c>
      <c r="R37" s="51">
        <f t="shared" si="2"/>
        <v>-1</v>
      </c>
    </row>
    <row r="38" spans="2:18" ht="13.5" customHeight="1" x14ac:dyDescent="0.25">
      <c r="B38" s="706"/>
      <c r="C38" s="11" t="s">
        <v>42</v>
      </c>
      <c r="D38" s="13" t="s">
        <v>31</v>
      </c>
      <c r="E38" s="53">
        <v>0</v>
      </c>
      <c r="F38" s="53">
        <v>0</v>
      </c>
      <c r="G38" s="53">
        <v>0</v>
      </c>
      <c r="H38" s="53">
        <v>0</v>
      </c>
      <c r="I38" s="53">
        <v>0</v>
      </c>
      <c r="J38" s="53">
        <v>0</v>
      </c>
      <c r="K38" s="52">
        <v>0</v>
      </c>
      <c r="L38" s="52">
        <v>0</v>
      </c>
      <c r="M38" s="52">
        <v>0</v>
      </c>
      <c r="N38" s="53">
        <v>0</v>
      </c>
      <c r="O38" s="53">
        <v>0</v>
      </c>
      <c r="P38" s="75">
        <f t="shared" si="0"/>
        <v>0</v>
      </c>
      <c r="Q38" s="75">
        <f t="shared" si="1"/>
        <v>0</v>
      </c>
      <c r="R38" s="51">
        <f t="shared" si="2"/>
        <v>0</v>
      </c>
    </row>
    <row r="39" spans="2:18" ht="13.5" customHeight="1" x14ac:dyDescent="0.25">
      <c r="B39" s="706"/>
      <c r="C39" s="11" t="s">
        <v>43</v>
      </c>
      <c r="D39" s="13" t="s">
        <v>31</v>
      </c>
      <c r="E39" s="53">
        <v>0</v>
      </c>
      <c r="F39" s="53">
        <v>0</v>
      </c>
      <c r="G39" s="53">
        <v>0</v>
      </c>
      <c r="H39" s="53">
        <v>0</v>
      </c>
      <c r="I39" s="53">
        <v>0</v>
      </c>
      <c r="J39" s="53">
        <v>0</v>
      </c>
      <c r="K39" s="52">
        <v>0</v>
      </c>
      <c r="L39" s="52">
        <v>0</v>
      </c>
      <c r="M39" s="52">
        <v>0</v>
      </c>
      <c r="N39" s="53">
        <v>0</v>
      </c>
      <c r="O39" s="53">
        <v>209346</v>
      </c>
      <c r="P39" s="75">
        <f t="shared" si="0"/>
        <v>209346</v>
      </c>
      <c r="Q39" s="75">
        <f t="shared" si="1"/>
        <v>209346</v>
      </c>
      <c r="R39" s="51">
        <f t="shared" si="2"/>
        <v>0</v>
      </c>
    </row>
    <row r="40" spans="2:18" ht="13.5" customHeight="1" x14ac:dyDescent="0.25">
      <c r="B40" s="706"/>
      <c r="C40" s="11" t="s">
        <v>44</v>
      </c>
      <c r="D40" s="13" t="s">
        <v>31</v>
      </c>
      <c r="E40" s="53">
        <v>0</v>
      </c>
      <c r="F40" s="53">
        <v>0</v>
      </c>
      <c r="G40" s="53">
        <v>0</v>
      </c>
      <c r="H40" s="53">
        <v>0</v>
      </c>
      <c r="I40" s="53">
        <v>0</v>
      </c>
      <c r="J40" s="53">
        <v>0</v>
      </c>
      <c r="K40" s="52">
        <v>0</v>
      </c>
      <c r="L40" s="52">
        <v>0</v>
      </c>
      <c r="M40" s="52">
        <v>0</v>
      </c>
      <c r="N40" s="53">
        <v>56100</v>
      </c>
      <c r="O40" s="53">
        <v>0</v>
      </c>
      <c r="P40" s="75">
        <f t="shared" si="0"/>
        <v>56100</v>
      </c>
      <c r="Q40" s="75">
        <f t="shared" si="1"/>
        <v>-56100</v>
      </c>
      <c r="R40" s="51">
        <f t="shared" si="2"/>
        <v>-1</v>
      </c>
    </row>
    <row r="41" spans="2:18" s="49" customFormat="1" ht="13.5" customHeight="1" x14ac:dyDescent="0.3">
      <c r="B41" s="707"/>
      <c r="C41" s="708" t="s">
        <v>25</v>
      </c>
      <c r="D41" s="709"/>
      <c r="E41" s="79">
        <f t="shared" ref="E41:O41" si="8">SUM(E27:E40)</f>
        <v>1925410</v>
      </c>
      <c r="F41" s="79">
        <f t="shared" si="8"/>
        <v>3209016.67</v>
      </c>
      <c r="G41" s="79">
        <f t="shared" si="8"/>
        <v>287700</v>
      </c>
      <c r="H41" s="79">
        <f t="shared" si="8"/>
        <v>1595563.5</v>
      </c>
      <c r="I41" s="79">
        <f t="shared" si="8"/>
        <v>151951370.08000001</v>
      </c>
      <c r="J41" s="79">
        <f t="shared" si="8"/>
        <v>13437351.109999999</v>
      </c>
      <c r="K41" s="79">
        <f t="shared" si="8"/>
        <v>1706617.83</v>
      </c>
      <c r="L41" s="79">
        <f t="shared" si="8"/>
        <v>2901250.32</v>
      </c>
      <c r="M41" s="79">
        <f t="shared" si="8"/>
        <v>8271932.1900000004</v>
      </c>
      <c r="N41" s="80">
        <f t="shared" si="8"/>
        <v>9162356.9700000007</v>
      </c>
      <c r="O41" s="80">
        <f t="shared" si="8"/>
        <v>7125383.9799999995</v>
      </c>
      <c r="P41" s="81">
        <f t="shared" si="0"/>
        <v>201573952.65000001</v>
      </c>
      <c r="Q41" s="81">
        <f t="shared" si="1"/>
        <v>-2036972.9900000012</v>
      </c>
      <c r="R41" s="72">
        <f t="shared" si="2"/>
        <v>-0.22231975862429218</v>
      </c>
    </row>
    <row r="42" spans="2:18" ht="13.5" customHeight="1" x14ac:dyDescent="0.25">
      <c r="B42" s="710" t="s">
        <v>45</v>
      </c>
      <c r="C42" s="14" t="s">
        <v>46</v>
      </c>
      <c r="D42" s="15" t="s">
        <v>31</v>
      </c>
      <c r="E42" s="82">
        <v>0</v>
      </c>
      <c r="F42" s="82">
        <v>0</v>
      </c>
      <c r="G42" s="82">
        <v>0</v>
      </c>
      <c r="H42" s="82">
        <v>0</v>
      </c>
      <c r="I42" s="82">
        <v>0</v>
      </c>
      <c r="J42" s="82">
        <v>0</v>
      </c>
      <c r="K42" s="83">
        <v>0</v>
      </c>
      <c r="L42" s="83">
        <v>0</v>
      </c>
      <c r="M42" s="83">
        <v>0</v>
      </c>
      <c r="N42" s="82">
        <v>0</v>
      </c>
      <c r="O42" s="82">
        <v>0</v>
      </c>
      <c r="P42" s="75">
        <f t="shared" si="0"/>
        <v>0</v>
      </c>
      <c r="Q42" s="75">
        <f t="shared" si="1"/>
        <v>0</v>
      </c>
      <c r="R42" s="51">
        <f t="shared" si="2"/>
        <v>0</v>
      </c>
    </row>
    <row r="43" spans="2:18" ht="13.5" customHeight="1" x14ac:dyDescent="0.25">
      <c r="B43" s="710"/>
      <c r="C43" s="16" t="s">
        <v>47</v>
      </c>
      <c r="D43" s="15" t="s">
        <v>31</v>
      </c>
      <c r="E43" s="82">
        <v>0</v>
      </c>
      <c r="F43" s="82">
        <v>0</v>
      </c>
      <c r="G43" s="82">
        <v>0</v>
      </c>
      <c r="H43" s="82">
        <v>0</v>
      </c>
      <c r="I43" s="82">
        <v>0</v>
      </c>
      <c r="J43" s="82">
        <v>0</v>
      </c>
      <c r="K43" s="83">
        <v>0</v>
      </c>
      <c r="L43" s="83">
        <v>0</v>
      </c>
      <c r="M43" s="83">
        <v>0</v>
      </c>
      <c r="N43" s="82">
        <v>0</v>
      </c>
      <c r="O43" s="82">
        <v>0</v>
      </c>
      <c r="P43" s="75">
        <f t="shared" si="0"/>
        <v>0</v>
      </c>
      <c r="Q43" s="75">
        <f t="shared" si="1"/>
        <v>0</v>
      </c>
      <c r="R43" s="51">
        <f t="shared" si="2"/>
        <v>0</v>
      </c>
    </row>
    <row r="44" spans="2:18" ht="13.5" customHeight="1" x14ac:dyDescent="0.25">
      <c r="B44" s="710"/>
      <c r="C44" s="17" t="s">
        <v>48</v>
      </c>
      <c r="D44" s="15" t="s">
        <v>31</v>
      </c>
      <c r="E44" s="82">
        <v>0</v>
      </c>
      <c r="F44" s="82">
        <v>0</v>
      </c>
      <c r="G44" s="82">
        <v>0</v>
      </c>
      <c r="H44" s="82">
        <v>0</v>
      </c>
      <c r="I44" s="82">
        <v>0</v>
      </c>
      <c r="J44" s="82">
        <v>0</v>
      </c>
      <c r="K44" s="83">
        <v>0</v>
      </c>
      <c r="L44" s="83">
        <v>0</v>
      </c>
      <c r="M44" s="83">
        <v>0</v>
      </c>
      <c r="N44" s="82">
        <v>0</v>
      </c>
      <c r="O44" s="82">
        <v>0</v>
      </c>
      <c r="P44" s="75">
        <f t="shared" si="0"/>
        <v>0</v>
      </c>
      <c r="Q44" s="75">
        <f t="shared" si="1"/>
        <v>0</v>
      </c>
      <c r="R44" s="51">
        <f t="shared" si="2"/>
        <v>0</v>
      </c>
    </row>
    <row r="45" spans="2:18" ht="13.5" customHeight="1" x14ac:dyDescent="0.25">
      <c r="B45" s="710"/>
      <c r="C45" s="17" t="s">
        <v>49</v>
      </c>
      <c r="D45" s="15" t="s">
        <v>31</v>
      </c>
      <c r="E45" s="82">
        <v>0</v>
      </c>
      <c r="F45" s="82">
        <v>0</v>
      </c>
      <c r="G45" s="82">
        <v>0</v>
      </c>
      <c r="H45" s="82">
        <v>0</v>
      </c>
      <c r="I45" s="82">
        <v>0</v>
      </c>
      <c r="J45" s="82">
        <v>0</v>
      </c>
      <c r="K45" s="83">
        <v>0</v>
      </c>
      <c r="L45" s="83">
        <v>0</v>
      </c>
      <c r="M45" s="83">
        <v>0</v>
      </c>
      <c r="N45" s="82">
        <v>0</v>
      </c>
      <c r="O45" s="82">
        <v>0</v>
      </c>
      <c r="P45" s="75">
        <f t="shared" si="0"/>
        <v>0</v>
      </c>
      <c r="Q45" s="75">
        <f t="shared" si="1"/>
        <v>0</v>
      </c>
      <c r="R45" s="51">
        <f t="shared" si="2"/>
        <v>0</v>
      </c>
    </row>
    <row r="46" spans="2:18" ht="13.5" customHeight="1" x14ac:dyDescent="0.25">
      <c r="B46" s="710"/>
      <c r="C46" s="18" t="s">
        <v>50</v>
      </c>
      <c r="D46" s="15" t="s">
        <v>31</v>
      </c>
      <c r="E46" s="82">
        <v>0</v>
      </c>
      <c r="F46" s="82">
        <v>0</v>
      </c>
      <c r="G46" s="82">
        <v>0</v>
      </c>
      <c r="H46" s="82">
        <v>0</v>
      </c>
      <c r="I46" s="82">
        <v>0</v>
      </c>
      <c r="J46" s="82">
        <v>0</v>
      </c>
      <c r="K46" s="83">
        <v>0</v>
      </c>
      <c r="L46" s="83">
        <v>0</v>
      </c>
      <c r="M46" s="83">
        <v>0</v>
      </c>
      <c r="N46" s="82">
        <v>0</v>
      </c>
      <c r="O46" s="82">
        <v>20200</v>
      </c>
      <c r="P46" s="75">
        <f t="shared" si="0"/>
        <v>20200</v>
      </c>
      <c r="Q46" s="75">
        <f t="shared" si="1"/>
        <v>20200</v>
      </c>
      <c r="R46" s="51">
        <f t="shared" si="2"/>
        <v>0</v>
      </c>
    </row>
    <row r="47" spans="2:18" ht="13.5" customHeight="1" x14ac:dyDescent="0.25">
      <c r="B47" s="710"/>
      <c r="C47" s="18" t="s">
        <v>51</v>
      </c>
      <c r="D47" s="15" t="s">
        <v>31</v>
      </c>
      <c r="E47" s="82">
        <v>0</v>
      </c>
      <c r="F47" s="82">
        <v>0</v>
      </c>
      <c r="G47" s="82">
        <v>0</v>
      </c>
      <c r="H47" s="82">
        <v>0</v>
      </c>
      <c r="I47" s="82">
        <v>0</v>
      </c>
      <c r="J47" s="82">
        <v>0</v>
      </c>
      <c r="K47" s="83">
        <v>0</v>
      </c>
      <c r="L47" s="83">
        <v>0</v>
      </c>
      <c r="M47" s="83">
        <v>0</v>
      </c>
      <c r="N47" s="82">
        <v>182000</v>
      </c>
      <c r="O47" s="82">
        <v>0</v>
      </c>
      <c r="P47" s="75">
        <f t="shared" si="0"/>
        <v>182000</v>
      </c>
      <c r="Q47" s="75">
        <f t="shared" si="1"/>
        <v>-182000</v>
      </c>
      <c r="R47" s="51">
        <f t="shared" si="2"/>
        <v>-1</v>
      </c>
    </row>
    <row r="48" spans="2:18" ht="13.5" customHeight="1" x14ac:dyDescent="0.25">
      <c r="B48" s="710"/>
      <c r="C48" s="19" t="s">
        <v>52</v>
      </c>
      <c r="D48" s="15" t="s">
        <v>31</v>
      </c>
      <c r="E48" s="82">
        <v>0</v>
      </c>
      <c r="F48" s="82">
        <v>0</v>
      </c>
      <c r="G48" s="82">
        <v>0</v>
      </c>
      <c r="H48" s="82">
        <v>0</v>
      </c>
      <c r="I48" s="82">
        <v>0</v>
      </c>
      <c r="J48" s="82">
        <v>0</v>
      </c>
      <c r="K48" s="83">
        <v>0</v>
      </c>
      <c r="L48" s="83">
        <v>0</v>
      </c>
      <c r="M48" s="83">
        <v>0</v>
      </c>
      <c r="N48" s="82">
        <v>0</v>
      </c>
      <c r="O48" s="82">
        <v>0</v>
      </c>
      <c r="P48" s="75">
        <f t="shared" si="0"/>
        <v>0</v>
      </c>
      <c r="Q48" s="75">
        <f t="shared" si="1"/>
        <v>0</v>
      </c>
      <c r="R48" s="51">
        <f t="shared" si="2"/>
        <v>0</v>
      </c>
    </row>
    <row r="49" spans="2:20" ht="13.5" customHeight="1" x14ac:dyDescent="0.25">
      <c r="B49" s="710"/>
      <c r="C49" s="19" t="s">
        <v>53</v>
      </c>
      <c r="D49" s="15" t="s">
        <v>31</v>
      </c>
      <c r="E49" s="82">
        <v>0</v>
      </c>
      <c r="F49" s="82">
        <v>0</v>
      </c>
      <c r="G49" s="82">
        <v>0</v>
      </c>
      <c r="H49" s="82">
        <v>0</v>
      </c>
      <c r="I49" s="82">
        <v>0</v>
      </c>
      <c r="J49" s="82">
        <v>0</v>
      </c>
      <c r="K49" s="83">
        <v>0</v>
      </c>
      <c r="L49" s="83">
        <v>0</v>
      </c>
      <c r="M49" s="83">
        <v>0</v>
      </c>
      <c r="N49" s="82">
        <v>0</v>
      </c>
      <c r="O49" s="82">
        <v>0</v>
      </c>
      <c r="P49" s="75">
        <f t="shared" si="0"/>
        <v>0</v>
      </c>
      <c r="Q49" s="75">
        <f t="shared" si="1"/>
        <v>0</v>
      </c>
      <c r="R49" s="51">
        <f t="shared" si="2"/>
        <v>0</v>
      </c>
    </row>
    <row r="50" spans="2:20" ht="13.5" customHeight="1" x14ac:dyDescent="0.25">
      <c r="B50" s="710"/>
      <c r="C50" s="19" t="s">
        <v>54</v>
      </c>
      <c r="D50" s="15" t="s">
        <v>31</v>
      </c>
      <c r="E50" s="84">
        <v>0</v>
      </c>
      <c r="F50" s="84">
        <v>0</v>
      </c>
      <c r="G50" s="84">
        <v>0</v>
      </c>
      <c r="H50" s="84">
        <v>0</v>
      </c>
      <c r="I50" s="84">
        <v>0</v>
      </c>
      <c r="J50" s="84">
        <v>0</v>
      </c>
      <c r="K50" s="85">
        <v>0</v>
      </c>
      <c r="L50" s="85">
        <v>0</v>
      </c>
      <c r="M50" s="83">
        <v>0</v>
      </c>
      <c r="N50" s="84">
        <v>0</v>
      </c>
      <c r="O50" s="84">
        <v>0</v>
      </c>
      <c r="P50" s="86">
        <f t="shared" ref="P50" si="9">+SUM(E50:O50)</f>
        <v>0</v>
      </c>
      <c r="Q50" s="86">
        <f t="shared" si="1"/>
        <v>0</v>
      </c>
      <c r="R50" s="87">
        <f t="shared" si="2"/>
        <v>0</v>
      </c>
    </row>
    <row r="51" spans="2:20" ht="13.5" customHeight="1" x14ac:dyDescent="0.25">
      <c r="B51" s="710"/>
      <c r="C51" s="19" t="s">
        <v>55</v>
      </c>
      <c r="D51" s="15" t="s">
        <v>31</v>
      </c>
      <c r="E51" s="84">
        <v>0</v>
      </c>
      <c r="F51" s="84">
        <v>0</v>
      </c>
      <c r="G51" s="84">
        <v>0</v>
      </c>
      <c r="H51" s="84">
        <v>0</v>
      </c>
      <c r="I51" s="84">
        <v>0</v>
      </c>
      <c r="J51" s="84">
        <v>0</v>
      </c>
      <c r="K51" s="85">
        <v>0</v>
      </c>
      <c r="L51" s="85">
        <v>0</v>
      </c>
      <c r="M51" s="83">
        <v>0</v>
      </c>
      <c r="N51" s="84">
        <v>0</v>
      </c>
      <c r="O51" s="84">
        <v>740000</v>
      </c>
      <c r="P51" s="86">
        <f t="shared" si="0"/>
        <v>740000</v>
      </c>
      <c r="Q51" s="86">
        <f t="shared" si="1"/>
        <v>740000</v>
      </c>
      <c r="R51" s="87">
        <f t="shared" si="2"/>
        <v>0</v>
      </c>
    </row>
    <row r="52" spans="2:20" s="49" customFormat="1" ht="13.5" customHeight="1" x14ac:dyDescent="0.3">
      <c r="B52" s="710"/>
      <c r="C52" s="703" t="s">
        <v>25</v>
      </c>
      <c r="D52" s="703"/>
      <c r="E52" s="88">
        <f t="shared" ref="E52:H52" si="10">SUM(E42:E51)</f>
        <v>0</v>
      </c>
      <c r="F52" s="88">
        <f t="shared" si="10"/>
        <v>0</v>
      </c>
      <c r="G52" s="88">
        <f t="shared" si="10"/>
        <v>0</v>
      </c>
      <c r="H52" s="88">
        <f t="shared" si="10"/>
        <v>0</v>
      </c>
      <c r="I52" s="88"/>
      <c r="J52" s="88"/>
      <c r="K52" s="88"/>
      <c r="L52" s="88">
        <f>SUM(L42:L51)</f>
        <v>0</v>
      </c>
      <c r="M52" s="88">
        <f>SUM(M42:M51)</f>
        <v>0</v>
      </c>
      <c r="N52" s="89">
        <f>SUM(N42:N51)</f>
        <v>182000</v>
      </c>
      <c r="O52" s="89">
        <f>SUM(O42:O51)</f>
        <v>760200</v>
      </c>
      <c r="P52" s="88">
        <f t="shared" si="0"/>
        <v>942200</v>
      </c>
      <c r="Q52" s="88">
        <f t="shared" si="1"/>
        <v>578200</v>
      </c>
      <c r="R52" s="90">
        <f t="shared" si="2"/>
        <v>3.1769230769230767</v>
      </c>
    </row>
    <row r="53" spans="2:20" ht="13.5" customHeight="1" x14ac:dyDescent="0.3">
      <c r="B53" s="711" t="s">
        <v>56</v>
      </c>
      <c r="C53" s="21" t="s">
        <v>57</v>
      </c>
      <c r="D53" s="15"/>
      <c r="E53" s="73">
        <v>55946331</v>
      </c>
      <c r="F53" s="73">
        <v>52346040</v>
      </c>
      <c r="G53" s="73">
        <v>53032325</v>
      </c>
      <c r="H53" s="73">
        <v>50338157</v>
      </c>
      <c r="I53" s="73">
        <v>55358773</v>
      </c>
      <c r="J53" s="73">
        <v>59021762</v>
      </c>
      <c r="K53" s="74">
        <v>62486970.049999997</v>
      </c>
      <c r="L53" s="74">
        <v>56207894.5</v>
      </c>
      <c r="M53" s="74">
        <v>58136248.670000002</v>
      </c>
      <c r="N53" s="73">
        <v>56192849</v>
      </c>
      <c r="O53" s="73">
        <v>53997396</v>
      </c>
      <c r="P53" s="50">
        <f t="shared" si="0"/>
        <v>613064746.22000003</v>
      </c>
      <c r="Q53" s="50">
        <f t="shared" si="1"/>
        <v>-2195453</v>
      </c>
      <c r="R53" s="51">
        <f t="shared" si="2"/>
        <v>-3.9069971341015294E-2</v>
      </c>
    </row>
    <row r="54" spans="2:20" ht="13.5" customHeight="1" x14ac:dyDescent="0.3">
      <c r="B54" s="711"/>
      <c r="C54" s="21" t="s">
        <v>58</v>
      </c>
      <c r="D54" s="15"/>
      <c r="E54" s="73">
        <v>283417</v>
      </c>
      <c r="F54" s="91">
        <v>77425.760000000009</v>
      </c>
      <c r="G54" s="91">
        <v>186922.88</v>
      </c>
      <c r="H54" s="91">
        <v>150422.88</v>
      </c>
      <c r="I54" s="91">
        <v>58122.880000000005</v>
      </c>
      <c r="J54" s="91">
        <v>217122.88</v>
      </c>
      <c r="K54" s="92">
        <v>100261.18</v>
      </c>
      <c r="L54" s="92">
        <v>11561.18</v>
      </c>
      <c r="M54" s="92">
        <v>123961.18</v>
      </c>
      <c r="N54" s="91">
        <v>11561.18</v>
      </c>
      <c r="O54" s="91">
        <v>239761.18</v>
      </c>
      <c r="P54" s="50">
        <f t="shared" si="0"/>
        <v>1460540.1799999997</v>
      </c>
      <c r="Q54" s="50">
        <f t="shared" si="1"/>
        <v>228200</v>
      </c>
      <c r="R54" s="51">
        <f t="shared" si="2"/>
        <v>19.73846960258382</v>
      </c>
    </row>
    <row r="55" spans="2:20" ht="13.5" customHeight="1" x14ac:dyDescent="0.3">
      <c r="B55" s="711"/>
      <c r="C55" s="21" t="s">
        <v>59</v>
      </c>
      <c r="D55" s="22"/>
      <c r="E55" s="73">
        <v>0</v>
      </c>
      <c r="F55" s="73">
        <v>0</v>
      </c>
      <c r="G55" s="73">
        <v>55000</v>
      </c>
      <c r="H55" s="73">
        <v>0</v>
      </c>
      <c r="I55" s="73">
        <v>0</v>
      </c>
      <c r="J55" s="73">
        <v>0</v>
      </c>
      <c r="K55" s="74">
        <v>0</v>
      </c>
      <c r="L55" s="74">
        <v>0</v>
      </c>
      <c r="M55" s="74">
        <v>0</v>
      </c>
      <c r="N55" s="73">
        <v>0</v>
      </c>
      <c r="O55" s="73">
        <v>225000</v>
      </c>
      <c r="P55" s="50">
        <f t="shared" si="0"/>
        <v>280000</v>
      </c>
      <c r="Q55" s="50">
        <f t="shared" si="1"/>
        <v>225000</v>
      </c>
      <c r="R55" s="51">
        <f t="shared" si="2"/>
        <v>0</v>
      </c>
    </row>
    <row r="56" spans="2:20" ht="13.5" customHeight="1" x14ac:dyDescent="0.3">
      <c r="B56" s="711"/>
      <c r="C56" s="21" t="s">
        <v>60</v>
      </c>
      <c r="D56" s="15"/>
      <c r="E56" s="73">
        <v>0</v>
      </c>
      <c r="F56" s="73">
        <v>0</v>
      </c>
      <c r="G56" s="73">
        <v>18525.04</v>
      </c>
      <c r="H56" s="73">
        <v>20500</v>
      </c>
      <c r="I56" s="73">
        <v>175293.22</v>
      </c>
      <c r="J56" s="73">
        <v>0</v>
      </c>
      <c r="K56" s="92">
        <v>7773.1</v>
      </c>
      <c r="L56" s="92">
        <v>1728602.62</v>
      </c>
      <c r="M56" s="92">
        <v>2990061</v>
      </c>
      <c r="N56" s="73">
        <v>0</v>
      </c>
      <c r="O56" s="73">
        <v>0</v>
      </c>
      <c r="P56" s="50">
        <f t="shared" si="0"/>
        <v>4940754.9800000004</v>
      </c>
      <c r="Q56" s="50">
        <f t="shared" si="1"/>
        <v>0</v>
      </c>
      <c r="R56" s="51">
        <f t="shared" si="2"/>
        <v>0</v>
      </c>
    </row>
    <row r="57" spans="2:20" s="49" customFormat="1" ht="13.5" customHeight="1" x14ac:dyDescent="0.3">
      <c r="B57" s="711"/>
      <c r="C57" s="703" t="s">
        <v>25</v>
      </c>
      <c r="D57" s="703"/>
      <c r="E57" s="88">
        <f t="shared" ref="E57:O57" si="11">+SUM(E53:E56)</f>
        <v>56229748</v>
      </c>
      <c r="F57" s="88">
        <f t="shared" si="11"/>
        <v>52423465.759999998</v>
      </c>
      <c r="G57" s="88">
        <f t="shared" si="11"/>
        <v>53292772.920000002</v>
      </c>
      <c r="H57" s="88">
        <f t="shared" si="11"/>
        <v>50509079.880000003</v>
      </c>
      <c r="I57" s="88">
        <f t="shared" si="11"/>
        <v>55592189.100000001</v>
      </c>
      <c r="J57" s="88">
        <f t="shared" si="11"/>
        <v>59238884.880000003</v>
      </c>
      <c r="K57" s="88">
        <f t="shared" si="11"/>
        <v>62595004.329999998</v>
      </c>
      <c r="L57" s="88">
        <f t="shared" si="11"/>
        <v>57948058.299999997</v>
      </c>
      <c r="M57" s="88">
        <f t="shared" si="11"/>
        <v>61250270.850000001</v>
      </c>
      <c r="N57" s="89">
        <f t="shared" si="11"/>
        <v>56204410.18</v>
      </c>
      <c r="O57" s="89">
        <f t="shared" si="11"/>
        <v>54462157.18</v>
      </c>
      <c r="P57" s="88">
        <f t="shared" si="0"/>
        <v>619746041.38</v>
      </c>
      <c r="Q57" s="88">
        <f t="shared" si="1"/>
        <v>-1742253</v>
      </c>
      <c r="R57" s="90">
        <f t="shared" si="2"/>
        <v>-3.0998510515816608E-2</v>
      </c>
    </row>
    <row r="58" spans="2:20" ht="13.5" customHeight="1" x14ac:dyDescent="0.3">
      <c r="B58" s="712" t="s">
        <v>61</v>
      </c>
      <c r="C58" s="23" t="s">
        <v>62</v>
      </c>
      <c r="D58" s="13"/>
      <c r="E58" s="73">
        <v>0</v>
      </c>
      <c r="F58" s="73">
        <v>15000000</v>
      </c>
      <c r="G58" s="73">
        <v>0</v>
      </c>
      <c r="H58" s="73">
        <v>0</v>
      </c>
      <c r="I58" s="73">
        <v>0</v>
      </c>
      <c r="J58" s="73">
        <v>0</v>
      </c>
      <c r="K58" s="74">
        <v>0</v>
      </c>
      <c r="L58" s="74">
        <v>0</v>
      </c>
      <c r="M58" s="74">
        <v>0</v>
      </c>
      <c r="N58" s="73">
        <v>0</v>
      </c>
      <c r="O58" s="73">
        <v>0</v>
      </c>
      <c r="P58" s="50">
        <f t="shared" si="0"/>
        <v>15000000</v>
      </c>
      <c r="Q58" s="50">
        <f t="shared" si="1"/>
        <v>0</v>
      </c>
      <c r="R58" s="51">
        <f t="shared" si="2"/>
        <v>0</v>
      </c>
    </row>
    <row r="59" spans="2:20" ht="13.5" customHeight="1" x14ac:dyDescent="0.3">
      <c r="B59" s="712"/>
      <c r="C59" s="23" t="s">
        <v>63</v>
      </c>
      <c r="D59" s="13"/>
      <c r="E59" s="73">
        <v>17882193.050000001</v>
      </c>
      <c r="F59" s="73">
        <v>0</v>
      </c>
      <c r="G59" s="73">
        <v>0</v>
      </c>
      <c r="H59" s="73">
        <v>0</v>
      </c>
      <c r="I59" s="73">
        <v>6641000</v>
      </c>
      <c r="J59" s="73">
        <v>0</v>
      </c>
      <c r="K59" s="74">
        <v>5941884.9100000001</v>
      </c>
      <c r="L59" s="74">
        <v>7566500</v>
      </c>
      <c r="M59" s="74">
        <v>10658584.91</v>
      </c>
      <c r="N59" s="73">
        <v>19091400</v>
      </c>
      <c r="O59" s="73">
        <v>0</v>
      </c>
      <c r="P59" s="50">
        <f t="shared" si="0"/>
        <v>67781562.870000005</v>
      </c>
      <c r="Q59" s="50">
        <f t="shared" si="1"/>
        <v>-19091400</v>
      </c>
      <c r="R59" s="51">
        <f t="shared" si="2"/>
        <v>-1</v>
      </c>
    </row>
    <row r="60" spans="2:20" ht="13.5" customHeight="1" x14ac:dyDescent="0.3">
      <c r="B60" s="712"/>
      <c r="C60" s="23" t="s">
        <v>64</v>
      </c>
      <c r="D60" s="13"/>
      <c r="E60" s="73">
        <v>0</v>
      </c>
      <c r="F60" s="73">
        <v>0</v>
      </c>
      <c r="G60" s="73">
        <v>0</v>
      </c>
      <c r="H60" s="73">
        <v>0</v>
      </c>
      <c r="I60" s="73">
        <v>0</v>
      </c>
      <c r="J60" s="73">
        <v>0</v>
      </c>
      <c r="K60" s="74">
        <v>0</v>
      </c>
      <c r="L60" s="74">
        <v>0</v>
      </c>
      <c r="M60" s="74">
        <v>337500</v>
      </c>
      <c r="N60" s="73">
        <v>0</v>
      </c>
      <c r="O60" s="73">
        <v>0</v>
      </c>
      <c r="P60" s="50">
        <f t="shared" si="0"/>
        <v>337500</v>
      </c>
      <c r="Q60" s="50">
        <f t="shared" si="1"/>
        <v>0</v>
      </c>
      <c r="R60" s="51">
        <f t="shared" si="2"/>
        <v>0</v>
      </c>
    </row>
    <row r="61" spans="2:20" ht="13.5" customHeight="1" x14ac:dyDescent="0.3">
      <c r="B61" s="712"/>
      <c r="C61" s="23" t="s">
        <v>65</v>
      </c>
      <c r="D61" s="13"/>
      <c r="E61" s="73">
        <v>13369612.510000005</v>
      </c>
      <c r="F61" s="73">
        <v>10553490.17</v>
      </c>
      <c r="G61" s="73">
        <v>13369612.510000005</v>
      </c>
      <c r="H61" s="73">
        <v>13369612.510000005</v>
      </c>
      <c r="I61" s="73">
        <v>13369612.510000005</v>
      </c>
      <c r="J61" s="73">
        <v>13369612.510000005</v>
      </c>
      <c r="K61" s="74">
        <v>11037441.380000001</v>
      </c>
      <c r="L61" s="74">
        <v>2296666.5699999998</v>
      </c>
      <c r="M61" s="74">
        <v>3485339.91</v>
      </c>
      <c r="N61" s="73">
        <v>8501356.8100000005</v>
      </c>
      <c r="O61" s="73">
        <v>19923498.539999999</v>
      </c>
      <c r="P61" s="50">
        <f t="shared" si="0"/>
        <v>122645855.93000001</v>
      </c>
      <c r="Q61" s="50">
        <f t="shared" si="1"/>
        <v>11422141.729999999</v>
      </c>
      <c r="R61" s="51">
        <f t="shared" si="2"/>
        <v>1.3435669135265949</v>
      </c>
    </row>
    <row r="62" spans="2:20" ht="13.5" customHeight="1" x14ac:dyDescent="0.3">
      <c r="B62" s="712"/>
      <c r="C62" s="23" t="s">
        <v>66</v>
      </c>
      <c r="D62" s="13"/>
      <c r="E62" s="73">
        <v>165019.91999999998</v>
      </c>
      <c r="F62" s="73">
        <v>41624</v>
      </c>
      <c r="G62" s="73">
        <v>180192.31</v>
      </c>
      <c r="H62" s="73">
        <v>199333.33000000002</v>
      </c>
      <c r="I62" s="73">
        <v>1301352.52</v>
      </c>
      <c r="J62" s="73">
        <v>2544360.71</v>
      </c>
      <c r="K62" s="74">
        <v>9807.82</v>
      </c>
      <c r="L62" s="74">
        <v>48484.95</v>
      </c>
      <c r="M62" s="74">
        <v>189472.66</v>
      </c>
      <c r="N62" s="73">
        <v>200900</v>
      </c>
      <c r="O62" s="73">
        <v>163305.24</v>
      </c>
      <c r="P62" s="50">
        <f t="shared" si="0"/>
        <v>5043853.4600000009</v>
      </c>
      <c r="Q62" s="50">
        <f t="shared" si="1"/>
        <v>-37594.760000000009</v>
      </c>
      <c r="R62" s="51">
        <f t="shared" si="2"/>
        <v>-0.18713170731707321</v>
      </c>
    </row>
    <row r="63" spans="2:20" s="49" customFormat="1" ht="13.5" customHeight="1" x14ac:dyDescent="0.3">
      <c r="B63" s="712"/>
      <c r="C63" s="703" t="s">
        <v>25</v>
      </c>
      <c r="D63" s="703"/>
      <c r="E63" s="88">
        <f t="shared" ref="E63:L63" si="12">SUM(E58:E62)</f>
        <v>31416825.480000008</v>
      </c>
      <c r="F63" s="88">
        <f t="shared" si="12"/>
        <v>25595114.170000002</v>
      </c>
      <c r="G63" s="88">
        <f t="shared" si="12"/>
        <v>13549804.820000006</v>
      </c>
      <c r="H63" s="88">
        <f t="shared" si="12"/>
        <v>13568945.840000005</v>
      </c>
      <c r="I63" s="88">
        <f t="shared" si="12"/>
        <v>21311965.030000005</v>
      </c>
      <c r="J63" s="88">
        <f t="shared" si="12"/>
        <v>15913973.220000006</v>
      </c>
      <c r="K63" s="88">
        <f t="shared" si="12"/>
        <v>16989134.109999999</v>
      </c>
      <c r="L63" s="88">
        <f t="shared" si="12"/>
        <v>9911651.5199999996</v>
      </c>
      <c r="M63" s="88">
        <f>SUM(M58:M62)</f>
        <v>14670897.48</v>
      </c>
      <c r="N63" s="89">
        <f>SUM(N58:N62)</f>
        <v>27793656.810000002</v>
      </c>
      <c r="O63" s="89">
        <f>SUM(O58:O62)</f>
        <v>20086803.779999997</v>
      </c>
      <c r="P63" s="88">
        <f t="shared" si="0"/>
        <v>210808772.26000002</v>
      </c>
      <c r="Q63" s="88">
        <f t="shared" si="1"/>
        <v>-7706853.0300000049</v>
      </c>
      <c r="R63" s="90">
        <f t="shared" si="2"/>
        <v>-0.27728819862333198</v>
      </c>
    </row>
    <row r="64" spans="2:20" s="49" customFormat="1" ht="13.5" customHeight="1" x14ac:dyDescent="0.3">
      <c r="B64" s="713" t="s">
        <v>67</v>
      </c>
      <c r="C64" s="24" t="s">
        <v>68</v>
      </c>
      <c r="D64" s="15" t="s">
        <v>69</v>
      </c>
      <c r="E64" s="73">
        <v>2494512.37</v>
      </c>
      <c r="F64" s="73">
        <v>2318023.42</v>
      </c>
      <c r="G64" s="73">
        <v>2674664.84</v>
      </c>
      <c r="H64" s="73">
        <v>2299429.7400000002</v>
      </c>
      <c r="I64" s="73">
        <v>2531617.19</v>
      </c>
      <c r="J64" s="73">
        <v>3061053.9299999997</v>
      </c>
      <c r="K64" s="74">
        <v>22206977.649999999</v>
      </c>
      <c r="L64" s="74">
        <v>14080556.120000001</v>
      </c>
      <c r="M64" s="74">
        <v>22728395.209999997</v>
      </c>
      <c r="N64" s="73">
        <v>37010943.75</v>
      </c>
      <c r="O64" s="73">
        <v>21822671.939999998</v>
      </c>
      <c r="P64" s="50">
        <f t="shared" si="0"/>
        <v>133228846.16</v>
      </c>
      <c r="Q64" s="50">
        <f t="shared" si="1"/>
        <v>-15188271.810000002</v>
      </c>
      <c r="R64" s="51">
        <f t="shared" si="2"/>
        <v>-0.41037245395829719</v>
      </c>
      <c r="S64" s="49">
        <f>P64/11</f>
        <v>12111713.287272727</v>
      </c>
      <c r="T64" s="49">
        <f>S64*12</f>
        <v>145340559.44727272</v>
      </c>
    </row>
    <row r="65" spans="2:18" s="49" customFormat="1" ht="13.5" customHeight="1" x14ac:dyDescent="0.3">
      <c r="B65" s="714"/>
      <c r="C65" s="703" t="s">
        <v>25</v>
      </c>
      <c r="D65" s="703"/>
      <c r="E65" s="88">
        <f t="shared" ref="E65:O65" si="13">SUM(E64:E64)</f>
        <v>2494512.37</v>
      </c>
      <c r="F65" s="88">
        <f t="shared" si="13"/>
        <v>2318023.42</v>
      </c>
      <c r="G65" s="88">
        <f t="shared" si="13"/>
        <v>2674664.84</v>
      </c>
      <c r="H65" s="88">
        <f t="shared" si="13"/>
        <v>2299429.7400000002</v>
      </c>
      <c r="I65" s="88">
        <f t="shared" si="13"/>
        <v>2531617.19</v>
      </c>
      <c r="J65" s="88">
        <f t="shared" si="13"/>
        <v>3061053.9299999997</v>
      </c>
      <c r="K65" s="88">
        <f t="shared" si="13"/>
        <v>22206977.649999999</v>
      </c>
      <c r="L65" s="88">
        <f t="shared" si="13"/>
        <v>14080556.120000001</v>
      </c>
      <c r="M65" s="88">
        <f t="shared" si="13"/>
        <v>22728395.209999997</v>
      </c>
      <c r="N65" s="89">
        <f t="shared" si="13"/>
        <v>37010943.75</v>
      </c>
      <c r="O65" s="89">
        <f t="shared" si="13"/>
        <v>21822671.939999998</v>
      </c>
      <c r="P65" s="88">
        <f t="shared" si="0"/>
        <v>133228846.16</v>
      </c>
      <c r="Q65" s="88">
        <f t="shared" si="1"/>
        <v>-15188271.810000002</v>
      </c>
      <c r="R65" s="90">
        <f t="shared" si="2"/>
        <v>-0.41037245395829719</v>
      </c>
    </row>
    <row r="66" spans="2:18" ht="13.5" customHeight="1" x14ac:dyDescent="0.3">
      <c r="B66" s="712" t="s">
        <v>70</v>
      </c>
      <c r="C66" s="25" t="s">
        <v>71</v>
      </c>
      <c r="D66" s="13" t="s">
        <v>72</v>
      </c>
      <c r="E66" s="93">
        <v>73526.210000000006</v>
      </c>
      <c r="F66" s="93">
        <v>41728.229999999989</v>
      </c>
      <c r="G66" s="93">
        <v>101169.58</v>
      </c>
      <c r="H66" s="93">
        <v>62509.65</v>
      </c>
      <c r="I66" s="93">
        <v>69585.3</v>
      </c>
      <c r="J66" s="93">
        <v>89292.700000000012</v>
      </c>
      <c r="K66" s="94">
        <v>62141.670000000006</v>
      </c>
      <c r="L66" s="94">
        <v>70182.73</v>
      </c>
      <c r="M66" s="94">
        <v>41924.080000000002</v>
      </c>
      <c r="N66" s="93">
        <v>39801.299999999988</v>
      </c>
      <c r="O66" s="93">
        <v>59234.850000000006</v>
      </c>
      <c r="P66" s="50">
        <f t="shared" si="0"/>
        <v>711096.29999999993</v>
      </c>
      <c r="Q66" s="50">
        <f t="shared" si="1"/>
        <v>19433.550000000017</v>
      </c>
      <c r="R66" s="51">
        <f t="shared" si="2"/>
        <v>0.48826420242554952</v>
      </c>
    </row>
    <row r="67" spans="2:18" ht="13.5" customHeight="1" x14ac:dyDescent="0.3">
      <c r="B67" s="712"/>
      <c r="C67" s="25" t="s">
        <v>73</v>
      </c>
      <c r="D67" s="13"/>
      <c r="E67" s="93">
        <v>115098.92</v>
      </c>
      <c r="F67" s="93">
        <v>145078.24999999997</v>
      </c>
      <c r="G67" s="93">
        <v>165137.67999999993</v>
      </c>
      <c r="H67" s="93">
        <v>151009.91</v>
      </c>
      <c r="I67" s="93">
        <v>143939.99999999997</v>
      </c>
      <c r="J67" s="93">
        <v>150406.93</v>
      </c>
      <c r="K67" s="94">
        <v>3418557.4299999997</v>
      </c>
      <c r="L67" s="94">
        <v>3245243.08</v>
      </c>
      <c r="M67" s="94">
        <v>3322544.42</v>
      </c>
      <c r="N67" s="93">
        <v>3222377.8499999996</v>
      </c>
      <c r="O67" s="93">
        <v>3360618.48</v>
      </c>
      <c r="P67" s="50">
        <f t="shared" si="0"/>
        <v>17440012.949999999</v>
      </c>
      <c r="Q67" s="50">
        <f t="shared" si="1"/>
        <v>138240.63000000035</v>
      </c>
      <c r="R67" s="51">
        <f t="shared" si="2"/>
        <v>4.2900192477427927E-2</v>
      </c>
    </row>
    <row r="68" spans="2:18" s="49" customFormat="1" ht="13.5" customHeight="1" x14ac:dyDescent="0.3">
      <c r="B68" s="712"/>
      <c r="C68" s="703" t="s">
        <v>25</v>
      </c>
      <c r="D68" s="703"/>
      <c r="E68" s="88">
        <f t="shared" ref="E68:O68" si="14">SUM(E66:E67)</f>
        <v>188625.13</v>
      </c>
      <c r="F68" s="88">
        <f t="shared" si="14"/>
        <v>186806.47999999995</v>
      </c>
      <c r="G68" s="88">
        <f t="shared" si="14"/>
        <v>266307.25999999995</v>
      </c>
      <c r="H68" s="88">
        <f t="shared" si="14"/>
        <v>213519.56</v>
      </c>
      <c r="I68" s="88">
        <f t="shared" si="14"/>
        <v>213525.3</v>
      </c>
      <c r="J68" s="88">
        <f t="shared" si="14"/>
        <v>239699.63</v>
      </c>
      <c r="K68" s="88">
        <f t="shared" si="14"/>
        <v>3480699.0999999996</v>
      </c>
      <c r="L68" s="88">
        <f t="shared" si="14"/>
        <v>3315425.81</v>
      </c>
      <c r="M68" s="88">
        <f t="shared" si="14"/>
        <v>3364468.5</v>
      </c>
      <c r="N68" s="89">
        <f t="shared" si="14"/>
        <v>3262179.1499999994</v>
      </c>
      <c r="O68" s="89">
        <f t="shared" si="14"/>
        <v>3419853.33</v>
      </c>
      <c r="P68" s="88">
        <f t="shared" si="0"/>
        <v>18151109.25</v>
      </c>
      <c r="Q68" s="88">
        <f t="shared" si="1"/>
        <v>157674.18000000063</v>
      </c>
      <c r="R68" s="90">
        <f t="shared" si="2"/>
        <v>4.8334003974000221E-2</v>
      </c>
    </row>
    <row r="69" spans="2:18" s="49" customFormat="1" ht="13.5" customHeight="1" x14ac:dyDescent="0.3">
      <c r="B69" s="711" t="s">
        <v>74</v>
      </c>
      <c r="C69" s="14" t="s">
        <v>75</v>
      </c>
      <c r="D69" s="15"/>
      <c r="E69" s="93">
        <v>0</v>
      </c>
      <c r="F69" s="93">
        <v>0</v>
      </c>
      <c r="G69" s="93">
        <v>0</v>
      </c>
      <c r="H69" s="93"/>
      <c r="I69" s="93"/>
      <c r="J69" s="93"/>
      <c r="K69" s="94"/>
      <c r="L69" s="94"/>
      <c r="M69" s="94"/>
      <c r="N69" s="93"/>
      <c r="O69" s="93"/>
      <c r="P69" s="50">
        <f t="shared" ref="P69:P103" si="15">+SUM(E69:O69)</f>
        <v>0</v>
      </c>
      <c r="Q69" s="50">
        <f t="shared" si="1"/>
        <v>0</v>
      </c>
      <c r="R69" s="51">
        <f t="shared" si="2"/>
        <v>0</v>
      </c>
    </row>
    <row r="70" spans="2:18" s="49" customFormat="1" ht="13.5" customHeight="1" x14ac:dyDescent="0.3">
      <c r="B70" s="711"/>
      <c r="C70" s="14" t="s">
        <v>76</v>
      </c>
      <c r="D70" s="15"/>
      <c r="E70" s="93">
        <v>0</v>
      </c>
      <c r="F70" s="93">
        <v>0</v>
      </c>
      <c r="G70" s="93">
        <v>0</v>
      </c>
      <c r="H70" s="93"/>
      <c r="I70" s="93"/>
      <c r="J70" s="93"/>
      <c r="K70" s="94"/>
      <c r="L70" s="94"/>
      <c r="M70" s="94"/>
      <c r="N70" s="93"/>
      <c r="O70" s="93"/>
      <c r="P70" s="50">
        <f t="shared" si="15"/>
        <v>0</v>
      </c>
      <c r="Q70" s="50">
        <f t="shared" ref="Q70:Q113" si="16">+O70-N70</f>
        <v>0</v>
      </c>
      <c r="R70" s="51">
        <f t="shared" ref="R70:R113" si="17">+IFERROR((O70-N70)/N70,0)</f>
        <v>0</v>
      </c>
    </row>
    <row r="71" spans="2:18" s="49" customFormat="1" ht="13.5" customHeight="1" x14ac:dyDescent="0.3">
      <c r="B71" s="711"/>
      <c r="C71" s="14" t="s">
        <v>77</v>
      </c>
      <c r="D71" s="15"/>
      <c r="E71" s="93">
        <v>0</v>
      </c>
      <c r="F71" s="93">
        <v>0</v>
      </c>
      <c r="G71" s="93">
        <v>0</v>
      </c>
      <c r="H71" s="93"/>
      <c r="I71" s="93"/>
      <c r="J71" s="93"/>
      <c r="K71" s="94"/>
      <c r="L71" s="94"/>
      <c r="M71" s="94"/>
      <c r="N71" s="93"/>
      <c r="O71" s="93"/>
      <c r="P71" s="50">
        <f t="shared" si="15"/>
        <v>0</v>
      </c>
      <c r="Q71" s="50">
        <f t="shared" si="16"/>
        <v>0</v>
      </c>
      <c r="R71" s="51">
        <f t="shared" si="17"/>
        <v>0</v>
      </c>
    </row>
    <row r="72" spans="2:18" s="49" customFormat="1" ht="13.5" customHeight="1" x14ac:dyDescent="0.3">
      <c r="B72" s="711"/>
      <c r="C72" s="14" t="s">
        <v>78</v>
      </c>
      <c r="D72" s="15"/>
      <c r="E72" s="93">
        <v>0</v>
      </c>
      <c r="F72" s="93">
        <v>0</v>
      </c>
      <c r="G72" s="93">
        <v>0</v>
      </c>
      <c r="H72" s="93"/>
      <c r="I72" s="93"/>
      <c r="J72" s="93"/>
      <c r="K72" s="94"/>
      <c r="L72" s="94"/>
      <c r="M72" s="94"/>
      <c r="N72" s="93"/>
      <c r="O72" s="93"/>
      <c r="P72" s="50">
        <f t="shared" si="15"/>
        <v>0</v>
      </c>
      <c r="Q72" s="50">
        <f t="shared" si="16"/>
        <v>0</v>
      </c>
      <c r="R72" s="51">
        <f t="shared" si="17"/>
        <v>0</v>
      </c>
    </row>
    <row r="73" spans="2:18" ht="13.5" customHeight="1" x14ac:dyDescent="0.3">
      <c r="B73" s="711"/>
      <c r="C73" s="26" t="s">
        <v>79</v>
      </c>
      <c r="D73" s="15"/>
      <c r="E73" s="93">
        <v>0</v>
      </c>
      <c r="F73" s="93">
        <v>0</v>
      </c>
      <c r="G73" s="93">
        <v>0</v>
      </c>
      <c r="H73" s="93"/>
      <c r="I73" s="93"/>
      <c r="J73" s="93"/>
      <c r="K73" s="94"/>
      <c r="L73" s="94"/>
      <c r="M73" s="94"/>
      <c r="N73" s="93"/>
      <c r="O73" s="93"/>
      <c r="P73" s="50">
        <f t="shared" si="15"/>
        <v>0</v>
      </c>
      <c r="Q73" s="50">
        <f t="shared" si="16"/>
        <v>0</v>
      </c>
      <c r="R73" s="51">
        <f t="shared" si="17"/>
        <v>0</v>
      </c>
    </row>
    <row r="74" spans="2:18" ht="13.5" customHeight="1" x14ac:dyDescent="0.3">
      <c r="B74" s="711"/>
      <c r="C74" s="26" t="s">
        <v>80</v>
      </c>
      <c r="D74" s="15"/>
      <c r="E74" s="93">
        <v>133657.53999999998</v>
      </c>
      <c r="F74" s="93">
        <v>579291.99</v>
      </c>
      <c r="G74" s="93">
        <v>5919192.9100000011</v>
      </c>
      <c r="H74" s="93">
        <v>584650.28</v>
      </c>
      <c r="I74" s="93">
        <v>1726062.1400000006</v>
      </c>
      <c r="J74" s="93">
        <v>1035567.94</v>
      </c>
      <c r="K74" s="94">
        <v>1132027.99</v>
      </c>
      <c r="L74" s="94">
        <v>1088278.8999999999</v>
      </c>
      <c r="M74" s="94">
        <v>1241053.9300000002</v>
      </c>
      <c r="N74" s="93">
        <v>632607.48</v>
      </c>
      <c r="O74" s="93">
        <v>587029.24</v>
      </c>
      <c r="P74" s="50">
        <f t="shared" si="15"/>
        <v>14659420.340000004</v>
      </c>
      <c r="Q74" s="50">
        <f t="shared" si="16"/>
        <v>-45578.239999999991</v>
      </c>
      <c r="R74" s="51">
        <f t="shared" si="17"/>
        <v>-7.2048215427361048E-2</v>
      </c>
    </row>
    <row r="75" spans="2:18" s="49" customFormat="1" ht="13.5" customHeight="1" x14ac:dyDescent="0.3">
      <c r="B75" s="711"/>
      <c r="C75" s="703" t="s">
        <v>25</v>
      </c>
      <c r="D75" s="703"/>
      <c r="E75" s="88">
        <f t="shared" ref="E75:O75" si="18">SUM(E69:E74)</f>
        <v>133657.53999999998</v>
      </c>
      <c r="F75" s="88">
        <f t="shared" si="18"/>
        <v>579291.99</v>
      </c>
      <c r="G75" s="88">
        <f t="shared" si="18"/>
        <v>5919192.9100000011</v>
      </c>
      <c r="H75" s="88">
        <f t="shared" si="18"/>
        <v>584650.28</v>
      </c>
      <c r="I75" s="88">
        <f t="shared" si="18"/>
        <v>1726062.1400000006</v>
      </c>
      <c r="J75" s="88">
        <f t="shared" si="18"/>
        <v>1035567.94</v>
      </c>
      <c r="K75" s="88">
        <f t="shared" si="18"/>
        <v>1132027.99</v>
      </c>
      <c r="L75" s="88">
        <f t="shared" si="18"/>
        <v>1088278.8999999999</v>
      </c>
      <c r="M75" s="88">
        <f t="shared" si="18"/>
        <v>1241053.9300000002</v>
      </c>
      <c r="N75" s="89">
        <f t="shared" si="18"/>
        <v>632607.48</v>
      </c>
      <c r="O75" s="89">
        <f t="shared" si="18"/>
        <v>587029.24</v>
      </c>
      <c r="P75" s="88">
        <f t="shared" si="15"/>
        <v>14659420.340000004</v>
      </c>
      <c r="Q75" s="88">
        <f t="shared" si="16"/>
        <v>-45578.239999999991</v>
      </c>
      <c r="R75" s="90">
        <f t="shared" si="17"/>
        <v>-7.2048215427361048E-2</v>
      </c>
    </row>
    <row r="76" spans="2:18" s="49" customFormat="1" ht="13.5" customHeight="1" x14ac:dyDescent="0.3">
      <c r="B76" s="20" t="s">
        <v>81</v>
      </c>
      <c r="C76" s="26" t="s">
        <v>82</v>
      </c>
      <c r="D76" s="15"/>
      <c r="E76" s="73">
        <v>0</v>
      </c>
      <c r="F76" s="73">
        <v>0</v>
      </c>
      <c r="G76" s="73">
        <v>0</v>
      </c>
      <c r="H76" s="73">
        <v>0</v>
      </c>
      <c r="I76" s="73">
        <v>0</v>
      </c>
      <c r="J76" s="73">
        <v>0</v>
      </c>
      <c r="K76" s="74">
        <v>0</v>
      </c>
      <c r="L76" s="74">
        <v>600000</v>
      </c>
      <c r="M76" s="74">
        <v>10103000</v>
      </c>
      <c r="N76" s="73">
        <v>10500000</v>
      </c>
      <c r="O76" s="73">
        <v>0</v>
      </c>
      <c r="P76" s="50">
        <f t="shared" si="15"/>
        <v>21203000</v>
      </c>
      <c r="Q76" s="50">
        <f t="shared" si="16"/>
        <v>-10500000</v>
      </c>
      <c r="R76" s="51">
        <f t="shared" si="17"/>
        <v>-1</v>
      </c>
    </row>
    <row r="77" spans="2:18" s="49" customFormat="1" ht="13.5" customHeight="1" x14ac:dyDescent="0.3">
      <c r="B77" s="20" t="s">
        <v>83</v>
      </c>
      <c r="C77" s="26" t="s">
        <v>84</v>
      </c>
      <c r="D77" s="15"/>
      <c r="E77" s="73">
        <v>5598290.5099999998</v>
      </c>
      <c r="F77" s="73">
        <v>5607530.4700000007</v>
      </c>
      <c r="G77" s="73">
        <v>12274479.129999999</v>
      </c>
      <c r="H77" s="73">
        <v>126023.34</v>
      </c>
      <c r="I77" s="73">
        <v>6289572.6699999999</v>
      </c>
      <c r="J77" s="73">
        <v>6490463.1600000001</v>
      </c>
      <c r="K77" s="74">
        <v>5905734.2999999998</v>
      </c>
      <c r="L77" s="74">
        <v>6228704.1500000004</v>
      </c>
      <c r="M77" s="74">
        <v>6228704.1300000008</v>
      </c>
      <c r="N77" s="73">
        <v>6268704.1500000004</v>
      </c>
      <c r="O77" s="73">
        <v>5944031.7300000004</v>
      </c>
      <c r="P77" s="50">
        <f t="shared" si="15"/>
        <v>66962237.739999995</v>
      </c>
      <c r="Q77" s="50">
        <f t="shared" si="16"/>
        <v>-324672.41999999993</v>
      </c>
      <c r="R77" s="51">
        <f t="shared" si="17"/>
        <v>-5.1792589382288826E-2</v>
      </c>
    </row>
    <row r="78" spans="2:18" s="49" customFormat="1" ht="13.5" customHeight="1" x14ac:dyDescent="0.3">
      <c r="B78" s="20" t="s">
        <v>85</v>
      </c>
      <c r="C78" s="26" t="s">
        <v>86</v>
      </c>
      <c r="D78" s="15"/>
      <c r="E78" s="73">
        <v>0</v>
      </c>
      <c r="F78" s="73">
        <v>4195</v>
      </c>
      <c r="G78" s="73">
        <v>34693</v>
      </c>
      <c r="H78" s="73">
        <v>18658</v>
      </c>
      <c r="I78" s="73">
        <v>0</v>
      </c>
      <c r="J78" s="73">
        <v>0</v>
      </c>
      <c r="K78" s="74">
        <v>0</v>
      </c>
      <c r="L78" s="74">
        <v>0</v>
      </c>
      <c r="M78" s="74">
        <v>0</v>
      </c>
      <c r="N78" s="73">
        <v>0</v>
      </c>
      <c r="O78" s="73">
        <v>0</v>
      </c>
      <c r="P78" s="50">
        <f t="shared" si="15"/>
        <v>57546</v>
      </c>
      <c r="Q78" s="50">
        <f t="shared" si="16"/>
        <v>0</v>
      </c>
      <c r="R78" s="51">
        <f t="shared" si="17"/>
        <v>0</v>
      </c>
    </row>
    <row r="79" spans="2:18" s="49" customFormat="1" ht="13.5" customHeight="1" x14ac:dyDescent="0.3">
      <c r="B79" s="20" t="s">
        <v>87</v>
      </c>
      <c r="C79" s="26" t="s">
        <v>88</v>
      </c>
      <c r="D79" s="15"/>
      <c r="E79" s="73"/>
      <c r="F79" s="73">
        <v>0</v>
      </c>
      <c r="G79" s="73">
        <v>0</v>
      </c>
      <c r="H79" s="73">
        <v>0</v>
      </c>
      <c r="I79" s="73">
        <v>0</v>
      </c>
      <c r="J79" s="73">
        <v>0</v>
      </c>
      <c r="K79" s="74">
        <v>0</v>
      </c>
      <c r="L79" s="74">
        <v>0</v>
      </c>
      <c r="M79" s="74">
        <v>0</v>
      </c>
      <c r="N79" s="73">
        <v>0</v>
      </c>
      <c r="O79" s="73">
        <v>0</v>
      </c>
      <c r="P79" s="50">
        <f>+SUM(E79:O79)</f>
        <v>0</v>
      </c>
      <c r="Q79" s="50">
        <f t="shared" si="16"/>
        <v>0</v>
      </c>
      <c r="R79" s="51">
        <f t="shared" si="17"/>
        <v>0</v>
      </c>
    </row>
    <row r="80" spans="2:18" s="49" customFormat="1" ht="13.5" customHeight="1" x14ac:dyDescent="0.3">
      <c r="B80" s="20" t="s">
        <v>89</v>
      </c>
      <c r="C80" s="26" t="s">
        <v>90</v>
      </c>
      <c r="D80" s="15"/>
      <c r="E80" s="73">
        <v>18485.510000000002</v>
      </c>
      <c r="F80" s="73">
        <v>235065.62</v>
      </c>
      <c r="G80" s="73">
        <v>6704.71</v>
      </c>
      <c r="H80" s="73">
        <v>31613.510000000002</v>
      </c>
      <c r="I80" s="73">
        <v>19176.679999999997</v>
      </c>
      <c r="J80" s="73">
        <v>19295.159999999996</v>
      </c>
      <c r="K80" s="74">
        <v>29326.07</v>
      </c>
      <c r="L80" s="74">
        <v>60008.75</v>
      </c>
      <c r="M80" s="74">
        <v>60262.15</v>
      </c>
      <c r="N80" s="73">
        <v>573792.16999999993</v>
      </c>
      <c r="O80" s="73">
        <v>50503.72</v>
      </c>
      <c r="P80" s="50">
        <f>+SUM(E80:O80)</f>
        <v>1104234.0499999998</v>
      </c>
      <c r="Q80" s="50">
        <f t="shared" si="16"/>
        <v>-523288.44999999995</v>
      </c>
      <c r="R80" s="51">
        <f t="shared" si="17"/>
        <v>-0.9119825563321996</v>
      </c>
    </row>
    <row r="81" spans="2:18" s="49" customFormat="1" ht="13.5" customHeight="1" x14ac:dyDescent="0.3">
      <c r="B81" s="20" t="s">
        <v>91</v>
      </c>
      <c r="C81" s="26" t="s">
        <v>92</v>
      </c>
      <c r="D81" s="15"/>
      <c r="E81" s="73">
        <v>3181158</v>
      </c>
      <c r="F81" s="73">
        <v>3195479.77</v>
      </c>
      <c r="G81" s="73">
        <v>3346578.15</v>
      </c>
      <c r="H81" s="73">
        <v>3346578.15</v>
      </c>
      <c r="I81" s="73">
        <v>3346578.15</v>
      </c>
      <c r="J81" s="73">
        <v>3346578.15</v>
      </c>
      <c r="K81" s="74">
        <v>3346578.15</v>
      </c>
      <c r="L81" s="74">
        <v>3346578.15</v>
      </c>
      <c r="M81" s="74">
        <v>3346578.15</v>
      </c>
      <c r="N81" s="73">
        <v>3346578.15</v>
      </c>
      <c r="O81" s="73">
        <v>3346578.1499999994</v>
      </c>
      <c r="P81" s="50">
        <f t="shared" si="15"/>
        <v>36495841.119999997</v>
      </c>
      <c r="Q81" s="50">
        <f t="shared" si="16"/>
        <v>0</v>
      </c>
      <c r="R81" s="51">
        <f t="shared" si="17"/>
        <v>-1.3914549920423622E-16</v>
      </c>
    </row>
    <row r="82" spans="2:18" s="49" customFormat="1" ht="13.5" customHeight="1" x14ac:dyDescent="0.3">
      <c r="B82" s="20" t="s">
        <v>93</v>
      </c>
      <c r="C82" s="26" t="s">
        <v>94</v>
      </c>
      <c r="D82" s="15"/>
      <c r="E82" s="73">
        <v>151795.13</v>
      </c>
      <c r="F82" s="73">
        <v>0</v>
      </c>
      <c r="G82" s="73">
        <v>0</v>
      </c>
      <c r="H82" s="73">
        <v>0</v>
      </c>
      <c r="I82" s="73">
        <v>268900</v>
      </c>
      <c r="J82" s="73">
        <v>24356.68</v>
      </c>
      <c r="K82" s="74">
        <v>54356.68</v>
      </c>
      <c r="L82" s="74">
        <v>0</v>
      </c>
      <c r="M82" s="74">
        <v>2805190</v>
      </c>
      <c r="N82" s="73">
        <v>0</v>
      </c>
      <c r="O82" s="73">
        <v>0</v>
      </c>
      <c r="P82" s="50">
        <f t="shared" si="15"/>
        <v>3304598.49</v>
      </c>
      <c r="Q82" s="50">
        <f t="shared" si="16"/>
        <v>0</v>
      </c>
      <c r="R82" s="51">
        <f t="shared" si="17"/>
        <v>0</v>
      </c>
    </row>
    <row r="83" spans="2:18" s="49" customFormat="1" ht="13.5" customHeight="1" x14ac:dyDescent="0.3">
      <c r="B83" s="20" t="s">
        <v>95</v>
      </c>
      <c r="C83" s="26" t="s">
        <v>96</v>
      </c>
      <c r="D83" s="15"/>
      <c r="E83" s="73">
        <v>0</v>
      </c>
      <c r="F83" s="73">
        <v>1015.4800000000005</v>
      </c>
      <c r="G83" s="73">
        <v>28080</v>
      </c>
      <c r="H83" s="73">
        <v>0</v>
      </c>
      <c r="I83" s="73">
        <v>0</v>
      </c>
      <c r="J83" s="73">
        <v>413.86000000000013</v>
      </c>
      <c r="K83" s="74">
        <v>44928</v>
      </c>
      <c r="L83" s="74">
        <v>0</v>
      </c>
      <c r="M83" s="74">
        <v>0</v>
      </c>
      <c r="N83" s="73">
        <v>0</v>
      </c>
      <c r="O83" s="73">
        <v>419.53</v>
      </c>
      <c r="P83" s="50">
        <f t="shared" si="15"/>
        <v>74856.87</v>
      </c>
      <c r="Q83" s="50">
        <f t="shared" si="16"/>
        <v>419.53</v>
      </c>
      <c r="R83" s="51">
        <f t="shared" si="17"/>
        <v>0</v>
      </c>
    </row>
    <row r="84" spans="2:18" ht="13.5" customHeight="1" x14ac:dyDescent="0.3">
      <c r="B84" s="20" t="s">
        <v>97</v>
      </c>
      <c r="C84" s="26" t="s">
        <v>98</v>
      </c>
      <c r="D84" s="15"/>
      <c r="E84" s="73">
        <v>0</v>
      </c>
      <c r="F84" s="73">
        <v>0</v>
      </c>
      <c r="G84" s="73">
        <v>0</v>
      </c>
      <c r="H84" s="73">
        <v>44453.5</v>
      </c>
      <c r="I84" s="73">
        <v>18382</v>
      </c>
      <c r="J84" s="73">
        <v>0</v>
      </c>
      <c r="K84" s="74">
        <v>3685.5</v>
      </c>
      <c r="L84" s="74">
        <v>26218.92</v>
      </c>
      <c r="M84" s="74">
        <v>0</v>
      </c>
      <c r="N84" s="73">
        <v>0</v>
      </c>
      <c r="O84" s="73">
        <v>33855.64</v>
      </c>
      <c r="P84" s="50">
        <f t="shared" si="15"/>
        <v>126595.56</v>
      </c>
      <c r="Q84" s="50">
        <f>+O84-N84</f>
        <v>33855.64</v>
      </c>
      <c r="R84" s="51">
        <f t="shared" si="17"/>
        <v>0</v>
      </c>
    </row>
    <row r="85" spans="2:18" s="49" customFormat="1" ht="13.5" customHeight="1" x14ac:dyDescent="0.3">
      <c r="B85" s="20" t="s">
        <v>99</v>
      </c>
      <c r="C85" s="26" t="s">
        <v>100</v>
      </c>
      <c r="D85" s="22"/>
      <c r="E85" s="73">
        <v>0</v>
      </c>
      <c r="F85" s="73">
        <v>3545.3</v>
      </c>
      <c r="G85" s="73">
        <v>3545.3</v>
      </c>
      <c r="H85" s="73">
        <v>7576.8</v>
      </c>
      <c r="I85" s="73">
        <v>16130.959999999997</v>
      </c>
      <c r="J85" s="73">
        <v>10428.33</v>
      </c>
      <c r="K85" s="74">
        <v>11675.730000000001</v>
      </c>
      <c r="L85" s="74">
        <v>4859.88</v>
      </c>
      <c r="M85" s="74">
        <v>0</v>
      </c>
      <c r="N85" s="73">
        <v>2557.83</v>
      </c>
      <c r="O85" s="73">
        <v>9719.75</v>
      </c>
      <c r="P85" s="50">
        <f t="shared" si="15"/>
        <v>70039.88</v>
      </c>
      <c r="Q85" s="50">
        <f t="shared" si="16"/>
        <v>7161.92</v>
      </c>
      <c r="R85" s="51">
        <f t="shared" si="17"/>
        <v>2.7999984361744135</v>
      </c>
    </row>
    <row r="86" spans="2:18" s="49" customFormat="1" ht="13.5" customHeight="1" x14ac:dyDescent="0.3">
      <c r="B86" s="27" t="s">
        <v>101</v>
      </c>
      <c r="C86" s="26" t="s">
        <v>102</v>
      </c>
      <c r="D86" s="15"/>
      <c r="E86" s="73">
        <v>0</v>
      </c>
      <c r="F86" s="73">
        <v>0</v>
      </c>
      <c r="G86" s="73">
        <v>0</v>
      </c>
      <c r="H86" s="73">
        <v>0</v>
      </c>
      <c r="I86" s="73">
        <v>0</v>
      </c>
      <c r="J86" s="73">
        <v>0</v>
      </c>
      <c r="K86" s="74">
        <v>0</v>
      </c>
      <c r="L86" s="74">
        <v>0</v>
      </c>
      <c r="M86" s="74">
        <v>0</v>
      </c>
      <c r="N86" s="73">
        <v>0</v>
      </c>
      <c r="O86" s="73">
        <v>0</v>
      </c>
      <c r="P86" s="50">
        <f t="shared" si="15"/>
        <v>0</v>
      </c>
      <c r="Q86" s="50">
        <f t="shared" si="16"/>
        <v>0</v>
      </c>
      <c r="R86" s="51">
        <f t="shared" si="17"/>
        <v>0</v>
      </c>
    </row>
    <row r="87" spans="2:18" s="49" customFormat="1" ht="13.5" customHeight="1" x14ac:dyDescent="0.3">
      <c r="B87" s="20" t="s">
        <v>103</v>
      </c>
      <c r="C87" s="26" t="s">
        <v>104</v>
      </c>
      <c r="D87" s="15"/>
      <c r="E87" s="73">
        <v>175.5</v>
      </c>
      <c r="F87" s="73">
        <v>245.7</v>
      </c>
      <c r="G87" s="73">
        <v>245.7</v>
      </c>
      <c r="H87" s="73">
        <v>245.7</v>
      </c>
      <c r="I87" s="73">
        <v>245.7</v>
      </c>
      <c r="J87" s="73">
        <v>245.7</v>
      </c>
      <c r="K87" s="74">
        <v>354.9</v>
      </c>
      <c r="L87" s="74">
        <v>354.9</v>
      </c>
      <c r="M87" s="74">
        <v>253.5</v>
      </c>
      <c r="N87" s="73">
        <v>253.5</v>
      </c>
      <c r="O87" s="73">
        <v>253.5</v>
      </c>
      <c r="P87" s="50">
        <f t="shared" si="15"/>
        <v>2874.3</v>
      </c>
      <c r="Q87" s="50">
        <f t="shared" si="16"/>
        <v>0</v>
      </c>
      <c r="R87" s="51">
        <f t="shared" si="17"/>
        <v>0</v>
      </c>
    </row>
    <row r="88" spans="2:18" s="49" customFormat="1" ht="13.5" customHeight="1" x14ac:dyDescent="0.3">
      <c r="B88" s="20"/>
      <c r="C88" s="703" t="s">
        <v>25</v>
      </c>
      <c r="D88" s="703"/>
      <c r="E88" s="88">
        <f t="shared" ref="E88" si="19">+SUM(E76:E87)</f>
        <v>8949904.6500000004</v>
      </c>
      <c r="F88" s="88">
        <f t="shared" ref="F88:N88" si="20">SUM(F76:F87)</f>
        <v>9047077.3400000017</v>
      </c>
      <c r="G88" s="88">
        <f t="shared" si="20"/>
        <v>15694325.99</v>
      </c>
      <c r="H88" s="88">
        <f t="shared" si="20"/>
        <v>3575149</v>
      </c>
      <c r="I88" s="88">
        <f t="shared" si="20"/>
        <v>9958986.1600000001</v>
      </c>
      <c r="J88" s="88">
        <f t="shared" si="20"/>
        <v>9891781.0399999991</v>
      </c>
      <c r="K88" s="88">
        <f t="shared" si="20"/>
        <v>9396639.3300000001</v>
      </c>
      <c r="L88" s="88">
        <f t="shared" si="20"/>
        <v>10266724.750000002</v>
      </c>
      <c r="M88" s="88">
        <f t="shared" si="20"/>
        <v>22543987.93</v>
      </c>
      <c r="N88" s="89">
        <f t="shared" si="20"/>
        <v>20691885.799999997</v>
      </c>
      <c r="O88" s="89">
        <f>SUM(O76:O87)</f>
        <v>9385362.0199999996</v>
      </c>
      <c r="P88" s="88">
        <f t="shared" si="15"/>
        <v>129401824.00999999</v>
      </c>
      <c r="Q88" s="88">
        <f t="shared" si="16"/>
        <v>-11306523.779999997</v>
      </c>
      <c r="R88" s="90">
        <f t="shared" si="17"/>
        <v>-0.54642307082518304</v>
      </c>
    </row>
    <row r="89" spans="2:18" s="49" customFormat="1" ht="13.5" customHeight="1" x14ac:dyDescent="0.25">
      <c r="B89" s="711" t="s">
        <v>105</v>
      </c>
      <c r="C89" s="28" t="s">
        <v>106</v>
      </c>
      <c r="D89" s="15"/>
      <c r="E89" s="73">
        <v>8574247.3000000007</v>
      </c>
      <c r="F89" s="73">
        <v>8574246.6899999995</v>
      </c>
      <c r="G89" s="73">
        <v>8574247.3000000007</v>
      </c>
      <c r="H89" s="73">
        <v>-406628.22999999952</v>
      </c>
      <c r="I89" s="73">
        <v>6329028.5700000003</v>
      </c>
      <c r="J89" s="73">
        <v>9219329.6899999995</v>
      </c>
      <c r="K89" s="74">
        <v>8682435.0399999991</v>
      </c>
      <c r="L89" s="74">
        <v>1946200.3699999999</v>
      </c>
      <c r="M89" s="74">
        <v>8681857.370000001</v>
      </c>
      <c r="N89" s="73">
        <v>4191419.3</v>
      </c>
      <c r="O89" s="73">
        <v>6436638.6400000006</v>
      </c>
      <c r="P89" s="50">
        <f t="shared" si="15"/>
        <v>70803022.039999992</v>
      </c>
      <c r="Q89" s="50">
        <f t="shared" si="16"/>
        <v>2245219.3400000008</v>
      </c>
      <c r="R89" s="51">
        <f t="shared" si="17"/>
        <v>0.53567042075699778</v>
      </c>
    </row>
    <row r="90" spans="2:18" s="49" customFormat="1" ht="13.5" customHeight="1" x14ac:dyDescent="0.25">
      <c r="B90" s="711"/>
      <c r="C90" s="29" t="s">
        <v>107</v>
      </c>
      <c r="D90" s="22"/>
      <c r="E90" s="73">
        <v>1925534.57</v>
      </c>
      <c r="F90" s="73">
        <v>1925534.57</v>
      </c>
      <c r="G90" s="73">
        <v>1284351.17</v>
      </c>
      <c r="H90" s="73">
        <v>1284351.17</v>
      </c>
      <c r="I90" s="73">
        <v>1284351.17</v>
      </c>
      <c r="J90" s="73">
        <v>1284351.17</v>
      </c>
      <c r="K90" s="74">
        <v>1284351.17</v>
      </c>
      <c r="L90" s="74">
        <v>1284351.17</v>
      </c>
      <c r="M90" s="74">
        <v>1284351.17</v>
      </c>
      <c r="N90" s="73">
        <v>1284351.17</v>
      </c>
      <c r="O90" s="73">
        <v>1284351.17</v>
      </c>
      <c r="P90" s="50">
        <f t="shared" si="15"/>
        <v>15410229.67</v>
      </c>
      <c r="Q90" s="50">
        <f t="shared" si="16"/>
        <v>0</v>
      </c>
      <c r="R90" s="51">
        <f t="shared" si="17"/>
        <v>0</v>
      </c>
    </row>
    <row r="91" spans="2:18" s="49" customFormat="1" ht="13.5" customHeight="1" x14ac:dyDescent="0.25">
      <c r="B91" s="711"/>
      <c r="C91" s="29" t="s">
        <v>108</v>
      </c>
      <c r="D91" s="15"/>
      <c r="E91" s="73">
        <v>10990060.33</v>
      </c>
      <c r="F91" s="73">
        <v>10990060.33</v>
      </c>
      <c r="G91" s="73">
        <v>10990060.33</v>
      </c>
      <c r="H91" s="73">
        <v>11322214.609999999</v>
      </c>
      <c r="I91" s="73">
        <v>11322214.610000001</v>
      </c>
      <c r="J91" s="73">
        <v>11635143.130000005</v>
      </c>
      <c r="K91" s="74">
        <v>11098248.059999999</v>
      </c>
      <c r="L91" s="74">
        <v>11097670.4</v>
      </c>
      <c r="M91" s="74">
        <v>11097670.4</v>
      </c>
      <c r="N91" s="73">
        <v>11097670.4</v>
      </c>
      <c r="O91" s="73">
        <v>11097670.4</v>
      </c>
      <c r="P91" s="50">
        <f t="shared" si="15"/>
        <v>122738683.00000003</v>
      </c>
      <c r="Q91" s="50">
        <f t="shared" si="16"/>
        <v>0</v>
      </c>
      <c r="R91" s="51">
        <f t="shared" si="17"/>
        <v>0</v>
      </c>
    </row>
    <row r="92" spans="2:18" s="49" customFormat="1" ht="13.5" customHeight="1" x14ac:dyDescent="0.25">
      <c r="B92" s="711"/>
      <c r="C92" s="29" t="s">
        <v>109</v>
      </c>
      <c r="D92" s="15"/>
      <c r="E92" s="73">
        <v>1349525.23</v>
      </c>
      <c r="F92" s="73">
        <v>1356172.7699999998</v>
      </c>
      <c r="G92" s="73">
        <v>1419958.41</v>
      </c>
      <c r="H92" s="73">
        <v>1412337.2200000002</v>
      </c>
      <c r="I92" s="73">
        <v>3132365.09</v>
      </c>
      <c r="J92" s="73">
        <v>3132363.2200000007</v>
      </c>
      <c r="K92" s="74">
        <v>3132365.0900000003</v>
      </c>
      <c r="L92" s="74">
        <v>3132363.22</v>
      </c>
      <c r="M92" s="74">
        <v>3132365.0900000003</v>
      </c>
      <c r="N92" s="73">
        <v>4852389.82</v>
      </c>
      <c r="O92" s="73">
        <v>4803989.09</v>
      </c>
      <c r="P92" s="50">
        <f t="shared" si="15"/>
        <v>30856194.25</v>
      </c>
      <c r="Q92" s="50">
        <f t="shared" si="16"/>
        <v>-48400.730000000447</v>
      </c>
      <c r="R92" s="51">
        <f t="shared" si="17"/>
        <v>-9.9746170022260178E-3</v>
      </c>
    </row>
    <row r="93" spans="2:18" s="49" customFormat="1" ht="13.5" customHeight="1" x14ac:dyDescent="0.25">
      <c r="B93" s="711"/>
      <c r="C93" s="29" t="s">
        <v>110</v>
      </c>
      <c r="D93" s="22"/>
      <c r="E93" s="73">
        <v>0</v>
      </c>
      <c r="F93" s="73">
        <v>0</v>
      </c>
      <c r="G93" s="73">
        <v>0</v>
      </c>
      <c r="H93" s="73">
        <v>0</v>
      </c>
      <c r="I93" s="73">
        <v>0</v>
      </c>
      <c r="J93" s="73">
        <v>0</v>
      </c>
      <c r="K93" s="74">
        <v>0</v>
      </c>
      <c r="L93" s="74">
        <v>0</v>
      </c>
      <c r="M93" s="74">
        <v>0</v>
      </c>
      <c r="N93" s="73">
        <v>0</v>
      </c>
      <c r="O93" s="73">
        <v>0</v>
      </c>
      <c r="P93" s="50">
        <f t="shared" si="15"/>
        <v>0</v>
      </c>
      <c r="Q93" s="50">
        <f t="shared" si="16"/>
        <v>0</v>
      </c>
      <c r="R93" s="51">
        <f t="shared" si="17"/>
        <v>0</v>
      </c>
    </row>
    <row r="94" spans="2:18" s="49" customFormat="1" ht="13.5" customHeight="1" x14ac:dyDescent="0.25">
      <c r="B94" s="711"/>
      <c r="C94" s="29" t="s">
        <v>111</v>
      </c>
      <c r="D94" s="22"/>
      <c r="E94" s="73">
        <v>185810782.81999999</v>
      </c>
      <c r="F94" s="73">
        <v>191489054.23999995</v>
      </c>
      <c r="G94" s="73">
        <v>188649918.66999999</v>
      </c>
      <c r="H94" s="73">
        <v>188653677.69999993</v>
      </c>
      <c r="I94" s="73">
        <v>188380340.66999999</v>
      </c>
      <c r="J94" s="73">
        <v>188757899.69999993</v>
      </c>
      <c r="K94" s="74">
        <v>266673537.86000004</v>
      </c>
      <c r="L94" s="74">
        <v>204138821.69999996</v>
      </c>
      <c r="M94" s="74">
        <v>205858854.66999999</v>
      </c>
      <c r="N94" s="73">
        <v>205858847.69999993</v>
      </c>
      <c r="O94" s="73">
        <v>205858853.6700002</v>
      </c>
      <c r="P94" s="50">
        <f t="shared" si="15"/>
        <v>2220130589.4000001</v>
      </c>
      <c r="Q94" s="50">
        <f t="shared" si="16"/>
        <v>5.9700002670288086</v>
      </c>
      <c r="R94" s="51">
        <f t="shared" si="17"/>
        <v>2.9000455087210761E-8</v>
      </c>
    </row>
    <row r="95" spans="2:18" ht="13.5" customHeight="1" x14ac:dyDescent="0.3">
      <c r="B95" s="711"/>
      <c r="C95" s="703" t="s">
        <v>25</v>
      </c>
      <c r="D95" s="703"/>
      <c r="E95" s="88">
        <f t="shared" ref="E95:K95" si="21">SUM(E89:E94)</f>
        <v>208650150.25</v>
      </c>
      <c r="F95" s="88">
        <f t="shared" si="21"/>
        <v>214335068.59999996</v>
      </c>
      <c r="G95" s="88">
        <f t="shared" si="21"/>
        <v>210918535.88</v>
      </c>
      <c r="H95" s="88">
        <f t="shared" si="21"/>
        <v>202265952.46999994</v>
      </c>
      <c r="I95" s="88">
        <f t="shared" si="21"/>
        <v>210448300.10999998</v>
      </c>
      <c r="J95" s="88">
        <f t="shared" si="21"/>
        <v>214029086.90999994</v>
      </c>
      <c r="K95" s="88">
        <f t="shared" si="21"/>
        <v>290870937.22000003</v>
      </c>
      <c r="L95" s="88">
        <f>SUM(L89:L94)</f>
        <v>221599406.85999995</v>
      </c>
      <c r="M95" s="88">
        <f>SUM(M89:M94)</f>
        <v>230055098.69999999</v>
      </c>
      <c r="N95" s="89">
        <f>SUM(N89:N94)</f>
        <v>227284678.38999993</v>
      </c>
      <c r="O95" s="89">
        <f>SUM(O89:O94)</f>
        <v>229481502.97000021</v>
      </c>
      <c r="P95" s="88">
        <f t="shared" si="15"/>
        <v>2459938718.3600001</v>
      </c>
      <c r="Q95" s="88">
        <f t="shared" si="16"/>
        <v>2196824.5800002813</v>
      </c>
      <c r="R95" s="90">
        <f t="shared" si="17"/>
        <v>9.6655198914496528E-3</v>
      </c>
    </row>
    <row r="96" spans="2:18" s="49" customFormat="1" ht="13.5" customHeight="1" x14ac:dyDescent="0.3">
      <c r="B96" s="722" t="s">
        <v>112</v>
      </c>
      <c r="C96" s="30" t="s">
        <v>113</v>
      </c>
      <c r="D96" s="31" t="s">
        <v>72</v>
      </c>
      <c r="E96" s="95">
        <f>+E108-E99-E105-E100</f>
        <v>19209</v>
      </c>
      <c r="F96" s="95">
        <f>+F108-F99-F105-F100</f>
        <v>20671.75213675214</v>
      </c>
      <c r="G96" s="95">
        <f>+G108-G99-G105-G100</f>
        <v>17078.157024793385</v>
      </c>
      <c r="H96" s="95">
        <f>+H108-H99-H106-H100</f>
        <v>18924.528925619838</v>
      </c>
      <c r="I96" s="95">
        <f>+I108-I99-I106-I100</f>
        <v>15174.373404078928</v>
      </c>
      <c r="J96" s="95">
        <f>+J108-J99-J106-J100</f>
        <v>26086.72160504062</v>
      </c>
      <c r="K96" s="95">
        <f>+K108-K99-K106-K101</f>
        <v>27760</v>
      </c>
      <c r="L96" s="95">
        <f>+L108-L99-L106-L101</f>
        <v>29121</v>
      </c>
      <c r="M96" s="95">
        <f>+M108-M99-M106-M101</f>
        <v>16446</v>
      </c>
      <c r="N96" s="96">
        <f>+N108-N99-N106-N101</f>
        <v>23569</v>
      </c>
      <c r="O96" s="96">
        <f>+O108-O99-O106-O101</f>
        <v>19359</v>
      </c>
      <c r="P96" s="97">
        <f t="shared" si="15"/>
        <v>233399.5330962849</v>
      </c>
      <c r="Q96" s="50">
        <f t="shared" si="16"/>
        <v>-4210</v>
      </c>
      <c r="R96" s="51">
        <f t="shared" si="17"/>
        <v>-0.17862446433875007</v>
      </c>
    </row>
    <row r="97" spans="1:47" s="49" customFormat="1" ht="13.5" customHeight="1" x14ac:dyDescent="0.25">
      <c r="B97" s="723"/>
      <c r="C97" s="32" t="s">
        <v>114</v>
      </c>
      <c r="D97" s="31" t="s">
        <v>72</v>
      </c>
      <c r="E97" s="52">
        <f>10021*E96</f>
        <v>192493389</v>
      </c>
      <c r="F97" s="52">
        <f t="shared" ref="F97:I97" si="22">10183*F96</f>
        <v>210500452.00854704</v>
      </c>
      <c r="G97" s="52">
        <f t="shared" si="22"/>
        <v>173906872.98347104</v>
      </c>
      <c r="H97" s="52">
        <f t="shared" si="22"/>
        <v>192708478.0495868</v>
      </c>
      <c r="I97" s="52">
        <f t="shared" si="22"/>
        <v>154520644.37373573</v>
      </c>
      <c r="J97" s="52">
        <f>10578*J96</f>
        <v>275945341.1381197</v>
      </c>
      <c r="K97" s="52">
        <f>10608*K96</f>
        <v>294478080</v>
      </c>
      <c r="L97" s="52">
        <f>10577*L96</f>
        <v>308012817</v>
      </c>
      <c r="M97" s="52">
        <f>10834*M96</f>
        <v>178175964</v>
      </c>
      <c r="N97" s="53">
        <f>10945*N96</f>
        <v>257962705</v>
      </c>
      <c r="O97" s="53">
        <f>10945*O96</f>
        <v>211884255</v>
      </c>
      <c r="P97" s="50">
        <f t="shared" si="15"/>
        <v>2450588998.5534601</v>
      </c>
      <c r="Q97" s="50">
        <f t="shared" si="16"/>
        <v>-46078450</v>
      </c>
      <c r="R97" s="51">
        <f t="shared" si="17"/>
        <v>-0.17862446433875007</v>
      </c>
    </row>
    <row r="98" spans="1:47" ht="13.5" customHeight="1" x14ac:dyDescent="0.25">
      <c r="B98" s="715" t="s">
        <v>115</v>
      </c>
      <c r="C98" s="33" t="s">
        <v>116</v>
      </c>
      <c r="D98" s="34" t="s">
        <v>72</v>
      </c>
      <c r="E98" s="52">
        <v>30724200</v>
      </c>
      <c r="F98" s="52">
        <v>69945500</v>
      </c>
      <c r="G98" s="52">
        <v>59760000</v>
      </c>
      <c r="H98" s="52">
        <v>53185200</v>
      </c>
      <c r="I98" s="52">
        <v>63827600</v>
      </c>
      <c r="J98" s="52">
        <v>65029600</v>
      </c>
      <c r="K98" s="52">
        <v>81788000</v>
      </c>
      <c r="L98" s="52">
        <v>5283200</v>
      </c>
      <c r="M98" s="52">
        <v>67221100</v>
      </c>
      <c r="N98" s="53">
        <v>2540000</v>
      </c>
      <c r="O98" s="53">
        <v>1016000</v>
      </c>
      <c r="P98" s="50">
        <f t="shared" si="15"/>
        <v>500320400</v>
      </c>
      <c r="Q98" s="50">
        <f t="shared" si="16"/>
        <v>-1524000</v>
      </c>
      <c r="R98" s="51">
        <f t="shared" si="17"/>
        <v>-0.6</v>
      </c>
    </row>
    <row r="99" spans="1:47" ht="13.5" customHeight="1" x14ac:dyDescent="0.25">
      <c r="B99" s="716"/>
      <c r="C99" s="33" t="s">
        <v>117</v>
      </c>
      <c r="D99" s="35" t="s">
        <v>72</v>
      </c>
      <c r="E99" s="98">
        <f>E98/11700</f>
        <v>2626</v>
      </c>
      <c r="F99" s="98">
        <f>F98/11700</f>
        <v>5978.2478632478633</v>
      </c>
      <c r="G99" s="98">
        <f>G98/12100</f>
        <v>4938.8429752066113</v>
      </c>
      <c r="H99" s="98">
        <f>H98/12100</f>
        <v>4395.4710743801652</v>
      </c>
      <c r="I99" s="98">
        <f>I98/12062</f>
        <v>5291.6265959210741</v>
      </c>
      <c r="J99" s="98">
        <f>J98/12062</f>
        <v>5391.2783949593768</v>
      </c>
      <c r="K99" s="98">
        <f>K98/12700</f>
        <v>6440</v>
      </c>
      <c r="L99" s="98">
        <f>L98/12700</f>
        <v>416</v>
      </c>
      <c r="M99" s="98">
        <f>M98/12700</f>
        <v>5293</v>
      </c>
      <c r="N99" s="99">
        <f>N98/12700</f>
        <v>200</v>
      </c>
      <c r="O99" s="99">
        <f>O98/12700</f>
        <v>80</v>
      </c>
      <c r="P99" s="97">
        <f t="shared" si="15"/>
        <v>41050.466903715089</v>
      </c>
      <c r="Q99" s="50">
        <f t="shared" si="16"/>
        <v>-120</v>
      </c>
      <c r="R99" s="51">
        <f t="shared" si="17"/>
        <v>-0.6</v>
      </c>
    </row>
    <row r="100" spans="1:47" ht="13.5" customHeight="1" x14ac:dyDescent="0.25">
      <c r="B100" s="717" t="s">
        <v>118</v>
      </c>
      <c r="C100" s="36" t="s">
        <v>119</v>
      </c>
      <c r="D100" s="37" t="s">
        <v>72</v>
      </c>
      <c r="E100" s="98">
        <v>7402</v>
      </c>
      <c r="F100" s="98">
        <v>6965</v>
      </c>
      <c r="G100" s="98">
        <v>8080</v>
      </c>
      <c r="H100" s="98">
        <v>7039</v>
      </c>
      <c r="I100" s="98">
        <v>9290</v>
      </c>
      <c r="J100" s="98">
        <v>1726</v>
      </c>
      <c r="K100" s="98">
        <v>8873</v>
      </c>
      <c r="L100" s="98">
        <v>9053</v>
      </c>
      <c r="M100" s="98">
        <v>7395</v>
      </c>
      <c r="N100" s="99">
        <v>8753</v>
      </c>
      <c r="O100" s="99">
        <v>8753</v>
      </c>
      <c r="P100" s="97">
        <f t="shared" si="15"/>
        <v>83329</v>
      </c>
      <c r="Q100" s="50">
        <f t="shared" si="16"/>
        <v>0</v>
      </c>
      <c r="R100" s="51">
        <f t="shared" si="17"/>
        <v>0</v>
      </c>
    </row>
    <row r="101" spans="1:47" ht="13.5" customHeight="1" x14ac:dyDescent="0.25">
      <c r="B101" s="718"/>
      <c r="C101" s="36" t="s">
        <v>120</v>
      </c>
      <c r="D101" s="37" t="s">
        <v>72</v>
      </c>
      <c r="E101" s="98">
        <v>7402</v>
      </c>
      <c r="F101" s="98">
        <v>6965</v>
      </c>
      <c r="G101" s="98">
        <v>8080</v>
      </c>
      <c r="H101" s="98">
        <v>7039</v>
      </c>
      <c r="I101" s="98">
        <v>9290</v>
      </c>
      <c r="J101" s="98">
        <v>1726</v>
      </c>
      <c r="K101" s="98">
        <v>5958</v>
      </c>
      <c r="L101" s="98">
        <v>7100</v>
      </c>
      <c r="M101" s="98">
        <v>5045</v>
      </c>
      <c r="N101" s="99">
        <v>5799</v>
      </c>
      <c r="O101" s="99">
        <v>5799</v>
      </c>
      <c r="P101" s="50">
        <f t="shared" si="15"/>
        <v>70203</v>
      </c>
      <c r="Q101" s="50">
        <f t="shared" si="16"/>
        <v>0</v>
      </c>
      <c r="R101" s="51">
        <f t="shared" si="17"/>
        <v>0</v>
      </c>
      <c r="S101" s="1"/>
    </row>
    <row r="102" spans="1:47" ht="13.5" customHeight="1" x14ac:dyDescent="0.25">
      <c r="B102" s="719"/>
      <c r="C102" s="36" t="s">
        <v>121</v>
      </c>
      <c r="D102" s="37" t="s">
        <v>72</v>
      </c>
      <c r="E102" s="52">
        <f>+E100*382</f>
        <v>2827564</v>
      </c>
      <c r="F102" s="52">
        <f>+F100*932</f>
        <v>6491380</v>
      </c>
      <c r="G102" s="52">
        <f>+G100*2868</f>
        <v>23173440</v>
      </c>
      <c r="H102" s="52">
        <f>+H100*2198</f>
        <v>15471722</v>
      </c>
      <c r="I102" s="52">
        <f>+I100*3180</f>
        <v>29542200</v>
      </c>
      <c r="J102" s="52">
        <f>+J100*14203</f>
        <v>24514378</v>
      </c>
      <c r="K102" s="52">
        <f>+K100*2612</f>
        <v>23176276</v>
      </c>
      <c r="L102" s="52">
        <f>+L100*5966</f>
        <v>54010198</v>
      </c>
      <c r="M102" s="52">
        <f>+M100*1851</f>
        <v>13688145</v>
      </c>
      <c r="N102" s="53">
        <f>+N100*2528</f>
        <v>22127584</v>
      </c>
      <c r="O102" s="53">
        <f>+O100*2168</f>
        <v>18976504</v>
      </c>
      <c r="P102" s="50">
        <f t="shared" si="15"/>
        <v>233999391</v>
      </c>
      <c r="Q102" s="50">
        <f t="shared" si="16"/>
        <v>-3151080</v>
      </c>
      <c r="R102" s="51">
        <f t="shared" si="17"/>
        <v>-0.14240506329113925</v>
      </c>
    </row>
    <row r="103" spans="1:47" ht="13.5" customHeight="1" x14ac:dyDescent="0.3">
      <c r="B103" s="38"/>
      <c r="C103" s="39" t="s">
        <v>122</v>
      </c>
      <c r="D103" s="40"/>
      <c r="E103" s="88">
        <f t="shared" ref="E103:J103" si="23">E75+E68+E63+E65+E57+E52+E41+E26+E22+E95+E88+E97+E98+E102</f>
        <v>868126241.63999999</v>
      </c>
      <c r="F103" s="88">
        <f t="shared" si="23"/>
        <v>1016705873.6585472</v>
      </c>
      <c r="G103" s="88">
        <f t="shared" si="23"/>
        <v>873529014.11347103</v>
      </c>
      <c r="H103" s="88">
        <f t="shared" si="23"/>
        <v>907508548.57958674</v>
      </c>
      <c r="I103" s="88">
        <f t="shared" si="23"/>
        <v>1084243987.4237359</v>
      </c>
      <c r="J103" s="88">
        <f t="shared" si="23"/>
        <v>924903500.30811954</v>
      </c>
      <c r="K103" s="88">
        <f>K75+K68+K63+K65+K57+K52+K41+K26+K22+K95+K88+K97+K98+K102</f>
        <v>1162343657.7800002</v>
      </c>
      <c r="L103" s="88">
        <f>L75+L68+L63+L65+L57+L52+L41+L26+L22+L95+L88+L97+L98+L102</f>
        <v>939547562.79999995</v>
      </c>
      <c r="M103" s="88">
        <f>M75+M68+M63+M65+M57+M52+M41+M26+M22+M95+M88+M97+M98+M102</f>
        <v>1018248562.3000001</v>
      </c>
      <c r="N103" s="89">
        <f>N75+N68+N63+N65+N57+N52+N41+N26+N22+N95+N88+N97+N98+N102</f>
        <v>1055075190.3499999</v>
      </c>
      <c r="O103" s="89">
        <f>O75+O68+O63+O65+O57+O52+O41+O26+O22+O95+O88+O97+O98+O102</f>
        <v>860387516.73000014</v>
      </c>
      <c r="P103" s="88">
        <f t="shared" si="15"/>
        <v>10710619655.68346</v>
      </c>
      <c r="Q103" s="88">
        <f t="shared" si="16"/>
        <v>-194687673.61999977</v>
      </c>
      <c r="R103" s="90">
        <f t="shared" si="17"/>
        <v>-0.18452492808158635</v>
      </c>
    </row>
    <row r="104" spans="1:47" ht="13.5" customHeight="1" x14ac:dyDescent="0.3">
      <c r="B104" s="720" t="s">
        <v>123</v>
      </c>
      <c r="C104" s="721"/>
      <c r="D104" s="721"/>
      <c r="E104" s="100">
        <f t="shared" ref="E104:O104" si="24">+E108-E105</f>
        <v>29237</v>
      </c>
      <c r="F104" s="100">
        <f t="shared" si="24"/>
        <v>33615</v>
      </c>
      <c r="G104" s="100">
        <f t="shared" si="24"/>
        <v>30097</v>
      </c>
      <c r="H104" s="100">
        <f t="shared" si="24"/>
        <v>16972</v>
      </c>
      <c r="I104" s="100">
        <f t="shared" si="24"/>
        <v>16707</v>
      </c>
      <c r="J104" s="100">
        <f t="shared" si="24"/>
        <v>21731</v>
      </c>
      <c r="K104" s="100">
        <f t="shared" si="24"/>
        <v>32842</v>
      </c>
      <c r="L104" s="100">
        <f t="shared" si="24"/>
        <v>33589</v>
      </c>
      <c r="M104" s="100">
        <f t="shared" si="24"/>
        <v>22389</v>
      </c>
      <c r="N104" s="101">
        <f t="shared" si="24"/>
        <v>26183</v>
      </c>
      <c r="O104" s="101">
        <f t="shared" si="24"/>
        <v>22749</v>
      </c>
      <c r="P104" s="102">
        <f t="shared" ref="P104" si="25">+SUM(E104:H104)</f>
        <v>109921</v>
      </c>
      <c r="Q104" s="102">
        <f t="shared" si="16"/>
        <v>-3434</v>
      </c>
      <c r="R104" s="103">
        <f t="shared" si="17"/>
        <v>-0.13115380208532254</v>
      </c>
    </row>
    <row r="105" spans="1:47" ht="13.5" customHeight="1" x14ac:dyDescent="0.3">
      <c r="B105" s="41" t="s">
        <v>124</v>
      </c>
      <c r="C105" s="42"/>
      <c r="D105" s="42" t="s">
        <v>72</v>
      </c>
      <c r="E105" s="104">
        <v>16493</v>
      </c>
      <c r="F105" s="104">
        <v>16579</v>
      </c>
      <c r="G105" s="104">
        <v>25351</v>
      </c>
      <c r="H105" s="104">
        <v>28388</v>
      </c>
      <c r="I105" s="104">
        <v>38145</v>
      </c>
      <c r="J105" s="104">
        <v>24217</v>
      </c>
      <c r="K105" s="104">
        <v>21422</v>
      </c>
      <c r="L105" s="104">
        <v>11183</v>
      </c>
      <c r="M105" s="104">
        <v>15597</v>
      </c>
      <c r="N105" s="104">
        <v>14140</v>
      </c>
      <c r="O105" s="104">
        <v>10988</v>
      </c>
      <c r="P105" s="97">
        <f t="shared" ref="P105:P110" si="26">+SUM(E105:O105)</f>
        <v>222503</v>
      </c>
      <c r="Q105" s="97">
        <f t="shared" si="16"/>
        <v>-3152</v>
      </c>
      <c r="R105" s="51">
        <f t="shared" si="17"/>
        <v>-0.22291371994342291</v>
      </c>
    </row>
    <row r="106" spans="1:47" ht="13.5" customHeight="1" x14ac:dyDescent="0.3">
      <c r="B106" s="105" t="s">
        <v>125</v>
      </c>
      <c r="C106" s="106"/>
      <c r="D106" s="106" t="s">
        <v>72</v>
      </c>
      <c r="E106" s="104">
        <v>12422</v>
      </c>
      <c r="F106" s="104">
        <v>11706</v>
      </c>
      <c r="G106" s="104">
        <v>18489</v>
      </c>
      <c r="H106" s="104">
        <v>15001</v>
      </c>
      <c r="I106" s="104">
        <v>25096</v>
      </c>
      <c r="J106" s="104">
        <v>12744</v>
      </c>
      <c r="K106" s="104">
        <v>14106</v>
      </c>
      <c r="L106" s="104">
        <v>8135</v>
      </c>
      <c r="M106" s="104">
        <v>11202</v>
      </c>
      <c r="N106" s="107">
        <v>10755</v>
      </c>
      <c r="O106" s="107">
        <v>8499</v>
      </c>
      <c r="P106" s="97">
        <f t="shared" si="26"/>
        <v>148155</v>
      </c>
      <c r="Q106" s="97">
        <f t="shared" si="16"/>
        <v>-2256</v>
      </c>
      <c r="R106" s="51">
        <f t="shared" si="17"/>
        <v>-0.20976290097629011</v>
      </c>
    </row>
    <row r="107" spans="1:47" s="109" customFormat="1" ht="13.5" customHeight="1" x14ac:dyDescent="0.3">
      <c r="A107" s="108"/>
      <c r="B107" s="41" t="s">
        <v>126</v>
      </c>
      <c r="C107" s="42"/>
      <c r="D107" s="42" t="s">
        <v>72</v>
      </c>
      <c r="E107" s="104">
        <f t="shared" ref="E107:O107" si="27">+E105-E106</f>
        <v>4071</v>
      </c>
      <c r="F107" s="104">
        <f t="shared" si="27"/>
        <v>4873</v>
      </c>
      <c r="G107" s="104">
        <f t="shared" si="27"/>
        <v>6862</v>
      </c>
      <c r="H107" s="104">
        <f t="shared" si="27"/>
        <v>13387</v>
      </c>
      <c r="I107" s="104">
        <f t="shared" si="27"/>
        <v>13049</v>
      </c>
      <c r="J107" s="104">
        <f t="shared" si="27"/>
        <v>11473</v>
      </c>
      <c r="K107" s="104">
        <f t="shared" si="27"/>
        <v>7316</v>
      </c>
      <c r="L107" s="104">
        <f t="shared" si="27"/>
        <v>3048</v>
      </c>
      <c r="M107" s="104">
        <f t="shared" si="27"/>
        <v>4395</v>
      </c>
      <c r="N107" s="107">
        <f t="shared" si="27"/>
        <v>3385</v>
      </c>
      <c r="O107" s="107">
        <f t="shared" si="27"/>
        <v>2489</v>
      </c>
      <c r="P107" s="97">
        <f t="shared" si="26"/>
        <v>74348</v>
      </c>
      <c r="Q107" s="97">
        <f t="shared" si="16"/>
        <v>-896</v>
      </c>
      <c r="R107" s="51">
        <f t="shared" si="17"/>
        <v>-0.26469719350073856</v>
      </c>
      <c r="S107" s="108"/>
      <c r="T107" s="108"/>
      <c r="U107" s="108"/>
      <c r="V107" s="108"/>
      <c r="W107" s="108"/>
      <c r="X107" s="108"/>
      <c r="Y107" s="108"/>
      <c r="Z107" s="108"/>
      <c r="AA107" s="108"/>
      <c r="AB107" s="108"/>
      <c r="AC107" s="108"/>
      <c r="AD107" s="108"/>
      <c r="AE107" s="108"/>
      <c r="AF107" s="108"/>
      <c r="AG107" s="108"/>
      <c r="AH107" s="108"/>
      <c r="AI107" s="108"/>
      <c r="AJ107" s="108"/>
      <c r="AK107" s="108"/>
      <c r="AL107" s="108"/>
      <c r="AM107" s="108"/>
      <c r="AN107" s="108"/>
      <c r="AO107" s="108"/>
      <c r="AP107" s="108"/>
      <c r="AQ107" s="108"/>
      <c r="AR107" s="108"/>
      <c r="AS107" s="108"/>
      <c r="AT107" s="108"/>
      <c r="AU107" s="108"/>
    </row>
    <row r="108" spans="1:47" x14ac:dyDescent="0.3">
      <c r="B108" s="110"/>
      <c r="C108" s="110" t="s">
        <v>127</v>
      </c>
      <c r="D108" s="111"/>
      <c r="E108" s="112">
        <v>45730</v>
      </c>
      <c r="F108" s="112">
        <v>50194</v>
      </c>
      <c r="G108" s="112">
        <v>55448</v>
      </c>
      <c r="H108" s="112">
        <v>45360</v>
      </c>
      <c r="I108" s="112">
        <v>54852</v>
      </c>
      <c r="J108" s="112">
        <v>45948</v>
      </c>
      <c r="K108" s="112">
        <v>54264</v>
      </c>
      <c r="L108" s="112">
        <v>44772</v>
      </c>
      <c r="M108" s="112">
        <v>37986</v>
      </c>
      <c r="N108" s="113">
        <v>40323</v>
      </c>
      <c r="O108" s="113">
        <v>33737</v>
      </c>
      <c r="P108" s="114">
        <f>+SUM(E108:O108)</f>
        <v>508614</v>
      </c>
      <c r="Q108" s="114">
        <f t="shared" si="16"/>
        <v>-6586</v>
      </c>
      <c r="R108" s="115">
        <f t="shared" si="17"/>
        <v>-0.16333110135654588</v>
      </c>
      <c r="S108" s="48">
        <f>P108/11</f>
        <v>46237.63636363636</v>
      </c>
    </row>
    <row r="109" spans="1:47" s="118" customFormat="1" x14ac:dyDescent="0.3">
      <c r="A109" s="2"/>
      <c r="B109" s="43"/>
      <c r="C109" s="43" t="s">
        <v>128</v>
      </c>
      <c r="D109" s="43"/>
      <c r="E109" s="116">
        <f t="shared" ref="E109:O109" si="28">+(E103)/E108</f>
        <v>18983.735876667397</v>
      </c>
      <c r="F109" s="116">
        <f t="shared" si="28"/>
        <v>20255.526032166137</v>
      </c>
      <c r="G109" s="116">
        <f t="shared" si="28"/>
        <v>15754.0220407133</v>
      </c>
      <c r="H109" s="116">
        <f t="shared" si="28"/>
        <v>20006.802217363023</v>
      </c>
      <c r="I109" s="116">
        <f t="shared" si="28"/>
        <v>19766.717483842629</v>
      </c>
      <c r="J109" s="116">
        <f t="shared" si="28"/>
        <v>20129.352753288924</v>
      </c>
      <c r="K109" s="116">
        <f t="shared" si="28"/>
        <v>21420.161760651634</v>
      </c>
      <c r="L109" s="116">
        <f t="shared" si="28"/>
        <v>20985.159537210755</v>
      </c>
      <c r="M109" s="116">
        <f t="shared" si="28"/>
        <v>26805.890651819092</v>
      </c>
      <c r="N109" s="117">
        <f t="shared" si="28"/>
        <v>26165.592598516974</v>
      </c>
      <c r="O109" s="117">
        <f t="shared" si="28"/>
        <v>25502.786754305365</v>
      </c>
      <c r="P109" s="88">
        <f t="shared" si="26"/>
        <v>235775.74770654523</v>
      </c>
      <c r="Q109" s="88">
        <f t="shared" si="16"/>
        <v>-662.80584421160893</v>
      </c>
      <c r="R109" s="90">
        <f t="shared" si="17"/>
        <v>-2.5331199425965831E-2</v>
      </c>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row>
    <row r="110" spans="1:47" s="119" customFormat="1" x14ac:dyDescent="0.3">
      <c r="B110" s="44"/>
      <c r="C110" s="45" t="s">
        <v>129</v>
      </c>
      <c r="D110" s="45"/>
      <c r="E110" s="120">
        <f t="shared" ref="E110:O110" si="29">+((E103)-(E98+E97+E102))/E108</f>
        <v>14040.697324294773</v>
      </c>
      <c r="F110" s="120">
        <f t="shared" si="29"/>
        <v>14538.95966948241</v>
      </c>
      <c r="G110" s="120">
        <f t="shared" si="29"/>
        <v>11121.928674253355</v>
      </c>
      <c r="H110" s="120">
        <f t="shared" si="29"/>
        <v>14244.778406746031</v>
      </c>
      <c r="I110" s="120">
        <f t="shared" si="29"/>
        <v>15247.457577663534</v>
      </c>
      <c r="J110" s="120">
        <f t="shared" si="29"/>
        <v>12174.940828110033</v>
      </c>
      <c r="K110" s="121">
        <f t="shared" si="29"/>
        <v>14059.068660253579</v>
      </c>
      <c r="L110" s="121">
        <f t="shared" si="29"/>
        <v>12781.232640936298</v>
      </c>
      <c r="M110" s="121">
        <f t="shared" si="29"/>
        <v>19985.346003790874</v>
      </c>
      <c r="N110" s="120">
        <f t="shared" si="29"/>
        <v>19156.434326563001</v>
      </c>
      <c r="O110" s="120">
        <f t="shared" si="29"/>
        <v>18629.716860716726</v>
      </c>
      <c r="P110" s="120">
        <f t="shared" si="26"/>
        <v>165980.56097281064</v>
      </c>
      <c r="Q110" s="120">
        <f t="shared" si="16"/>
        <v>-526.71746584627545</v>
      </c>
      <c r="R110" s="115">
        <f t="shared" si="17"/>
        <v>-2.7495590090892336E-2</v>
      </c>
    </row>
    <row r="111" spans="1:47" x14ac:dyDescent="0.3">
      <c r="B111" s="105" t="s">
        <v>130</v>
      </c>
      <c r="C111" s="106"/>
      <c r="D111" s="106"/>
      <c r="E111" s="122">
        <f>+E105/E108</f>
        <v>0.36066039798819155</v>
      </c>
      <c r="F111" s="122">
        <f t="shared" ref="F111:O111" si="30">+F105/F108</f>
        <v>0.33029844204486591</v>
      </c>
      <c r="G111" s="122">
        <f t="shared" si="30"/>
        <v>0.45720314528928002</v>
      </c>
      <c r="H111" s="122">
        <f t="shared" si="30"/>
        <v>0.62583774250440916</v>
      </c>
      <c r="I111" s="122">
        <f t="shared" si="30"/>
        <v>0.69541675782104573</v>
      </c>
      <c r="J111" s="122">
        <f t="shared" si="30"/>
        <v>0.52705232001392877</v>
      </c>
      <c r="K111" s="123">
        <f t="shared" si="30"/>
        <v>0.39477369895326553</v>
      </c>
      <c r="L111" s="123">
        <f t="shared" si="30"/>
        <v>0.24977664611810954</v>
      </c>
      <c r="M111" s="123">
        <f t="shared" si="30"/>
        <v>0.41059864160480175</v>
      </c>
      <c r="N111" s="122">
        <f t="shared" si="30"/>
        <v>0.3506683530491283</v>
      </c>
      <c r="O111" s="122">
        <f t="shared" si="30"/>
        <v>0.32569582357648874</v>
      </c>
      <c r="P111" s="124"/>
      <c r="Q111" s="50">
        <f t="shared" si="16"/>
        <v>-2.497252947263956E-2</v>
      </c>
      <c r="R111" s="51">
        <f t="shared" si="17"/>
        <v>-7.1214095185660881E-2</v>
      </c>
    </row>
    <row r="112" spans="1:47" x14ac:dyDescent="0.3">
      <c r="B112" s="105" t="s">
        <v>131</v>
      </c>
      <c r="C112" s="106"/>
      <c r="D112" s="106"/>
      <c r="E112" s="122">
        <f>+E106/E105</f>
        <v>0.75316801067119388</v>
      </c>
      <c r="F112" s="122">
        <f>+F106/F105</f>
        <v>0.70607394897159059</v>
      </c>
      <c r="G112" s="122">
        <f t="shared" ref="G112:J112" si="31">+G106/G105</f>
        <v>0.72932034239280497</v>
      </c>
      <c r="H112" s="122">
        <f t="shared" si="31"/>
        <v>0.5284275045793998</v>
      </c>
      <c r="I112" s="122">
        <f t="shared" si="31"/>
        <v>0.65791060427316816</v>
      </c>
      <c r="J112" s="122">
        <f t="shared" si="31"/>
        <v>0.52624189618862782</v>
      </c>
      <c r="K112" s="123">
        <f>+IFERROR(K106/K105,0)</f>
        <v>0.658481934459901</v>
      </c>
      <c r="L112" s="123">
        <f>+IFERROR(L106/L105,0)</f>
        <v>0.72744344093713675</v>
      </c>
      <c r="M112" s="123">
        <f>+IFERROR(M106/M105,0)</f>
        <v>0.71821504135410652</v>
      </c>
      <c r="N112" s="122">
        <f>+IFERROR(N106/N105,0)</f>
        <v>0.76060820367751059</v>
      </c>
      <c r="O112" s="122">
        <f>+IFERROR(O106/O105,0)</f>
        <v>0.77348016017473609</v>
      </c>
      <c r="P112" s="124"/>
      <c r="Q112" s="50">
        <f t="shared" si="16"/>
        <v>1.2871956497225501E-2</v>
      </c>
      <c r="R112" s="51">
        <f t="shared" si="17"/>
        <v>1.6923241736008236E-2</v>
      </c>
    </row>
    <row r="113" spans="2:18" x14ac:dyDescent="0.3">
      <c r="B113" s="105" t="s">
        <v>132</v>
      </c>
      <c r="C113" s="106"/>
      <c r="D113" s="106"/>
      <c r="E113" s="122">
        <f>+E107/E105</f>
        <v>0.24683198932880615</v>
      </c>
      <c r="F113" s="122">
        <f>+F107/F105</f>
        <v>0.29392605102840941</v>
      </c>
      <c r="G113" s="122">
        <f t="shared" ref="G113:J113" si="32">+G107/G105</f>
        <v>0.27067965760719498</v>
      </c>
      <c r="H113" s="122">
        <f t="shared" si="32"/>
        <v>0.47157249542060026</v>
      </c>
      <c r="I113" s="122">
        <f t="shared" si="32"/>
        <v>0.34208939572683184</v>
      </c>
      <c r="J113" s="122">
        <f t="shared" si="32"/>
        <v>0.47375810381137218</v>
      </c>
      <c r="K113" s="123">
        <f>IFERROR(K107/K105,0)</f>
        <v>0.34151806554009895</v>
      </c>
      <c r="L113" s="123">
        <f>IFERROR(L107/L105,0)</f>
        <v>0.2725565590628633</v>
      </c>
      <c r="M113" s="123">
        <f>IFERROR(M107/M105,0)</f>
        <v>0.28178495864589342</v>
      </c>
      <c r="N113" s="122">
        <f>IFERROR(N107/N105,0)</f>
        <v>0.23939179632248939</v>
      </c>
      <c r="O113" s="122">
        <f>IFERROR(O107/O105,0)</f>
        <v>0.22651983982526391</v>
      </c>
      <c r="P113" s="124"/>
      <c r="Q113" s="50">
        <f t="shared" si="16"/>
        <v>-1.2871956497225473E-2</v>
      </c>
      <c r="R113" s="51">
        <f t="shared" si="17"/>
        <v>-5.3769413551187056E-2</v>
      </c>
    </row>
  </sheetData>
  <autoFilter ref="A5:AU113" xr:uid="{CF6C494F-FDB7-47EB-BD93-A5B084DA6AF6}"/>
  <mergeCells count="27">
    <mergeCell ref="B98:B99"/>
    <mergeCell ref="B100:B102"/>
    <mergeCell ref="B104:D104"/>
    <mergeCell ref="B69:B75"/>
    <mergeCell ref="C75:D75"/>
    <mergeCell ref="C88:D88"/>
    <mergeCell ref="B89:B95"/>
    <mergeCell ref="C95:D95"/>
    <mergeCell ref="B96:B97"/>
    <mergeCell ref="B58:B63"/>
    <mergeCell ref="C63:D63"/>
    <mergeCell ref="B64:B65"/>
    <mergeCell ref="C65:D65"/>
    <mergeCell ref="B66:B68"/>
    <mergeCell ref="C68:D68"/>
    <mergeCell ref="B27:B41"/>
    <mergeCell ref="C41:D41"/>
    <mergeCell ref="B42:B52"/>
    <mergeCell ref="C52:D52"/>
    <mergeCell ref="B53:B57"/>
    <mergeCell ref="C57:D57"/>
    <mergeCell ref="C3:D3"/>
    <mergeCell ref="B4:D4"/>
    <mergeCell ref="B6:B22"/>
    <mergeCell ref="C22:D22"/>
    <mergeCell ref="B23:B26"/>
    <mergeCell ref="C26:D26"/>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470CC-09B6-4A9E-A1EF-E2474909A44E}">
  <dimension ref="B1:O93"/>
  <sheetViews>
    <sheetView zoomScale="85" zoomScaleNormal="85" workbookViewId="0">
      <selection activeCell="E79" sqref="E79"/>
    </sheetView>
  </sheetViews>
  <sheetFormatPr baseColWidth="10" defaultRowHeight="14.4" x14ac:dyDescent="0.3"/>
  <cols>
    <col min="1" max="1" width="1.33203125" customWidth="1"/>
    <col min="2" max="2" width="7.109375" style="46" customWidth="1"/>
    <col min="3" max="3" width="40.33203125" style="46" customWidth="1"/>
    <col min="4" max="4" width="14.44140625" style="46" customWidth="1"/>
    <col min="5" max="5" width="26.6640625" style="46" customWidth="1"/>
    <col min="6" max="6" width="12" style="46" customWidth="1"/>
    <col min="7" max="7" width="18.6640625" style="46" customWidth="1"/>
    <col min="8" max="8" width="14.44140625" style="46" bestFit="1" customWidth="1"/>
    <col min="9" max="9" width="14" style="46" customWidth="1"/>
    <col min="10" max="10" width="18.33203125" style="46" customWidth="1"/>
    <col min="11" max="11" width="15.5546875" style="46" customWidth="1"/>
    <col min="12" max="12" width="11.44140625" style="46"/>
    <col min="13" max="13" width="15" style="46" bestFit="1" customWidth="1"/>
    <col min="14" max="15" width="11.44140625" style="46"/>
  </cols>
  <sheetData>
    <row r="1" spans="2:13" ht="4.5" customHeight="1" thickBot="1" x14ac:dyDescent="0.35"/>
    <row r="2" spans="2:13" ht="27" customHeight="1" thickBot="1" x14ac:dyDescent="0.35">
      <c r="B2" s="682" t="s">
        <v>276</v>
      </c>
      <c r="C2" s="683"/>
      <c r="D2" s="246" t="s">
        <v>297</v>
      </c>
      <c r="E2" s="247" t="s">
        <v>165</v>
      </c>
    </row>
    <row r="3" spans="2:13" ht="12.75" customHeight="1" thickBot="1" x14ac:dyDescent="0.35">
      <c r="B3" s="684"/>
      <c r="C3" s="685"/>
      <c r="D3" s="307">
        <f>'PLAN MAESTRO BOGOTA RECIRCU'!AG3</f>
        <v>379147.91510594863</v>
      </c>
      <c r="E3" s="308">
        <v>1</v>
      </c>
      <c r="F3" s="261" t="s">
        <v>169</v>
      </c>
      <c r="G3" s="263" t="s">
        <v>170</v>
      </c>
    </row>
    <row r="4" spans="2:13" ht="52.5" customHeight="1" thickBot="1" x14ac:dyDescent="0.35">
      <c r="B4" s="581" t="s">
        <v>229</v>
      </c>
      <c r="C4" s="582" t="s">
        <v>269</v>
      </c>
      <c r="D4" s="583">
        <f>D3</f>
        <v>379147.91510594863</v>
      </c>
      <c r="E4" s="584">
        <v>1</v>
      </c>
      <c r="F4" s="585">
        <f>'PLAN MAESTRO BOGOTA RECIRCU'!AP4</f>
        <v>11828.253406622311</v>
      </c>
      <c r="G4" s="586">
        <f>D4*F4</f>
        <v>4484657618.4656839</v>
      </c>
      <c r="H4" s="309"/>
      <c r="I4" s="310"/>
      <c r="M4" s="311"/>
    </row>
    <row r="5" spans="2:13" ht="24.75" customHeight="1" x14ac:dyDescent="0.3">
      <c r="B5" s="686" t="s">
        <v>156</v>
      </c>
      <c r="C5" s="587" t="s">
        <v>267</v>
      </c>
      <c r="D5" s="588">
        <f>D4*0.65</f>
        <v>246446.14481886663</v>
      </c>
      <c r="E5" s="589">
        <f>(D5/D3)</f>
        <v>0.65</v>
      </c>
      <c r="F5" s="590">
        <f>'PLAN MAESTRO BOGOTA RECIRCU'!AP5</f>
        <v>3602.7536198571265</v>
      </c>
      <c r="G5" s="591">
        <f>D5*F5</f>
        <v>887884740.34600532</v>
      </c>
      <c r="H5" s="312"/>
      <c r="I5" s="310"/>
    </row>
    <row r="6" spans="2:13" ht="18.75" customHeight="1" x14ac:dyDescent="0.3">
      <c r="B6" s="687"/>
      <c r="C6" s="313" t="s">
        <v>268</v>
      </c>
      <c r="D6" s="314">
        <f>'PLAN MAESTRO BOGOTA RECIRCU'!AN6</f>
        <v>95848.196918978676</v>
      </c>
      <c r="E6" s="315">
        <f>(D6/D3)</f>
        <v>0.25279895550050691</v>
      </c>
      <c r="F6" s="316">
        <f>'PLAN MAESTRO BOGOTA RECIRCU'!AP6</f>
        <v>5622.908823703975</v>
      </c>
      <c r="G6" s="317">
        <f>D6*F6</f>
        <v>538945672.19184136</v>
      </c>
      <c r="H6" s="309"/>
    </row>
    <row r="7" spans="2:13" ht="19.5" customHeight="1" x14ac:dyDescent="0.3">
      <c r="B7" s="687"/>
      <c r="C7" s="318" t="s">
        <v>168</v>
      </c>
      <c r="D7" s="319">
        <f>D4-D5-D6-D8</f>
        <v>34615.622260456235</v>
      </c>
      <c r="E7" s="320">
        <f>(D7/D3)</f>
        <v>9.1298463953793041E-2</v>
      </c>
      <c r="F7" s="321">
        <f>'PLAN MAESTRO BOGOTA RECIRCU'!AP7</f>
        <v>10763</v>
      </c>
      <c r="G7" s="322">
        <f>D7*F7</f>
        <v>372567942.38929045</v>
      </c>
      <c r="H7" s="309"/>
    </row>
    <row r="8" spans="2:13" ht="19.5" customHeight="1" thickBot="1" x14ac:dyDescent="0.35">
      <c r="B8" s="688"/>
      <c r="C8" s="323" t="s">
        <v>158</v>
      </c>
      <c r="D8" s="324">
        <f>'PLAN MAESTRO BOGOTA RECIRCU'!AN8</f>
        <v>2237.9511076470922</v>
      </c>
      <c r="E8" s="325">
        <f>(D8/D3)</f>
        <v>5.9025805457000122E-3</v>
      </c>
      <c r="F8" s="326">
        <f>'PLAN MAESTRO BOGOTA RECIRCU'!AP8</f>
        <v>12700</v>
      </c>
      <c r="G8" s="327">
        <f>D8*F8</f>
        <v>28421979.067118071</v>
      </c>
      <c r="H8" s="328"/>
      <c r="I8" s="329"/>
      <c r="J8" s="329"/>
    </row>
    <row r="9" spans="2:13" ht="15.75" customHeight="1" thickBot="1" x14ac:dyDescent="0.35">
      <c r="B9" s="330"/>
      <c r="F9" s="331" t="s">
        <v>137</v>
      </c>
      <c r="G9" s="332">
        <f>SUM(G4:G8)</f>
        <v>6312477952.459939</v>
      </c>
    </row>
    <row r="10" spans="2:13" ht="18.75" customHeight="1" thickBot="1" x14ac:dyDescent="0.35">
      <c r="D10" s="689" t="s">
        <v>237</v>
      </c>
      <c r="E10" s="690"/>
      <c r="F10" s="333" t="s">
        <v>271</v>
      </c>
      <c r="G10" s="334">
        <f>G4</f>
        <v>4484657618.4656839</v>
      </c>
    </row>
    <row r="11" spans="2:13" ht="17.25" customHeight="1" thickBot="1" x14ac:dyDescent="0.35">
      <c r="D11" s="689" t="s">
        <v>273</v>
      </c>
      <c r="E11" s="690"/>
      <c r="F11" s="333" t="s">
        <v>173</v>
      </c>
      <c r="G11" s="334">
        <f>G10/D4</f>
        <v>11828.253406622312</v>
      </c>
    </row>
    <row r="12" spans="2:13" ht="14.25" customHeight="1" thickBot="1" x14ac:dyDescent="0.35">
      <c r="D12" s="678" t="s">
        <v>270</v>
      </c>
      <c r="E12" s="679"/>
      <c r="F12" s="262" t="s">
        <v>271</v>
      </c>
      <c r="G12" s="335">
        <f>SUM(G5:G8)</f>
        <v>1827820333.9942551</v>
      </c>
    </row>
    <row r="13" spans="2:13" ht="14.25" customHeight="1" thickBot="1" x14ac:dyDescent="0.35">
      <c r="D13" s="678" t="s">
        <v>274</v>
      </c>
      <c r="E13" s="679"/>
      <c r="F13" s="262" t="s">
        <v>169</v>
      </c>
      <c r="G13" s="335">
        <f>G12/D3</f>
        <v>4820.8634708791451</v>
      </c>
    </row>
    <row r="14" spans="2:13" ht="19.5" customHeight="1" thickBot="1" x14ac:dyDescent="0.35">
      <c r="D14" s="680" t="s">
        <v>272</v>
      </c>
      <c r="E14" s="681"/>
      <c r="F14" s="336" t="s">
        <v>271</v>
      </c>
      <c r="G14" s="337">
        <f>G10+G12</f>
        <v>6312477952.459939</v>
      </c>
      <c r="H14" s="338"/>
    </row>
    <row r="15" spans="2:13" ht="25.5" customHeight="1" thickBot="1" x14ac:dyDescent="0.35">
      <c r="D15" s="680" t="s">
        <v>275</v>
      </c>
      <c r="E15" s="681"/>
      <c r="F15" s="336" t="s">
        <v>173</v>
      </c>
      <c r="G15" s="337">
        <f>G14/D3</f>
        <v>16649.116877501456</v>
      </c>
      <c r="H15" s="338"/>
    </row>
    <row r="16" spans="2:13" ht="9" customHeight="1" thickBot="1" x14ac:dyDescent="0.35">
      <c r="F16" s="339"/>
      <c r="G16" s="311"/>
    </row>
    <row r="17" spans="2:13" ht="24" customHeight="1" thickBot="1" x14ac:dyDescent="0.35">
      <c r="B17" s="682" t="s">
        <v>303</v>
      </c>
      <c r="C17" s="683"/>
      <c r="D17" s="246" t="s">
        <v>297</v>
      </c>
      <c r="E17" s="247" t="s">
        <v>165</v>
      </c>
    </row>
    <row r="18" spans="2:13" ht="12.75" customHeight="1" thickBot="1" x14ac:dyDescent="0.35">
      <c r="B18" s="684"/>
      <c r="C18" s="685"/>
      <c r="D18" s="307">
        <f>D3</f>
        <v>379147.91510594863</v>
      </c>
      <c r="E18" s="308">
        <v>1</v>
      </c>
      <c r="F18" s="261" t="s">
        <v>169</v>
      </c>
      <c r="G18" s="263" t="s">
        <v>170</v>
      </c>
    </row>
    <row r="19" spans="2:13" ht="61.5" customHeight="1" thickBot="1" x14ac:dyDescent="0.35">
      <c r="B19" s="581" t="s">
        <v>229</v>
      </c>
      <c r="C19" s="582" t="s">
        <v>269</v>
      </c>
      <c r="D19" s="583">
        <f>D18</f>
        <v>379147.91510594863</v>
      </c>
      <c r="E19" s="584">
        <v>1</v>
      </c>
      <c r="F19" s="585">
        <f>F4</f>
        <v>11828.253406622311</v>
      </c>
      <c r="G19" s="586">
        <f>D19*F19</f>
        <v>4484657618.4656839</v>
      </c>
      <c r="H19" s="309"/>
      <c r="I19" s="310"/>
      <c r="M19" s="311"/>
    </row>
    <row r="20" spans="2:13" ht="24.75" customHeight="1" x14ac:dyDescent="0.3">
      <c r="B20" s="686" t="s">
        <v>156</v>
      </c>
      <c r="C20" s="587" t="s">
        <v>267</v>
      </c>
      <c r="D20" s="588">
        <f>D5</f>
        <v>246446.14481886663</v>
      </c>
      <c r="E20" s="589">
        <f>(D20/D18)</f>
        <v>0.65</v>
      </c>
      <c r="F20" s="590">
        <f>F5</f>
        <v>3602.7536198571265</v>
      </c>
      <c r="G20" s="591">
        <f>D20*F20</f>
        <v>887884740.34600532</v>
      </c>
      <c r="H20" s="312"/>
      <c r="I20" s="310"/>
    </row>
    <row r="21" spans="2:13" ht="18.75" customHeight="1" x14ac:dyDescent="0.3">
      <c r="B21" s="687"/>
      <c r="C21" s="313" t="s">
        <v>268</v>
      </c>
      <c r="D21" s="314">
        <f>'PLAN MAESTRO BOGOTA RECIRCU'!AN21</f>
        <v>0</v>
      </c>
      <c r="E21" s="315">
        <f>(D21/D18)</f>
        <v>0</v>
      </c>
      <c r="F21" s="316">
        <f>F6</f>
        <v>5622.908823703975</v>
      </c>
      <c r="G21" s="317">
        <f t="shared" ref="G21" si="0">D21*F21</f>
        <v>0</v>
      </c>
      <c r="H21" s="309"/>
    </row>
    <row r="22" spans="2:13" ht="19.5" customHeight="1" x14ac:dyDescent="0.3">
      <c r="B22" s="687"/>
      <c r="C22" s="318" t="s">
        <v>168</v>
      </c>
      <c r="D22" s="319">
        <f>D18-D20-D23</f>
        <v>130463.81917943491</v>
      </c>
      <c r="E22" s="320">
        <f>(D22/D18)</f>
        <v>0.34409741945429995</v>
      </c>
      <c r="F22" s="321">
        <f>F7</f>
        <v>10763</v>
      </c>
      <c r="G22" s="322">
        <f>D22*F22</f>
        <v>1404182085.828258</v>
      </c>
      <c r="H22" s="309"/>
    </row>
    <row r="23" spans="2:13" ht="19.5" customHeight="1" thickBot="1" x14ac:dyDescent="0.35">
      <c r="B23" s="688"/>
      <c r="C23" s="323" t="s">
        <v>158</v>
      </c>
      <c r="D23" s="324">
        <f>D8</f>
        <v>2237.9511076470922</v>
      </c>
      <c r="E23" s="325">
        <f>(D23/D18)</f>
        <v>5.9025805457000122E-3</v>
      </c>
      <c r="F23" s="326">
        <f>F8</f>
        <v>12700</v>
      </c>
      <c r="G23" s="327">
        <f>D23*F23</f>
        <v>28421979.067118071</v>
      </c>
      <c r="H23" s="328"/>
      <c r="I23" s="329"/>
      <c r="J23" s="329"/>
    </row>
    <row r="24" spans="2:13" ht="19.5" customHeight="1" thickBot="1" x14ac:dyDescent="0.35">
      <c r="B24" s="330"/>
      <c r="F24" s="331" t="s">
        <v>137</v>
      </c>
      <c r="G24" s="332">
        <f>SUM(G19:G23)</f>
        <v>6805146423.7070656</v>
      </c>
    </row>
    <row r="25" spans="2:13" ht="18.75" customHeight="1" thickBot="1" x14ac:dyDescent="0.35">
      <c r="D25" s="689" t="s">
        <v>237</v>
      </c>
      <c r="E25" s="690"/>
      <c r="F25" s="333" t="s">
        <v>271</v>
      </c>
      <c r="G25" s="334">
        <f>G19</f>
        <v>4484657618.4656839</v>
      </c>
    </row>
    <row r="26" spans="2:13" ht="17.25" customHeight="1" thickBot="1" x14ac:dyDescent="0.35">
      <c r="D26" s="689" t="s">
        <v>273</v>
      </c>
      <c r="E26" s="690"/>
      <c r="F26" s="333" t="s">
        <v>173</v>
      </c>
      <c r="G26" s="334">
        <f>G25/D19</f>
        <v>11828.253406622312</v>
      </c>
    </row>
    <row r="27" spans="2:13" ht="14.25" customHeight="1" thickBot="1" x14ac:dyDescent="0.35">
      <c r="D27" s="678" t="s">
        <v>270</v>
      </c>
      <c r="E27" s="679"/>
      <c r="F27" s="262" t="s">
        <v>271</v>
      </c>
      <c r="G27" s="335">
        <f>SUM(G20:G23)</f>
        <v>2320488805.2413816</v>
      </c>
    </row>
    <row r="28" spans="2:13" ht="14.25" customHeight="1" thickBot="1" x14ac:dyDescent="0.35">
      <c r="D28" s="678" t="s">
        <v>274</v>
      </c>
      <c r="E28" s="679"/>
      <c r="F28" s="262" t="s">
        <v>169</v>
      </c>
      <c r="G28" s="335">
        <f>G27/D18</f>
        <v>6120.2731514241532</v>
      </c>
    </row>
    <row r="29" spans="2:13" ht="19.5" customHeight="1" thickBot="1" x14ac:dyDescent="0.35">
      <c r="D29" s="680" t="s">
        <v>272</v>
      </c>
      <c r="E29" s="681"/>
      <c r="F29" s="336" t="s">
        <v>271</v>
      </c>
      <c r="G29" s="337">
        <f>G25+G27</f>
        <v>6805146423.7070656</v>
      </c>
      <c r="H29" s="338"/>
    </row>
    <row r="30" spans="2:13" ht="25.5" customHeight="1" thickBot="1" x14ac:dyDescent="0.35">
      <c r="D30" s="680" t="s">
        <v>275</v>
      </c>
      <c r="E30" s="681"/>
      <c r="F30" s="336" t="s">
        <v>173</v>
      </c>
      <c r="G30" s="337">
        <f>G29/D18</f>
        <v>17948.526558046466</v>
      </c>
      <c r="H30" s="338"/>
    </row>
    <row r="31" spans="2:13" ht="25.5" customHeight="1" thickBot="1" x14ac:dyDescent="0.35">
      <c r="D31" s="339"/>
      <c r="E31" s="339"/>
      <c r="F31" s="339"/>
      <c r="G31" s="340"/>
      <c r="H31" s="338"/>
    </row>
    <row r="32" spans="2:13" ht="30.75" customHeight="1" thickBot="1" x14ac:dyDescent="0.35">
      <c r="B32" s="682" t="s">
        <v>277</v>
      </c>
      <c r="C32" s="683"/>
      <c r="D32" s="246" t="s">
        <v>297</v>
      </c>
      <c r="E32" s="247" t="s">
        <v>165</v>
      </c>
    </row>
    <row r="33" spans="2:13" ht="12.75" customHeight="1" thickBot="1" x14ac:dyDescent="0.35">
      <c r="B33" s="684"/>
      <c r="C33" s="685"/>
      <c r="D33" s="307">
        <f>D3</f>
        <v>379147.91510594863</v>
      </c>
      <c r="E33" s="308">
        <v>1</v>
      </c>
      <c r="F33" s="261" t="s">
        <v>169</v>
      </c>
      <c r="G33" s="263" t="s">
        <v>170</v>
      </c>
    </row>
    <row r="34" spans="2:13" ht="61.5" customHeight="1" thickBot="1" x14ac:dyDescent="0.35">
      <c r="B34" s="581" t="s">
        <v>229</v>
      </c>
      <c r="C34" s="582" t="s">
        <v>269</v>
      </c>
      <c r="D34" s="583">
        <f>D33</f>
        <v>379147.91510594863</v>
      </c>
      <c r="E34" s="584">
        <v>1</v>
      </c>
      <c r="F34" s="585">
        <f>F4</f>
        <v>11828.253406622311</v>
      </c>
      <c r="G34" s="586">
        <f>D34*F34</f>
        <v>4484657618.4656839</v>
      </c>
      <c r="H34" s="309"/>
      <c r="I34" s="310"/>
      <c r="M34" s="311"/>
    </row>
    <row r="35" spans="2:13" ht="26.25" customHeight="1" x14ac:dyDescent="0.3">
      <c r="B35" s="686" t="s">
        <v>156</v>
      </c>
      <c r="C35" s="587" t="s">
        <v>267</v>
      </c>
      <c r="D35" s="588">
        <f>'PLAN MAESTRO BOGOTA RECIRCU'!AN17</f>
        <v>0</v>
      </c>
      <c r="E35" s="589">
        <f>(D35/D33)</f>
        <v>0</v>
      </c>
      <c r="F35" s="590">
        <f>F5</f>
        <v>3602.7536198571265</v>
      </c>
      <c r="G35" s="591">
        <f>D35*F35</f>
        <v>0</v>
      </c>
      <c r="H35" s="312"/>
      <c r="I35" s="310"/>
    </row>
    <row r="36" spans="2:13" ht="18.75" customHeight="1" x14ac:dyDescent="0.3">
      <c r="B36" s="687"/>
      <c r="C36" s="313" t="s">
        <v>268</v>
      </c>
      <c r="D36" s="314">
        <f>'PLAN MAESTRO BOGOTA RECIRCU'!AN18</f>
        <v>95848.196918978676</v>
      </c>
      <c r="E36" s="315">
        <f>(D36/D33)</f>
        <v>0.25279895550050691</v>
      </c>
      <c r="F36" s="316">
        <f>F6</f>
        <v>5622.908823703975</v>
      </c>
      <c r="G36" s="317">
        <f>D36*F36</f>
        <v>538945672.19184136</v>
      </c>
      <c r="H36" s="309"/>
    </row>
    <row r="37" spans="2:13" ht="19.5" customHeight="1" x14ac:dyDescent="0.3">
      <c r="B37" s="687"/>
      <c r="C37" s="318" t="s">
        <v>168</v>
      </c>
      <c r="D37" s="319">
        <f>'PLAN MAESTRO BOGOTA RECIRCU'!AN19</f>
        <v>230400</v>
      </c>
      <c r="E37" s="320">
        <f>(D37/D33)</f>
        <v>0.60767840418064101</v>
      </c>
      <c r="F37" s="321">
        <f>F7</f>
        <v>10763</v>
      </c>
      <c r="G37" s="322">
        <f>D37*F37</f>
        <v>2479795200</v>
      </c>
      <c r="H37" s="309"/>
    </row>
    <row r="38" spans="2:13" ht="19.5" customHeight="1" thickBot="1" x14ac:dyDescent="0.35">
      <c r="B38" s="688"/>
      <c r="C38" s="323" t="s">
        <v>158</v>
      </c>
      <c r="D38" s="324">
        <f>'PLAN MAESTRO BOGOTA RECIRCU'!AN20</f>
        <v>52899.718186969985</v>
      </c>
      <c r="E38" s="325">
        <f>(D38/D33)</f>
        <v>0.13952264031885223</v>
      </c>
      <c r="F38" s="326">
        <f>F8</f>
        <v>12700</v>
      </c>
      <c r="G38" s="327">
        <f>D38*F38</f>
        <v>671826420.97451878</v>
      </c>
      <c r="H38" s="328"/>
      <c r="I38" s="329"/>
      <c r="J38" s="329"/>
    </row>
    <row r="39" spans="2:13" ht="19.5" customHeight="1" thickBot="1" x14ac:dyDescent="0.35">
      <c r="B39" s="330"/>
      <c r="F39" s="331" t="s">
        <v>137</v>
      </c>
      <c r="G39" s="332">
        <f>SUM(G34:G38)</f>
        <v>8175224911.6320438</v>
      </c>
    </row>
    <row r="40" spans="2:13" ht="18.75" customHeight="1" thickBot="1" x14ac:dyDescent="0.35">
      <c r="D40" s="689" t="s">
        <v>237</v>
      </c>
      <c r="E40" s="690"/>
      <c r="F40" s="333" t="s">
        <v>271</v>
      </c>
      <c r="G40" s="334">
        <f>G34</f>
        <v>4484657618.4656839</v>
      </c>
    </row>
    <row r="41" spans="2:13" ht="17.25" customHeight="1" thickBot="1" x14ac:dyDescent="0.35">
      <c r="D41" s="689" t="s">
        <v>273</v>
      </c>
      <c r="E41" s="690"/>
      <c r="F41" s="333" t="s">
        <v>173</v>
      </c>
      <c r="G41" s="334">
        <f>G40/D34</f>
        <v>11828.253406622312</v>
      </c>
    </row>
    <row r="42" spans="2:13" ht="14.25" customHeight="1" thickBot="1" x14ac:dyDescent="0.35">
      <c r="D42" s="678" t="s">
        <v>270</v>
      </c>
      <c r="E42" s="679"/>
      <c r="F42" s="262" t="s">
        <v>271</v>
      </c>
      <c r="G42" s="335">
        <f>SUM(G35:G38)</f>
        <v>3690567293.1663599</v>
      </c>
    </row>
    <row r="43" spans="2:13" ht="14.25" customHeight="1" thickBot="1" x14ac:dyDescent="0.35">
      <c r="D43" s="678" t="s">
        <v>274</v>
      </c>
      <c r="E43" s="679"/>
      <c r="F43" s="262" t="s">
        <v>169</v>
      </c>
      <c r="G43" s="335">
        <f>G42/D33</f>
        <v>9733.8456737526103</v>
      </c>
    </row>
    <row r="44" spans="2:13" ht="19.5" customHeight="1" thickBot="1" x14ac:dyDescent="0.35">
      <c r="D44" s="680" t="s">
        <v>272</v>
      </c>
      <c r="E44" s="681"/>
      <c r="F44" s="336" t="s">
        <v>271</v>
      </c>
      <c r="G44" s="337">
        <f>G40+G42</f>
        <v>8175224911.6320438</v>
      </c>
      <c r="H44" s="338"/>
    </row>
    <row r="45" spans="2:13" ht="24" customHeight="1" thickBot="1" x14ac:dyDescent="0.35">
      <c r="D45" s="680" t="s">
        <v>275</v>
      </c>
      <c r="E45" s="681"/>
      <c r="F45" s="336" t="s">
        <v>173</v>
      </c>
      <c r="G45" s="337">
        <f>G44/D33</f>
        <v>21562.099080374923</v>
      </c>
      <c r="H45" s="338"/>
    </row>
    <row r="46" spans="2:13" ht="10.5" customHeight="1" thickBot="1" x14ac:dyDescent="0.35">
      <c r="D46" s="339"/>
      <c r="E46" s="339"/>
      <c r="F46" s="339"/>
      <c r="G46" s="340"/>
      <c r="H46" s="338"/>
    </row>
    <row r="47" spans="2:13" ht="27" customHeight="1" thickBot="1" x14ac:dyDescent="0.35">
      <c r="B47" s="682" t="s">
        <v>278</v>
      </c>
      <c r="C47" s="683"/>
      <c r="D47" s="246" t="s">
        <v>297</v>
      </c>
      <c r="E47" s="247" t="s">
        <v>165</v>
      </c>
    </row>
    <row r="48" spans="2:13" ht="12.75" customHeight="1" thickBot="1" x14ac:dyDescent="0.35">
      <c r="B48" s="684"/>
      <c r="C48" s="685"/>
      <c r="D48" s="307">
        <f>D33</f>
        <v>379147.91510594863</v>
      </c>
      <c r="E48" s="308">
        <v>1</v>
      </c>
      <c r="F48" s="261" t="s">
        <v>169</v>
      </c>
      <c r="G48" s="263" t="s">
        <v>170</v>
      </c>
    </row>
    <row r="49" spans="2:15" ht="61.5" customHeight="1" thickBot="1" x14ac:dyDescent="0.35">
      <c r="B49" s="581" t="s">
        <v>229</v>
      </c>
      <c r="C49" s="582" t="s">
        <v>269</v>
      </c>
      <c r="D49" s="583">
        <f>D48</f>
        <v>379147.91510594863</v>
      </c>
      <c r="E49" s="584">
        <v>1</v>
      </c>
      <c r="F49" s="585">
        <f>F4</f>
        <v>11828.253406622311</v>
      </c>
      <c r="G49" s="586">
        <f>D49*F49</f>
        <v>4484657618.4656839</v>
      </c>
      <c r="H49" s="309"/>
      <c r="I49" s="310"/>
      <c r="M49" s="311"/>
    </row>
    <row r="50" spans="2:15" ht="25.5" customHeight="1" x14ac:dyDescent="0.3">
      <c r="B50" s="686" t="s">
        <v>156</v>
      </c>
      <c r="C50" s="587" t="s">
        <v>267</v>
      </c>
      <c r="D50" s="588">
        <f>'PLAN MAESTRO BOGOTA RECIRCU'!AN34</f>
        <v>0</v>
      </c>
      <c r="E50" s="589">
        <f>(D50/D48)</f>
        <v>0</v>
      </c>
      <c r="F50" s="590">
        <f>F5</f>
        <v>3602.7536198571265</v>
      </c>
      <c r="G50" s="591">
        <f>D50*F50</f>
        <v>0</v>
      </c>
      <c r="H50" s="312"/>
      <c r="I50" s="310"/>
    </row>
    <row r="51" spans="2:15" ht="18.75" customHeight="1" x14ac:dyDescent="0.3">
      <c r="B51" s="687"/>
      <c r="C51" s="313" t="s">
        <v>268</v>
      </c>
      <c r="D51" s="314">
        <f>'PLAN MAESTRO BOGOTA RECIRCU'!AN35</f>
        <v>0</v>
      </c>
      <c r="E51" s="315">
        <f>(D51/D48)</f>
        <v>0</v>
      </c>
      <c r="F51" s="316">
        <f>F6</f>
        <v>5622.908823703975</v>
      </c>
      <c r="G51" s="317">
        <f t="shared" ref="G51" si="1">D51*F51</f>
        <v>0</v>
      </c>
      <c r="H51" s="309"/>
    </row>
    <row r="52" spans="2:15" ht="19.5" customHeight="1" x14ac:dyDescent="0.3">
      <c r="B52" s="687"/>
      <c r="C52" s="318" t="s">
        <v>168</v>
      </c>
      <c r="D52" s="319">
        <f>'PLAN MAESTRO BOGOTA RECIRCU'!AN36</f>
        <v>230400</v>
      </c>
      <c r="E52" s="320">
        <f>(D52/D48)</f>
        <v>0.60767840418064101</v>
      </c>
      <c r="F52" s="321">
        <f>F7</f>
        <v>10763</v>
      </c>
      <c r="G52" s="322">
        <f>D52*F52</f>
        <v>2479795200</v>
      </c>
      <c r="H52" s="309"/>
    </row>
    <row r="53" spans="2:15" ht="19.5" customHeight="1" thickBot="1" x14ac:dyDescent="0.35">
      <c r="B53" s="688"/>
      <c r="C53" s="323" t="s">
        <v>158</v>
      </c>
      <c r="D53" s="324">
        <f>'PLAN MAESTRO BOGOTA RECIRCU'!AN37</f>
        <v>148747.91510594863</v>
      </c>
      <c r="E53" s="325">
        <f>(D53/D48)</f>
        <v>0.39232159581935905</v>
      </c>
      <c r="F53" s="326">
        <f>F8</f>
        <v>12700</v>
      </c>
      <c r="G53" s="327">
        <f>D53*F53</f>
        <v>1889098521.8455477</v>
      </c>
      <c r="H53" s="328"/>
      <c r="I53" s="329"/>
      <c r="J53" s="329"/>
    </row>
    <row r="54" spans="2:15" ht="19.5" customHeight="1" thickBot="1" x14ac:dyDescent="0.35">
      <c r="B54" s="330"/>
      <c r="F54" s="331" t="s">
        <v>137</v>
      </c>
      <c r="G54" s="332">
        <f>SUM(G49:G53)</f>
        <v>8853551340.3112316</v>
      </c>
    </row>
    <row r="55" spans="2:15" ht="18.75" customHeight="1" thickBot="1" x14ac:dyDescent="0.35">
      <c r="D55" s="689" t="s">
        <v>237</v>
      </c>
      <c r="E55" s="690"/>
      <c r="F55" s="333" t="s">
        <v>271</v>
      </c>
      <c r="G55" s="334">
        <f>G49</f>
        <v>4484657618.4656839</v>
      </c>
    </row>
    <row r="56" spans="2:15" ht="17.25" customHeight="1" thickBot="1" x14ac:dyDescent="0.35">
      <c r="D56" s="689" t="s">
        <v>273</v>
      </c>
      <c r="E56" s="690"/>
      <c r="F56" s="333" t="s">
        <v>173</v>
      </c>
      <c r="G56" s="334">
        <f>G55/D49</f>
        <v>11828.253406622312</v>
      </c>
    </row>
    <row r="57" spans="2:15" ht="14.25" customHeight="1" thickBot="1" x14ac:dyDescent="0.35">
      <c r="D57" s="678" t="s">
        <v>270</v>
      </c>
      <c r="E57" s="679"/>
      <c r="F57" s="262" t="s">
        <v>271</v>
      </c>
      <c r="G57" s="335">
        <f>SUM(G50:G53)</f>
        <v>4368893721.8455477</v>
      </c>
    </row>
    <row r="58" spans="2:15" ht="14.25" customHeight="1" thickBot="1" x14ac:dyDescent="0.35">
      <c r="D58" s="678" t="s">
        <v>274</v>
      </c>
      <c r="E58" s="679"/>
      <c r="F58" s="262" t="s">
        <v>169</v>
      </c>
      <c r="G58" s="335">
        <f>G57/D48</f>
        <v>11522.926931102098</v>
      </c>
    </row>
    <row r="59" spans="2:15" ht="19.5" customHeight="1" thickBot="1" x14ac:dyDescent="0.35">
      <c r="D59" s="680" t="s">
        <v>272</v>
      </c>
      <c r="E59" s="681"/>
      <c r="F59" s="336" t="s">
        <v>271</v>
      </c>
      <c r="G59" s="337">
        <f>G55+G57</f>
        <v>8853551340.3112316</v>
      </c>
      <c r="H59" s="338"/>
    </row>
    <row r="60" spans="2:15" ht="23.25" customHeight="1" thickBot="1" x14ac:dyDescent="0.35">
      <c r="D60" s="680" t="s">
        <v>275</v>
      </c>
      <c r="E60" s="681"/>
      <c r="F60" s="336" t="s">
        <v>173</v>
      </c>
      <c r="G60" s="337">
        <f>G59/D48</f>
        <v>23351.18033772441</v>
      </c>
      <c r="H60" s="338"/>
    </row>
    <row r="61" spans="2:15" ht="6.75" customHeight="1" thickBot="1" x14ac:dyDescent="0.35">
      <c r="D61" s="339"/>
      <c r="E61" s="339"/>
      <c r="F61" s="339"/>
      <c r="G61" s="340"/>
      <c r="H61" s="338"/>
    </row>
    <row r="62" spans="2:15" ht="10.5" customHeight="1" x14ac:dyDescent="0.3">
      <c r="D62" s="339"/>
      <c r="E62" s="339"/>
      <c r="F62" s="339"/>
      <c r="G62" s="340"/>
      <c r="H62" s="627" t="s">
        <v>282</v>
      </c>
      <c r="I62" s="628"/>
      <c r="J62" s="628"/>
      <c r="K62" s="629"/>
    </row>
    <row r="63" spans="2:15" ht="23.25" customHeight="1" thickBot="1" x14ac:dyDescent="0.35">
      <c r="D63" s="339"/>
      <c r="E63" s="339"/>
      <c r="F63" s="339"/>
      <c r="G63" s="340"/>
      <c r="H63" s="341" t="s">
        <v>286</v>
      </c>
      <c r="I63" s="342" t="s">
        <v>287</v>
      </c>
      <c r="J63" s="646" t="s">
        <v>283</v>
      </c>
      <c r="K63" s="647"/>
    </row>
    <row r="64" spans="2:15" ht="66" customHeight="1" x14ac:dyDescent="0.3">
      <c r="B64" s="695" t="s">
        <v>279</v>
      </c>
      <c r="C64" s="697" t="s">
        <v>276</v>
      </c>
      <c r="D64" s="697" t="s">
        <v>272</v>
      </c>
      <c r="E64" s="697"/>
      <c r="F64" s="592" t="s">
        <v>271</v>
      </c>
      <c r="G64" s="593">
        <f>G14</f>
        <v>6312477952.459939</v>
      </c>
      <c r="H64" s="648">
        <f>G70-G64</f>
        <v>2541073387.8512926</v>
      </c>
      <c r="I64" s="650">
        <f>G71-G65</f>
        <v>6702.0634602229547</v>
      </c>
      <c r="J64" s="652" t="s">
        <v>311</v>
      </c>
      <c r="K64" s="653"/>
      <c r="L64" s="285">
        <v>35</v>
      </c>
      <c r="M64" s="311">
        <f>(G65/1000)*L64</f>
        <v>582.71909071255095</v>
      </c>
      <c r="N64" s="285">
        <v>60</v>
      </c>
      <c r="O64" s="311">
        <f>(G65/1000)*N64</f>
        <v>998.94701265008734</v>
      </c>
    </row>
    <row r="65" spans="2:11" ht="14.25" customHeight="1" thickBot="1" x14ac:dyDescent="0.35">
      <c r="B65" s="696"/>
      <c r="C65" s="698"/>
      <c r="D65" s="698" t="s">
        <v>275</v>
      </c>
      <c r="E65" s="698"/>
      <c r="F65" s="594" t="s">
        <v>173</v>
      </c>
      <c r="G65" s="595">
        <f>G15</f>
        <v>16649.116877501456</v>
      </c>
      <c r="H65" s="649"/>
      <c r="I65" s="651"/>
      <c r="J65" s="654"/>
      <c r="K65" s="655"/>
    </row>
    <row r="66" spans="2:11" ht="24.75" customHeight="1" x14ac:dyDescent="0.3">
      <c r="B66" s="691" t="s">
        <v>280</v>
      </c>
      <c r="C66" s="693" t="s">
        <v>303</v>
      </c>
      <c r="D66" s="693" t="s">
        <v>272</v>
      </c>
      <c r="E66" s="693"/>
      <c r="F66" s="545" t="s">
        <v>271</v>
      </c>
      <c r="G66" s="546">
        <f>G29</f>
        <v>6805146423.7070656</v>
      </c>
      <c r="H66" s="657">
        <f>G70-G66</f>
        <v>2048404916.604166</v>
      </c>
      <c r="I66" s="660">
        <f>G71-G67</f>
        <v>5402.6537796779448</v>
      </c>
      <c r="J66" s="662" t="s">
        <v>296</v>
      </c>
      <c r="K66" s="663"/>
    </row>
    <row r="67" spans="2:11" ht="54" customHeight="1" thickBot="1" x14ac:dyDescent="0.35">
      <c r="B67" s="692"/>
      <c r="C67" s="694"/>
      <c r="D67" s="694" t="s">
        <v>275</v>
      </c>
      <c r="E67" s="694"/>
      <c r="F67" s="547" t="s">
        <v>173</v>
      </c>
      <c r="G67" s="548">
        <f>G30</f>
        <v>17948.526558046466</v>
      </c>
      <c r="H67" s="658"/>
      <c r="I67" s="661"/>
      <c r="J67" s="664"/>
      <c r="K67" s="665"/>
    </row>
    <row r="68" spans="2:11" ht="20.25" customHeight="1" x14ac:dyDescent="0.3">
      <c r="B68" s="674" t="s">
        <v>281</v>
      </c>
      <c r="C68" s="656" t="s">
        <v>277</v>
      </c>
      <c r="D68" s="656" t="s">
        <v>272</v>
      </c>
      <c r="E68" s="656"/>
      <c r="F68" s="541" t="s">
        <v>271</v>
      </c>
      <c r="G68" s="542">
        <f>G44</f>
        <v>8175224911.6320438</v>
      </c>
      <c r="H68" s="666">
        <f>G70-G68</f>
        <v>678326428.67918777</v>
      </c>
      <c r="I68" s="668">
        <f>G71-G69</f>
        <v>1789.0812573494877</v>
      </c>
      <c r="J68" s="670" t="s">
        <v>284</v>
      </c>
      <c r="K68" s="671"/>
    </row>
    <row r="69" spans="2:11" ht="105" customHeight="1" thickBot="1" x14ac:dyDescent="0.35">
      <c r="B69" s="675"/>
      <c r="C69" s="659"/>
      <c r="D69" s="659" t="s">
        <v>275</v>
      </c>
      <c r="E69" s="659"/>
      <c r="F69" s="543" t="s">
        <v>173</v>
      </c>
      <c r="G69" s="544">
        <f>G45</f>
        <v>21562.099080374923</v>
      </c>
      <c r="H69" s="667"/>
      <c r="I69" s="669"/>
      <c r="J69" s="672"/>
      <c r="K69" s="673"/>
    </row>
    <row r="70" spans="2:11" ht="12.75" customHeight="1" x14ac:dyDescent="0.3">
      <c r="B70" s="676" t="s">
        <v>295</v>
      </c>
      <c r="C70" s="645" t="s">
        <v>278</v>
      </c>
      <c r="D70" s="645" t="s">
        <v>272</v>
      </c>
      <c r="E70" s="645"/>
      <c r="F70" s="533" t="s">
        <v>271</v>
      </c>
      <c r="G70" s="534">
        <f>G59</f>
        <v>8853551340.3112316</v>
      </c>
      <c r="H70" s="535"/>
      <c r="I70" s="536"/>
      <c r="J70" s="638" t="s">
        <v>285</v>
      </c>
      <c r="K70" s="639"/>
    </row>
    <row r="71" spans="2:11" ht="43.5" customHeight="1" thickBot="1" x14ac:dyDescent="0.35">
      <c r="B71" s="677"/>
      <c r="C71" s="644"/>
      <c r="D71" s="644" t="s">
        <v>275</v>
      </c>
      <c r="E71" s="644"/>
      <c r="F71" s="537" t="s">
        <v>173</v>
      </c>
      <c r="G71" s="538">
        <f>G60</f>
        <v>23351.18033772441</v>
      </c>
      <c r="H71" s="539"/>
      <c r="I71" s="540"/>
      <c r="J71" s="640"/>
      <c r="K71" s="641"/>
    </row>
    <row r="72" spans="2:11" ht="10.5" customHeight="1" thickBot="1" x14ac:dyDescent="0.35"/>
    <row r="73" spans="2:11" ht="25.5" customHeight="1" thickBot="1" x14ac:dyDescent="0.35">
      <c r="C73" s="343" t="s">
        <v>292</v>
      </c>
      <c r="D73" s="344" t="s">
        <v>289</v>
      </c>
      <c r="E73" s="608" t="s">
        <v>300</v>
      </c>
      <c r="F73" s="609"/>
      <c r="G73" s="608" t="s">
        <v>301</v>
      </c>
      <c r="H73" s="610"/>
      <c r="I73" s="610"/>
      <c r="J73" s="610"/>
      <c r="K73" s="609"/>
    </row>
    <row r="74" spans="2:11" ht="18.75" customHeight="1" x14ac:dyDescent="0.3">
      <c r="C74" s="345" t="s">
        <v>288</v>
      </c>
      <c r="D74" s="576">
        <f>'PROYECCIÓN DEPRECIACIÓN PTAR'!R6</f>
        <v>7970910790.9699955</v>
      </c>
      <c r="E74" s="611"/>
      <c r="F74" s="612"/>
      <c r="G74" s="615"/>
      <c r="H74" s="616"/>
      <c r="I74" s="616"/>
      <c r="J74" s="616"/>
      <c r="K74" s="617"/>
    </row>
    <row r="75" spans="2:11" ht="15" thickBot="1" x14ac:dyDescent="0.35">
      <c r="C75" s="347" t="s">
        <v>290</v>
      </c>
      <c r="D75" s="348">
        <f>'PROYECCIÓN DEPRECIACIÓN PTAR'!E26</f>
        <v>6313495797.9251051</v>
      </c>
      <c r="E75" s="613"/>
      <c r="F75" s="614"/>
      <c r="G75" s="618"/>
      <c r="H75" s="619"/>
      <c r="I75" s="619"/>
      <c r="J75" s="619"/>
      <c r="K75" s="620"/>
    </row>
    <row r="76" spans="2:11" ht="15" thickBot="1" x14ac:dyDescent="0.35">
      <c r="C76" s="350" t="s">
        <v>291</v>
      </c>
      <c r="D76" s="351">
        <f>'PLAN MAESTRO BOGOTA RECIRCU'!AO59</f>
        <v>2160000000</v>
      </c>
      <c r="E76" s="621" t="s">
        <v>298</v>
      </c>
      <c r="F76" s="622"/>
      <c r="G76" s="623" t="s">
        <v>302</v>
      </c>
      <c r="H76" s="624"/>
      <c r="I76" s="624"/>
      <c r="J76" s="625" t="s">
        <v>304</v>
      </c>
      <c r="K76" s="626"/>
    </row>
    <row r="77" spans="2:11" ht="15" thickBot="1" x14ac:dyDescent="0.35">
      <c r="C77" s="353" t="s">
        <v>299</v>
      </c>
      <c r="D77" s="354">
        <f>SUM(D74:D75)-D76</f>
        <v>12124406588.8951</v>
      </c>
      <c r="E77" s="358">
        <f>D77/J78</f>
        <v>5.9189501502441573</v>
      </c>
      <c r="F77" s="352" t="s">
        <v>306</v>
      </c>
      <c r="G77" s="630">
        <f>H66</f>
        <v>2048404916.604166</v>
      </c>
      <c r="H77" s="631"/>
      <c r="I77" s="631"/>
      <c r="J77" s="632">
        <f>G5</f>
        <v>887884740.34600532</v>
      </c>
      <c r="K77" s="633"/>
    </row>
    <row r="78" spans="2:11" ht="15" thickBot="1" x14ac:dyDescent="0.35">
      <c r="G78" s="634" t="s">
        <v>305</v>
      </c>
      <c r="H78" s="635"/>
      <c r="I78" s="635"/>
      <c r="J78" s="642">
        <f>G77</f>
        <v>2048404916.604166</v>
      </c>
      <c r="K78" s="643"/>
    </row>
    <row r="79" spans="2:11" ht="15" thickBot="1" x14ac:dyDescent="0.35"/>
    <row r="80" spans="2:11" ht="15" thickBot="1" x14ac:dyDescent="0.35">
      <c r="C80" s="355" t="s">
        <v>293</v>
      </c>
      <c r="D80" s="344" t="s">
        <v>289</v>
      </c>
      <c r="E80" s="608" t="s">
        <v>310</v>
      </c>
      <c r="F80" s="609"/>
      <c r="G80" s="608" t="s">
        <v>301</v>
      </c>
      <c r="H80" s="610"/>
      <c r="I80" s="610"/>
      <c r="J80" s="610"/>
      <c r="K80" s="609"/>
    </row>
    <row r="81" spans="3:11" ht="15" thickBot="1" x14ac:dyDescent="0.35">
      <c r="C81" s="356" t="s">
        <v>294</v>
      </c>
      <c r="D81" s="490">
        <v>1527416878</v>
      </c>
      <c r="E81" s="611"/>
      <c r="F81" s="612"/>
      <c r="G81" s="615"/>
      <c r="H81" s="616"/>
      <c r="I81" s="616"/>
      <c r="J81" s="616"/>
      <c r="K81" s="617"/>
    </row>
    <row r="82" spans="3:11" ht="22.5" customHeight="1" thickBot="1" x14ac:dyDescent="0.35">
      <c r="C82" s="357" t="s">
        <v>309</v>
      </c>
      <c r="D82" s="354">
        <f>SUM(D81:D81)</f>
        <v>1527416878</v>
      </c>
      <c r="E82" s="613"/>
      <c r="F82" s="614"/>
      <c r="G82" s="618"/>
      <c r="H82" s="619"/>
      <c r="I82" s="619"/>
      <c r="J82" s="619"/>
      <c r="K82" s="620"/>
    </row>
    <row r="83" spans="3:11" x14ac:dyDescent="0.3">
      <c r="E83" s="621" t="s">
        <v>298</v>
      </c>
      <c r="F83" s="622"/>
      <c r="G83" s="623" t="s">
        <v>307</v>
      </c>
      <c r="H83" s="624"/>
      <c r="I83" s="624"/>
      <c r="J83" s="625" t="s">
        <v>308</v>
      </c>
      <c r="K83" s="626"/>
    </row>
    <row r="84" spans="3:11" ht="15" thickBot="1" x14ac:dyDescent="0.35">
      <c r="E84" s="358">
        <f>D82/J85</f>
        <v>2.2517431334263796</v>
      </c>
      <c r="F84" s="352" t="s">
        <v>306</v>
      </c>
      <c r="G84" s="630">
        <f>H68</f>
        <v>678326428.67918777</v>
      </c>
      <c r="H84" s="631"/>
      <c r="I84" s="631"/>
      <c r="J84" s="632">
        <f>G6</f>
        <v>538945672.19184136</v>
      </c>
      <c r="K84" s="633"/>
    </row>
    <row r="85" spans="3:11" ht="15" thickBot="1" x14ac:dyDescent="0.35">
      <c r="G85" s="634" t="s">
        <v>305</v>
      </c>
      <c r="H85" s="635"/>
      <c r="I85" s="635"/>
      <c r="J85" s="642">
        <f>G84</f>
        <v>678326428.67918777</v>
      </c>
      <c r="K85" s="643"/>
    </row>
    <row r="86" spans="3:11" ht="15" thickBot="1" x14ac:dyDescent="0.35"/>
    <row r="87" spans="3:11" ht="15.75" customHeight="1" thickBot="1" x14ac:dyDescent="0.35">
      <c r="C87" s="355" t="s">
        <v>312</v>
      </c>
      <c r="D87" s="344" t="s">
        <v>289</v>
      </c>
      <c r="E87" s="608" t="s">
        <v>310</v>
      </c>
      <c r="F87" s="609"/>
      <c r="G87" s="608" t="s">
        <v>301</v>
      </c>
      <c r="H87" s="610"/>
      <c r="I87" s="610"/>
      <c r="J87" s="610"/>
      <c r="K87" s="609"/>
    </row>
    <row r="88" spans="3:11" ht="15" thickBot="1" x14ac:dyDescent="0.35">
      <c r="C88" s="356" t="s">
        <v>315</v>
      </c>
      <c r="D88" s="346">
        <f>D77</f>
        <v>12124406588.8951</v>
      </c>
      <c r="E88" s="611"/>
      <c r="F88" s="612"/>
      <c r="G88" s="615"/>
      <c r="H88" s="616"/>
      <c r="I88" s="616"/>
      <c r="J88" s="616"/>
      <c r="K88" s="617"/>
    </row>
    <row r="89" spans="3:11" ht="18" customHeight="1" thickBot="1" x14ac:dyDescent="0.35">
      <c r="C89" s="356" t="s">
        <v>309</v>
      </c>
      <c r="D89" s="348">
        <f>D82</f>
        <v>1527416878</v>
      </c>
      <c r="E89" s="613"/>
      <c r="F89" s="614"/>
      <c r="G89" s="618"/>
      <c r="H89" s="619"/>
      <c r="I89" s="619"/>
      <c r="J89" s="619"/>
      <c r="K89" s="620"/>
    </row>
    <row r="90" spans="3:11" ht="15" thickBot="1" x14ac:dyDescent="0.35">
      <c r="C90" s="357" t="s">
        <v>309</v>
      </c>
      <c r="D90" s="354">
        <f>SUM(D88:D89)</f>
        <v>13651823466.8951</v>
      </c>
      <c r="E90" s="621" t="s">
        <v>298</v>
      </c>
      <c r="F90" s="622"/>
      <c r="G90" s="623" t="s">
        <v>313</v>
      </c>
      <c r="H90" s="624"/>
      <c r="I90" s="624"/>
      <c r="J90" s="625" t="s">
        <v>314</v>
      </c>
      <c r="K90" s="626"/>
    </row>
    <row r="91" spans="3:11" ht="15" thickBot="1" x14ac:dyDescent="0.35">
      <c r="E91" s="358">
        <f>D90/J92</f>
        <v>5.3724632795587821</v>
      </c>
      <c r="F91" s="352" t="s">
        <v>306</v>
      </c>
      <c r="G91" s="630">
        <f>H64</f>
        <v>2541073387.8512926</v>
      </c>
      <c r="H91" s="631"/>
      <c r="I91" s="631"/>
      <c r="J91" s="632">
        <f>J84+J77</f>
        <v>1426830412.5378466</v>
      </c>
      <c r="K91" s="633"/>
    </row>
    <row r="92" spans="3:11" ht="15" thickBot="1" x14ac:dyDescent="0.35">
      <c r="G92" s="634" t="s">
        <v>305</v>
      </c>
      <c r="H92" s="635"/>
      <c r="I92" s="635"/>
      <c r="J92" s="636">
        <f>G91</f>
        <v>2541073387.8512926</v>
      </c>
      <c r="K92" s="637"/>
    </row>
    <row r="93" spans="3:11" x14ac:dyDescent="0.3">
      <c r="D93" s="359"/>
      <c r="E93" s="360"/>
      <c r="G93" s="329"/>
      <c r="I93" s="329"/>
    </row>
  </sheetData>
  <mergeCells count="93">
    <mergeCell ref="E80:F80"/>
    <mergeCell ref="G80:K80"/>
    <mergeCell ref="E81:F82"/>
    <mergeCell ref="G81:K82"/>
    <mergeCell ref="E83:F83"/>
    <mergeCell ref="G83:I83"/>
    <mergeCell ref="J83:K83"/>
    <mergeCell ref="E73:F73"/>
    <mergeCell ref="E74:F75"/>
    <mergeCell ref="G74:K75"/>
    <mergeCell ref="G76:I76"/>
    <mergeCell ref="E76:F76"/>
    <mergeCell ref="J76:K76"/>
    <mergeCell ref="D28:E28"/>
    <mergeCell ref="D29:E29"/>
    <mergeCell ref="D30:E30"/>
    <mergeCell ref="B66:B67"/>
    <mergeCell ref="C66:C67"/>
    <mergeCell ref="D66:E66"/>
    <mergeCell ref="D67:E67"/>
    <mergeCell ref="D45:E45"/>
    <mergeCell ref="B47:C48"/>
    <mergeCell ref="B50:B53"/>
    <mergeCell ref="D42:E42"/>
    <mergeCell ref="D43:E43"/>
    <mergeCell ref="B64:B65"/>
    <mergeCell ref="D64:E64"/>
    <mergeCell ref="D65:E65"/>
    <mergeCell ref="C64:C65"/>
    <mergeCell ref="B17:C18"/>
    <mergeCell ref="B20:B23"/>
    <mergeCell ref="D25:E25"/>
    <mergeCell ref="D26:E26"/>
    <mergeCell ref="D27:E27"/>
    <mergeCell ref="D10:E10"/>
    <mergeCell ref="D12:E12"/>
    <mergeCell ref="D11:E11"/>
    <mergeCell ref="B2:C3"/>
    <mergeCell ref="B5:B8"/>
    <mergeCell ref="B68:B69"/>
    <mergeCell ref="B70:B71"/>
    <mergeCell ref="D13:E13"/>
    <mergeCell ref="D15:E15"/>
    <mergeCell ref="B32:C33"/>
    <mergeCell ref="B35:B38"/>
    <mergeCell ref="D40:E40"/>
    <mergeCell ref="D41:E41"/>
    <mergeCell ref="D58:E58"/>
    <mergeCell ref="D59:E59"/>
    <mergeCell ref="D60:E60"/>
    <mergeCell ref="D55:E55"/>
    <mergeCell ref="D56:E56"/>
    <mergeCell ref="D57:E57"/>
    <mergeCell ref="D44:E44"/>
    <mergeCell ref="D14:E14"/>
    <mergeCell ref="D71:E71"/>
    <mergeCell ref="C70:C71"/>
    <mergeCell ref="J63:K63"/>
    <mergeCell ref="H64:H65"/>
    <mergeCell ref="I64:I65"/>
    <mergeCell ref="J64:K65"/>
    <mergeCell ref="D68:E68"/>
    <mergeCell ref="H66:H67"/>
    <mergeCell ref="D69:E69"/>
    <mergeCell ref="C68:C69"/>
    <mergeCell ref="D70:E70"/>
    <mergeCell ref="I66:I67"/>
    <mergeCell ref="J66:K67"/>
    <mergeCell ref="H68:H69"/>
    <mergeCell ref="I68:I69"/>
    <mergeCell ref="J68:K69"/>
    <mergeCell ref="H62:K62"/>
    <mergeCell ref="G91:I91"/>
    <mergeCell ref="J91:K91"/>
    <mergeCell ref="G92:I92"/>
    <mergeCell ref="J92:K92"/>
    <mergeCell ref="J70:K71"/>
    <mergeCell ref="G73:K73"/>
    <mergeCell ref="G77:I77"/>
    <mergeCell ref="G78:I78"/>
    <mergeCell ref="J77:K77"/>
    <mergeCell ref="J78:K78"/>
    <mergeCell ref="G84:I84"/>
    <mergeCell ref="J84:K84"/>
    <mergeCell ref="G85:I85"/>
    <mergeCell ref="J85:K85"/>
    <mergeCell ref="E87:F87"/>
    <mergeCell ref="G87:K87"/>
    <mergeCell ref="E88:F89"/>
    <mergeCell ref="G88:K89"/>
    <mergeCell ref="E90:F90"/>
    <mergeCell ref="G90:I90"/>
    <mergeCell ref="J90:K90"/>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221B1-542F-43B1-9DE5-71836ED4C3C6}">
  <dimension ref="B1:AW74"/>
  <sheetViews>
    <sheetView tabSelected="1" topLeftCell="R1" zoomScale="120" zoomScaleNormal="120" workbookViewId="0">
      <selection activeCell="Y6" sqref="Y6"/>
    </sheetView>
  </sheetViews>
  <sheetFormatPr baseColWidth="10" defaultRowHeight="14.4" x14ac:dyDescent="0.3"/>
  <cols>
    <col min="1" max="1" width="1.33203125" customWidth="1"/>
    <col min="2" max="2" width="9.5546875" style="361" customWidth="1"/>
    <col min="3" max="3" width="9.44140625" style="46" customWidth="1"/>
    <col min="4" max="4" width="14.33203125" style="46" customWidth="1"/>
    <col min="5" max="5" width="14" style="46" customWidth="1"/>
    <col min="6" max="6" width="13.88671875" style="46" customWidth="1"/>
    <col min="7" max="7" width="8.6640625" style="46" customWidth="1"/>
    <col min="8" max="8" width="13.88671875" style="46" customWidth="1"/>
    <col min="9" max="9" width="8.109375" style="46" customWidth="1"/>
    <col min="10" max="10" width="13.88671875" style="46" customWidth="1"/>
    <col min="11" max="11" width="9.5546875" style="46" customWidth="1"/>
    <col min="12" max="12" width="13.88671875" style="46" customWidth="1"/>
    <col min="13" max="13" width="8.33203125" style="46" customWidth="1"/>
    <col min="14" max="14" width="13.88671875" style="46" customWidth="1"/>
    <col min="15" max="15" width="8.88671875" style="46" customWidth="1"/>
    <col min="16" max="16" width="13.88671875" style="46" customWidth="1"/>
    <col min="17" max="17" width="8.109375" style="46" customWidth="1"/>
    <col min="18" max="18" width="13.88671875" style="46" customWidth="1"/>
    <col min="19" max="19" width="8.6640625" style="46" customWidth="1"/>
    <col min="20" max="20" width="13.88671875" style="46" customWidth="1"/>
    <col min="21" max="21" width="10.88671875" style="46" customWidth="1"/>
    <col min="22" max="22" width="13.88671875" style="46" customWidth="1"/>
    <col min="23" max="23" width="8.109375" style="46" customWidth="1"/>
    <col min="24" max="24" width="13.88671875" style="46" customWidth="1"/>
    <col min="25" max="25" width="10.109375" style="46" customWidth="1"/>
    <col min="26" max="26" width="13.88671875" style="46" customWidth="1"/>
    <col min="27" max="27" width="9.6640625" style="46" customWidth="1"/>
    <col min="28" max="28" width="13.88671875" style="46" customWidth="1"/>
    <col min="29" max="29" width="13.44140625" style="46" customWidth="1"/>
    <col min="30" max="30" width="2.5546875" style="46" customWidth="1"/>
    <col min="31" max="31" width="13.44140625" style="46" customWidth="1"/>
    <col min="32" max="32" width="31.33203125" style="46" customWidth="1"/>
    <col min="33" max="33" width="13" style="46" customWidth="1"/>
    <col min="34" max="34" width="18.44140625" style="46" customWidth="1"/>
    <col min="35" max="35" width="10.33203125" style="46" customWidth="1"/>
    <col min="36" max="36" width="15.109375" style="46" customWidth="1"/>
    <col min="37" max="37" width="3.88671875" style="46" customWidth="1"/>
    <col min="38" max="38" width="13.44140625" style="46" customWidth="1"/>
    <col min="39" max="39" width="31.33203125" style="46" customWidth="1"/>
    <col min="40" max="40" width="13" style="46" customWidth="1"/>
    <col min="41" max="41" width="18.44140625" style="46" customWidth="1"/>
    <col min="42" max="42" width="16.88671875" style="46" customWidth="1"/>
    <col min="43" max="43" width="16.6640625" style="46" customWidth="1"/>
    <col min="44" max="44" width="14.44140625" style="46" bestFit="1" customWidth="1"/>
    <col min="45" max="45" width="11.44140625" style="46"/>
    <col min="46" max="46" width="18.33203125" style="46" customWidth="1"/>
    <col min="47" max="47" width="15.5546875" customWidth="1"/>
    <col min="49" max="49" width="15" bestFit="1" customWidth="1"/>
  </cols>
  <sheetData>
    <row r="1" spans="2:49" ht="5.25" customHeight="1" thickBot="1" x14ac:dyDescent="0.35"/>
    <row r="2" spans="2:49" ht="38.25" customHeight="1" thickBot="1" x14ac:dyDescent="0.35">
      <c r="B2" s="745" t="s">
        <v>138</v>
      </c>
      <c r="C2" s="746"/>
      <c r="D2" s="200" t="s">
        <v>154</v>
      </c>
      <c r="E2" s="362" t="s">
        <v>141</v>
      </c>
      <c r="F2" s="362" t="s">
        <v>153</v>
      </c>
      <c r="G2" s="363" t="s">
        <v>142</v>
      </c>
      <c r="H2" s="364" t="s">
        <v>153</v>
      </c>
      <c r="I2" s="365" t="s">
        <v>143</v>
      </c>
      <c r="J2" s="366" t="s">
        <v>153</v>
      </c>
      <c r="K2" s="367" t="s">
        <v>144</v>
      </c>
      <c r="L2" s="368" t="s">
        <v>153</v>
      </c>
      <c r="M2" s="369" t="s">
        <v>145</v>
      </c>
      <c r="N2" s="370" t="s">
        <v>153</v>
      </c>
      <c r="O2" s="371" t="s">
        <v>146</v>
      </c>
      <c r="P2" s="372" t="s">
        <v>153</v>
      </c>
      <c r="Q2" s="373" t="s">
        <v>147</v>
      </c>
      <c r="R2" s="374" t="s">
        <v>153</v>
      </c>
      <c r="S2" s="375" t="s">
        <v>148</v>
      </c>
      <c r="T2" s="200" t="s">
        <v>153</v>
      </c>
      <c r="U2" s="376" t="s">
        <v>149</v>
      </c>
      <c r="V2" s="377" t="s">
        <v>153</v>
      </c>
      <c r="W2" s="378" t="s">
        <v>150</v>
      </c>
      <c r="X2" s="379" t="s">
        <v>153</v>
      </c>
      <c r="Y2" s="380" t="s">
        <v>151</v>
      </c>
      <c r="Z2" s="381" t="s">
        <v>153</v>
      </c>
      <c r="AA2" s="382" t="s">
        <v>152</v>
      </c>
      <c r="AB2" s="383" t="s">
        <v>153</v>
      </c>
      <c r="AE2" s="682" t="s">
        <v>171</v>
      </c>
      <c r="AF2" s="683"/>
      <c r="AG2" s="246" t="s">
        <v>172</v>
      </c>
      <c r="AH2" s="247" t="s">
        <v>165</v>
      </c>
      <c r="AL2" s="682" t="s">
        <v>171</v>
      </c>
      <c r="AM2" s="683"/>
      <c r="AN2" s="246" t="s">
        <v>172</v>
      </c>
      <c r="AO2" s="247" t="s">
        <v>165</v>
      </c>
    </row>
    <row r="3" spans="2:49" ht="24.75" customHeight="1" thickBot="1" x14ac:dyDescent="0.35">
      <c r="B3" s="384" t="s">
        <v>139</v>
      </c>
      <c r="C3" s="385">
        <v>2874043</v>
      </c>
      <c r="D3" s="386">
        <v>60</v>
      </c>
      <c r="E3" s="387">
        <v>206773</v>
      </c>
      <c r="F3" s="387">
        <v>10753</v>
      </c>
      <c r="G3" s="388">
        <v>181023.59998809069</v>
      </c>
      <c r="H3" s="389">
        <f>($D$3*G3)/1000</f>
        <v>10861.41599928544</v>
      </c>
      <c r="I3" s="390">
        <v>161903.52178779201</v>
      </c>
      <c r="J3" s="391">
        <f>($D$3*I3)/1000</f>
        <v>9714.2113072675202</v>
      </c>
      <c r="K3" s="392">
        <v>235633.98325021868</v>
      </c>
      <c r="L3" s="393">
        <f>($D$3*K3)/1000</f>
        <v>14138.038995013121</v>
      </c>
      <c r="M3" s="394">
        <v>235826.67232727038</v>
      </c>
      <c r="N3" s="395">
        <f>($D$3*M3)/1000</f>
        <v>14149.600339636223</v>
      </c>
      <c r="O3" s="396">
        <v>269355.00898431469</v>
      </c>
      <c r="P3" s="397">
        <f>($D$3*O3)/1000</f>
        <v>16161.300539058881</v>
      </c>
      <c r="Q3" s="398">
        <v>335661.5248872533</v>
      </c>
      <c r="R3" s="399">
        <f>($D$3*Q3)/1000</f>
        <v>20139.691493235197</v>
      </c>
      <c r="S3" s="400">
        <v>368144.86670931207</v>
      </c>
      <c r="T3" s="385">
        <f>($D$3*S3)/1000</f>
        <v>22088.692002558724</v>
      </c>
      <c r="U3" s="401">
        <v>352203.61246494931</v>
      </c>
      <c r="V3" s="402">
        <f>($D$3*U3)/1000</f>
        <v>21132.216747896957</v>
      </c>
      <c r="W3" s="403">
        <v>318382.77064289071</v>
      </c>
      <c r="X3" s="404">
        <f>($D$3*W3)/1000</f>
        <v>19102.966238573445</v>
      </c>
      <c r="Y3" s="405">
        <v>117403.247729472</v>
      </c>
      <c r="Z3" s="406">
        <f>($D$3*Y3)/1000</f>
        <v>7044.1948637683208</v>
      </c>
      <c r="AA3" s="407">
        <v>108686.58182437065</v>
      </c>
      <c r="AB3" s="408">
        <f>($D$3*AA3)/1000</f>
        <v>6521.1949094622387</v>
      </c>
      <c r="AE3" s="684"/>
      <c r="AF3" s="685"/>
      <c r="AG3" s="307">
        <f>SUM(F5:AB5)</f>
        <v>379147.91510594863</v>
      </c>
      <c r="AH3" s="308">
        <v>1</v>
      </c>
      <c r="AI3" s="261" t="s">
        <v>169</v>
      </c>
      <c r="AJ3" s="263" t="s">
        <v>170</v>
      </c>
      <c r="AL3" s="684"/>
      <c r="AM3" s="685"/>
      <c r="AN3" s="307">
        <f>AG3</f>
        <v>379147.91510594863</v>
      </c>
      <c r="AO3" s="308">
        <v>1</v>
      </c>
      <c r="AP3" s="261" t="s">
        <v>169</v>
      </c>
      <c r="AQ3" s="263" t="s">
        <v>170</v>
      </c>
    </row>
    <row r="4" spans="2:49" ht="52.5" customHeight="1" thickBot="1" x14ac:dyDescent="0.35">
      <c r="B4" s="384" t="s">
        <v>140</v>
      </c>
      <c r="C4" s="385">
        <v>6060688</v>
      </c>
      <c r="D4" s="386">
        <v>34</v>
      </c>
      <c r="E4" s="387">
        <v>361783</v>
      </c>
      <c r="F4" s="387">
        <v>16476</v>
      </c>
      <c r="G4" s="388">
        <v>464000</v>
      </c>
      <c r="H4" s="389">
        <f>($D$4*G4)/1000</f>
        <v>15776</v>
      </c>
      <c r="I4" s="390">
        <v>460500</v>
      </c>
      <c r="J4" s="391">
        <f>($D$4*I4)/1000</f>
        <v>15657</v>
      </c>
      <c r="K4" s="392">
        <v>437000</v>
      </c>
      <c r="L4" s="393">
        <f>($D$4*K4)/1000</f>
        <v>14858</v>
      </c>
      <c r="M4" s="394">
        <v>508000</v>
      </c>
      <c r="N4" s="395">
        <f>($D$4*M4)/1000</f>
        <v>17272</v>
      </c>
      <c r="O4" s="396">
        <v>532000</v>
      </c>
      <c r="P4" s="397">
        <f>($D$4*O4)/1000</f>
        <v>18088</v>
      </c>
      <c r="Q4" s="398">
        <v>599100</v>
      </c>
      <c r="R4" s="399">
        <f>($D$4*Q4)/1000</f>
        <v>20369.400000000001</v>
      </c>
      <c r="S4" s="400">
        <v>535200</v>
      </c>
      <c r="T4" s="385">
        <f>($D$4*S4)/1000</f>
        <v>18196.8</v>
      </c>
      <c r="U4" s="401">
        <v>657359.41504996351</v>
      </c>
      <c r="V4" s="402">
        <f>($D$4*U4)/1000</f>
        <v>22350.220111698756</v>
      </c>
      <c r="W4" s="403">
        <v>639859.41504996351</v>
      </c>
      <c r="X4" s="404">
        <f>($D$4*W4)/1000</f>
        <v>21755.220111698756</v>
      </c>
      <c r="Y4" s="405">
        <v>577690.61504996347</v>
      </c>
      <c r="Z4" s="406">
        <f>($D$4*Y4)/1000</f>
        <v>19641.48091169876</v>
      </c>
      <c r="AA4" s="407">
        <v>202978.54514989076</v>
      </c>
      <c r="AB4" s="408">
        <f>($D$4*AA4)/1000</f>
        <v>6901.270535096286</v>
      </c>
      <c r="AE4" s="409" t="s">
        <v>229</v>
      </c>
      <c r="AF4" s="410" t="s">
        <v>230</v>
      </c>
      <c r="AG4" s="411">
        <f>AG3</f>
        <v>379147.91510594863</v>
      </c>
      <c r="AH4" s="412">
        <v>1</v>
      </c>
      <c r="AI4" s="413">
        <f>'PROYECCIÓN INSUMOS QUÍMICOS'!V22+'PROYECCIÓN RESIDUOS Y LODOS'!U10+'PROYECCIÓN CONSUMIBLES PTAR'!U12+'PROYECCIÓN CALIBR-MANTE PTAR'!U12+'PROYECCIÓN NOMINA PTAR'!U10+'PROYECCIÓN ELECTRICIDAD PTAR'!U8</f>
        <v>10067.306043350161</v>
      </c>
      <c r="AJ4" s="414">
        <f>AG4*AI4</f>
        <v>3816998097.0697308</v>
      </c>
      <c r="AL4" s="409" t="s">
        <v>229</v>
      </c>
      <c r="AM4" s="410" t="s">
        <v>241</v>
      </c>
      <c r="AN4" s="415">
        <f>AN3</f>
        <v>379147.91510594863</v>
      </c>
      <c r="AO4" s="412">
        <v>1</v>
      </c>
      <c r="AP4" s="413">
        <f>AI4+'PROYECCIÓN DEPRECIACIÓN PTAR'!U10</f>
        <v>11828.253406622311</v>
      </c>
      <c r="AQ4" s="414">
        <f>AN4*AP4</f>
        <v>4484657618.4656839</v>
      </c>
      <c r="AR4" s="309"/>
      <c r="AS4" s="310"/>
      <c r="AW4" s="210"/>
    </row>
    <row r="5" spans="2:49" ht="21" customHeight="1" thickBot="1" x14ac:dyDescent="0.35">
      <c r="B5" s="732" t="s">
        <v>155</v>
      </c>
      <c r="C5" s="733"/>
      <c r="D5" s="734"/>
      <c r="E5" s="416"/>
      <c r="F5" s="417">
        <v>27229</v>
      </c>
      <c r="G5" s="418"/>
      <c r="H5" s="419">
        <f>SUM(H3:H4)</f>
        <v>26637.41599928544</v>
      </c>
      <c r="I5" s="418"/>
      <c r="J5" s="307">
        <f>SUM(J3:J4)</f>
        <v>25371.21130726752</v>
      </c>
      <c r="K5" s="418"/>
      <c r="L5" s="419">
        <f>SUM(L3:L4)</f>
        <v>28996.038995013121</v>
      </c>
      <c r="M5" s="418"/>
      <c r="N5" s="307">
        <f>SUM(N3:N4)</f>
        <v>31421.600339636221</v>
      </c>
      <c r="O5" s="418"/>
      <c r="P5" s="307">
        <f>SUM(P3:P4)</f>
        <v>34249.300539058881</v>
      </c>
      <c r="Q5" s="418"/>
      <c r="R5" s="419">
        <f>SUM(R3:R4)</f>
        <v>40509.091493235203</v>
      </c>
      <c r="S5" s="418"/>
      <c r="T5" s="419">
        <f>SUM(T3:T4)</f>
        <v>40285.49200255872</v>
      </c>
      <c r="U5" s="418"/>
      <c r="V5" s="419">
        <f>SUM(V3:V4)</f>
        <v>43482.436859595713</v>
      </c>
      <c r="W5" s="418"/>
      <c r="X5" s="419">
        <f>SUM(X3:X4)</f>
        <v>40858.186350272197</v>
      </c>
      <c r="Y5" s="418"/>
      <c r="Z5" s="419">
        <f>SUM(Z3:Z4)</f>
        <v>26685.67577546708</v>
      </c>
      <c r="AA5" s="418"/>
      <c r="AB5" s="419">
        <f>SUM(AB3:AB4)</f>
        <v>13422.465444558526</v>
      </c>
      <c r="AE5" s="686" t="s">
        <v>166</v>
      </c>
      <c r="AF5" s="420" t="s">
        <v>228</v>
      </c>
      <c r="AG5" s="421">
        <f>F8+H8+J8+L8+N8+P8+R8+T8+V8+X8+Z8+AB8</f>
        <v>221583.5229693969</v>
      </c>
      <c r="AH5" s="422">
        <f>(AG5/$AG$3)</f>
        <v>0.58442500707798395</v>
      </c>
      <c r="AI5" s="423">
        <f>'PROYECCIÓN INSUMOS QUÍMICOS'!V23+'PROYECCIÓN CONSUMIBLES PTAR'!U13+'PROYECCIÓN CALIBR-MANTE PTAR'!U13+'PROYECCIÓN NOMINA PTAR'!U11+'PROYECCIÓN ELECTRICIDAD PTAR'!U9</f>
        <v>3406.3554308058037</v>
      </c>
      <c r="AJ5" s="424">
        <f>AG5*AI5</f>
        <v>754792236.84388769</v>
      </c>
      <c r="AL5" s="686" t="s">
        <v>166</v>
      </c>
      <c r="AM5" s="425" t="s">
        <v>228</v>
      </c>
      <c r="AN5" s="421">
        <f>AG5</f>
        <v>221583.5229693969</v>
      </c>
      <c r="AO5" s="426">
        <f>(AN5/$AG$3)</f>
        <v>0.58442500707798395</v>
      </c>
      <c r="AP5" s="423">
        <f>AI5+'PROYECCIÓN DEPRECIACIÓN PTAR'!U11</f>
        <v>3602.7536198571265</v>
      </c>
      <c r="AQ5" s="424">
        <f>AN5*AP5</f>
        <v>798310839.47868943</v>
      </c>
      <c r="AR5" s="312"/>
      <c r="AS5" s="310"/>
    </row>
    <row r="6" spans="2:49" ht="21.75" customHeight="1" thickBot="1" x14ac:dyDescent="0.35">
      <c r="B6" s="732" t="s">
        <v>156</v>
      </c>
      <c r="C6" s="733"/>
      <c r="D6" s="734"/>
      <c r="E6" s="427" t="s">
        <v>164</v>
      </c>
      <c r="F6" s="428" t="s">
        <v>163</v>
      </c>
      <c r="G6" s="429" t="s">
        <v>164</v>
      </c>
      <c r="H6" s="418" t="s">
        <v>163</v>
      </c>
      <c r="I6" s="246" t="s">
        <v>164</v>
      </c>
      <c r="J6" s="247" t="s">
        <v>163</v>
      </c>
      <c r="K6" s="306" t="s">
        <v>164</v>
      </c>
      <c r="L6" s="418" t="s">
        <v>163</v>
      </c>
      <c r="M6" s="246" t="s">
        <v>164</v>
      </c>
      <c r="N6" s="430" t="s">
        <v>163</v>
      </c>
      <c r="O6" s="261" t="s">
        <v>164</v>
      </c>
      <c r="P6" s="263" t="s">
        <v>163</v>
      </c>
      <c r="Q6" s="261" t="s">
        <v>164</v>
      </c>
      <c r="R6" s="306" t="s">
        <v>163</v>
      </c>
      <c r="S6" s="261" t="s">
        <v>164</v>
      </c>
      <c r="T6" s="306" t="s">
        <v>163</v>
      </c>
      <c r="U6" s="261" t="s">
        <v>164</v>
      </c>
      <c r="V6" s="306" t="s">
        <v>163</v>
      </c>
      <c r="W6" s="261" t="s">
        <v>164</v>
      </c>
      <c r="X6" s="306" t="s">
        <v>163</v>
      </c>
      <c r="Y6" s="261" t="s">
        <v>164</v>
      </c>
      <c r="Z6" s="306" t="s">
        <v>163</v>
      </c>
      <c r="AA6" s="261" t="s">
        <v>164</v>
      </c>
      <c r="AB6" s="306" t="s">
        <v>163</v>
      </c>
      <c r="AE6" s="687"/>
      <c r="AF6" s="431" t="s">
        <v>247</v>
      </c>
      <c r="AG6" s="432">
        <f>F9+H9+J9+L9+N9+P9+R9+T9+V9+X9+Z9+AB9</f>
        <v>95848.196918978676</v>
      </c>
      <c r="AH6" s="433">
        <f>(AG6/$AG$3)</f>
        <v>0.25279895550050691</v>
      </c>
      <c r="AI6" s="434">
        <f>'PROYECCIÓN INSUMOS QUÍMICOS'!V35+'PROYECCIÓN RESIDUOS Y LODOS'!U18+'PROYECCIÓN CONSUMIBLES PTAR'!U23+'PROYECCIÓN CALIBR-MANTE PTAR'!U22+'PROYECCIÓN NOMINA PTAR'!U20+'PROYECCIÓN ELECTRICIDAD PTAR'!U16+'PROYECCIÓN PAGO USO POZO'!U8</f>
        <v>5062.1280665670511</v>
      </c>
      <c r="AJ6" s="435">
        <f t="shared" ref="AJ6:AJ8" si="0">AG6*AI6</f>
        <v>485195847.75340748</v>
      </c>
      <c r="AL6" s="687"/>
      <c r="AM6" s="431" t="s">
        <v>247</v>
      </c>
      <c r="AN6" s="432">
        <f t="shared" ref="AN6:AN8" si="1">AG6</f>
        <v>95848.196918978676</v>
      </c>
      <c r="AO6" s="436">
        <f>(AN6/$AG$3)</f>
        <v>0.25279895550050691</v>
      </c>
      <c r="AP6" s="434">
        <f>AI6+'PROYECCIÓN DEPRECIACIÓN PTAR'!U19</f>
        <v>5622.908823703975</v>
      </c>
      <c r="AQ6" s="435">
        <f t="shared" ref="AQ6:AQ8" si="2">AN6*AP6</f>
        <v>538945672.19184136</v>
      </c>
      <c r="AR6" s="309"/>
    </row>
    <row r="7" spans="2:49" ht="12" customHeight="1" x14ac:dyDescent="0.3">
      <c r="B7" s="735" t="s">
        <v>159</v>
      </c>
      <c r="C7" s="736"/>
      <c r="D7" s="737"/>
      <c r="E7" s="437">
        <f>(F7*100%)/F5</f>
        <v>0.36519886885306108</v>
      </c>
      <c r="F7" s="438">
        <v>9944</v>
      </c>
      <c r="G7" s="439">
        <v>0.36520000000000002</v>
      </c>
      <c r="H7" s="440">
        <f>$H$5*$G$7</f>
        <v>9727.9843229390426</v>
      </c>
      <c r="I7" s="441">
        <v>0.36520000000000002</v>
      </c>
      <c r="J7" s="442">
        <f>$J$5*$I$7</f>
        <v>9265.5663694140985</v>
      </c>
      <c r="K7" s="443">
        <f>100%-K8-K9-K10</f>
        <v>0.36520000000000002</v>
      </c>
      <c r="L7" s="440">
        <f>$L$5*$K$7</f>
        <v>10589.353440978792</v>
      </c>
      <c r="M7" s="443">
        <f>100%-M8-M9-M10</f>
        <v>4.3399999999999987E-2</v>
      </c>
      <c r="N7" s="442">
        <f>$N$5*$M$7</f>
        <v>1363.6974547402117</v>
      </c>
      <c r="O7" s="443">
        <f>100%-O8-O9-O10</f>
        <v>4.3399999999999987E-2</v>
      </c>
      <c r="P7" s="440">
        <f>$P$5*$O$7</f>
        <v>1486.4196433951549</v>
      </c>
      <c r="Q7" s="443">
        <f>100%-Q8-Q9-Q10</f>
        <v>0.10339999999999999</v>
      </c>
      <c r="R7" s="440">
        <f>$R$5*$Q$7</f>
        <v>4188.6400604005194</v>
      </c>
      <c r="S7" s="443">
        <f>100%-S8-S9-S10</f>
        <v>0.10339999999999999</v>
      </c>
      <c r="T7" s="440">
        <f>$T$5*$S$7</f>
        <v>4165.5198730645716</v>
      </c>
      <c r="U7" s="443">
        <f>100%-U8-U9-U10</f>
        <v>0.11339999999999997</v>
      </c>
      <c r="V7" s="440">
        <f>$V$5*$U$7</f>
        <v>4930.9083398781531</v>
      </c>
      <c r="W7" s="443">
        <f>100%-W8-W9-W10</f>
        <v>9.3399999999999983E-2</v>
      </c>
      <c r="X7" s="440">
        <f>$X$5*$W$7</f>
        <v>3816.1546051154223</v>
      </c>
      <c r="Y7" s="443">
        <v>0</v>
      </c>
      <c r="Z7" s="440">
        <f>$Z$5*$Y$7</f>
        <v>0</v>
      </c>
      <c r="AA7" s="439">
        <v>0</v>
      </c>
      <c r="AB7" s="444">
        <f>$AB$5*$AA$7</f>
        <v>0</v>
      </c>
      <c r="AE7" s="687"/>
      <c r="AF7" s="445" t="s">
        <v>168</v>
      </c>
      <c r="AG7" s="432">
        <f>F7+H7+J7+L7+N7+P7+R7+T7+V7+X7+Z7+AB7</f>
        <v>59478.244109925967</v>
      </c>
      <c r="AH7" s="433">
        <f t="shared" ref="AH7:AH8" si="3">(AG7/$AG$3)</f>
        <v>0.15687345687580911</v>
      </c>
      <c r="AI7" s="434">
        <v>10763</v>
      </c>
      <c r="AJ7" s="435">
        <f t="shared" si="0"/>
        <v>640164341.35513318</v>
      </c>
      <c r="AL7" s="687"/>
      <c r="AM7" s="446" t="s">
        <v>168</v>
      </c>
      <c r="AN7" s="432">
        <f t="shared" si="1"/>
        <v>59478.244109925967</v>
      </c>
      <c r="AO7" s="436">
        <f t="shared" ref="AO7:AO8" si="4">(AN7/$AG$3)</f>
        <v>0.15687345687580911</v>
      </c>
      <c r="AP7" s="434">
        <v>10763</v>
      </c>
      <c r="AQ7" s="435">
        <f t="shared" si="2"/>
        <v>640164341.35513318</v>
      </c>
      <c r="AR7" s="309"/>
    </row>
    <row r="8" spans="2:49" ht="14.25" customHeight="1" thickBot="1" x14ac:dyDescent="0.35">
      <c r="B8" s="738" t="s">
        <v>160</v>
      </c>
      <c r="C8" s="739"/>
      <c r="D8" s="740"/>
      <c r="E8" s="447">
        <v>0.42030000000000001</v>
      </c>
      <c r="F8" s="448">
        <v>11443</v>
      </c>
      <c r="G8" s="449">
        <v>0.42030000000000001</v>
      </c>
      <c r="H8" s="450">
        <f>$H$5*$G$8</f>
        <v>11195.70594449967</v>
      </c>
      <c r="I8" s="449">
        <v>0.42030000000000001</v>
      </c>
      <c r="J8" s="450">
        <f>$J$5*$I$8</f>
        <v>10663.520112444539</v>
      </c>
      <c r="K8" s="449">
        <v>0.42030000000000001</v>
      </c>
      <c r="L8" s="450">
        <f>$L$5*$K$8</f>
        <v>12187.035189604016</v>
      </c>
      <c r="M8" s="449">
        <v>0.65</v>
      </c>
      <c r="N8" s="450">
        <f>$N$5*$M$8</f>
        <v>20424.040220763545</v>
      </c>
      <c r="O8" s="449">
        <v>0.65</v>
      </c>
      <c r="P8" s="450">
        <f>$P$5*$O$8</f>
        <v>22262.045350388275</v>
      </c>
      <c r="Q8" s="449">
        <v>0.65</v>
      </c>
      <c r="R8" s="450">
        <f>$R$5*$Q$8</f>
        <v>26330.909470602881</v>
      </c>
      <c r="S8" s="449">
        <v>0.65</v>
      </c>
      <c r="T8" s="450">
        <f>$T$5*$S$8</f>
        <v>26185.569801663169</v>
      </c>
      <c r="U8" s="449">
        <v>0.65</v>
      </c>
      <c r="V8" s="450">
        <f>$V$5*$U$8</f>
        <v>28263.583958737214</v>
      </c>
      <c r="W8" s="449">
        <v>0.65</v>
      </c>
      <c r="X8" s="450">
        <f>$X$5*$W$8</f>
        <v>26557.821127676929</v>
      </c>
      <c r="Y8" s="449">
        <v>0.65</v>
      </c>
      <c r="Z8" s="450">
        <f>Z5*Y8</f>
        <v>17345.689254053603</v>
      </c>
      <c r="AA8" s="449">
        <v>0.65</v>
      </c>
      <c r="AB8" s="451">
        <f>AB5-AB9</f>
        <v>8724.6025389630413</v>
      </c>
      <c r="AE8" s="688"/>
      <c r="AF8" s="452" t="s">
        <v>158</v>
      </c>
      <c r="AG8" s="453">
        <f>F10+H10+J10+L10+N10+P10+R10+T10+V10+X10+Z10+AB10</f>
        <v>2237.9511076470922</v>
      </c>
      <c r="AH8" s="454">
        <f t="shared" si="3"/>
        <v>5.9025805457000122E-3</v>
      </c>
      <c r="AI8" s="455">
        <v>12700</v>
      </c>
      <c r="AJ8" s="456">
        <f t="shared" si="0"/>
        <v>28421979.067118071</v>
      </c>
      <c r="AL8" s="688"/>
      <c r="AM8" s="457" t="s">
        <v>158</v>
      </c>
      <c r="AN8" s="453">
        <f t="shared" si="1"/>
        <v>2237.9511076470922</v>
      </c>
      <c r="AO8" s="458">
        <f t="shared" si="4"/>
        <v>5.9025805457000122E-3</v>
      </c>
      <c r="AP8" s="455">
        <v>12700</v>
      </c>
      <c r="AQ8" s="456">
        <f t="shared" si="2"/>
        <v>28421979.067118071</v>
      </c>
      <c r="AR8" s="328"/>
      <c r="AS8" s="329"/>
      <c r="AT8" s="329"/>
    </row>
    <row r="9" spans="2:49" ht="19.5" customHeight="1" thickBot="1" x14ac:dyDescent="0.35">
      <c r="B9" s="738" t="s">
        <v>161</v>
      </c>
      <c r="C9" s="739"/>
      <c r="D9" s="740"/>
      <c r="E9" s="447">
        <v>0.2079</v>
      </c>
      <c r="F9" s="448">
        <v>5662</v>
      </c>
      <c r="G9" s="449">
        <v>0.2079</v>
      </c>
      <c r="H9" s="450">
        <f>$H$5*$G$9</f>
        <v>5537.9187862514427</v>
      </c>
      <c r="I9" s="449">
        <v>0.2079</v>
      </c>
      <c r="J9" s="450">
        <f>$J$5*$I$9</f>
        <v>5274.6748307809175</v>
      </c>
      <c r="K9" s="449">
        <v>0.2079</v>
      </c>
      <c r="L9" s="450">
        <f>$L$5*$K$9</f>
        <v>6028.2765070632277</v>
      </c>
      <c r="M9" s="449">
        <v>0.3</v>
      </c>
      <c r="N9" s="450">
        <f>+N5*M9</f>
        <v>9426.4801018908656</v>
      </c>
      <c r="O9" s="449">
        <v>0.3</v>
      </c>
      <c r="P9" s="450">
        <f>+P5*O9</f>
        <v>10274.790161717663</v>
      </c>
      <c r="Q9" s="449">
        <v>0.24</v>
      </c>
      <c r="R9" s="450">
        <f>+R5*Q9</f>
        <v>9722.1819583764482</v>
      </c>
      <c r="S9" s="449">
        <v>0.24</v>
      </c>
      <c r="T9" s="450">
        <f>+T5*S9</f>
        <v>9668.5180806140925</v>
      </c>
      <c r="U9" s="449">
        <v>0.23</v>
      </c>
      <c r="V9" s="450">
        <f>+V5*U9</f>
        <v>10000.960477707014</v>
      </c>
      <c r="W9" s="449">
        <v>0.25</v>
      </c>
      <c r="X9" s="450">
        <f>+X5*W9</f>
        <v>10214.546587568049</v>
      </c>
      <c r="Y9" s="449">
        <v>0.35</v>
      </c>
      <c r="Z9" s="450">
        <f>+Z5*Y9</f>
        <v>9339.986521413477</v>
      </c>
      <c r="AA9" s="449">
        <v>0.35</v>
      </c>
      <c r="AB9" s="451">
        <f>+AB5*AA9</f>
        <v>4697.8629055954834</v>
      </c>
      <c r="AE9" s="330"/>
      <c r="AI9" s="331" t="s">
        <v>137</v>
      </c>
      <c r="AJ9" s="332">
        <f>SUM(AJ4:AJ8)</f>
        <v>5725572502.0892763</v>
      </c>
      <c r="AL9" s="330"/>
      <c r="AP9" s="331" t="s">
        <v>137</v>
      </c>
      <c r="AQ9" s="332">
        <f>SUM(AQ4:AQ8)</f>
        <v>6490500450.558465</v>
      </c>
    </row>
    <row r="10" spans="2:49" ht="15.75" customHeight="1" thickBot="1" x14ac:dyDescent="0.35">
      <c r="B10" s="741" t="s">
        <v>162</v>
      </c>
      <c r="C10" s="742"/>
      <c r="D10" s="743"/>
      <c r="E10" s="459">
        <v>6.6E-3</v>
      </c>
      <c r="F10" s="460">
        <v>180</v>
      </c>
      <c r="G10" s="461">
        <v>6.6E-3</v>
      </c>
      <c r="H10" s="462">
        <f>$H$5*$G$10</f>
        <v>175.80694559528391</v>
      </c>
      <c r="I10" s="461">
        <v>6.6E-3</v>
      </c>
      <c r="J10" s="462">
        <f>$J$5*$I$10</f>
        <v>167.44999462796562</v>
      </c>
      <c r="K10" s="461">
        <v>6.6E-3</v>
      </c>
      <c r="L10" s="462">
        <f>$L$5*$K$10</f>
        <v>191.3738573670866</v>
      </c>
      <c r="M10" s="461">
        <f>+N10/N5</f>
        <v>6.6E-3</v>
      </c>
      <c r="N10" s="462">
        <f>$N$5*$E$10</f>
        <v>207.38256224159906</v>
      </c>
      <c r="O10" s="461">
        <v>6.6E-3</v>
      </c>
      <c r="P10" s="462">
        <f>$P$5*$O$10</f>
        <v>226.0453835577886</v>
      </c>
      <c r="Q10" s="461">
        <v>6.6E-3</v>
      </c>
      <c r="R10" s="462">
        <f>$R$5*$Q$10</f>
        <v>267.36000385535232</v>
      </c>
      <c r="S10" s="461">
        <v>6.6E-3</v>
      </c>
      <c r="T10" s="462">
        <f>$T$5*$S$10</f>
        <v>265.88424721688756</v>
      </c>
      <c r="U10" s="461">
        <v>6.6E-3</v>
      </c>
      <c r="V10" s="462">
        <f>$V$5*$U$10</f>
        <v>286.98408327333169</v>
      </c>
      <c r="W10" s="461">
        <v>6.6E-3</v>
      </c>
      <c r="X10" s="462">
        <f>$X$5*$W$10</f>
        <v>269.66402991179649</v>
      </c>
      <c r="Y10" s="461">
        <v>0</v>
      </c>
      <c r="Z10" s="462">
        <f>$Z$5*$Y$10</f>
        <v>0</v>
      </c>
      <c r="AA10" s="461">
        <v>0</v>
      </c>
      <c r="AB10" s="463">
        <f>$AB$5*$AA$10</f>
        <v>0</v>
      </c>
      <c r="AG10" s="678" t="s">
        <v>237</v>
      </c>
      <c r="AH10" s="679"/>
      <c r="AI10" s="262" t="s">
        <v>173</v>
      </c>
      <c r="AJ10" s="335">
        <f>AJ4/AG4</f>
        <v>10067.306043350161</v>
      </c>
      <c r="AN10" s="678" t="s">
        <v>237</v>
      </c>
      <c r="AO10" s="679"/>
      <c r="AP10" s="262" t="s">
        <v>173</v>
      </c>
      <c r="AQ10" s="335">
        <f>AQ4/AN4</f>
        <v>11828.253406622312</v>
      </c>
    </row>
    <row r="11" spans="2:49" ht="14.25" customHeight="1" thickBot="1" x14ac:dyDescent="0.35">
      <c r="B11" s="285"/>
      <c r="C11" s="285"/>
      <c r="D11" s="285"/>
      <c r="E11" s="464"/>
      <c r="F11" s="465"/>
      <c r="G11" s="466"/>
      <c r="H11" s="467"/>
      <c r="I11" s="466"/>
      <c r="J11" s="467"/>
      <c r="K11" s="466"/>
      <c r="L11" s="467"/>
      <c r="M11" s="466"/>
      <c r="N11" s="467"/>
      <c r="O11" s="466"/>
      <c r="P11" s="467"/>
      <c r="Q11" s="466"/>
      <c r="R11" s="467"/>
      <c r="S11" s="466"/>
      <c r="T11" s="467"/>
      <c r="U11" s="466"/>
      <c r="V11" s="467"/>
      <c r="W11" s="466"/>
      <c r="X11" s="467"/>
      <c r="Y11" s="466"/>
      <c r="Z11" s="467"/>
      <c r="AA11" s="466"/>
      <c r="AB11" s="467"/>
      <c r="AG11" s="678" t="s">
        <v>238</v>
      </c>
      <c r="AH11" s="679"/>
      <c r="AI11" s="262" t="s">
        <v>173</v>
      </c>
      <c r="AJ11" s="335">
        <f>SUM(AJ5:AJ8)/AG3</f>
        <v>5033.8517738814862</v>
      </c>
      <c r="AN11" s="678" t="s">
        <v>238</v>
      </c>
      <c r="AO11" s="679"/>
      <c r="AP11" s="262" t="s">
        <v>173</v>
      </c>
      <c r="AQ11" s="335">
        <f>SUM(AQ5:AQ8)/AN3</f>
        <v>5290.3965765769062</v>
      </c>
    </row>
    <row r="12" spans="2:49" ht="32.25" customHeight="1" thickBot="1" x14ac:dyDescent="0.35">
      <c r="B12" s="285"/>
      <c r="C12" s="285"/>
      <c r="D12" s="285"/>
      <c r="E12" s="464"/>
      <c r="F12" s="465"/>
      <c r="G12" s="596" t="s">
        <v>142</v>
      </c>
      <c r="H12" s="597" t="s">
        <v>153</v>
      </c>
      <c r="I12" s="466"/>
      <c r="J12" s="467"/>
      <c r="K12" s="466"/>
      <c r="L12" s="467"/>
      <c r="M12" s="466"/>
      <c r="N12" s="467"/>
      <c r="O12" s="466"/>
      <c r="P12" s="467"/>
      <c r="Q12" s="466"/>
      <c r="R12" s="467"/>
      <c r="S12" s="466"/>
      <c r="T12" s="467"/>
      <c r="U12" s="466"/>
      <c r="V12" s="467"/>
      <c r="W12" s="466"/>
      <c r="X12" s="467"/>
      <c r="Y12" s="466"/>
      <c r="Z12" s="467"/>
      <c r="AA12" s="466"/>
      <c r="AB12" s="467"/>
      <c r="AG12" s="680" t="s">
        <v>239</v>
      </c>
      <c r="AH12" s="681"/>
      <c r="AI12" s="336" t="s">
        <v>173</v>
      </c>
      <c r="AJ12" s="337">
        <f>SUM(AJ10:AJ11)</f>
        <v>15101.157817231648</v>
      </c>
      <c r="AN12" s="680" t="s">
        <v>239</v>
      </c>
      <c r="AO12" s="681"/>
      <c r="AP12" s="336" t="s">
        <v>173</v>
      </c>
      <c r="AQ12" s="337">
        <f>SUM(AQ10:AQ11)</f>
        <v>17118.649983199219</v>
      </c>
      <c r="AR12" s="338"/>
    </row>
    <row r="13" spans="2:49" ht="19.5" customHeight="1" thickBot="1" x14ac:dyDescent="0.35">
      <c r="B13" s="285"/>
      <c r="C13" s="285"/>
      <c r="D13" s="285"/>
      <c r="E13" s="464"/>
      <c r="F13" s="465"/>
      <c r="G13" s="598">
        <v>130962</v>
      </c>
      <c r="H13" s="599">
        <f>(41*G13)/1000</f>
        <v>5369.442</v>
      </c>
      <c r="I13" s="464"/>
      <c r="J13" s="467"/>
      <c r="K13" s="464"/>
      <c r="L13" s="467"/>
      <c r="M13" s="464"/>
      <c r="N13" s="467"/>
      <c r="O13" s="464"/>
      <c r="P13" s="467"/>
      <c r="Q13" s="464"/>
      <c r="R13" s="467"/>
      <c r="S13" s="464"/>
      <c r="T13" s="467"/>
      <c r="U13" s="464"/>
      <c r="V13" s="467"/>
      <c r="W13" s="464"/>
      <c r="X13" s="467"/>
      <c r="Y13" s="464"/>
      <c r="Z13" s="467"/>
      <c r="AA13" s="464"/>
      <c r="AB13" s="467"/>
      <c r="AI13" s="339"/>
      <c r="AJ13" s="311"/>
      <c r="AP13" s="339"/>
      <c r="AQ13" s="311"/>
    </row>
    <row r="14" spans="2:49" ht="13.5" customHeight="1" thickBot="1" x14ac:dyDescent="0.35">
      <c r="B14" s="744"/>
      <c r="C14" s="744"/>
      <c r="D14" s="468"/>
      <c r="E14" s="468"/>
      <c r="F14" s="468"/>
      <c r="G14" s="598">
        <v>450288</v>
      </c>
      <c r="H14" s="599">
        <f>(45.7*G14)/1000</f>
        <v>20578.161600000003</v>
      </c>
      <c r="I14" s="468"/>
      <c r="J14" s="468"/>
      <c r="K14" s="468"/>
      <c r="L14" s="468"/>
      <c r="M14" s="468"/>
      <c r="N14" s="468"/>
      <c r="O14" s="468"/>
      <c r="P14" s="468"/>
      <c r="Q14" s="468"/>
      <c r="R14" s="468"/>
      <c r="S14" s="468"/>
      <c r="T14" s="468"/>
      <c r="U14" s="468"/>
      <c r="V14" s="468"/>
      <c r="W14" s="468"/>
      <c r="X14" s="468"/>
      <c r="Y14" s="468"/>
      <c r="Z14" s="468"/>
      <c r="AA14" s="468"/>
      <c r="AB14" s="468"/>
      <c r="AE14" s="682" t="s">
        <v>171</v>
      </c>
      <c r="AF14" s="683"/>
      <c r="AG14" s="246" t="s">
        <v>172</v>
      </c>
      <c r="AH14" s="247" t="s">
        <v>165</v>
      </c>
      <c r="AL14" s="682" t="s">
        <v>171</v>
      </c>
      <c r="AM14" s="683"/>
      <c r="AN14" s="246" t="s">
        <v>172</v>
      </c>
      <c r="AO14" s="247" t="s">
        <v>165</v>
      </c>
    </row>
    <row r="15" spans="2:49" ht="15" thickBot="1" x14ac:dyDescent="0.35">
      <c r="B15" s="469"/>
      <c r="C15" s="465"/>
      <c r="D15" s="470"/>
      <c r="E15" s="465"/>
      <c r="F15" s="465"/>
      <c r="G15" s="341"/>
      <c r="H15" s="451">
        <v>26204</v>
      </c>
      <c r="I15" s="465"/>
      <c r="J15" s="465"/>
      <c r="K15" s="465"/>
      <c r="L15" s="465"/>
      <c r="M15" s="465"/>
      <c r="N15" s="465"/>
      <c r="O15" s="465"/>
      <c r="P15" s="465"/>
      <c r="Q15" s="465"/>
      <c r="R15" s="465"/>
      <c r="S15" s="465"/>
      <c r="T15" s="465"/>
      <c r="U15" s="465"/>
      <c r="V15" s="465"/>
      <c r="W15" s="465"/>
      <c r="X15" s="465"/>
      <c r="Y15" s="465"/>
      <c r="Z15" s="465"/>
      <c r="AA15" s="465"/>
      <c r="AB15" s="465"/>
      <c r="AC15" s="468"/>
      <c r="AD15" s="468"/>
      <c r="AE15" s="684"/>
      <c r="AF15" s="685"/>
      <c r="AG15" s="307">
        <f>AG3</f>
        <v>379147.91510594863</v>
      </c>
      <c r="AH15" s="308">
        <v>1</v>
      </c>
      <c r="AI15" s="261" t="s">
        <v>169</v>
      </c>
      <c r="AJ15" s="263" t="s">
        <v>170</v>
      </c>
      <c r="AL15" s="684"/>
      <c r="AM15" s="685"/>
      <c r="AN15" s="307">
        <f>AN3</f>
        <v>379147.91510594863</v>
      </c>
      <c r="AO15" s="308">
        <v>1</v>
      </c>
      <c r="AP15" s="261" t="s">
        <v>169</v>
      </c>
      <c r="AQ15" s="263" t="s">
        <v>170</v>
      </c>
    </row>
    <row r="16" spans="2:49" ht="52.5" customHeight="1" thickBot="1" x14ac:dyDescent="0.35">
      <c r="B16" s="732" t="s">
        <v>156</v>
      </c>
      <c r="C16" s="733"/>
      <c r="D16" s="734"/>
      <c r="E16" s="465"/>
      <c r="F16" s="465"/>
      <c r="G16" s="341" t="s">
        <v>164</v>
      </c>
      <c r="H16" s="555" t="s">
        <v>163</v>
      </c>
      <c r="I16" s="465"/>
      <c r="J16" s="465"/>
      <c r="K16" s="465"/>
      <c r="L16" s="465"/>
      <c r="M16" s="465"/>
      <c r="N16" s="465"/>
      <c r="O16" s="465"/>
      <c r="P16" s="465"/>
      <c r="Q16" s="465"/>
      <c r="R16" s="465"/>
      <c r="S16" s="465"/>
      <c r="T16" s="465"/>
      <c r="U16" s="465"/>
      <c r="V16" s="465"/>
      <c r="W16" s="465"/>
      <c r="X16" s="465"/>
      <c r="Y16" s="465"/>
      <c r="Z16" s="465"/>
      <c r="AA16" s="465"/>
      <c r="AB16" s="465"/>
      <c r="AC16" s="465"/>
      <c r="AD16" s="465"/>
      <c r="AE16" s="409" t="s">
        <v>229</v>
      </c>
      <c r="AF16" s="410" t="s">
        <v>230</v>
      </c>
      <c r="AG16" s="411">
        <f>AG15</f>
        <v>379147.91510594863</v>
      </c>
      <c r="AH16" s="471">
        <v>1</v>
      </c>
      <c r="AI16" s="413">
        <f>AI4</f>
        <v>10067.306043350161</v>
      </c>
      <c r="AJ16" s="414">
        <f>AG16*AI16</f>
        <v>3816998097.0697308</v>
      </c>
      <c r="AL16" s="409" t="s">
        <v>229</v>
      </c>
      <c r="AM16" s="410" t="s">
        <v>241</v>
      </c>
      <c r="AN16" s="411">
        <f>AN15</f>
        <v>379147.91510594863</v>
      </c>
      <c r="AO16" s="471">
        <v>1</v>
      </c>
      <c r="AP16" s="413">
        <f>AP4</f>
        <v>11828.253406622311</v>
      </c>
      <c r="AQ16" s="414">
        <f>AN16*AP16</f>
        <v>4484657618.4656839</v>
      </c>
    </row>
    <row r="17" spans="2:44" ht="21.6" x14ac:dyDescent="0.3">
      <c r="B17" s="735" t="s">
        <v>159</v>
      </c>
      <c r="C17" s="736"/>
      <c r="D17" s="737"/>
      <c r="E17" s="472"/>
      <c r="F17" s="467"/>
      <c r="G17" s="449">
        <f>(H17*100%)/$H$15</f>
        <v>0.38768890245764004</v>
      </c>
      <c r="H17" s="451">
        <v>10159</v>
      </c>
      <c r="I17" s="339"/>
      <c r="J17" s="467"/>
      <c r="K17" s="339"/>
      <c r="L17" s="467"/>
      <c r="M17" s="339"/>
      <c r="N17" s="467"/>
      <c r="O17" s="339"/>
      <c r="P17" s="467"/>
      <c r="Q17" s="339"/>
      <c r="R17" s="467"/>
      <c r="S17" s="339"/>
      <c r="T17" s="467"/>
      <c r="U17" s="339"/>
      <c r="V17" s="467"/>
      <c r="W17" s="339"/>
      <c r="X17" s="467"/>
      <c r="Y17" s="339"/>
      <c r="Z17" s="467"/>
      <c r="AA17" s="339"/>
      <c r="AB17" s="467"/>
      <c r="AC17" s="465"/>
      <c r="AD17" s="465"/>
      <c r="AE17" s="686" t="s">
        <v>166</v>
      </c>
      <c r="AF17" s="420" t="s">
        <v>228</v>
      </c>
      <c r="AG17" s="421">
        <v>0</v>
      </c>
      <c r="AH17" s="422">
        <f>(AG17/$AG$3)</f>
        <v>0</v>
      </c>
      <c r="AI17" s="423">
        <v>0</v>
      </c>
      <c r="AJ17" s="424">
        <f>AG17*AI17</f>
        <v>0</v>
      </c>
      <c r="AL17" s="686" t="s">
        <v>166</v>
      </c>
      <c r="AM17" s="420" t="s">
        <v>228</v>
      </c>
      <c r="AN17" s="421">
        <v>0</v>
      </c>
      <c r="AO17" s="422">
        <f>(AN17/$AG$3)</f>
        <v>0</v>
      </c>
      <c r="AP17" s="423">
        <v>0</v>
      </c>
      <c r="AQ17" s="424">
        <v>0</v>
      </c>
    </row>
    <row r="18" spans="2:44" ht="11.25" customHeight="1" x14ac:dyDescent="0.3">
      <c r="B18" s="738" t="s">
        <v>160</v>
      </c>
      <c r="C18" s="739"/>
      <c r="D18" s="740"/>
      <c r="E18" s="339"/>
      <c r="F18" s="339"/>
      <c r="G18" s="449">
        <f t="shared" ref="G18:G20" si="5">(H18*100%)/$H$15</f>
        <v>0.43050679285605253</v>
      </c>
      <c r="H18" s="451">
        <v>11281</v>
      </c>
      <c r="AE18" s="687"/>
      <c r="AF18" s="445" t="s">
        <v>157</v>
      </c>
      <c r="AG18" s="432">
        <f>AG6</f>
        <v>95848.196918978676</v>
      </c>
      <c r="AH18" s="433">
        <f>(AG18/$AG$3)</f>
        <v>0.25279895550050691</v>
      </c>
      <c r="AI18" s="434">
        <f>AI6</f>
        <v>5062.1280665670511</v>
      </c>
      <c r="AJ18" s="435">
        <f t="shared" ref="AJ18:AJ20" si="6">AG18*AI18</f>
        <v>485195847.75340748</v>
      </c>
      <c r="AL18" s="687"/>
      <c r="AM18" s="445" t="s">
        <v>157</v>
      </c>
      <c r="AN18" s="432">
        <f>AN6</f>
        <v>95848.196918978676</v>
      </c>
      <c r="AO18" s="433">
        <f>(AN18/$AG$3)</f>
        <v>0.25279895550050691</v>
      </c>
      <c r="AP18" s="434">
        <f>AP6</f>
        <v>5622.908823703975</v>
      </c>
      <c r="AQ18" s="435">
        <f t="shared" ref="AQ18:AQ20" si="7">AN18*AP18</f>
        <v>538945672.19184136</v>
      </c>
    </row>
    <row r="19" spans="2:44" ht="10.5" customHeight="1" x14ac:dyDescent="0.3">
      <c r="B19" s="738" t="s">
        <v>161</v>
      </c>
      <c r="C19" s="739"/>
      <c r="D19" s="740"/>
      <c r="E19" s="464"/>
      <c r="F19" s="465"/>
      <c r="G19" s="449">
        <f t="shared" si="5"/>
        <v>0.17005037398870401</v>
      </c>
      <c r="H19" s="451">
        <v>4456</v>
      </c>
      <c r="AE19" s="687"/>
      <c r="AF19" s="445" t="s">
        <v>168</v>
      </c>
      <c r="AG19" s="432">
        <v>230400</v>
      </c>
      <c r="AH19" s="433">
        <f t="shared" ref="AH19:AH20" si="8">(AG19/$AG$3)</f>
        <v>0.60767840418064101</v>
      </c>
      <c r="AI19" s="434">
        <v>10763</v>
      </c>
      <c r="AJ19" s="435">
        <f t="shared" si="6"/>
        <v>2479795200</v>
      </c>
      <c r="AL19" s="687"/>
      <c r="AM19" s="445" t="s">
        <v>168</v>
      </c>
      <c r="AN19" s="432">
        <v>230400</v>
      </c>
      <c r="AO19" s="433">
        <f t="shared" ref="AO19:AO20" si="9">(AN19/$AG$3)</f>
        <v>0.60767840418064101</v>
      </c>
      <c r="AP19" s="434">
        <v>10763</v>
      </c>
      <c r="AQ19" s="435">
        <f>AN19*AP19</f>
        <v>2479795200</v>
      </c>
      <c r="AR19" s="473"/>
    </row>
    <row r="20" spans="2:44" ht="12.75" customHeight="1" thickBot="1" x14ac:dyDescent="0.35">
      <c r="B20" s="741" t="s">
        <v>162</v>
      </c>
      <c r="C20" s="742"/>
      <c r="D20" s="743"/>
      <c r="E20" s="464"/>
      <c r="F20" s="465"/>
      <c r="G20" s="449">
        <f t="shared" si="5"/>
        <v>1.1753930697603419E-2</v>
      </c>
      <c r="H20" s="463">
        <v>308</v>
      </c>
      <c r="AE20" s="688"/>
      <c r="AF20" s="452" t="s">
        <v>158</v>
      </c>
      <c r="AG20" s="453">
        <f>AG15-AG18-AG19</f>
        <v>52899.718186969985</v>
      </c>
      <c r="AH20" s="454">
        <f t="shared" si="8"/>
        <v>0.13952264031885223</v>
      </c>
      <c r="AI20" s="455">
        <v>12700</v>
      </c>
      <c r="AJ20" s="456">
        <f t="shared" si="6"/>
        <v>671826420.97451878</v>
      </c>
      <c r="AL20" s="688"/>
      <c r="AM20" s="452" t="s">
        <v>158</v>
      </c>
      <c r="AN20" s="453">
        <f>AN15-AN18-AN19</f>
        <v>52899.718186969985</v>
      </c>
      <c r="AO20" s="454">
        <f t="shared" si="9"/>
        <v>0.13952264031885223</v>
      </c>
      <c r="AP20" s="455">
        <v>12700</v>
      </c>
      <c r="AQ20" s="456">
        <f t="shared" si="7"/>
        <v>671826420.97451878</v>
      </c>
    </row>
    <row r="21" spans="2:44" ht="15" thickBot="1" x14ac:dyDescent="0.35">
      <c r="B21" s="731"/>
      <c r="C21" s="731"/>
      <c r="D21" s="731"/>
      <c r="E21" s="464"/>
      <c r="F21" s="465"/>
      <c r="AE21" s="330"/>
      <c r="AI21" s="331" t="s">
        <v>137</v>
      </c>
      <c r="AJ21" s="332">
        <f>SUM(AJ16:AJ20)</f>
        <v>7453815565.797657</v>
      </c>
      <c r="AL21" s="330"/>
      <c r="AP21" s="331" t="s">
        <v>137</v>
      </c>
      <c r="AQ21" s="332">
        <f>SUM(AQ16:AQ20)</f>
        <v>8175224911.6320438</v>
      </c>
    </row>
    <row r="22" spans="2:44" ht="15.75" customHeight="1" thickBot="1" x14ac:dyDescent="0.35">
      <c r="B22" s="731"/>
      <c r="C22" s="731"/>
      <c r="D22" s="731"/>
      <c r="E22" s="464"/>
      <c r="F22" s="465"/>
      <c r="AG22" s="678" t="s">
        <v>237</v>
      </c>
      <c r="AH22" s="679"/>
      <c r="AI22" s="262" t="s">
        <v>173</v>
      </c>
      <c r="AJ22" s="335">
        <f>AJ16/AG16</f>
        <v>10067.306043350161</v>
      </c>
      <c r="AN22" s="678" t="s">
        <v>237</v>
      </c>
      <c r="AO22" s="679"/>
      <c r="AP22" s="262" t="s">
        <v>173</v>
      </c>
      <c r="AQ22" s="335">
        <f>AQ16/AN16</f>
        <v>11828.253406622312</v>
      </c>
    </row>
    <row r="23" spans="2:44" ht="13.5" customHeight="1" thickBot="1" x14ac:dyDescent="0.35">
      <c r="AG23" s="678" t="s">
        <v>238</v>
      </c>
      <c r="AH23" s="679"/>
      <c r="AI23" s="262" t="s">
        <v>173</v>
      </c>
      <c r="AJ23" s="335">
        <f>SUM(AJ17:AJ20)/AG15</f>
        <v>9592.0808840836125</v>
      </c>
      <c r="AN23" s="678" t="s">
        <v>238</v>
      </c>
      <c r="AO23" s="679"/>
      <c r="AP23" s="262" t="s">
        <v>173</v>
      </c>
      <c r="AQ23" s="335">
        <f>SUM(AQ17:AQ20)/AN15</f>
        <v>9733.8456737526103</v>
      </c>
    </row>
    <row r="24" spans="2:44" ht="11.25" customHeight="1" thickBot="1" x14ac:dyDescent="0.35">
      <c r="AG24" s="680" t="s">
        <v>239</v>
      </c>
      <c r="AH24" s="681"/>
      <c r="AI24" s="336" t="s">
        <v>173</v>
      </c>
      <c r="AJ24" s="337">
        <f>SUM(AJ22:AJ23)</f>
        <v>19659.386927433774</v>
      </c>
      <c r="AN24" s="680" t="s">
        <v>239</v>
      </c>
      <c r="AO24" s="681"/>
      <c r="AP24" s="336" t="s">
        <v>173</v>
      </c>
      <c r="AQ24" s="337">
        <f>SUM(AQ22:AQ23)</f>
        <v>21562.099080374923</v>
      </c>
      <c r="AR24" s="474">
        <f>AQ24-AQ12</f>
        <v>4443.4490971757041</v>
      </c>
    </row>
    <row r="25" spans="2:44" ht="9" customHeight="1" thickBot="1" x14ac:dyDescent="0.35">
      <c r="AG25" s="339"/>
      <c r="AH25" s="339"/>
      <c r="AI25" s="339"/>
      <c r="AJ25" s="340"/>
      <c r="AN25" s="339"/>
      <c r="AO25" s="339"/>
      <c r="AP25" s="339"/>
      <c r="AQ25" s="340"/>
    </row>
    <row r="26" spans="2:44" ht="12.75" customHeight="1" thickBot="1" x14ac:dyDescent="0.35">
      <c r="AH26" s="728" t="s">
        <v>236</v>
      </c>
      <c r="AI26" s="729"/>
      <c r="AJ26" s="475">
        <f>AJ9</f>
        <v>5725572502.0892763</v>
      </c>
      <c r="AO26" s="728" t="s">
        <v>236</v>
      </c>
      <c r="AP26" s="729"/>
      <c r="AQ26" s="475">
        <f>AQ9</f>
        <v>6490500450.558465</v>
      </c>
    </row>
    <row r="27" spans="2:44" ht="14.25" customHeight="1" thickBot="1" x14ac:dyDescent="0.35">
      <c r="AH27" s="726" t="s">
        <v>235</v>
      </c>
      <c r="AI27" s="730"/>
      <c r="AJ27" s="476">
        <f>AJ21</f>
        <v>7453815565.797657</v>
      </c>
      <c r="AO27" s="726" t="s">
        <v>235</v>
      </c>
      <c r="AP27" s="730"/>
      <c r="AQ27" s="476">
        <f>AQ21</f>
        <v>8175224911.6320438</v>
      </c>
    </row>
    <row r="28" spans="2:44" ht="6.75" customHeight="1" thickBot="1" x14ac:dyDescent="0.35"/>
    <row r="29" spans="2:44" ht="15" thickBot="1" x14ac:dyDescent="0.35">
      <c r="AH29" s="724" t="s">
        <v>240</v>
      </c>
      <c r="AI29" s="725"/>
      <c r="AJ29" s="477">
        <f>AJ27-AJ26</f>
        <v>1728243063.7083807</v>
      </c>
      <c r="AO29" s="724" t="s">
        <v>240</v>
      </c>
      <c r="AP29" s="725"/>
      <c r="AQ29" s="477">
        <f>AQ27-AQ26</f>
        <v>1684724461.0735788</v>
      </c>
    </row>
    <row r="30" spans="2:44" ht="7.5" customHeight="1" thickBot="1" x14ac:dyDescent="0.35"/>
    <row r="31" spans="2:44" ht="12.75" customHeight="1" thickBot="1" x14ac:dyDescent="0.35">
      <c r="AE31" s="682" t="s">
        <v>171</v>
      </c>
      <c r="AF31" s="683"/>
      <c r="AG31" s="246" t="s">
        <v>172</v>
      </c>
      <c r="AH31" s="247" t="s">
        <v>165</v>
      </c>
      <c r="AL31" s="682" t="s">
        <v>171</v>
      </c>
      <c r="AM31" s="683"/>
      <c r="AN31" s="246" t="s">
        <v>172</v>
      </c>
      <c r="AO31" s="247" t="s">
        <v>165</v>
      </c>
    </row>
    <row r="32" spans="2:44" ht="12" customHeight="1" thickBot="1" x14ac:dyDescent="0.35">
      <c r="AE32" s="684"/>
      <c r="AF32" s="685"/>
      <c r="AG32" s="307">
        <f>AG15</f>
        <v>379147.91510594863</v>
      </c>
      <c r="AH32" s="308">
        <v>1</v>
      </c>
      <c r="AI32" s="261" t="s">
        <v>169</v>
      </c>
      <c r="AJ32" s="263" t="s">
        <v>170</v>
      </c>
      <c r="AL32" s="684"/>
      <c r="AM32" s="685"/>
      <c r="AN32" s="307">
        <f>AN15</f>
        <v>379147.91510594863</v>
      </c>
      <c r="AO32" s="308">
        <v>1</v>
      </c>
      <c r="AP32" s="261" t="s">
        <v>169</v>
      </c>
      <c r="AQ32" s="263" t="s">
        <v>170</v>
      </c>
    </row>
    <row r="33" spans="31:46" ht="54" customHeight="1" thickBot="1" x14ac:dyDescent="0.35">
      <c r="AE33" s="409" t="s">
        <v>229</v>
      </c>
      <c r="AF33" s="410" t="s">
        <v>230</v>
      </c>
      <c r="AG33" s="411">
        <f>AG32</f>
        <v>379147.91510594863</v>
      </c>
      <c r="AH33" s="471">
        <v>1</v>
      </c>
      <c r="AI33" s="413">
        <f>AI16</f>
        <v>10067.306043350161</v>
      </c>
      <c r="AJ33" s="414">
        <f>AG33*AI33</f>
        <v>3816998097.0697308</v>
      </c>
      <c r="AL33" s="409" t="s">
        <v>229</v>
      </c>
      <c r="AM33" s="410" t="s">
        <v>241</v>
      </c>
      <c r="AN33" s="411">
        <f>AN32</f>
        <v>379147.91510594863</v>
      </c>
      <c r="AO33" s="471">
        <v>1</v>
      </c>
      <c r="AP33" s="413">
        <f>AP16</f>
        <v>11828.253406622311</v>
      </c>
      <c r="AQ33" s="414">
        <f>AN33*AP33</f>
        <v>4484657618.4656839</v>
      </c>
    </row>
    <row r="34" spans="31:46" ht="21" customHeight="1" x14ac:dyDescent="0.3">
      <c r="AE34" s="686" t="s">
        <v>166</v>
      </c>
      <c r="AF34" s="420" t="s">
        <v>228</v>
      </c>
      <c r="AG34" s="421">
        <v>0</v>
      </c>
      <c r="AH34" s="422">
        <f>(AG34/$AG$3)</f>
        <v>0</v>
      </c>
      <c r="AI34" s="423">
        <v>0</v>
      </c>
      <c r="AJ34" s="424">
        <f>AG34*AI34</f>
        <v>0</v>
      </c>
      <c r="AL34" s="686" t="s">
        <v>166</v>
      </c>
      <c r="AM34" s="420" t="s">
        <v>228</v>
      </c>
      <c r="AN34" s="421">
        <v>0</v>
      </c>
      <c r="AO34" s="422">
        <f>(AN34/$AG$3)</f>
        <v>0</v>
      </c>
      <c r="AP34" s="423">
        <v>0</v>
      </c>
      <c r="AQ34" s="424">
        <v>0</v>
      </c>
    </row>
    <row r="35" spans="31:46" ht="11.25" customHeight="1" x14ac:dyDescent="0.3">
      <c r="AE35" s="687"/>
      <c r="AF35" s="445" t="s">
        <v>157</v>
      </c>
      <c r="AG35" s="432">
        <v>0</v>
      </c>
      <c r="AH35" s="433">
        <f>(AG35/$AG$3)</f>
        <v>0</v>
      </c>
      <c r="AI35" s="434">
        <v>0</v>
      </c>
      <c r="AJ35" s="435">
        <f t="shared" ref="AJ35:AJ37" si="10">AG35*AI35</f>
        <v>0</v>
      </c>
      <c r="AL35" s="687"/>
      <c r="AM35" s="445" t="s">
        <v>157</v>
      </c>
      <c r="AN35" s="432">
        <v>0</v>
      </c>
      <c r="AO35" s="433">
        <f>(AN35/$AG$3)</f>
        <v>0</v>
      </c>
      <c r="AP35" s="434">
        <v>0</v>
      </c>
      <c r="AQ35" s="435">
        <f t="shared" ref="AQ35:AQ37" si="11">AN35*AP35</f>
        <v>0</v>
      </c>
    </row>
    <row r="36" spans="31:46" ht="11.25" customHeight="1" x14ac:dyDescent="0.3">
      <c r="AE36" s="687"/>
      <c r="AF36" s="445" t="s">
        <v>168</v>
      </c>
      <c r="AG36" s="432">
        <v>230400</v>
      </c>
      <c r="AH36" s="433">
        <f t="shared" ref="AH36:AH37" si="12">(AG36/$AG$3)</f>
        <v>0.60767840418064101</v>
      </c>
      <c r="AI36" s="434">
        <v>10763</v>
      </c>
      <c r="AJ36" s="435">
        <f t="shared" si="10"/>
        <v>2479795200</v>
      </c>
      <c r="AL36" s="687"/>
      <c r="AM36" s="445" t="s">
        <v>168</v>
      </c>
      <c r="AN36" s="432">
        <v>230400</v>
      </c>
      <c r="AO36" s="433">
        <f t="shared" ref="AO36:AO37" si="13">(AN36/$AG$3)</f>
        <v>0.60767840418064101</v>
      </c>
      <c r="AP36" s="434">
        <v>10763</v>
      </c>
      <c r="AQ36" s="435">
        <f t="shared" si="11"/>
        <v>2479795200</v>
      </c>
    </row>
    <row r="37" spans="31:46" ht="12.75" customHeight="1" thickBot="1" x14ac:dyDescent="0.35">
      <c r="AE37" s="688"/>
      <c r="AF37" s="452" t="s">
        <v>158</v>
      </c>
      <c r="AG37" s="453">
        <f>AG32-AG35-AG36</f>
        <v>148747.91510594863</v>
      </c>
      <c r="AH37" s="454">
        <f t="shared" si="12"/>
        <v>0.39232159581935905</v>
      </c>
      <c r="AI37" s="455">
        <v>12700</v>
      </c>
      <c r="AJ37" s="456">
        <f t="shared" si="10"/>
        <v>1889098521.8455477</v>
      </c>
      <c r="AL37" s="688"/>
      <c r="AM37" s="452" t="s">
        <v>158</v>
      </c>
      <c r="AN37" s="453">
        <f>AN32-AN35-AN36</f>
        <v>148747.91510594863</v>
      </c>
      <c r="AO37" s="454">
        <f t="shared" si="13"/>
        <v>0.39232159581935905</v>
      </c>
      <c r="AP37" s="455">
        <v>12700</v>
      </c>
      <c r="AQ37" s="456">
        <f t="shared" si="11"/>
        <v>1889098521.8455477</v>
      </c>
    </row>
    <row r="38" spans="31:46" ht="15" thickBot="1" x14ac:dyDescent="0.35">
      <c r="AE38" s="330"/>
      <c r="AI38" s="331" t="s">
        <v>137</v>
      </c>
      <c r="AJ38" s="332">
        <f>SUM(AJ33:AJ37)</f>
        <v>8185891818.9152784</v>
      </c>
      <c r="AL38" s="330"/>
      <c r="AP38" s="331" t="s">
        <v>137</v>
      </c>
      <c r="AQ38" s="332">
        <f>SUM(AQ33:AQ37)</f>
        <v>8853551340.3112316</v>
      </c>
    </row>
    <row r="39" spans="31:46" ht="13.5" customHeight="1" thickBot="1" x14ac:dyDescent="0.35">
      <c r="AG39" s="678" t="s">
        <v>237</v>
      </c>
      <c r="AH39" s="679"/>
      <c r="AI39" s="262" t="s">
        <v>173</v>
      </c>
      <c r="AJ39" s="335">
        <f>AJ33/AG33</f>
        <v>10067.306043350161</v>
      </c>
      <c r="AN39" s="678" t="s">
        <v>237</v>
      </c>
      <c r="AO39" s="679"/>
      <c r="AP39" s="262" t="s">
        <v>173</v>
      </c>
      <c r="AQ39" s="335">
        <f>AQ33/AN33</f>
        <v>11828.253406622312</v>
      </c>
    </row>
    <row r="40" spans="31:46" ht="12" customHeight="1" thickBot="1" x14ac:dyDescent="0.35">
      <c r="AG40" s="678" t="s">
        <v>238</v>
      </c>
      <c r="AH40" s="679"/>
      <c r="AI40" s="262" t="s">
        <v>173</v>
      </c>
      <c r="AJ40" s="335">
        <f>SUM(AJ34:AJ37)/AG32</f>
        <v>11522.926931102098</v>
      </c>
      <c r="AN40" s="678" t="s">
        <v>238</v>
      </c>
      <c r="AO40" s="679"/>
      <c r="AP40" s="262" t="s">
        <v>173</v>
      </c>
      <c r="AQ40" s="335">
        <f>SUM(AQ34:AQ37)/AN32</f>
        <v>11522.926931102098</v>
      </c>
    </row>
    <row r="41" spans="31:46" ht="15" thickBot="1" x14ac:dyDescent="0.35">
      <c r="AG41" s="680" t="s">
        <v>239</v>
      </c>
      <c r="AH41" s="681"/>
      <c r="AI41" s="336" t="s">
        <v>173</v>
      </c>
      <c r="AJ41" s="337">
        <f>SUM(AJ39:AJ40)</f>
        <v>21590.232974452258</v>
      </c>
      <c r="AN41" s="680" t="s">
        <v>239</v>
      </c>
      <c r="AO41" s="681"/>
      <c r="AP41" s="336" t="s">
        <v>173</v>
      </c>
      <c r="AQ41" s="337">
        <f>SUM(AQ39:AQ40)</f>
        <v>23351.18033772441</v>
      </c>
      <c r="AR41" s="474">
        <f>AQ41-AQ12</f>
        <v>6232.5303545251918</v>
      </c>
    </row>
    <row r="42" spans="31:46" ht="6" customHeight="1" thickBot="1" x14ac:dyDescent="0.35">
      <c r="AG42" s="339"/>
      <c r="AH42" s="339"/>
      <c r="AI42" s="339"/>
      <c r="AJ42" s="340"/>
      <c r="AN42" s="339"/>
      <c r="AO42" s="339"/>
      <c r="AP42" s="339"/>
      <c r="AQ42" s="340"/>
    </row>
    <row r="43" spans="31:46" ht="19.5" customHeight="1" thickBot="1" x14ac:dyDescent="0.35">
      <c r="AH43" s="728" t="s">
        <v>249</v>
      </c>
      <c r="AI43" s="729"/>
      <c r="AJ43" s="475">
        <f>AJ26</f>
        <v>5725572502.0892763</v>
      </c>
      <c r="AO43" s="728" t="s">
        <v>249</v>
      </c>
      <c r="AP43" s="729"/>
      <c r="AQ43" s="475">
        <f>AQ9</f>
        <v>6490500450.558465</v>
      </c>
      <c r="AS43" s="311"/>
    </row>
    <row r="44" spans="31:46" ht="21" customHeight="1" thickBot="1" x14ac:dyDescent="0.35">
      <c r="AH44" s="726" t="s">
        <v>248</v>
      </c>
      <c r="AI44" s="730"/>
      <c r="AJ44" s="476">
        <f>AJ38</f>
        <v>8185891818.9152784</v>
      </c>
      <c r="AO44" s="728" t="s">
        <v>235</v>
      </c>
      <c r="AP44" s="729"/>
      <c r="AQ44" s="478">
        <f>AQ21</f>
        <v>8175224911.6320438</v>
      </c>
      <c r="AR44" s="479">
        <f>AQ44-AQ43</f>
        <v>1684724461.0735788</v>
      </c>
      <c r="AS44" s="311"/>
    </row>
    <row r="45" spans="31:46" ht="15" customHeight="1" thickBot="1" x14ac:dyDescent="0.35">
      <c r="AH45" s="339"/>
      <c r="AI45" s="339"/>
      <c r="AJ45" s="480"/>
      <c r="AO45" s="726" t="s">
        <v>248</v>
      </c>
      <c r="AP45" s="727"/>
      <c r="AQ45" s="481">
        <f>AQ38</f>
        <v>8853551340.3112316</v>
      </c>
      <c r="AR45" s="482">
        <f>AQ45-AQ43</f>
        <v>2363050889.7527666</v>
      </c>
      <c r="AS45" s="311"/>
      <c r="AT45" s="311"/>
    </row>
    <row r="46" spans="31:46" ht="15" thickBot="1" x14ac:dyDescent="0.35"/>
    <row r="47" spans="31:46" ht="15" thickBot="1" x14ac:dyDescent="0.35">
      <c r="AH47" s="724" t="s">
        <v>240</v>
      </c>
      <c r="AI47" s="725"/>
      <c r="AJ47" s="483">
        <f>AJ44-AJ43</f>
        <v>2460319316.8260021</v>
      </c>
      <c r="AK47" s="296"/>
      <c r="AL47" s="296"/>
      <c r="AM47" s="296"/>
      <c r="AN47" s="296"/>
      <c r="AO47" s="724" t="s">
        <v>240</v>
      </c>
      <c r="AP47" s="725"/>
      <c r="AQ47" s="483">
        <f>AQ45-AQ43</f>
        <v>2363050889.7527666</v>
      </c>
      <c r="AT47" s="329"/>
    </row>
    <row r="48" spans="31:46" hidden="1" x14ac:dyDescent="0.3"/>
    <row r="49" spans="40:47" hidden="1" x14ac:dyDescent="0.3"/>
    <row r="50" spans="40:47" ht="15" hidden="1" thickBot="1" x14ac:dyDescent="0.35">
      <c r="AO50" s="477">
        <v>30000000000</v>
      </c>
      <c r="AQ50" s="46">
        <f>AO50/AQ47</f>
        <v>12.695452362068572</v>
      </c>
    </row>
    <row r="51" spans="40:47" hidden="1" x14ac:dyDescent="0.3"/>
    <row r="52" spans="40:47" ht="15" hidden="1" thickBot="1" x14ac:dyDescent="0.35">
      <c r="AN52" s="46">
        <v>3600</v>
      </c>
      <c r="AO52" s="477">
        <v>3400000</v>
      </c>
      <c r="AP52" s="46" t="s">
        <v>251</v>
      </c>
      <c r="AR52" s="329">
        <f>AQ4</f>
        <v>4484657618.4656839</v>
      </c>
    </row>
    <row r="53" spans="40:47" hidden="1" x14ac:dyDescent="0.3">
      <c r="AO53" s="329">
        <f>AO52*AN52</f>
        <v>12240000000</v>
      </c>
    </row>
    <row r="54" spans="40:47" hidden="1" x14ac:dyDescent="0.3">
      <c r="AR54" s="329">
        <f>AQ47+AR52</f>
        <v>6847708508.2184505</v>
      </c>
    </row>
    <row r="55" spans="40:47" ht="15" hidden="1" thickBot="1" x14ac:dyDescent="0.35">
      <c r="AO55" s="477">
        <v>6000000000</v>
      </c>
      <c r="AP55" s="46" t="s">
        <v>252</v>
      </c>
    </row>
    <row r="56" spans="40:47" ht="15" hidden="1" thickBot="1" x14ac:dyDescent="0.35">
      <c r="AO56" s="477">
        <v>3000000000</v>
      </c>
      <c r="AP56" s="46" t="s">
        <v>253</v>
      </c>
      <c r="AR56" s="360">
        <f>AO62/AR54</f>
        <v>2.7863335562693208</v>
      </c>
    </row>
    <row r="57" spans="40:47" hidden="1" x14ac:dyDescent="0.3"/>
    <row r="58" spans="40:47" ht="15" hidden="1" thickBot="1" x14ac:dyDescent="0.35">
      <c r="AO58" s="477">
        <v>600000</v>
      </c>
      <c r="AP58" s="46" t="s">
        <v>254</v>
      </c>
      <c r="AU58" t="s">
        <v>255</v>
      </c>
    </row>
    <row r="59" spans="40:47" hidden="1" x14ac:dyDescent="0.3">
      <c r="AO59" s="329">
        <f>AN52*AO58</f>
        <v>2160000000</v>
      </c>
    </row>
    <row r="60" spans="40:47" hidden="1" x14ac:dyDescent="0.3"/>
    <row r="61" spans="40:47" hidden="1" x14ac:dyDescent="0.3">
      <c r="AT61" s="329"/>
      <c r="AU61" t="s">
        <v>256</v>
      </c>
    </row>
    <row r="62" spans="40:47" hidden="1" x14ac:dyDescent="0.3">
      <c r="AO62" s="329">
        <f>AO53+AO55+AO56-AO59</f>
        <v>19080000000</v>
      </c>
    </row>
    <row r="63" spans="40:47" hidden="1" x14ac:dyDescent="0.3"/>
    <row r="64" spans="40:47" hidden="1" x14ac:dyDescent="0.3"/>
    <row r="65" spans="40:47" hidden="1" x14ac:dyDescent="0.3">
      <c r="AT65" s="285"/>
      <c r="AU65" s="221" t="s">
        <v>255</v>
      </c>
    </row>
    <row r="66" spans="40:47" ht="15" hidden="1" thickBot="1" x14ac:dyDescent="0.35">
      <c r="AO66" s="477">
        <v>9000000000</v>
      </c>
      <c r="AP66" s="46" t="s">
        <v>257</v>
      </c>
      <c r="AT66" s="285"/>
      <c r="AU66" s="221" t="s">
        <v>260</v>
      </c>
    </row>
    <row r="67" spans="40:47" ht="15" hidden="1" thickBot="1" x14ac:dyDescent="0.35">
      <c r="AO67" s="477">
        <v>3000000000</v>
      </c>
      <c r="AP67" s="46" t="s">
        <v>258</v>
      </c>
      <c r="AT67" s="283"/>
      <c r="AU67" s="221" t="s">
        <v>164</v>
      </c>
    </row>
    <row r="68" spans="40:47" ht="22.5" hidden="1" customHeight="1" x14ac:dyDescent="0.3">
      <c r="AN68" s="46">
        <v>4500</v>
      </c>
      <c r="AO68" s="477">
        <v>2300000</v>
      </c>
      <c r="AP68" s="46" t="s">
        <v>259</v>
      </c>
      <c r="AT68" s="285"/>
      <c r="AU68" s="221" t="s">
        <v>261</v>
      </c>
    </row>
    <row r="69" spans="40:47" hidden="1" x14ac:dyDescent="0.3">
      <c r="AO69" s="329">
        <f>AO68*AN68</f>
        <v>10350000000</v>
      </c>
    </row>
    <row r="70" spans="40:47" hidden="1" x14ac:dyDescent="0.3">
      <c r="AT70" s="285"/>
      <c r="AU70" s="221" t="s">
        <v>262</v>
      </c>
    </row>
    <row r="71" spans="40:47" hidden="1" x14ac:dyDescent="0.3">
      <c r="AT71" s="285"/>
      <c r="AU71" s="221" t="s">
        <v>263</v>
      </c>
    </row>
    <row r="72" spans="40:47" hidden="1" x14ac:dyDescent="0.3"/>
    <row r="73" spans="40:47" hidden="1" x14ac:dyDescent="0.3">
      <c r="AT73" s="285"/>
    </row>
    <row r="74" spans="40:47" hidden="1" x14ac:dyDescent="0.3">
      <c r="AT74" s="285"/>
    </row>
  </sheetData>
  <mergeCells count="58">
    <mergeCell ref="B2:C2"/>
    <mergeCell ref="AG10:AH10"/>
    <mergeCell ref="AH27:AI27"/>
    <mergeCell ref="AH29:AI29"/>
    <mergeCell ref="AE5:AE8"/>
    <mergeCell ref="AG11:AH11"/>
    <mergeCell ref="AG12:AH12"/>
    <mergeCell ref="AG22:AH22"/>
    <mergeCell ref="AG23:AH23"/>
    <mergeCell ref="AG24:AH24"/>
    <mergeCell ref="AE14:AF15"/>
    <mergeCell ref="AE17:AE20"/>
    <mergeCell ref="AH26:AI26"/>
    <mergeCell ref="B19:D19"/>
    <mergeCell ref="B20:D20"/>
    <mergeCell ref="B21:D21"/>
    <mergeCell ref="B22:D22"/>
    <mergeCell ref="B5:D5"/>
    <mergeCell ref="B6:D6"/>
    <mergeCell ref="B7:D7"/>
    <mergeCell ref="B9:D9"/>
    <mergeCell ref="B10:D10"/>
    <mergeCell ref="B14:C14"/>
    <mergeCell ref="B17:D17"/>
    <mergeCell ref="B18:D18"/>
    <mergeCell ref="B8:D8"/>
    <mergeCell ref="B16:D16"/>
    <mergeCell ref="AL2:AM3"/>
    <mergeCell ref="AL5:AL8"/>
    <mergeCell ref="AE2:AF3"/>
    <mergeCell ref="AN10:AO10"/>
    <mergeCell ref="AN11:AO11"/>
    <mergeCell ref="AN12:AO12"/>
    <mergeCell ref="AL14:AM15"/>
    <mergeCell ref="AL17:AL20"/>
    <mergeCell ref="AN22:AO22"/>
    <mergeCell ref="AN23:AO23"/>
    <mergeCell ref="AN24:AO24"/>
    <mergeCell ref="AO26:AP26"/>
    <mergeCell ref="AO27:AP27"/>
    <mergeCell ref="AO29:AP29"/>
    <mergeCell ref="AE31:AF32"/>
    <mergeCell ref="AL31:AM32"/>
    <mergeCell ref="AE34:AE37"/>
    <mergeCell ref="AL34:AL37"/>
    <mergeCell ref="AG39:AH39"/>
    <mergeCell ref="AN39:AO39"/>
    <mergeCell ref="AG40:AH40"/>
    <mergeCell ref="AN40:AO40"/>
    <mergeCell ref="AH47:AI47"/>
    <mergeCell ref="AO47:AP47"/>
    <mergeCell ref="AO45:AP45"/>
    <mergeCell ref="AG41:AH41"/>
    <mergeCell ref="AN41:AO41"/>
    <mergeCell ref="AH43:AI43"/>
    <mergeCell ref="AO43:AP43"/>
    <mergeCell ref="AH44:AI44"/>
    <mergeCell ref="AO44:AP44"/>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21F3E-8223-4232-B3EE-6600E5413E50}">
  <dimension ref="B1:W37"/>
  <sheetViews>
    <sheetView topLeftCell="C19" zoomScaleNormal="100" workbookViewId="0">
      <selection activeCell="V35" sqref="V35"/>
    </sheetView>
  </sheetViews>
  <sheetFormatPr baseColWidth="10" defaultRowHeight="14.4" x14ac:dyDescent="0.3"/>
  <cols>
    <col min="1" max="1" width="0.88671875" customWidth="1"/>
    <col min="2" max="2" width="9.33203125" customWidth="1"/>
    <col min="3" max="3" width="36.6640625" customWidth="1"/>
    <col min="4" max="4" width="6.88671875" customWidth="1"/>
    <col min="5" max="5" width="7.33203125" customWidth="1"/>
    <col min="6" max="6" width="7.88671875" customWidth="1"/>
    <col min="7" max="7" width="7.109375" customWidth="1"/>
    <col min="8" max="8" width="7.44140625" customWidth="1"/>
    <col min="9" max="9" width="6.5546875" customWidth="1"/>
    <col min="10" max="10" width="6.6640625" customWidth="1"/>
    <col min="11" max="11" width="6.44140625" customWidth="1"/>
    <col min="12" max="12" width="6" customWidth="1"/>
    <col min="13" max="13" width="6.6640625" customWidth="1"/>
    <col min="14" max="14" width="5.88671875" customWidth="1"/>
    <col min="15" max="15" width="8.88671875" customWidth="1"/>
    <col min="16" max="16" width="6.6640625" customWidth="1"/>
    <col min="17" max="17" width="8.109375" customWidth="1"/>
    <col min="18" max="18" width="7.88671875" customWidth="1"/>
    <col min="19" max="19" width="8.44140625" customWidth="1"/>
    <col min="20" max="20" width="9.5546875" customWidth="1"/>
    <col min="21" max="21" width="11.6640625" customWidth="1"/>
    <col min="22" max="22" width="6.6640625" customWidth="1"/>
  </cols>
  <sheetData>
    <row r="1" spans="2:23" ht="4.5" customHeight="1" thickBot="1" x14ac:dyDescent="0.35"/>
    <row r="2" spans="2:23" ht="11.25" customHeight="1" thickBot="1" x14ac:dyDescent="0.35">
      <c r="B2" s="758" t="s">
        <v>1</v>
      </c>
      <c r="C2" s="759"/>
      <c r="D2" s="759"/>
      <c r="E2" s="751"/>
      <c r="F2" s="239"/>
      <c r="G2" s="760" t="s">
        <v>243</v>
      </c>
      <c r="H2" s="760"/>
      <c r="I2" s="760"/>
      <c r="J2" s="760"/>
      <c r="K2" s="760"/>
      <c r="L2" s="760"/>
      <c r="M2" s="760"/>
      <c r="N2" s="760"/>
      <c r="O2" s="760"/>
      <c r="P2" s="760"/>
      <c r="Q2" s="760"/>
      <c r="R2" s="760"/>
      <c r="S2" s="760"/>
      <c r="T2" s="760"/>
      <c r="U2" s="761"/>
      <c r="V2" s="762"/>
    </row>
    <row r="3" spans="2:23" ht="25.5" customHeight="1" thickBot="1" x14ac:dyDescent="0.35">
      <c r="B3" s="788" t="s">
        <v>2</v>
      </c>
      <c r="C3" s="763" t="s">
        <v>3</v>
      </c>
      <c r="D3" s="792" t="s">
        <v>4</v>
      </c>
      <c r="E3" s="795" t="s">
        <v>205</v>
      </c>
      <c r="F3" s="796"/>
      <c r="G3" s="176" t="s">
        <v>202</v>
      </c>
      <c r="H3" s="177" t="s">
        <v>201</v>
      </c>
      <c r="I3" s="177" t="s">
        <v>200</v>
      </c>
      <c r="J3" s="177" t="s">
        <v>199</v>
      </c>
      <c r="K3" s="177" t="s">
        <v>198</v>
      </c>
      <c r="L3" s="177" t="s">
        <v>197</v>
      </c>
      <c r="M3" s="178" t="s">
        <v>196</v>
      </c>
      <c r="N3" s="178" t="s">
        <v>195</v>
      </c>
      <c r="O3" s="178" t="s">
        <v>194</v>
      </c>
      <c r="P3" s="177" t="s">
        <v>193</v>
      </c>
      <c r="Q3" s="177" t="s">
        <v>192</v>
      </c>
      <c r="R3" s="179" t="s">
        <v>191</v>
      </c>
      <c r="S3" s="771" t="s">
        <v>186</v>
      </c>
      <c r="T3" s="773" t="s">
        <v>133</v>
      </c>
      <c r="U3" s="776" t="s">
        <v>170</v>
      </c>
      <c r="V3" s="779" t="s">
        <v>173</v>
      </c>
    </row>
    <row r="4" spans="2:23" ht="10.5" customHeight="1" thickBot="1" x14ac:dyDescent="0.35">
      <c r="B4" s="789"/>
      <c r="C4" s="764"/>
      <c r="D4" s="793"/>
      <c r="E4" s="782" t="s">
        <v>136</v>
      </c>
      <c r="F4" s="747" t="s">
        <v>404</v>
      </c>
      <c r="G4" s="784" t="s">
        <v>206</v>
      </c>
      <c r="H4" s="785"/>
      <c r="I4" s="785"/>
      <c r="J4" s="785"/>
      <c r="K4" s="785"/>
      <c r="L4" s="785"/>
      <c r="M4" s="785"/>
      <c r="N4" s="785"/>
      <c r="O4" s="785"/>
      <c r="P4" s="785"/>
      <c r="Q4" s="785"/>
      <c r="R4" s="786"/>
      <c r="S4" s="772"/>
      <c r="T4" s="774"/>
      <c r="U4" s="777"/>
      <c r="V4" s="780"/>
    </row>
    <row r="5" spans="2:23" ht="10.5" customHeight="1" thickBot="1" x14ac:dyDescent="0.35">
      <c r="B5" s="790"/>
      <c r="C5" s="765"/>
      <c r="D5" s="794"/>
      <c r="E5" s="791"/>
      <c r="F5" s="748"/>
      <c r="G5" s="500">
        <f>'PLAN MAESTRO BOGOTA RECIRCU'!F5</f>
        <v>27229</v>
      </c>
      <c r="H5" s="173">
        <f>'PLAN MAESTRO BOGOTA RECIRCU'!H5</f>
        <v>26637.41599928544</v>
      </c>
      <c r="I5" s="173">
        <f>'PLAN MAESTRO BOGOTA RECIRCU'!J5</f>
        <v>25371.21130726752</v>
      </c>
      <c r="J5" s="173">
        <f>'PLAN MAESTRO BOGOTA RECIRCU'!L5</f>
        <v>28996.038995013121</v>
      </c>
      <c r="K5" s="173">
        <f>'PLAN MAESTRO BOGOTA RECIRCU'!N5</f>
        <v>31421.600339636221</v>
      </c>
      <c r="L5" s="173">
        <f>'PLAN MAESTRO BOGOTA RECIRCU'!P5</f>
        <v>34249.300539058881</v>
      </c>
      <c r="M5" s="174">
        <f>'PLAN MAESTRO BOGOTA RECIRCU'!R5</f>
        <v>40509.091493235203</v>
      </c>
      <c r="N5" s="174">
        <f>'PLAN MAESTRO BOGOTA RECIRCU'!T5</f>
        <v>40285.49200255872</v>
      </c>
      <c r="O5" s="174">
        <f>'PLAN MAESTRO BOGOTA RECIRCU'!V5</f>
        <v>43482.436859595713</v>
      </c>
      <c r="P5" s="173">
        <f>'PLAN MAESTRO BOGOTA RECIRCU'!X5</f>
        <v>40858.186350272197</v>
      </c>
      <c r="Q5" s="173">
        <f>'PLAN MAESTRO BOGOTA RECIRCU'!Z5</f>
        <v>26685.67577546708</v>
      </c>
      <c r="R5" s="175">
        <f>'PLAN MAESTRO BOGOTA RECIRCU'!AB5</f>
        <v>13422.465444558526</v>
      </c>
      <c r="S5" s="212">
        <f>SUM(G5:R5)</f>
        <v>379147.91510594863</v>
      </c>
      <c r="T5" s="775"/>
      <c r="U5" s="778"/>
      <c r="V5" s="781"/>
    </row>
    <row r="6" spans="2:23" ht="10.5" customHeight="1" x14ac:dyDescent="0.3">
      <c r="B6" s="752" t="s">
        <v>204</v>
      </c>
      <c r="C6" s="180" t="s">
        <v>5</v>
      </c>
      <c r="D6" s="505" t="s">
        <v>6</v>
      </c>
      <c r="E6" s="509">
        <f>'Resumen costos Ptar Bogotá'!U6</f>
        <v>1.3583636363636362E-2</v>
      </c>
      <c r="F6" s="510">
        <f>E6*1000</f>
        <v>13.583636363636362</v>
      </c>
      <c r="G6" s="501">
        <f>$E$6*G5</f>
        <v>369.86883454545449</v>
      </c>
      <c r="H6" s="161">
        <f t="shared" ref="H6:R6" si="0">$E$6*H5</f>
        <v>361.8329726012027</v>
      </c>
      <c r="I6" s="161">
        <f t="shared" si="0"/>
        <v>344.63330850290112</v>
      </c>
      <c r="J6" s="161">
        <f t="shared" si="0"/>
        <v>393.8716496940782</v>
      </c>
      <c r="K6" s="161">
        <f t="shared" si="0"/>
        <v>426.81959297713121</v>
      </c>
      <c r="L6" s="161">
        <f t="shared" si="0"/>
        <v>465.23004423147069</v>
      </c>
      <c r="M6" s="161">
        <f t="shared" si="0"/>
        <v>550.26076826538213</v>
      </c>
      <c r="N6" s="161">
        <f t="shared" si="0"/>
        <v>547.22347409293843</v>
      </c>
      <c r="O6" s="161">
        <f t="shared" si="0"/>
        <v>590.64961050552643</v>
      </c>
      <c r="P6" s="161">
        <f t="shared" si="0"/>
        <v>555.00274585978832</v>
      </c>
      <c r="Q6" s="161">
        <f t="shared" si="0"/>
        <v>362.48851585184462</v>
      </c>
      <c r="R6" s="162">
        <f t="shared" si="0"/>
        <v>182.3258897023577</v>
      </c>
      <c r="S6" s="211">
        <f>+SUM(G6:R6)</f>
        <v>5150.2074068300763</v>
      </c>
      <c r="T6" s="144">
        <v>1650</v>
      </c>
      <c r="U6" s="145">
        <f>S6*T6</f>
        <v>8497842.2212696262</v>
      </c>
      <c r="V6" s="146">
        <f>U6/$S$5</f>
        <v>22.413</v>
      </c>
    </row>
    <row r="7" spans="2:23" ht="11.25" customHeight="1" x14ac:dyDescent="0.3">
      <c r="B7" s="753"/>
      <c r="C7" s="125" t="s">
        <v>7</v>
      </c>
      <c r="D7" s="506" t="s">
        <v>6</v>
      </c>
      <c r="E7" s="509">
        <f>'Resumen costos Ptar Bogotá'!U7</f>
        <v>1.1916666666666666E-3</v>
      </c>
      <c r="F7" s="510">
        <f t="shared" ref="F7:F20" si="1">E7*1000</f>
        <v>1.1916666666666667</v>
      </c>
      <c r="G7" s="502">
        <f>$E$7*G5</f>
        <v>32.447891666666663</v>
      </c>
      <c r="H7" s="137">
        <f t="shared" ref="H7:R7" si="2">$E$7*H5</f>
        <v>31.742920732481814</v>
      </c>
      <c r="I7" s="137">
        <f t="shared" si="2"/>
        <v>30.234026807827128</v>
      </c>
      <c r="J7" s="137">
        <f t="shared" si="2"/>
        <v>34.553613135723971</v>
      </c>
      <c r="K7" s="137">
        <f t="shared" si="2"/>
        <v>37.444073738066493</v>
      </c>
      <c r="L7" s="137">
        <f t="shared" si="2"/>
        <v>40.813749809045163</v>
      </c>
      <c r="M7" s="137">
        <f t="shared" si="2"/>
        <v>48.273334029438615</v>
      </c>
      <c r="N7" s="137">
        <f t="shared" si="2"/>
        <v>48.006877969715802</v>
      </c>
      <c r="O7" s="137">
        <f t="shared" si="2"/>
        <v>51.81657059101822</v>
      </c>
      <c r="P7" s="137">
        <f t="shared" si="2"/>
        <v>48.689338734074369</v>
      </c>
      <c r="Q7" s="137">
        <f t="shared" si="2"/>
        <v>31.80043029909827</v>
      </c>
      <c r="R7" s="141">
        <f t="shared" si="2"/>
        <v>15.995104654765576</v>
      </c>
      <c r="S7" s="138">
        <f t="shared" ref="S7:S20" si="3">+SUM(G7:R7)</f>
        <v>451.81793216792198</v>
      </c>
      <c r="T7" s="139">
        <v>4200</v>
      </c>
      <c r="U7" s="135">
        <f t="shared" ref="U7:U20" si="4">S7*T7</f>
        <v>1897635.3151052722</v>
      </c>
      <c r="V7" s="130">
        <f t="shared" ref="V7:V21" si="5">U7/$S$5</f>
        <v>5.0049999999999981</v>
      </c>
    </row>
    <row r="8" spans="2:23" ht="11.25" customHeight="1" x14ac:dyDescent="0.3">
      <c r="B8" s="753"/>
      <c r="C8" s="125" t="s">
        <v>8</v>
      </c>
      <c r="D8" s="507" t="s">
        <v>6</v>
      </c>
      <c r="E8" s="511">
        <f>'Resumen costos Ptar Bogotá'!U8</f>
        <v>1.8118957707722468E-5</v>
      </c>
      <c r="F8" s="510">
        <f t="shared" si="1"/>
        <v>1.8118957707722469E-2</v>
      </c>
      <c r="G8" s="503">
        <f>$E$8*G5</f>
        <v>0.49336109942357509</v>
      </c>
      <c r="H8" s="169">
        <f t="shared" ref="H8:R8" si="6">$E$8*H5</f>
        <v>0.4826422139340627</v>
      </c>
      <c r="I8" s="169">
        <f t="shared" si="6"/>
        <v>0.45969990467007027</v>
      </c>
      <c r="J8" s="169">
        <f t="shared" si="6"/>
        <v>0.52537800424211423</v>
      </c>
      <c r="K8" s="169">
        <f t="shared" si="6"/>
        <v>0.56932664766282659</v>
      </c>
      <c r="L8" s="169">
        <f t="shared" si="6"/>
        <v>0.62056162798628423</v>
      </c>
      <c r="M8" s="169">
        <f t="shared" si="6"/>
        <v>0.73398251554418859</v>
      </c>
      <c r="N8" s="169">
        <f t="shared" si="6"/>
        <v>0.7299311258291532</v>
      </c>
      <c r="O8" s="169">
        <f t="shared" si="6"/>
        <v>0.78785643448772724</v>
      </c>
      <c r="P8" s="169">
        <f t="shared" si="6"/>
        <v>0.74030775049482533</v>
      </c>
      <c r="Q8" s="169">
        <f t="shared" si="6"/>
        <v>0.48351663077768198</v>
      </c>
      <c r="R8" s="170">
        <f t="shared" si="6"/>
        <v>0.24320108372332219</v>
      </c>
      <c r="S8" s="138">
        <f t="shared" si="3"/>
        <v>6.8697650387758316</v>
      </c>
      <c r="T8" s="139">
        <v>180000</v>
      </c>
      <c r="U8" s="135">
        <f t="shared" si="4"/>
        <v>1236557.7069796496</v>
      </c>
      <c r="V8" s="130">
        <f t="shared" si="5"/>
        <v>3.261412387390044</v>
      </c>
    </row>
    <row r="9" spans="2:23" ht="9" customHeight="1" x14ac:dyDescent="0.3">
      <c r="B9" s="753"/>
      <c r="C9" s="125" t="s">
        <v>11</v>
      </c>
      <c r="D9" s="508" t="s">
        <v>6</v>
      </c>
      <c r="E9" s="512">
        <f>'Resumen costos Ptar Bogotá'!U10</f>
        <v>0.30804067524684736</v>
      </c>
      <c r="F9" s="510">
        <f t="shared" si="1"/>
        <v>308.04067524684734</v>
      </c>
      <c r="G9" s="502">
        <f>$E$9*G5</f>
        <v>8387.6395462964065</v>
      </c>
      <c r="H9" s="137">
        <f t="shared" ref="H9:R9" si="7">$E$9*H5</f>
        <v>8205.4076112510629</v>
      </c>
      <c r="I9" s="137">
        <f t="shared" si="7"/>
        <v>7815.3650629211361</v>
      </c>
      <c r="J9" s="137">
        <f t="shared" si="7"/>
        <v>8931.9594315077593</v>
      </c>
      <c r="K9" s="137">
        <f t="shared" si="7"/>
        <v>9679.1309859581106</v>
      </c>
      <c r="L9" s="137">
        <f t="shared" si="7"/>
        <v>10550.177664783911</v>
      </c>
      <c r="M9" s="137">
        <f t="shared" si="7"/>
        <v>12478.447897212493</v>
      </c>
      <c r="N9" s="137">
        <f t="shared" si="7"/>
        <v>12409.570159119658</v>
      </c>
      <c r="O9" s="137">
        <f t="shared" si="7"/>
        <v>13394.359211608269</v>
      </c>
      <c r="P9" s="137">
        <f t="shared" si="7"/>
        <v>12585.983312699369</v>
      </c>
      <c r="Q9" s="137">
        <f t="shared" si="7"/>
        <v>8220.2735852933165</v>
      </c>
      <c r="R9" s="141">
        <f t="shared" si="7"/>
        <v>4134.6653190192837</v>
      </c>
      <c r="S9" s="138">
        <f>+SUM(G9:R9)</f>
        <v>116792.97978767079</v>
      </c>
      <c r="T9" s="139">
        <v>830</v>
      </c>
      <c r="U9" s="518">
        <f t="shared" si="4"/>
        <v>96938173.223766759</v>
      </c>
      <c r="V9" s="130">
        <f t="shared" si="5"/>
        <v>255.67376045488336</v>
      </c>
    </row>
    <row r="10" spans="2:23" ht="24" customHeight="1" x14ac:dyDescent="0.3">
      <c r="B10" s="753"/>
      <c r="C10" s="125" t="s">
        <v>232</v>
      </c>
      <c r="D10" s="506" t="s">
        <v>6</v>
      </c>
      <c r="E10" s="509">
        <f>'Resumen costos Ptar Bogotá'!U11</f>
        <v>9.1306963630572498E-3</v>
      </c>
      <c r="F10" s="510">
        <f t="shared" si="1"/>
        <v>9.1306963630572504</v>
      </c>
      <c r="G10" s="502">
        <f>$E$10*G5</f>
        <v>248.61973126968584</v>
      </c>
      <c r="H10" s="137">
        <f t="shared" ref="H10:R10" si="8">$E$10*H5</f>
        <v>243.21815738591857</v>
      </c>
      <c r="I10" s="137">
        <f t="shared" si="8"/>
        <v>231.65682680962453</v>
      </c>
      <c r="J10" s="137">
        <f t="shared" si="8"/>
        <v>264.7540277948325</v>
      </c>
      <c r="K10" s="137">
        <f t="shared" si="8"/>
        <v>286.9010919425549</v>
      </c>
      <c r="L10" s="137">
        <f t="shared" si="8"/>
        <v>312.71996386923962</v>
      </c>
      <c r="M10" s="137">
        <f t="shared" si="8"/>
        <v>369.87621436803602</v>
      </c>
      <c r="N10" s="137">
        <f t="shared" si="8"/>
        <v>367.8345953117348</v>
      </c>
      <c r="O10" s="137">
        <f t="shared" si="8"/>
        <v>397.02492809077711</v>
      </c>
      <c r="P10" s="137">
        <f t="shared" si="8"/>
        <v>373.06369350954571</v>
      </c>
      <c r="Q10" s="137">
        <f t="shared" si="8"/>
        <v>243.65880274878222</v>
      </c>
      <c r="R10" s="141">
        <f t="shared" si="8"/>
        <v>122.55645641789214</v>
      </c>
      <c r="S10" s="138">
        <f t="shared" si="3"/>
        <v>3461.8844895186239</v>
      </c>
      <c r="T10" s="139">
        <v>22050</v>
      </c>
      <c r="U10" s="135">
        <f t="shared" si="4"/>
        <v>76334552.993885651</v>
      </c>
      <c r="V10" s="130">
        <f t="shared" si="5"/>
        <v>201.33185480541232</v>
      </c>
    </row>
    <row r="11" spans="2:23" ht="22.5" customHeight="1" x14ac:dyDescent="0.3">
      <c r="B11" s="753"/>
      <c r="C11" s="125" t="s">
        <v>233</v>
      </c>
      <c r="D11" s="506" t="s">
        <v>6</v>
      </c>
      <c r="E11" s="509">
        <f>'Resumen costos Ptar Bogotá'!U12</f>
        <v>5.4182543146669175E-3</v>
      </c>
      <c r="F11" s="510">
        <f t="shared" si="1"/>
        <v>5.4182543146669175</v>
      </c>
      <c r="G11" s="502">
        <f>$E$11*G5</f>
        <v>147.53364673406548</v>
      </c>
      <c r="H11" s="137">
        <f t="shared" ref="H11:R11" si="9">$E$11*H5</f>
        <v>144.32829416970591</v>
      </c>
      <c r="I11" s="137">
        <f t="shared" si="9"/>
        <v>137.46767513392834</v>
      </c>
      <c r="J11" s="137">
        <f t="shared" si="9"/>
        <v>157.10791339298004</v>
      </c>
      <c r="K11" s="137">
        <f t="shared" si="9"/>
        <v>170.25022161397342</v>
      </c>
      <c r="L11" s="137">
        <f t="shared" si="9"/>
        <v>185.57142042007976</v>
      </c>
      <c r="M11" s="137">
        <f t="shared" si="9"/>
        <v>219.48855976645856</v>
      </c>
      <c r="N11" s="137">
        <f t="shared" si="9"/>
        <v>218.27704086134338</v>
      </c>
      <c r="O11" s="137">
        <f t="shared" si="9"/>
        <v>235.59890112673628</v>
      </c>
      <c r="P11" s="137">
        <f t="shared" si="9"/>
        <v>221.3800444818273</v>
      </c>
      <c r="Q11" s="137">
        <f t="shared" si="9"/>
        <v>144.58977791022696</v>
      </c>
      <c r="R11" s="141">
        <f t="shared" si="9"/>
        <v>72.726331308446831</v>
      </c>
      <c r="S11" s="138">
        <f t="shared" si="3"/>
        <v>2054.3198269197724</v>
      </c>
      <c r="T11" s="139">
        <v>19050</v>
      </c>
      <c r="U11" s="135">
        <f t="shared" si="4"/>
        <v>39134792.702821665</v>
      </c>
      <c r="V11" s="130">
        <f t="shared" si="5"/>
        <v>103.21774469440479</v>
      </c>
    </row>
    <row r="12" spans="2:23" ht="21" customHeight="1" x14ac:dyDescent="0.3">
      <c r="B12" s="753"/>
      <c r="C12" s="125" t="s">
        <v>14</v>
      </c>
      <c r="D12" s="506" t="s">
        <v>6</v>
      </c>
      <c r="E12" s="509">
        <f>'Resumen costos Ptar Bogotá'!U13</f>
        <v>0.54180085487226071</v>
      </c>
      <c r="F12" s="510">
        <f t="shared" si="1"/>
        <v>541.80085487226074</v>
      </c>
      <c r="G12" s="502">
        <f>$E$12*G5</f>
        <v>14752.695477316787</v>
      </c>
      <c r="H12" s="137">
        <f t="shared" ref="H12:R12" si="10">$E$12*H5</f>
        <v>14432.174760000886</v>
      </c>
      <c r="I12" s="137">
        <f t="shared" si="10"/>
        <v>13746.14397542231</v>
      </c>
      <c r="J12" s="137">
        <f t="shared" si="10"/>
        <v>15710.078715407517</v>
      </c>
      <c r="K12" s="137">
        <f t="shared" si="10"/>
        <v>17024.249925469423</v>
      </c>
      <c r="L12" s="137">
        <f t="shared" si="10"/>
        <v>18556.30031083908</v>
      </c>
      <c r="M12" s="137">
        <f t="shared" si="10"/>
        <v>21947.860401133457</v>
      </c>
      <c r="N12" s="137">
        <f t="shared" si="10"/>
        <v>21826.714005935937</v>
      </c>
      <c r="O12" s="137">
        <f t="shared" si="10"/>
        <v>23558.821462458058</v>
      </c>
      <c r="P12" s="137">
        <f t="shared" si="10"/>
        <v>22137.000293107609</v>
      </c>
      <c r="Q12" s="137">
        <f t="shared" si="10"/>
        <v>14458.321947992043</v>
      </c>
      <c r="R12" s="141">
        <f t="shared" si="10"/>
        <v>7272.3032523551883</v>
      </c>
      <c r="S12" s="138">
        <f t="shared" si="3"/>
        <v>205422.66452743832</v>
      </c>
      <c r="T12" s="139">
        <v>2818</v>
      </c>
      <c r="U12" s="518">
        <f t="shared" si="4"/>
        <v>578881068.63832116</v>
      </c>
      <c r="V12" s="130">
        <f t="shared" si="5"/>
        <v>1526.7948090300308</v>
      </c>
    </row>
    <row r="13" spans="2:23" ht="21.75" customHeight="1" x14ac:dyDescent="0.3">
      <c r="B13" s="753"/>
      <c r="C13" s="125" t="s">
        <v>15</v>
      </c>
      <c r="D13" s="506" t="s">
        <v>6</v>
      </c>
      <c r="E13" s="509">
        <f>'Resumen costos Ptar Bogotá'!U14</f>
        <v>0.23755146338873881</v>
      </c>
      <c r="F13" s="510">
        <f t="shared" si="1"/>
        <v>237.5514633887388</v>
      </c>
      <c r="G13" s="502">
        <f>$E$13*G5</f>
        <v>6468.2887966119688</v>
      </c>
      <c r="H13" s="137">
        <f t="shared" ref="H13:R13" si="11">$E$13*H5</f>
        <v>6327.757151524861</v>
      </c>
      <c r="I13" s="137">
        <f t="shared" si="11"/>
        <v>6026.9683739863167</v>
      </c>
      <c r="J13" s="137">
        <f t="shared" si="11"/>
        <v>6888.051495742302</v>
      </c>
      <c r="K13" s="137">
        <f t="shared" si="11"/>
        <v>7464.2471426966767</v>
      </c>
      <c r="L13" s="137">
        <f t="shared" si="11"/>
        <v>8135.971463094158</v>
      </c>
      <c r="M13" s="137">
        <f t="shared" si="11"/>
        <v>9622.9939647663323</v>
      </c>
      <c r="N13" s="137">
        <f t="shared" si="11"/>
        <v>9569.8775785431571</v>
      </c>
      <c r="O13" s="137">
        <f t="shared" si="11"/>
        <v>10329.316507705398</v>
      </c>
      <c r="P13" s="137">
        <f t="shared" si="11"/>
        <v>9705.9219589169534</v>
      </c>
      <c r="Q13" s="137">
        <f t="shared" si="11"/>
        <v>6339.2213319796219</v>
      </c>
      <c r="R13" s="141">
        <f t="shared" si="11"/>
        <v>3188.5263086396562</v>
      </c>
      <c r="S13" s="138">
        <f t="shared" si="3"/>
        <v>90067.142074207411</v>
      </c>
      <c r="T13" s="139">
        <v>6295</v>
      </c>
      <c r="U13" s="518">
        <f t="shared" si="4"/>
        <v>566972659.35713565</v>
      </c>
      <c r="V13" s="130">
        <f t="shared" si="5"/>
        <v>1495.3864620321108</v>
      </c>
      <c r="W13" t="s">
        <v>406</v>
      </c>
    </row>
    <row r="14" spans="2:23" ht="9" customHeight="1" x14ac:dyDescent="0.3">
      <c r="B14" s="753"/>
      <c r="C14" s="125" t="s">
        <v>16</v>
      </c>
      <c r="D14" s="506" t="s">
        <v>6</v>
      </c>
      <c r="E14" s="509">
        <f>'Resumen costos Ptar Bogotá'!U15</f>
        <v>7.2995134582582331E-3</v>
      </c>
      <c r="F14" s="510">
        <f t="shared" si="1"/>
        <v>7.2995134582582333</v>
      </c>
      <c r="G14" s="502">
        <f>$E$14*G5</f>
        <v>198.75845195491343</v>
      </c>
      <c r="H14" s="137">
        <f t="shared" ref="H14:R14" si="12">$E$14*H5</f>
        <v>194.44017658000726</v>
      </c>
      <c r="I14" s="137">
        <f t="shared" si="12"/>
        <v>185.19749838971273</v>
      </c>
      <c r="J14" s="137">
        <f t="shared" si="12"/>
        <v>211.65697688027882</v>
      </c>
      <c r="K14" s="137">
        <f t="shared" si="12"/>
        <v>229.36239455918607</v>
      </c>
      <c r="L14" s="137">
        <f t="shared" si="12"/>
        <v>250.00323022079127</v>
      </c>
      <c r="M14" s="137">
        <f t="shared" si="12"/>
        <v>295.69665853668448</v>
      </c>
      <c r="N14" s="137">
        <f t="shared" si="12"/>
        <v>294.06449104523182</v>
      </c>
      <c r="O14" s="137">
        <f t="shared" si="12"/>
        <v>317.4006330544828</v>
      </c>
      <c r="P14" s="137">
        <f t="shared" si="12"/>
        <v>298.24488114383473</v>
      </c>
      <c r="Q14" s="137">
        <f t="shared" si="12"/>
        <v>194.79244946573766</v>
      </c>
      <c r="R14" s="141">
        <f t="shared" si="12"/>
        <v>97.97746715556103</v>
      </c>
      <c r="S14" s="138">
        <f t="shared" si="3"/>
        <v>2767.595308986422</v>
      </c>
      <c r="T14" s="139">
        <v>1298</v>
      </c>
      <c r="U14" s="135">
        <f t="shared" si="4"/>
        <v>3592338.7110643759</v>
      </c>
      <c r="V14" s="130">
        <f t="shared" si="5"/>
        <v>9.4747684688191871</v>
      </c>
    </row>
    <row r="15" spans="2:23" ht="10.5" customHeight="1" x14ac:dyDescent="0.3">
      <c r="B15" s="753"/>
      <c r="C15" s="125" t="s">
        <v>17</v>
      </c>
      <c r="D15" s="506" t="s">
        <v>6</v>
      </c>
      <c r="E15" s="509">
        <f>'Resumen costos Ptar Bogotá'!U16</f>
        <v>1.3272415682062296E-2</v>
      </c>
      <c r="F15" s="510">
        <f t="shared" si="1"/>
        <v>13.272415682062297</v>
      </c>
      <c r="G15" s="502">
        <f>$E$15*G5</f>
        <v>361.39460660687428</v>
      </c>
      <c r="H15" s="137">
        <f t="shared" ref="H15:R15" si="13">$E$15*H5</f>
        <v>353.54285783853317</v>
      </c>
      <c r="I15" s="137">
        <f t="shared" si="13"/>
        <v>336.73726282749368</v>
      </c>
      <c r="J15" s="137">
        <f t="shared" si="13"/>
        <v>384.84748267510201</v>
      </c>
      <c r="K15" s="137">
        <f t="shared" si="13"/>
        <v>417.04054110328178</v>
      </c>
      <c r="L15" s="137">
        <f t="shared" si="13"/>
        <v>454.57095357426977</v>
      </c>
      <c r="M15" s="137">
        <f t="shared" si="13"/>
        <v>537.65350120091125</v>
      </c>
      <c r="N15" s="137">
        <f t="shared" si="13"/>
        <v>534.68579581435563</v>
      </c>
      <c r="O15" s="137">
        <f t="shared" si="13"/>
        <v>577.11697686958178</v>
      </c>
      <c r="P15" s="137">
        <f t="shared" si="13"/>
        <v>542.28683325597638</v>
      </c>
      <c r="Q15" s="137">
        <f t="shared" si="13"/>
        <v>354.18338164873921</v>
      </c>
      <c r="R15" s="141">
        <f t="shared" si="13"/>
        <v>178.14854085829785</v>
      </c>
      <c r="S15" s="138">
        <f t="shared" si="3"/>
        <v>5032.2087342734158</v>
      </c>
      <c r="T15" s="139">
        <v>1862</v>
      </c>
      <c r="U15" s="135">
        <f t="shared" si="4"/>
        <v>9369972.6632170994</v>
      </c>
      <c r="V15" s="130">
        <f t="shared" si="5"/>
        <v>24.71323799999999</v>
      </c>
    </row>
    <row r="16" spans="2:23" ht="11.25" customHeight="1" x14ac:dyDescent="0.3">
      <c r="B16" s="753"/>
      <c r="C16" s="125" t="s">
        <v>18</v>
      </c>
      <c r="D16" s="506" t="s">
        <v>6</v>
      </c>
      <c r="E16" s="509">
        <f>'Resumen costos Ptar Bogotá'!U17</f>
        <v>1.376394153398273E-2</v>
      </c>
      <c r="F16" s="510">
        <f t="shared" si="1"/>
        <v>13.763941533982729</v>
      </c>
      <c r="G16" s="502">
        <f>$E$16*G5</f>
        <v>374.77836402881576</v>
      </c>
      <c r="H16" s="137">
        <f t="shared" ref="H16:R16" si="14">$E$16*H5</f>
        <v>366.63583643054096</v>
      </c>
      <c r="I16" s="137">
        <f t="shared" si="14"/>
        <v>349.2078690795517</v>
      </c>
      <c r="J16" s="137">
        <f t="shared" si="14"/>
        <v>399.09978544444397</v>
      </c>
      <c r="K16" s="137">
        <f t="shared" si="14"/>
        <v>432.48506997892486</v>
      </c>
      <c r="L16" s="137">
        <f t="shared" si="14"/>
        <v>471.40537019940962</v>
      </c>
      <c r="M16" s="137">
        <f t="shared" si="14"/>
        <v>557.56476690764646</v>
      </c>
      <c r="N16" s="137">
        <f t="shared" si="14"/>
        <v>554.48715659094705</v>
      </c>
      <c r="O16" s="137">
        <f t="shared" si="14"/>
        <v>598.48971869057095</v>
      </c>
      <c r="P16" s="137">
        <f t="shared" si="14"/>
        <v>562.36968810971769</v>
      </c>
      <c r="Q16" s="137">
        <f t="shared" si="14"/>
        <v>367.30008116834813</v>
      </c>
      <c r="R16" s="141">
        <f t="shared" si="14"/>
        <v>184.74602962080706</v>
      </c>
      <c r="S16" s="138">
        <f t="shared" si="3"/>
        <v>5218.569736249724</v>
      </c>
      <c r="T16" s="139">
        <v>36239</v>
      </c>
      <c r="U16" s="518">
        <f t="shared" si="4"/>
        <v>189115748.67195374</v>
      </c>
      <c r="V16" s="130">
        <f t="shared" si="5"/>
        <v>498.79147725000007</v>
      </c>
    </row>
    <row r="17" spans="2:23" ht="21.75" customHeight="1" x14ac:dyDescent="0.3">
      <c r="B17" s="753"/>
      <c r="C17" s="125" t="s">
        <v>19</v>
      </c>
      <c r="D17" s="506" t="s">
        <v>6</v>
      </c>
      <c r="E17" s="509">
        <f>'Resumen costos Ptar Bogotá'!U18</f>
        <v>9.1964780547860883E-4</v>
      </c>
      <c r="F17" s="510">
        <f>E17*1000</f>
        <v>0.9196478054786088</v>
      </c>
      <c r="G17" s="502">
        <f>$E$17*G5</f>
        <v>25.04109009537704</v>
      </c>
      <c r="H17" s="137">
        <f t="shared" ref="H17:R17" si="15">$E$17*H5</f>
        <v>24.497041167363641</v>
      </c>
      <c r="I17" s="137">
        <f t="shared" si="15"/>
        <v>23.332578801062642</v>
      </c>
      <c r="J17" s="137">
        <f t="shared" si="15"/>
        <v>26.666143629335984</v>
      </c>
      <c r="K17" s="137">
        <f t="shared" si="15"/>
        <v>28.896805796972362</v>
      </c>
      <c r="L17" s="137">
        <f t="shared" si="15"/>
        <v>31.497294079922835</v>
      </c>
      <c r="M17" s="137">
        <f t="shared" si="15"/>
        <v>37.254097093685935</v>
      </c>
      <c r="N17" s="137">
        <f t="shared" si="15"/>
        <v>37.048464312779174</v>
      </c>
      <c r="O17" s="137">
        <f t="shared" si="15"/>
        <v>39.988527634789371</v>
      </c>
      <c r="P17" s="137">
        <f t="shared" si="15"/>
        <v>37.575141412863879</v>
      </c>
      <c r="Q17" s="137">
        <f t="shared" si="15"/>
        <v>24.541423164621971</v>
      </c>
      <c r="R17" s="141">
        <f t="shared" si="15"/>
        <v>12.343940890200708</v>
      </c>
      <c r="S17" s="138">
        <f t="shared" si="3"/>
        <v>348.68254807897557</v>
      </c>
      <c r="T17" s="139">
        <v>32490</v>
      </c>
      <c r="U17" s="135">
        <f t="shared" si="4"/>
        <v>11328695.987085916</v>
      </c>
      <c r="V17" s="130">
        <f t="shared" si="5"/>
        <v>29.879357200000001</v>
      </c>
    </row>
    <row r="18" spans="2:23" ht="23.25" customHeight="1" x14ac:dyDescent="0.3">
      <c r="B18" s="753"/>
      <c r="C18" s="126" t="s">
        <v>319</v>
      </c>
      <c r="D18" s="506" t="s">
        <v>6</v>
      </c>
      <c r="E18" s="509">
        <f>'Resumen costos Ptar Bogotá'!U19</f>
        <v>1.8171608455114823E-2</v>
      </c>
      <c r="F18" s="510">
        <f t="shared" si="1"/>
        <v>18.171608455114821</v>
      </c>
      <c r="G18" s="502">
        <f>$E$18*G5</f>
        <v>494.79472662432153</v>
      </c>
      <c r="H18" s="137">
        <f t="shared" ref="H18:R18" si="16">$E$18*H5</f>
        <v>484.04469379502615</v>
      </c>
      <c r="I18" s="137">
        <f t="shared" si="16"/>
        <v>461.03571790764727</v>
      </c>
      <c r="J18" s="137">
        <f t="shared" si="16"/>
        <v>526.90466736661961</v>
      </c>
      <c r="K18" s="137">
        <f t="shared" si="16"/>
        <v>570.98101840497236</v>
      </c>
      <c r="L18" s="137">
        <f t="shared" si="16"/>
        <v>622.36487925733104</v>
      </c>
      <c r="M18" s="137">
        <f t="shared" si="16"/>
        <v>736.11534948749272</v>
      </c>
      <c r="N18" s="137">
        <f t="shared" si="16"/>
        <v>732.0521870921566</v>
      </c>
      <c r="O18" s="137">
        <f t="shared" si="16"/>
        <v>790.14581728682595</v>
      </c>
      <c r="P18" s="137">
        <f t="shared" si="16"/>
        <v>742.45896454326328</v>
      </c>
      <c r="Q18" s="137">
        <f t="shared" si="16"/>
        <v>484.92165155193038</v>
      </c>
      <c r="R18" s="141">
        <f t="shared" si="16"/>
        <v>243.90778656082625</v>
      </c>
      <c r="S18" s="138">
        <f t="shared" si="3"/>
        <v>6889.7274598784124</v>
      </c>
      <c r="T18" s="139">
        <v>19160</v>
      </c>
      <c r="U18" s="518">
        <f t="shared" si="4"/>
        <v>132007178.13127038</v>
      </c>
      <c r="V18" s="130">
        <f t="shared" si="5"/>
        <v>348.16801799999996</v>
      </c>
      <c r="W18" t="s">
        <v>405</v>
      </c>
    </row>
    <row r="19" spans="2:23" ht="19.5" customHeight="1" x14ac:dyDescent="0.3">
      <c r="B19" s="753"/>
      <c r="C19" s="127" t="s">
        <v>264</v>
      </c>
      <c r="D19" s="506" t="s">
        <v>22</v>
      </c>
      <c r="E19" s="509">
        <f>'Resumen costos Ptar Bogotá'!U20</f>
        <v>8.7479087715189134E-4</v>
      </c>
      <c r="F19" s="510">
        <f t="shared" si="1"/>
        <v>0.8747908771518913</v>
      </c>
      <c r="G19" s="502">
        <f>$E$19*G5</f>
        <v>23.81968079396885</v>
      </c>
      <c r="H19" s="137">
        <f t="shared" ref="H19:R19" si="17">$E$19*H5</f>
        <v>23.302168507074736</v>
      </c>
      <c r="I19" s="137">
        <f t="shared" si="17"/>
        <v>22.194504193890538</v>
      </c>
      <c r="J19" s="137">
        <f t="shared" si="17"/>
        <v>25.365470386377975</v>
      </c>
      <c r="K19" s="137">
        <f t="shared" si="17"/>
        <v>27.487329322626536</v>
      </c>
      <c r="L19" s="137">
        <f t="shared" si="17"/>
        <v>29.960975660402063</v>
      </c>
      <c r="M19" s="137">
        <f t="shared" si="17"/>
        <v>35.436983679993446</v>
      </c>
      <c r="N19" s="137">
        <f t="shared" si="17"/>
        <v>35.241380885413847</v>
      </c>
      <c r="O19" s="137">
        <f t="shared" si="17"/>
        <v>38.038039081107463</v>
      </c>
      <c r="P19" s="137">
        <f t="shared" si="17"/>
        <v>35.742368676190047</v>
      </c>
      <c r="Q19" s="137">
        <f t="shared" si="17"/>
        <v>23.344385719011825</v>
      </c>
      <c r="R19" s="141">
        <f t="shared" si="17"/>
        <v>11.741850319786304</v>
      </c>
      <c r="S19" s="138">
        <f t="shared" si="3"/>
        <v>331.67513722584357</v>
      </c>
      <c r="T19" s="139">
        <v>34156</v>
      </c>
      <c r="U19" s="135">
        <f t="shared" si="4"/>
        <v>11328695.987085912</v>
      </c>
      <c r="V19" s="130">
        <f t="shared" si="5"/>
        <v>29.879357199999994</v>
      </c>
    </row>
    <row r="20" spans="2:23" ht="12" customHeight="1" thickBot="1" x14ac:dyDescent="0.35">
      <c r="B20" s="753"/>
      <c r="C20" s="125" t="s">
        <v>234</v>
      </c>
      <c r="D20" s="506" t="s">
        <v>22</v>
      </c>
      <c r="E20" s="513">
        <f>'Resumen costos Ptar Bogotá'!U21</f>
        <v>7.976659494838311E-4</v>
      </c>
      <c r="F20" s="514">
        <f t="shared" si="1"/>
        <v>0.79766594948383107</v>
      </c>
      <c r="G20" s="504">
        <f>$E$20*G5</f>
        <v>21.719646138495236</v>
      </c>
      <c r="H20" s="166">
        <f t="shared" ref="H20:R20" si="18">$E$20*H5</f>
        <v>21.247759724865816</v>
      </c>
      <c r="I20" s="166">
        <f t="shared" si="18"/>
        <v>20.237751356966459</v>
      </c>
      <c r="J20" s="166">
        <f t="shared" si="18"/>
        <v>23.129152976227335</v>
      </c>
      <c r="K20" s="166">
        <f t="shared" si="18"/>
        <v>25.063940669217395</v>
      </c>
      <c r="L20" s="166">
        <f t="shared" si="18"/>
        <v>27.319500833645492</v>
      </c>
      <c r="M20" s="166">
        <f t="shared" si="18"/>
        <v>32.312722928678845</v>
      </c>
      <c r="N20" s="166">
        <f t="shared" si="18"/>
        <v>32.134365228644285</v>
      </c>
      <c r="O20" s="166">
        <f t="shared" si="18"/>
        <v>34.684459283480152</v>
      </c>
      <c r="P20" s="166">
        <f t="shared" si="18"/>
        <v>32.591184009277178</v>
      </c>
      <c r="Q20" s="166">
        <f t="shared" si="18"/>
        <v>21.286254905055618</v>
      </c>
      <c r="R20" s="167">
        <f t="shared" si="18"/>
        <v>10.706643643247689</v>
      </c>
      <c r="S20" s="142">
        <f t="shared" si="3"/>
        <v>302.43338169780145</v>
      </c>
      <c r="T20" s="143">
        <v>5200</v>
      </c>
      <c r="U20" s="136">
        <f t="shared" si="4"/>
        <v>1572653.5848285675</v>
      </c>
      <c r="V20" s="132">
        <f t="shared" si="5"/>
        <v>4.1478629373159208</v>
      </c>
    </row>
    <row r="21" spans="2:23" ht="15" thickBot="1" x14ac:dyDescent="0.35">
      <c r="B21" s="754"/>
      <c r="C21" s="755" t="s">
        <v>25</v>
      </c>
      <c r="D21" s="756"/>
      <c r="E21" s="757"/>
      <c r="F21" s="517"/>
      <c r="G21" s="201"/>
      <c r="H21" s="202"/>
      <c r="I21" s="202"/>
      <c r="J21" s="202"/>
      <c r="K21" s="202"/>
      <c r="L21" s="202"/>
      <c r="M21" s="202"/>
      <c r="N21" s="202"/>
      <c r="O21" s="202"/>
      <c r="P21" s="203"/>
      <c r="Q21" s="203"/>
      <c r="R21" s="203"/>
      <c r="S21" s="204"/>
      <c r="T21" s="305" t="s">
        <v>418</v>
      </c>
      <c r="U21" s="199">
        <f>SUM(U6:U20)</f>
        <v>1728208565.8957913</v>
      </c>
      <c r="V21" s="200">
        <f t="shared" si="5"/>
        <v>4558.1381224603665</v>
      </c>
      <c r="W21" s="54"/>
    </row>
    <row r="22" spans="2:23" ht="12.75" customHeight="1" thickBot="1" x14ac:dyDescent="0.35">
      <c r="B22" s="46"/>
      <c r="C22" s="46"/>
      <c r="D22" s="46"/>
      <c r="E22" s="46"/>
      <c r="F22" s="46"/>
      <c r="G22" s="46"/>
      <c r="H22" s="46"/>
      <c r="I22" s="46"/>
      <c r="J22" s="46"/>
      <c r="K22" s="46"/>
      <c r="L22" s="46"/>
      <c r="M22" s="46"/>
      <c r="N22" s="46"/>
      <c r="O22" s="46"/>
      <c r="P22" s="46"/>
      <c r="Q22" s="46"/>
      <c r="R22" s="46"/>
      <c r="S22" s="728" t="s">
        <v>317</v>
      </c>
      <c r="T22" s="787"/>
      <c r="U22" s="248">
        <f>U8+U9+U10+U11+U12+U13+U14+U20</f>
        <v>1364662796.9188035</v>
      </c>
      <c r="V22" s="249">
        <f>U22/S5</f>
        <v>3599.2886748103674</v>
      </c>
    </row>
    <row r="23" spans="2:23" ht="12.75" customHeight="1" thickBot="1" x14ac:dyDescent="0.35">
      <c r="B23" s="46"/>
      <c r="C23" s="46"/>
      <c r="D23" s="46"/>
      <c r="E23" s="46"/>
      <c r="F23" s="46"/>
      <c r="G23" s="46"/>
      <c r="H23" s="46"/>
      <c r="I23" s="46"/>
      <c r="J23" s="46"/>
      <c r="K23" s="46"/>
      <c r="L23" s="46"/>
      <c r="M23" s="46"/>
      <c r="N23" s="46"/>
      <c r="O23" s="46"/>
      <c r="P23" s="46"/>
      <c r="Q23" s="46"/>
      <c r="R23" s="46"/>
      <c r="S23" s="726" t="s">
        <v>167</v>
      </c>
      <c r="T23" s="730"/>
      <c r="U23" s="250">
        <f>U6+U7+U15+U16+U17+U18+U19</f>
        <v>363545768.97698796</v>
      </c>
      <c r="V23" s="251">
        <f>U23/S5</f>
        <v>958.84944765</v>
      </c>
    </row>
    <row r="24" spans="2:23" ht="5.25" customHeight="1" thickBot="1" x14ac:dyDescent="0.35"/>
    <row r="25" spans="2:23" ht="11.25" customHeight="1" thickBot="1" x14ac:dyDescent="0.35">
      <c r="B25" s="758" t="s">
        <v>242</v>
      </c>
      <c r="C25" s="759"/>
      <c r="D25" s="759"/>
      <c r="E25" s="751"/>
      <c r="F25" s="239"/>
      <c r="G25" s="760" t="s">
        <v>246</v>
      </c>
      <c r="H25" s="760"/>
      <c r="I25" s="760"/>
      <c r="J25" s="760"/>
      <c r="K25" s="760"/>
      <c r="L25" s="760"/>
      <c r="M25" s="760"/>
      <c r="N25" s="760"/>
      <c r="O25" s="760"/>
      <c r="P25" s="760"/>
      <c r="Q25" s="760"/>
      <c r="R25" s="760"/>
      <c r="S25" s="760"/>
      <c r="T25" s="760"/>
      <c r="U25" s="761"/>
      <c r="V25" s="762"/>
    </row>
    <row r="26" spans="2:23" ht="25.5" customHeight="1" thickBot="1" x14ac:dyDescent="0.35">
      <c r="B26" s="763" t="s">
        <v>2</v>
      </c>
      <c r="C26" s="766" t="s">
        <v>3</v>
      </c>
      <c r="D26" s="766" t="s">
        <v>4</v>
      </c>
      <c r="E26" s="750" t="s">
        <v>205</v>
      </c>
      <c r="F26" s="751"/>
      <c r="G26" s="176" t="s">
        <v>202</v>
      </c>
      <c r="H26" s="177" t="s">
        <v>201</v>
      </c>
      <c r="I26" s="177" t="s">
        <v>200</v>
      </c>
      <c r="J26" s="177" t="s">
        <v>199</v>
      </c>
      <c r="K26" s="177" t="s">
        <v>198</v>
      </c>
      <c r="L26" s="177" t="s">
        <v>197</v>
      </c>
      <c r="M26" s="178" t="s">
        <v>196</v>
      </c>
      <c r="N26" s="178" t="s">
        <v>195</v>
      </c>
      <c r="O26" s="178" t="s">
        <v>194</v>
      </c>
      <c r="P26" s="177" t="s">
        <v>193</v>
      </c>
      <c r="Q26" s="177" t="s">
        <v>192</v>
      </c>
      <c r="R26" s="179" t="s">
        <v>191</v>
      </c>
      <c r="S26" s="771" t="s">
        <v>186</v>
      </c>
      <c r="T26" s="773" t="s">
        <v>133</v>
      </c>
      <c r="U26" s="776" t="s">
        <v>170</v>
      </c>
      <c r="V26" s="779" t="s">
        <v>173</v>
      </c>
    </row>
    <row r="27" spans="2:23" ht="10.5" customHeight="1" thickBot="1" x14ac:dyDescent="0.35">
      <c r="B27" s="764"/>
      <c r="C27" s="767"/>
      <c r="D27" s="769"/>
      <c r="E27" s="782" t="s">
        <v>136</v>
      </c>
      <c r="F27" s="747" t="s">
        <v>404</v>
      </c>
      <c r="G27" s="784" t="s">
        <v>206</v>
      </c>
      <c r="H27" s="785"/>
      <c r="I27" s="785"/>
      <c r="J27" s="785"/>
      <c r="K27" s="785"/>
      <c r="L27" s="785"/>
      <c r="M27" s="785"/>
      <c r="N27" s="785"/>
      <c r="O27" s="785"/>
      <c r="P27" s="785"/>
      <c r="Q27" s="785"/>
      <c r="R27" s="786"/>
      <c r="S27" s="772"/>
      <c r="T27" s="774"/>
      <c r="U27" s="777"/>
      <c r="V27" s="780"/>
    </row>
    <row r="28" spans="2:23" ht="10.5" customHeight="1" thickBot="1" x14ac:dyDescent="0.35">
      <c r="B28" s="765"/>
      <c r="C28" s="768"/>
      <c r="D28" s="770"/>
      <c r="E28" s="783"/>
      <c r="F28" s="749"/>
      <c r="G28" s="226">
        <f>'PLAN MAESTRO BOGOTA RECIRCU'!F9</f>
        <v>5662</v>
      </c>
      <c r="H28" s="183">
        <f>'PLAN MAESTRO BOGOTA RECIRCU'!H9</f>
        <v>5537.9187862514427</v>
      </c>
      <c r="I28" s="183">
        <f>'PLAN MAESTRO BOGOTA RECIRCU'!J9</f>
        <v>5274.6748307809175</v>
      </c>
      <c r="J28" s="183">
        <f>'PLAN MAESTRO BOGOTA RECIRCU'!L9</f>
        <v>6028.2765070632277</v>
      </c>
      <c r="K28" s="183">
        <f>'PLAN MAESTRO BOGOTA RECIRCU'!N9</f>
        <v>9426.4801018908656</v>
      </c>
      <c r="L28" s="183">
        <f>'PLAN MAESTRO BOGOTA RECIRCU'!P9</f>
        <v>10274.790161717663</v>
      </c>
      <c r="M28" s="183">
        <f>'PLAN MAESTRO BOGOTA RECIRCU'!R9</f>
        <v>9722.1819583764482</v>
      </c>
      <c r="N28" s="183">
        <f>'PLAN MAESTRO BOGOTA RECIRCU'!T9</f>
        <v>9668.5180806140925</v>
      </c>
      <c r="O28" s="183">
        <f>'PLAN MAESTRO BOGOTA RECIRCU'!V9</f>
        <v>10000.960477707014</v>
      </c>
      <c r="P28" s="183">
        <f>'PLAN MAESTRO BOGOTA RECIRCU'!X9</f>
        <v>10214.546587568049</v>
      </c>
      <c r="Q28" s="183">
        <f>'PLAN MAESTRO BOGOTA RECIRCU'!Z9</f>
        <v>9339.986521413477</v>
      </c>
      <c r="R28" s="183">
        <f>'PLAN MAESTRO BOGOTA RECIRCU'!AB9</f>
        <v>4697.8629055954834</v>
      </c>
      <c r="S28" s="212">
        <f>SUM(G28:R28)</f>
        <v>95848.196918978676</v>
      </c>
      <c r="T28" s="775"/>
      <c r="U28" s="778"/>
      <c r="V28" s="781"/>
    </row>
    <row r="29" spans="2:23" ht="13.5" customHeight="1" x14ac:dyDescent="0.3">
      <c r="B29" s="752" t="s">
        <v>318</v>
      </c>
      <c r="C29" s="180" t="s">
        <v>5</v>
      </c>
      <c r="D29" s="505" t="s">
        <v>6</v>
      </c>
      <c r="E29" s="515">
        <v>0.06</v>
      </c>
      <c r="F29" s="516">
        <f>E29*1000</f>
        <v>60</v>
      </c>
      <c r="G29" s="501">
        <f>$E$29*G28</f>
        <v>339.71999999999997</v>
      </c>
      <c r="H29" s="161">
        <f t="shared" ref="H29:R29" si="19">$E$29*H28</f>
        <v>332.27512717508654</v>
      </c>
      <c r="I29" s="161">
        <f t="shared" si="19"/>
        <v>316.48048984685505</v>
      </c>
      <c r="J29" s="161">
        <f t="shared" si="19"/>
        <v>361.69659042379362</v>
      </c>
      <c r="K29" s="161">
        <f t="shared" si="19"/>
        <v>565.58880611345194</v>
      </c>
      <c r="L29" s="161">
        <f t="shared" si="19"/>
        <v>616.48740970305971</v>
      </c>
      <c r="M29" s="161">
        <f t="shared" si="19"/>
        <v>583.33091750258689</v>
      </c>
      <c r="N29" s="161">
        <f t="shared" si="19"/>
        <v>580.11108483684552</v>
      </c>
      <c r="O29" s="161">
        <f t="shared" si="19"/>
        <v>600.05762866242083</v>
      </c>
      <c r="P29" s="161">
        <f t="shared" si="19"/>
        <v>612.87279525408292</v>
      </c>
      <c r="Q29" s="161">
        <f t="shared" si="19"/>
        <v>560.39919128480858</v>
      </c>
      <c r="R29" s="162">
        <f t="shared" si="19"/>
        <v>281.87177433572901</v>
      </c>
      <c r="S29" s="168">
        <f>+SUM(G29:R29)</f>
        <v>5750.8918151387215</v>
      </c>
      <c r="T29" s="144">
        <v>1650</v>
      </c>
      <c r="U29" s="145">
        <f>S29*T29</f>
        <v>9488971.4949788898</v>
      </c>
      <c r="V29" s="146">
        <f>U29/$S$28</f>
        <v>99.000000000000014</v>
      </c>
    </row>
    <row r="30" spans="2:23" ht="9" customHeight="1" x14ac:dyDescent="0.3">
      <c r="B30" s="753"/>
      <c r="C30" s="125" t="s">
        <v>11</v>
      </c>
      <c r="D30" s="508" t="s">
        <v>6</v>
      </c>
      <c r="E30" s="512">
        <v>0.38</v>
      </c>
      <c r="F30" s="510">
        <f t="shared" ref="F30:F34" si="20">E30*1000</f>
        <v>380</v>
      </c>
      <c r="G30" s="502">
        <f>$E$30*G28</f>
        <v>2151.56</v>
      </c>
      <c r="H30" s="137">
        <f t="shared" ref="H30:R30" si="21">$E$30*H28</f>
        <v>2104.4091387755484</v>
      </c>
      <c r="I30" s="137">
        <f t="shared" si="21"/>
        <v>2004.3764356967488</v>
      </c>
      <c r="J30" s="137">
        <f t="shared" si="21"/>
        <v>2290.7450726840266</v>
      </c>
      <c r="K30" s="137">
        <f t="shared" si="21"/>
        <v>3582.0624387185289</v>
      </c>
      <c r="L30" s="137">
        <f t="shared" si="21"/>
        <v>3904.4202614527121</v>
      </c>
      <c r="M30" s="137">
        <f t="shared" si="21"/>
        <v>3694.4291441830505</v>
      </c>
      <c r="N30" s="137">
        <f t="shared" si="21"/>
        <v>3674.0368706333552</v>
      </c>
      <c r="O30" s="137">
        <f t="shared" si="21"/>
        <v>3800.3649815286653</v>
      </c>
      <c r="P30" s="137">
        <f t="shared" si="21"/>
        <v>3881.5277032758586</v>
      </c>
      <c r="Q30" s="137">
        <f t="shared" si="21"/>
        <v>3549.1948781371211</v>
      </c>
      <c r="R30" s="141">
        <f t="shared" si="21"/>
        <v>1785.1879041262837</v>
      </c>
      <c r="S30" s="157">
        <f>+SUM(G30:R30)</f>
        <v>36422.3148292119</v>
      </c>
      <c r="T30" s="139">
        <v>830</v>
      </c>
      <c r="U30" s="518">
        <f t="shared" ref="U30:U34" si="22">S30*T30</f>
        <v>30230521.308245879</v>
      </c>
      <c r="V30" s="146">
        <f>U30/$S$28</f>
        <v>315.40000000000003</v>
      </c>
    </row>
    <row r="31" spans="2:23" ht="21" customHeight="1" x14ac:dyDescent="0.3">
      <c r="B31" s="753"/>
      <c r="C31" s="125" t="s">
        <v>14</v>
      </c>
      <c r="D31" s="506" t="s">
        <v>6</v>
      </c>
      <c r="E31" s="509">
        <v>0.54259999999999997</v>
      </c>
      <c r="F31" s="510">
        <f t="shared" si="20"/>
        <v>542.6</v>
      </c>
      <c r="G31" s="502">
        <f>$E$31*G28</f>
        <v>3072.2012</v>
      </c>
      <c r="H31" s="137">
        <f t="shared" ref="H31:R31" si="23">$E$31*H28</f>
        <v>3004.8747334200325</v>
      </c>
      <c r="I31" s="137">
        <f t="shared" si="23"/>
        <v>2862.0385631817257</v>
      </c>
      <c r="J31" s="137">
        <f t="shared" si="23"/>
        <v>3270.9428327325072</v>
      </c>
      <c r="K31" s="137">
        <f t="shared" si="23"/>
        <v>5114.8081032859836</v>
      </c>
      <c r="L31" s="137">
        <f t="shared" si="23"/>
        <v>5575.101141748004</v>
      </c>
      <c r="M31" s="137">
        <f t="shared" si="23"/>
        <v>5275.2559306150606</v>
      </c>
      <c r="N31" s="137">
        <f t="shared" si="23"/>
        <v>5246.1379105412061</v>
      </c>
      <c r="O31" s="137">
        <f t="shared" si="23"/>
        <v>5426.5211552038254</v>
      </c>
      <c r="P31" s="137">
        <f t="shared" si="23"/>
        <v>5542.4129784144234</v>
      </c>
      <c r="Q31" s="137">
        <f t="shared" si="23"/>
        <v>5067.8766865189527</v>
      </c>
      <c r="R31" s="141">
        <f t="shared" si="23"/>
        <v>2549.0604125761092</v>
      </c>
      <c r="S31" s="157">
        <f t="shared" ref="S31:S34" si="24">+SUM(G31:R31)</f>
        <v>52007.23164823783</v>
      </c>
      <c r="T31" s="139">
        <v>2818</v>
      </c>
      <c r="U31" s="518">
        <f t="shared" si="22"/>
        <v>146556378.78473422</v>
      </c>
      <c r="V31" s="146">
        <f t="shared" ref="V31:V34" si="25">U31/$S$28</f>
        <v>1529.0468000000001</v>
      </c>
    </row>
    <row r="32" spans="2:23" ht="22.5" customHeight="1" x14ac:dyDescent="0.3">
      <c r="B32" s="753"/>
      <c r="C32" s="125" t="s">
        <v>233</v>
      </c>
      <c r="D32" s="506" t="s">
        <v>6</v>
      </c>
      <c r="E32" s="509">
        <v>5.4000000000000003E-3</v>
      </c>
      <c r="F32" s="510">
        <f t="shared" si="20"/>
        <v>5.4</v>
      </c>
      <c r="G32" s="502">
        <f>$E$32*G28</f>
        <v>30.574800000000003</v>
      </c>
      <c r="H32" s="137">
        <f t="shared" ref="H32:R32" si="26">$E$32*H28</f>
        <v>29.904761445757792</v>
      </c>
      <c r="I32" s="137">
        <f t="shared" si="26"/>
        <v>28.483244086216956</v>
      </c>
      <c r="J32" s="137">
        <f t="shared" si="26"/>
        <v>32.552693138141429</v>
      </c>
      <c r="K32" s="137">
        <f t="shared" si="26"/>
        <v>50.902992550210676</v>
      </c>
      <c r="L32" s="137">
        <f t="shared" si="26"/>
        <v>55.483866873275382</v>
      </c>
      <c r="M32" s="137">
        <f t="shared" si="26"/>
        <v>52.499782575232821</v>
      </c>
      <c r="N32" s="137">
        <f t="shared" si="26"/>
        <v>52.2099976353161</v>
      </c>
      <c r="O32" s="137">
        <f t="shared" si="26"/>
        <v>54.005186579617877</v>
      </c>
      <c r="P32" s="137">
        <f t="shared" si="26"/>
        <v>55.158551572867466</v>
      </c>
      <c r="Q32" s="137">
        <f t="shared" si="26"/>
        <v>50.43592721563278</v>
      </c>
      <c r="R32" s="141">
        <f t="shared" si="26"/>
        <v>25.368459690215612</v>
      </c>
      <c r="S32" s="157">
        <f t="shared" si="24"/>
        <v>517.58026336248486</v>
      </c>
      <c r="T32" s="139">
        <v>19050</v>
      </c>
      <c r="U32" s="135">
        <f t="shared" si="22"/>
        <v>9859904.0170553364</v>
      </c>
      <c r="V32" s="146">
        <f t="shared" si="25"/>
        <v>102.87</v>
      </c>
    </row>
    <row r="33" spans="2:23" ht="9" customHeight="1" thickBot="1" x14ac:dyDescent="0.35">
      <c r="B33" s="753"/>
      <c r="C33" s="125" t="s">
        <v>16</v>
      </c>
      <c r="D33" s="506" t="s">
        <v>6</v>
      </c>
      <c r="E33" s="509">
        <v>0.125</v>
      </c>
      <c r="F33" s="510">
        <f t="shared" si="20"/>
        <v>125</v>
      </c>
      <c r="G33" s="502">
        <f>$E$33*G28</f>
        <v>707.75</v>
      </c>
      <c r="H33" s="137">
        <f t="shared" ref="H33:R33" si="27">$E$33*H28</f>
        <v>692.23984828143034</v>
      </c>
      <c r="I33" s="137">
        <f t="shared" si="27"/>
        <v>659.33435384761469</v>
      </c>
      <c r="J33" s="137">
        <f t="shared" si="27"/>
        <v>753.53456338290346</v>
      </c>
      <c r="K33" s="137">
        <f t="shared" si="27"/>
        <v>1178.3100127363582</v>
      </c>
      <c r="L33" s="137">
        <f t="shared" si="27"/>
        <v>1284.3487702147079</v>
      </c>
      <c r="M33" s="137">
        <f t="shared" si="27"/>
        <v>1215.272744797056</v>
      </c>
      <c r="N33" s="137">
        <f t="shared" si="27"/>
        <v>1208.5647600767616</v>
      </c>
      <c r="O33" s="137">
        <f t="shared" si="27"/>
        <v>1250.1200597133768</v>
      </c>
      <c r="P33" s="137">
        <f t="shared" si="27"/>
        <v>1276.8183234460062</v>
      </c>
      <c r="Q33" s="137">
        <f t="shared" si="27"/>
        <v>1167.4983151766846</v>
      </c>
      <c r="R33" s="141">
        <f t="shared" si="27"/>
        <v>587.23286319943543</v>
      </c>
      <c r="S33" s="213">
        <f t="shared" si="24"/>
        <v>11981.024614872334</v>
      </c>
      <c r="T33" s="214">
        <v>1298</v>
      </c>
      <c r="U33" s="135">
        <f t="shared" si="22"/>
        <v>15551369.950104291</v>
      </c>
      <c r="V33" s="146">
        <f t="shared" si="25"/>
        <v>162.25</v>
      </c>
    </row>
    <row r="34" spans="2:23" ht="10.5" customHeight="1" thickBot="1" x14ac:dyDescent="0.35">
      <c r="B34" s="753"/>
      <c r="C34" s="125" t="s">
        <v>17</v>
      </c>
      <c r="D34" s="506" t="s">
        <v>6</v>
      </c>
      <c r="E34" s="513">
        <v>3.6999999999999998E-2</v>
      </c>
      <c r="F34" s="514">
        <f t="shared" si="20"/>
        <v>37</v>
      </c>
      <c r="G34" s="504">
        <f>$E$34*G28</f>
        <v>209.494</v>
      </c>
      <c r="H34" s="166">
        <f t="shared" ref="H34:R34" si="28">$E$34*H28</f>
        <v>204.90299509130338</v>
      </c>
      <c r="I34" s="166">
        <f t="shared" si="28"/>
        <v>195.16296873889394</v>
      </c>
      <c r="J34" s="166">
        <f t="shared" si="28"/>
        <v>223.04623076133942</v>
      </c>
      <c r="K34" s="166">
        <f t="shared" si="28"/>
        <v>348.77976376996202</v>
      </c>
      <c r="L34" s="166">
        <f t="shared" si="28"/>
        <v>380.1672359835535</v>
      </c>
      <c r="M34" s="166">
        <f t="shared" si="28"/>
        <v>359.72073245992857</v>
      </c>
      <c r="N34" s="166">
        <f t="shared" si="28"/>
        <v>357.7351689827214</v>
      </c>
      <c r="O34" s="166">
        <f t="shared" si="28"/>
        <v>370.0355376751595</v>
      </c>
      <c r="P34" s="166">
        <f t="shared" si="28"/>
        <v>377.9382237400178</v>
      </c>
      <c r="Q34" s="166">
        <f t="shared" si="28"/>
        <v>345.57950129229863</v>
      </c>
      <c r="R34" s="167">
        <f t="shared" si="28"/>
        <v>173.82092750703288</v>
      </c>
      <c r="S34" s="191">
        <f t="shared" si="24"/>
        <v>3546.3832860022112</v>
      </c>
      <c r="T34" s="192">
        <v>1862</v>
      </c>
      <c r="U34" s="135">
        <f t="shared" si="22"/>
        <v>6603365.6785361171</v>
      </c>
      <c r="V34" s="146">
        <f t="shared" si="25"/>
        <v>68.894000000000005</v>
      </c>
    </row>
    <row r="35" spans="2:23" ht="21" customHeight="1" thickBot="1" x14ac:dyDescent="0.35">
      <c r="B35" s="754"/>
      <c r="C35" s="755" t="s">
        <v>25</v>
      </c>
      <c r="D35" s="756"/>
      <c r="E35" s="757"/>
      <c r="F35" s="517"/>
      <c r="G35" s="201"/>
      <c r="H35" s="202"/>
      <c r="I35" s="202"/>
      <c r="J35" s="202"/>
      <c r="K35" s="202"/>
      <c r="L35" s="202"/>
      <c r="M35" s="202"/>
      <c r="N35" s="202"/>
      <c r="O35" s="202"/>
      <c r="P35" s="203"/>
      <c r="Q35" s="203"/>
      <c r="R35" s="207"/>
      <c r="S35" s="603"/>
      <c r="T35" s="604" t="s">
        <v>418</v>
      </c>
      <c r="U35" s="209">
        <f>SUM(U29:U34)</f>
        <v>218290511.23365474</v>
      </c>
      <c r="V35" s="200">
        <f>U35/$S$28</f>
        <v>2277.4608000000003</v>
      </c>
      <c r="W35" s="54"/>
    </row>
    <row r="36" spans="2:23" ht="22.5" customHeight="1" x14ac:dyDescent="0.3"/>
    <row r="37" spans="2:23" ht="22.5" customHeight="1" x14ac:dyDescent="0.3"/>
  </sheetData>
  <mergeCells count="32">
    <mergeCell ref="S23:T23"/>
    <mergeCell ref="C21:E21"/>
    <mergeCell ref="V3:V5"/>
    <mergeCell ref="G2:V2"/>
    <mergeCell ref="C3:C5"/>
    <mergeCell ref="B2:E2"/>
    <mergeCell ref="B6:B21"/>
    <mergeCell ref="T3:T5"/>
    <mergeCell ref="U3:U5"/>
    <mergeCell ref="S22:T22"/>
    <mergeCell ref="B3:B5"/>
    <mergeCell ref="G4:R4"/>
    <mergeCell ref="E4:E5"/>
    <mergeCell ref="S3:S4"/>
    <mergeCell ref="D3:D5"/>
    <mergeCell ref="E3:F3"/>
    <mergeCell ref="G25:V25"/>
    <mergeCell ref="B26:B28"/>
    <mergeCell ref="C26:C28"/>
    <mergeCell ref="D26:D28"/>
    <mergeCell ref="S26:S27"/>
    <mergeCell ref="T26:T28"/>
    <mergeCell ref="U26:U28"/>
    <mergeCell ref="V26:V28"/>
    <mergeCell ref="E27:E28"/>
    <mergeCell ref="G27:R27"/>
    <mergeCell ref="F4:F5"/>
    <mergeCell ref="F27:F28"/>
    <mergeCell ref="E26:F26"/>
    <mergeCell ref="B29:B35"/>
    <mergeCell ref="C35:E35"/>
    <mergeCell ref="B25:E2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EB22F-36DF-46FA-AE26-653158531E22}">
  <dimension ref="B1:V18"/>
  <sheetViews>
    <sheetView topLeftCell="C6" zoomScaleNormal="100" workbookViewId="0">
      <selection activeCell="F17" sqref="F17:Q17"/>
    </sheetView>
  </sheetViews>
  <sheetFormatPr baseColWidth="10" defaultRowHeight="14.4" x14ac:dyDescent="0.3"/>
  <cols>
    <col min="1" max="1" width="0.5546875" customWidth="1"/>
    <col min="2" max="2" width="9.109375" customWidth="1"/>
    <col min="3" max="3" width="23.6640625" customWidth="1"/>
    <col min="4" max="4" width="7" customWidth="1"/>
    <col min="5" max="5" width="9" customWidth="1"/>
    <col min="6" max="6" width="9.33203125" customWidth="1"/>
    <col min="7" max="7" width="9.44140625" customWidth="1"/>
    <col min="8" max="8" width="9.33203125" customWidth="1"/>
    <col min="9" max="9" width="9.6640625" customWidth="1"/>
    <col min="10" max="11" width="9.44140625" customWidth="1"/>
    <col min="12" max="13" width="9.33203125" customWidth="1"/>
    <col min="14" max="14" width="9.88671875" customWidth="1"/>
    <col min="15" max="16" width="9.33203125" customWidth="1"/>
    <col min="17" max="17" width="9.6640625" customWidth="1"/>
    <col min="18" max="18" width="7.5546875" customWidth="1"/>
    <col min="19" max="19" width="8" customWidth="1"/>
    <col min="20" max="20" width="11.44140625" customWidth="1"/>
    <col min="21" max="21" width="6.5546875" customWidth="1"/>
  </cols>
  <sheetData>
    <row r="1" spans="2:21" ht="4.5" customHeight="1" thickBot="1" x14ac:dyDescent="0.35"/>
    <row r="2" spans="2:21" ht="11.25" customHeight="1" thickBot="1" x14ac:dyDescent="0.35">
      <c r="B2" s="819" t="s">
        <v>1</v>
      </c>
      <c r="C2" s="820"/>
      <c r="D2" s="820"/>
      <c r="E2" s="821"/>
      <c r="F2" s="760" t="s">
        <v>243</v>
      </c>
      <c r="G2" s="760"/>
      <c r="H2" s="760"/>
      <c r="I2" s="760"/>
      <c r="J2" s="760"/>
      <c r="K2" s="760"/>
      <c r="L2" s="760"/>
      <c r="M2" s="760"/>
      <c r="N2" s="760"/>
      <c r="O2" s="760"/>
      <c r="P2" s="760"/>
      <c r="Q2" s="760"/>
      <c r="R2" s="760"/>
      <c r="S2" s="760"/>
      <c r="T2" s="761"/>
      <c r="U2" s="762"/>
    </row>
    <row r="3" spans="2:21" ht="25.5" customHeight="1" thickBot="1" x14ac:dyDescent="0.35">
      <c r="B3" s="802" t="s">
        <v>2</v>
      </c>
      <c r="C3" s="804" t="s">
        <v>3</v>
      </c>
      <c r="D3" s="804" t="s">
        <v>4</v>
      </c>
      <c r="E3" s="208" t="s">
        <v>320</v>
      </c>
      <c r="F3" s="176" t="s">
        <v>202</v>
      </c>
      <c r="G3" s="177" t="s">
        <v>201</v>
      </c>
      <c r="H3" s="177" t="s">
        <v>200</v>
      </c>
      <c r="I3" s="177" t="s">
        <v>199</v>
      </c>
      <c r="J3" s="177" t="s">
        <v>198</v>
      </c>
      <c r="K3" s="177" t="s">
        <v>197</v>
      </c>
      <c r="L3" s="178" t="s">
        <v>196</v>
      </c>
      <c r="M3" s="178" t="s">
        <v>195</v>
      </c>
      <c r="N3" s="178" t="s">
        <v>194</v>
      </c>
      <c r="O3" s="177" t="s">
        <v>193</v>
      </c>
      <c r="P3" s="177" t="s">
        <v>192</v>
      </c>
      <c r="Q3" s="179" t="s">
        <v>191</v>
      </c>
      <c r="R3" s="806" t="s">
        <v>186</v>
      </c>
      <c r="S3" s="808" t="s">
        <v>133</v>
      </c>
      <c r="T3" s="811" t="s">
        <v>170</v>
      </c>
      <c r="U3" s="779" t="s">
        <v>173</v>
      </c>
    </row>
    <row r="4" spans="2:21" ht="10.5" customHeight="1" thickBot="1" x14ac:dyDescent="0.35">
      <c r="B4" s="764"/>
      <c r="C4" s="767"/>
      <c r="D4" s="767"/>
      <c r="E4" s="799" t="s">
        <v>136</v>
      </c>
      <c r="F4" s="815" t="s">
        <v>206</v>
      </c>
      <c r="G4" s="816"/>
      <c r="H4" s="816"/>
      <c r="I4" s="816"/>
      <c r="J4" s="816"/>
      <c r="K4" s="816"/>
      <c r="L4" s="816"/>
      <c r="M4" s="816"/>
      <c r="N4" s="816"/>
      <c r="O4" s="816"/>
      <c r="P4" s="816"/>
      <c r="Q4" s="817"/>
      <c r="R4" s="807"/>
      <c r="S4" s="809"/>
      <c r="T4" s="812"/>
      <c r="U4" s="780"/>
    </row>
    <row r="5" spans="2:21" ht="15" thickBot="1" x14ac:dyDescent="0.35">
      <c r="B5" s="803"/>
      <c r="C5" s="805"/>
      <c r="D5" s="805"/>
      <c r="E5" s="814"/>
      <c r="F5" s="183">
        <f>'PLAN MAESTRO BOGOTA RECIRCU'!F5</f>
        <v>27229</v>
      </c>
      <c r="G5" s="241">
        <f>'PLAN MAESTRO BOGOTA RECIRCU'!H5</f>
        <v>26637.41599928544</v>
      </c>
      <c r="H5" s="241">
        <f>'PLAN MAESTRO BOGOTA RECIRCU'!J5</f>
        <v>25371.21130726752</v>
      </c>
      <c r="I5" s="241">
        <f>'PLAN MAESTRO BOGOTA RECIRCU'!L5</f>
        <v>28996.038995013121</v>
      </c>
      <c r="J5" s="241">
        <f>'PLAN MAESTRO BOGOTA RECIRCU'!N5</f>
        <v>31421.600339636221</v>
      </c>
      <c r="K5" s="241">
        <f>'PLAN MAESTRO BOGOTA RECIRCU'!P5</f>
        <v>34249.300539058881</v>
      </c>
      <c r="L5" s="242">
        <f>'PLAN MAESTRO BOGOTA RECIRCU'!R5</f>
        <v>40509.091493235203</v>
      </c>
      <c r="M5" s="242">
        <f>'PLAN MAESTRO BOGOTA RECIRCU'!T5</f>
        <v>40285.49200255872</v>
      </c>
      <c r="N5" s="242">
        <f>'PLAN MAESTRO BOGOTA RECIRCU'!V5</f>
        <v>43482.436859595713</v>
      </c>
      <c r="O5" s="241">
        <f>'PLAN MAESTRO BOGOTA RECIRCU'!X5</f>
        <v>40858.186350272197</v>
      </c>
      <c r="P5" s="241">
        <f>'PLAN MAESTRO BOGOTA RECIRCU'!Z5</f>
        <v>26685.67577546708</v>
      </c>
      <c r="Q5" s="243">
        <f>'PLAN MAESTRO BOGOTA RECIRCU'!AB5</f>
        <v>13422.465444558526</v>
      </c>
      <c r="R5" s="148">
        <f>SUM(F5:Q5)</f>
        <v>379147.91510594863</v>
      </c>
      <c r="S5" s="810"/>
      <c r="T5" s="813"/>
      <c r="U5" s="781"/>
    </row>
    <row r="6" spans="2:21" ht="24" customHeight="1" x14ac:dyDescent="0.3">
      <c r="B6" s="753" t="s">
        <v>217</v>
      </c>
      <c r="C6" s="125" t="s">
        <v>207</v>
      </c>
      <c r="D6" s="129" t="s">
        <v>6</v>
      </c>
      <c r="E6" s="152">
        <v>2.8</v>
      </c>
      <c r="F6" s="160">
        <v>95500</v>
      </c>
      <c r="G6" s="161">
        <v>95200</v>
      </c>
      <c r="H6" s="161">
        <f t="shared" ref="H6:Q6" si="0">$E$6*H5</f>
        <v>71039.391660349051</v>
      </c>
      <c r="I6" s="161">
        <f t="shared" si="0"/>
        <v>81188.909186036733</v>
      </c>
      <c r="J6" s="161">
        <f t="shared" si="0"/>
        <v>87980.480950981408</v>
      </c>
      <c r="K6" s="161">
        <f t="shared" si="0"/>
        <v>95898.041509364863</v>
      </c>
      <c r="L6" s="161">
        <f t="shared" si="0"/>
        <v>113425.45618105856</v>
      </c>
      <c r="M6" s="161">
        <f t="shared" si="0"/>
        <v>112799.37760716441</v>
      </c>
      <c r="N6" s="161">
        <f t="shared" si="0"/>
        <v>121750.82320686799</v>
      </c>
      <c r="O6" s="161">
        <f t="shared" si="0"/>
        <v>114402.92178076215</v>
      </c>
      <c r="P6" s="161">
        <f t="shared" si="0"/>
        <v>74719.892171307816</v>
      </c>
      <c r="Q6" s="162">
        <f t="shared" si="0"/>
        <v>37582.903244763867</v>
      </c>
      <c r="R6" s="156">
        <f>+SUM(F6:Q6)</f>
        <v>1101488.1974986568</v>
      </c>
      <c r="S6" s="150">
        <v>90</v>
      </c>
      <c r="T6" s="145">
        <f>R6*S6</f>
        <v>99133937.774879113</v>
      </c>
      <c r="U6" s="146">
        <f>T6/$R$5</f>
        <v>261.46507424991972</v>
      </c>
    </row>
    <row r="7" spans="2:21" ht="22.5" customHeight="1" x14ac:dyDescent="0.3">
      <c r="B7" s="753"/>
      <c r="C7" s="125" t="s">
        <v>208</v>
      </c>
      <c r="D7" s="129" t="s">
        <v>316</v>
      </c>
      <c r="E7" s="153" t="s">
        <v>203</v>
      </c>
      <c r="F7" s="240">
        <v>9985500</v>
      </c>
      <c r="G7" s="244">
        <v>9985500</v>
      </c>
      <c r="H7" s="244">
        <v>9985500</v>
      </c>
      <c r="I7" s="244">
        <v>9985500</v>
      </c>
      <c r="J7" s="244">
        <v>9985500</v>
      </c>
      <c r="K7" s="244">
        <v>9985500</v>
      </c>
      <c r="L7" s="244">
        <v>9985500</v>
      </c>
      <c r="M7" s="244">
        <v>9985500</v>
      </c>
      <c r="N7" s="244">
        <v>9985500</v>
      </c>
      <c r="O7" s="244">
        <v>9985500</v>
      </c>
      <c r="P7" s="244">
        <v>9985500</v>
      </c>
      <c r="Q7" s="245">
        <v>9985500</v>
      </c>
      <c r="R7" s="157" t="s">
        <v>203</v>
      </c>
      <c r="S7" s="151" t="s">
        <v>203</v>
      </c>
      <c r="T7" s="135">
        <f>SUM(F7:Q7)</f>
        <v>119826000</v>
      </c>
      <c r="U7" s="130">
        <f>T7/$R$5</f>
        <v>316.04024504925991</v>
      </c>
    </row>
    <row r="8" spans="2:21" ht="21.75" customHeight="1" x14ac:dyDescent="0.3">
      <c r="B8" s="753"/>
      <c r="C8" s="125" t="s">
        <v>209</v>
      </c>
      <c r="D8" s="131" t="s">
        <v>6</v>
      </c>
      <c r="E8" s="154">
        <v>3.4</v>
      </c>
      <c r="F8" s="163">
        <f>$E$8*F5</f>
        <v>92578.599999999991</v>
      </c>
      <c r="G8" s="159">
        <f t="shared" ref="G8:Q8" si="1">$E$8*G5</f>
        <v>90567.214397570497</v>
      </c>
      <c r="H8" s="159">
        <f t="shared" si="1"/>
        <v>86262.118444709573</v>
      </c>
      <c r="I8" s="159">
        <f t="shared" si="1"/>
        <v>98586.532583044609</v>
      </c>
      <c r="J8" s="159">
        <f t="shared" si="1"/>
        <v>106833.44115476315</v>
      </c>
      <c r="K8" s="159">
        <f t="shared" si="1"/>
        <v>116447.62183280019</v>
      </c>
      <c r="L8" s="159">
        <f t="shared" si="1"/>
        <v>137730.91107699968</v>
      </c>
      <c r="M8" s="159">
        <f t="shared" si="1"/>
        <v>136970.67280869963</v>
      </c>
      <c r="N8" s="159">
        <f t="shared" si="1"/>
        <v>147840.28532262542</v>
      </c>
      <c r="O8" s="159">
        <f t="shared" si="1"/>
        <v>138917.83359092547</v>
      </c>
      <c r="P8" s="159">
        <f t="shared" si="1"/>
        <v>90731.297636588075</v>
      </c>
      <c r="Q8" s="164">
        <f t="shared" si="1"/>
        <v>45636.382511498989</v>
      </c>
      <c r="R8" s="157">
        <f t="shared" ref="R8" si="2">+SUM(F8:Q8)</f>
        <v>1289102.9113602256</v>
      </c>
      <c r="S8" s="139">
        <v>50</v>
      </c>
      <c r="T8" s="135">
        <f t="shared" ref="T8:T9" si="3">R8*S8</f>
        <v>64455145.568011284</v>
      </c>
      <c r="U8" s="130">
        <f t="shared" ref="U8:U9" si="4">T8/$R$5</f>
        <v>170.00000000000006</v>
      </c>
    </row>
    <row r="9" spans="2:21" ht="22.5" customHeight="1" thickBot="1" x14ac:dyDescent="0.35">
      <c r="B9" s="753"/>
      <c r="C9" s="125" t="s">
        <v>210</v>
      </c>
      <c r="D9" s="131" t="s">
        <v>321</v>
      </c>
      <c r="E9" s="155">
        <v>5500</v>
      </c>
      <c r="F9" s="165">
        <f>F8/$E$9</f>
        <v>16.832472727272727</v>
      </c>
      <c r="G9" s="166">
        <f t="shared" ref="G9:Q9" si="5">G8/$E$9</f>
        <v>16.466766254103728</v>
      </c>
      <c r="H9" s="166">
        <f t="shared" si="5"/>
        <v>15.68402153540174</v>
      </c>
      <c r="I9" s="166">
        <f t="shared" si="5"/>
        <v>17.92482410600811</v>
      </c>
      <c r="J9" s="166">
        <f t="shared" si="5"/>
        <v>19.424262028138752</v>
      </c>
      <c r="K9" s="166">
        <f t="shared" si="5"/>
        <v>21.172294878690941</v>
      </c>
      <c r="L9" s="166">
        <f t="shared" si="5"/>
        <v>25.04198383218176</v>
      </c>
      <c r="M9" s="166">
        <f t="shared" si="5"/>
        <v>24.903758692490843</v>
      </c>
      <c r="N9" s="166">
        <f t="shared" si="5"/>
        <v>26.880051876840987</v>
      </c>
      <c r="O9" s="166">
        <f t="shared" si="5"/>
        <v>25.257787925622811</v>
      </c>
      <c r="P9" s="166">
        <f t="shared" si="5"/>
        <v>16.49659957028874</v>
      </c>
      <c r="Q9" s="167">
        <f t="shared" si="5"/>
        <v>8.2975240929998169</v>
      </c>
      <c r="R9" s="158">
        <f>+SUM(F9:Q9)</f>
        <v>234.38234752004095</v>
      </c>
      <c r="S9" s="143">
        <v>900000</v>
      </c>
      <c r="T9" s="135">
        <f t="shared" si="3"/>
        <v>210944112.76803684</v>
      </c>
      <c r="U9" s="130">
        <f t="shared" si="4"/>
        <v>556.36363636363626</v>
      </c>
    </row>
    <row r="10" spans="2:21" ht="15" thickBot="1" x14ac:dyDescent="0.35">
      <c r="B10" s="754"/>
      <c r="C10" s="818" t="s">
        <v>25</v>
      </c>
      <c r="D10" s="818"/>
      <c r="E10" s="134"/>
      <c r="F10" s="201"/>
      <c r="G10" s="202"/>
      <c r="H10" s="202"/>
      <c r="I10" s="202"/>
      <c r="J10" s="202"/>
      <c r="K10" s="202"/>
      <c r="L10" s="202"/>
      <c r="M10" s="202"/>
      <c r="N10" s="202"/>
      <c r="O10" s="203"/>
      <c r="P10" s="203"/>
      <c r="Q10" s="207"/>
      <c r="R10" s="797" t="s">
        <v>231</v>
      </c>
      <c r="S10" s="798"/>
      <c r="T10" s="198">
        <f>SUM(T6:T9)</f>
        <v>494359196.11092722</v>
      </c>
      <c r="U10" s="147">
        <f>T10/$R$5</f>
        <v>1303.868955662816</v>
      </c>
    </row>
    <row r="11" spans="2:21" ht="3.75" customHeight="1" thickBot="1" x14ac:dyDescent="0.35"/>
    <row r="12" spans="2:21" ht="11.25" customHeight="1" thickBot="1" x14ac:dyDescent="0.35">
      <c r="B12" s="758" t="s">
        <v>242</v>
      </c>
      <c r="C12" s="759"/>
      <c r="D12" s="759"/>
      <c r="E12" s="751"/>
      <c r="F12" s="760" t="s">
        <v>246</v>
      </c>
      <c r="G12" s="760"/>
      <c r="H12" s="760"/>
      <c r="I12" s="760"/>
      <c r="J12" s="760"/>
      <c r="K12" s="760"/>
      <c r="L12" s="760"/>
      <c r="M12" s="760"/>
      <c r="N12" s="760"/>
      <c r="O12" s="760"/>
      <c r="P12" s="760"/>
      <c r="Q12" s="760"/>
      <c r="R12" s="760"/>
      <c r="S12" s="760"/>
      <c r="T12" s="761"/>
      <c r="U12" s="762"/>
    </row>
    <row r="13" spans="2:21" ht="25.5" customHeight="1" thickBot="1" x14ac:dyDescent="0.35">
      <c r="B13" s="763" t="s">
        <v>2</v>
      </c>
      <c r="C13" s="766" t="s">
        <v>3</v>
      </c>
      <c r="D13" s="766" t="s">
        <v>4</v>
      </c>
      <c r="E13" s="208" t="s">
        <v>320</v>
      </c>
      <c r="F13" s="176" t="s">
        <v>202</v>
      </c>
      <c r="G13" s="177" t="s">
        <v>201</v>
      </c>
      <c r="H13" s="177" t="s">
        <v>200</v>
      </c>
      <c r="I13" s="177" t="s">
        <v>199</v>
      </c>
      <c r="J13" s="177" t="s">
        <v>198</v>
      </c>
      <c r="K13" s="177" t="s">
        <v>197</v>
      </c>
      <c r="L13" s="178" t="s">
        <v>196</v>
      </c>
      <c r="M13" s="178" t="s">
        <v>195</v>
      </c>
      <c r="N13" s="178" t="s">
        <v>194</v>
      </c>
      <c r="O13" s="177" t="s">
        <v>193</v>
      </c>
      <c r="P13" s="177" t="s">
        <v>192</v>
      </c>
      <c r="Q13" s="179" t="s">
        <v>191</v>
      </c>
      <c r="R13" s="771" t="s">
        <v>186</v>
      </c>
      <c r="S13" s="773" t="s">
        <v>133</v>
      </c>
      <c r="T13" s="776" t="s">
        <v>170</v>
      </c>
      <c r="U13" s="779" t="s">
        <v>173</v>
      </c>
    </row>
    <row r="14" spans="2:21" ht="10.5" customHeight="1" thickBot="1" x14ac:dyDescent="0.35">
      <c r="B14" s="764"/>
      <c r="C14" s="767"/>
      <c r="D14" s="767"/>
      <c r="E14" s="799" t="s">
        <v>136</v>
      </c>
      <c r="F14" s="800" t="s">
        <v>206</v>
      </c>
      <c r="G14" s="785"/>
      <c r="H14" s="785"/>
      <c r="I14" s="785"/>
      <c r="J14" s="785"/>
      <c r="K14" s="785"/>
      <c r="L14" s="785"/>
      <c r="M14" s="785"/>
      <c r="N14" s="785"/>
      <c r="O14" s="785"/>
      <c r="P14" s="785"/>
      <c r="Q14" s="786"/>
      <c r="R14" s="772"/>
      <c r="S14" s="774"/>
      <c r="T14" s="777"/>
      <c r="U14" s="780"/>
    </row>
    <row r="15" spans="2:21" ht="10.5" customHeight="1" thickBot="1" x14ac:dyDescent="0.35">
      <c r="B15" s="765"/>
      <c r="C15" s="768"/>
      <c r="D15" s="768"/>
      <c r="E15" s="794"/>
      <c r="F15" s="183">
        <f>'PROYECCIÓN INSUMOS QUÍMICOS'!G28</f>
        <v>5662</v>
      </c>
      <c r="G15" s="183">
        <f>'PROYECCIÓN INSUMOS QUÍMICOS'!H28</f>
        <v>5537.9187862514427</v>
      </c>
      <c r="H15" s="183">
        <f>'PROYECCIÓN INSUMOS QUÍMICOS'!I28</f>
        <v>5274.6748307809175</v>
      </c>
      <c r="I15" s="183">
        <f>'PROYECCIÓN INSUMOS QUÍMICOS'!J28</f>
        <v>6028.2765070632277</v>
      </c>
      <c r="J15" s="183">
        <f>'PROYECCIÓN INSUMOS QUÍMICOS'!K28</f>
        <v>9426.4801018908656</v>
      </c>
      <c r="K15" s="183">
        <f>'PROYECCIÓN INSUMOS QUÍMICOS'!L28</f>
        <v>10274.790161717663</v>
      </c>
      <c r="L15" s="183">
        <f>'PROYECCIÓN INSUMOS QUÍMICOS'!M28</f>
        <v>9722.1819583764482</v>
      </c>
      <c r="M15" s="183">
        <f>'PROYECCIÓN INSUMOS QUÍMICOS'!N28</f>
        <v>9668.5180806140925</v>
      </c>
      <c r="N15" s="183">
        <f>'PROYECCIÓN INSUMOS QUÍMICOS'!O28</f>
        <v>10000.960477707014</v>
      </c>
      <c r="O15" s="183">
        <f>'PROYECCIÓN INSUMOS QUÍMICOS'!P28</f>
        <v>10214.546587568049</v>
      </c>
      <c r="P15" s="183">
        <f>'PROYECCIÓN INSUMOS QUÍMICOS'!Q28</f>
        <v>9339.986521413477</v>
      </c>
      <c r="Q15" s="183">
        <f>'PROYECCIÓN INSUMOS QUÍMICOS'!R28</f>
        <v>4697.8629055954834</v>
      </c>
      <c r="R15" s="212">
        <f>SUM(F15:Q15)</f>
        <v>95848.196918978676</v>
      </c>
      <c r="S15" s="775"/>
      <c r="T15" s="778"/>
      <c r="U15" s="781"/>
    </row>
    <row r="16" spans="2:21" ht="24.75" customHeight="1" x14ac:dyDescent="0.3">
      <c r="B16" s="752" t="s">
        <v>217</v>
      </c>
      <c r="C16" s="125" t="s">
        <v>244</v>
      </c>
      <c r="D16" s="131" t="s">
        <v>6</v>
      </c>
      <c r="E16" s="154">
        <v>1.7</v>
      </c>
      <c r="F16" s="215">
        <f>$E$16*F15</f>
        <v>9625.4</v>
      </c>
      <c r="G16" s="216">
        <f t="shared" ref="G16:Q16" si="6">$E$16*G15</f>
        <v>9414.4619366274528</v>
      </c>
      <c r="H16" s="216">
        <f t="shared" si="6"/>
        <v>8966.9472123275591</v>
      </c>
      <c r="I16" s="216">
        <f t="shared" si="6"/>
        <v>10248.070062007488</v>
      </c>
      <c r="J16" s="216">
        <f t="shared" si="6"/>
        <v>16025.016173214472</v>
      </c>
      <c r="K16" s="216">
        <f t="shared" si="6"/>
        <v>17467.143274920028</v>
      </c>
      <c r="L16" s="216">
        <f t="shared" si="6"/>
        <v>16527.709329239962</v>
      </c>
      <c r="M16" s="216">
        <f t="shared" si="6"/>
        <v>16436.480737043956</v>
      </c>
      <c r="N16" s="216">
        <f t="shared" si="6"/>
        <v>17001.632812101925</v>
      </c>
      <c r="O16" s="216">
        <f t="shared" si="6"/>
        <v>17364.729198865683</v>
      </c>
      <c r="P16" s="216">
        <f t="shared" si="6"/>
        <v>15877.977086402911</v>
      </c>
      <c r="Q16" s="217">
        <f t="shared" si="6"/>
        <v>7986.3669395123216</v>
      </c>
      <c r="R16" s="157">
        <f t="shared" ref="R16" si="7">+SUM(F16:Q16)</f>
        <v>162941.93476226376</v>
      </c>
      <c r="S16" s="139">
        <v>50</v>
      </c>
      <c r="T16" s="135">
        <f t="shared" ref="T16:T17" si="8">R16*S16</f>
        <v>8147096.7381131882</v>
      </c>
      <c r="U16" s="130">
        <f>T16/$R$15</f>
        <v>85.000000000000014</v>
      </c>
    </row>
    <row r="17" spans="2:22" ht="22.5" customHeight="1" thickBot="1" x14ac:dyDescent="0.35">
      <c r="B17" s="753"/>
      <c r="C17" s="125" t="s">
        <v>245</v>
      </c>
      <c r="D17" s="131" t="s">
        <v>134</v>
      </c>
      <c r="E17" s="155">
        <v>5500</v>
      </c>
      <c r="F17" s="165">
        <f>F16/$E$9</f>
        <v>1.7500727272727272</v>
      </c>
      <c r="G17" s="166">
        <f t="shared" ref="G17:Q17" si="9">G16/$E$9</f>
        <v>1.7117203521140822</v>
      </c>
      <c r="H17" s="166">
        <f t="shared" si="9"/>
        <v>1.6303540386050108</v>
      </c>
      <c r="I17" s="166">
        <f t="shared" si="9"/>
        <v>1.8632854658195432</v>
      </c>
      <c r="J17" s="166">
        <f t="shared" si="9"/>
        <v>2.9136393042208129</v>
      </c>
      <c r="K17" s="166">
        <f t="shared" si="9"/>
        <v>3.1758442318036417</v>
      </c>
      <c r="L17" s="166">
        <f t="shared" si="9"/>
        <v>3.0050380598618114</v>
      </c>
      <c r="M17" s="166">
        <f t="shared" si="9"/>
        <v>2.9884510430989009</v>
      </c>
      <c r="N17" s="166">
        <f t="shared" si="9"/>
        <v>3.0912059658367137</v>
      </c>
      <c r="O17" s="166">
        <f t="shared" si="9"/>
        <v>3.1572234907028514</v>
      </c>
      <c r="P17" s="166">
        <f t="shared" si="9"/>
        <v>2.8869049248005294</v>
      </c>
      <c r="Q17" s="167">
        <f t="shared" si="9"/>
        <v>1.4520667162749676</v>
      </c>
      <c r="R17" s="158">
        <f>+SUM(F17:Q17)</f>
        <v>29.625806320411591</v>
      </c>
      <c r="S17" s="143">
        <v>900000</v>
      </c>
      <c r="T17" s="135">
        <f t="shared" si="8"/>
        <v>26663225.688370433</v>
      </c>
      <c r="U17" s="130">
        <f>T17/$R$15</f>
        <v>278.18181818181819</v>
      </c>
    </row>
    <row r="18" spans="2:22" ht="15" thickBot="1" x14ac:dyDescent="0.35">
      <c r="B18" s="754"/>
      <c r="C18" s="755" t="s">
        <v>25</v>
      </c>
      <c r="D18" s="756"/>
      <c r="E18" s="801"/>
      <c r="F18" s="201"/>
      <c r="G18" s="202"/>
      <c r="H18" s="202"/>
      <c r="I18" s="202"/>
      <c r="J18" s="202"/>
      <c r="K18" s="202"/>
      <c r="L18" s="202"/>
      <c r="M18" s="202"/>
      <c r="N18" s="202"/>
      <c r="O18" s="203"/>
      <c r="P18" s="203"/>
      <c r="Q18" s="207"/>
      <c r="R18" s="797" t="s">
        <v>157</v>
      </c>
      <c r="S18" s="798"/>
      <c r="T18" s="209">
        <f>SUM(T16:T17)</f>
        <v>34810322.426483624</v>
      </c>
      <c r="U18" s="200">
        <f>T18/$R$15</f>
        <v>363.18181818181824</v>
      </c>
      <c r="V18" s="54"/>
    </row>
  </sheetData>
  <mergeCells count="28">
    <mergeCell ref="R10:S10"/>
    <mergeCell ref="F2:U2"/>
    <mergeCell ref="B3:B5"/>
    <mergeCell ref="C3:C5"/>
    <mergeCell ref="R3:R4"/>
    <mergeCell ref="S3:S5"/>
    <mergeCell ref="T3:T5"/>
    <mergeCell ref="U3:U5"/>
    <mergeCell ref="E4:E5"/>
    <mergeCell ref="F4:Q4"/>
    <mergeCell ref="B6:B10"/>
    <mergeCell ref="C10:D10"/>
    <mergeCell ref="D3:D5"/>
    <mergeCell ref="B2:E2"/>
    <mergeCell ref="R18:S18"/>
    <mergeCell ref="B12:E12"/>
    <mergeCell ref="F12:U12"/>
    <mergeCell ref="B13:B15"/>
    <mergeCell ref="C13:C15"/>
    <mergeCell ref="D13:D15"/>
    <mergeCell ref="R13:R14"/>
    <mergeCell ref="S13:S15"/>
    <mergeCell ref="T13:T15"/>
    <mergeCell ref="U13:U15"/>
    <mergeCell ref="E14:E15"/>
    <mergeCell ref="F14:Q14"/>
    <mergeCell ref="B16:B18"/>
    <mergeCell ref="C18:E18"/>
  </mergeCells>
  <pageMargins left="0.7" right="0.7" top="0.75" bottom="0.75" header="0.3" footer="0.3"/>
  <ignoredErrors>
    <ignoredError sqref="T7" formula="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7939A-9511-4A00-89FD-3172B9156665}">
  <dimension ref="B1:V23"/>
  <sheetViews>
    <sheetView zoomScaleNormal="100" workbookViewId="0">
      <selection activeCell="U12" sqref="U12:U13"/>
    </sheetView>
  </sheetViews>
  <sheetFormatPr baseColWidth="10" defaultRowHeight="14.4" x14ac:dyDescent="0.3"/>
  <cols>
    <col min="1" max="1" width="1.44140625" customWidth="1"/>
    <col min="2" max="2" width="11" customWidth="1"/>
    <col min="3" max="3" width="15.88671875" customWidth="1"/>
    <col min="4" max="4" width="8.109375" customWidth="1"/>
    <col min="5" max="5" width="10" customWidth="1"/>
    <col min="6" max="7" width="6.88671875" customWidth="1"/>
    <col min="8" max="8" width="6.5546875" customWidth="1"/>
    <col min="9" max="9" width="6.88671875" customWidth="1"/>
    <col min="10" max="10" width="7.109375" customWidth="1"/>
    <col min="11" max="11" width="6.109375" customWidth="1"/>
    <col min="12" max="13" width="6.44140625" customWidth="1"/>
    <col min="14" max="14" width="9" customWidth="1"/>
    <col min="15" max="15" width="6.44140625" customWidth="1"/>
    <col min="16" max="17" width="8.109375" customWidth="1"/>
    <col min="18" max="18" width="13.6640625" customWidth="1"/>
    <col min="19" max="19" width="11.88671875" customWidth="1"/>
    <col min="20" max="20" width="11.6640625" customWidth="1"/>
  </cols>
  <sheetData>
    <row r="1" spans="2:21" ht="6" customHeight="1" thickBot="1" x14ac:dyDescent="0.35"/>
    <row r="2" spans="2:21" ht="11.25" customHeight="1" thickBot="1" x14ac:dyDescent="0.35">
      <c r="B2" s="758" t="s">
        <v>1</v>
      </c>
      <c r="C2" s="759"/>
      <c r="D2" s="759"/>
      <c r="E2" s="751"/>
      <c r="F2" s="760" t="s">
        <v>243</v>
      </c>
      <c r="G2" s="760"/>
      <c r="H2" s="760"/>
      <c r="I2" s="760"/>
      <c r="J2" s="760"/>
      <c r="K2" s="760"/>
      <c r="L2" s="760"/>
      <c r="M2" s="760"/>
      <c r="N2" s="760"/>
      <c r="O2" s="760"/>
      <c r="P2" s="760"/>
      <c r="Q2" s="760"/>
      <c r="R2" s="760"/>
      <c r="S2" s="760"/>
      <c r="T2" s="761"/>
      <c r="U2" s="762"/>
    </row>
    <row r="3" spans="2:21" ht="25.5" customHeight="1" thickBot="1" x14ac:dyDescent="0.35">
      <c r="B3" s="788" t="s">
        <v>2</v>
      </c>
      <c r="C3" s="763" t="s">
        <v>3</v>
      </c>
      <c r="D3" s="766" t="s">
        <v>4</v>
      </c>
      <c r="E3" s="792" t="s">
        <v>212</v>
      </c>
      <c r="F3" s="176" t="s">
        <v>202</v>
      </c>
      <c r="G3" s="177" t="s">
        <v>201</v>
      </c>
      <c r="H3" s="177" t="s">
        <v>200</v>
      </c>
      <c r="I3" s="177" t="s">
        <v>199</v>
      </c>
      <c r="J3" s="177" t="s">
        <v>198</v>
      </c>
      <c r="K3" s="177" t="s">
        <v>197</v>
      </c>
      <c r="L3" s="178" t="s">
        <v>196</v>
      </c>
      <c r="M3" s="178" t="s">
        <v>195</v>
      </c>
      <c r="N3" s="178" t="s">
        <v>194</v>
      </c>
      <c r="O3" s="177" t="s">
        <v>193</v>
      </c>
      <c r="P3" s="177" t="s">
        <v>192</v>
      </c>
      <c r="Q3" s="179" t="s">
        <v>191</v>
      </c>
      <c r="R3" s="806" t="s">
        <v>186</v>
      </c>
      <c r="S3" s="808" t="s">
        <v>135</v>
      </c>
      <c r="T3" s="811" t="s">
        <v>170</v>
      </c>
      <c r="U3" s="779" t="s">
        <v>173</v>
      </c>
    </row>
    <row r="4" spans="2:21" ht="10.5" customHeight="1" thickBot="1" x14ac:dyDescent="0.35">
      <c r="B4" s="789"/>
      <c r="C4" s="764"/>
      <c r="D4" s="767"/>
      <c r="E4" s="793"/>
      <c r="F4" s="800" t="s">
        <v>206</v>
      </c>
      <c r="G4" s="785"/>
      <c r="H4" s="785"/>
      <c r="I4" s="785"/>
      <c r="J4" s="785"/>
      <c r="K4" s="785"/>
      <c r="L4" s="785"/>
      <c r="M4" s="785"/>
      <c r="N4" s="785"/>
      <c r="O4" s="785"/>
      <c r="P4" s="785"/>
      <c r="Q4" s="786"/>
      <c r="R4" s="807"/>
      <c r="S4" s="809"/>
      <c r="T4" s="812"/>
      <c r="U4" s="780"/>
    </row>
    <row r="5" spans="2:21" ht="12.75" customHeight="1" thickBot="1" x14ac:dyDescent="0.35">
      <c r="B5" s="790"/>
      <c r="C5" s="803"/>
      <c r="D5" s="805"/>
      <c r="E5" s="814"/>
      <c r="F5" s="172">
        <f>'PLAN MAESTRO BOGOTA RECIRCU'!F5</f>
        <v>27229</v>
      </c>
      <c r="G5" s="173">
        <f>'PLAN MAESTRO BOGOTA RECIRCU'!H5</f>
        <v>26637.41599928544</v>
      </c>
      <c r="H5" s="173">
        <f>'PLAN MAESTRO BOGOTA RECIRCU'!J5</f>
        <v>25371.21130726752</v>
      </c>
      <c r="I5" s="173">
        <f>'PLAN MAESTRO BOGOTA RECIRCU'!L5</f>
        <v>28996.038995013121</v>
      </c>
      <c r="J5" s="173">
        <f>'PLAN MAESTRO BOGOTA RECIRCU'!N5</f>
        <v>31421.600339636221</v>
      </c>
      <c r="K5" s="173">
        <f>'PLAN MAESTRO BOGOTA RECIRCU'!P5</f>
        <v>34249.300539058881</v>
      </c>
      <c r="L5" s="174">
        <f>'PLAN MAESTRO BOGOTA RECIRCU'!R5</f>
        <v>40509.091493235203</v>
      </c>
      <c r="M5" s="174">
        <f>'PLAN MAESTRO BOGOTA RECIRCU'!T5</f>
        <v>40285.49200255872</v>
      </c>
      <c r="N5" s="174">
        <f>'PLAN MAESTRO BOGOTA RECIRCU'!V5</f>
        <v>43482.436859595713</v>
      </c>
      <c r="O5" s="173">
        <f>'PLAN MAESTRO BOGOTA RECIRCU'!X5</f>
        <v>40858.186350272197</v>
      </c>
      <c r="P5" s="173">
        <f>'PLAN MAESTRO BOGOTA RECIRCU'!Z5</f>
        <v>26685.67577546708</v>
      </c>
      <c r="Q5" s="175">
        <f>'PLAN MAESTRO BOGOTA RECIRCU'!AB5</f>
        <v>13422.465444558526</v>
      </c>
      <c r="R5" s="148">
        <f>SUM(F5:Q5)</f>
        <v>379147.91510594863</v>
      </c>
      <c r="S5" s="810"/>
      <c r="T5" s="813"/>
      <c r="U5" s="781"/>
    </row>
    <row r="6" spans="2:21" ht="12" customHeight="1" x14ac:dyDescent="0.3">
      <c r="B6" s="822" t="s">
        <v>218</v>
      </c>
      <c r="C6" s="182" t="s">
        <v>211</v>
      </c>
      <c r="D6" s="129" t="s">
        <v>31</v>
      </c>
      <c r="E6" s="152">
        <v>72</v>
      </c>
      <c r="F6" s="160" t="s">
        <v>203</v>
      </c>
      <c r="G6" s="161" t="s">
        <v>203</v>
      </c>
      <c r="H6" s="161" t="s">
        <v>203</v>
      </c>
      <c r="I6" s="161" t="s">
        <v>203</v>
      </c>
      <c r="J6" s="161" t="s">
        <v>203</v>
      </c>
      <c r="K6" s="161" t="s">
        <v>203</v>
      </c>
      <c r="L6" s="161" t="s">
        <v>203</v>
      </c>
      <c r="M6" s="161" t="s">
        <v>203</v>
      </c>
      <c r="N6" s="161" t="s">
        <v>203</v>
      </c>
      <c r="O6" s="161" t="s">
        <v>203</v>
      </c>
      <c r="P6" s="161" t="s">
        <v>203</v>
      </c>
      <c r="Q6" s="162" t="s">
        <v>203</v>
      </c>
      <c r="R6" s="149" t="s">
        <v>203</v>
      </c>
      <c r="S6" s="222">
        <v>2359000</v>
      </c>
      <c r="T6" s="145">
        <f>(E6*S6)/3</f>
        <v>56616000</v>
      </c>
      <c r="U6" s="146">
        <f>T6/R5</f>
        <v>149.32430786063875</v>
      </c>
    </row>
    <row r="7" spans="2:21" ht="11.25" customHeight="1" x14ac:dyDescent="0.3">
      <c r="B7" s="826"/>
      <c r="C7" s="182" t="s">
        <v>213</v>
      </c>
      <c r="D7" s="129" t="s">
        <v>31</v>
      </c>
      <c r="E7" s="153">
        <v>1.7999999999999999E-2</v>
      </c>
      <c r="F7" s="140">
        <f>$E$7*F5</f>
        <v>490.12199999999996</v>
      </c>
      <c r="G7" s="137">
        <f t="shared" ref="G7:Q7" si="0">$E$7*G5</f>
        <v>479.4734879871379</v>
      </c>
      <c r="H7" s="137">
        <f t="shared" si="0"/>
        <v>456.68180353081533</v>
      </c>
      <c r="I7" s="137">
        <f t="shared" si="0"/>
        <v>521.9287019102361</v>
      </c>
      <c r="J7" s="137">
        <f t="shared" si="0"/>
        <v>565.58880611345194</v>
      </c>
      <c r="K7" s="137">
        <f t="shared" si="0"/>
        <v>616.48740970305983</v>
      </c>
      <c r="L7" s="137">
        <f t="shared" si="0"/>
        <v>729.16364687823364</v>
      </c>
      <c r="M7" s="137">
        <f t="shared" si="0"/>
        <v>725.13885604605696</v>
      </c>
      <c r="N7" s="137">
        <f t="shared" si="0"/>
        <v>782.68386347272281</v>
      </c>
      <c r="O7" s="137">
        <f t="shared" si="0"/>
        <v>735.44735430489948</v>
      </c>
      <c r="P7" s="137">
        <f t="shared" si="0"/>
        <v>480.34216395840741</v>
      </c>
      <c r="Q7" s="141">
        <f t="shared" si="0"/>
        <v>241.60437800205344</v>
      </c>
      <c r="R7" s="138">
        <f>SUM(F7:Q7)</f>
        <v>6824.6624719070751</v>
      </c>
      <c r="S7" s="139">
        <v>20900</v>
      </c>
      <c r="T7" s="145">
        <f>R7*S7</f>
        <v>142635445.66285786</v>
      </c>
      <c r="U7" s="130">
        <f>T7/R5</f>
        <v>376.2</v>
      </c>
    </row>
    <row r="8" spans="2:21" ht="11.25" customHeight="1" x14ac:dyDescent="0.3">
      <c r="B8" s="826"/>
      <c r="C8" s="182" t="s">
        <v>402</v>
      </c>
      <c r="D8" s="129" t="s">
        <v>214</v>
      </c>
      <c r="E8" s="153" t="s">
        <v>203</v>
      </c>
      <c r="F8" s="163" t="s">
        <v>203</v>
      </c>
      <c r="G8" s="159" t="s">
        <v>203</v>
      </c>
      <c r="H8" s="159" t="s">
        <v>203</v>
      </c>
      <c r="I8" s="159" t="s">
        <v>203</v>
      </c>
      <c r="J8" s="159" t="s">
        <v>203</v>
      </c>
      <c r="K8" s="159" t="s">
        <v>203</v>
      </c>
      <c r="L8" s="159" t="s">
        <v>203</v>
      </c>
      <c r="M8" s="159" t="s">
        <v>203</v>
      </c>
      <c r="N8" s="159" t="s">
        <v>203</v>
      </c>
      <c r="O8" s="159" t="s">
        <v>203</v>
      </c>
      <c r="P8" s="159" t="s">
        <v>203</v>
      </c>
      <c r="Q8" s="164" t="s">
        <v>203</v>
      </c>
      <c r="R8" s="520">
        <v>132492000</v>
      </c>
      <c r="S8" s="139">
        <f>R8/2</f>
        <v>66246000</v>
      </c>
      <c r="T8" s="145">
        <f>S8</f>
        <v>66246000</v>
      </c>
      <c r="U8" s="130">
        <f>T8/R5</f>
        <v>174.72336616037649</v>
      </c>
    </row>
    <row r="9" spans="2:21" ht="11.25" customHeight="1" x14ac:dyDescent="0.3">
      <c r="B9" s="826"/>
      <c r="C9" s="182" t="s">
        <v>216</v>
      </c>
      <c r="D9" s="131" t="s">
        <v>214</v>
      </c>
      <c r="E9" s="154">
        <v>1</v>
      </c>
      <c r="F9" s="163" t="s">
        <v>203</v>
      </c>
      <c r="G9" s="159" t="s">
        <v>203</v>
      </c>
      <c r="H9" s="159" t="s">
        <v>203</v>
      </c>
      <c r="I9" s="159" t="s">
        <v>203</v>
      </c>
      <c r="J9" s="159" t="s">
        <v>203</v>
      </c>
      <c r="K9" s="159" t="s">
        <v>203</v>
      </c>
      <c r="L9" s="159" t="s">
        <v>203</v>
      </c>
      <c r="M9" s="159" t="s">
        <v>203</v>
      </c>
      <c r="N9" s="159" t="s">
        <v>203</v>
      </c>
      <c r="O9" s="159" t="s">
        <v>203</v>
      </c>
      <c r="P9" s="159" t="s">
        <v>203</v>
      </c>
      <c r="Q9" s="164" t="s">
        <v>203</v>
      </c>
      <c r="R9" s="138" t="s">
        <v>203</v>
      </c>
      <c r="S9" s="139" t="s">
        <v>203</v>
      </c>
      <c r="T9" s="135">
        <f>52403589*2</f>
        <v>104807178</v>
      </c>
      <c r="U9" s="130">
        <f>T9/$R$5</f>
        <v>276.42820604911623</v>
      </c>
    </row>
    <row r="10" spans="2:21" ht="22.5" customHeight="1" thickBot="1" x14ac:dyDescent="0.35">
      <c r="B10" s="826"/>
      <c r="C10" s="182" t="s">
        <v>215</v>
      </c>
      <c r="D10" s="131" t="s">
        <v>214</v>
      </c>
      <c r="E10" s="154">
        <v>1</v>
      </c>
      <c r="F10" s="184" t="s">
        <v>203</v>
      </c>
      <c r="G10" s="185" t="s">
        <v>203</v>
      </c>
      <c r="H10" s="185" t="s">
        <v>203</v>
      </c>
      <c r="I10" s="185" t="s">
        <v>203</v>
      </c>
      <c r="J10" s="185" t="s">
        <v>203</v>
      </c>
      <c r="K10" s="185" t="s">
        <v>203</v>
      </c>
      <c r="L10" s="185" t="s">
        <v>203</v>
      </c>
      <c r="M10" s="185" t="s">
        <v>203</v>
      </c>
      <c r="N10" s="185" t="s">
        <v>203</v>
      </c>
      <c r="O10" s="185" t="s">
        <v>203</v>
      </c>
      <c r="P10" s="185" t="s">
        <v>203</v>
      </c>
      <c r="Q10" s="186" t="s">
        <v>203</v>
      </c>
      <c r="R10" s="142" t="s">
        <v>203</v>
      </c>
      <c r="S10" s="143" t="s">
        <v>203</v>
      </c>
      <c r="T10" s="135">
        <v>9813068</v>
      </c>
      <c r="U10" s="130">
        <f t="shared" ref="U10" si="1">T10/$R$5</f>
        <v>25.881898881753965</v>
      </c>
    </row>
    <row r="11" spans="2:21" ht="10.5" customHeight="1" thickBot="1" x14ac:dyDescent="0.35">
      <c r="B11" s="824"/>
      <c r="C11" s="827" t="s">
        <v>25</v>
      </c>
      <c r="D11" s="818"/>
      <c r="E11" s="134"/>
      <c r="F11" s="201"/>
      <c r="G11" s="202"/>
      <c r="H11" s="202"/>
      <c r="I11" s="202"/>
      <c r="J11" s="202"/>
      <c r="K11" s="202"/>
      <c r="L11" s="202"/>
      <c r="M11" s="202"/>
      <c r="N11" s="202"/>
      <c r="O11" s="203"/>
      <c r="P11" s="203"/>
      <c r="Q11" s="203"/>
      <c r="R11" s="206"/>
      <c r="S11" s="305" t="s">
        <v>418</v>
      </c>
      <c r="T11" s="198">
        <f>SUM(T6:T10)</f>
        <v>380117691.66285789</v>
      </c>
      <c r="U11" s="193">
        <f>T11/$R$5</f>
        <v>1002.5577789518854</v>
      </c>
    </row>
    <row r="12" spans="2:21" ht="11.25" customHeight="1" thickBot="1" x14ac:dyDescent="0.35">
      <c r="B12" s="46"/>
      <c r="C12" s="46"/>
      <c r="D12" s="46"/>
      <c r="E12" s="46"/>
      <c r="F12" s="46"/>
      <c r="G12" s="46"/>
      <c r="H12" s="46"/>
      <c r="I12" s="46"/>
      <c r="J12" s="46"/>
      <c r="K12" s="46"/>
      <c r="L12" s="46"/>
      <c r="M12" s="46"/>
      <c r="N12" s="46"/>
      <c r="O12" s="46"/>
      <c r="P12" s="46"/>
      <c r="Q12" s="46"/>
      <c r="R12" s="728" t="s">
        <v>322</v>
      </c>
      <c r="S12" s="729"/>
      <c r="T12" s="252">
        <f>SUM(T9:T10)*70%</f>
        <v>80234172.199999988</v>
      </c>
      <c r="U12" s="249">
        <f>T12/R5</f>
        <v>211.61707345160912</v>
      </c>
    </row>
    <row r="13" spans="2:21" ht="12" customHeight="1" thickBot="1" x14ac:dyDescent="0.35">
      <c r="B13" s="46"/>
      <c r="C13" s="46"/>
      <c r="D13" s="46"/>
      <c r="E13" s="46"/>
      <c r="F13" s="46"/>
      <c r="G13" s="46"/>
      <c r="H13" s="46"/>
      <c r="I13" s="46"/>
      <c r="J13" s="46"/>
      <c r="K13" s="46"/>
      <c r="L13" s="46"/>
      <c r="M13" s="46"/>
      <c r="N13" s="46"/>
      <c r="O13" s="46"/>
      <c r="P13" s="46"/>
      <c r="Q13" s="46"/>
      <c r="R13" s="726" t="s">
        <v>323</v>
      </c>
      <c r="S13" s="730"/>
      <c r="T13" s="250">
        <f>(SUM(T9:T10)*30%)+T6+T7+T8</f>
        <v>299883519.46285784</v>
      </c>
      <c r="U13" s="251">
        <f>T13/R5</f>
        <v>790.94070550027618</v>
      </c>
    </row>
    <row r="14" spans="2:21" ht="3" customHeight="1" thickBot="1" x14ac:dyDescent="0.35"/>
    <row r="15" spans="2:21" ht="11.25" customHeight="1" thickBot="1" x14ac:dyDescent="0.35">
      <c r="B15" s="758" t="s">
        <v>242</v>
      </c>
      <c r="C15" s="759"/>
      <c r="D15" s="759"/>
      <c r="E15" s="751"/>
      <c r="F15" s="760" t="s">
        <v>246</v>
      </c>
      <c r="G15" s="760"/>
      <c r="H15" s="760"/>
      <c r="I15" s="760"/>
      <c r="J15" s="760"/>
      <c r="K15" s="760"/>
      <c r="L15" s="760"/>
      <c r="M15" s="760"/>
      <c r="N15" s="760"/>
      <c r="O15" s="760"/>
      <c r="P15" s="760"/>
      <c r="Q15" s="760"/>
      <c r="R15" s="760"/>
      <c r="S15" s="760"/>
      <c r="T15" s="761"/>
      <c r="U15" s="762"/>
    </row>
    <row r="16" spans="2:21" ht="25.5" customHeight="1" thickBot="1" x14ac:dyDescent="0.35">
      <c r="B16" s="763" t="s">
        <v>2</v>
      </c>
      <c r="C16" s="766" t="s">
        <v>3</v>
      </c>
      <c r="D16" s="766" t="s">
        <v>4</v>
      </c>
      <c r="E16" s="205" t="s">
        <v>205</v>
      </c>
      <c r="F16" s="176" t="s">
        <v>202</v>
      </c>
      <c r="G16" s="177" t="s">
        <v>201</v>
      </c>
      <c r="H16" s="177" t="s">
        <v>200</v>
      </c>
      <c r="I16" s="177" t="s">
        <v>199</v>
      </c>
      <c r="J16" s="177" t="s">
        <v>198</v>
      </c>
      <c r="K16" s="177" t="s">
        <v>197</v>
      </c>
      <c r="L16" s="178" t="s">
        <v>196</v>
      </c>
      <c r="M16" s="178" t="s">
        <v>195</v>
      </c>
      <c r="N16" s="178" t="s">
        <v>194</v>
      </c>
      <c r="O16" s="177" t="s">
        <v>193</v>
      </c>
      <c r="P16" s="177" t="s">
        <v>192</v>
      </c>
      <c r="Q16" s="179" t="s">
        <v>191</v>
      </c>
      <c r="R16" s="771" t="s">
        <v>186</v>
      </c>
      <c r="S16" s="773" t="s">
        <v>135</v>
      </c>
      <c r="T16" s="776" t="s">
        <v>170</v>
      </c>
      <c r="U16" s="779" t="s">
        <v>173</v>
      </c>
    </row>
    <row r="17" spans="2:22" ht="10.5" customHeight="1" thickBot="1" x14ac:dyDescent="0.35">
      <c r="B17" s="764"/>
      <c r="C17" s="767"/>
      <c r="D17" s="767"/>
      <c r="E17" s="799" t="s">
        <v>266</v>
      </c>
      <c r="F17" s="800" t="s">
        <v>206</v>
      </c>
      <c r="G17" s="785"/>
      <c r="H17" s="785"/>
      <c r="I17" s="785"/>
      <c r="J17" s="785"/>
      <c r="K17" s="785"/>
      <c r="L17" s="785"/>
      <c r="M17" s="785"/>
      <c r="N17" s="785"/>
      <c r="O17" s="785"/>
      <c r="P17" s="785"/>
      <c r="Q17" s="786"/>
      <c r="R17" s="772"/>
      <c r="S17" s="774"/>
      <c r="T17" s="777"/>
      <c r="U17" s="780"/>
    </row>
    <row r="18" spans="2:22" ht="10.5" customHeight="1" thickBot="1" x14ac:dyDescent="0.35">
      <c r="B18" s="765"/>
      <c r="C18" s="768"/>
      <c r="D18" s="768"/>
      <c r="E18" s="794"/>
      <c r="F18" s="183">
        <f>'PROYECCIÓN RESIDUOS Y LODOS'!F15</f>
        <v>5662</v>
      </c>
      <c r="G18" s="183">
        <f>'PROYECCIÓN RESIDUOS Y LODOS'!G15</f>
        <v>5537.9187862514427</v>
      </c>
      <c r="H18" s="183">
        <f>'PROYECCIÓN RESIDUOS Y LODOS'!H15</f>
        <v>5274.6748307809175</v>
      </c>
      <c r="I18" s="183">
        <f>'PROYECCIÓN RESIDUOS Y LODOS'!I15</f>
        <v>6028.2765070632277</v>
      </c>
      <c r="J18" s="183">
        <f>'PROYECCIÓN RESIDUOS Y LODOS'!J15</f>
        <v>9426.4801018908656</v>
      </c>
      <c r="K18" s="183">
        <f>'PROYECCIÓN RESIDUOS Y LODOS'!K15</f>
        <v>10274.790161717663</v>
      </c>
      <c r="L18" s="183">
        <f>'PROYECCIÓN RESIDUOS Y LODOS'!L15</f>
        <v>9722.1819583764482</v>
      </c>
      <c r="M18" s="183">
        <f>'PROYECCIÓN RESIDUOS Y LODOS'!M15</f>
        <v>9668.5180806140925</v>
      </c>
      <c r="N18" s="183">
        <f>'PROYECCIÓN RESIDUOS Y LODOS'!N15</f>
        <v>10000.960477707014</v>
      </c>
      <c r="O18" s="183">
        <f>'PROYECCIÓN RESIDUOS Y LODOS'!O15</f>
        <v>10214.546587568049</v>
      </c>
      <c r="P18" s="183">
        <f>'PROYECCIÓN RESIDUOS Y LODOS'!P15</f>
        <v>9339.986521413477</v>
      </c>
      <c r="Q18" s="183">
        <f>'PROYECCIÓN RESIDUOS Y LODOS'!Q15</f>
        <v>4697.8629055954834</v>
      </c>
      <c r="R18" s="212">
        <f>SUM(F18:Q18)</f>
        <v>95848.196918978676</v>
      </c>
      <c r="S18" s="775"/>
      <c r="T18" s="778"/>
      <c r="U18" s="781"/>
    </row>
    <row r="19" spans="2:22" ht="10.5" customHeight="1" thickBot="1" x14ac:dyDescent="0.35">
      <c r="B19" s="128"/>
      <c r="C19" s="224"/>
      <c r="D19" s="223"/>
      <c r="E19" s="225"/>
      <c r="F19" s="183"/>
      <c r="G19" s="226"/>
      <c r="H19" s="226"/>
      <c r="I19" s="226"/>
      <c r="J19" s="226"/>
      <c r="K19" s="226"/>
      <c r="L19" s="226"/>
      <c r="M19" s="226"/>
      <c r="N19" s="226"/>
      <c r="O19" s="226"/>
      <c r="P19" s="226"/>
      <c r="Q19" s="227"/>
      <c r="R19" s="228"/>
      <c r="S19" s="229"/>
      <c r="T19" s="230"/>
      <c r="U19" s="231"/>
    </row>
    <row r="20" spans="2:22" ht="11.25" customHeight="1" x14ac:dyDescent="0.3">
      <c r="B20" s="822" t="s">
        <v>218</v>
      </c>
      <c r="C20" s="497" t="s">
        <v>216</v>
      </c>
      <c r="D20" s="254" t="s">
        <v>214</v>
      </c>
      <c r="E20" s="494">
        <v>1</v>
      </c>
      <c r="F20" s="491" t="s">
        <v>203</v>
      </c>
      <c r="G20" s="216" t="s">
        <v>203</v>
      </c>
      <c r="H20" s="216" t="s">
        <v>203</v>
      </c>
      <c r="I20" s="216" t="s">
        <v>203</v>
      </c>
      <c r="J20" s="216" t="s">
        <v>203</v>
      </c>
      <c r="K20" s="216" t="s">
        <v>203</v>
      </c>
      <c r="L20" s="216" t="s">
        <v>203</v>
      </c>
      <c r="M20" s="216" t="s">
        <v>203</v>
      </c>
      <c r="N20" s="216" t="s">
        <v>203</v>
      </c>
      <c r="O20" s="216" t="s">
        <v>203</v>
      </c>
      <c r="P20" s="216" t="s">
        <v>203</v>
      </c>
      <c r="Q20" s="605" t="s">
        <v>203</v>
      </c>
      <c r="R20" s="149" t="s">
        <v>203</v>
      </c>
      <c r="S20" s="150" t="s">
        <v>203</v>
      </c>
      <c r="T20" s="238">
        <f>T9*5%</f>
        <v>5240358.9000000004</v>
      </c>
      <c r="U20" s="237">
        <f>T20/$R$18</f>
        <v>54.673526142904095</v>
      </c>
    </row>
    <row r="21" spans="2:22" ht="11.25" customHeight="1" x14ac:dyDescent="0.3">
      <c r="B21" s="823"/>
      <c r="C21" s="498" t="s">
        <v>325</v>
      </c>
      <c r="D21" s="131" t="s">
        <v>214</v>
      </c>
      <c r="E21" s="495">
        <v>1</v>
      </c>
      <c r="F21" s="492" t="s">
        <v>203</v>
      </c>
      <c r="G21" s="159" t="s">
        <v>203</v>
      </c>
      <c r="H21" s="159" t="s">
        <v>203</v>
      </c>
      <c r="I21" s="159" t="s">
        <v>203</v>
      </c>
      <c r="J21" s="159" t="s">
        <v>203</v>
      </c>
      <c r="K21" s="159" t="s">
        <v>203</v>
      </c>
      <c r="L21" s="159" t="s">
        <v>203</v>
      </c>
      <c r="M21" s="159" t="s">
        <v>203</v>
      </c>
      <c r="N21" s="159" t="s">
        <v>203</v>
      </c>
      <c r="O21" s="159" t="s">
        <v>203</v>
      </c>
      <c r="P21" s="159" t="s">
        <v>203</v>
      </c>
      <c r="Q21" s="606" t="s">
        <v>203</v>
      </c>
      <c r="R21" s="520">
        <v>186000000</v>
      </c>
      <c r="S21" s="139" t="s">
        <v>203</v>
      </c>
      <c r="T21" s="259">
        <f>186000000/5</f>
        <v>37200000</v>
      </c>
      <c r="U21" s="260">
        <f>T21/R18</f>
        <v>388.11371727154648</v>
      </c>
    </row>
    <row r="22" spans="2:22" ht="11.25" customHeight="1" thickBot="1" x14ac:dyDescent="0.35">
      <c r="B22" s="823"/>
      <c r="C22" s="499" t="s">
        <v>265</v>
      </c>
      <c r="D22" s="256" t="s">
        <v>31</v>
      </c>
      <c r="E22" s="496">
        <v>5.0000000000000001E-3</v>
      </c>
      <c r="F22" s="493">
        <f>F18*$E$22</f>
        <v>28.310000000000002</v>
      </c>
      <c r="G22" s="185">
        <f t="shared" ref="G22:Q22" si="2">G18*$E$22</f>
        <v>27.689593931257214</v>
      </c>
      <c r="H22" s="185">
        <f t="shared" si="2"/>
        <v>26.373374153904589</v>
      </c>
      <c r="I22" s="185">
        <f t="shared" si="2"/>
        <v>30.14138253531614</v>
      </c>
      <c r="J22" s="185">
        <f t="shared" si="2"/>
        <v>47.132400509454328</v>
      </c>
      <c r="K22" s="185">
        <f t="shared" si="2"/>
        <v>51.373950808588319</v>
      </c>
      <c r="L22" s="185">
        <f t="shared" si="2"/>
        <v>48.610909791882243</v>
      </c>
      <c r="M22" s="185">
        <f t="shared" si="2"/>
        <v>48.34259040307046</v>
      </c>
      <c r="N22" s="185">
        <f t="shared" si="2"/>
        <v>50.004802388535076</v>
      </c>
      <c r="O22" s="185">
        <f t="shared" si="2"/>
        <v>51.07273293784025</v>
      </c>
      <c r="P22" s="185">
        <f t="shared" si="2"/>
        <v>46.699932607067389</v>
      </c>
      <c r="Q22" s="607">
        <f t="shared" si="2"/>
        <v>23.489314527977417</v>
      </c>
      <c r="R22" s="142">
        <f>SUM(F22:Q22)</f>
        <v>479.24098459489346</v>
      </c>
      <c r="S22" s="143">
        <v>28300</v>
      </c>
      <c r="T22" s="136">
        <f>R22*S22</f>
        <v>13562519.864035485</v>
      </c>
      <c r="U22" s="132">
        <f>T22/$R$18</f>
        <v>141.50000000000003</v>
      </c>
    </row>
    <row r="23" spans="2:22" ht="10.5" customHeight="1" thickBot="1" x14ac:dyDescent="0.35">
      <c r="B23" s="824"/>
      <c r="C23" s="825" t="s">
        <v>25</v>
      </c>
      <c r="D23" s="825"/>
      <c r="E23" s="757"/>
      <c r="F23" s="201"/>
      <c r="G23" s="202"/>
      <c r="H23" s="202"/>
      <c r="I23" s="202"/>
      <c r="J23" s="202"/>
      <c r="K23" s="202"/>
      <c r="L23" s="202"/>
      <c r="M23" s="202"/>
      <c r="N23" s="202"/>
      <c r="O23" s="203"/>
      <c r="P23" s="203"/>
      <c r="Q23" s="207"/>
      <c r="R23" s="603"/>
      <c r="S23" s="604" t="s">
        <v>418</v>
      </c>
      <c r="T23" s="235">
        <f>SUM(T20:T22)</f>
        <v>56002878.764035486</v>
      </c>
      <c r="U23" s="236">
        <f>T23/$R$18</f>
        <v>584.28724341445059</v>
      </c>
      <c r="V23" s="54"/>
    </row>
  </sheetData>
  <mergeCells count="28">
    <mergeCell ref="R13:S13"/>
    <mergeCell ref="F2:U2"/>
    <mergeCell ref="B3:B5"/>
    <mergeCell ref="C3:C5"/>
    <mergeCell ref="D3:D5"/>
    <mergeCell ref="R3:R4"/>
    <mergeCell ref="S3:S5"/>
    <mergeCell ref="T3:T5"/>
    <mergeCell ref="U3:U5"/>
    <mergeCell ref="B2:E2"/>
    <mergeCell ref="F4:Q4"/>
    <mergeCell ref="B6:B11"/>
    <mergeCell ref="C11:D11"/>
    <mergeCell ref="E3:E5"/>
    <mergeCell ref="R12:S12"/>
    <mergeCell ref="B20:B23"/>
    <mergeCell ref="C23:E23"/>
    <mergeCell ref="B15:E15"/>
    <mergeCell ref="F15:U15"/>
    <mergeCell ref="B16:B18"/>
    <mergeCell ref="C16:C18"/>
    <mergeCell ref="D16:D18"/>
    <mergeCell ref="R16:R17"/>
    <mergeCell ref="S16:S18"/>
    <mergeCell ref="T16:T18"/>
    <mergeCell ref="U16:U18"/>
    <mergeCell ref="E17:E18"/>
    <mergeCell ref="F17:Q17"/>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435A0-85FB-4CDF-85B7-B1CA598AA5B8}">
  <dimension ref="B1:V22"/>
  <sheetViews>
    <sheetView topLeftCell="A10" workbookViewId="0">
      <selection activeCell="T21" sqref="T21"/>
    </sheetView>
  </sheetViews>
  <sheetFormatPr baseColWidth="10" defaultRowHeight="14.4" x14ac:dyDescent="0.3"/>
  <cols>
    <col min="1" max="1" width="1" customWidth="1"/>
    <col min="2" max="2" width="11.88671875" customWidth="1"/>
    <col min="3" max="3" width="22.109375" customWidth="1"/>
    <col min="4" max="4" width="8.109375" customWidth="1"/>
    <col min="5" max="5" width="9.109375" customWidth="1"/>
    <col min="6" max="6" width="6.44140625" customWidth="1"/>
    <col min="7" max="7" width="6.88671875" customWidth="1"/>
    <col min="8" max="8" width="6.5546875" customWidth="1"/>
    <col min="9" max="9" width="6.88671875" customWidth="1"/>
    <col min="10" max="10" width="7.109375" customWidth="1"/>
    <col min="11" max="11" width="7.33203125" customWidth="1"/>
    <col min="12" max="12" width="6.44140625" customWidth="1"/>
    <col min="13" max="13" width="6.5546875" customWidth="1"/>
    <col min="14" max="14" width="8.6640625" customWidth="1"/>
    <col min="15" max="15" width="7.5546875" customWidth="1"/>
    <col min="16" max="17" width="8.109375" customWidth="1"/>
    <col min="18" max="18" width="11.109375" customWidth="1"/>
    <col min="19" max="19" width="11.6640625" customWidth="1"/>
    <col min="20" max="20" width="11" customWidth="1"/>
    <col min="21" max="21" width="6" customWidth="1"/>
  </cols>
  <sheetData>
    <row r="1" spans="2:21" ht="4.5" customHeight="1" thickBot="1" x14ac:dyDescent="0.35"/>
    <row r="2" spans="2:21" ht="11.25" customHeight="1" thickBot="1" x14ac:dyDescent="0.35">
      <c r="B2" s="782" t="s">
        <v>1</v>
      </c>
      <c r="C2" s="766"/>
      <c r="D2" s="766"/>
      <c r="E2" s="181"/>
      <c r="F2" s="760" t="s">
        <v>243</v>
      </c>
      <c r="G2" s="760"/>
      <c r="H2" s="760"/>
      <c r="I2" s="760"/>
      <c r="J2" s="760"/>
      <c r="K2" s="760"/>
      <c r="L2" s="760"/>
      <c r="M2" s="760"/>
      <c r="N2" s="760"/>
      <c r="O2" s="760"/>
      <c r="P2" s="760"/>
      <c r="Q2" s="760"/>
      <c r="R2" s="760"/>
      <c r="S2" s="760"/>
      <c r="T2" s="761"/>
      <c r="U2" s="762"/>
    </row>
    <row r="3" spans="2:21" ht="25.5" customHeight="1" thickBot="1" x14ac:dyDescent="0.35">
      <c r="B3" s="836" t="s">
        <v>2</v>
      </c>
      <c r="C3" s="763" t="s">
        <v>3</v>
      </c>
      <c r="D3" s="766" t="s">
        <v>4</v>
      </c>
      <c r="E3" s="792" t="s">
        <v>212</v>
      </c>
      <c r="F3" s="176" t="s">
        <v>202</v>
      </c>
      <c r="G3" s="177" t="s">
        <v>201</v>
      </c>
      <c r="H3" s="177" t="s">
        <v>200</v>
      </c>
      <c r="I3" s="177" t="s">
        <v>199</v>
      </c>
      <c r="J3" s="177" t="s">
        <v>198</v>
      </c>
      <c r="K3" s="177" t="s">
        <v>197</v>
      </c>
      <c r="L3" s="178" t="s">
        <v>196</v>
      </c>
      <c r="M3" s="178" t="s">
        <v>195</v>
      </c>
      <c r="N3" s="178" t="s">
        <v>194</v>
      </c>
      <c r="O3" s="177" t="s">
        <v>193</v>
      </c>
      <c r="P3" s="177" t="s">
        <v>192</v>
      </c>
      <c r="Q3" s="179" t="s">
        <v>191</v>
      </c>
      <c r="R3" s="806" t="s">
        <v>186</v>
      </c>
      <c r="S3" s="808" t="s">
        <v>221</v>
      </c>
      <c r="T3" s="811" t="s">
        <v>170</v>
      </c>
      <c r="U3" s="779" t="s">
        <v>173</v>
      </c>
    </row>
    <row r="4" spans="2:21" ht="10.5" customHeight="1" thickBot="1" x14ac:dyDescent="0.35">
      <c r="B4" s="837"/>
      <c r="C4" s="764"/>
      <c r="D4" s="767"/>
      <c r="E4" s="793"/>
      <c r="F4" s="800" t="s">
        <v>206</v>
      </c>
      <c r="G4" s="785"/>
      <c r="H4" s="785"/>
      <c r="I4" s="785"/>
      <c r="J4" s="785"/>
      <c r="K4" s="785"/>
      <c r="L4" s="785"/>
      <c r="M4" s="785"/>
      <c r="N4" s="785"/>
      <c r="O4" s="785"/>
      <c r="P4" s="785"/>
      <c r="Q4" s="786"/>
      <c r="R4" s="807"/>
      <c r="S4" s="809"/>
      <c r="T4" s="812"/>
      <c r="U4" s="780"/>
    </row>
    <row r="5" spans="2:21" ht="15" thickBot="1" x14ac:dyDescent="0.35">
      <c r="B5" s="838"/>
      <c r="C5" s="803"/>
      <c r="D5" s="805"/>
      <c r="E5" s="814"/>
      <c r="F5" s="172">
        <f>'PLAN MAESTRO BOGOTA RECIRCU'!F5</f>
        <v>27229</v>
      </c>
      <c r="G5" s="173">
        <f>'PLAN MAESTRO BOGOTA RECIRCU'!H5</f>
        <v>26637.41599928544</v>
      </c>
      <c r="H5" s="173">
        <f>'PLAN MAESTRO BOGOTA RECIRCU'!J5</f>
        <v>25371.21130726752</v>
      </c>
      <c r="I5" s="173">
        <f>'PLAN MAESTRO BOGOTA RECIRCU'!L5</f>
        <v>28996.038995013121</v>
      </c>
      <c r="J5" s="173">
        <f>'PLAN MAESTRO BOGOTA RECIRCU'!N5</f>
        <v>31421.600339636221</v>
      </c>
      <c r="K5" s="173">
        <f>'PLAN MAESTRO BOGOTA RECIRCU'!P5</f>
        <v>34249.300539058881</v>
      </c>
      <c r="L5" s="174">
        <f>'PLAN MAESTRO BOGOTA RECIRCU'!R5</f>
        <v>40509.091493235203</v>
      </c>
      <c r="M5" s="174">
        <f>'PLAN MAESTRO BOGOTA RECIRCU'!T5</f>
        <v>40285.49200255872</v>
      </c>
      <c r="N5" s="174">
        <f>'PLAN MAESTRO BOGOTA RECIRCU'!V5</f>
        <v>43482.436859595713</v>
      </c>
      <c r="O5" s="173">
        <f>'PLAN MAESTRO BOGOTA RECIRCU'!X5</f>
        <v>40858.186350272197</v>
      </c>
      <c r="P5" s="173">
        <f>'PLAN MAESTRO BOGOTA RECIRCU'!Z5</f>
        <v>26685.67577546708</v>
      </c>
      <c r="Q5" s="175">
        <f>'PLAN MAESTRO BOGOTA RECIRCU'!AB5</f>
        <v>13422.465444558526</v>
      </c>
      <c r="R5" s="148">
        <f>SUM(F5:Q5)</f>
        <v>379147.91510594863</v>
      </c>
      <c r="S5" s="810"/>
      <c r="T5" s="813"/>
      <c r="U5" s="781"/>
    </row>
    <row r="6" spans="2:21" ht="16.5" customHeight="1" x14ac:dyDescent="0.3">
      <c r="B6" s="834" t="s">
        <v>219</v>
      </c>
      <c r="C6" s="182" t="s">
        <v>220</v>
      </c>
      <c r="D6" s="129" t="s">
        <v>214</v>
      </c>
      <c r="E6" s="152">
        <v>1</v>
      </c>
      <c r="F6" s="160">
        <v>1</v>
      </c>
      <c r="G6" s="161">
        <v>1</v>
      </c>
      <c r="H6" s="161">
        <v>1</v>
      </c>
      <c r="I6" s="161">
        <v>1</v>
      </c>
      <c r="J6" s="161">
        <v>1</v>
      </c>
      <c r="K6" s="161">
        <v>1</v>
      </c>
      <c r="L6" s="161">
        <v>1</v>
      </c>
      <c r="M6" s="161">
        <v>1</v>
      </c>
      <c r="N6" s="161">
        <v>1</v>
      </c>
      <c r="O6" s="161">
        <v>1</v>
      </c>
      <c r="P6" s="161">
        <v>1</v>
      </c>
      <c r="Q6" s="162">
        <v>1</v>
      </c>
      <c r="R6" s="149" t="s">
        <v>203</v>
      </c>
      <c r="S6" s="150">
        <v>19091400</v>
      </c>
      <c r="T6" s="145">
        <f>E6*S6</f>
        <v>19091400</v>
      </c>
      <c r="U6" s="146">
        <f t="shared" ref="U6:U10" si="0">T6/$R$5</f>
        <v>50.353435267249516</v>
      </c>
    </row>
    <row r="7" spans="2:21" ht="23.25" customHeight="1" thickBot="1" x14ac:dyDescent="0.35">
      <c r="B7" s="834"/>
      <c r="C7" s="182" t="s">
        <v>222</v>
      </c>
      <c r="D7" s="129" t="s">
        <v>214</v>
      </c>
      <c r="E7" s="153">
        <v>1</v>
      </c>
      <c r="F7" s="165">
        <v>1</v>
      </c>
      <c r="G7" s="166">
        <v>1</v>
      </c>
      <c r="H7" s="166">
        <v>1</v>
      </c>
      <c r="I7" s="166">
        <v>1</v>
      </c>
      <c r="J7" s="166">
        <v>1</v>
      </c>
      <c r="K7" s="166">
        <v>1</v>
      </c>
      <c r="L7" s="166">
        <v>1</v>
      </c>
      <c r="M7" s="166">
        <v>1</v>
      </c>
      <c r="N7" s="166">
        <v>1</v>
      </c>
      <c r="O7" s="166">
        <v>1</v>
      </c>
      <c r="P7" s="166">
        <v>1</v>
      </c>
      <c r="Q7" s="167">
        <v>1</v>
      </c>
      <c r="R7" s="142" t="s">
        <v>203</v>
      </c>
      <c r="S7" s="143">
        <f>207739008</f>
        <v>207739008</v>
      </c>
      <c r="T7" s="145">
        <f>S7</f>
        <v>207739008</v>
      </c>
      <c r="U7" s="146">
        <f t="shared" si="0"/>
        <v>547.91019473745405</v>
      </c>
    </row>
    <row r="8" spans="2:21" ht="34.5" customHeight="1" thickBot="1" x14ac:dyDescent="0.35">
      <c r="B8" s="834"/>
      <c r="C8" s="182" t="s">
        <v>403</v>
      </c>
      <c r="D8" s="129" t="s">
        <v>214</v>
      </c>
      <c r="E8" s="153">
        <v>1</v>
      </c>
      <c r="F8" s="165">
        <v>1</v>
      </c>
      <c r="G8" s="166">
        <v>1</v>
      </c>
      <c r="H8" s="166">
        <v>1</v>
      </c>
      <c r="I8" s="166">
        <v>1</v>
      </c>
      <c r="J8" s="166">
        <v>1</v>
      </c>
      <c r="K8" s="166">
        <v>1</v>
      </c>
      <c r="L8" s="166">
        <v>1</v>
      </c>
      <c r="M8" s="166">
        <v>1</v>
      </c>
      <c r="N8" s="166">
        <v>1</v>
      </c>
      <c r="O8" s="166">
        <v>1</v>
      </c>
      <c r="P8" s="166">
        <v>1</v>
      </c>
      <c r="Q8" s="167">
        <v>1</v>
      </c>
      <c r="R8" s="521">
        <v>108103011</v>
      </c>
      <c r="S8" s="143">
        <f>R8/2</f>
        <v>54051505.5</v>
      </c>
      <c r="T8" s="145">
        <f>S8</f>
        <v>54051505.5</v>
      </c>
      <c r="U8" s="146">
        <f t="shared" si="0"/>
        <v>142.56047137934522</v>
      </c>
    </row>
    <row r="9" spans="2:21" ht="22.5" customHeight="1" thickBot="1" x14ac:dyDescent="0.35">
      <c r="B9" s="834"/>
      <c r="C9" s="182" t="s">
        <v>408</v>
      </c>
      <c r="D9" s="129" t="s">
        <v>214</v>
      </c>
      <c r="E9" s="153">
        <v>1</v>
      </c>
      <c r="F9" s="165">
        <v>1</v>
      </c>
      <c r="G9" s="166">
        <v>1</v>
      </c>
      <c r="H9" s="166">
        <v>1</v>
      </c>
      <c r="I9" s="166">
        <v>1</v>
      </c>
      <c r="J9" s="166">
        <v>1</v>
      </c>
      <c r="K9" s="166">
        <v>1</v>
      </c>
      <c r="L9" s="166">
        <v>1</v>
      </c>
      <c r="M9" s="166">
        <v>1</v>
      </c>
      <c r="N9" s="166">
        <v>1</v>
      </c>
      <c r="O9" s="166">
        <v>1</v>
      </c>
      <c r="P9" s="166">
        <v>1</v>
      </c>
      <c r="Q9" s="167">
        <v>1</v>
      </c>
      <c r="R9" s="521">
        <v>27700656</v>
      </c>
      <c r="S9" s="143">
        <f>R9/15</f>
        <v>1846710.4</v>
      </c>
      <c r="T9" s="145">
        <f>S9</f>
        <v>1846710.4</v>
      </c>
      <c r="U9" s="146">
        <f t="shared" si="0"/>
        <v>4.8706858891310461</v>
      </c>
    </row>
    <row r="10" spans="2:21" ht="21.75" customHeight="1" thickBot="1" x14ac:dyDescent="0.35">
      <c r="B10" s="834"/>
      <c r="C10" s="182" t="s">
        <v>407</v>
      </c>
      <c r="D10" s="129" t="s">
        <v>214</v>
      </c>
      <c r="E10" s="153">
        <v>1</v>
      </c>
      <c r="F10" s="165">
        <v>1</v>
      </c>
      <c r="G10" s="166">
        <v>1</v>
      </c>
      <c r="H10" s="166">
        <v>1</v>
      </c>
      <c r="I10" s="166">
        <v>1</v>
      </c>
      <c r="J10" s="166">
        <v>1</v>
      </c>
      <c r="K10" s="166">
        <v>1</v>
      </c>
      <c r="L10" s="166">
        <v>1</v>
      </c>
      <c r="M10" s="166">
        <v>1</v>
      </c>
      <c r="N10" s="166">
        <v>1</v>
      </c>
      <c r="O10" s="166">
        <v>1</v>
      </c>
      <c r="P10" s="166">
        <v>1</v>
      </c>
      <c r="Q10" s="167">
        <v>1</v>
      </c>
      <c r="R10" s="143">
        <v>140100000</v>
      </c>
      <c r="S10" s="143">
        <f>R10/3</f>
        <v>46700000</v>
      </c>
      <c r="T10" s="145">
        <f>S10</f>
        <v>46700000</v>
      </c>
      <c r="U10" s="146">
        <f t="shared" si="0"/>
        <v>123.17092654182262</v>
      </c>
    </row>
    <row r="11" spans="2:21" ht="15" thickBot="1" x14ac:dyDescent="0.35">
      <c r="B11" s="835"/>
      <c r="C11" s="827" t="s">
        <v>25</v>
      </c>
      <c r="D11" s="818"/>
      <c r="E11" s="134"/>
      <c r="F11" s="201"/>
      <c r="G11" s="202"/>
      <c r="H11" s="202"/>
      <c r="I11" s="202"/>
      <c r="J11" s="202"/>
      <c r="K11" s="202"/>
      <c r="L11" s="202"/>
      <c r="M11" s="202"/>
      <c r="N11" s="202"/>
      <c r="O11" s="203"/>
      <c r="P11" s="203"/>
      <c r="Q11" s="203"/>
      <c r="R11" s="206"/>
      <c r="S11" s="305" t="s">
        <v>418</v>
      </c>
      <c r="T11" s="198">
        <f>SUM(T6:T10)</f>
        <v>329428623.89999998</v>
      </c>
      <c r="U11" s="147">
        <f>T11/$R$5</f>
        <v>868.86571381500232</v>
      </c>
    </row>
    <row r="12" spans="2:21" ht="21.6" x14ac:dyDescent="0.3">
      <c r="B12" s="46"/>
      <c r="C12" s="46"/>
      <c r="D12" s="46"/>
      <c r="E12" s="46"/>
      <c r="F12" s="46"/>
      <c r="G12" s="46"/>
      <c r="H12" s="46"/>
      <c r="I12" s="46"/>
      <c r="J12" s="46"/>
      <c r="K12" s="46"/>
      <c r="L12" s="46"/>
      <c r="M12" s="46"/>
      <c r="N12" s="46"/>
      <c r="O12" s="46"/>
      <c r="P12" s="46"/>
      <c r="Q12" s="46"/>
      <c r="R12" s="46"/>
      <c r="S12" s="257" t="s">
        <v>322</v>
      </c>
      <c r="T12" s="522">
        <f>(T6+T7)*80%</f>
        <v>181464326.40000001</v>
      </c>
      <c r="U12" s="194">
        <f>T12/R5</f>
        <v>478.61090400376287</v>
      </c>
    </row>
    <row r="13" spans="2:21" ht="22.2" thickBot="1" x14ac:dyDescent="0.35">
      <c r="B13" s="46"/>
      <c r="C13" s="46"/>
      <c r="D13" s="46"/>
      <c r="E13" s="46"/>
      <c r="F13" s="46"/>
      <c r="G13" s="46"/>
      <c r="H13" s="46"/>
      <c r="I13" s="46"/>
      <c r="J13" s="46"/>
      <c r="K13" s="46"/>
      <c r="L13" s="46"/>
      <c r="M13" s="46"/>
      <c r="N13" s="46"/>
      <c r="O13" s="46"/>
      <c r="P13" s="46"/>
      <c r="Q13" s="46"/>
      <c r="R13" s="46"/>
      <c r="S13" s="258" t="s">
        <v>323</v>
      </c>
      <c r="T13" s="523">
        <f>(T10+T9+T8)+((T6+T7)*20%)</f>
        <v>147964297.5</v>
      </c>
      <c r="U13" s="195">
        <f>T13/R5</f>
        <v>390.25480981123962</v>
      </c>
    </row>
    <row r="14" spans="2:21" ht="3.75" customHeight="1" thickBot="1" x14ac:dyDescent="0.35">
      <c r="B14" s="46"/>
      <c r="C14" s="46"/>
      <c r="D14" s="46"/>
      <c r="E14" s="46"/>
      <c r="F14" s="46"/>
      <c r="G14" s="46"/>
      <c r="H14" s="46"/>
      <c r="I14" s="46"/>
      <c r="J14" s="46"/>
      <c r="K14" s="46"/>
      <c r="L14" s="46"/>
      <c r="M14" s="46"/>
      <c r="N14" s="46"/>
      <c r="O14" s="46"/>
      <c r="P14" s="46"/>
      <c r="Q14" s="46"/>
      <c r="R14" s="46"/>
      <c r="S14" s="46"/>
      <c r="T14" s="46"/>
      <c r="U14" s="46"/>
    </row>
    <row r="15" spans="2:21" ht="11.25" customHeight="1" thickBot="1" x14ac:dyDescent="0.35">
      <c r="B15" s="758" t="s">
        <v>242</v>
      </c>
      <c r="C15" s="759"/>
      <c r="D15" s="759"/>
      <c r="E15" s="751"/>
      <c r="F15" s="760" t="s">
        <v>246</v>
      </c>
      <c r="G15" s="760"/>
      <c r="H15" s="760"/>
      <c r="I15" s="760"/>
      <c r="J15" s="760"/>
      <c r="K15" s="760"/>
      <c r="L15" s="760"/>
      <c r="M15" s="760"/>
      <c r="N15" s="760"/>
      <c r="O15" s="760"/>
      <c r="P15" s="760"/>
      <c r="Q15" s="760"/>
      <c r="R15" s="760"/>
      <c r="S15" s="760"/>
      <c r="T15" s="761"/>
      <c r="U15" s="762"/>
    </row>
    <row r="16" spans="2:21" ht="25.5" customHeight="1" thickBot="1" x14ac:dyDescent="0.35">
      <c r="B16" s="763" t="s">
        <v>2</v>
      </c>
      <c r="C16" s="766" t="s">
        <v>3</v>
      </c>
      <c r="D16" s="766" t="s">
        <v>4</v>
      </c>
      <c r="E16" s="205" t="s">
        <v>205</v>
      </c>
      <c r="F16" s="176" t="s">
        <v>202</v>
      </c>
      <c r="G16" s="177" t="s">
        <v>201</v>
      </c>
      <c r="H16" s="177" t="s">
        <v>200</v>
      </c>
      <c r="I16" s="177" t="s">
        <v>199</v>
      </c>
      <c r="J16" s="177" t="s">
        <v>198</v>
      </c>
      <c r="K16" s="177" t="s">
        <v>197</v>
      </c>
      <c r="L16" s="178" t="s">
        <v>196</v>
      </c>
      <c r="M16" s="178" t="s">
        <v>195</v>
      </c>
      <c r="N16" s="178" t="s">
        <v>194</v>
      </c>
      <c r="O16" s="177" t="s">
        <v>193</v>
      </c>
      <c r="P16" s="177" t="s">
        <v>192</v>
      </c>
      <c r="Q16" s="179" t="s">
        <v>191</v>
      </c>
      <c r="R16" s="771" t="s">
        <v>186</v>
      </c>
      <c r="S16" s="773" t="s">
        <v>133</v>
      </c>
      <c r="T16" s="776" t="s">
        <v>170</v>
      </c>
      <c r="U16" s="779" t="s">
        <v>173</v>
      </c>
    </row>
    <row r="17" spans="2:22" ht="10.5" customHeight="1" thickBot="1" x14ac:dyDescent="0.35">
      <c r="B17" s="764"/>
      <c r="C17" s="767"/>
      <c r="D17" s="767"/>
      <c r="E17" s="799" t="s">
        <v>136</v>
      </c>
      <c r="F17" s="800" t="s">
        <v>206</v>
      </c>
      <c r="G17" s="785"/>
      <c r="H17" s="785"/>
      <c r="I17" s="785"/>
      <c r="J17" s="785"/>
      <c r="K17" s="785"/>
      <c r="L17" s="785"/>
      <c r="M17" s="785"/>
      <c r="N17" s="785"/>
      <c r="O17" s="785"/>
      <c r="P17" s="785"/>
      <c r="Q17" s="786"/>
      <c r="R17" s="772"/>
      <c r="S17" s="774"/>
      <c r="T17" s="777"/>
      <c r="U17" s="780"/>
    </row>
    <row r="18" spans="2:22" ht="10.5" customHeight="1" thickBot="1" x14ac:dyDescent="0.35">
      <c r="B18" s="765"/>
      <c r="C18" s="768"/>
      <c r="D18" s="768"/>
      <c r="E18" s="794"/>
      <c r="F18" s="183">
        <f>'PROYECCIÓN CONSUMIBLES PTAR'!F18</f>
        <v>5662</v>
      </c>
      <c r="G18" s="183">
        <f>'PROYECCIÓN CONSUMIBLES PTAR'!G18</f>
        <v>5537.9187862514427</v>
      </c>
      <c r="H18" s="183">
        <f>'PROYECCIÓN CONSUMIBLES PTAR'!H18</f>
        <v>5274.6748307809175</v>
      </c>
      <c r="I18" s="183">
        <f>'PROYECCIÓN CONSUMIBLES PTAR'!I18</f>
        <v>6028.2765070632277</v>
      </c>
      <c r="J18" s="183">
        <f>'PROYECCIÓN CONSUMIBLES PTAR'!J18</f>
        <v>9426.4801018908656</v>
      </c>
      <c r="K18" s="183">
        <f>'PROYECCIÓN CONSUMIBLES PTAR'!K18</f>
        <v>10274.790161717663</v>
      </c>
      <c r="L18" s="183">
        <f>'PROYECCIÓN CONSUMIBLES PTAR'!L18</f>
        <v>9722.1819583764482</v>
      </c>
      <c r="M18" s="183">
        <f>'PROYECCIÓN CONSUMIBLES PTAR'!M18</f>
        <v>9668.5180806140925</v>
      </c>
      <c r="N18" s="183">
        <f>'PROYECCIÓN CONSUMIBLES PTAR'!N18</f>
        <v>10000.960477707014</v>
      </c>
      <c r="O18" s="183">
        <f>'PROYECCIÓN CONSUMIBLES PTAR'!O18</f>
        <v>10214.546587568049</v>
      </c>
      <c r="P18" s="183">
        <f>'PROYECCIÓN CONSUMIBLES PTAR'!P18</f>
        <v>9339.986521413477</v>
      </c>
      <c r="Q18" s="183">
        <f>'PROYECCIÓN CONSUMIBLES PTAR'!Q18</f>
        <v>4697.8629055954834</v>
      </c>
      <c r="R18" s="212">
        <f>SUM(F18:Q18)</f>
        <v>95848.196918978676</v>
      </c>
      <c r="S18" s="775"/>
      <c r="T18" s="778"/>
      <c r="U18" s="781"/>
    </row>
    <row r="19" spans="2:22" ht="11.25" customHeight="1" thickBot="1" x14ac:dyDescent="0.35">
      <c r="B19" s="831" t="s">
        <v>219</v>
      </c>
      <c r="C19" s="182" t="s">
        <v>324</v>
      </c>
      <c r="D19" s="131" t="s">
        <v>214</v>
      </c>
      <c r="E19" s="154">
        <v>1</v>
      </c>
      <c r="F19" s="218" t="s">
        <v>203</v>
      </c>
      <c r="G19" s="219" t="s">
        <v>203</v>
      </c>
      <c r="H19" s="219" t="s">
        <v>203</v>
      </c>
      <c r="I19" s="219" t="s">
        <v>203</v>
      </c>
      <c r="J19" s="219" t="s">
        <v>203</v>
      </c>
      <c r="K19" s="219" t="s">
        <v>203</v>
      </c>
      <c r="L19" s="219" t="s">
        <v>203</v>
      </c>
      <c r="M19" s="219" t="s">
        <v>203</v>
      </c>
      <c r="N19" s="219" t="s">
        <v>203</v>
      </c>
      <c r="O19" s="219" t="s">
        <v>203</v>
      </c>
      <c r="P19" s="219" t="s">
        <v>203</v>
      </c>
      <c r="Q19" s="220" t="s">
        <v>203</v>
      </c>
      <c r="R19" s="138" t="s">
        <v>203</v>
      </c>
      <c r="S19" s="139" t="s">
        <v>203</v>
      </c>
      <c r="T19" s="135">
        <v>15140000</v>
      </c>
      <c r="U19" s="130">
        <f>T19/R18</f>
        <v>157.95810966374231</v>
      </c>
    </row>
    <row r="20" spans="2:22" ht="24" customHeight="1" thickBot="1" x14ac:dyDescent="0.35">
      <c r="B20" s="832"/>
      <c r="C20" s="182" t="s">
        <v>222</v>
      </c>
      <c r="D20" s="129" t="s">
        <v>214</v>
      </c>
      <c r="E20" s="153">
        <v>1</v>
      </c>
      <c r="F20" s="165">
        <v>1</v>
      </c>
      <c r="G20" s="166">
        <v>1</v>
      </c>
      <c r="H20" s="166">
        <v>1</v>
      </c>
      <c r="I20" s="166">
        <v>1</v>
      </c>
      <c r="J20" s="166">
        <v>1</v>
      </c>
      <c r="K20" s="166">
        <v>1</v>
      </c>
      <c r="L20" s="166">
        <v>1</v>
      </c>
      <c r="M20" s="166">
        <v>1</v>
      </c>
      <c r="N20" s="166">
        <v>1</v>
      </c>
      <c r="O20" s="166">
        <v>1</v>
      </c>
      <c r="P20" s="166">
        <v>1</v>
      </c>
      <c r="Q20" s="167">
        <v>1</v>
      </c>
      <c r="R20" s="142" t="s">
        <v>203</v>
      </c>
      <c r="S20" s="143">
        <f>S7*5%</f>
        <v>10386950.4</v>
      </c>
      <c r="T20" s="145">
        <f>E20*S20</f>
        <v>10386950.4</v>
      </c>
      <c r="U20" s="130">
        <f>T20/$R$5</f>
        <v>27.3955097368727</v>
      </c>
    </row>
    <row r="21" spans="2:22" ht="11.25" customHeight="1" thickBot="1" x14ac:dyDescent="0.35">
      <c r="B21" s="832"/>
      <c r="C21" s="232" t="s">
        <v>62</v>
      </c>
      <c r="D21" s="233" t="s">
        <v>214</v>
      </c>
      <c r="E21" s="234">
        <v>1</v>
      </c>
      <c r="F21" s="218" t="s">
        <v>203</v>
      </c>
      <c r="G21" s="219" t="s">
        <v>203</v>
      </c>
      <c r="H21" s="219" t="s">
        <v>203</v>
      </c>
      <c r="I21" s="219" t="s">
        <v>203</v>
      </c>
      <c r="J21" s="219" t="s">
        <v>203</v>
      </c>
      <c r="K21" s="219" t="s">
        <v>203</v>
      </c>
      <c r="L21" s="219" t="s">
        <v>203</v>
      </c>
      <c r="M21" s="219" t="s">
        <v>203</v>
      </c>
      <c r="N21" s="219" t="s">
        <v>203</v>
      </c>
      <c r="O21" s="219" t="s">
        <v>203</v>
      </c>
      <c r="P21" s="219" t="s">
        <v>203</v>
      </c>
      <c r="Q21" s="220" t="s">
        <v>203</v>
      </c>
      <c r="R21" s="191" t="s">
        <v>203</v>
      </c>
      <c r="S21" s="192" t="s">
        <v>203</v>
      </c>
      <c r="T21" s="135">
        <f>T6*10%</f>
        <v>1909140</v>
      </c>
      <c r="U21" s="130">
        <f>T21/R18</f>
        <v>19.918371564295704</v>
      </c>
    </row>
    <row r="22" spans="2:22" ht="15" thickBot="1" x14ac:dyDescent="0.35">
      <c r="B22" s="833"/>
      <c r="C22" s="828" t="s">
        <v>25</v>
      </c>
      <c r="D22" s="829"/>
      <c r="E22" s="830"/>
      <c r="F22" s="201"/>
      <c r="G22" s="202"/>
      <c r="H22" s="202"/>
      <c r="I22" s="202"/>
      <c r="J22" s="202"/>
      <c r="K22" s="202"/>
      <c r="L22" s="202"/>
      <c r="M22" s="202"/>
      <c r="N22" s="202"/>
      <c r="O22" s="203"/>
      <c r="P22" s="203"/>
      <c r="Q22" s="207"/>
      <c r="R22" s="603"/>
      <c r="S22" s="604" t="s">
        <v>418</v>
      </c>
      <c r="T22" s="209">
        <f>SUM(T19:T21)</f>
        <v>27436090.399999999</v>
      </c>
      <c r="U22" s="200">
        <f>T22/R18</f>
        <v>286.24524281027391</v>
      </c>
      <c r="V22" s="54"/>
    </row>
  </sheetData>
  <mergeCells count="26">
    <mergeCell ref="F4:Q4"/>
    <mergeCell ref="B6:B11"/>
    <mergeCell ref="C11:D11"/>
    <mergeCell ref="B2:D2"/>
    <mergeCell ref="F2:U2"/>
    <mergeCell ref="B3:B5"/>
    <mergeCell ref="C3:C5"/>
    <mergeCell ref="D3:D5"/>
    <mergeCell ref="E3:E5"/>
    <mergeCell ref="R3:R4"/>
    <mergeCell ref="S3:S5"/>
    <mergeCell ref="T3:T5"/>
    <mergeCell ref="U3:U5"/>
    <mergeCell ref="C22:E22"/>
    <mergeCell ref="B19:B22"/>
    <mergeCell ref="B15:E15"/>
    <mergeCell ref="F15:U15"/>
    <mergeCell ref="B16:B18"/>
    <mergeCell ref="C16:C18"/>
    <mergeCell ref="D16:D18"/>
    <mergeCell ref="R16:R17"/>
    <mergeCell ref="S16:S18"/>
    <mergeCell ref="T16:T18"/>
    <mergeCell ref="U16:U18"/>
    <mergeCell ref="E17:E18"/>
    <mergeCell ref="F17:Q17"/>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AF449-936B-4B8E-8BD7-571AF5CA292A}">
  <dimension ref="B1:V43"/>
  <sheetViews>
    <sheetView topLeftCell="D7" workbookViewId="0">
      <selection activeCell="U20" sqref="U20"/>
    </sheetView>
  </sheetViews>
  <sheetFormatPr baseColWidth="10" defaultRowHeight="14.4" x14ac:dyDescent="0.3"/>
  <cols>
    <col min="1" max="1" width="1" customWidth="1"/>
    <col min="2" max="2" width="9.6640625" style="46" customWidth="1"/>
    <col min="3" max="3" width="15.6640625" style="46" customWidth="1"/>
    <col min="4" max="4" width="9.5546875" style="46" customWidth="1"/>
    <col min="5" max="5" width="7.109375" style="46" customWidth="1"/>
    <col min="6" max="6" width="10.109375" style="46" customWidth="1"/>
    <col min="7" max="7" width="10.33203125" style="46" customWidth="1"/>
    <col min="8" max="11" width="10.109375" style="46" customWidth="1"/>
    <col min="12" max="12" width="10.5546875" style="46" customWidth="1"/>
    <col min="13" max="13" width="10.109375" style="46" customWidth="1"/>
    <col min="14" max="15" width="10.33203125" style="46" customWidth="1"/>
    <col min="16" max="17" width="10.109375" style="46" customWidth="1"/>
    <col min="18" max="18" width="7.109375" style="46" customWidth="1"/>
    <col min="19" max="19" width="13.109375" style="46" customWidth="1"/>
    <col min="20" max="20" width="10.44140625" style="46" customWidth="1"/>
    <col min="21" max="21" width="5.6640625" style="46" customWidth="1"/>
    <col min="22" max="22" width="11.6640625" style="46" customWidth="1"/>
  </cols>
  <sheetData>
    <row r="1" spans="2:21" ht="6" customHeight="1" thickBot="1" x14ac:dyDescent="0.35"/>
    <row r="2" spans="2:21" ht="11.25" customHeight="1" thickBot="1" x14ac:dyDescent="0.35">
      <c r="B2" s="782" t="s">
        <v>1</v>
      </c>
      <c r="C2" s="766"/>
      <c r="D2" s="766"/>
      <c r="E2" s="181"/>
      <c r="F2" s="760" t="s">
        <v>243</v>
      </c>
      <c r="G2" s="760"/>
      <c r="H2" s="760"/>
      <c r="I2" s="760"/>
      <c r="J2" s="760"/>
      <c r="K2" s="760"/>
      <c r="L2" s="760"/>
      <c r="M2" s="760"/>
      <c r="N2" s="760"/>
      <c r="O2" s="760"/>
      <c r="P2" s="760"/>
      <c r="Q2" s="760"/>
      <c r="R2" s="760"/>
      <c r="S2" s="760"/>
      <c r="T2" s="761"/>
      <c r="U2" s="762"/>
    </row>
    <row r="3" spans="2:21" ht="25.5" customHeight="1" thickBot="1" x14ac:dyDescent="0.35">
      <c r="B3" s="836" t="s">
        <v>2</v>
      </c>
      <c r="C3" s="763" t="s">
        <v>3</v>
      </c>
      <c r="D3" s="766" t="s">
        <v>4</v>
      </c>
      <c r="E3" s="792" t="s">
        <v>339</v>
      </c>
      <c r="F3" s="176" t="s">
        <v>202</v>
      </c>
      <c r="G3" s="177" t="s">
        <v>201</v>
      </c>
      <c r="H3" s="177" t="s">
        <v>200</v>
      </c>
      <c r="I3" s="177" t="s">
        <v>199</v>
      </c>
      <c r="J3" s="177" t="s">
        <v>198</v>
      </c>
      <c r="K3" s="177" t="s">
        <v>197</v>
      </c>
      <c r="L3" s="178" t="s">
        <v>196</v>
      </c>
      <c r="M3" s="178" t="s">
        <v>195</v>
      </c>
      <c r="N3" s="178" t="s">
        <v>194</v>
      </c>
      <c r="O3" s="177" t="s">
        <v>193</v>
      </c>
      <c r="P3" s="177" t="s">
        <v>192</v>
      </c>
      <c r="Q3" s="179" t="s">
        <v>191</v>
      </c>
      <c r="R3" s="806" t="s">
        <v>186</v>
      </c>
      <c r="S3" s="808" t="s">
        <v>221</v>
      </c>
      <c r="T3" s="811" t="s">
        <v>170</v>
      </c>
      <c r="U3" s="779" t="s">
        <v>173</v>
      </c>
    </row>
    <row r="4" spans="2:21" ht="10.5" customHeight="1" thickBot="1" x14ac:dyDescent="0.35">
      <c r="B4" s="837"/>
      <c r="C4" s="764"/>
      <c r="D4" s="767"/>
      <c r="E4" s="793"/>
      <c r="F4" s="800" t="s">
        <v>206</v>
      </c>
      <c r="G4" s="785"/>
      <c r="H4" s="785"/>
      <c r="I4" s="785"/>
      <c r="J4" s="785"/>
      <c r="K4" s="785"/>
      <c r="L4" s="785"/>
      <c r="M4" s="785"/>
      <c r="N4" s="785"/>
      <c r="O4" s="785"/>
      <c r="P4" s="785"/>
      <c r="Q4" s="786"/>
      <c r="R4" s="807"/>
      <c r="S4" s="809"/>
      <c r="T4" s="812"/>
      <c r="U4" s="780"/>
    </row>
    <row r="5" spans="2:21" ht="15" thickBot="1" x14ac:dyDescent="0.35">
      <c r="B5" s="838"/>
      <c r="C5" s="803"/>
      <c r="D5" s="805"/>
      <c r="E5" s="814"/>
      <c r="F5" s="183">
        <f>'PLAN MAESTRO BOGOTA RECIRCU'!F5</f>
        <v>27229</v>
      </c>
      <c r="G5" s="241">
        <f>'PLAN MAESTRO BOGOTA RECIRCU'!H5</f>
        <v>26637.41599928544</v>
      </c>
      <c r="H5" s="241">
        <f>'PLAN MAESTRO BOGOTA RECIRCU'!J5</f>
        <v>25371.21130726752</v>
      </c>
      <c r="I5" s="241">
        <f>'PLAN MAESTRO BOGOTA RECIRCU'!L5</f>
        <v>28996.038995013121</v>
      </c>
      <c r="J5" s="241">
        <f>'PLAN MAESTRO BOGOTA RECIRCU'!N5</f>
        <v>31421.600339636221</v>
      </c>
      <c r="K5" s="241">
        <f>'PLAN MAESTRO BOGOTA RECIRCU'!P5</f>
        <v>34249.300539058881</v>
      </c>
      <c r="L5" s="242">
        <f>'PLAN MAESTRO BOGOTA RECIRCU'!R5</f>
        <v>40509.091493235203</v>
      </c>
      <c r="M5" s="242">
        <f>'PLAN MAESTRO BOGOTA RECIRCU'!T5</f>
        <v>40285.49200255872</v>
      </c>
      <c r="N5" s="242">
        <f>'PLAN MAESTRO BOGOTA RECIRCU'!V5</f>
        <v>43482.436859595713</v>
      </c>
      <c r="O5" s="241">
        <f>'PLAN MAESTRO BOGOTA RECIRCU'!X5</f>
        <v>40858.186350272197</v>
      </c>
      <c r="P5" s="241">
        <f>'PLAN MAESTRO BOGOTA RECIRCU'!Z5</f>
        <v>26685.67577546708</v>
      </c>
      <c r="Q5" s="243">
        <f>'PLAN MAESTRO BOGOTA RECIRCU'!AB5</f>
        <v>13422.465444558526</v>
      </c>
      <c r="R5" s="148">
        <f>SUM(F5:Q5)</f>
        <v>379147.91510594863</v>
      </c>
      <c r="S5" s="810"/>
      <c r="T5" s="813"/>
      <c r="U5" s="781"/>
    </row>
    <row r="6" spans="2:21" ht="11.25" customHeight="1" x14ac:dyDescent="0.3">
      <c r="B6" s="834" t="s">
        <v>223</v>
      </c>
      <c r="C6" s="182" t="s">
        <v>224</v>
      </c>
      <c r="D6" s="129" t="s">
        <v>214</v>
      </c>
      <c r="E6" s="152">
        <v>1</v>
      </c>
      <c r="F6" s="288">
        <f t="shared" ref="F6:Q6" si="0">$G$31</f>
        <v>36784445.600000001</v>
      </c>
      <c r="G6" s="292">
        <f t="shared" si="0"/>
        <v>36784445.600000001</v>
      </c>
      <c r="H6" s="292">
        <f t="shared" si="0"/>
        <v>36784445.600000001</v>
      </c>
      <c r="I6" s="292">
        <f t="shared" si="0"/>
        <v>36784445.600000001</v>
      </c>
      <c r="J6" s="292">
        <f t="shared" si="0"/>
        <v>36784445.600000001</v>
      </c>
      <c r="K6" s="292">
        <f t="shared" si="0"/>
        <v>36784445.600000001</v>
      </c>
      <c r="L6" s="292">
        <f t="shared" si="0"/>
        <v>36784445.600000001</v>
      </c>
      <c r="M6" s="292">
        <f t="shared" si="0"/>
        <v>36784445.600000001</v>
      </c>
      <c r="N6" s="292">
        <f t="shared" si="0"/>
        <v>36784445.600000001</v>
      </c>
      <c r="O6" s="292">
        <f t="shared" si="0"/>
        <v>36784445.600000001</v>
      </c>
      <c r="P6" s="292">
        <f t="shared" si="0"/>
        <v>36784445.600000001</v>
      </c>
      <c r="Q6" s="293">
        <f t="shared" si="0"/>
        <v>36784445.600000001</v>
      </c>
      <c r="R6" s="156" t="s">
        <v>203</v>
      </c>
      <c r="S6" s="222">
        <f>SUM(F6:Q6)</f>
        <v>441413347.20000011</v>
      </c>
      <c r="T6" s="145">
        <f>E6*S6</f>
        <v>441413347.20000011</v>
      </c>
      <c r="U6" s="146">
        <f>T6/$R$5</f>
        <v>1164.2246458790419</v>
      </c>
    </row>
    <row r="7" spans="2:21" ht="12" customHeight="1" x14ac:dyDescent="0.3">
      <c r="B7" s="834"/>
      <c r="C7" s="182" t="s">
        <v>60</v>
      </c>
      <c r="D7" s="129" t="s">
        <v>214</v>
      </c>
      <c r="E7" s="152">
        <v>1</v>
      </c>
      <c r="F7" s="140">
        <v>1</v>
      </c>
      <c r="G7" s="137">
        <v>1</v>
      </c>
      <c r="H7" s="137">
        <v>1</v>
      </c>
      <c r="I7" s="137">
        <v>1</v>
      </c>
      <c r="J7" s="137">
        <v>1</v>
      </c>
      <c r="K7" s="137">
        <v>1</v>
      </c>
      <c r="L7" s="137">
        <v>1</v>
      </c>
      <c r="M7" s="137">
        <v>1</v>
      </c>
      <c r="N7" s="137">
        <v>1</v>
      </c>
      <c r="O7" s="137">
        <v>1</v>
      </c>
      <c r="P7" s="137">
        <v>1</v>
      </c>
      <c r="Q7" s="141">
        <v>1</v>
      </c>
      <c r="R7" s="157" t="s">
        <v>203</v>
      </c>
      <c r="S7" s="144">
        <v>5389920</v>
      </c>
      <c r="T7" s="145">
        <f>E7*S7</f>
        <v>5389920</v>
      </c>
      <c r="U7" s="146">
        <f>T7/$R$5</f>
        <v>14.21587666780087</v>
      </c>
    </row>
    <row r="8" spans="2:21" ht="24" customHeight="1" thickBot="1" x14ac:dyDescent="0.35">
      <c r="B8" s="834"/>
      <c r="C8" s="182" t="s">
        <v>225</v>
      </c>
      <c r="D8" s="129" t="s">
        <v>214</v>
      </c>
      <c r="E8" s="152">
        <v>1</v>
      </c>
      <c r="F8" s="165">
        <v>1</v>
      </c>
      <c r="G8" s="166">
        <v>1</v>
      </c>
      <c r="H8" s="166">
        <v>1</v>
      </c>
      <c r="I8" s="166">
        <v>1</v>
      </c>
      <c r="J8" s="166">
        <v>1</v>
      </c>
      <c r="K8" s="166">
        <v>1</v>
      </c>
      <c r="L8" s="166">
        <v>1</v>
      </c>
      <c r="M8" s="166">
        <v>1</v>
      </c>
      <c r="N8" s="166">
        <v>1</v>
      </c>
      <c r="O8" s="166">
        <v>1</v>
      </c>
      <c r="P8" s="166">
        <v>1</v>
      </c>
      <c r="Q8" s="167">
        <v>1</v>
      </c>
      <c r="R8" s="158" t="s">
        <v>203</v>
      </c>
      <c r="S8" s="143">
        <v>1593312</v>
      </c>
      <c r="T8" s="145">
        <f>E8*S8</f>
        <v>1593312</v>
      </c>
      <c r="U8" s="130">
        <f t="shared" ref="U8" si="1">T8/$R$5</f>
        <v>4.2023493642442071</v>
      </c>
    </row>
    <row r="9" spans="2:21" ht="15" thickBot="1" x14ac:dyDescent="0.35">
      <c r="B9" s="835"/>
      <c r="C9" s="827" t="s">
        <v>25</v>
      </c>
      <c r="D9" s="818"/>
      <c r="E9" s="134"/>
      <c r="F9" s="201"/>
      <c r="G9" s="202"/>
      <c r="H9" s="202"/>
      <c r="I9" s="202"/>
      <c r="J9" s="202"/>
      <c r="K9" s="202"/>
      <c r="L9" s="202"/>
      <c r="M9" s="202"/>
      <c r="N9" s="202"/>
      <c r="O9" s="203"/>
      <c r="P9" s="203"/>
      <c r="Q9" s="203"/>
      <c r="R9" s="206"/>
      <c r="S9" s="305" t="s">
        <v>418</v>
      </c>
      <c r="T9" s="198">
        <f>SUM(T6:T8)</f>
        <v>448396579.20000011</v>
      </c>
      <c r="U9" s="147">
        <f>T9/$R$5</f>
        <v>1182.642871911087</v>
      </c>
    </row>
    <row r="10" spans="2:21" ht="21.6" x14ac:dyDescent="0.3">
      <c r="S10" s="257" t="s">
        <v>322</v>
      </c>
      <c r="T10" s="196">
        <v>0.7</v>
      </c>
      <c r="U10" s="194">
        <f>U9*T10</f>
        <v>827.85001033776086</v>
      </c>
    </row>
    <row r="11" spans="2:21" ht="14.25" customHeight="1" thickBot="1" x14ac:dyDescent="0.35">
      <c r="S11" s="258" t="s">
        <v>323</v>
      </c>
      <c r="T11" s="197">
        <v>0.3</v>
      </c>
      <c r="U11" s="195">
        <f>U9*T11</f>
        <v>354.79286157332609</v>
      </c>
    </row>
    <row r="12" spans="2:21" ht="6.75" customHeight="1" thickBot="1" x14ac:dyDescent="0.35"/>
    <row r="13" spans="2:21" ht="11.25" customHeight="1" thickBot="1" x14ac:dyDescent="0.35">
      <c r="B13" s="758" t="s">
        <v>242</v>
      </c>
      <c r="C13" s="759"/>
      <c r="D13" s="759"/>
      <c r="E13" s="751"/>
      <c r="F13" s="760" t="s">
        <v>246</v>
      </c>
      <c r="G13" s="760"/>
      <c r="H13" s="760"/>
      <c r="I13" s="760"/>
      <c r="J13" s="760"/>
      <c r="K13" s="760"/>
      <c r="L13" s="760"/>
      <c r="M13" s="760"/>
      <c r="N13" s="760"/>
      <c r="O13" s="760"/>
      <c r="P13" s="760"/>
      <c r="Q13" s="760"/>
      <c r="R13" s="760"/>
      <c r="S13" s="760"/>
      <c r="T13" s="761"/>
      <c r="U13" s="762"/>
    </row>
    <row r="14" spans="2:21" ht="25.5" customHeight="1" thickBot="1" x14ac:dyDescent="0.35">
      <c r="B14" s="763" t="s">
        <v>2</v>
      </c>
      <c r="C14" s="766" t="s">
        <v>3</v>
      </c>
      <c r="D14" s="766" t="s">
        <v>4</v>
      </c>
      <c r="E14" s="792" t="s">
        <v>339</v>
      </c>
      <c r="F14" s="176" t="s">
        <v>202</v>
      </c>
      <c r="G14" s="177" t="s">
        <v>201</v>
      </c>
      <c r="H14" s="177" t="s">
        <v>200</v>
      </c>
      <c r="I14" s="177" t="s">
        <v>199</v>
      </c>
      <c r="J14" s="177" t="s">
        <v>198</v>
      </c>
      <c r="K14" s="177" t="s">
        <v>197</v>
      </c>
      <c r="L14" s="178" t="s">
        <v>196</v>
      </c>
      <c r="M14" s="178" t="s">
        <v>195</v>
      </c>
      <c r="N14" s="178" t="s">
        <v>194</v>
      </c>
      <c r="O14" s="177" t="s">
        <v>193</v>
      </c>
      <c r="P14" s="177" t="s">
        <v>192</v>
      </c>
      <c r="Q14" s="179" t="s">
        <v>191</v>
      </c>
      <c r="R14" s="771" t="s">
        <v>186</v>
      </c>
      <c r="S14" s="773" t="s">
        <v>221</v>
      </c>
      <c r="T14" s="776" t="s">
        <v>170</v>
      </c>
      <c r="U14" s="779" t="s">
        <v>173</v>
      </c>
    </row>
    <row r="15" spans="2:21" ht="10.5" customHeight="1" thickBot="1" x14ac:dyDescent="0.35">
      <c r="B15" s="764"/>
      <c r="C15" s="767"/>
      <c r="D15" s="767"/>
      <c r="E15" s="793"/>
      <c r="F15" s="800" t="s">
        <v>206</v>
      </c>
      <c r="G15" s="785"/>
      <c r="H15" s="785"/>
      <c r="I15" s="785"/>
      <c r="J15" s="785"/>
      <c r="K15" s="785"/>
      <c r="L15" s="785"/>
      <c r="M15" s="785"/>
      <c r="N15" s="785"/>
      <c r="O15" s="785"/>
      <c r="P15" s="785"/>
      <c r="Q15" s="786"/>
      <c r="R15" s="772"/>
      <c r="S15" s="774"/>
      <c r="T15" s="777"/>
      <c r="U15" s="780"/>
    </row>
    <row r="16" spans="2:21" ht="10.5" customHeight="1" thickBot="1" x14ac:dyDescent="0.35">
      <c r="B16" s="765"/>
      <c r="C16" s="767"/>
      <c r="D16" s="767"/>
      <c r="E16" s="793"/>
      <c r="F16" s="183">
        <f>'PROYECCIÓN CALIBR-MANTE PTAR'!F18</f>
        <v>5662</v>
      </c>
      <c r="G16" s="183">
        <f>'PROYECCIÓN CALIBR-MANTE PTAR'!G18</f>
        <v>5537.9187862514427</v>
      </c>
      <c r="H16" s="183">
        <f>'PROYECCIÓN CALIBR-MANTE PTAR'!H18</f>
        <v>5274.6748307809175</v>
      </c>
      <c r="I16" s="183">
        <f>'PROYECCIÓN CALIBR-MANTE PTAR'!I18</f>
        <v>6028.2765070632277</v>
      </c>
      <c r="J16" s="183">
        <f>'PROYECCIÓN CALIBR-MANTE PTAR'!J18</f>
        <v>9426.4801018908656</v>
      </c>
      <c r="K16" s="183">
        <f>'PROYECCIÓN CALIBR-MANTE PTAR'!K18</f>
        <v>10274.790161717663</v>
      </c>
      <c r="L16" s="183">
        <f>'PROYECCIÓN CALIBR-MANTE PTAR'!L18</f>
        <v>9722.1819583764482</v>
      </c>
      <c r="M16" s="183">
        <f>'PROYECCIÓN CALIBR-MANTE PTAR'!M18</f>
        <v>9668.5180806140925</v>
      </c>
      <c r="N16" s="183">
        <f>'PROYECCIÓN CALIBR-MANTE PTAR'!N18</f>
        <v>10000.960477707014</v>
      </c>
      <c r="O16" s="183">
        <f>'PROYECCIÓN CALIBR-MANTE PTAR'!O18</f>
        <v>10214.546587568049</v>
      </c>
      <c r="P16" s="183">
        <f>'PROYECCIÓN CALIBR-MANTE PTAR'!P18</f>
        <v>9339.986521413477</v>
      </c>
      <c r="Q16" s="183">
        <f>'PROYECCIÓN CALIBR-MANTE PTAR'!Q18</f>
        <v>4697.8629055954834</v>
      </c>
      <c r="R16" s="212">
        <f>SUM(F16:Q16)</f>
        <v>95848.196918978676</v>
      </c>
      <c r="S16" s="775"/>
      <c r="T16" s="778"/>
      <c r="U16" s="781"/>
    </row>
    <row r="17" spans="2:21" ht="14.25" customHeight="1" x14ac:dyDescent="0.3">
      <c r="B17" s="834" t="s">
        <v>223</v>
      </c>
      <c r="C17" s="253" t="s">
        <v>224</v>
      </c>
      <c r="D17" s="290" t="s">
        <v>214</v>
      </c>
      <c r="E17" s="291">
        <v>1</v>
      </c>
      <c r="F17" s="292">
        <f t="shared" ref="F17:Q17" si="2">$G$32</f>
        <v>9980972.4000000004</v>
      </c>
      <c r="G17" s="292">
        <f t="shared" si="2"/>
        <v>9980972.4000000004</v>
      </c>
      <c r="H17" s="292">
        <f t="shared" si="2"/>
        <v>9980972.4000000004</v>
      </c>
      <c r="I17" s="292">
        <f t="shared" si="2"/>
        <v>9980972.4000000004</v>
      </c>
      <c r="J17" s="292">
        <f t="shared" si="2"/>
        <v>9980972.4000000004</v>
      </c>
      <c r="K17" s="292">
        <f t="shared" si="2"/>
        <v>9980972.4000000004</v>
      </c>
      <c r="L17" s="292">
        <f t="shared" si="2"/>
        <v>9980972.4000000004</v>
      </c>
      <c r="M17" s="292">
        <f t="shared" si="2"/>
        <v>9980972.4000000004</v>
      </c>
      <c r="N17" s="292">
        <f t="shared" si="2"/>
        <v>9980972.4000000004</v>
      </c>
      <c r="O17" s="292">
        <f t="shared" si="2"/>
        <v>9980972.4000000004</v>
      </c>
      <c r="P17" s="292">
        <f t="shared" si="2"/>
        <v>9980972.4000000004</v>
      </c>
      <c r="Q17" s="293">
        <f t="shared" si="2"/>
        <v>9980972.4000000004</v>
      </c>
      <c r="R17" s="149" t="s">
        <v>203</v>
      </c>
      <c r="S17" s="150">
        <f>SUM(F17:Q17)/2</f>
        <v>59885834.400000013</v>
      </c>
      <c r="T17" s="145">
        <f>E17*S17</f>
        <v>59885834.400000013</v>
      </c>
      <c r="U17" s="146">
        <f>T17/$R$16</f>
        <v>624.79875808850147</v>
      </c>
    </row>
    <row r="18" spans="2:21" ht="11.25" customHeight="1" x14ac:dyDescent="0.3">
      <c r="B18" s="834"/>
      <c r="C18" s="182" t="s">
        <v>60</v>
      </c>
      <c r="D18" s="129" t="s">
        <v>214</v>
      </c>
      <c r="E18" s="289">
        <v>1</v>
      </c>
      <c r="F18" s="137">
        <v>1</v>
      </c>
      <c r="G18" s="137">
        <v>1</v>
      </c>
      <c r="H18" s="137">
        <v>1</v>
      </c>
      <c r="I18" s="137">
        <v>1</v>
      </c>
      <c r="J18" s="137">
        <v>1</v>
      </c>
      <c r="K18" s="137">
        <v>1</v>
      </c>
      <c r="L18" s="137">
        <v>1</v>
      </c>
      <c r="M18" s="137">
        <v>1</v>
      </c>
      <c r="N18" s="137">
        <v>1</v>
      </c>
      <c r="O18" s="137">
        <v>1</v>
      </c>
      <c r="P18" s="137">
        <v>1</v>
      </c>
      <c r="Q18" s="141">
        <v>1</v>
      </c>
      <c r="R18" s="138" t="s">
        <v>203</v>
      </c>
      <c r="S18" s="144">
        <f>5389920*30%</f>
        <v>1616976</v>
      </c>
      <c r="T18" s="145">
        <f>E18*S18</f>
        <v>1616976</v>
      </c>
      <c r="U18" s="146">
        <f>T18/$R$5</f>
        <v>4.2647630003402606</v>
      </c>
    </row>
    <row r="19" spans="2:21" ht="24" customHeight="1" thickBot="1" x14ac:dyDescent="0.35">
      <c r="B19" s="834"/>
      <c r="C19" s="255" t="s">
        <v>225</v>
      </c>
      <c r="D19" s="294" t="s">
        <v>214</v>
      </c>
      <c r="E19" s="295">
        <v>1</v>
      </c>
      <c r="F19" s="166">
        <v>1</v>
      </c>
      <c r="G19" s="166">
        <v>1</v>
      </c>
      <c r="H19" s="166">
        <v>1</v>
      </c>
      <c r="I19" s="166">
        <v>1</v>
      </c>
      <c r="J19" s="166">
        <v>1</v>
      </c>
      <c r="K19" s="166">
        <v>1</v>
      </c>
      <c r="L19" s="166">
        <v>1</v>
      </c>
      <c r="M19" s="166">
        <v>1</v>
      </c>
      <c r="N19" s="166">
        <v>1</v>
      </c>
      <c r="O19" s="166">
        <v>1</v>
      </c>
      <c r="P19" s="166">
        <v>1</v>
      </c>
      <c r="Q19" s="167">
        <v>1</v>
      </c>
      <c r="R19" s="142" t="s">
        <v>203</v>
      </c>
      <c r="S19" s="143">
        <f>1593312*30%</f>
        <v>477993.6</v>
      </c>
      <c r="T19" s="145">
        <f>E19*S19</f>
        <v>477993.6</v>
      </c>
      <c r="U19" s="130">
        <f t="shared" ref="U19" si="3">T19/$R$5</f>
        <v>1.2607048092732622</v>
      </c>
    </row>
    <row r="20" spans="2:21" ht="15.75" customHeight="1" thickBot="1" x14ac:dyDescent="0.35">
      <c r="B20" s="835"/>
      <c r="C20" s="841" t="s">
        <v>25</v>
      </c>
      <c r="D20" s="825"/>
      <c r="E20" s="757"/>
      <c r="F20" s="201"/>
      <c r="G20" s="202"/>
      <c r="H20" s="202"/>
      <c r="I20" s="202"/>
      <c r="J20" s="202"/>
      <c r="K20" s="202"/>
      <c r="L20" s="202"/>
      <c r="M20" s="202"/>
      <c r="N20" s="202"/>
      <c r="O20" s="203"/>
      <c r="P20" s="203"/>
      <c r="Q20" s="207"/>
      <c r="R20" s="603"/>
      <c r="S20" s="604" t="s">
        <v>186</v>
      </c>
      <c r="T20" s="198">
        <f>SUM(T17:T19)</f>
        <v>61980804.000000015</v>
      </c>
      <c r="U20" s="200">
        <f>SUM(U17:U19)</f>
        <v>630.32422589811506</v>
      </c>
    </row>
    <row r="21" spans="2:21" ht="15" thickBot="1" x14ac:dyDescent="0.35"/>
    <row r="22" spans="2:21" ht="15" customHeight="1" thickBot="1" x14ac:dyDescent="0.35">
      <c r="C22" s="678" t="s">
        <v>326</v>
      </c>
      <c r="D22" s="679"/>
      <c r="E22" s="679"/>
      <c r="F22" s="679"/>
      <c r="G22" s="679"/>
      <c r="H22" s="842"/>
    </row>
    <row r="23" spans="2:21" ht="18.75" customHeight="1" thickBot="1" x14ac:dyDescent="0.35">
      <c r="C23" s="264" t="s">
        <v>327</v>
      </c>
      <c r="D23" s="265" t="s">
        <v>328</v>
      </c>
      <c r="E23" s="265" t="s">
        <v>331</v>
      </c>
      <c r="F23" s="265" t="s">
        <v>329</v>
      </c>
      <c r="G23" s="265" t="s">
        <v>330</v>
      </c>
      <c r="H23" s="266" t="s">
        <v>334</v>
      </c>
    </row>
    <row r="24" spans="2:21" ht="15" thickBot="1" x14ac:dyDescent="0.35">
      <c r="C24" s="264" t="s">
        <v>332</v>
      </c>
      <c r="D24" s="267">
        <v>3172412</v>
      </c>
      <c r="E24" s="265">
        <v>3</v>
      </c>
      <c r="F24" s="268">
        <v>0.5</v>
      </c>
      <c r="G24" s="265" t="s">
        <v>333</v>
      </c>
      <c r="H24" s="269">
        <f>D24*E24*F24</f>
        <v>4758618</v>
      </c>
    </row>
    <row r="25" spans="2:21" ht="15" thickBot="1" x14ac:dyDescent="0.35">
      <c r="C25" s="270" t="s">
        <v>335</v>
      </c>
      <c r="D25" s="271">
        <v>3929433</v>
      </c>
      <c r="E25" s="272">
        <v>6</v>
      </c>
      <c r="F25" s="273">
        <v>1</v>
      </c>
      <c r="G25" s="272" t="s">
        <v>333</v>
      </c>
      <c r="H25" s="274">
        <f t="shared" ref="H25:H29" si="4">D25*E25*F25</f>
        <v>23576598</v>
      </c>
    </row>
    <row r="26" spans="2:21" x14ac:dyDescent="0.3">
      <c r="C26" s="839" t="s">
        <v>337</v>
      </c>
      <c r="D26" s="275">
        <v>8067188</v>
      </c>
      <c r="E26" s="276">
        <v>1</v>
      </c>
      <c r="F26" s="277">
        <v>0.7</v>
      </c>
      <c r="G26" s="276" t="s">
        <v>333</v>
      </c>
      <c r="H26" s="278">
        <f t="shared" si="4"/>
        <v>5647031.5999999996</v>
      </c>
    </row>
    <row r="27" spans="2:21" ht="15" thickBot="1" x14ac:dyDescent="0.35">
      <c r="C27" s="840"/>
      <c r="D27" s="279">
        <v>8067188</v>
      </c>
      <c r="E27" s="280">
        <v>1</v>
      </c>
      <c r="F27" s="281">
        <v>0.3</v>
      </c>
      <c r="G27" s="280" t="s">
        <v>336</v>
      </c>
      <c r="H27" s="282">
        <f t="shared" si="4"/>
        <v>2420156.4</v>
      </c>
    </row>
    <row r="28" spans="2:21" x14ac:dyDescent="0.3">
      <c r="C28" s="839" t="s">
        <v>338</v>
      </c>
      <c r="D28" s="275">
        <v>11208792</v>
      </c>
      <c r="E28" s="276">
        <v>1</v>
      </c>
      <c r="F28" s="277">
        <v>0.25</v>
      </c>
      <c r="G28" s="276" t="s">
        <v>333</v>
      </c>
      <c r="H28" s="278">
        <f t="shared" si="4"/>
        <v>2802198</v>
      </c>
    </row>
    <row r="29" spans="2:21" ht="15" thickBot="1" x14ac:dyDescent="0.35">
      <c r="C29" s="840"/>
      <c r="D29" s="279">
        <v>11208792</v>
      </c>
      <c r="E29" s="280">
        <v>1</v>
      </c>
      <c r="F29" s="281">
        <v>0.25</v>
      </c>
      <c r="G29" s="280" t="s">
        <v>336</v>
      </c>
      <c r="H29" s="282">
        <f t="shared" si="4"/>
        <v>2802198</v>
      </c>
    </row>
    <row r="30" spans="2:21" ht="15" thickBot="1" x14ac:dyDescent="0.35">
      <c r="C30" s="285"/>
      <c r="D30" s="284"/>
      <c r="E30" s="285"/>
      <c r="F30" s="283"/>
      <c r="G30" s="285"/>
      <c r="H30" s="284"/>
    </row>
    <row r="31" spans="2:21" ht="21.6" x14ac:dyDescent="0.3">
      <c r="C31" s="285"/>
      <c r="D31" s="284"/>
      <c r="E31" s="285"/>
      <c r="F31" s="286" t="s">
        <v>340</v>
      </c>
      <c r="G31" s="278">
        <f>H24+H25+H26+H28</f>
        <v>36784445.600000001</v>
      </c>
      <c r="H31" s="284"/>
    </row>
    <row r="32" spans="2:21" ht="22.2" thickBot="1" x14ac:dyDescent="0.35">
      <c r="C32" s="285"/>
      <c r="D32" s="284"/>
      <c r="E32" s="285"/>
      <c r="F32" s="287" t="s">
        <v>341</v>
      </c>
      <c r="G32" s="282">
        <f>H24+H27+H29</f>
        <v>9980972.4000000004</v>
      </c>
      <c r="H32" s="284"/>
    </row>
    <row r="33" spans="3:14" x14ac:dyDescent="0.3">
      <c r="C33" s="285"/>
      <c r="D33" s="285"/>
      <c r="E33" s="285"/>
      <c r="F33" s="285"/>
      <c r="G33" s="285"/>
      <c r="H33" s="285"/>
      <c r="I33" s="284"/>
      <c r="J33" s="296"/>
      <c r="K33" s="297"/>
      <c r="L33" s="296"/>
      <c r="M33" s="296"/>
      <c r="N33" s="296"/>
    </row>
    <row r="34" spans="3:14" x14ac:dyDescent="0.3">
      <c r="C34" s="285"/>
      <c r="D34" s="285"/>
      <c r="E34" s="285"/>
      <c r="F34" s="285"/>
      <c r="G34" s="285"/>
      <c r="H34" s="285"/>
      <c r="I34" s="284"/>
      <c r="J34" s="296"/>
      <c r="K34" s="297"/>
      <c r="L34" s="296"/>
      <c r="M34" s="296"/>
      <c r="N34" s="296"/>
    </row>
    <row r="35" spans="3:14" x14ac:dyDescent="0.3">
      <c r="C35" s="285"/>
      <c r="D35" s="285"/>
      <c r="E35" s="285"/>
      <c r="F35" s="285"/>
      <c r="G35" s="285"/>
      <c r="H35" s="285"/>
      <c r="I35" s="284"/>
      <c r="J35" s="296"/>
      <c r="K35" s="297"/>
      <c r="L35" s="296"/>
      <c r="M35" s="296"/>
      <c r="N35" s="296"/>
    </row>
    <row r="36" spans="3:14" x14ac:dyDescent="0.3">
      <c r="C36" s="285"/>
      <c r="D36" s="285"/>
      <c r="E36" s="285"/>
      <c r="F36" s="285"/>
      <c r="G36" s="285"/>
      <c r="H36" s="285"/>
      <c r="I36" s="284"/>
      <c r="J36" s="296"/>
      <c r="K36" s="297"/>
      <c r="L36" s="296"/>
      <c r="M36" s="296"/>
      <c r="N36" s="296"/>
    </row>
    <row r="37" spans="3:14" x14ac:dyDescent="0.3">
      <c r="C37" s="285"/>
      <c r="D37" s="285"/>
      <c r="E37" s="285"/>
      <c r="F37" s="285"/>
      <c r="G37" s="285"/>
      <c r="H37" s="285"/>
      <c r="I37" s="298"/>
      <c r="J37" s="296"/>
      <c r="K37" s="299"/>
      <c r="L37" s="296"/>
      <c r="M37" s="296"/>
      <c r="N37" s="296"/>
    </row>
    <row r="38" spans="3:14" x14ac:dyDescent="0.3">
      <c r="C38" s="285"/>
      <c r="D38" s="285"/>
      <c r="E38" s="285"/>
      <c r="F38" s="285"/>
      <c r="G38" s="285"/>
      <c r="H38" s="296"/>
      <c r="I38" s="296"/>
      <c r="J38" s="296"/>
      <c r="K38" s="299"/>
      <c r="L38" s="296"/>
      <c r="M38" s="296"/>
      <c r="N38" s="296"/>
    </row>
    <row r="39" spans="3:14" x14ac:dyDescent="0.3">
      <c r="C39" s="285"/>
      <c r="D39" s="285"/>
      <c r="E39" s="285"/>
      <c r="F39" s="285"/>
      <c r="G39" s="285"/>
      <c r="H39" s="296"/>
      <c r="I39" s="296"/>
      <c r="J39" s="296"/>
      <c r="K39" s="296"/>
      <c r="L39" s="296"/>
      <c r="M39" s="296"/>
      <c r="N39" s="296"/>
    </row>
    <row r="40" spans="3:14" x14ac:dyDescent="0.3">
      <c r="C40" s="285"/>
      <c r="D40" s="285"/>
      <c r="E40" s="285"/>
      <c r="F40" s="285"/>
      <c r="G40" s="285"/>
      <c r="H40" s="296"/>
      <c r="I40" s="296"/>
      <c r="J40" s="296"/>
      <c r="K40" s="300"/>
      <c r="L40" s="296"/>
      <c r="M40" s="296"/>
      <c r="N40" s="296"/>
    </row>
    <row r="41" spans="3:14" x14ac:dyDescent="0.3">
      <c r="C41" s="285"/>
      <c r="D41" s="285"/>
      <c r="E41" s="285"/>
      <c r="F41" s="285"/>
      <c r="G41" s="285"/>
      <c r="H41" s="296"/>
      <c r="I41" s="296"/>
      <c r="J41" s="296"/>
      <c r="K41" s="296"/>
      <c r="L41" s="296"/>
      <c r="M41" s="296"/>
      <c r="N41" s="296"/>
    </row>
    <row r="42" spans="3:14" x14ac:dyDescent="0.3">
      <c r="C42" s="285"/>
      <c r="D42" s="285"/>
      <c r="E42" s="285"/>
      <c r="F42" s="285"/>
      <c r="G42" s="285"/>
      <c r="H42" s="296"/>
      <c r="I42" s="296"/>
      <c r="J42" s="296"/>
      <c r="K42" s="300"/>
      <c r="L42" s="296"/>
      <c r="M42" s="296"/>
      <c r="N42" s="299"/>
    </row>
    <row r="43" spans="3:14" x14ac:dyDescent="0.3">
      <c r="H43" s="296"/>
      <c r="I43" s="296"/>
      <c r="J43" s="296"/>
      <c r="K43" s="296"/>
      <c r="L43" s="296"/>
      <c r="M43" s="296"/>
      <c r="N43" s="296"/>
    </row>
  </sheetData>
  <mergeCells count="29">
    <mergeCell ref="B17:B20"/>
    <mergeCell ref="B6:B9"/>
    <mergeCell ref="C9:D9"/>
    <mergeCell ref="B2:D2"/>
    <mergeCell ref="F2:U2"/>
    <mergeCell ref="B3:B5"/>
    <mergeCell ref="C3:C5"/>
    <mergeCell ref="D3:D5"/>
    <mergeCell ref="E3:E5"/>
    <mergeCell ref="R3:R4"/>
    <mergeCell ref="S3:S5"/>
    <mergeCell ref="T3:T5"/>
    <mergeCell ref="U3:U5"/>
    <mergeCell ref="F4:Q4"/>
    <mergeCell ref="B13:E13"/>
    <mergeCell ref="F13:U13"/>
    <mergeCell ref="B14:B16"/>
    <mergeCell ref="C14:C16"/>
    <mergeCell ref="D14:D16"/>
    <mergeCell ref="R14:R15"/>
    <mergeCell ref="S14:S16"/>
    <mergeCell ref="C28:C29"/>
    <mergeCell ref="C20:E20"/>
    <mergeCell ref="T14:T16"/>
    <mergeCell ref="U14:U16"/>
    <mergeCell ref="F15:Q15"/>
    <mergeCell ref="E14:E16"/>
    <mergeCell ref="C26:C27"/>
    <mergeCell ref="C22:H2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A0214-4CDF-42AC-9103-1CC9C09A2286}">
  <dimension ref="B1:V21"/>
  <sheetViews>
    <sheetView topLeftCell="A7" zoomScaleNormal="100" workbookViewId="0">
      <selection activeCell="H24" sqref="H24"/>
    </sheetView>
  </sheetViews>
  <sheetFormatPr baseColWidth="10" defaultRowHeight="14.4" x14ac:dyDescent="0.3"/>
  <cols>
    <col min="1" max="1" width="1.109375" customWidth="1"/>
    <col min="2" max="2" width="9.109375" style="46" customWidth="1"/>
    <col min="3" max="3" width="8.5546875" style="46" customWidth="1"/>
    <col min="4" max="4" width="6.5546875" style="46" customWidth="1"/>
    <col min="5" max="5" width="10.109375" style="46" customWidth="1"/>
    <col min="6" max="6" width="9.5546875" style="46" customWidth="1"/>
    <col min="7" max="7" width="11.5546875" style="46" customWidth="1"/>
    <col min="8" max="8" width="12.33203125" style="46" customWidth="1"/>
    <col min="9" max="9" width="6.88671875" style="46" customWidth="1"/>
    <col min="10" max="10" width="7.109375" style="46" customWidth="1"/>
    <col min="11" max="11" width="7.33203125" style="46" customWidth="1"/>
    <col min="12" max="12" width="6.44140625" style="46" customWidth="1"/>
    <col min="13" max="13" width="8" style="46" customWidth="1"/>
    <col min="14" max="14" width="8.6640625" style="46" customWidth="1"/>
    <col min="15" max="15" width="7.5546875" style="46" customWidth="1"/>
    <col min="16" max="17" width="8.109375" style="46" customWidth="1"/>
    <col min="18" max="18" width="9.6640625" style="46" customWidth="1"/>
    <col min="19" max="19" width="13" style="46" customWidth="1"/>
    <col min="20" max="20" width="12.44140625" style="46" customWidth="1"/>
    <col min="21" max="21" width="6.6640625" style="46" customWidth="1"/>
    <col min="22" max="22" width="16.6640625" style="46" customWidth="1"/>
  </cols>
  <sheetData>
    <row r="1" spans="2:22" ht="6" customHeight="1" thickBot="1" x14ac:dyDescent="0.35"/>
    <row r="2" spans="2:22" ht="11.25" customHeight="1" thickBot="1" x14ac:dyDescent="0.35">
      <c r="B2" s="782" t="s">
        <v>1</v>
      </c>
      <c r="C2" s="766"/>
      <c r="D2" s="766"/>
      <c r="E2" s="181"/>
      <c r="F2" s="760" t="s">
        <v>243</v>
      </c>
      <c r="G2" s="760"/>
      <c r="H2" s="760"/>
      <c r="I2" s="760"/>
      <c r="J2" s="760"/>
      <c r="K2" s="760"/>
      <c r="L2" s="760"/>
      <c r="M2" s="760"/>
      <c r="N2" s="760"/>
      <c r="O2" s="760"/>
      <c r="P2" s="760"/>
      <c r="Q2" s="760"/>
      <c r="R2" s="760"/>
      <c r="S2" s="760"/>
      <c r="T2" s="761"/>
      <c r="U2" s="762"/>
    </row>
    <row r="3" spans="2:22" ht="25.5" customHeight="1" thickBot="1" x14ac:dyDescent="0.35">
      <c r="B3" s="836" t="s">
        <v>2</v>
      </c>
      <c r="C3" s="763" t="s">
        <v>3</v>
      </c>
      <c r="D3" s="766" t="s">
        <v>4</v>
      </c>
      <c r="E3" s="792" t="s">
        <v>212</v>
      </c>
      <c r="F3" s="176" t="s">
        <v>202</v>
      </c>
      <c r="G3" s="177" t="s">
        <v>201</v>
      </c>
      <c r="H3" s="177" t="s">
        <v>200</v>
      </c>
      <c r="I3" s="177" t="s">
        <v>199</v>
      </c>
      <c r="J3" s="177" t="s">
        <v>198</v>
      </c>
      <c r="K3" s="177" t="s">
        <v>197</v>
      </c>
      <c r="L3" s="178" t="s">
        <v>196</v>
      </c>
      <c r="M3" s="178" t="s">
        <v>195</v>
      </c>
      <c r="N3" s="178" t="s">
        <v>194</v>
      </c>
      <c r="O3" s="177" t="s">
        <v>193</v>
      </c>
      <c r="P3" s="177" t="s">
        <v>192</v>
      </c>
      <c r="Q3" s="179" t="s">
        <v>191</v>
      </c>
      <c r="R3" s="806" t="s">
        <v>186</v>
      </c>
      <c r="S3" s="808" t="s">
        <v>221</v>
      </c>
      <c r="T3" s="811" t="s">
        <v>170</v>
      </c>
      <c r="U3" s="779" t="s">
        <v>173</v>
      </c>
      <c r="V3" s="843"/>
    </row>
    <row r="4" spans="2:22" ht="10.5" customHeight="1" thickBot="1" x14ac:dyDescent="0.35">
      <c r="B4" s="837"/>
      <c r="C4" s="764"/>
      <c r="D4" s="767"/>
      <c r="E4" s="793"/>
      <c r="F4" s="800" t="s">
        <v>206</v>
      </c>
      <c r="G4" s="785"/>
      <c r="H4" s="785"/>
      <c r="I4" s="785"/>
      <c r="J4" s="785"/>
      <c r="K4" s="785"/>
      <c r="L4" s="785"/>
      <c r="M4" s="785"/>
      <c r="N4" s="785"/>
      <c r="O4" s="785"/>
      <c r="P4" s="785"/>
      <c r="Q4" s="786"/>
      <c r="R4" s="807"/>
      <c r="S4" s="809"/>
      <c r="T4" s="812"/>
      <c r="U4" s="780"/>
      <c r="V4" s="843"/>
    </row>
    <row r="5" spans="2:22" ht="12.75" customHeight="1" thickBot="1" x14ac:dyDescent="0.35">
      <c r="B5" s="838"/>
      <c r="C5" s="803"/>
      <c r="D5" s="805"/>
      <c r="E5" s="814"/>
      <c r="F5" s="172">
        <f>'PLAN MAESTRO BOGOTA RECIRCU'!F5</f>
        <v>27229</v>
      </c>
      <c r="G5" s="173">
        <f>'PLAN MAESTRO BOGOTA RECIRCU'!H5</f>
        <v>26637.41599928544</v>
      </c>
      <c r="H5" s="173">
        <f>'PLAN MAESTRO BOGOTA RECIRCU'!J5</f>
        <v>25371.21130726752</v>
      </c>
      <c r="I5" s="173">
        <f>'PLAN MAESTRO BOGOTA RECIRCU'!L5</f>
        <v>28996.038995013121</v>
      </c>
      <c r="J5" s="173">
        <f>'PLAN MAESTRO BOGOTA RECIRCU'!N5</f>
        <v>31421.600339636221</v>
      </c>
      <c r="K5" s="173">
        <f>'PLAN MAESTRO BOGOTA RECIRCU'!P5</f>
        <v>34249.300539058881</v>
      </c>
      <c r="L5" s="174">
        <f>'PLAN MAESTRO BOGOTA RECIRCU'!R5</f>
        <v>40509.091493235203</v>
      </c>
      <c r="M5" s="174">
        <f>'PLAN MAESTRO BOGOTA RECIRCU'!T5</f>
        <v>40285.49200255872</v>
      </c>
      <c r="N5" s="174">
        <f>'PLAN MAESTRO BOGOTA RECIRCU'!V5</f>
        <v>43482.436859595713</v>
      </c>
      <c r="O5" s="173">
        <f>'PLAN MAESTRO BOGOTA RECIRCU'!X5</f>
        <v>40858.186350272197</v>
      </c>
      <c r="P5" s="173">
        <f>'PLAN MAESTRO BOGOTA RECIRCU'!Z5</f>
        <v>26685.67577546708</v>
      </c>
      <c r="Q5" s="175">
        <f>'PLAN MAESTRO BOGOTA RECIRCU'!AB5</f>
        <v>13422.465444558526</v>
      </c>
      <c r="R5" s="148">
        <f>SUM(F5:Q5)</f>
        <v>379147.91510594863</v>
      </c>
      <c r="S5" s="810"/>
      <c r="T5" s="813"/>
      <c r="U5" s="781"/>
      <c r="V5" s="843"/>
    </row>
    <row r="6" spans="2:22" ht="20.25" customHeight="1" thickBot="1" x14ac:dyDescent="0.35">
      <c r="B6" s="834" t="s">
        <v>226</v>
      </c>
      <c r="C6" s="182" t="s">
        <v>226</v>
      </c>
      <c r="D6" s="129" t="s">
        <v>69</v>
      </c>
      <c r="E6" s="152">
        <v>1</v>
      </c>
      <c r="F6" s="188">
        <v>1</v>
      </c>
      <c r="G6" s="189">
        <v>1</v>
      </c>
      <c r="H6" s="189">
        <v>1</v>
      </c>
      <c r="I6" s="189">
        <v>1</v>
      </c>
      <c r="J6" s="189">
        <v>1</v>
      </c>
      <c r="K6" s="189">
        <v>1</v>
      </c>
      <c r="L6" s="189">
        <v>1</v>
      </c>
      <c r="M6" s="189">
        <v>1</v>
      </c>
      <c r="N6" s="189">
        <v>1</v>
      </c>
      <c r="O6" s="189">
        <v>1</v>
      </c>
      <c r="P6" s="189">
        <v>1</v>
      </c>
      <c r="Q6" s="190">
        <v>1</v>
      </c>
      <c r="R6" s="191" t="s">
        <v>203</v>
      </c>
      <c r="S6" s="304">
        <f>H20</f>
        <v>1728000000</v>
      </c>
      <c r="T6" s="145">
        <f>E6*S6</f>
        <v>1728000000</v>
      </c>
      <c r="U6" s="146">
        <f>T6/$R$5</f>
        <v>4557.5880313548068</v>
      </c>
      <c r="V6" s="301"/>
    </row>
    <row r="7" spans="2:22" ht="12.75" customHeight="1" thickBot="1" x14ac:dyDescent="0.35">
      <c r="B7" s="835"/>
      <c r="C7" s="827" t="s">
        <v>25</v>
      </c>
      <c r="D7" s="818"/>
      <c r="E7" s="134"/>
      <c r="F7" s="201"/>
      <c r="G7" s="202"/>
      <c r="H7" s="202"/>
      <c r="I7" s="202"/>
      <c r="J7" s="202"/>
      <c r="K7" s="202"/>
      <c r="L7" s="202"/>
      <c r="M7" s="202"/>
      <c r="N7" s="202"/>
      <c r="O7" s="203"/>
      <c r="P7" s="203"/>
      <c r="Q7" s="203"/>
      <c r="R7" s="206"/>
      <c r="S7" s="305" t="s">
        <v>418</v>
      </c>
      <c r="T7" s="199">
        <f>SUM(T6:T6)</f>
        <v>1728000000</v>
      </c>
      <c r="U7" s="200">
        <f t="shared" ref="U7" si="0">T7/$R$5</f>
        <v>4557.5880313548068</v>
      </c>
    </row>
    <row r="8" spans="2:22" ht="21.6" x14ac:dyDescent="0.3">
      <c r="S8" s="257" t="s">
        <v>322</v>
      </c>
      <c r="T8" s="196">
        <v>0.8</v>
      </c>
      <c r="U8" s="194">
        <f>U7*T8</f>
        <v>3646.0704250838457</v>
      </c>
    </row>
    <row r="9" spans="2:22" ht="15" customHeight="1" thickBot="1" x14ac:dyDescent="0.35">
      <c r="S9" s="258" t="s">
        <v>323</v>
      </c>
      <c r="T9" s="197">
        <v>0.2</v>
      </c>
      <c r="U9" s="195">
        <f>U7*T9</f>
        <v>911.51760627096144</v>
      </c>
    </row>
    <row r="10" spans="2:22" ht="6" customHeight="1" thickBot="1" x14ac:dyDescent="0.35"/>
    <row r="11" spans="2:22" ht="11.25" customHeight="1" thickBot="1" x14ac:dyDescent="0.35">
      <c r="B11" s="758" t="s">
        <v>242</v>
      </c>
      <c r="C11" s="759"/>
      <c r="D11" s="759"/>
      <c r="E11" s="751"/>
      <c r="F11" s="760" t="s">
        <v>246</v>
      </c>
      <c r="G11" s="760"/>
      <c r="H11" s="760"/>
      <c r="I11" s="760"/>
      <c r="J11" s="760"/>
      <c r="K11" s="760"/>
      <c r="L11" s="760"/>
      <c r="M11" s="760"/>
      <c r="N11" s="760"/>
      <c r="O11" s="760"/>
      <c r="P11" s="760"/>
      <c r="Q11" s="760"/>
      <c r="R11" s="760"/>
      <c r="S11" s="760"/>
      <c r="T11" s="761"/>
      <c r="U11" s="762"/>
    </row>
    <row r="12" spans="2:22" ht="25.5" customHeight="1" thickBot="1" x14ac:dyDescent="0.35">
      <c r="B12" s="763" t="s">
        <v>2</v>
      </c>
      <c r="C12" s="766" t="s">
        <v>3</v>
      </c>
      <c r="D12" s="766" t="s">
        <v>4</v>
      </c>
      <c r="E12" s="205" t="s">
        <v>205</v>
      </c>
      <c r="F12" s="176" t="s">
        <v>202</v>
      </c>
      <c r="G12" s="177" t="s">
        <v>201</v>
      </c>
      <c r="H12" s="177" t="s">
        <v>200</v>
      </c>
      <c r="I12" s="177" t="s">
        <v>199</v>
      </c>
      <c r="J12" s="177" t="s">
        <v>198</v>
      </c>
      <c r="K12" s="177" t="s">
        <v>197</v>
      </c>
      <c r="L12" s="178" t="s">
        <v>196</v>
      </c>
      <c r="M12" s="178" t="s">
        <v>195</v>
      </c>
      <c r="N12" s="178" t="s">
        <v>194</v>
      </c>
      <c r="O12" s="177" t="s">
        <v>193</v>
      </c>
      <c r="P12" s="177" t="s">
        <v>192</v>
      </c>
      <c r="Q12" s="179" t="s">
        <v>191</v>
      </c>
      <c r="R12" s="771" t="s">
        <v>186</v>
      </c>
      <c r="S12" s="773" t="s">
        <v>221</v>
      </c>
      <c r="T12" s="776" t="s">
        <v>170</v>
      </c>
      <c r="U12" s="779" t="s">
        <v>173</v>
      </c>
    </row>
    <row r="13" spans="2:22" ht="10.5" customHeight="1" thickBot="1" x14ac:dyDescent="0.35">
      <c r="B13" s="764"/>
      <c r="C13" s="767"/>
      <c r="D13" s="767"/>
      <c r="E13" s="799" t="s">
        <v>136</v>
      </c>
      <c r="F13" s="800" t="s">
        <v>206</v>
      </c>
      <c r="G13" s="785"/>
      <c r="H13" s="785"/>
      <c r="I13" s="785"/>
      <c r="J13" s="785"/>
      <c r="K13" s="785"/>
      <c r="L13" s="785"/>
      <c r="M13" s="785"/>
      <c r="N13" s="785"/>
      <c r="O13" s="785"/>
      <c r="P13" s="785"/>
      <c r="Q13" s="786"/>
      <c r="R13" s="772"/>
      <c r="S13" s="774"/>
      <c r="T13" s="777"/>
      <c r="U13" s="780"/>
    </row>
    <row r="14" spans="2:22" ht="10.5" customHeight="1" thickBot="1" x14ac:dyDescent="0.35">
      <c r="B14" s="765"/>
      <c r="C14" s="768"/>
      <c r="D14" s="768"/>
      <c r="E14" s="794"/>
      <c r="F14" s="183">
        <f>'PROYECCIÓN NOMINA PTAR'!F16</f>
        <v>5662</v>
      </c>
      <c r="G14" s="183">
        <f>'PROYECCIÓN NOMINA PTAR'!G16</f>
        <v>5537.9187862514427</v>
      </c>
      <c r="H14" s="183">
        <f>'PROYECCIÓN NOMINA PTAR'!H16</f>
        <v>5274.6748307809175</v>
      </c>
      <c r="I14" s="183">
        <f>'PROYECCIÓN NOMINA PTAR'!I16</f>
        <v>6028.2765070632277</v>
      </c>
      <c r="J14" s="183">
        <f>'PROYECCIÓN NOMINA PTAR'!J16</f>
        <v>9426.4801018908656</v>
      </c>
      <c r="K14" s="183">
        <f>'PROYECCIÓN NOMINA PTAR'!K16</f>
        <v>10274.790161717663</v>
      </c>
      <c r="L14" s="183">
        <f>'PROYECCIÓN NOMINA PTAR'!L16</f>
        <v>9722.1819583764482</v>
      </c>
      <c r="M14" s="183">
        <f>'PROYECCIÓN NOMINA PTAR'!M16</f>
        <v>9668.5180806140925</v>
      </c>
      <c r="N14" s="183">
        <f>'PROYECCIÓN NOMINA PTAR'!N16</f>
        <v>10000.960477707014</v>
      </c>
      <c r="O14" s="183">
        <f>'PROYECCIÓN NOMINA PTAR'!O16</f>
        <v>10214.546587568049</v>
      </c>
      <c r="P14" s="183">
        <f>'PROYECCIÓN NOMINA PTAR'!P16</f>
        <v>9339.986521413477</v>
      </c>
      <c r="Q14" s="183">
        <f>'PROYECCIÓN NOMINA PTAR'!Q16</f>
        <v>4697.8629055954834</v>
      </c>
      <c r="R14" s="212">
        <f>SUM(F14:Q14)</f>
        <v>95848.196918978676</v>
      </c>
      <c r="S14" s="775"/>
      <c r="T14" s="778"/>
      <c r="U14" s="781"/>
    </row>
    <row r="15" spans="2:22" ht="22.5" customHeight="1" thickBot="1" x14ac:dyDescent="0.35">
      <c r="B15" s="834" t="s">
        <v>226</v>
      </c>
      <c r="C15" s="182" t="s">
        <v>226</v>
      </c>
      <c r="D15" s="129" t="s">
        <v>214</v>
      </c>
      <c r="E15" s="152">
        <v>1</v>
      </c>
      <c r="F15" s="188">
        <v>1</v>
      </c>
      <c r="G15" s="189">
        <v>1</v>
      </c>
      <c r="H15" s="189">
        <v>1</v>
      </c>
      <c r="I15" s="189">
        <v>1</v>
      </c>
      <c r="J15" s="189">
        <v>1</v>
      </c>
      <c r="K15" s="189">
        <v>1</v>
      </c>
      <c r="L15" s="189">
        <v>1</v>
      </c>
      <c r="M15" s="189">
        <v>1</v>
      </c>
      <c r="N15" s="189">
        <v>1</v>
      </c>
      <c r="O15" s="189">
        <v>1</v>
      </c>
      <c r="P15" s="189">
        <v>1</v>
      </c>
      <c r="Q15" s="190">
        <v>1</v>
      </c>
      <c r="R15" s="191" t="s">
        <v>203</v>
      </c>
      <c r="S15" s="192">
        <f>H21</f>
        <v>74361600</v>
      </c>
      <c r="T15" s="145">
        <f>E15*S15</f>
        <v>74361600</v>
      </c>
      <c r="U15" s="146">
        <f>T15/$R$14</f>
        <v>775.82680102849008</v>
      </c>
      <c r="V15" s="301"/>
    </row>
    <row r="16" spans="2:22" ht="12" customHeight="1" thickBot="1" x14ac:dyDescent="0.35">
      <c r="B16" s="835"/>
      <c r="C16" s="755" t="s">
        <v>25</v>
      </c>
      <c r="D16" s="756"/>
      <c r="E16" s="801"/>
      <c r="F16" s="201"/>
      <c r="G16" s="202"/>
      <c r="H16" s="202"/>
      <c r="I16" s="202"/>
      <c r="J16" s="202"/>
      <c r="K16" s="202"/>
      <c r="L16" s="202"/>
      <c r="M16" s="202"/>
      <c r="N16" s="202"/>
      <c r="O16" s="203"/>
      <c r="P16" s="203"/>
      <c r="Q16" s="207"/>
      <c r="R16" s="603"/>
      <c r="S16" s="305" t="s">
        <v>418</v>
      </c>
      <c r="T16" s="198">
        <f>T15</f>
        <v>74361600</v>
      </c>
      <c r="U16" s="200">
        <f>U15</f>
        <v>775.82680102849008</v>
      </c>
    </row>
    <row r="17" spans="3:9" ht="7.5" customHeight="1" thickBot="1" x14ac:dyDescent="0.35"/>
    <row r="18" spans="3:9" ht="12.75" customHeight="1" thickBot="1" x14ac:dyDescent="0.35">
      <c r="C18" s="678" t="s">
        <v>342</v>
      </c>
      <c r="D18" s="679"/>
      <c r="E18" s="679"/>
      <c r="F18" s="679"/>
      <c r="G18" s="679"/>
      <c r="H18" s="842"/>
    </row>
    <row r="19" spans="3:9" ht="22.2" thickBot="1" x14ac:dyDescent="0.35">
      <c r="C19" s="264" t="s">
        <v>416</v>
      </c>
      <c r="D19" s="265" t="s">
        <v>343</v>
      </c>
      <c r="E19" s="265" t="s">
        <v>344</v>
      </c>
      <c r="F19" s="265" t="s">
        <v>345</v>
      </c>
      <c r="G19" s="265" t="s">
        <v>346</v>
      </c>
      <c r="H19" s="266" t="s">
        <v>347</v>
      </c>
    </row>
    <row r="20" spans="3:9" ht="15" thickBot="1" x14ac:dyDescent="0.35">
      <c r="C20" s="264">
        <v>300</v>
      </c>
      <c r="D20" s="267">
        <v>800</v>
      </c>
      <c r="E20" s="302">
        <f>D20*C20</f>
        <v>240000</v>
      </c>
      <c r="F20" s="302">
        <f>E20*24</f>
        <v>5760000</v>
      </c>
      <c r="G20" s="302">
        <f>F20*25</f>
        <v>144000000</v>
      </c>
      <c r="H20" s="303">
        <f>G20*12</f>
        <v>1728000000</v>
      </c>
      <c r="I20" s="285" t="s">
        <v>348</v>
      </c>
    </row>
    <row r="21" spans="3:9" ht="15" thickBot="1" x14ac:dyDescent="0.35">
      <c r="C21" s="264">
        <v>12.91</v>
      </c>
      <c r="D21" s="267">
        <v>800</v>
      </c>
      <c r="E21" s="302">
        <f>D21*C21</f>
        <v>10328</v>
      </c>
      <c r="F21" s="302">
        <f>E21*24</f>
        <v>247872</v>
      </c>
      <c r="G21" s="302">
        <f>F21*25</f>
        <v>6196800</v>
      </c>
      <c r="H21" s="303">
        <f>G21*12</f>
        <v>74361600</v>
      </c>
      <c r="I21" s="285" t="s">
        <v>157</v>
      </c>
    </row>
  </sheetData>
  <mergeCells count="28">
    <mergeCell ref="V3:V5"/>
    <mergeCell ref="F4:Q4"/>
    <mergeCell ref="B6:B7"/>
    <mergeCell ref="C7:D7"/>
    <mergeCell ref="B2:D2"/>
    <mergeCell ref="F2:U2"/>
    <mergeCell ref="B3:B5"/>
    <mergeCell ref="C3:C5"/>
    <mergeCell ref="D3:D5"/>
    <mergeCell ref="E3:E5"/>
    <mergeCell ref="R3:R4"/>
    <mergeCell ref="S3:S5"/>
    <mergeCell ref="T3:T5"/>
    <mergeCell ref="U3:U5"/>
    <mergeCell ref="C18:H18"/>
    <mergeCell ref="B15:B16"/>
    <mergeCell ref="C16:E16"/>
    <mergeCell ref="B11:E11"/>
    <mergeCell ref="F11:U11"/>
    <mergeCell ref="B12:B14"/>
    <mergeCell ref="C12:C14"/>
    <mergeCell ref="D12:D14"/>
    <mergeCell ref="R12:R13"/>
    <mergeCell ref="S12:S14"/>
    <mergeCell ref="T12:T14"/>
    <mergeCell ref="U12:U14"/>
    <mergeCell ref="E13:E14"/>
    <mergeCell ref="F13:Q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893BF-076C-4FA3-A5C3-9A3ACE14D002}">
  <dimension ref="B1:X74"/>
  <sheetViews>
    <sheetView topLeftCell="A16" zoomScaleNormal="100" workbookViewId="0">
      <selection activeCell="C25" sqref="C25:E27"/>
    </sheetView>
  </sheetViews>
  <sheetFormatPr baseColWidth="10" defaultRowHeight="14.4" x14ac:dyDescent="0.3"/>
  <cols>
    <col min="1" max="1" width="1.5546875" customWidth="1"/>
    <col min="2" max="2" width="9.5546875" style="46" customWidth="1"/>
    <col min="3" max="3" width="15.88671875" style="46" customWidth="1"/>
    <col min="4" max="4" width="13.44140625" style="46" customWidth="1"/>
    <col min="5" max="5" width="13.109375" style="46" customWidth="1"/>
    <col min="6" max="6" width="5.6640625" style="46" customWidth="1"/>
    <col min="7" max="8" width="9.88671875" style="46" customWidth="1"/>
    <col min="9" max="9" width="14.6640625" style="46" customWidth="1"/>
    <col min="10" max="10" width="6.109375" style="46" customWidth="1"/>
    <col min="11" max="11" width="13.109375" style="46" customWidth="1"/>
    <col min="12" max="12" width="14.88671875" style="46" customWidth="1"/>
    <col min="13" max="13" width="6.88671875" style="46" customWidth="1"/>
    <col min="14" max="14" width="13.33203125" style="46" customWidth="1"/>
    <col min="15" max="15" width="13" style="46" customWidth="1"/>
    <col min="16" max="17" width="8.109375" style="46" customWidth="1"/>
    <col min="18" max="18" width="12.33203125" style="46" customWidth="1"/>
    <col min="19" max="19" width="12.5546875" style="46" customWidth="1"/>
    <col min="20" max="20" width="10.44140625" style="46" customWidth="1"/>
    <col min="21" max="21" width="6" style="46" customWidth="1"/>
    <col min="22" max="22" width="12.33203125" style="46" customWidth="1"/>
    <col min="23" max="23" width="5.44140625" style="46" customWidth="1"/>
  </cols>
  <sheetData>
    <row r="1" spans="2:22" ht="4.5" customHeight="1" thickBot="1" x14ac:dyDescent="0.35"/>
    <row r="2" spans="2:22" ht="11.25" customHeight="1" thickBot="1" x14ac:dyDescent="0.35">
      <c r="B2" s="782" t="s">
        <v>1</v>
      </c>
      <c r="C2" s="766"/>
      <c r="D2" s="766"/>
      <c r="E2" s="181"/>
      <c r="F2" s="760" t="s">
        <v>243</v>
      </c>
      <c r="G2" s="760"/>
      <c r="H2" s="760"/>
      <c r="I2" s="760"/>
      <c r="J2" s="760"/>
      <c r="K2" s="760"/>
      <c r="L2" s="760"/>
      <c r="M2" s="760"/>
      <c r="N2" s="760"/>
      <c r="O2" s="760"/>
      <c r="P2" s="760"/>
      <c r="Q2" s="760"/>
      <c r="R2" s="760"/>
      <c r="S2" s="760"/>
      <c r="T2" s="761"/>
      <c r="U2" s="762"/>
    </row>
    <row r="3" spans="2:22" ht="25.5" customHeight="1" thickBot="1" x14ac:dyDescent="0.35">
      <c r="B3" s="836" t="s">
        <v>2</v>
      </c>
      <c r="C3" s="763" t="s">
        <v>3</v>
      </c>
      <c r="D3" s="766" t="s">
        <v>4</v>
      </c>
      <c r="E3" s="792" t="s">
        <v>212</v>
      </c>
      <c r="F3" s="176" t="s">
        <v>202</v>
      </c>
      <c r="G3" s="177" t="s">
        <v>201</v>
      </c>
      <c r="H3" s="177" t="s">
        <v>200</v>
      </c>
      <c r="I3" s="177" t="s">
        <v>199</v>
      </c>
      <c r="J3" s="177" t="s">
        <v>198</v>
      </c>
      <c r="K3" s="177" t="s">
        <v>197</v>
      </c>
      <c r="L3" s="178" t="s">
        <v>196</v>
      </c>
      <c r="M3" s="178" t="s">
        <v>195</v>
      </c>
      <c r="N3" s="178" t="s">
        <v>194</v>
      </c>
      <c r="O3" s="177" t="s">
        <v>193</v>
      </c>
      <c r="P3" s="177" t="s">
        <v>192</v>
      </c>
      <c r="Q3" s="179" t="s">
        <v>191</v>
      </c>
      <c r="R3" s="806" t="s">
        <v>186</v>
      </c>
      <c r="S3" s="808" t="s">
        <v>221</v>
      </c>
      <c r="T3" s="811" t="s">
        <v>170</v>
      </c>
      <c r="U3" s="779" t="s">
        <v>173</v>
      </c>
      <c r="V3" s="843"/>
    </row>
    <row r="4" spans="2:22" ht="10.5" customHeight="1" thickBot="1" x14ac:dyDescent="0.35">
      <c r="B4" s="837"/>
      <c r="C4" s="764"/>
      <c r="D4" s="767"/>
      <c r="E4" s="793"/>
      <c r="F4" s="800" t="s">
        <v>206</v>
      </c>
      <c r="G4" s="785"/>
      <c r="H4" s="785"/>
      <c r="I4" s="785"/>
      <c r="J4" s="785"/>
      <c r="K4" s="785"/>
      <c r="L4" s="785"/>
      <c r="M4" s="785"/>
      <c r="N4" s="785"/>
      <c r="O4" s="785"/>
      <c r="P4" s="785"/>
      <c r="Q4" s="786"/>
      <c r="R4" s="807"/>
      <c r="S4" s="809"/>
      <c r="T4" s="812"/>
      <c r="U4" s="780"/>
      <c r="V4" s="843"/>
    </row>
    <row r="5" spans="2:22" ht="15" thickBot="1" x14ac:dyDescent="0.35">
      <c r="B5" s="838"/>
      <c r="C5" s="803"/>
      <c r="D5" s="805"/>
      <c r="E5" s="814"/>
      <c r="F5" s="172">
        <f>'PLAN MAESTRO BOGOTA RECIRCU'!F5</f>
        <v>27229</v>
      </c>
      <c r="G5" s="173">
        <f>'PLAN MAESTRO BOGOTA RECIRCU'!H5</f>
        <v>26637.41599928544</v>
      </c>
      <c r="H5" s="173">
        <f>'PLAN MAESTRO BOGOTA RECIRCU'!J5</f>
        <v>25371.21130726752</v>
      </c>
      <c r="I5" s="173">
        <f>'PLAN MAESTRO BOGOTA RECIRCU'!L5</f>
        <v>28996.038995013121</v>
      </c>
      <c r="J5" s="173">
        <f>'PLAN MAESTRO BOGOTA RECIRCU'!N5</f>
        <v>31421.600339636221</v>
      </c>
      <c r="K5" s="173">
        <f>'PLAN MAESTRO BOGOTA RECIRCU'!P5</f>
        <v>34249.300539058881</v>
      </c>
      <c r="L5" s="174">
        <f>'PLAN MAESTRO BOGOTA RECIRCU'!R5</f>
        <v>40509.091493235203</v>
      </c>
      <c r="M5" s="174">
        <f>'PLAN MAESTRO BOGOTA RECIRCU'!T5</f>
        <v>40285.49200255872</v>
      </c>
      <c r="N5" s="174">
        <f>'PLAN MAESTRO BOGOTA RECIRCU'!V5</f>
        <v>43482.436859595713</v>
      </c>
      <c r="O5" s="173">
        <f>'PLAN MAESTRO BOGOTA RECIRCU'!X5</f>
        <v>40858.186350272197</v>
      </c>
      <c r="P5" s="173">
        <f>'PLAN MAESTRO BOGOTA RECIRCU'!Z5</f>
        <v>26685.67577546708</v>
      </c>
      <c r="Q5" s="175">
        <f>'PLAN MAESTRO BOGOTA RECIRCU'!AB5</f>
        <v>13422.465444558526</v>
      </c>
      <c r="R5" s="148">
        <f>SUM(F5:Q5)</f>
        <v>379147.91510594863</v>
      </c>
      <c r="S5" s="810"/>
      <c r="T5" s="813"/>
      <c r="U5" s="781"/>
      <c r="V5" s="843"/>
    </row>
    <row r="6" spans="2:22" ht="17.25" customHeight="1" thickBot="1" x14ac:dyDescent="0.35">
      <c r="B6" s="848" t="s">
        <v>105</v>
      </c>
      <c r="C6" s="182" t="s">
        <v>400</v>
      </c>
      <c r="D6" s="129" t="s">
        <v>214</v>
      </c>
      <c r="E6" s="152">
        <v>1</v>
      </c>
      <c r="F6" s="188">
        <v>1</v>
      </c>
      <c r="G6" s="189">
        <v>1</v>
      </c>
      <c r="H6" s="189">
        <v>1</v>
      </c>
      <c r="I6" s="189">
        <v>1</v>
      </c>
      <c r="J6" s="189">
        <v>1</v>
      </c>
      <c r="K6" s="189">
        <v>1</v>
      </c>
      <c r="L6" s="189">
        <v>1</v>
      </c>
      <c r="M6" s="189">
        <v>1</v>
      </c>
      <c r="N6" s="189">
        <v>1</v>
      </c>
      <c r="O6" s="189">
        <v>1</v>
      </c>
      <c r="P6" s="189">
        <v>1</v>
      </c>
      <c r="Q6" s="190">
        <v>1</v>
      </c>
      <c r="R6" s="191">
        <f>L24-V25</f>
        <v>7970910790.9699955</v>
      </c>
      <c r="S6" s="304">
        <f>R6/15</f>
        <v>531394052.73133302</v>
      </c>
      <c r="T6" s="145">
        <f>E6*S6</f>
        <v>531394052.73133302</v>
      </c>
      <c r="U6" s="146">
        <f>T6/$R$5</f>
        <v>1401.5481334846347</v>
      </c>
      <c r="V6" s="301"/>
    </row>
    <row r="7" spans="2:22" ht="17.25" customHeight="1" thickBot="1" x14ac:dyDescent="0.35">
      <c r="B7" s="823"/>
      <c r="C7" s="182" t="s">
        <v>401</v>
      </c>
      <c r="D7" s="129" t="s">
        <v>214</v>
      </c>
      <c r="E7" s="152">
        <v>1</v>
      </c>
      <c r="F7" s="188">
        <v>1</v>
      </c>
      <c r="G7" s="189">
        <v>1</v>
      </c>
      <c r="H7" s="189">
        <v>1</v>
      </c>
      <c r="I7" s="189">
        <v>1</v>
      </c>
      <c r="J7" s="189">
        <v>1</v>
      </c>
      <c r="K7" s="189">
        <v>1</v>
      </c>
      <c r="L7" s="189">
        <v>1</v>
      </c>
      <c r="M7" s="189">
        <v>1</v>
      </c>
      <c r="N7" s="189">
        <v>1</v>
      </c>
      <c r="O7" s="189">
        <v>1</v>
      </c>
      <c r="P7" s="189">
        <v>1</v>
      </c>
      <c r="Q7" s="190">
        <v>1</v>
      </c>
      <c r="R7" s="191">
        <f>O22</f>
        <v>6313495797.9251051</v>
      </c>
      <c r="S7" s="304">
        <f>R7/30</f>
        <v>210449859.93083683</v>
      </c>
      <c r="T7" s="145">
        <f>E7*S7</f>
        <v>210449859.93083683</v>
      </c>
      <c r="U7" s="146">
        <f>T7/$R$5</f>
        <v>555.06004792886426</v>
      </c>
      <c r="V7" s="301"/>
    </row>
    <row r="8" spans="2:22" ht="17.25" hidden="1" customHeight="1" thickBot="1" x14ac:dyDescent="0.35">
      <c r="B8" s="823"/>
      <c r="C8" s="524" t="s">
        <v>227</v>
      </c>
      <c r="D8" s="525" t="s">
        <v>214</v>
      </c>
      <c r="E8" s="526">
        <v>1</v>
      </c>
      <c r="F8" s="527">
        <v>1</v>
      </c>
      <c r="G8" s="528">
        <v>1</v>
      </c>
      <c r="H8" s="528">
        <v>1</v>
      </c>
      <c r="I8" s="528">
        <v>1</v>
      </c>
      <c r="J8" s="528">
        <v>1</v>
      </c>
      <c r="K8" s="528">
        <v>1</v>
      </c>
      <c r="L8" s="528">
        <v>1</v>
      </c>
      <c r="M8" s="528">
        <v>1</v>
      </c>
      <c r="N8" s="528">
        <v>1</v>
      </c>
      <c r="O8" s="528">
        <v>1</v>
      </c>
      <c r="P8" s="528">
        <v>1</v>
      </c>
      <c r="Q8" s="529">
        <v>1</v>
      </c>
      <c r="R8" s="527" t="s">
        <v>203</v>
      </c>
      <c r="S8" s="530">
        <v>1544735744</v>
      </c>
      <c r="T8" s="531">
        <f>E8*S8</f>
        <v>1544735744</v>
      </c>
      <c r="U8" s="532">
        <f>T8/$R$5</f>
        <v>4074.2298254978955</v>
      </c>
      <c r="V8" s="301"/>
    </row>
    <row r="9" spans="2:22" ht="15" thickBot="1" x14ac:dyDescent="0.35">
      <c r="B9" s="849"/>
      <c r="C9" s="827" t="s">
        <v>25</v>
      </c>
      <c r="D9" s="818"/>
      <c r="E9" s="134"/>
      <c r="F9" s="201"/>
      <c r="G9" s="202"/>
      <c r="H9" s="202"/>
      <c r="I9" s="202"/>
      <c r="J9" s="202"/>
      <c r="K9" s="202"/>
      <c r="L9" s="202"/>
      <c r="M9" s="202"/>
      <c r="N9" s="202"/>
      <c r="O9" s="203"/>
      <c r="P9" s="203"/>
      <c r="Q9" s="203"/>
      <c r="R9" s="206"/>
      <c r="S9" s="305" t="s">
        <v>418</v>
      </c>
      <c r="T9" s="209">
        <f>SUM(T6:T7)</f>
        <v>741843912.66216981</v>
      </c>
      <c r="U9" s="200">
        <f>T9/$R$5</f>
        <v>1956.6081814134989</v>
      </c>
    </row>
    <row r="10" spans="2:22" ht="21.6" x14ac:dyDescent="0.3">
      <c r="S10" s="257" t="s">
        <v>322</v>
      </c>
      <c r="T10" s="196">
        <v>0.9</v>
      </c>
      <c r="U10" s="194">
        <f>U9*T10</f>
        <v>1760.947363272149</v>
      </c>
    </row>
    <row r="11" spans="2:22" ht="15" thickBot="1" x14ac:dyDescent="0.35">
      <c r="S11" s="258" t="s">
        <v>323</v>
      </c>
      <c r="T11" s="197">
        <f>(I23*100%)/E72</f>
        <v>0.10037686181473505</v>
      </c>
      <c r="U11" s="195">
        <f>U9*T11</f>
        <v>196.39818905132284</v>
      </c>
    </row>
    <row r="12" spans="2:22" ht="15" thickBot="1" x14ac:dyDescent="0.35"/>
    <row r="13" spans="2:22" ht="11.25" customHeight="1" thickBot="1" x14ac:dyDescent="0.35">
      <c r="B13" s="758" t="s">
        <v>242</v>
      </c>
      <c r="C13" s="759"/>
      <c r="D13" s="759"/>
      <c r="E13" s="751"/>
      <c r="F13" s="760" t="s">
        <v>246</v>
      </c>
      <c r="G13" s="760"/>
      <c r="H13" s="760"/>
      <c r="I13" s="760"/>
      <c r="J13" s="760"/>
      <c r="K13" s="760"/>
      <c r="L13" s="760"/>
      <c r="M13" s="760"/>
      <c r="N13" s="760"/>
      <c r="O13" s="760"/>
      <c r="P13" s="760"/>
      <c r="Q13" s="760"/>
      <c r="R13" s="760"/>
      <c r="S13" s="760"/>
      <c r="T13" s="761"/>
      <c r="U13" s="762"/>
    </row>
    <row r="14" spans="2:22" ht="25.5" customHeight="1" thickBot="1" x14ac:dyDescent="0.35">
      <c r="B14" s="763" t="s">
        <v>2</v>
      </c>
      <c r="C14" s="766" t="s">
        <v>3</v>
      </c>
      <c r="D14" s="766" t="s">
        <v>4</v>
      </c>
      <c r="E14" s="205" t="s">
        <v>205</v>
      </c>
      <c r="F14" s="176" t="s">
        <v>202</v>
      </c>
      <c r="G14" s="177" t="s">
        <v>201</v>
      </c>
      <c r="H14" s="177" t="s">
        <v>200</v>
      </c>
      <c r="I14" s="177" t="s">
        <v>199</v>
      </c>
      <c r="J14" s="177" t="s">
        <v>198</v>
      </c>
      <c r="K14" s="177" t="s">
        <v>197</v>
      </c>
      <c r="L14" s="178" t="s">
        <v>196</v>
      </c>
      <c r="M14" s="178" t="s">
        <v>195</v>
      </c>
      <c r="N14" s="178" t="s">
        <v>194</v>
      </c>
      <c r="O14" s="177" t="s">
        <v>193</v>
      </c>
      <c r="P14" s="177" t="s">
        <v>192</v>
      </c>
      <c r="Q14" s="179" t="s">
        <v>191</v>
      </c>
      <c r="R14" s="771" t="s">
        <v>186</v>
      </c>
      <c r="S14" s="773" t="s">
        <v>221</v>
      </c>
      <c r="T14" s="776" t="s">
        <v>170</v>
      </c>
      <c r="U14" s="779" t="s">
        <v>173</v>
      </c>
    </row>
    <row r="15" spans="2:22" ht="10.5" customHeight="1" thickBot="1" x14ac:dyDescent="0.35">
      <c r="B15" s="764"/>
      <c r="C15" s="767"/>
      <c r="D15" s="767"/>
      <c r="E15" s="799" t="s">
        <v>136</v>
      </c>
      <c r="F15" s="800" t="s">
        <v>206</v>
      </c>
      <c r="G15" s="785"/>
      <c r="H15" s="785"/>
      <c r="I15" s="785"/>
      <c r="J15" s="785"/>
      <c r="K15" s="785"/>
      <c r="L15" s="785"/>
      <c r="M15" s="785"/>
      <c r="N15" s="785"/>
      <c r="O15" s="785"/>
      <c r="P15" s="785"/>
      <c r="Q15" s="786"/>
      <c r="R15" s="772"/>
      <c r="S15" s="774"/>
      <c r="T15" s="777"/>
      <c r="U15" s="780"/>
    </row>
    <row r="16" spans="2:22" ht="10.5" customHeight="1" thickBot="1" x14ac:dyDescent="0.35">
      <c r="B16" s="765"/>
      <c r="C16" s="768"/>
      <c r="D16" s="768"/>
      <c r="E16" s="794"/>
      <c r="F16" s="183">
        <f>'PROYECCIÓN NOMINA PTAR'!F16</f>
        <v>5662</v>
      </c>
      <c r="G16" s="183">
        <f>'PROYECCIÓN NOMINA PTAR'!G16</f>
        <v>5537.9187862514427</v>
      </c>
      <c r="H16" s="183">
        <f>'PROYECCIÓN NOMINA PTAR'!H16</f>
        <v>5274.6748307809175</v>
      </c>
      <c r="I16" s="183">
        <f>'PROYECCIÓN NOMINA PTAR'!I16</f>
        <v>6028.2765070632277</v>
      </c>
      <c r="J16" s="183">
        <f>'PROYECCIÓN NOMINA PTAR'!J16</f>
        <v>9426.4801018908656</v>
      </c>
      <c r="K16" s="183">
        <f>'PROYECCIÓN NOMINA PTAR'!K16</f>
        <v>10274.790161717663</v>
      </c>
      <c r="L16" s="183">
        <f>'PROYECCIÓN NOMINA PTAR'!L16</f>
        <v>9722.1819583764482</v>
      </c>
      <c r="M16" s="183">
        <f>'PROYECCIÓN NOMINA PTAR'!M16</f>
        <v>9668.5180806140925</v>
      </c>
      <c r="N16" s="183">
        <f>'PROYECCIÓN NOMINA PTAR'!N16</f>
        <v>10000.960477707014</v>
      </c>
      <c r="O16" s="183">
        <f>'PROYECCIÓN NOMINA PTAR'!O16</f>
        <v>10214.546587568049</v>
      </c>
      <c r="P16" s="183">
        <f>'PROYECCIÓN NOMINA PTAR'!P16</f>
        <v>9339.986521413477</v>
      </c>
      <c r="Q16" s="183">
        <f>'PROYECCIÓN NOMINA PTAR'!Q16</f>
        <v>4697.8629055954834</v>
      </c>
      <c r="R16" s="212">
        <f>SUM(F16:Q16)</f>
        <v>95848.196918978676</v>
      </c>
      <c r="S16" s="775"/>
      <c r="T16" s="778"/>
      <c r="U16" s="781"/>
    </row>
    <row r="17" spans="2:24" ht="17.25" customHeight="1" thickBot="1" x14ac:dyDescent="0.35">
      <c r="B17" s="834" t="s">
        <v>105</v>
      </c>
      <c r="C17" s="182" t="s">
        <v>227</v>
      </c>
      <c r="D17" s="129" t="s">
        <v>214</v>
      </c>
      <c r="E17" s="152">
        <v>1</v>
      </c>
      <c r="F17" s="188">
        <v>1</v>
      </c>
      <c r="G17" s="189">
        <v>1</v>
      </c>
      <c r="H17" s="189">
        <v>1</v>
      </c>
      <c r="I17" s="189">
        <v>1</v>
      </c>
      <c r="J17" s="189">
        <v>1</v>
      </c>
      <c r="K17" s="189">
        <v>1</v>
      </c>
      <c r="L17" s="189">
        <v>1</v>
      </c>
      <c r="M17" s="189">
        <v>1</v>
      </c>
      <c r="N17" s="189">
        <v>1</v>
      </c>
      <c r="O17" s="189">
        <v>1</v>
      </c>
      <c r="P17" s="189">
        <v>1</v>
      </c>
      <c r="Q17" s="190">
        <v>1</v>
      </c>
      <c r="R17" s="191">
        <f>'PROYEC COSTO M3 PERMODA BOGOTA'!D81</f>
        <v>1527416878</v>
      </c>
      <c r="S17" s="192">
        <f>R17/10</f>
        <v>152741687.80000001</v>
      </c>
      <c r="T17" s="145">
        <f>E17*S17</f>
        <v>152741687.80000001</v>
      </c>
      <c r="U17" s="146">
        <f>T17/$R$5</f>
        <v>402.85514363785455</v>
      </c>
      <c r="V17" s="301"/>
    </row>
    <row r="18" spans="2:24" ht="17.25" customHeight="1" thickBot="1" x14ac:dyDescent="0.35">
      <c r="B18" s="835"/>
      <c r="C18" s="182" t="s">
        <v>349</v>
      </c>
      <c r="D18" s="129" t="s">
        <v>214</v>
      </c>
      <c r="E18" s="152">
        <v>1</v>
      </c>
      <c r="F18" s="188">
        <v>1</v>
      </c>
      <c r="G18" s="189">
        <v>1</v>
      </c>
      <c r="H18" s="189">
        <v>1</v>
      </c>
      <c r="I18" s="189">
        <v>1</v>
      </c>
      <c r="J18" s="189">
        <v>1</v>
      </c>
      <c r="K18" s="189">
        <v>1</v>
      </c>
      <c r="L18" s="189">
        <v>1</v>
      </c>
      <c r="M18" s="189">
        <v>1</v>
      </c>
      <c r="N18" s="189">
        <v>1</v>
      </c>
      <c r="O18" s="189">
        <v>1</v>
      </c>
      <c r="P18" s="189">
        <v>1</v>
      </c>
      <c r="Q18" s="190">
        <v>1</v>
      </c>
      <c r="R18" s="191">
        <v>598771671</v>
      </c>
      <c r="S18" s="192">
        <f>R18/10</f>
        <v>59877167.100000001</v>
      </c>
      <c r="T18" s="145">
        <f>E18*S18</f>
        <v>59877167.100000001</v>
      </c>
      <c r="U18" s="146">
        <f>T18/$R$5</f>
        <v>157.92561349906936</v>
      </c>
      <c r="V18" s="301"/>
    </row>
    <row r="19" spans="2:24" ht="15" thickBot="1" x14ac:dyDescent="0.35">
      <c r="B19" s="133"/>
      <c r="C19" s="755" t="s">
        <v>25</v>
      </c>
      <c r="D19" s="756"/>
      <c r="E19" s="801"/>
      <c r="F19" s="201"/>
      <c r="G19" s="202"/>
      <c r="H19" s="202"/>
      <c r="I19" s="202"/>
      <c r="J19" s="202"/>
      <c r="K19" s="202"/>
      <c r="L19" s="202"/>
      <c r="M19" s="202"/>
      <c r="N19" s="202"/>
      <c r="O19" s="203"/>
      <c r="P19" s="203"/>
      <c r="Q19" s="207"/>
      <c r="R19" s="603"/>
      <c r="S19" s="305" t="s">
        <v>418</v>
      </c>
      <c r="T19" s="198">
        <f>SUM(T17:T18)</f>
        <v>212618854.90000001</v>
      </c>
      <c r="U19" s="200">
        <f>SUM(U17:U18)</f>
        <v>560.78075713692397</v>
      </c>
    </row>
    <row r="20" spans="2:24" ht="15" thickBot="1" x14ac:dyDescent="0.35">
      <c r="K20" s="519" t="s">
        <v>400</v>
      </c>
      <c r="L20" s="552">
        <f>E72-E26</f>
        <v>18606403616.909996</v>
      </c>
    </row>
    <row r="21" spans="2:24" ht="22.2" hidden="1" thickBot="1" x14ac:dyDescent="0.35">
      <c r="C21" s="556" t="s">
        <v>351</v>
      </c>
      <c r="D21" s="557">
        <v>14172929572.940001</v>
      </c>
      <c r="E21" s="557">
        <v>14172929572.940001</v>
      </c>
      <c r="K21" s="485" t="s">
        <v>353</v>
      </c>
      <c r="L21" s="486">
        <v>952179701.93999994</v>
      </c>
      <c r="U21"/>
      <c r="V21"/>
      <c r="W21"/>
    </row>
    <row r="22" spans="2:24" ht="14.25" customHeight="1" thickBot="1" x14ac:dyDescent="0.35">
      <c r="C22" s="349" t="s">
        <v>352</v>
      </c>
      <c r="D22" s="564">
        <v>14172929572.940001</v>
      </c>
      <c r="E22" s="565">
        <v>14172929572.940001</v>
      </c>
      <c r="G22" s="349" t="s">
        <v>409</v>
      </c>
      <c r="H22" s="549">
        <v>965521</v>
      </c>
      <c r="I22" s="424">
        <f>H22*3700</f>
        <v>3572427700</v>
      </c>
      <c r="K22" s="551" t="s">
        <v>409</v>
      </c>
      <c r="L22" s="456">
        <f>I22</f>
        <v>3572427700</v>
      </c>
      <c r="N22" s="246" t="s">
        <v>411</v>
      </c>
      <c r="O22" s="303">
        <f>E26</f>
        <v>6313495797.9251051</v>
      </c>
      <c r="T22" s="844" t="s">
        <v>415</v>
      </c>
      <c r="U22" s="276" t="s">
        <v>413</v>
      </c>
      <c r="V22" s="576">
        <v>2936270641</v>
      </c>
      <c r="W22" s="580">
        <f>(V22*100%)/E72</f>
        <v>0.11782835043274711</v>
      </c>
    </row>
    <row r="23" spans="2:24" ht="21" customHeight="1" thickBot="1" x14ac:dyDescent="0.35">
      <c r="C23" s="566" t="s">
        <v>353</v>
      </c>
      <c r="D23" s="559">
        <v>952179701.93999994</v>
      </c>
      <c r="E23" s="567">
        <v>952179701.93999994</v>
      </c>
      <c r="G23" s="551" t="s">
        <v>323</v>
      </c>
      <c r="H23" s="550">
        <v>676049</v>
      </c>
      <c r="I23" s="456">
        <f>H23*3700</f>
        <v>2501381300</v>
      </c>
      <c r="K23" s="551" t="s">
        <v>412</v>
      </c>
      <c r="L23" s="456">
        <f>E23</f>
        <v>952179701.93999994</v>
      </c>
      <c r="T23" s="845"/>
      <c r="U23" s="560" t="s">
        <v>414</v>
      </c>
      <c r="V23" s="577">
        <v>3174614783</v>
      </c>
      <c r="W23" s="580">
        <f>(V23*100%)/E72</f>
        <v>0.12739276070713654</v>
      </c>
    </row>
    <row r="24" spans="2:24" ht="22.2" thickBot="1" x14ac:dyDescent="0.35">
      <c r="C24" s="568" t="s">
        <v>354</v>
      </c>
      <c r="D24" s="561">
        <v>13220749871</v>
      </c>
      <c r="E24" s="569">
        <v>13220749871</v>
      </c>
      <c r="K24" s="246" t="s">
        <v>410</v>
      </c>
      <c r="L24" s="303">
        <f>L20-L22-L23</f>
        <v>14081796214.969995</v>
      </c>
      <c r="T24" s="845"/>
      <c r="U24" s="847"/>
      <c r="V24" s="740"/>
      <c r="W24" s="285"/>
    </row>
    <row r="25" spans="2:24" ht="21.75" customHeight="1" thickBot="1" x14ac:dyDescent="0.35">
      <c r="C25" s="570" t="s">
        <v>355</v>
      </c>
      <c r="D25" s="562">
        <v>8548312659.8651056</v>
      </c>
      <c r="E25" s="571">
        <v>8548312659.8651056</v>
      </c>
      <c r="N25" s="553"/>
      <c r="O25" s="554"/>
      <c r="T25" s="846"/>
      <c r="U25" s="575" t="s">
        <v>137</v>
      </c>
      <c r="V25" s="578">
        <f>SUM(V22:V23)</f>
        <v>6110885424</v>
      </c>
      <c r="W25" s="580"/>
      <c r="X25" s="579"/>
    </row>
    <row r="26" spans="2:24" ht="15" thickBot="1" x14ac:dyDescent="0.35">
      <c r="C26" s="341" t="s">
        <v>356</v>
      </c>
      <c r="D26" s="558">
        <v>6313495797.9251051</v>
      </c>
      <c r="E26" s="572">
        <v>6313495797.9251051</v>
      </c>
      <c r="N26" s="246" t="s">
        <v>419</v>
      </c>
      <c r="O26" s="249">
        <f>L20+O22</f>
        <v>24919899414.835102</v>
      </c>
      <c r="T26" s="285"/>
      <c r="U26" s="285"/>
      <c r="V26" s="285"/>
      <c r="W26" s="285"/>
    </row>
    <row r="27" spans="2:24" x14ac:dyDescent="0.3">
      <c r="C27" s="568" t="s">
        <v>357</v>
      </c>
      <c r="D27" s="561">
        <v>6250236415.9251051</v>
      </c>
      <c r="E27" s="569">
        <v>6250236415.9251051</v>
      </c>
      <c r="O27" s="329"/>
      <c r="T27" s="285"/>
      <c r="U27" s="285"/>
      <c r="V27" s="580">
        <f>(V25*100%)/E72</f>
        <v>0.24522111113988365</v>
      </c>
      <c r="W27" s="285"/>
    </row>
    <row r="28" spans="2:24" x14ac:dyDescent="0.3">
      <c r="C28" s="568" t="s">
        <v>358</v>
      </c>
      <c r="D28" s="561">
        <v>63259382</v>
      </c>
      <c r="E28" s="569">
        <v>63259382</v>
      </c>
      <c r="U28"/>
      <c r="V28"/>
      <c r="W28"/>
    </row>
    <row r="29" spans="2:24" x14ac:dyDescent="0.3">
      <c r="C29" s="341" t="s">
        <v>359</v>
      </c>
      <c r="D29" s="558">
        <v>1155909565.79</v>
      </c>
      <c r="E29" s="572">
        <v>1155909565.79</v>
      </c>
      <c r="K29" s="285"/>
      <c r="L29" s="285"/>
      <c r="U29"/>
      <c r="V29"/>
      <c r="W29"/>
    </row>
    <row r="30" spans="2:24" ht="21.6" x14ac:dyDescent="0.3">
      <c r="C30" s="568" t="s">
        <v>360</v>
      </c>
      <c r="D30" s="561">
        <v>27305283</v>
      </c>
      <c r="E30" s="569">
        <v>27305283</v>
      </c>
      <c r="K30" s="285"/>
      <c r="L30" s="285"/>
      <c r="U30"/>
      <c r="V30"/>
      <c r="W30"/>
    </row>
    <row r="31" spans="2:24" ht="14.25" customHeight="1" x14ac:dyDescent="0.3">
      <c r="C31" s="568" t="s">
        <v>361</v>
      </c>
      <c r="D31" s="561">
        <v>77659969</v>
      </c>
      <c r="E31" s="569">
        <v>77659969</v>
      </c>
      <c r="K31" s="285"/>
      <c r="L31" s="285"/>
      <c r="U31"/>
      <c r="V31"/>
      <c r="W31"/>
    </row>
    <row r="32" spans="2:24" x14ac:dyDescent="0.3">
      <c r="C32" s="568" t="s">
        <v>362</v>
      </c>
      <c r="D32" s="561">
        <v>143882900</v>
      </c>
      <c r="E32" s="569">
        <v>143882900</v>
      </c>
      <c r="K32" s="285"/>
      <c r="L32" s="285"/>
      <c r="U32"/>
      <c r="V32"/>
      <c r="W32"/>
    </row>
    <row r="33" spans="3:23" x14ac:dyDescent="0.3">
      <c r="C33" s="568" t="s">
        <v>363</v>
      </c>
      <c r="D33" s="561">
        <v>83528753</v>
      </c>
      <c r="E33" s="569">
        <v>83528753</v>
      </c>
      <c r="K33" s="285"/>
      <c r="L33" s="285"/>
      <c r="U33"/>
      <c r="V33"/>
      <c r="W33"/>
    </row>
    <row r="34" spans="3:23" ht="21.6" x14ac:dyDescent="0.3">
      <c r="C34" s="568" t="s">
        <v>364</v>
      </c>
      <c r="D34" s="561">
        <v>142984383</v>
      </c>
      <c r="E34" s="569">
        <v>142984383</v>
      </c>
      <c r="K34" s="285"/>
      <c r="L34" s="285"/>
      <c r="U34"/>
      <c r="V34"/>
      <c r="W34"/>
    </row>
    <row r="35" spans="3:23" ht="32.4" x14ac:dyDescent="0.3">
      <c r="C35" s="568" t="s">
        <v>365</v>
      </c>
      <c r="D35" s="561">
        <v>16421144</v>
      </c>
      <c r="E35" s="569">
        <v>16421144</v>
      </c>
      <c r="K35" s="285"/>
      <c r="L35" s="285"/>
      <c r="U35"/>
      <c r="V35"/>
      <c r="W35"/>
    </row>
    <row r="36" spans="3:23" ht="54" x14ac:dyDescent="0.3">
      <c r="C36" s="568" t="s">
        <v>366</v>
      </c>
      <c r="D36" s="561">
        <v>5126549.75</v>
      </c>
      <c r="E36" s="569">
        <v>5126549.75</v>
      </c>
      <c r="K36" s="285"/>
      <c r="L36" s="285"/>
      <c r="U36"/>
      <c r="V36"/>
      <c r="W36"/>
    </row>
    <row r="37" spans="3:23" ht="21.6" x14ac:dyDescent="0.3">
      <c r="C37" s="568" t="s">
        <v>367</v>
      </c>
      <c r="D37" s="561">
        <v>16880695</v>
      </c>
      <c r="E37" s="569">
        <v>16880695</v>
      </c>
      <c r="K37" s="285"/>
      <c r="L37" s="285"/>
      <c r="U37"/>
      <c r="V37"/>
      <c r="W37"/>
    </row>
    <row r="38" spans="3:23" ht="21.6" x14ac:dyDescent="0.3">
      <c r="C38" s="568" t="s">
        <v>368</v>
      </c>
      <c r="D38" s="561">
        <v>35456632</v>
      </c>
      <c r="E38" s="569">
        <v>35456632</v>
      </c>
      <c r="K38" s="285"/>
      <c r="L38" s="285"/>
      <c r="U38"/>
      <c r="V38"/>
      <c r="W38"/>
    </row>
    <row r="39" spans="3:23" ht="21.6" x14ac:dyDescent="0.3">
      <c r="C39" s="568" t="s">
        <v>369</v>
      </c>
      <c r="D39" s="561">
        <v>28530000</v>
      </c>
      <c r="E39" s="569">
        <v>28530000</v>
      </c>
      <c r="K39" s="285"/>
      <c r="L39" s="285"/>
      <c r="U39"/>
      <c r="V39"/>
      <c r="W39"/>
    </row>
    <row r="40" spans="3:23" x14ac:dyDescent="0.3">
      <c r="C40" s="568" t="s">
        <v>370</v>
      </c>
      <c r="D40" s="561">
        <v>182963458.04000002</v>
      </c>
      <c r="E40" s="569">
        <v>182963458.04000002</v>
      </c>
      <c r="K40" s="285"/>
      <c r="L40" s="285"/>
      <c r="U40"/>
      <c r="V40"/>
      <c r="W40"/>
    </row>
    <row r="41" spans="3:23" ht="21.6" x14ac:dyDescent="0.3">
      <c r="C41" s="568" t="s">
        <v>371</v>
      </c>
      <c r="D41" s="561">
        <v>31344341</v>
      </c>
      <c r="E41" s="569">
        <v>31344341</v>
      </c>
      <c r="K41" s="285"/>
      <c r="L41" s="285"/>
      <c r="U41"/>
      <c r="V41"/>
      <c r="W41"/>
    </row>
    <row r="42" spans="3:23" ht="21.6" x14ac:dyDescent="0.3">
      <c r="C42" s="568" t="s">
        <v>372</v>
      </c>
      <c r="D42" s="561">
        <v>162617602</v>
      </c>
      <c r="E42" s="569">
        <v>162617602</v>
      </c>
      <c r="K42" s="285"/>
      <c r="L42" s="285"/>
      <c r="U42"/>
      <c r="V42"/>
      <c r="W42"/>
    </row>
    <row r="43" spans="3:23" ht="21.6" x14ac:dyDescent="0.3">
      <c r="C43" s="568" t="s">
        <v>373</v>
      </c>
      <c r="D43" s="561">
        <v>201207856</v>
      </c>
      <c r="E43" s="569">
        <v>201207856</v>
      </c>
      <c r="K43" s="285"/>
      <c r="L43" s="285"/>
      <c r="U43"/>
      <c r="V43"/>
      <c r="W43"/>
    </row>
    <row r="44" spans="3:23" x14ac:dyDescent="0.3">
      <c r="C44" s="341" t="s">
        <v>374</v>
      </c>
      <c r="D44" s="558">
        <v>965807724.04999995</v>
      </c>
      <c r="E44" s="572">
        <v>965807724.04999995</v>
      </c>
      <c r="K44" s="285"/>
      <c r="L44" s="285"/>
      <c r="U44"/>
      <c r="V44"/>
      <c r="W44"/>
    </row>
    <row r="45" spans="3:23" x14ac:dyDescent="0.3">
      <c r="C45" s="568" t="s">
        <v>375</v>
      </c>
      <c r="D45" s="561">
        <v>13365723</v>
      </c>
      <c r="E45" s="569">
        <v>13365723</v>
      </c>
      <c r="K45" s="285"/>
      <c r="L45" s="285"/>
      <c r="U45"/>
      <c r="V45"/>
      <c r="W45"/>
    </row>
    <row r="46" spans="3:23" ht="86.4" x14ac:dyDescent="0.3">
      <c r="C46" s="568" t="s">
        <v>376</v>
      </c>
      <c r="D46" s="561">
        <v>11613498</v>
      </c>
      <c r="E46" s="569">
        <v>11613498</v>
      </c>
      <c r="K46" s="285"/>
      <c r="L46" s="285"/>
      <c r="U46"/>
      <c r="V46"/>
      <c r="W46"/>
    </row>
    <row r="47" spans="3:23" ht="21.6" x14ac:dyDescent="0.3">
      <c r="C47" s="568" t="s">
        <v>377</v>
      </c>
      <c r="D47" s="561">
        <v>939085214.04999995</v>
      </c>
      <c r="E47" s="569">
        <v>939085214.04999995</v>
      </c>
      <c r="K47" s="285"/>
      <c r="L47" s="285"/>
      <c r="U47"/>
      <c r="V47"/>
      <c r="W47"/>
    </row>
    <row r="48" spans="3:23" ht="21.6" x14ac:dyDescent="0.3">
      <c r="C48" s="568" t="s">
        <v>378</v>
      </c>
      <c r="D48" s="561">
        <v>1743289</v>
      </c>
      <c r="E48" s="569">
        <v>1743289</v>
      </c>
      <c r="K48" s="285"/>
      <c r="L48" s="285"/>
      <c r="U48"/>
      <c r="V48"/>
      <c r="W48"/>
    </row>
    <row r="49" spans="3:23" ht="21.6" x14ac:dyDescent="0.3">
      <c r="C49" s="573" t="s">
        <v>379</v>
      </c>
      <c r="D49" s="563">
        <v>113099572.09999999</v>
      </c>
      <c r="E49" s="574">
        <v>113099572.09999999</v>
      </c>
      <c r="K49" s="285"/>
      <c r="L49" s="285"/>
      <c r="U49"/>
      <c r="V49"/>
      <c r="W49"/>
    </row>
    <row r="50" spans="3:23" ht="97.2" x14ac:dyDescent="0.3">
      <c r="C50" s="568" t="s">
        <v>380</v>
      </c>
      <c r="D50" s="561">
        <v>109035571.09999999</v>
      </c>
      <c r="E50" s="569">
        <v>109035571.09999999</v>
      </c>
      <c r="K50" s="285"/>
      <c r="L50" s="285"/>
      <c r="U50"/>
      <c r="V50"/>
      <c r="W50"/>
    </row>
    <row r="51" spans="3:23" x14ac:dyDescent="0.3">
      <c r="C51" s="568" t="s">
        <v>381</v>
      </c>
      <c r="D51" s="561">
        <v>4064001</v>
      </c>
      <c r="E51" s="569">
        <v>4064001</v>
      </c>
      <c r="K51" s="285"/>
      <c r="L51" s="285"/>
      <c r="U51"/>
      <c r="V51"/>
      <c r="W51"/>
    </row>
    <row r="52" spans="3:23" ht="21.6" x14ac:dyDescent="0.3">
      <c r="C52" s="573" t="s">
        <v>382</v>
      </c>
      <c r="D52" s="563">
        <v>2108131112.03</v>
      </c>
      <c r="E52" s="574">
        <v>2108131112.03</v>
      </c>
      <c r="K52" s="285"/>
      <c r="L52" s="285"/>
      <c r="U52"/>
      <c r="V52"/>
      <c r="W52"/>
    </row>
    <row r="53" spans="3:23" x14ac:dyDescent="0.3">
      <c r="C53" s="341" t="s">
        <v>383</v>
      </c>
      <c r="D53" s="558">
        <v>2108131112.03</v>
      </c>
      <c r="E53" s="572">
        <v>2108131112.03</v>
      </c>
      <c r="K53" s="285"/>
      <c r="L53" s="285"/>
      <c r="U53"/>
      <c r="V53"/>
      <c r="W53"/>
    </row>
    <row r="54" spans="3:23" ht="21.6" x14ac:dyDescent="0.3">
      <c r="C54" s="568" t="s">
        <v>384</v>
      </c>
      <c r="D54" s="561">
        <v>7472629</v>
      </c>
      <c r="E54" s="569">
        <v>7472629</v>
      </c>
      <c r="K54" s="285"/>
      <c r="L54" s="285"/>
      <c r="U54"/>
      <c r="V54"/>
      <c r="W54"/>
    </row>
    <row r="55" spans="3:23" x14ac:dyDescent="0.3">
      <c r="C55" s="568" t="s">
        <v>385</v>
      </c>
      <c r="D55" s="561">
        <v>350566279</v>
      </c>
      <c r="E55" s="569">
        <v>350566279</v>
      </c>
      <c r="K55" s="285"/>
      <c r="L55" s="285"/>
      <c r="U55"/>
      <c r="V55"/>
      <c r="W55"/>
    </row>
    <row r="56" spans="3:23" ht="21.6" x14ac:dyDescent="0.3">
      <c r="C56" s="568" t="s">
        <v>386</v>
      </c>
      <c r="D56" s="561">
        <v>2949640</v>
      </c>
      <c r="E56" s="569">
        <v>2949640</v>
      </c>
      <c r="K56" s="285"/>
      <c r="L56" s="285"/>
      <c r="U56"/>
      <c r="V56"/>
      <c r="W56"/>
    </row>
    <row r="57" spans="3:23" ht="21.6" x14ac:dyDescent="0.3">
      <c r="C57" s="568" t="s">
        <v>387</v>
      </c>
      <c r="D57" s="561">
        <v>2975000</v>
      </c>
      <c r="E57" s="569">
        <v>2975000</v>
      </c>
      <c r="K57" s="285"/>
      <c r="L57" s="285"/>
      <c r="U57"/>
      <c r="V57"/>
      <c r="W57"/>
    </row>
    <row r="58" spans="3:23" x14ac:dyDescent="0.3">
      <c r="C58" s="568" t="s">
        <v>388</v>
      </c>
      <c r="D58" s="561">
        <v>30000000</v>
      </c>
      <c r="E58" s="569">
        <v>30000000</v>
      </c>
      <c r="K58" s="285"/>
      <c r="L58" s="285"/>
      <c r="U58"/>
      <c r="V58"/>
      <c r="W58"/>
    </row>
    <row r="59" spans="3:23" ht="21.6" x14ac:dyDescent="0.3">
      <c r="C59" s="568" t="s">
        <v>389</v>
      </c>
      <c r="D59" s="561">
        <v>2142000</v>
      </c>
      <c r="E59" s="569">
        <v>2142000</v>
      </c>
      <c r="K59" s="285"/>
      <c r="L59" s="285"/>
      <c r="U59"/>
      <c r="V59"/>
      <c r="W59"/>
    </row>
    <row r="60" spans="3:23" ht="21.6" x14ac:dyDescent="0.3">
      <c r="C60" s="568" t="s">
        <v>390</v>
      </c>
      <c r="D60" s="561">
        <v>8092500</v>
      </c>
      <c r="E60" s="569">
        <v>8092500</v>
      </c>
      <c r="K60" s="285"/>
      <c r="L60" s="285"/>
      <c r="U60"/>
      <c r="V60"/>
      <c r="W60"/>
    </row>
    <row r="61" spans="3:23" x14ac:dyDescent="0.3">
      <c r="C61" s="568" t="s">
        <v>391</v>
      </c>
      <c r="D61" s="561">
        <v>1380418527.6600001</v>
      </c>
      <c r="E61" s="569">
        <v>1380418527.6600001</v>
      </c>
      <c r="K61" s="285"/>
      <c r="L61" s="285"/>
      <c r="U61"/>
      <c r="V61"/>
      <c r="W61"/>
    </row>
    <row r="62" spans="3:23" ht="21.6" x14ac:dyDescent="0.3">
      <c r="C62" s="568" t="s">
        <v>392</v>
      </c>
      <c r="D62" s="561">
        <v>45995112</v>
      </c>
      <c r="E62" s="569">
        <v>45995112</v>
      </c>
      <c r="K62" s="285"/>
      <c r="L62" s="285"/>
      <c r="U62"/>
      <c r="V62"/>
      <c r="W62"/>
    </row>
    <row r="63" spans="3:23" ht="21.6" x14ac:dyDescent="0.3">
      <c r="C63" s="568" t="s">
        <v>393</v>
      </c>
      <c r="D63" s="561">
        <v>220660126</v>
      </c>
      <c r="E63" s="569">
        <v>220660126</v>
      </c>
      <c r="K63" s="285"/>
      <c r="L63" s="285"/>
      <c r="U63"/>
      <c r="V63"/>
      <c r="W63"/>
    </row>
    <row r="64" spans="3:23" ht="21.6" x14ac:dyDescent="0.3">
      <c r="C64" s="568" t="s">
        <v>394</v>
      </c>
      <c r="D64" s="561">
        <v>56859298.369999997</v>
      </c>
      <c r="E64" s="569">
        <v>56859298.369999997</v>
      </c>
      <c r="K64" s="285"/>
      <c r="L64" s="285"/>
      <c r="U64"/>
      <c r="V64"/>
      <c r="W64"/>
    </row>
    <row r="65" spans="3:23" x14ac:dyDescent="0.3">
      <c r="C65" s="573" t="s">
        <v>395</v>
      </c>
      <c r="D65" s="563">
        <v>90526070</v>
      </c>
      <c r="E65" s="574">
        <v>90526070</v>
      </c>
      <c r="K65" s="285"/>
      <c r="L65" s="285"/>
      <c r="U65"/>
      <c r="V65"/>
      <c r="W65"/>
    </row>
    <row r="66" spans="3:23" x14ac:dyDescent="0.3">
      <c r="C66" s="341" t="s">
        <v>396</v>
      </c>
      <c r="D66" s="558">
        <v>20554070</v>
      </c>
      <c r="E66" s="572">
        <v>20554070</v>
      </c>
      <c r="K66" s="285"/>
      <c r="L66" s="285"/>
      <c r="U66"/>
      <c r="V66"/>
      <c r="W66"/>
    </row>
    <row r="67" spans="3:23" ht="43.2" x14ac:dyDescent="0.3">
      <c r="C67" s="568" t="s">
        <v>397</v>
      </c>
      <c r="D67" s="561">
        <v>20554070</v>
      </c>
      <c r="E67" s="569">
        <v>20554070</v>
      </c>
      <c r="K67" s="285"/>
      <c r="L67" s="285"/>
      <c r="U67"/>
      <c r="V67"/>
      <c r="W67"/>
    </row>
    <row r="68" spans="3:23" x14ac:dyDescent="0.3">
      <c r="C68" s="341" t="s">
        <v>398</v>
      </c>
      <c r="D68" s="558">
        <v>69972000</v>
      </c>
      <c r="E68" s="572">
        <v>69972000</v>
      </c>
      <c r="U68"/>
      <c r="V68"/>
      <c r="W68"/>
    </row>
    <row r="69" spans="3:23" ht="32.4" hidden="1" x14ac:dyDescent="0.3">
      <c r="C69" s="568" t="s">
        <v>399</v>
      </c>
      <c r="D69" s="561">
        <v>69972000</v>
      </c>
      <c r="E69" s="569">
        <v>69972000</v>
      </c>
      <c r="U69"/>
      <c r="V69"/>
      <c r="W69"/>
    </row>
    <row r="70" spans="3:23" x14ac:dyDescent="0.3">
      <c r="C70" s="341" t="s">
        <v>350</v>
      </c>
      <c r="D70" s="558">
        <v>24919899414.835102</v>
      </c>
      <c r="E70" s="572">
        <v>24919899414.835102</v>
      </c>
      <c r="U70"/>
      <c r="V70"/>
      <c r="W70"/>
    </row>
    <row r="71" spans="3:23" ht="32.4" hidden="1" x14ac:dyDescent="0.3">
      <c r="C71" s="485" t="s">
        <v>399</v>
      </c>
      <c r="D71" s="484">
        <v>69972000</v>
      </c>
      <c r="E71" s="486">
        <v>69972000</v>
      </c>
      <c r="U71"/>
      <c r="V71"/>
      <c r="W71"/>
    </row>
    <row r="72" spans="3:23" ht="15" thickBot="1" x14ac:dyDescent="0.35">
      <c r="C72" s="487" t="s">
        <v>350</v>
      </c>
      <c r="D72" s="488">
        <v>24919899414.835102</v>
      </c>
      <c r="E72" s="489">
        <v>24919899414.835102</v>
      </c>
      <c r="U72"/>
      <c r="V72"/>
      <c r="W72"/>
    </row>
    <row r="74" spans="3:23" x14ac:dyDescent="0.3">
      <c r="E74" s="359"/>
    </row>
  </sheetData>
  <mergeCells count="29">
    <mergeCell ref="V3:V5"/>
    <mergeCell ref="F4:Q4"/>
    <mergeCell ref="C9:D9"/>
    <mergeCell ref="B2:D2"/>
    <mergeCell ref="F2:U2"/>
    <mergeCell ref="B3:B5"/>
    <mergeCell ref="C3:C5"/>
    <mergeCell ref="D3:D5"/>
    <mergeCell ref="E3:E5"/>
    <mergeCell ref="R3:R4"/>
    <mergeCell ref="S3:S5"/>
    <mergeCell ref="T3:T5"/>
    <mergeCell ref="U3:U5"/>
    <mergeCell ref="B6:B9"/>
    <mergeCell ref="T22:T25"/>
    <mergeCell ref="U24:V24"/>
    <mergeCell ref="C19:E19"/>
    <mergeCell ref="B13:E13"/>
    <mergeCell ref="F13:U13"/>
    <mergeCell ref="B14:B16"/>
    <mergeCell ref="C14:C16"/>
    <mergeCell ref="D14:D16"/>
    <mergeCell ref="R14:R15"/>
    <mergeCell ref="S14:S16"/>
    <mergeCell ref="T14:T16"/>
    <mergeCell ref="U14:U16"/>
    <mergeCell ref="E15:E16"/>
    <mergeCell ref="F15:Q15"/>
    <mergeCell ref="B17:B18"/>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CE196-0BE6-42E7-A45B-FC379185839E}">
  <dimension ref="B1:V8"/>
  <sheetViews>
    <sheetView workbookViewId="0">
      <selection activeCell="N10" sqref="N10"/>
    </sheetView>
  </sheetViews>
  <sheetFormatPr baseColWidth="10" defaultRowHeight="14.4" x14ac:dyDescent="0.3"/>
  <cols>
    <col min="1" max="1" width="1.33203125" customWidth="1"/>
    <col min="2" max="2" width="9.33203125" customWidth="1"/>
    <col min="3" max="3" width="13.33203125" customWidth="1"/>
    <col min="4" max="4" width="6.44140625" customWidth="1"/>
    <col min="5" max="5" width="8.88671875" customWidth="1"/>
    <col min="6" max="6" width="5.6640625" customWidth="1"/>
    <col min="7" max="7" width="6.109375" customWidth="1"/>
    <col min="8" max="8" width="6.5546875" customWidth="1"/>
    <col min="9" max="9" width="6.88671875" customWidth="1"/>
    <col min="10" max="10" width="6.109375" customWidth="1"/>
    <col min="11" max="11" width="7.33203125" customWidth="1"/>
    <col min="12" max="12" width="6.44140625" customWidth="1"/>
    <col min="13" max="13" width="8" customWidth="1"/>
    <col min="14" max="14" width="8.6640625" customWidth="1"/>
    <col min="15" max="15" width="7.5546875" customWidth="1"/>
    <col min="16" max="17" width="8.109375" customWidth="1"/>
    <col min="18" max="18" width="9.6640625" customWidth="1"/>
    <col min="19" max="19" width="12.5546875" customWidth="1"/>
    <col min="20" max="20" width="9.88671875" customWidth="1"/>
    <col min="21" max="21" width="4.5546875" customWidth="1"/>
    <col min="22" max="22" width="16.6640625" customWidth="1"/>
  </cols>
  <sheetData>
    <row r="1" spans="2:22" ht="15" thickBot="1" x14ac:dyDescent="0.35"/>
    <row r="2" spans="2:22" ht="11.25" customHeight="1" thickBot="1" x14ac:dyDescent="0.35">
      <c r="B2" s="758" t="s">
        <v>242</v>
      </c>
      <c r="C2" s="759"/>
      <c r="D2" s="759"/>
      <c r="E2" s="751"/>
      <c r="F2" s="760" t="s">
        <v>246</v>
      </c>
      <c r="G2" s="760"/>
      <c r="H2" s="760"/>
      <c r="I2" s="760"/>
      <c r="J2" s="760"/>
      <c r="K2" s="760"/>
      <c r="L2" s="760"/>
      <c r="M2" s="760"/>
      <c r="N2" s="760"/>
      <c r="O2" s="760"/>
      <c r="P2" s="760"/>
      <c r="Q2" s="760"/>
      <c r="R2" s="760"/>
      <c r="S2" s="760"/>
      <c r="T2" s="761"/>
      <c r="U2" s="762"/>
    </row>
    <row r="3" spans="2:22" ht="25.5" customHeight="1" thickBot="1" x14ac:dyDescent="0.35">
      <c r="B3" s="763" t="s">
        <v>2</v>
      </c>
      <c r="C3" s="766" t="s">
        <v>3</v>
      </c>
      <c r="D3" s="766" t="s">
        <v>4</v>
      </c>
      <c r="E3" s="205" t="s">
        <v>205</v>
      </c>
      <c r="F3" s="176" t="s">
        <v>202</v>
      </c>
      <c r="G3" s="177" t="s">
        <v>201</v>
      </c>
      <c r="H3" s="177" t="s">
        <v>200</v>
      </c>
      <c r="I3" s="177" t="s">
        <v>199</v>
      </c>
      <c r="J3" s="177" t="s">
        <v>198</v>
      </c>
      <c r="K3" s="177" t="s">
        <v>197</v>
      </c>
      <c r="L3" s="178" t="s">
        <v>196</v>
      </c>
      <c r="M3" s="178" t="s">
        <v>195</v>
      </c>
      <c r="N3" s="178" t="s">
        <v>194</v>
      </c>
      <c r="O3" s="177" t="s">
        <v>193</v>
      </c>
      <c r="P3" s="177" t="s">
        <v>192</v>
      </c>
      <c r="Q3" s="179" t="s">
        <v>191</v>
      </c>
      <c r="R3" s="771" t="s">
        <v>186</v>
      </c>
      <c r="S3" s="773" t="s">
        <v>221</v>
      </c>
      <c r="T3" s="776" t="s">
        <v>170</v>
      </c>
      <c r="U3" s="779" t="s">
        <v>173</v>
      </c>
    </row>
    <row r="4" spans="2:22" ht="10.5" customHeight="1" thickBot="1" x14ac:dyDescent="0.35">
      <c r="B4" s="764"/>
      <c r="C4" s="767"/>
      <c r="D4" s="767"/>
      <c r="E4" s="799" t="s">
        <v>136</v>
      </c>
      <c r="F4" s="800" t="s">
        <v>206</v>
      </c>
      <c r="G4" s="785"/>
      <c r="H4" s="785"/>
      <c r="I4" s="785"/>
      <c r="J4" s="785"/>
      <c r="K4" s="785"/>
      <c r="L4" s="785"/>
      <c r="M4" s="785"/>
      <c r="N4" s="785"/>
      <c r="O4" s="785"/>
      <c r="P4" s="785"/>
      <c r="Q4" s="786"/>
      <c r="R4" s="772"/>
      <c r="S4" s="774"/>
      <c r="T4" s="777"/>
      <c r="U4" s="780"/>
    </row>
    <row r="5" spans="2:22" ht="10.5" customHeight="1" thickBot="1" x14ac:dyDescent="0.35">
      <c r="B5" s="765"/>
      <c r="C5" s="768"/>
      <c r="D5" s="768"/>
      <c r="E5" s="794"/>
      <c r="F5" s="183">
        <f>'PROYECCIÓN NOMINA PTAR'!F16</f>
        <v>5662</v>
      </c>
      <c r="G5" s="183">
        <f>'PROYECCIÓN NOMINA PTAR'!G16</f>
        <v>5537.9187862514427</v>
      </c>
      <c r="H5" s="183">
        <f>'PROYECCIÓN NOMINA PTAR'!H16</f>
        <v>5274.6748307809175</v>
      </c>
      <c r="I5" s="183">
        <f>'PROYECCIÓN NOMINA PTAR'!I16</f>
        <v>6028.2765070632277</v>
      </c>
      <c r="J5" s="183">
        <f>'PROYECCIÓN NOMINA PTAR'!J16</f>
        <v>9426.4801018908656</v>
      </c>
      <c r="K5" s="183">
        <f>'PROYECCIÓN NOMINA PTAR'!K16</f>
        <v>10274.790161717663</v>
      </c>
      <c r="L5" s="183">
        <f>'PROYECCIÓN NOMINA PTAR'!L16</f>
        <v>9722.1819583764482</v>
      </c>
      <c r="M5" s="183">
        <f>'PROYECCIÓN NOMINA PTAR'!M16</f>
        <v>9668.5180806140925</v>
      </c>
      <c r="N5" s="183">
        <f>'PROYECCIÓN NOMINA PTAR'!N16</f>
        <v>10000.960477707014</v>
      </c>
      <c r="O5" s="183">
        <f>'PROYECCIÓN NOMINA PTAR'!O16</f>
        <v>10214.546587568049</v>
      </c>
      <c r="P5" s="183">
        <f>'PROYECCIÓN NOMINA PTAR'!P16</f>
        <v>9339.986521413477</v>
      </c>
      <c r="Q5" s="183">
        <f>'PROYECCIÓN NOMINA PTAR'!Q16</f>
        <v>4697.8629055954834</v>
      </c>
      <c r="R5" s="212">
        <f>SUM(F5:Q5)</f>
        <v>95848.196918978676</v>
      </c>
      <c r="S5" s="775"/>
      <c r="T5" s="778"/>
      <c r="U5" s="781"/>
    </row>
    <row r="6" spans="2:22" ht="10.5" customHeight="1" thickBot="1" x14ac:dyDescent="0.35">
      <c r="B6" s="788" t="s">
        <v>417</v>
      </c>
      <c r="C6" s="182" t="s">
        <v>250</v>
      </c>
      <c r="D6" s="129" t="s">
        <v>214</v>
      </c>
      <c r="E6" s="152">
        <v>1</v>
      </c>
      <c r="F6" s="188">
        <v>1</v>
      </c>
      <c r="G6" s="189">
        <v>1</v>
      </c>
      <c r="H6" s="189">
        <v>1</v>
      </c>
      <c r="I6" s="189">
        <v>1</v>
      </c>
      <c r="J6" s="189">
        <v>1</v>
      </c>
      <c r="K6" s="189">
        <v>1</v>
      </c>
      <c r="L6" s="189">
        <v>1</v>
      </c>
      <c r="M6" s="189">
        <v>1</v>
      </c>
      <c r="N6" s="189">
        <v>1</v>
      </c>
      <c r="O6" s="189">
        <v>1</v>
      </c>
      <c r="P6" s="189">
        <v>1</v>
      </c>
      <c r="Q6" s="190">
        <v>1</v>
      </c>
      <c r="R6" s="191" t="s">
        <v>203</v>
      </c>
      <c r="S6" s="192">
        <v>1514587</v>
      </c>
      <c r="T6" s="145">
        <f>E6*S6</f>
        <v>1514587</v>
      </c>
      <c r="U6" s="146">
        <f>T6/R5</f>
        <v>15.801935233902144</v>
      </c>
    </row>
    <row r="7" spans="2:22" ht="15" customHeight="1" thickBot="1" x14ac:dyDescent="0.35">
      <c r="B7" s="790"/>
      <c r="C7" s="232" t="s">
        <v>250</v>
      </c>
      <c r="D7" s="601" t="s">
        <v>214</v>
      </c>
      <c r="E7" s="602">
        <v>1</v>
      </c>
      <c r="F7" s="188">
        <v>1</v>
      </c>
      <c r="G7" s="189">
        <v>1</v>
      </c>
      <c r="H7" s="189">
        <v>1</v>
      </c>
      <c r="I7" s="189">
        <v>1</v>
      </c>
      <c r="J7" s="189">
        <v>1</v>
      </c>
      <c r="K7" s="189">
        <v>1</v>
      </c>
      <c r="L7" s="189">
        <v>1</v>
      </c>
      <c r="M7" s="189">
        <v>1</v>
      </c>
      <c r="N7" s="189">
        <v>1</v>
      </c>
      <c r="O7" s="189">
        <v>1</v>
      </c>
      <c r="P7" s="189">
        <v>1</v>
      </c>
      <c r="Q7" s="190">
        <v>1</v>
      </c>
      <c r="R7" s="191" t="s">
        <v>203</v>
      </c>
      <c r="S7" s="192">
        <f>R5*129</f>
        <v>12364417.40254825</v>
      </c>
      <c r="T7" s="145">
        <f>E7*S7</f>
        <v>12364417.40254825</v>
      </c>
      <c r="U7" s="146">
        <f>T7/R5</f>
        <v>129</v>
      </c>
      <c r="V7" s="187"/>
    </row>
    <row r="8" spans="2:22" ht="15" thickBot="1" x14ac:dyDescent="0.35">
      <c r="B8" s="600"/>
      <c r="C8" s="828" t="s">
        <v>25</v>
      </c>
      <c r="D8" s="829"/>
      <c r="E8" s="830"/>
      <c r="F8" s="201"/>
      <c r="G8" s="202"/>
      <c r="H8" s="202"/>
      <c r="I8" s="202"/>
      <c r="J8" s="202"/>
      <c r="K8" s="202"/>
      <c r="L8" s="202"/>
      <c r="M8" s="202"/>
      <c r="N8" s="202"/>
      <c r="O8" s="203"/>
      <c r="P8" s="203"/>
      <c r="Q8" s="207"/>
      <c r="R8" s="797" t="s">
        <v>186</v>
      </c>
      <c r="S8" s="798"/>
      <c r="T8" s="198">
        <f>SUM(T6:T7)</f>
        <v>13879004.40254825</v>
      </c>
      <c r="U8" s="200">
        <f>SUM(U6:U7)</f>
        <v>144.80193523390216</v>
      </c>
    </row>
  </sheetData>
  <mergeCells count="14">
    <mergeCell ref="C8:E8"/>
    <mergeCell ref="R8:S8"/>
    <mergeCell ref="T3:T5"/>
    <mergeCell ref="B2:E2"/>
    <mergeCell ref="F2:U2"/>
    <mergeCell ref="B3:B5"/>
    <mergeCell ref="C3:C5"/>
    <mergeCell ref="D3:D5"/>
    <mergeCell ref="R3:R4"/>
    <mergeCell ref="S3:S5"/>
    <mergeCell ref="U3:U5"/>
    <mergeCell ref="E4:E5"/>
    <mergeCell ref="F4:Q4"/>
    <mergeCell ref="B6:B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Resumen costos Ptar Bogotá</vt:lpstr>
      <vt:lpstr>PROYEC COSTO M3 PERMODA BOGOTA</vt:lpstr>
      <vt:lpstr>PLAN MAESTRO BOGOTA RECIRCU</vt:lpstr>
      <vt:lpstr>PROYECCIÓN INSUMOS QUÍMICOS</vt:lpstr>
      <vt:lpstr>PROYECCIÓN RESIDUOS Y LODOS</vt:lpstr>
      <vt:lpstr>PROYECCIÓN CONSUMIBLES PTAR</vt:lpstr>
      <vt:lpstr>PROYECCIÓN CALIBR-MANTE PTAR</vt:lpstr>
      <vt:lpstr>PROYECCIÓN NOMINA PTAR</vt:lpstr>
      <vt:lpstr>PROYECCIÓN ELECTRICIDAD PTAR</vt:lpstr>
      <vt:lpstr>PROYECCIÓN DEPRECIACIÓN PTAR</vt:lpstr>
      <vt:lpstr>PROYECCIÓN PAGO USO POZO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Nicolas Rodriguez Lovera</dc:creator>
  <cp:lastModifiedBy>Luna Sofia Osorio Parra</cp:lastModifiedBy>
  <dcterms:created xsi:type="dcterms:W3CDTF">2026-01-08T16:17:48Z</dcterms:created>
  <dcterms:modified xsi:type="dcterms:W3CDTF">2026-03-24T21:01:05Z</dcterms:modified>
</cp:coreProperties>
</file>