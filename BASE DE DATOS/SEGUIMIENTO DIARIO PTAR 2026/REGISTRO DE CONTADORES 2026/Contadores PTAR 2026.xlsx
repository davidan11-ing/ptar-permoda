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2026\SEGUIMIENTO DIARIO PTAR 2026\REGISTRO DE CONTADORES 2026\"/>
    </mc:Choice>
  </mc:AlternateContent>
  <xr:revisionPtr revIDLastSave="0" documentId="13_ncr:1_{AD7A92A8-14AA-4603-AC59-34F9BFC7893B}" xr6:coauthVersionLast="47" xr6:coauthVersionMax="47" xr10:uidLastSave="{00000000-0000-0000-0000-000000000000}"/>
  <bookViews>
    <workbookView xWindow="-120" yWindow="-120" windowWidth="21840" windowHeight="13020" tabRatio="605" xr2:uid="{AEB1549C-BEF4-4D7A-8E3C-E420BB5A6EF0}"/>
  </bookViews>
  <sheets>
    <sheet name="Contadores Por Turno 2026" sheetId="4" r:id="rId1"/>
    <sheet name="Hoja2" sheetId="10" r:id="rId2"/>
    <sheet name="Hoja1" sheetId="9" r:id="rId3"/>
    <sheet name="COD" sheetId="6" state="hidden" r:id="rId4"/>
    <sheet name="PRUEBA MARZO" sheetId="8" state="hidden" r:id="rId5"/>
  </sheets>
  <definedNames>
    <definedName name="_xlnm.Print_Area" localSheetId="0">'Contadores Por Turno 2026'!$A$2:$AT$2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2" i="4" l="1"/>
  <c r="AC389" i="4" l="1"/>
  <c r="AB389" i="4"/>
  <c r="V389" i="4"/>
  <c r="W389" i="4"/>
  <c r="U389" i="4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C389" i="4"/>
  <c r="Y384" i="4"/>
  <c r="X384" i="4"/>
  <c r="X321" i="4"/>
  <c r="AC374" i="4" l="1"/>
  <c r="D2" i="10"/>
  <c r="B17" i="10"/>
  <c r="B18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2" i="10"/>
  <c r="A5" i="10"/>
  <c r="AD361" i="4" l="1"/>
  <c r="X356" i="4"/>
  <c r="Y356" i="4"/>
  <c r="AC347" i="4" l="1"/>
  <c r="AB347" i="4"/>
  <c r="Y338" i="4"/>
  <c r="X338" i="4"/>
  <c r="P341" i="4"/>
  <c r="Q341" i="4"/>
  <c r="U335" i="4" l="1"/>
  <c r="AC326" i="4" l="1"/>
  <c r="AB326" i="4"/>
  <c r="V326" i="4"/>
  <c r="W326" i="4"/>
  <c r="U326" i="4"/>
  <c r="AB317" i="4"/>
  <c r="O315" i="4"/>
  <c r="U261" i="4" l="1"/>
  <c r="U262" i="4"/>
  <c r="R259" i="4"/>
  <c r="AA233" i="4"/>
  <c r="Z233" i="4"/>
  <c r="Y248" i="4" l="1"/>
  <c r="X248" i="4"/>
  <c r="R248" i="4" l="1"/>
  <c r="S248" i="4"/>
  <c r="Y238" i="4"/>
  <c r="X238" i="4"/>
  <c r="R211" i="4"/>
  <c r="Y218" i="4"/>
  <c r="X218" i="4"/>
  <c r="P232" i="4"/>
  <c r="Q232" i="4"/>
  <c r="O226" i="4"/>
  <c r="N226" i="4"/>
  <c r="M209" i="4"/>
  <c r="U209" i="4"/>
  <c r="Y207" i="4"/>
  <c r="X207" i="4"/>
  <c r="C206" i="4"/>
  <c r="U190" i="4"/>
  <c r="E190" i="4"/>
  <c r="M190" i="4"/>
  <c r="N204" i="4"/>
  <c r="U158" i="4" l="1"/>
  <c r="U159" i="4" s="1"/>
  <c r="U160" i="4" s="1"/>
  <c r="U161" i="4" s="1"/>
  <c r="U162" i="4" s="1"/>
  <c r="AD189" i="4" l="1"/>
  <c r="D174" i="4"/>
  <c r="F16" i="9" l="1"/>
  <c r="E16" i="9"/>
  <c r="E13" i="9"/>
  <c r="F13" i="9"/>
  <c r="E14" i="9"/>
  <c r="F14" i="9"/>
  <c r="E15" i="9"/>
  <c r="F15" i="9"/>
  <c r="C9" i="9"/>
  <c r="E9" i="9" s="1"/>
  <c r="E11" i="9"/>
  <c r="F9" i="9"/>
  <c r="F10" i="9"/>
  <c r="F11" i="9"/>
  <c r="E12" i="9"/>
  <c r="F12" i="9"/>
  <c r="E6" i="9"/>
  <c r="F6" i="9"/>
  <c r="E7" i="9"/>
  <c r="F7" i="9"/>
  <c r="E8" i="9"/>
  <c r="F8" i="9"/>
  <c r="F3" i="9"/>
  <c r="F4" i="9"/>
  <c r="F5" i="9"/>
  <c r="E4" i="9"/>
  <c r="E5" i="9"/>
  <c r="E3" i="9"/>
  <c r="AC163" i="4"/>
  <c r="AB163" i="4"/>
  <c r="Y170" i="4"/>
  <c r="Y171" i="4" s="1"/>
  <c r="X170" i="4"/>
  <c r="X171" i="4" s="1"/>
  <c r="E10" i="9" l="1"/>
  <c r="P94" i="4"/>
  <c r="AC127" i="4" l="1"/>
  <c r="O123" i="4" l="1"/>
  <c r="N123" i="4"/>
  <c r="O121" i="4" l="1"/>
  <c r="AC104" i="4" l="1"/>
  <c r="U104" i="4"/>
  <c r="AC95" i="4" l="1"/>
  <c r="AC93" i="4"/>
  <c r="AC88" i="4"/>
  <c r="AC67" i="4" l="1"/>
  <c r="AC68" i="4" s="1"/>
  <c r="AB67" i="4"/>
  <c r="S70" i="4"/>
  <c r="AC61" i="4"/>
  <c r="AB61" i="4"/>
  <c r="C61" i="4"/>
  <c r="U61" i="4"/>
  <c r="R61" i="4"/>
  <c r="O61" i="4"/>
  <c r="N61" i="4"/>
  <c r="A63" i="4" l="1"/>
  <c r="A66" i="4" s="1"/>
  <c r="A69" i="4" s="1"/>
  <c r="A72" i="4" s="1"/>
  <c r="A75" i="4" s="1"/>
  <c r="U45" i="4" l="1"/>
  <c r="C53" i="4" l="1"/>
  <c r="Y43" i="4" l="1"/>
  <c r="X43" i="4"/>
  <c r="Y40" i="4"/>
  <c r="X40" i="4"/>
  <c r="AD26" i="4"/>
  <c r="O28" i="4" l="1"/>
  <c r="N28" i="4"/>
  <c r="O22" i="4"/>
  <c r="O23" i="4" s="1"/>
  <c r="H47" i="8" l="1"/>
  <c r="H46" i="8"/>
  <c r="G46" i="8"/>
  <c r="H45" i="8"/>
  <c r="G45" i="8"/>
  <c r="H44" i="8"/>
  <c r="G44" i="8"/>
  <c r="H43" i="8"/>
  <c r="G43" i="8"/>
  <c r="H42" i="8"/>
  <c r="G42" i="8"/>
  <c r="H41" i="8"/>
  <c r="G41" i="8"/>
  <c r="H40" i="8"/>
  <c r="G40" i="8"/>
  <c r="H39" i="8"/>
  <c r="G39" i="8"/>
  <c r="H38" i="8"/>
  <c r="G38" i="8"/>
  <c r="H37" i="8"/>
  <c r="G37" i="8"/>
  <c r="H36" i="8"/>
  <c r="G36" i="8"/>
  <c r="H35" i="8"/>
  <c r="G35" i="8"/>
  <c r="H34" i="8"/>
  <c r="G34" i="8"/>
  <c r="G33" i="8"/>
  <c r="G32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P11" i="8"/>
  <c r="O11" i="8"/>
  <c r="N11" i="8"/>
  <c r="M11" i="8"/>
  <c r="F11" i="8"/>
  <c r="E11" i="8"/>
  <c r="A11" i="8"/>
  <c r="P10" i="8"/>
  <c r="O10" i="8"/>
  <c r="N10" i="8"/>
  <c r="M10" i="8"/>
  <c r="F10" i="8"/>
  <c r="E10" i="8"/>
  <c r="A10" i="8"/>
  <c r="P9" i="8"/>
  <c r="O9" i="8"/>
  <c r="N9" i="8"/>
  <c r="M9" i="8"/>
  <c r="F9" i="8"/>
  <c r="E9" i="8"/>
  <c r="A9" i="8"/>
  <c r="P8" i="8"/>
  <c r="O8" i="8"/>
  <c r="N8" i="8"/>
  <c r="M8" i="8"/>
  <c r="F8" i="8"/>
  <c r="E8" i="8"/>
  <c r="A8" i="8"/>
  <c r="P7" i="8"/>
  <c r="O7" i="8"/>
  <c r="N7" i="8"/>
  <c r="M7" i="8"/>
  <c r="F7" i="8"/>
  <c r="E7" i="8"/>
  <c r="A7" i="8"/>
  <c r="P6" i="8"/>
  <c r="O6" i="8"/>
  <c r="N6" i="8"/>
  <c r="M6" i="8"/>
  <c r="F6" i="8"/>
  <c r="E6" i="8"/>
  <c r="A6" i="8"/>
  <c r="P5" i="8"/>
  <c r="O5" i="8"/>
  <c r="N5" i="8"/>
  <c r="M5" i="8"/>
  <c r="F5" i="8"/>
  <c r="E5" i="8"/>
  <c r="A5" i="8"/>
  <c r="P4" i="8"/>
  <c r="O4" i="8"/>
  <c r="N4" i="8"/>
  <c r="M4" i="8"/>
  <c r="F4" i="8"/>
  <c r="E4" i="8"/>
  <c r="A4" i="8"/>
  <c r="P3" i="8"/>
  <c r="O3" i="8"/>
  <c r="N3" i="8"/>
  <c r="M3" i="8"/>
  <c r="F3" i="8"/>
  <c r="E3" i="8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</calcChain>
</file>

<file path=xl/sharedStrings.xml><?xml version="1.0" encoding="utf-8"?>
<sst xmlns="http://schemas.openxmlformats.org/spreadsheetml/2006/main" count="434" uniqueCount="108">
  <si>
    <t>Entrada Agua Potable Rotativa 3"</t>
  </si>
  <si>
    <t>Abridora 1</t>
  </si>
  <si>
    <t>Abridora 2</t>
  </si>
  <si>
    <t>PTAR</t>
  </si>
  <si>
    <t>(m3)</t>
  </si>
  <si>
    <r>
      <t xml:space="preserve">Entrada Agua Potable Puerta 7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</si>
  <si>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Puerta 6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</si>
  <si>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Puerta 5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</si>
  <si>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Caldera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</si>
  <si>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Puerta 2 </t>
    </r>
    <r>
      <rPr>
        <b/>
        <sz val="10"/>
        <color rgb="FFFF0000"/>
        <rFont val="Calibri"/>
        <family val="2"/>
        <scheme val="minor"/>
      </rPr>
      <t>ACUEDUCTO</t>
    </r>
  </si>
  <si>
    <t>Entrada Agua Potable Cuarto Químicos</t>
  </si>
  <si>
    <r>
      <t xml:space="preserve">Entrada Agua Potable Puerta 4 </t>
    </r>
    <r>
      <rPr>
        <b/>
        <sz val="10"/>
        <color rgb="FFFF0000"/>
        <rFont val="Calibri"/>
        <family val="2"/>
        <scheme val="minor"/>
      </rPr>
      <t>ACUEDUCTO</t>
    </r>
  </si>
  <si>
    <r>
      <t xml:space="preserve">Entrada Agua Potable PTAR 2 -(1/2") (Alimenta Tanque de Recirculación) </t>
    </r>
    <r>
      <rPr>
        <b/>
        <sz val="10"/>
        <color rgb="FFFF0000"/>
        <rFont val="Calibri"/>
        <family val="2"/>
        <scheme val="minor"/>
      </rPr>
      <t>ACUEDUCTO</t>
    </r>
  </si>
  <si>
    <r>
      <t xml:space="preserve">Entrada Agua Potable Zona de Lodos 1/2" (Rama - Estaciones lava Ojos) </t>
    </r>
    <r>
      <rPr>
        <b/>
        <sz val="10"/>
        <color rgb="FFFF0000"/>
        <rFont val="Calibri"/>
        <family val="2"/>
        <scheme val="minor"/>
      </rPr>
      <t>ACUEDUCTO</t>
    </r>
  </si>
  <si>
    <r>
      <t xml:space="preserve">Entrada Agua Potable 1/2" - Lavandería </t>
    </r>
    <r>
      <rPr>
        <b/>
        <sz val="10"/>
        <color rgb="FFFF0000"/>
        <rFont val="Calibri"/>
        <family val="2"/>
        <scheme val="minor"/>
      </rPr>
      <t>ACUEDUCTO</t>
    </r>
  </si>
  <si>
    <t>Salida RO     #2</t>
  </si>
  <si>
    <t>Entrada RO    #2</t>
  </si>
  <si>
    <t xml:space="preserve">Salida RO     #1   </t>
  </si>
  <si>
    <t>Entrada RO #1</t>
  </si>
  <si>
    <t>Tanque de reuso (2")</t>
  </si>
  <si>
    <t>Rama</t>
  </si>
  <si>
    <t>Entrada Agua Potable Fría Tintorería (4")</t>
  </si>
  <si>
    <t>Contador Entrada Agua Potable LAB Lavandería</t>
  </si>
  <si>
    <t>Contador Entrada Agua Potable Fria Lavandería (4")</t>
  </si>
  <si>
    <t>HORA</t>
  </si>
  <si>
    <t>FECHA</t>
  </si>
  <si>
    <t>Contador Entrada Agua Potable Principal 6"</t>
  </si>
  <si>
    <t>='Contadores Por Turno 2024'!C</t>
  </si>
  <si>
    <t>='Contadores Por Turno 2024'!D</t>
  </si>
  <si>
    <t>='Contadores Por Turno 2024'!E</t>
  </si>
  <si>
    <t>='Contadores Por Turno 2024'!F</t>
  </si>
  <si>
    <t>='Contadores Por Turno 2024'!G</t>
  </si>
  <si>
    <t>='Contadores Por Turno 2024'!H</t>
  </si>
  <si>
    <t>='Contadores Por Turno 2024'!U</t>
  </si>
  <si>
    <t>='Contadores Por Turno 2024'!R</t>
  </si>
  <si>
    <t>='Contadores Por Turno 2024'!V</t>
  </si>
  <si>
    <t>='Contadores Por Turno 2024'!I</t>
  </si>
  <si>
    <t>='Contadores Por Turno 2024'!J</t>
  </si>
  <si>
    <t>='Contadores Por Turno 2024'!K</t>
  </si>
  <si>
    <t>='Contadores Por Turno 2024'!L</t>
  </si>
  <si>
    <t>='Contadores Por Turno 2024'!M</t>
  </si>
  <si>
    <t>='Contadores Por Turno 2024'!W</t>
  </si>
  <si>
    <t>='Contadores Por Turno 2024'!N</t>
  </si>
  <si>
    <t>='Contadores Por Turno 2024'!O</t>
  </si>
  <si>
    <t>='Contadores Por Turno 2024'!P</t>
  </si>
  <si>
    <t>='Contadores Por Turno 2024'!Q</t>
  </si>
  <si>
    <t>='Contadores Por Turno 2024'!X</t>
  </si>
  <si>
    <t>='Contadores Por Turno 2024'!Y</t>
  </si>
  <si>
    <t>='Contadores Por Turno 2024'!Z</t>
  </si>
  <si>
    <t>='Contadores Por Turno 2024'!AA</t>
  </si>
  <si>
    <t>='Contadores Por Turno 2024'!AB</t>
  </si>
  <si>
    <t>='Contadores Por Turno 2024'!AC</t>
  </si>
  <si>
    <t>='Contadores Por Turno 2024'!AD</t>
  </si>
  <si>
    <t>='Contadores Por Turno 2024'!S</t>
  </si>
  <si>
    <t>ENVIO A TH</t>
  </si>
  <si>
    <t>TURNO</t>
  </si>
  <si>
    <t>VOLUMEN CONSUMIO TINTORERIA REPORTA</t>
  </si>
  <si>
    <t>VOLUMEN CONSUMIO TINTORERIA CONTADORES METODO ANTIGUO</t>
  </si>
  <si>
    <t>VOLUMEN CONSUMIO LAVANDERIA REPORTA</t>
  </si>
  <si>
    <t>VOLUMEN CONSUMIO LAVANDERIA CONTADORES METODO ANTIGUO</t>
  </si>
  <si>
    <t>INDICADOR REPORTA TINTORERIA</t>
  </si>
  <si>
    <t>INDICADOR TINTORERIA PTAR ANTIGUO</t>
  </si>
  <si>
    <t>INDICADOR REPORTA LAVANDERIA</t>
  </si>
  <si>
    <t>INDICADOR LAVANDERIA PTAR ANTIGUO</t>
  </si>
  <si>
    <t>CONTADOR HORA A HORA</t>
  </si>
  <si>
    <t>CONSOLIDADO TOTAL DE CONSUMO DE AGUA EN EL TURNO</t>
  </si>
  <si>
    <t>CONTADORES TURNO A TURNO, CARROTANQUES, RO</t>
  </si>
  <si>
    <t>KG EN EL TURNO</t>
  </si>
  <si>
    <t>UNIDADES EN EL TURNO</t>
  </si>
  <si>
    <t>KG REPORTADOS</t>
  </si>
  <si>
    <t>UNIDADES REPORTADAS</t>
  </si>
  <si>
    <t>CONSUMO TOTAL PRODUCCIÓN REPORTA</t>
  </si>
  <si>
    <t>CONSUMO TOTAL PRODUCCIÓN ANTIGUO</t>
  </si>
  <si>
    <t>T2</t>
  </si>
  <si>
    <t>DARIO</t>
  </si>
  <si>
    <t>EDUARDO</t>
  </si>
  <si>
    <t>LUNA</t>
  </si>
  <si>
    <t>DANIEL</t>
  </si>
  <si>
    <t>ENTREGA MARTIN A LAS 10 PM</t>
  </si>
  <si>
    <t>ENTREGA MARTIN A LAS 2 PM</t>
  </si>
  <si>
    <t>MBR 1</t>
  </si>
  <si>
    <t>MBR 2</t>
  </si>
  <si>
    <t>Entrada Agua Medidor Rojo Tintorería (4")</t>
  </si>
  <si>
    <t>Entrada Agua Medidor Rojo Lavandería (4")</t>
  </si>
  <si>
    <t>AGUA CALIENTE TINTORERIA (DIGITAL)</t>
  </si>
  <si>
    <t>Medidor VERDE DIGITAL Retorno</t>
  </si>
  <si>
    <t>MEDIDOR DE INGRESO UF PTAP</t>
  </si>
  <si>
    <t>MEDIDOR SALIDA UF PTAP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</si>
  <si>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</si>
  <si>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MEDIDOR PRUEBA AGUA CALIENTE</t>
  </si>
  <si>
    <t>VOLUMEN MEDIDOR TINTORERIA</t>
  </si>
  <si>
    <t>VOLUMEN MEDIDOR ULTRA</t>
  </si>
  <si>
    <t>MEDIDOR AGUA CALIENTE TINTORERIA (DIGITAL)</t>
  </si>
  <si>
    <t>MEDIDOR ULTRA - PRUEBA AGUA CALIENTE</t>
  </si>
  <si>
    <t>VOLUMEN CONSOLIDADO</t>
  </si>
  <si>
    <t>Apagado</t>
  </si>
  <si>
    <t>cerrado</t>
  </si>
  <si>
    <t>-</t>
  </si>
  <si>
    <t xml:space="preserve"> </t>
  </si>
  <si>
    <t>Desconectado</t>
  </si>
  <si>
    <t>GEM PRUEBA</t>
  </si>
  <si>
    <t xml:space="preserve">Desconectado </t>
  </si>
  <si>
    <t xml:space="preserve">DESC </t>
  </si>
  <si>
    <t>Traslado</t>
  </si>
  <si>
    <t>DESC</t>
  </si>
  <si>
    <t>DES</t>
  </si>
  <si>
    <t>Des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</si>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</sst>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name val="Calibri"/>
      <family val="2"/>
      <scheme val="minor"/>
    </font>
    <font>
      <sz val="11"/>
      <color rgb="FF000000"/>
      <name val="Calibri"/>
      <family val="2"/>
    </font>
    <font>
      <b/>
      <sz val="2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" fontId="0" fillId="4" borderId="7" xfId="0" applyNumberFormat="1" applyFill="1" applyBorder="1"/>
    <xf numFmtId="4" fontId="0" fillId="4" borderId="7" xfId="0" quotePrefix="1" applyNumberFormat="1" applyFill="1" applyBorder="1"/>
    <xf numFmtId="20" fontId="1" fillId="5" borderId="3" xfId="0" applyNumberFormat="1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20" fontId="1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20" fontId="1" fillId="5" borderId="6" xfId="0" applyNumberFormat="1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1" fontId="0" fillId="0" borderId="1" xfId="0" applyNumberFormat="1" applyBorder="1"/>
    <xf numFmtId="14" fontId="0" fillId="0" borderId="2" xfId="0" applyNumberFormat="1" applyBorder="1"/>
    <xf numFmtId="0" fontId="0" fillId="0" borderId="3" xfId="0" applyBorder="1"/>
    <xf numFmtId="1" fontId="0" fillId="0" borderId="3" xfId="0" applyNumberFormat="1" applyBorder="1"/>
    <xf numFmtId="0" fontId="0" fillId="0" borderId="13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6" xfId="0" applyBorder="1"/>
    <xf numFmtId="0" fontId="0" fillId="0" borderId="14" xfId="0" applyBorder="1"/>
    <xf numFmtId="1" fontId="0" fillId="0" borderId="6" xfId="0" applyNumberFormat="1" applyBorder="1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20" fontId="1" fillId="5" borderId="15" xfId="0" applyNumberFormat="1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20" fontId="0" fillId="0" borderId="1" xfId="0" applyNumberFormat="1" applyBorder="1"/>
    <xf numFmtId="164" fontId="3" fillId="5" borderId="3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2" xfId="0" applyBorder="1"/>
    <xf numFmtId="0" fontId="4" fillId="13" borderId="3" xfId="0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1" fontId="3" fillId="5" borderId="3" xfId="0" applyNumberFormat="1" applyFont="1" applyFill="1" applyBorder="1" applyAlignment="1">
      <alignment horizontal="center" vertical="center" wrapText="1"/>
    </xf>
    <xf numFmtId="1" fontId="4" fillId="5" borderId="6" xfId="0" applyNumberFormat="1" applyFont="1" applyFill="1" applyBorder="1" applyAlignment="1">
      <alignment vertical="center"/>
    </xf>
    <xf numFmtId="14" fontId="1" fillId="5" borderId="3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1" fontId="4" fillId="5" borderId="1" xfId="0" applyNumberFormat="1" applyFont="1" applyFill="1" applyBorder="1" applyAlignment="1">
      <alignment horizontal="center" vertical="center"/>
    </xf>
    <xf numFmtId="0" fontId="8" fillId="5" borderId="6" xfId="2" applyFill="1" applyBorder="1" applyAlignment="1">
      <alignment vertical="center"/>
    </xf>
    <xf numFmtId="0" fontId="9" fillId="5" borderId="6" xfId="2" applyFont="1" applyFill="1" applyBorder="1" applyAlignment="1">
      <alignment vertical="center"/>
    </xf>
    <xf numFmtId="164" fontId="3" fillId="5" borderId="6" xfId="0" applyNumberFormat="1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14" fontId="3" fillId="5" borderId="2" xfId="0" applyNumberFormat="1" applyFont="1" applyFill="1" applyBorder="1" applyAlignment="1">
      <alignment horizontal="center" vertical="center" textRotation="90"/>
    </xf>
    <xf numFmtId="0" fontId="3" fillId="5" borderId="4" xfId="0" applyFont="1" applyFill="1" applyBorder="1" applyAlignment="1">
      <alignment horizontal="center" vertical="center" textRotation="90"/>
    </xf>
    <xf numFmtId="0" fontId="3" fillId="5" borderId="5" xfId="0" applyFont="1" applyFill="1" applyBorder="1" applyAlignment="1">
      <alignment horizontal="center" vertical="center" textRotation="90"/>
    </xf>
    <xf numFmtId="14" fontId="3" fillId="5" borderId="19" xfId="0" applyNumberFormat="1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3">
    <cellStyle name="Hipervínculo" xfId="2" builtinId="8"/>
    <cellStyle name="Millares 2" xfId="1" xr:uid="{479E707F-08A1-4177-84CF-940B919CCF8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104775</xdr:colOff>
          <xdr:row>4</xdr:row>
          <xdr:rowOff>104775</xdr:rowOff>
        </xdr:from>
        <xdr:to>
          <xdr:col>26</xdr:col>
          <xdr:colOff>1371600</xdr:colOff>
          <xdr:row>4</xdr:row>
          <xdr:rowOff>371475</xdr:rowOff>
        </xdr:to>
        <xdr:sp macro="" textlink="">
          <xdr:nvSpPr>
            <xdr:cNvPr id="3080" name="Button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F150AC-0A4B-4DE7-AA3A-337425F74479}">
  <we:reference id="29673e3c-d826-4f00-92ee-162334a52b1a" version="1.0.0.8" store="EXCatalog" storeType="EXCatalog"/>
  <we:alternateReferences>
    <we:reference id="WA200009404" version="1.0.0.8" store="es-E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5C287-13CC-4727-BC87-EC14EA7464BE}">
  <sheetPr codeName="Hoja2">
    <tabColor theme="4"/>
  </sheetPr>
  <dimension ref="A1:AM821"/>
  <sheetViews>
    <sheetView showGridLines="0" tabSelected="1" zoomScale="50" zoomScaleNormal="50" zoomScalePageLayoutView="57" workbookViewId="0">
      <pane xSplit="1" ySplit="2" topLeftCell="B479" activePane="bottomRight" state="frozen"/>
      <selection pane="topRight" activeCell="B1" sqref="B1"/>
      <selection pane="bottomLeft" activeCell="A3" sqref="A3"/>
      <selection pane="bottomRight" activeCell="A483" sqref="A483:A485"/>
    </sheetView>
  </sheetViews>
  <sheetFormatPr baseColWidth="10" defaultRowHeight="48.75" customHeight="1" x14ac:dyDescent="0.25"/>
  <cols>
    <col min="1" max="1" width="6.7109375" customWidth="1"/>
    <col min="2" max="2" width="14.28515625" customWidth="1"/>
    <col min="3" max="5" width="16.7109375" customWidth="1"/>
    <col min="6" max="9" width="16.7109375" hidden="1" customWidth="1"/>
    <col min="10" max="11" width="16.7109375" customWidth="1"/>
    <col min="12" max="12" width="15.7109375" customWidth="1"/>
    <col min="13" max="13" width="16.7109375" customWidth="1"/>
    <col min="14" max="14" width="23.7109375" bestFit="1" customWidth="1"/>
    <col min="15" max="15" width="19.7109375" customWidth="1"/>
    <col min="16" max="16" width="15.7109375" hidden="1" customWidth="1"/>
    <col min="17" max="17" width="16.140625" hidden="1" customWidth="1"/>
    <col min="18" max="18" width="21.85546875" style="2" bestFit="1" customWidth="1"/>
    <col min="19" max="19" width="26.42578125" customWidth="1"/>
    <col min="20" max="20" width="24" customWidth="1"/>
    <col min="21" max="23" width="20.7109375" customWidth="1"/>
    <col min="24" max="24" width="18.85546875" customWidth="1"/>
    <col min="25" max="25" width="19.7109375" customWidth="1"/>
    <col min="26" max="26" width="16.7109375" customWidth="1"/>
    <col min="27" max="27" width="20.85546875" customWidth="1"/>
    <col min="28" max="28" width="16.7109375" customWidth="1"/>
    <col min="29" max="30" width="18.140625" customWidth="1"/>
    <col min="31" max="31" width="16" customWidth="1"/>
    <col min="32" max="32" width="16.28515625" customWidth="1"/>
    <col min="33" max="33" width="15.28515625" customWidth="1"/>
    <col min="34" max="34" width="16.140625" hidden="1" customWidth="1"/>
    <col min="35" max="35" width="15" customWidth="1"/>
    <col min="36" max="36" width="15.28515625" customWidth="1"/>
    <col min="37" max="37" width="19.7109375" customWidth="1"/>
    <col min="43" max="43" width="15.140625" bestFit="1" customWidth="1"/>
  </cols>
  <sheetData>
    <row r="1" spans="1:37" s="42" customFormat="1" ht="161.65" customHeight="1" x14ac:dyDescent="0.25">
      <c r="A1" s="83" t="s">
        <v>25</v>
      </c>
      <c r="B1" s="83" t="s">
        <v>24</v>
      </c>
      <c r="C1" s="46" t="s">
        <v>26</v>
      </c>
      <c r="D1" s="47" t="s">
        <v>23</v>
      </c>
      <c r="E1" s="47" t="s">
        <v>22</v>
      </c>
      <c r="F1" s="46" t="s">
        <v>82</v>
      </c>
      <c r="G1" s="46" t="s">
        <v>21</v>
      </c>
      <c r="H1" s="46" t="s">
        <v>83</v>
      </c>
      <c r="I1" s="46" t="s">
        <v>20</v>
      </c>
      <c r="J1" s="47" t="s">
        <v>1</v>
      </c>
      <c r="K1" s="47" t="s">
        <v>2</v>
      </c>
      <c r="L1" s="47" t="s">
        <v>19</v>
      </c>
      <c r="M1" s="47" t="s">
        <v>3</v>
      </c>
      <c r="N1" s="44" t="s">
        <v>18</v>
      </c>
      <c r="O1" s="44" t="s">
        <v>17</v>
      </c>
      <c r="P1" s="44" t="s">
        <v>16</v>
      </c>
      <c r="Q1" s="44" t="s">
        <v>15</v>
      </c>
      <c r="R1" s="47" t="s">
        <v>0</v>
      </c>
      <c r="S1" s="43" t="s">
        <v>85</v>
      </c>
      <c r="T1" s="46" t="s">
        <v>100</v>
      </c>
      <c r="U1" s="45" t="s">
        <v>54</v>
      </c>
      <c r="V1" s="45" t="s">
        <v>80</v>
      </c>
      <c r="W1" s="45" t="s">
        <v>81</v>
      </c>
      <c r="X1" s="43" t="s">
        <v>86</v>
      </c>
      <c r="Y1" s="43" t="s">
        <v>87</v>
      </c>
      <c r="Z1" s="3" t="s">
        <v>12</v>
      </c>
      <c r="AA1" s="3" t="s">
        <v>11</v>
      </c>
      <c r="AB1" s="43" t="s">
        <v>10</v>
      </c>
      <c r="AC1" s="43" t="s">
        <v>84</v>
      </c>
      <c r="AD1" s="58" t="s">
        <v>89</v>
      </c>
      <c r="AE1" s="3" t="s">
        <v>9</v>
      </c>
      <c r="AF1" s="3" t="s">
        <v>8</v>
      </c>
      <c r="AG1" s="3" t="s">
        <v>7</v>
      </c>
      <c r="AH1" s="3" t="s">
        <v>6</v>
      </c>
      <c r="AI1" s="3" t="s">
        <v>5</v>
      </c>
      <c r="AJ1" s="3" t="s">
        <v>14</v>
      </c>
      <c r="AK1" s="3" t="s">
        <v>13</v>
      </c>
    </row>
    <row r="2" spans="1:37" ht="29.25" customHeight="1" thickBot="1" x14ac:dyDescent="0.3">
      <c r="A2" s="84"/>
      <c r="B2" s="84"/>
      <c r="C2" s="16" t="s">
        <v>4</v>
      </c>
      <c r="D2" s="16" t="s">
        <v>4</v>
      </c>
      <c r="E2" s="16" t="s">
        <v>4</v>
      </c>
      <c r="F2" s="16" t="s">
        <v>4</v>
      </c>
      <c r="G2" s="17" t="s">
        <v>4</v>
      </c>
      <c r="H2" s="16" t="s">
        <v>4</v>
      </c>
      <c r="I2" s="16" t="s">
        <v>4</v>
      </c>
      <c r="J2" s="16" t="s">
        <v>4</v>
      </c>
      <c r="K2" s="16" t="s">
        <v>4</v>
      </c>
      <c r="L2" s="16" t="s">
        <v>4</v>
      </c>
      <c r="M2" s="16" t="s">
        <v>4</v>
      </c>
      <c r="N2" s="16" t="s">
        <v>4</v>
      </c>
      <c r="O2" s="16" t="s">
        <v>4</v>
      </c>
      <c r="P2" s="16" t="s">
        <v>4</v>
      </c>
      <c r="Q2" s="16" t="s">
        <v>4</v>
      </c>
      <c r="R2" s="16" t="s">
        <v>4</v>
      </c>
      <c r="S2" s="16" t="s">
        <v>4</v>
      </c>
      <c r="T2" s="16" t="s">
        <v>4</v>
      </c>
      <c r="U2" s="16" t="s">
        <v>4</v>
      </c>
      <c r="V2" s="16" t="s">
        <v>4</v>
      </c>
      <c r="W2" s="16" t="s">
        <v>4</v>
      </c>
      <c r="X2" s="16" t="s">
        <v>4</v>
      </c>
      <c r="Y2" s="16" t="s">
        <v>4</v>
      </c>
      <c r="Z2" s="16" t="s">
        <v>4</v>
      </c>
      <c r="AA2" s="16" t="s">
        <v>4</v>
      </c>
      <c r="AB2" s="17" t="s">
        <v>4</v>
      </c>
      <c r="AC2" s="17"/>
      <c r="AD2" s="16" t="s">
        <v>4</v>
      </c>
      <c r="AE2" s="16" t="s">
        <v>4</v>
      </c>
      <c r="AF2" s="16" t="s">
        <v>4</v>
      </c>
      <c r="AG2" s="16" t="s">
        <v>4</v>
      </c>
      <c r="AH2" s="16" t="s">
        <v>4</v>
      </c>
      <c r="AI2" s="16" t="s">
        <v>4</v>
      </c>
      <c r="AJ2" s="16" t="s">
        <v>4</v>
      </c>
      <c r="AK2" s="16" t="s">
        <v>4</v>
      </c>
    </row>
    <row r="3" spans="1:37" ht="48.75" customHeight="1" thickBot="1" x14ac:dyDescent="0.3">
      <c r="A3" s="79">
        <v>46023</v>
      </c>
      <c r="B3" s="71">
        <v>46023</v>
      </c>
      <c r="C3" s="7">
        <v>3117</v>
      </c>
      <c r="D3" s="7">
        <v>302160</v>
      </c>
      <c r="E3" s="7">
        <v>10345</v>
      </c>
      <c r="F3" s="7">
        <v>66334</v>
      </c>
      <c r="G3" s="7">
        <v>8834</v>
      </c>
      <c r="H3" s="7">
        <v>9530</v>
      </c>
      <c r="I3" s="7">
        <v>10</v>
      </c>
      <c r="J3" s="7">
        <v>3555</v>
      </c>
      <c r="K3" s="7">
        <v>4942</v>
      </c>
      <c r="L3" s="7">
        <v>22011</v>
      </c>
      <c r="M3" s="7">
        <v>13992</v>
      </c>
      <c r="N3" s="7">
        <v>5689428</v>
      </c>
      <c r="O3" s="7">
        <v>247266</v>
      </c>
      <c r="P3" s="7">
        <v>30974</v>
      </c>
      <c r="Q3" s="7">
        <v>7616</v>
      </c>
      <c r="R3" s="8">
        <v>46437</v>
      </c>
      <c r="S3" s="7">
        <v>22858609</v>
      </c>
      <c r="T3" s="7"/>
      <c r="U3" s="7">
        <v>82398</v>
      </c>
      <c r="V3" s="7">
        <v>229899</v>
      </c>
      <c r="W3" s="7">
        <v>257977</v>
      </c>
      <c r="X3" s="18">
        <v>50964</v>
      </c>
      <c r="Y3" s="18">
        <v>36006</v>
      </c>
      <c r="Z3" s="18"/>
      <c r="AA3" s="18"/>
      <c r="AB3" s="18">
        <v>78354</v>
      </c>
      <c r="AC3" s="18">
        <v>248400</v>
      </c>
      <c r="AD3" s="18">
        <v>94803</v>
      </c>
      <c r="AE3" s="18"/>
      <c r="AF3" s="18"/>
      <c r="AG3" s="18"/>
      <c r="AH3" s="18"/>
      <c r="AI3" s="19"/>
      <c r="AJ3" s="18"/>
      <c r="AK3" s="18"/>
    </row>
    <row r="4" spans="1:37" ht="48.75" customHeight="1" thickBot="1" x14ac:dyDescent="0.3">
      <c r="A4" s="80"/>
      <c r="B4" s="10">
        <v>0.24999999963415601</v>
      </c>
      <c r="C4" s="11">
        <v>3117</v>
      </c>
      <c r="D4" s="11">
        <v>302160</v>
      </c>
      <c r="E4" s="11">
        <v>10345</v>
      </c>
      <c r="F4" s="11">
        <v>66334</v>
      </c>
      <c r="G4" s="11">
        <v>8834</v>
      </c>
      <c r="H4" s="11">
        <v>9530</v>
      </c>
      <c r="I4" s="7">
        <v>10</v>
      </c>
      <c r="J4" s="11">
        <v>3555</v>
      </c>
      <c r="K4" s="11">
        <v>4942</v>
      </c>
      <c r="L4" s="11">
        <v>22011</v>
      </c>
      <c r="M4" s="11">
        <v>13992</v>
      </c>
      <c r="N4" s="11">
        <v>5689428</v>
      </c>
      <c r="O4" s="11">
        <v>247266</v>
      </c>
      <c r="P4" s="11">
        <v>30974</v>
      </c>
      <c r="Q4" s="11">
        <v>7616</v>
      </c>
      <c r="R4" s="12">
        <v>46437</v>
      </c>
      <c r="S4" s="11">
        <v>22858609</v>
      </c>
      <c r="T4" s="11"/>
      <c r="U4" s="11">
        <v>82398</v>
      </c>
      <c r="V4" s="11">
        <v>229899</v>
      </c>
      <c r="W4" s="11">
        <v>257977</v>
      </c>
      <c r="X4" s="9">
        <v>50964</v>
      </c>
      <c r="Y4" s="9">
        <v>36006</v>
      </c>
      <c r="Z4" s="9"/>
      <c r="AA4" s="9"/>
      <c r="AB4" s="9">
        <v>78354</v>
      </c>
      <c r="AC4" s="9">
        <v>248400</v>
      </c>
      <c r="AD4" s="9">
        <v>94803</v>
      </c>
      <c r="AE4" s="9"/>
      <c r="AF4" s="9"/>
      <c r="AG4" s="9"/>
      <c r="AH4" s="9"/>
      <c r="AI4" s="20"/>
      <c r="AJ4" s="9"/>
      <c r="AK4" s="9"/>
    </row>
    <row r="5" spans="1:37" ht="48.75" customHeight="1" thickBot="1" x14ac:dyDescent="0.3">
      <c r="A5" s="81"/>
      <c r="B5" s="13">
        <v>0.58333333296718604</v>
      </c>
      <c r="C5" s="11">
        <v>3117</v>
      </c>
      <c r="D5" s="14">
        <v>302160</v>
      </c>
      <c r="E5" s="14">
        <v>10345</v>
      </c>
      <c r="F5" s="14">
        <v>66334</v>
      </c>
      <c r="G5" s="14">
        <v>8834</v>
      </c>
      <c r="H5" s="14">
        <v>9530</v>
      </c>
      <c r="I5" s="7">
        <v>10</v>
      </c>
      <c r="J5" s="14">
        <v>3555</v>
      </c>
      <c r="K5" s="14">
        <v>4942</v>
      </c>
      <c r="L5" s="14">
        <v>22011</v>
      </c>
      <c r="M5" s="14">
        <v>13992</v>
      </c>
      <c r="N5" s="14">
        <v>5689428</v>
      </c>
      <c r="O5" s="14">
        <v>247266</v>
      </c>
      <c r="P5" s="14">
        <v>30974</v>
      </c>
      <c r="Q5" s="14">
        <v>7616</v>
      </c>
      <c r="R5" s="15">
        <v>46437</v>
      </c>
      <c r="S5" s="14">
        <v>22858609</v>
      </c>
      <c r="T5" s="14"/>
      <c r="U5" s="14">
        <v>82398</v>
      </c>
      <c r="V5" s="14">
        <v>229899</v>
      </c>
      <c r="W5" s="14">
        <v>257977</v>
      </c>
      <c r="X5" s="21">
        <v>50964</v>
      </c>
      <c r="Y5" s="21">
        <v>36006</v>
      </c>
      <c r="Z5" s="21"/>
      <c r="AA5" s="21"/>
      <c r="AB5" s="21">
        <v>78354</v>
      </c>
      <c r="AC5" s="21">
        <v>248400</v>
      </c>
      <c r="AD5" s="21">
        <v>94803</v>
      </c>
      <c r="AE5" s="21"/>
      <c r="AF5" s="21"/>
      <c r="AG5" s="21"/>
      <c r="AH5" s="21"/>
      <c r="AI5" s="22"/>
      <c r="AJ5" s="21"/>
      <c r="AK5" s="21"/>
    </row>
    <row r="6" spans="1:37" ht="48.75" customHeight="1" thickBot="1" x14ac:dyDescent="0.3">
      <c r="A6" s="79">
        <v>46024</v>
      </c>
      <c r="B6" s="6">
        <v>0.91666666630010196</v>
      </c>
      <c r="C6" s="11">
        <v>3117</v>
      </c>
      <c r="D6" s="7">
        <v>302160</v>
      </c>
      <c r="E6" s="7">
        <v>10345</v>
      </c>
      <c r="F6" s="7">
        <v>66334</v>
      </c>
      <c r="G6" s="7">
        <v>8834</v>
      </c>
      <c r="H6" s="7">
        <v>9530</v>
      </c>
      <c r="I6" s="7">
        <v>10</v>
      </c>
      <c r="J6" s="7">
        <v>3555</v>
      </c>
      <c r="K6" s="7">
        <v>4942</v>
      </c>
      <c r="L6" s="7">
        <v>22011</v>
      </c>
      <c r="M6" s="7">
        <v>13992</v>
      </c>
      <c r="N6" s="7">
        <v>5689428</v>
      </c>
      <c r="O6" s="7">
        <v>247266</v>
      </c>
      <c r="P6" s="7">
        <v>30974</v>
      </c>
      <c r="Q6" s="7">
        <v>7616</v>
      </c>
      <c r="R6" s="8">
        <v>46437</v>
      </c>
      <c r="S6" s="7">
        <v>22858609</v>
      </c>
      <c r="T6" s="7"/>
      <c r="U6" s="7">
        <v>82398</v>
      </c>
      <c r="V6" s="7">
        <v>229899</v>
      </c>
      <c r="W6" s="7">
        <v>257977</v>
      </c>
      <c r="X6" s="18">
        <v>50964</v>
      </c>
      <c r="Y6" s="18">
        <v>36006</v>
      </c>
      <c r="Z6" s="18"/>
      <c r="AA6" s="18"/>
      <c r="AB6" s="18">
        <v>78354</v>
      </c>
      <c r="AC6" s="18">
        <v>248400</v>
      </c>
      <c r="AD6" s="18">
        <v>94803</v>
      </c>
      <c r="AE6" s="18"/>
      <c r="AF6" s="18"/>
      <c r="AG6" s="18"/>
      <c r="AH6" s="18"/>
      <c r="AI6" s="19"/>
      <c r="AJ6" s="18"/>
      <c r="AK6" s="18"/>
    </row>
    <row r="7" spans="1:37" ht="48.75" customHeight="1" thickBot="1" x14ac:dyDescent="0.3">
      <c r="A7" s="80"/>
      <c r="B7" s="10">
        <v>0.24999999963313299</v>
      </c>
      <c r="C7" s="11">
        <v>3117</v>
      </c>
      <c r="D7" s="11">
        <v>302160</v>
      </c>
      <c r="E7" s="11">
        <v>10345</v>
      </c>
      <c r="F7" s="11">
        <v>66334</v>
      </c>
      <c r="G7" s="11">
        <v>8834</v>
      </c>
      <c r="H7" s="11">
        <v>9530</v>
      </c>
      <c r="I7" s="7">
        <v>10</v>
      </c>
      <c r="J7" s="11">
        <v>3555</v>
      </c>
      <c r="K7" s="11">
        <v>4942</v>
      </c>
      <c r="L7" s="11">
        <v>22011</v>
      </c>
      <c r="M7" s="11">
        <v>13992</v>
      </c>
      <c r="N7" s="11">
        <v>5689428</v>
      </c>
      <c r="O7" s="11">
        <v>247266</v>
      </c>
      <c r="P7" s="11">
        <v>30974</v>
      </c>
      <c r="Q7" s="11">
        <v>7616</v>
      </c>
      <c r="R7" s="12">
        <v>46437</v>
      </c>
      <c r="S7" s="11">
        <v>22858609</v>
      </c>
      <c r="T7" s="11"/>
      <c r="U7" s="11">
        <v>82398</v>
      </c>
      <c r="V7" s="11">
        <v>229899</v>
      </c>
      <c r="W7" s="11">
        <v>257977</v>
      </c>
      <c r="X7" s="9">
        <v>50964</v>
      </c>
      <c r="Y7" s="9">
        <v>36006</v>
      </c>
      <c r="Z7" s="9"/>
      <c r="AA7" s="9"/>
      <c r="AB7" s="9">
        <v>78354</v>
      </c>
      <c r="AC7" s="9">
        <v>248400</v>
      </c>
      <c r="AD7" s="9">
        <v>94803</v>
      </c>
      <c r="AE7" s="9"/>
      <c r="AF7" s="9"/>
      <c r="AG7" s="9"/>
      <c r="AH7" s="9"/>
      <c r="AI7" s="20"/>
      <c r="AJ7" s="9"/>
      <c r="AK7" s="9"/>
    </row>
    <row r="8" spans="1:37" ht="48.75" customHeight="1" thickBot="1" x14ac:dyDescent="0.3">
      <c r="A8" s="81"/>
      <c r="B8" s="13">
        <v>0.58333333296616297</v>
      </c>
      <c r="C8" s="14">
        <v>3156</v>
      </c>
      <c r="D8" s="14">
        <v>302496</v>
      </c>
      <c r="E8" s="14">
        <v>10350</v>
      </c>
      <c r="F8" s="14">
        <v>66334</v>
      </c>
      <c r="G8" s="14">
        <v>8834</v>
      </c>
      <c r="H8" s="14">
        <v>9530</v>
      </c>
      <c r="I8" s="7">
        <v>10</v>
      </c>
      <c r="J8" s="14">
        <v>3557</v>
      </c>
      <c r="K8" s="14">
        <v>4947</v>
      </c>
      <c r="L8" s="14">
        <v>22017</v>
      </c>
      <c r="M8" s="14">
        <v>14015</v>
      </c>
      <c r="N8" s="14">
        <v>5946877</v>
      </c>
      <c r="O8" s="14">
        <v>247481</v>
      </c>
      <c r="P8" s="14">
        <v>30974</v>
      </c>
      <c r="Q8" s="14">
        <v>7616</v>
      </c>
      <c r="R8" s="15">
        <v>46467</v>
      </c>
      <c r="S8" s="14">
        <v>22892334</v>
      </c>
      <c r="T8" s="14"/>
      <c r="U8" s="14">
        <v>82872</v>
      </c>
      <c r="V8" s="14">
        <v>229899</v>
      </c>
      <c r="W8" s="14">
        <v>257977</v>
      </c>
      <c r="X8" s="21">
        <v>51145</v>
      </c>
      <c r="Y8" s="21">
        <v>36138</v>
      </c>
      <c r="Z8" s="21"/>
      <c r="AA8" s="21"/>
      <c r="AB8" s="21">
        <v>78546</v>
      </c>
      <c r="AC8" s="21">
        <v>248400</v>
      </c>
      <c r="AD8" s="21">
        <v>95065</v>
      </c>
      <c r="AE8" s="21"/>
      <c r="AF8" s="21"/>
      <c r="AG8" s="21"/>
      <c r="AH8" s="21"/>
      <c r="AI8" s="22"/>
      <c r="AJ8" s="21"/>
      <c r="AK8" s="21"/>
    </row>
    <row r="9" spans="1:37" ht="48.75" customHeight="1" thickBot="1" x14ac:dyDescent="0.3">
      <c r="A9" s="79">
        <v>46025</v>
      </c>
      <c r="B9" s="6">
        <v>0.916666666299079</v>
      </c>
      <c r="C9" s="7">
        <v>3172</v>
      </c>
      <c r="D9" s="7">
        <v>302544</v>
      </c>
      <c r="E9" s="7">
        <v>10350</v>
      </c>
      <c r="F9" s="7">
        <v>66334</v>
      </c>
      <c r="G9" s="7">
        <v>8834</v>
      </c>
      <c r="H9" s="7">
        <v>9530</v>
      </c>
      <c r="I9" s="7">
        <v>10</v>
      </c>
      <c r="J9" s="7">
        <v>3562</v>
      </c>
      <c r="K9" s="7">
        <v>4947</v>
      </c>
      <c r="L9" s="7">
        <v>22023</v>
      </c>
      <c r="M9" s="7">
        <v>14027</v>
      </c>
      <c r="N9" s="7">
        <v>5946877</v>
      </c>
      <c r="O9" s="7">
        <v>247481</v>
      </c>
      <c r="P9" s="7">
        <v>30974</v>
      </c>
      <c r="Q9" s="7">
        <v>7671</v>
      </c>
      <c r="R9" s="8">
        <v>46491</v>
      </c>
      <c r="S9" s="7">
        <v>22927189</v>
      </c>
      <c r="T9" s="7"/>
      <c r="U9" s="7">
        <v>83055</v>
      </c>
      <c r="V9" s="7">
        <v>230054</v>
      </c>
      <c r="W9" s="7">
        <v>258131</v>
      </c>
      <c r="X9" s="18">
        <v>51145</v>
      </c>
      <c r="Y9" s="18">
        <v>36138</v>
      </c>
      <c r="Z9" s="18">
        <v>5607</v>
      </c>
      <c r="AA9" s="18">
        <v>41349</v>
      </c>
      <c r="AB9" s="18">
        <v>78524</v>
      </c>
      <c r="AC9" s="18">
        <v>248400</v>
      </c>
      <c r="AD9" s="18">
        <v>95473</v>
      </c>
      <c r="AE9" s="18">
        <v>6748</v>
      </c>
      <c r="AF9" s="18">
        <v>32739</v>
      </c>
      <c r="AG9" s="18">
        <v>150</v>
      </c>
      <c r="AH9" s="18"/>
      <c r="AI9" s="19">
        <v>1</v>
      </c>
      <c r="AJ9" s="18">
        <v>5384</v>
      </c>
      <c r="AK9" s="18">
        <v>2676</v>
      </c>
    </row>
    <row r="10" spans="1:37" ht="48.75" customHeight="1" thickBot="1" x14ac:dyDescent="0.3">
      <c r="A10" s="80"/>
      <c r="B10" s="10">
        <v>0.249999999632109</v>
      </c>
      <c r="C10" s="11">
        <v>3211</v>
      </c>
      <c r="D10" s="11">
        <v>302549</v>
      </c>
      <c r="E10" s="11">
        <v>10350</v>
      </c>
      <c r="F10" s="11">
        <v>66334</v>
      </c>
      <c r="G10" s="11">
        <v>8834</v>
      </c>
      <c r="H10" s="11">
        <v>9530</v>
      </c>
      <c r="I10" s="7">
        <v>10</v>
      </c>
      <c r="J10" s="11">
        <v>3565</v>
      </c>
      <c r="K10" s="11">
        <v>4948</v>
      </c>
      <c r="L10" s="11">
        <v>22029</v>
      </c>
      <c r="M10" s="11">
        <v>14028</v>
      </c>
      <c r="N10" s="11">
        <v>5946877</v>
      </c>
      <c r="O10" s="11">
        <v>247481</v>
      </c>
      <c r="P10" s="11">
        <v>30974</v>
      </c>
      <c r="Q10" s="11">
        <v>7671</v>
      </c>
      <c r="R10" s="12">
        <v>46503</v>
      </c>
      <c r="S10" s="11">
        <v>22985657</v>
      </c>
      <c r="T10" s="11"/>
      <c r="U10" s="11">
        <v>83225</v>
      </c>
      <c r="V10" s="11">
        <v>230054</v>
      </c>
      <c r="W10" s="11">
        <v>258131</v>
      </c>
      <c r="X10" s="9">
        <v>51170</v>
      </c>
      <c r="Y10" s="9">
        <v>36156</v>
      </c>
      <c r="Z10" s="9"/>
      <c r="AA10" s="9"/>
      <c r="AB10" s="9">
        <v>78725</v>
      </c>
      <c r="AC10" s="9">
        <v>248530</v>
      </c>
      <c r="AD10" s="9">
        <v>95473</v>
      </c>
      <c r="AE10" s="9"/>
      <c r="AF10" s="9"/>
      <c r="AG10" s="9"/>
      <c r="AH10" s="9"/>
      <c r="AI10" s="20"/>
      <c r="AJ10" s="9"/>
      <c r="AK10" s="9"/>
    </row>
    <row r="11" spans="1:37" ht="48.75" customHeight="1" thickBot="1" x14ac:dyDescent="0.3">
      <c r="A11" s="81"/>
      <c r="B11" s="13">
        <v>0.58333333296514001</v>
      </c>
      <c r="C11" s="14">
        <v>3222</v>
      </c>
      <c r="D11" s="14">
        <v>302553</v>
      </c>
      <c r="E11" s="14">
        <v>10350</v>
      </c>
      <c r="F11" s="14">
        <v>66334</v>
      </c>
      <c r="G11" s="14">
        <v>8834</v>
      </c>
      <c r="H11" s="14">
        <v>9530</v>
      </c>
      <c r="I11" s="7">
        <v>10</v>
      </c>
      <c r="J11" s="14">
        <v>3567</v>
      </c>
      <c r="K11" s="14">
        <v>4948</v>
      </c>
      <c r="L11" s="14">
        <v>22034</v>
      </c>
      <c r="M11" s="14">
        <v>14030</v>
      </c>
      <c r="N11" s="14">
        <v>5946877</v>
      </c>
      <c r="O11" s="14">
        <v>247481</v>
      </c>
      <c r="P11" s="14">
        <v>30974</v>
      </c>
      <c r="Q11" s="14">
        <v>7671</v>
      </c>
      <c r="R11" s="14">
        <v>46512</v>
      </c>
      <c r="S11" s="14">
        <v>23005393</v>
      </c>
      <c r="T11" s="14"/>
      <c r="U11" s="14">
        <v>83399</v>
      </c>
      <c r="V11" s="14">
        <v>230057</v>
      </c>
      <c r="W11" s="14">
        <v>258136</v>
      </c>
      <c r="X11" s="21">
        <v>51372</v>
      </c>
      <c r="Y11" s="21">
        <v>36307</v>
      </c>
      <c r="Z11" s="21">
        <v>5607</v>
      </c>
      <c r="AA11" s="21">
        <v>41352</v>
      </c>
      <c r="AB11" s="21">
        <v>78726</v>
      </c>
      <c r="AC11" s="21">
        <v>249059</v>
      </c>
      <c r="AD11" s="21">
        <v>95704</v>
      </c>
      <c r="AE11" s="21"/>
      <c r="AF11" s="21"/>
      <c r="AG11" s="21"/>
      <c r="AH11" s="21"/>
      <c r="AI11" s="22"/>
      <c r="AJ11" s="21"/>
      <c r="AK11" s="21"/>
    </row>
    <row r="12" spans="1:37" ht="48.75" customHeight="1" thickBot="1" x14ac:dyDescent="0.3">
      <c r="A12" s="79">
        <v>46026</v>
      </c>
      <c r="B12" s="6">
        <v>0.91666666629816995</v>
      </c>
      <c r="C12" s="14">
        <v>3222</v>
      </c>
      <c r="D12" s="7">
        <v>302553</v>
      </c>
      <c r="E12" s="7">
        <v>10350</v>
      </c>
      <c r="F12" s="7">
        <v>66334</v>
      </c>
      <c r="G12" s="7">
        <v>8834</v>
      </c>
      <c r="H12" s="7">
        <v>9530</v>
      </c>
      <c r="I12" s="7">
        <v>10</v>
      </c>
      <c r="J12" s="7">
        <v>3567</v>
      </c>
      <c r="K12" s="7">
        <v>4948</v>
      </c>
      <c r="L12" s="7">
        <v>22034</v>
      </c>
      <c r="M12" s="7">
        <v>14030</v>
      </c>
      <c r="N12" s="7">
        <v>5946877</v>
      </c>
      <c r="O12" s="7">
        <v>247481</v>
      </c>
      <c r="P12" s="7">
        <v>30974</v>
      </c>
      <c r="Q12" s="7">
        <v>7671</v>
      </c>
      <c r="R12" s="8">
        <v>46512</v>
      </c>
      <c r="S12" s="7">
        <v>23005393</v>
      </c>
      <c r="T12" s="7"/>
      <c r="U12" s="7">
        <v>83399</v>
      </c>
      <c r="V12" s="7">
        <v>230057</v>
      </c>
      <c r="W12" s="7">
        <v>258136</v>
      </c>
      <c r="X12" s="18">
        <v>51372</v>
      </c>
      <c r="Y12" s="18">
        <v>36307</v>
      </c>
      <c r="Z12" s="18">
        <v>5607</v>
      </c>
      <c r="AA12" s="18">
        <v>41352</v>
      </c>
      <c r="AB12" s="18">
        <v>78726</v>
      </c>
      <c r="AC12" s="18">
        <v>249059</v>
      </c>
      <c r="AD12" s="18">
        <v>95704</v>
      </c>
      <c r="AE12" s="18">
        <v>6751</v>
      </c>
      <c r="AF12" s="18">
        <v>32739</v>
      </c>
      <c r="AG12" s="18"/>
      <c r="AH12" s="18"/>
      <c r="AI12" s="19"/>
      <c r="AJ12" s="18">
        <v>5384</v>
      </c>
      <c r="AK12" s="18"/>
    </row>
    <row r="13" spans="1:37" ht="48.75" customHeight="1" thickBot="1" x14ac:dyDescent="0.3">
      <c r="A13" s="80"/>
      <c r="B13" s="10">
        <v>0.24999999963108599</v>
      </c>
      <c r="C13" s="14">
        <v>3222</v>
      </c>
      <c r="D13" s="11">
        <v>302553</v>
      </c>
      <c r="E13" s="11">
        <v>10350</v>
      </c>
      <c r="F13" s="11">
        <v>66334</v>
      </c>
      <c r="G13" s="11">
        <v>8834</v>
      </c>
      <c r="H13" s="11">
        <v>9530</v>
      </c>
      <c r="I13" s="7">
        <v>10</v>
      </c>
      <c r="J13" s="11">
        <v>3567</v>
      </c>
      <c r="K13" s="11">
        <v>4948</v>
      </c>
      <c r="L13" s="11">
        <v>22034</v>
      </c>
      <c r="M13" s="11">
        <v>14030</v>
      </c>
      <c r="N13" s="11">
        <v>5946877</v>
      </c>
      <c r="O13" s="11">
        <v>247481</v>
      </c>
      <c r="P13" s="11">
        <v>30974</v>
      </c>
      <c r="Q13" s="11">
        <v>7671</v>
      </c>
      <c r="R13" s="12">
        <v>46512</v>
      </c>
      <c r="S13" s="11">
        <v>23005393</v>
      </c>
      <c r="T13" s="11"/>
      <c r="U13" s="11">
        <v>83399</v>
      </c>
      <c r="V13" s="11">
        <v>230057</v>
      </c>
      <c r="W13" s="11">
        <v>258136</v>
      </c>
      <c r="X13" s="9">
        <v>51372</v>
      </c>
      <c r="Y13" s="9">
        <v>36307</v>
      </c>
      <c r="Z13" s="9">
        <v>5607</v>
      </c>
      <c r="AA13" s="9">
        <v>41352</v>
      </c>
      <c r="AB13" s="9">
        <v>78726</v>
      </c>
      <c r="AC13" s="9">
        <v>249059</v>
      </c>
      <c r="AD13" s="9">
        <v>95704</v>
      </c>
      <c r="AE13" s="9"/>
      <c r="AF13" s="9"/>
      <c r="AG13" s="9"/>
      <c r="AH13" s="9"/>
      <c r="AI13" s="20"/>
      <c r="AJ13" s="9"/>
      <c r="AK13" s="9"/>
    </row>
    <row r="14" spans="1:37" ht="48.75" customHeight="1" thickBot="1" x14ac:dyDescent="0.3">
      <c r="A14" s="81"/>
      <c r="B14" s="13">
        <v>0.58333333296411605</v>
      </c>
      <c r="C14" s="14">
        <v>3222</v>
      </c>
      <c r="D14" s="14">
        <v>302553</v>
      </c>
      <c r="E14" s="14">
        <v>10350</v>
      </c>
      <c r="F14" s="14">
        <v>66334</v>
      </c>
      <c r="G14" s="14">
        <v>8834</v>
      </c>
      <c r="H14" s="14">
        <v>9530</v>
      </c>
      <c r="I14" s="7">
        <v>10</v>
      </c>
      <c r="J14" s="14">
        <v>3567</v>
      </c>
      <c r="K14" s="14">
        <v>4948</v>
      </c>
      <c r="L14" s="14">
        <v>22034</v>
      </c>
      <c r="M14" s="14">
        <v>14030</v>
      </c>
      <c r="N14" s="14">
        <v>5946877</v>
      </c>
      <c r="O14" s="14">
        <v>247481</v>
      </c>
      <c r="P14" s="14">
        <v>30974</v>
      </c>
      <c r="Q14" s="14">
        <v>7671</v>
      </c>
      <c r="R14" s="15">
        <v>46512</v>
      </c>
      <c r="S14" s="14">
        <v>23005393</v>
      </c>
      <c r="T14" s="14"/>
      <c r="U14" s="14">
        <v>83399</v>
      </c>
      <c r="V14" s="14">
        <v>230057</v>
      </c>
      <c r="W14" s="14">
        <v>258136</v>
      </c>
      <c r="X14" s="21">
        <v>51372</v>
      </c>
      <c r="Y14" s="21">
        <v>36307</v>
      </c>
      <c r="Z14" s="21">
        <v>5607</v>
      </c>
      <c r="AA14" s="21">
        <v>41352</v>
      </c>
      <c r="AB14" s="21">
        <v>78726</v>
      </c>
      <c r="AC14" s="21">
        <v>249059</v>
      </c>
      <c r="AD14" s="21">
        <v>95704</v>
      </c>
      <c r="AE14" s="21"/>
      <c r="AF14" s="21"/>
      <c r="AG14" s="21"/>
      <c r="AH14" s="21"/>
      <c r="AI14" s="22"/>
      <c r="AJ14" s="21"/>
      <c r="AK14" s="21"/>
    </row>
    <row r="15" spans="1:37" ht="48.75" customHeight="1" thickBot="1" x14ac:dyDescent="0.3">
      <c r="A15" s="79">
        <v>46027</v>
      </c>
      <c r="B15" s="6">
        <v>0.91666666629714699</v>
      </c>
      <c r="C15" s="14">
        <v>3222</v>
      </c>
      <c r="D15" s="7">
        <v>302553</v>
      </c>
      <c r="E15" s="7">
        <v>10350</v>
      </c>
      <c r="F15" s="7">
        <v>66334</v>
      </c>
      <c r="G15" s="7">
        <v>8834</v>
      </c>
      <c r="H15" s="7">
        <v>9530</v>
      </c>
      <c r="I15" s="7">
        <v>10</v>
      </c>
      <c r="J15" s="7">
        <v>3567</v>
      </c>
      <c r="K15" s="7">
        <v>4948</v>
      </c>
      <c r="L15" s="7">
        <v>22034</v>
      </c>
      <c r="M15" s="7">
        <v>14030</v>
      </c>
      <c r="N15" s="7">
        <v>5946877</v>
      </c>
      <c r="O15" s="7">
        <v>247481</v>
      </c>
      <c r="P15" s="7">
        <v>30974</v>
      </c>
      <c r="Q15" s="7">
        <v>7671</v>
      </c>
      <c r="R15" s="8">
        <v>46512</v>
      </c>
      <c r="S15" s="7">
        <v>23005393</v>
      </c>
      <c r="T15" s="7"/>
      <c r="U15" s="7">
        <v>83399</v>
      </c>
      <c r="V15" s="7">
        <v>230057</v>
      </c>
      <c r="W15" s="7">
        <v>258136</v>
      </c>
      <c r="X15" s="18">
        <v>51372</v>
      </c>
      <c r="Y15" s="18">
        <v>36307</v>
      </c>
      <c r="Z15" s="18">
        <v>5607</v>
      </c>
      <c r="AA15" s="18">
        <v>41352</v>
      </c>
      <c r="AB15" s="18">
        <v>78726</v>
      </c>
      <c r="AC15" s="18">
        <v>249059</v>
      </c>
      <c r="AD15" s="18">
        <v>95704</v>
      </c>
      <c r="AE15" s="18"/>
      <c r="AF15" s="18"/>
      <c r="AG15" s="18"/>
      <c r="AH15" s="18"/>
      <c r="AI15" s="19"/>
      <c r="AJ15" s="18"/>
      <c r="AK15" s="18"/>
    </row>
    <row r="16" spans="1:37" ht="48.75" customHeight="1" thickBot="1" x14ac:dyDescent="0.3">
      <c r="A16" s="80"/>
      <c r="B16" s="10">
        <v>0.24999999963017699</v>
      </c>
      <c r="C16" s="11">
        <v>3242</v>
      </c>
      <c r="D16" s="11">
        <v>302571</v>
      </c>
      <c r="E16" s="11">
        <v>10350</v>
      </c>
      <c r="F16" s="11">
        <v>66334</v>
      </c>
      <c r="G16" s="11">
        <v>8834</v>
      </c>
      <c r="H16" s="11">
        <v>9530</v>
      </c>
      <c r="I16" s="7">
        <v>10</v>
      </c>
      <c r="J16" s="11">
        <v>3572</v>
      </c>
      <c r="K16" s="11">
        <v>4948</v>
      </c>
      <c r="L16" s="11">
        <v>22038</v>
      </c>
      <c r="M16" s="11">
        <v>14034</v>
      </c>
      <c r="N16" s="11">
        <v>5946877</v>
      </c>
      <c r="O16" s="11">
        <v>247481</v>
      </c>
      <c r="P16" s="11">
        <v>30974</v>
      </c>
      <c r="Q16" s="11">
        <v>7671</v>
      </c>
      <c r="R16" s="12">
        <v>46529</v>
      </c>
      <c r="S16" s="11">
        <v>23030707</v>
      </c>
      <c r="T16" s="11"/>
      <c r="U16" s="11">
        <v>83580</v>
      </c>
      <c r="V16" s="11">
        <v>230070</v>
      </c>
      <c r="W16" s="11">
        <v>258156</v>
      </c>
      <c r="X16" s="9">
        <v>51372</v>
      </c>
      <c r="Y16" s="9">
        <v>36307</v>
      </c>
      <c r="Z16" s="9"/>
      <c r="AA16" s="9"/>
      <c r="AB16" s="9">
        <v>78524</v>
      </c>
      <c r="AC16" s="9">
        <v>249137</v>
      </c>
      <c r="AD16" s="9">
        <v>95826</v>
      </c>
      <c r="AE16" s="9"/>
      <c r="AF16" s="9"/>
      <c r="AG16" s="9"/>
      <c r="AH16" s="9"/>
      <c r="AI16" s="20"/>
      <c r="AJ16" s="9"/>
      <c r="AK16" s="9"/>
    </row>
    <row r="17" spans="1:37" ht="48.75" customHeight="1" thickBot="1" x14ac:dyDescent="0.3">
      <c r="A17" s="81"/>
      <c r="B17" s="13">
        <v>0.58333333296309298</v>
      </c>
      <c r="C17" s="14">
        <v>3273</v>
      </c>
      <c r="D17" s="14">
        <v>302815</v>
      </c>
      <c r="E17" s="14">
        <v>10352</v>
      </c>
      <c r="F17" s="14">
        <v>66334</v>
      </c>
      <c r="G17" s="14">
        <v>8834</v>
      </c>
      <c r="H17" s="14">
        <v>9530</v>
      </c>
      <c r="I17" s="7">
        <v>10</v>
      </c>
      <c r="J17" s="14">
        <v>3577</v>
      </c>
      <c r="K17" s="14">
        <v>4948</v>
      </c>
      <c r="L17" s="14">
        <v>22043</v>
      </c>
      <c r="M17" s="14">
        <v>14036</v>
      </c>
      <c r="N17" s="14">
        <v>5946877</v>
      </c>
      <c r="O17" s="14">
        <v>247481</v>
      </c>
      <c r="P17" s="14">
        <v>30974</v>
      </c>
      <c r="Q17" s="14">
        <v>7671</v>
      </c>
      <c r="R17" s="15">
        <v>46545</v>
      </c>
      <c r="S17" s="14">
        <v>23067719</v>
      </c>
      <c r="T17" s="14"/>
      <c r="U17" s="14">
        <v>83972</v>
      </c>
      <c r="V17" s="14">
        <v>230101</v>
      </c>
      <c r="W17" s="14">
        <v>258242</v>
      </c>
      <c r="X17" s="21">
        <v>51498</v>
      </c>
      <c r="Y17" s="21">
        <v>36402</v>
      </c>
      <c r="Z17" s="21"/>
      <c r="AA17" s="21"/>
      <c r="AB17" s="21">
        <v>78766</v>
      </c>
      <c r="AC17" s="21">
        <v>249218</v>
      </c>
      <c r="AD17" s="21">
        <v>96140</v>
      </c>
      <c r="AE17" s="21"/>
      <c r="AF17" s="21"/>
      <c r="AG17" s="21"/>
      <c r="AH17" s="21"/>
      <c r="AI17" s="22"/>
      <c r="AJ17" s="21"/>
      <c r="AK17" s="21"/>
    </row>
    <row r="18" spans="1:37" ht="48.75" customHeight="1" thickBot="1" x14ac:dyDescent="0.3">
      <c r="A18" s="79">
        <v>46028</v>
      </c>
      <c r="B18" s="6">
        <v>0.91666666629612303</v>
      </c>
      <c r="C18" s="7">
        <v>3310</v>
      </c>
      <c r="D18" s="7">
        <v>302925</v>
      </c>
      <c r="E18" s="7">
        <v>10353</v>
      </c>
      <c r="F18" s="7">
        <v>66334</v>
      </c>
      <c r="G18" s="7">
        <v>8834</v>
      </c>
      <c r="H18" s="7">
        <v>9530</v>
      </c>
      <c r="I18" s="7">
        <v>10</v>
      </c>
      <c r="J18" s="7">
        <v>3587</v>
      </c>
      <c r="K18" s="7">
        <v>4949</v>
      </c>
      <c r="L18" s="7">
        <v>22047</v>
      </c>
      <c r="M18" s="7">
        <v>14043</v>
      </c>
      <c r="N18" s="7">
        <v>6225100</v>
      </c>
      <c r="O18" s="7">
        <v>247693</v>
      </c>
      <c r="P18" s="7">
        <v>30974</v>
      </c>
      <c r="Q18" s="7">
        <v>7671</v>
      </c>
      <c r="R18" s="8">
        <v>46579</v>
      </c>
      <c r="S18" s="7">
        <v>23125101</v>
      </c>
      <c r="T18" s="7"/>
      <c r="U18" s="7">
        <v>84363</v>
      </c>
      <c r="V18" s="7">
        <v>230217</v>
      </c>
      <c r="W18" s="7">
        <v>258369</v>
      </c>
      <c r="X18" s="18">
        <v>51639</v>
      </c>
      <c r="Y18" s="18">
        <v>36506</v>
      </c>
      <c r="Z18" s="18">
        <v>5607</v>
      </c>
      <c r="AA18" s="18">
        <v>41422</v>
      </c>
      <c r="AB18" s="18">
        <v>78966</v>
      </c>
      <c r="AC18" s="18">
        <v>249311</v>
      </c>
      <c r="AD18" s="18">
        <v>96491</v>
      </c>
      <c r="AE18" s="18">
        <v>6759</v>
      </c>
      <c r="AF18" s="18">
        <v>32778</v>
      </c>
      <c r="AG18" s="18">
        <v>150</v>
      </c>
      <c r="AH18" s="18"/>
      <c r="AI18" s="19">
        <v>1</v>
      </c>
      <c r="AJ18" s="18">
        <v>5384</v>
      </c>
      <c r="AK18" s="18">
        <v>2676</v>
      </c>
    </row>
    <row r="19" spans="1:37" ht="48.75" customHeight="1" thickBot="1" x14ac:dyDescent="0.3">
      <c r="A19" s="80"/>
      <c r="B19" s="10">
        <v>0.24999999962915401</v>
      </c>
      <c r="C19" s="11">
        <v>3310</v>
      </c>
      <c r="D19" s="11">
        <v>302944</v>
      </c>
      <c r="E19" s="11">
        <v>10353</v>
      </c>
      <c r="F19" s="11">
        <v>66334</v>
      </c>
      <c r="G19" s="11">
        <v>8834</v>
      </c>
      <c r="H19" s="11">
        <v>9530</v>
      </c>
      <c r="I19" s="7">
        <v>10</v>
      </c>
      <c r="J19" s="11">
        <v>3590</v>
      </c>
      <c r="K19" s="11">
        <v>4949</v>
      </c>
      <c r="L19" s="11">
        <v>22047</v>
      </c>
      <c r="M19" s="11">
        <v>14053</v>
      </c>
      <c r="N19" s="11">
        <v>6359140</v>
      </c>
      <c r="O19" s="11">
        <v>247800</v>
      </c>
      <c r="P19" s="11">
        <v>30974</v>
      </c>
      <c r="Q19" s="11">
        <v>7671</v>
      </c>
      <c r="R19" s="12">
        <v>46611</v>
      </c>
      <c r="S19" s="11">
        <v>23176983</v>
      </c>
      <c r="T19" s="11"/>
      <c r="U19" s="11">
        <v>84591</v>
      </c>
      <c r="V19" s="11">
        <v>230301</v>
      </c>
      <c r="W19" s="11">
        <v>258439</v>
      </c>
      <c r="X19" s="9">
        <v>51759</v>
      </c>
      <c r="Y19" s="9">
        <v>36593</v>
      </c>
      <c r="Z19" s="9"/>
      <c r="AA19" s="9"/>
      <c r="AB19" s="9">
        <v>79078</v>
      </c>
      <c r="AC19" s="9">
        <v>249385</v>
      </c>
      <c r="AD19" s="9">
        <v>96776</v>
      </c>
      <c r="AE19" s="9"/>
      <c r="AF19" s="9"/>
      <c r="AG19" s="9"/>
      <c r="AH19" s="9"/>
      <c r="AI19" s="20"/>
      <c r="AJ19" s="9"/>
      <c r="AK19" s="9"/>
    </row>
    <row r="20" spans="1:37" ht="48.75" customHeight="1" thickBot="1" x14ac:dyDescent="0.3">
      <c r="A20" s="81"/>
      <c r="B20" s="13">
        <v>0.58333333296218404</v>
      </c>
      <c r="C20" s="14">
        <v>3362</v>
      </c>
      <c r="D20" s="14">
        <v>303228</v>
      </c>
      <c r="E20" s="25">
        <v>10358</v>
      </c>
      <c r="F20" s="14">
        <v>66334</v>
      </c>
      <c r="G20" s="14">
        <v>8834</v>
      </c>
      <c r="H20" s="14">
        <v>9530</v>
      </c>
      <c r="I20" s="7">
        <v>10</v>
      </c>
      <c r="J20" s="14">
        <v>3599</v>
      </c>
      <c r="K20" s="14">
        <v>4949</v>
      </c>
      <c r="L20" s="14">
        <v>22050</v>
      </c>
      <c r="M20" s="14">
        <v>14058</v>
      </c>
      <c r="N20" s="14">
        <v>6539257</v>
      </c>
      <c r="O20" s="14">
        <v>247923</v>
      </c>
      <c r="P20" s="14">
        <v>30974</v>
      </c>
      <c r="Q20" s="14">
        <v>7671</v>
      </c>
      <c r="R20" s="15">
        <v>46635</v>
      </c>
      <c r="S20" s="14">
        <v>23226411</v>
      </c>
      <c r="T20" s="14"/>
      <c r="U20" s="14">
        <v>85075</v>
      </c>
      <c r="V20" s="14">
        <v>230452</v>
      </c>
      <c r="W20" s="14">
        <v>258573</v>
      </c>
      <c r="X20" s="21">
        <v>51890</v>
      </c>
      <c r="Y20" s="21">
        <v>36691</v>
      </c>
      <c r="Z20" s="21"/>
      <c r="AA20" s="21"/>
      <c r="AB20" s="21">
        <v>79183</v>
      </c>
      <c r="AC20" s="21">
        <v>249481</v>
      </c>
      <c r="AD20" s="21">
        <v>97004</v>
      </c>
      <c r="AE20" s="21"/>
      <c r="AF20" s="21"/>
      <c r="AG20" s="21"/>
      <c r="AH20" s="21"/>
      <c r="AI20" s="22"/>
      <c r="AJ20" s="21"/>
      <c r="AK20" s="21"/>
    </row>
    <row r="21" spans="1:37" ht="48.75" customHeight="1" thickBot="1" x14ac:dyDescent="0.3">
      <c r="A21" s="79">
        <v>46029</v>
      </c>
      <c r="B21" s="6">
        <v>0.91666666629509996</v>
      </c>
      <c r="C21" s="7">
        <v>3397</v>
      </c>
      <c r="D21" s="7">
        <v>303338</v>
      </c>
      <c r="E21" s="14">
        <v>10360</v>
      </c>
      <c r="F21" s="11">
        <v>66334</v>
      </c>
      <c r="G21" s="11">
        <v>8834</v>
      </c>
      <c r="H21" s="11">
        <v>9530</v>
      </c>
      <c r="I21" s="7">
        <v>10</v>
      </c>
      <c r="J21" s="7">
        <v>3602</v>
      </c>
      <c r="K21" s="7">
        <v>4962</v>
      </c>
      <c r="L21" s="7">
        <v>22055</v>
      </c>
      <c r="M21" s="7">
        <v>14061</v>
      </c>
      <c r="N21" s="7">
        <v>6804919</v>
      </c>
      <c r="O21" s="7">
        <v>248120</v>
      </c>
      <c r="P21" s="7">
        <v>30974</v>
      </c>
      <c r="Q21" s="7">
        <v>7671</v>
      </c>
      <c r="R21" s="8">
        <v>46651</v>
      </c>
      <c r="S21" s="7">
        <v>23266553</v>
      </c>
      <c r="T21" s="7"/>
      <c r="U21" s="7">
        <v>85482</v>
      </c>
      <c r="V21" s="7">
        <v>230639</v>
      </c>
      <c r="W21" s="7">
        <v>258705</v>
      </c>
      <c r="X21" s="18">
        <v>52020</v>
      </c>
      <c r="Y21" s="18">
        <v>36791</v>
      </c>
      <c r="Z21" s="18">
        <v>5607</v>
      </c>
      <c r="AA21" s="18">
        <v>41463</v>
      </c>
      <c r="AB21" s="18">
        <v>79306</v>
      </c>
      <c r="AC21" s="18">
        <v>249564</v>
      </c>
      <c r="AD21" s="18">
        <v>97488</v>
      </c>
      <c r="AE21" s="18">
        <v>6775</v>
      </c>
      <c r="AF21" s="18">
        <v>32830</v>
      </c>
      <c r="AG21" s="18">
        <v>150</v>
      </c>
      <c r="AH21" s="18"/>
      <c r="AI21" s="19">
        <v>1</v>
      </c>
      <c r="AJ21" s="18">
        <v>5385</v>
      </c>
      <c r="AK21" s="18">
        <v>2676</v>
      </c>
    </row>
    <row r="22" spans="1:37" ht="48.75" customHeight="1" thickBot="1" x14ac:dyDescent="0.3">
      <c r="A22" s="80"/>
      <c r="B22" s="10">
        <v>0.24999999962812999</v>
      </c>
      <c r="C22" s="11">
        <v>3417</v>
      </c>
      <c r="D22" s="11">
        <v>303362</v>
      </c>
      <c r="E22" s="11">
        <v>10360</v>
      </c>
      <c r="F22" s="11">
        <v>66334</v>
      </c>
      <c r="G22" s="11">
        <v>88334</v>
      </c>
      <c r="H22" s="11">
        <v>9530</v>
      </c>
      <c r="I22" s="7">
        <v>10</v>
      </c>
      <c r="J22" s="11">
        <v>3608</v>
      </c>
      <c r="K22" s="11">
        <v>4965</v>
      </c>
      <c r="L22" s="11">
        <v>22055</v>
      </c>
      <c r="M22" s="11">
        <v>14064</v>
      </c>
      <c r="N22" s="23">
        <v>6878298</v>
      </c>
      <c r="O22" s="23">
        <f>+O21+52</f>
        <v>248172</v>
      </c>
      <c r="P22" s="11">
        <v>30974</v>
      </c>
      <c r="Q22" s="11">
        <v>7671</v>
      </c>
      <c r="R22" s="12">
        <v>46659</v>
      </c>
      <c r="S22" s="11">
        <v>23310742</v>
      </c>
      <c r="T22" s="11"/>
      <c r="U22" s="11">
        <v>85710</v>
      </c>
      <c r="V22" s="48">
        <v>230369</v>
      </c>
      <c r="W22" s="48">
        <v>258705</v>
      </c>
      <c r="X22" s="9">
        <v>52154</v>
      </c>
      <c r="Y22" s="9">
        <v>36891</v>
      </c>
      <c r="Z22" s="9"/>
      <c r="AA22" s="9"/>
      <c r="AB22" s="9">
        <v>79310</v>
      </c>
      <c r="AC22" s="9">
        <v>249638</v>
      </c>
      <c r="AD22" s="9">
        <v>97683</v>
      </c>
      <c r="AE22" s="9"/>
      <c r="AF22" s="9"/>
      <c r="AG22" s="9"/>
      <c r="AH22" s="9"/>
      <c r="AI22" s="20"/>
      <c r="AJ22" s="9"/>
      <c r="AK22" s="9"/>
    </row>
    <row r="23" spans="1:37" ht="48.75" customHeight="1" thickBot="1" x14ac:dyDescent="0.3">
      <c r="A23" s="81"/>
      <c r="B23" s="13">
        <v>0.58333333296116097</v>
      </c>
      <c r="C23" s="14">
        <v>3460</v>
      </c>
      <c r="D23" s="14">
        <v>303657</v>
      </c>
      <c r="E23" s="14">
        <v>10364</v>
      </c>
      <c r="F23" s="14">
        <v>66334</v>
      </c>
      <c r="G23" s="14">
        <v>88334</v>
      </c>
      <c r="H23" s="14">
        <v>9530</v>
      </c>
      <c r="I23" s="7">
        <v>10</v>
      </c>
      <c r="J23" s="14">
        <v>3610</v>
      </c>
      <c r="K23" s="14">
        <v>4973</v>
      </c>
      <c r="L23" s="14">
        <v>22061</v>
      </c>
      <c r="M23" s="14">
        <v>14066</v>
      </c>
      <c r="N23" s="24">
        <v>6951677</v>
      </c>
      <c r="O23" s="24">
        <f>+O22+52</f>
        <v>248224</v>
      </c>
      <c r="P23" s="14">
        <v>30974</v>
      </c>
      <c r="Q23" s="14">
        <v>7671</v>
      </c>
      <c r="R23" s="15">
        <v>46680</v>
      </c>
      <c r="S23" s="14">
        <v>23370855</v>
      </c>
      <c r="T23" s="14"/>
      <c r="U23" s="14">
        <v>86180</v>
      </c>
      <c r="V23" s="14">
        <v>230639</v>
      </c>
      <c r="W23" s="14">
        <v>258705</v>
      </c>
      <c r="X23" s="21">
        <v>52290</v>
      </c>
      <c r="Y23" s="21">
        <v>36990</v>
      </c>
      <c r="Z23" s="21"/>
      <c r="AA23" s="21"/>
      <c r="AB23" s="21">
        <v>79508</v>
      </c>
      <c r="AC23" s="21">
        <v>249727</v>
      </c>
      <c r="AD23" s="21">
        <v>97864</v>
      </c>
      <c r="AE23" s="21"/>
      <c r="AF23" s="21"/>
      <c r="AG23" s="21"/>
      <c r="AH23" s="21"/>
      <c r="AI23" s="22"/>
      <c r="AJ23" s="21"/>
      <c r="AK23" s="21"/>
    </row>
    <row r="24" spans="1:37" ht="48.75" customHeight="1" thickBot="1" x14ac:dyDescent="0.3">
      <c r="A24" s="79">
        <v>46030</v>
      </c>
      <c r="B24" s="6">
        <v>0.91666666629419102</v>
      </c>
      <c r="C24" s="7">
        <v>3503</v>
      </c>
      <c r="D24" s="7">
        <v>303764</v>
      </c>
      <c r="E24" s="7">
        <v>10366</v>
      </c>
      <c r="F24" s="7">
        <v>66334</v>
      </c>
      <c r="G24" s="7">
        <v>8834</v>
      </c>
      <c r="H24" s="7">
        <v>9530</v>
      </c>
      <c r="I24" s="7">
        <v>10</v>
      </c>
      <c r="J24" s="7">
        <v>3613</v>
      </c>
      <c r="K24" s="7">
        <v>4976</v>
      </c>
      <c r="L24" s="7">
        <v>22068</v>
      </c>
      <c r="M24" s="7">
        <v>14068</v>
      </c>
      <c r="N24" s="7">
        <v>7098438</v>
      </c>
      <c r="O24" s="7">
        <v>248331</v>
      </c>
      <c r="P24" s="11">
        <v>30974</v>
      </c>
      <c r="Q24" s="11">
        <v>7671</v>
      </c>
      <c r="R24" s="8">
        <v>46699</v>
      </c>
      <c r="S24" s="7">
        <v>23456544</v>
      </c>
      <c r="T24" s="7"/>
      <c r="U24" s="7">
        <v>86568</v>
      </c>
      <c r="V24" s="7">
        <v>230831</v>
      </c>
      <c r="W24" s="7">
        <v>258887</v>
      </c>
      <c r="X24" s="18">
        <v>52371</v>
      </c>
      <c r="Y24" s="18">
        <v>37049</v>
      </c>
      <c r="Z24" s="18">
        <v>5607</v>
      </c>
      <c r="AA24" s="18">
        <v>41513</v>
      </c>
      <c r="AB24" s="18">
        <v>79653</v>
      </c>
      <c r="AC24" s="18">
        <v>249760</v>
      </c>
      <c r="AD24" s="18">
        <v>98205</v>
      </c>
      <c r="AE24" s="18">
        <v>6795</v>
      </c>
      <c r="AF24" s="18">
        <v>32902</v>
      </c>
      <c r="AG24" s="18">
        <v>150</v>
      </c>
      <c r="AH24" s="18"/>
      <c r="AI24" s="19">
        <v>1</v>
      </c>
      <c r="AJ24" s="18">
        <v>5385</v>
      </c>
      <c r="AK24" s="18">
        <v>2676</v>
      </c>
    </row>
    <row r="25" spans="1:37" ht="48.75" customHeight="1" thickBot="1" x14ac:dyDescent="0.3">
      <c r="A25" s="80"/>
      <c r="B25" s="10">
        <v>0.24999999962710701</v>
      </c>
      <c r="C25" s="11">
        <v>3524</v>
      </c>
      <c r="D25" s="11">
        <v>303790</v>
      </c>
      <c r="E25" s="11">
        <v>10366</v>
      </c>
      <c r="F25" s="11">
        <v>66334</v>
      </c>
      <c r="G25" s="11">
        <v>8834</v>
      </c>
      <c r="H25" s="11">
        <v>9530</v>
      </c>
      <c r="I25" s="7">
        <v>10</v>
      </c>
      <c r="J25" s="11">
        <v>3614</v>
      </c>
      <c r="K25" s="11">
        <v>4983</v>
      </c>
      <c r="L25" s="11">
        <v>22076</v>
      </c>
      <c r="M25" s="11">
        <v>14076</v>
      </c>
      <c r="N25" s="11">
        <v>7108940</v>
      </c>
      <c r="O25" s="11">
        <v>248337</v>
      </c>
      <c r="P25" s="11">
        <v>30974</v>
      </c>
      <c r="Q25" s="11">
        <v>7671</v>
      </c>
      <c r="R25" s="12">
        <v>46718</v>
      </c>
      <c r="S25" s="11">
        <v>23542056</v>
      </c>
      <c r="T25" s="11"/>
      <c r="U25" s="11">
        <v>86825</v>
      </c>
      <c r="V25" s="11">
        <v>230876</v>
      </c>
      <c r="W25" s="11">
        <v>258914</v>
      </c>
      <c r="X25" s="9">
        <v>52501</v>
      </c>
      <c r="Y25" s="9">
        <v>37147</v>
      </c>
      <c r="Z25" s="9"/>
      <c r="AA25" s="9"/>
      <c r="AB25" s="9">
        <v>79653</v>
      </c>
      <c r="AC25" s="9">
        <v>249767</v>
      </c>
      <c r="AD25" s="9">
        <v>98389</v>
      </c>
      <c r="AE25" s="9"/>
      <c r="AF25" s="9"/>
      <c r="AG25" s="9"/>
      <c r="AH25" s="9"/>
      <c r="AI25" s="20"/>
      <c r="AJ25" s="9"/>
      <c r="AK25" s="9"/>
    </row>
    <row r="26" spans="1:37" ht="48.75" customHeight="1" thickBot="1" x14ac:dyDescent="0.3">
      <c r="A26" s="81"/>
      <c r="B26" s="13">
        <v>0.58333333296013701</v>
      </c>
      <c r="C26" s="14">
        <v>3558</v>
      </c>
      <c r="D26" s="14">
        <v>304108</v>
      </c>
      <c r="E26" s="14">
        <v>10370</v>
      </c>
      <c r="F26" s="14">
        <v>66334</v>
      </c>
      <c r="G26" s="14">
        <v>8834</v>
      </c>
      <c r="H26" s="14">
        <v>9530</v>
      </c>
      <c r="I26" s="7">
        <v>10</v>
      </c>
      <c r="J26" s="14">
        <v>3621</v>
      </c>
      <c r="K26" s="14">
        <v>4983</v>
      </c>
      <c r="L26" s="14">
        <v>22082</v>
      </c>
      <c r="M26" s="14">
        <v>14079</v>
      </c>
      <c r="N26" s="14">
        <v>7327730</v>
      </c>
      <c r="O26" s="14">
        <v>248463</v>
      </c>
      <c r="P26" s="14">
        <v>30974</v>
      </c>
      <c r="Q26" s="14">
        <v>7671</v>
      </c>
      <c r="R26" s="15">
        <v>46739</v>
      </c>
      <c r="S26" s="14">
        <v>23615052</v>
      </c>
      <c r="T26" s="14"/>
      <c r="U26" s="14">
        <v>87330</v>
      </c>
      <c r="V26" s="14">
        <v>231038</v>
      </c>
      <c r="W26" s="14">
        <v>259046</v>
      </c>
      <c r="X26" s="21">
        <v>52744</v>
      </c>
      <c r="Y26" s="21">
        <v>37327</v>
      </c>
      <c r="Z26" s="21"/>
      <c r="AA26" s="21"/>
      <c r="AB26" s="21">
        <v>79743</v>
      </c>
      <c r="AC26" s="21">
        <v>249875</v>
      </c>
      <c r="AD26" s="21">
        <f>AVERAGE(AD27,AD25)</f>
        <v>98782.5</v>
      </c>
      <c r="AE26" s="21"/>
      <c r="AF26" s="21"/>
      <c r="AG26" s="21"/>
      <c r="AH26" s="21"/>
      <c r="AI26" s="22"/>
      <c r="AJ26" s="21"/>
      <c r="AK26" s="21"/>
    </row>
    <row r="27" spans="1:37" ht="48.75" customHeight="1" thickBot="1" x14ac:dyDescent="0.3">
      <c r="A27" s="79">
        <v>46031</v>
      </c>
      <c r="B27" s="6">
        <v>0.91666666629316795</v>
      </c>
      <c r="C27" s="7">
        <v>3601</v>
      </c>
      <c r="D27" s="7">
        <v>304205</v>
      </c>
      <c r="E27" s="7">
        <v>10372</v>
      </c>
      <c r="F27" s="14">
        <v>66334</v>
      </c>
      <c r="G27" s="14">
        <v>8834</v>
      </c>
      <c r="H27" s="14">
        <v>9530</v>
      </c>
      <c r="I27" s="7">
        <v>10</v>
      </c>
      <c r="J27" s="7">
        <v>3622</v>
      </c>
      <c r="K27" s="7">
        <v>4984</v>
      </c>
      <c r="L27" s="7">
        <v>22086</v>
      </c>
      <c r="M27" s="7">
        <v>14083</v>
      </c>
      <c r="N27" s="7">
        <v>7659056</v>
      </c>
      <c r="O27" s="7">
        <v>248717</v>
      </c>
      <c r="P27" s="7">
        <v>30974</v>
      </c>
      <c r="Q27" s="7">
        <v>7671</v>
      </c>
      <c r="R27" s="8">
        <v>46753</v>
      </c>
      <c r="S27" s="7">
        <v>23685833</v>
      </c>
      <c r="T27" s="7"/>
      <c r="U27" s="7">
        <v>87753</v>
      </c>
      <c r="V27" s="7">
        <v>231160</v>
      </c>
      <c r="W27" s="7">
        <v>259231</v>
      </c>
      <c r="X27" s="18">
        <v>52842</v>
      </c>
      <c r="Y27" s="18">
        <v>37399</v>
      </c>
      <c r="Z27" s="18">
        <v>5607</v>
      </c>
      <c r="AA27" s="18"/>
      <c r="AB27" s="18">
        <v>79924</v>
      </c>
      <c r="AC27" s="18">
        <v>249988</v>
      </c>
      <c r="AD27" s="18">
        <v>99176</v>
      </c>
      <c r="AE27" s="18"/>
      <c r="AF27" s="18"/>
      <c r="AG27" s="18">
        <v>150</v>
      </c>
      <c r="AH27" s="18"/>
      <c r="AI27" s="19">
        <v>1</v>
      </c>
      <c r="AJ27" s="18">
        <v>5385</v>
      </c>
      <c r="AK27" s="18">
        <v>2676</v>
      </c>
    </row>
    <row r="28" spans="1:37" ht="48.75" customHeight="1" thickBot="1" x14ac:dyDescent="0.3">
      <c r="A28" s="80"/>
      <c r="B28" s="10">
        <v>0.24999999962608399</v>
      </c>
      <c r="C28" s="11">
        <v>3626</v>
      </c>
      <c r="D28" s="11">
        <v>304227</v>
      </c>
      <c r="E28" s="11">
        <v>10372</v>
      </c>
      <c r="F28" s="11">
        <v>66334</v>
      </c>
      <c r="G28" s="11">
        <v>8834</v>
      </c>
      <c r="H28" s="11">
        <v>9530</v>
      </c>
      <c r="I28" s="7">
        <v>10</v>
      </c>
      <c r="J28" s="11">
        <v>3622</v>
      </c>
      <c r="K28" s="11">
        <v>4988</v>
      </c>
      <c r="L28" s="11">
        <v>22086</v>
      </c>
      <c r="M28" s="11">
        <v>14088</v>
      </c>
      <c r="N28" s="11">
        <f>AVERAGE(N29,N27)</f>
        <v>7705835.5</v>
      </c>
      <c r="O28" s="11">
        <f>AVERAGE(O29,O27)</f>
        <v>248753.5</v>
      </c>
      <c r="P28" s="11">
        <v>30974</v>
      </c>
      <c r="Q28" s="11">
        <v>7671</v>
      </c>
      <c r="R28" s="12">
        <v>46769</v>
      </c>
      <c r="S28" s="11">
        <v>23748295</v>
      </c>
      <c r="T28" s="11"/>
      <c r="U28" s="11">
        <v>88014</v>
      </c>
      <c r="V28" s="11">
        <v>231193</v>
      </c>
      <c r="W28" s="11">
        <v>259243</v>
      </c>
      <c r="X28" s="9">
        <v>52842</v>
      </c>
      <c r="Y28" s="9">
        <v>37399</v>
      </c>
      <c r="Z28" s="9"/>
      <c r="AA28" s="9"/>
      <c r="AB28" s="9">
        <v>79929</v>
      </c>
      <c r="AC28" s="9">
        <v>250086</v>
      </c>
      <c r="AD28" s="9">
        <v>99506</v>
      </c>
      <c r="AE28" s="9"/>
      <c r="AF28" s="9"/>
      <c r="AG28" s="9"/>
      <c r="AH28" s="9"/>
      <c r="AI28" s="20"/>
      <c r="AJ28" s="9"/>
      <c r="AK28" s="9"/>
    </row>
    <row r="29" spans="1:37" ht="48.75" customHeight="1" thickBot="1" x14ac:dyDescent="0.3">
      <c r="A29" s="81"/>
      <c r="B29" s="13">
        <v>0.58333333295911405</v>
      </c>
      <c r="C29" s="14">
        <v>3671</v>
      </c>
      <c r="D29" s="14">
        <v>304517</v>
      </c>
      <c r="E29" s="14">
        <v>10376</v>
      </c>
      <c r="F29" s="14">
        <v>66334</v>
      </c>
      <c r="G29" s="14">
        <v>8834</v>
      </c>
      <c r="H29" s="14">
        <v>9530</v>
      </c>
      <c r="I29" s="7">
        <v>10</v>
      </c>
      <c r="J29" s="14">
        <v>3628</v>
      </c>
      <c r="K29" s="14">
        <v>4989</v>
      </c>
      <c r="L29" s="14">
        <v>22092</v>
      </c>
      <c r="M29" s="14">
        <v>14091</v>
      </c>
      <c r="N29" s="14">
        <v>7752615</v>
      </c>
      <c r="O29" s="14">
        <v>248790</v>
      </c>
      <c r="P29" s="14">
        <v>30974</v>
      </c>
      <c r="Q29" s="14">
        <v>7671</v>
      </c>
      <c r="R29" s="15">
        <v>46794</v>
      </c>
      <c r="S29" s="14">
        <v>23803366</v>
      </c>
      <c r="T29" s="14"/>
      <c r="U29" s="14">
        <v>88445</v>
      </c>
      <c r="V29" s="14">
        <v>231262</v>
      </c>
      <c r="W29" s="14">
        <v>259318</v>
      </c>
      <c r="X29" s="21">
        <v>53087</v>
      </c>
      <c r="Y29" s="21">
        <v>37584</v>
      </c>
      <c r="Z29" s="21"/>
      <c r="AA29" s="21"/>
      <c r="AB29" s="21">
        <v>80130</v>
      </c>
      <c r="AC29" s="21">
        <v>250192</v>
      </c>
      <c r="AD29" s="21">
        <v>99632</v>
      </c>
      <c r="AE29" s="21"/>
      <c r="AF29" s="21"/>
      <c r="AG29" s="21"/>
      <c r="AH29" s="21"/>
      <c r="AI29" s="22"/>
      <c r="AJ29" s="21"/>
      <c r="AK29" s="21"/>
    </row>
    <row r="30" spans="1:37" ht="48.75" customHeight="1" thickBot="1" x14ac:dyDescent="0.3">
      <c r="A30" s="79">
        <v>46032</v>
      </c>
      <c r="B30" s="6">
        <v>0.91666666629214399</v>
      </c>
      <c r="C30" s="14">
        <v>3710</v>
      </c>
      <c r="D30" s="14">
        <v>304605</v>
      </c>
      <c r="E30" s="14">
        <v>10377</v>
      </c>
      <c r="F30" s="14">
        <v>66334</v>
      </c>
      <c r="G30" s="14">
        <v>8834</v>
      </c>
      <c r="H30" s="14">
        <v>9530</v>
      </c>
      <c r="I30" s="7">
        <v>10</v>
      </c>
      <c r="J30" s="14">
        <v>3630</v>
      </c>
      <c r="K30" s="14">
        <v>4993</v>
      </c>
      <c r="L30" s="14">
        <v>22095</v>
      </c>
      <c r="M30" s="14">
        <v>14093</v>
      </c>
      <c r="N30" s="14">
        <v>8005325</v>
      </c>
      <c r="O30" s="14">
        <v>248991</v>
      </c>
      <c r="P30" s="14">
        <v>30974</v>
      </c>
      <c r="Q30" s="14">
        <v>7671</v>
      </c>
      <c r="R30" s="15">
        <v>46820</v>
      </c>
      <c r="S30" s="14">
        <v>23892350</v>
      </c>
      <c r="T30" s="14"/>
      <c r="U30" s="14">
        <v>88910</v>
      </c>
      <c r="V30" s="14">
        <v>231402</v>
      </c>
      <c r="W30" s="14">
        <v>259524</v>
      </c>
      <c r="X30" s="21">
        <v>53218</v>
      </c>
      <c r="Y30" s="21">
        <v>37685</v>
      </c>
      <c r="Z30" s="21">
        <v>5607</v>
      </c>
      <c r="AA30" s="21">
        <v>41618</v>
      </c>
      <c r="AB30" s="21">
        <v>80214</v>
      </c>
      <c r="AC30" s="21">
        <v>250291</v>
      </c>
      <c r="AD30" s="21">
        <v>99978</v>
      </c>
      <c r="AE30" s="21">
        <v>6862</v>
      </c>
      <c r="AF30" s="21">
        <v>32920</v>
      </c>
      <c r="AG30" s="21">
        <v>150</v>
      </c>
      <c r="AH30" s="21"/>
      <c r="AI30" s="22">
        <v>1</v>
      </c>
      <c r="AJ30" s="21">
        <v>5404</v>
      </c>
      <c r="AK30" s="21">
        <v>2676</v>
      </c>
    </row>
    <row r="31" spans="1:37" ht="48.75" customHeight="1" x14ac:dyDescent="0.25">
      <c r="A31" s="80"/>
      <c r="B31" s="10">
        <v>0.249999999625174</v>
      </c>
      <c r="C31" s="11">
        <v>3733</v>
      </c>
      <c r="D31" s="11">
        <v>304608</v>
      </c>
      <c r="E31" s="11">
        <v>10337</v>
      </c>
      <c r="F31" s="11">
        <v>66334</v>
      </c>
      <c r="G31" s="11">
        <v>8834</v>
      </c>
      <c r="H31" s="11">
        <v>9530</v>
      </c>
      <c r="I31" s="7">
        <v>10</v>
      </c>
      <c r="J31" s="11">
        <v>3639</v>
      </c>
      <c r="K31" s="11">
        <v>4994</v>
      </c>
      <c r="L31" s="11">
        <v>22095</v>
      </c>
      <c r="M31" s="11">
        <v>14097</v>
      </c>
      <c r="N31" s="11">
        <v>8150837</v>
      </c>
      <c r="O31" s="11">
        <v>249105</v>
      </c>
      <c r="P31" s="11">
        <v>30974</v>
      </c>
      <c r="Q31" s="11">
        <v>7671</v>
      </c>
      <c r="R31" s="12">
        <v>46846</v>
      </c>
      <c r="S31" s="11">
        <v>23965014</v>
      </c>
      <c r="T31" s="11"/>
      <c r="U31" s="11">
        <v>89228</v>
      </c>
      <c r="V31" s="11">
        <v>231474</v>
      </c>
      <c r="W31" s="11">
        <v>259641</v>
      </c>
      <c r="X31" s="9">
        <v>53305</v>
      </c>
      <c r="Y31" s="9">
        <v>37751</v>
      </c>
      <c r="Z31" s="9"/>
      <c r="AA31" s="9"/>
      <c r="AB31" s="9">
        <v>80214</v>
      </c>
      <c r="AC31" s="9">
        <v>250377</v>
      </c>
      <c r="AD31" s="9">
        <v>100347</v>
      </c>
      <c r="AE31" s="9"/>
      <c r="AF31" s="9"/>
      <c r="AG31" s="9"/>
      <c r="AH31" s="9"/>
      <c r="AI31" s="20"/>
      <c r="AJ31" s="9"/>
      <c r="AK31" s="9"/>
    </row>
    <row r="32" spans="1:37" ht="48.75" customHeight="1" thickBot="1" x14ac:dyDescent="0.3">
      <c r="A32" s="81"/>
      <c r="B32" s="13">
        <v>0.58333333295809098</v>
      </c>
      <c r="C32" s="14">
        <v>3758</v>
      </c>
      <c r="D32" s="14">
        <v>304656</v>
      </c>
      <c r="E32" s="14">
        <v>10377</v>
      </c>
      <c r="F32" s="14">
        <v>66334</v>
      </c>
      <c r="G32" s="14">
        <v>8834</v>
      </c>
      <c r="H32" s="14">
        <v>9530</v>
      </c>
      <c r="I32" s="14">
        <v>10</v>
      </c>
      <c r="J32" s="14">
        <v>3641</v>
      </c>
      <c r="K32" s="14">
        <v>4995</v>
      </c>
      <c r="L32" s="14">
        <v>22096</v>
      </c>
      <c r="M32" s="14">
        <v>14113</v>
      </c>
      <c r="N32" s="14">
        <v>8261992</v>
      </c>
      <c r="O32" s="14">
        <v>249204</v>
      </c>
      <c r="P32" s="14">
        <v>30974</v>
      </c>
      <c r="Q32" s="14">
        <v>7671</v>
      </c>
      <c r="R32" s="15">
        <v>46878</v>
      </c>
      <c r="S32" s="14">
        <v>23999302</v>
      </c>
      <c r="T32" s="14"/>
      <c r="U32" s="14">
        <v>89390</v>
      </c>
      <c r="V32" s="14">
        <v>231525</v>
      </c>
      <c r="W32" s="14">
        <v>259720</v>
      </c>
      <c r="X32" s="21">
        <v>53305</v>
      </c>
      <c r="Y32" s="21">
        <v>37751</v>
      </c>
      <c r="Z32" s="21">
        <v>5607</v>
      </c>
      <c r="AA32" s="21">
        <v>41624</v>
      </c>
      <c r="AB32" s="21">
        <v>80422</v>
      </c>
      <c r="AC32" s="21">
        <v>250471</v>
      </c>
      <c r="AD32" s="21">
        <v>100613</v>
      </c>
      <c r="AE32" s="21">
        <v>6880</v>
      </c>
      <c r="AF32" s="21">
        <v>32945</v>
      </c>
      <c r="AG32" s="21">
        <v>150</v>
      </c>
      <c r="AH32" s="21"/>
      <c r="AI32" s="22">
        <v>1</v>
      </c>
      <c r="AJ32" s="21">
        <v>5404</v>
      </c>
      <c r="AK32" s="21">
        <v>2676</v>
      </c>
    </row>
    <row r="33" spans="1:37" ht="48.75" customHeight="1" x14ac:dyDescent="0.25">
      <c r="A33" s="79">
        <v>46033</v>
      </c>
      <c r="B33" s="6">
        <v>0.91666666629112104</v>
      </c>
      <c r="C33" s="7">
        <v>3758</v>
      </c>
      <c r="D33" s="7">
        <v>304656</v>
      </c>
      <c r="E33" s="7">
        <v>10377</v>
      </c>
      <c r="F33" s="7">
        <v>66334</v>
      </c>
      <c r="G33" s="7">
        <v>8834</v>
      </c>
      <c r="H33" s="7">
        <v>9530</v>
      </c>
      <c r="I33" s="7">
        <v>10</v>
      </c>
      <c r="J33" s="7">
        <v>3641</v>
      </c>
      <c r="K33" s="7">
        <v>4995</v>
      </c>
      <c r="L33" s="7">
        <v>22096</v>
      </c>
      <c r="M33" s="7">
        <v>14113</v>
      </c>
      <c r="N33" s="7">
        <v>8261992</v>
      </c>
      <c r="O33" s="7">
        <v>249204</v>
      </c>
      <c r="P33" s="7">
        <v>30974</v>
      </c>
      <c r="Q33" s="7">
        <v>7671</v>
      </c>
      <c r="R33" s="8">
        <v>46878</v>
      </c>
      <c r="S33" s="7">
        <v>23999302</v>
      </c>
      <c r="T33" s="7"/>
      <c r="U33" s="7">
        <v>89390</v>
      </c>
      <c r="V33" s="7">
        <v>231525</v>
      </c>
      <c r="W33" s="7">
        <v>259720</v>
      </c>
      <c r="X33" s="18">
        <v>53305</v>
      </c>
      <c r="Y33" s="18">
        <v>37751</v>
      </c>
      <c r="Z33" s="18">
        <v>5607</v>
      </c>
      <c r="AA33" s="18">
        <v>41624</v>
      </c>
      <c r="AB33" s="18">
        <v>80422</v>
      </c>
      <c r="AC33" s="18">
        <v>250471</v>
      </c>
      <c r="AD33" s="18">
        <v>100613</v>
      </c>
      <c r="AE33" s="18">
        <v>6880</v>
      </c>
      <c r="AF33" s="18">
        <v>32945</v>
      </c>
      <c r="AG33" s="18">
        <v>150</v>
      </c>
      <c r="AH33" s="18"/>
      <c r="AI33" s="19">
        <v>1</v>
      </c>
      <c r="AJ33" s="18">
        <v>5404</v>
      </c>
      <c r="AK33" s="18">
        <v>2676</v>
      </c>
    </row>
    <row r="34" spans="1:37" ht="48.75" customHeight="1" x14ac:dyDescent="0.25">
      <c r="A34" s="80"/>
      <c r="B34" s="10">
        <v>0.24999999962415101</v>
      </c>
      <c r="C34" s="11">
        <v>3758</v>
      </c>
      <c r="D34" s="11">
        <v>304656</v>
      </c>
      <c r="E34" s="11">
        <v>10377</v>
      </c>
      <c r="F34" s="11">
        <v>66334</v>
      </c>
      <c r="G34" s="11">
        <v>8834</v>
      </c>
      <c r="H34" s="11">
        <v>9530</v>
      </c>
      <c r="I34" s="11">
        <v>10</v>
      </c>
      <c r="J34" s="11">
        <v>3641</v>
      </c>
      <c r="K34" s="11">
        <v>4995</v>
      </c>
      <c r="L34" s="11">
        <v>22096</v>
      </c>
      <c r="M34" s="11">
        <v>14113</v>
      </c>
      <c r="N34" s="11">
        <v>8261992</v>
      </c>
      <c r="O34" s="11">
        <v>249204</v>
      </c>
      <c r="P34" s="11">
        <v>30974</v>
      </c>
      <c r="Q34" s="11">
        <v>7671</v>
      </c>
      <c r="R34" s="12">
        <v>46878</v>
      </c>
      <c r="S34" s="11">
        <v>23999302</v>
      </c>
      <c r="T34" s="11"/>
      <c r="U34" s="11">
        <v>89390</v>
      </c>
      <c r="V34" s="11">
        <v>231525</v>
      </c>
      <c r="W34" s="11">
        <v>259720</v>
      </c>
      <c r="X34" s="9">
        <v>53305</v>
      </c>
      <c r="Y34" s="9">
        <v>37751</v>
      </c>
      <c r="Z34" s="9">
        <v>5607</v>
      </c>
      <c r="AA34" s="9">
        <v>41624</v>
      </c>
      <c r="AB34" s="9">
        <v>80422</v>
      </c>
      <c r="AC34" s="9">
        <v>250471</v>
      </c>
      <c r="AD34" s="9">
        <v>100613</v>
      </c>
      <c r="AE34" s="9">
        <v>6880</v>
      </c>
      <c r="AF34" s="9">
        <v>32945</v>
      </c>
      <c r="AG34" s="9">
        <v>150</v>
      </c>
      <c r="AH34" s="9"/>
      <c r="AI34" s="20">
        <v>1</v>
      </c>
      <c r="AJ34" s="9">
        <v>5404</v>
      </c>
      <c r="AK34" s="9">
        <v>2676</v>
      </c>
    </row>
    <row r="35" spans="1:37" ht="48.75" customHeight="1" thickBot="1" x14ac:dyDescent="0.3">
      <c r="A35" s="81"/>
      <c r="B35" s="13">
        <v>0.58333333295718104</v>
      </c>
      <c r="C35" s="14">
        <v>3758</v>
      </c>
      <c r="D35" s="14">
        <v>304656</v>
      </c>
      <c r="E35" s="14">
        <v>10377</v>
      </c>
      <c r="F35" s="14">
        <v>66334</v>
      </c>
      <c r="G35" s="14">
        <v>8834</v>
      </c>
      <c r="H35" s="14">
        <v>9530</v>
      </c>
      <c r="I35" s="14">
        <v>10</v>
      </c>
      <c r="J35" s="14">
        <v>3641</v>
      </c>
      <c r="K35" s="14">
        <v>4995</v>
      </c>
      <c r="L35" s="14">
        <v>22096</v>
      </c>
      <c r="M35" s="14">
        <v>14113</v>
      </c>
      <c r="N35" s="14">
        <v>8261992</v>
      </c>
      <c r="O35" s="14">
        <v>249204</v>
      </c>
      <c r="P35" s="14">
        <v>30974</v>
      </c>
      <c r="Q35" s="14">
        <v>7671</v>
      </c>
      <c r="R35" s="15">
        <v>46878</v>
      </c>
      <c r="S35" s="14">
        <v>23999302</v>
      </c>
      <c r="T35" s="14"/>
      <c r="U35" s="14">
        <v>89390</v>
      </c>
      <c r="V35" s="14">
        <v>231525</v>
      </c>
      <c r="W35" s="14">
        <v>259720</v>
      </c>
      <c r="X35" s="21">
        <v>53305</v>
      </c>
      <c r="Y35" s="21">
        <v>37751</v>
      </c>
      <c r="Z35" s="21">
        <v>5607</v>
      </c>
      <c r="AA35" s="21">
        <v>41624</v>
      </c>
      <c r="AB35" s="21">
        <v>80422</v>
      </c>
      <c r="AC35" s="21">
        <v>250471</v>
      </c>
      <c r="AD35" s="21">
        <v>100613</v>
      </c>
      <c r="AE35" s="21">
        <v>6880</v>
      </c>
      <c r="AF35" s="21">
        <v>32945</v>
      </c>
      <c r="AG35" s="21">
        <v>150</v>
      </c>
      <c r="AH35" s="21"/>
      <c r="AI35" s="22">
        <v>1</v>
      </c>
      <c r="AJ35" s="21">
        <v>5404</v>
      </c>
      <c r="AK35" s="21">
        <v>2676</v>
      </c>
    </row>
    <row r="36" spans="1:37" ht="48.75" customHeight="1" x14ac:dyDescent="0.25">
      <c r="A36" s="79">
        <v>46034</v>
      </c>
      <c r="B36" s="6">
        <v>0.91666666629009796</v>
      </c>
      <c r="C36" s="7">
        <v>3758</v>
      </c>
      <c r="D36" s="7">
        <v>304656</v>
      </c>
      <c r="E36" s="7">
        <v>10377</v>
      </c>
      <c r="F36" s="7">
        <v>66334</v>
      </c>
      <c r="G36" s="7">
        <v>8834</v>
      </c>
      <c r="H36" s="7">
        <v>9530</v>
      </c>
      <c r="I36" s="7">
        <v>10</v>
      </c>
      <c r="J36" s="7">
        <v>3641</v>
      </c>
      <c r="K36" s="7">
        <v>4995</v>
      </c>
      <c r="L36" s="7">
        <v>22096</v>
      </c>
      <c r="M36" s="7">
        <v>14113</v>
      </c>
      <c r="N36" s="7">
        <v>8261992</v>
      </c>
      <c r="O36" s="7">
        <v>249204</v>
      </c>
      <c r="P36" s="7">
        <v>30974</v>
      </c>
      <c r="Q36" s="7">
        <v>7671</v>
      </c>
      <c r="R36" s="8">
        <v>46878</v>
      </c>
      <c r="S36" s="7">
        <v>23999302</v>
      </c>
      <c r="T36" s="7"/>
      <c r="U36" s="7">
        <v>89390</v>
      </c>
      <c r="V36" s="7">
        <v>231525</v>
      </c>
      <c r="W36" s="7">
        <v>259720</v>
      </c>
      <c r="X36" s="18">
        <v>53305</v>
      </c>
      <c r="Y36" s="18">
        <v>37751</v>
      </c>
      <c r="Z36" s="18">
        <v>5607</v>
      </c>
      <c r="AA36" s="18">
        <v>41624</v>
      </c>
      <c r="AB36" s="18">
        <v>80422</v>
      </c>
      <c r="AC36" s="18">
        <v>250471</v>
      </c>
      <c r="AD36" s="18">
        <v>100613</v>
      </c>
      <c r="AE36" s="18">
        <v>6880</v>
      </c>
      <c r="AF36" s="18">
        <v>32945</v>
      </c>
      <c r="AG36" s="18">
        <v>150</v>
      </c>
      <c r="AH36" s="18"/>
      <c r="AI36" s="19">
        <v>1</v>
      </c>
      <c r="AJ36" s="18">
        <v>5404</v>
      </c>
      <c r="AK36" s="18">
        <v>2676</v>
      </c>
    </row>
    <row r="37" spans="1:37" ht="48.75" customHeight="1" x14ac:dyDescent="0.25">
      <c r="A37" s="80"/>
      <c r="B37" s="10">
        <v>0.24999999962312799</v>
      </c>
      <c r="C37" s="11">
        <v>3758</v>
      </c>
      <c r="D37" s="11">
        <v>304656</v>
      </c>
      <c r="E37" s="11">
        <v>10377</v>
      </c>
      <c r="F37" s="11">
        <v>66334</v>
      </c>
      <c r="G37" s="11">
        <v>8834</v>
      </c>
      <c r="H37" s="11">
        <v>9530</v>
      </c>
      <c r="I37" s="11">
        <v>10</v>
      </c>
      <c r="J37" s="11">
        <v>3641</v>
      </c>
      <c r="K37" s="11">
        <v>4995</v>
      </c>
      <c r="L37" s="11">
        <v>22096</v>
      </c>
      <c r="M37" s="11">
        <v>14113</v>
      </c>
      <c r="N37" s="11">
        <v>8261992</v>
      </c>
      <c r="O37" s="11">
        <v>249204</v>
      </c>
      <c r="P37" s="11">
        <v>30974</v>
      </c>
      <c r="Q37" s="11">
        <v>7671</v>
      </c>
      <c r="R37" s="12">
        <v>46878</v>
      </c>
      <c r="S37" s="11">
        <v>23999302</v>
      </c>
      <c r="T37" s="11"/>
      <c r="U37" s="11">
        <v>89390</v>
      </c>
      <c r="V37" s="11">
        <v>231525</v>
      </c>
      <c r="W37" s="11">
        <v>259720</v>
      </c>
      <c r="X37" s="9">
        <v>53305</v>
      </c>
      <c r="Y37" s="9">
        <v>37751</v>
      </c>
      <c r="Z37" s="9">
        <v>5607</v>
      </c>
      <c r="AA37" s="9">
        <v>41624</v>
      </c>
      <c r="AB37" s="9">
        <v>80422</v>
      </c>
      <c r="AC37" s="9">
        <v>250471</v>
      </c>
      <c r="AD37" s="9">
        <v>100613</v>
      </c>
      <c r="AE37" s="9">
        <v>6880</v>
      </c>
      <c r="AF37" s="9">
        <v>32945</v>
      </c>
      <c r="AG37" s="9">
        <v>150</v>
      </c>
      <c r="AH37" s="9"/>
      <c r="AI37" s="20">
        <v>1</v>
      </c>
      <c r="AJ37" s="9">
        <v>5404</v>
      </c>
      <c r="AK37" s="9">
        <v>2676</v>
      </c>
    </row>
    <row r="38" spans="1:37" ht="48.75" customHeight="1" thickBot="1" x14ac:dyDescent="0.3">
      <c r="A38" s="81"/>
      <c r="B38" s="13">
        <v>0.58333333295615797</v>
      </c>
      <c r="C38" s="14">
        <v>3758</v>
      </c>
      <c r="D38" s="14">
        <v>304656</v>
      </c>
      <c r="E38" s="14">
        <v>10377</v>
      </c>
      <c r="F38" s="14">
        <v>66334</v>
      </c>
      <c r="G38" s="14">
        <v>8834</v>
      </c>
      <c r="H38" s="14">
        <v>9530</v>
      </c>
      <c r="I38" s="14">
        <v>10</v>
      </c>
      <c r="J38" s="14">
        <v>3641</v>
      </c>
      <c r="K38" s="14">
        <v>4995</v>
      </c>
      <c r="L38" s="14">
        <v>22096</v>
      </c>
      <c r="M38" s="14">
        <v>14113</v>
      </c>
      <c r="N38" s="14">
        <v>8261992</v>
      </c>
      <c r="O38" s="14">
        <v>249204</v>
      </c>
      <c r="P38" s="14">
        <v>30974</v>
      </c>
      <c r="Q38" s="14">
        <v>7671</v>
      </c>
      <c r="R38" s="15">
        <v>46878</v>
      </c>
      <c r="S38" s="14">
        <v>23999302</v>
      </c>
      <c r="T38" s="14"/>
      <c r="U38" s="14">
        <v>89390</v>
      </c>
      <c r="V38" s="14">
        <v>231525</v>
      </c>
      <c r="W38" s="14">
        <v>259720</v>
      </c>
      <c r="X38" s="21">
        <v>53305</v>
      </c>
      <c r="Y38" s="21">
        <v>37751</v>
      </c>
      <c r="Z38" s="21">
        <v>5607</v>
      </c>
      <c r="AA38" s="21">
        <v>41624</v>
      </c>
      <c r="AB38" s="21">
        <v>80422</v>
      </c>
      <c r="AC38" s="21">
        <v>250471</v>
      </c>
      <c r="AD38" s="21">
        <v>100613</v>
      </c>
      <c r="AE38" s="21">
        <v>6880</v>
      </c>
      <c r="AF38" s="21">
        <v>32945</v>
      </c>
      <c r="AG38" s="21">
        <v>150</v>
      </c>
      <c r="AH38" s="21"/>
      <c r="AI38" s="22">
        <v>1</v>
      </c>
      <c r="AJ38" s="21">
        <v>5404</v>
      </c>
      <c r="AK38" s="21">
        <v>2676</v>
      </c>
    </row>
    <row r="39" spans="1:37" ht="48.75" customHeight="1" thickBot="1" x14ac:dyDescent="0.3">
      <c r="A39" s="79">
        <v>46035</v>
      </c>
      <c r="B39" s="6">
        <v>0.91666666628918803</v>
      </c>
      <c r="C39" s="7">
        <v>3758</v>
      </c>
      <c r="D39" s="7">
        <v>304656</v>
      </c>
      <c r="E39" s="7">
        <v>10377</v>
      </c>
      <c r="F39" s="7">
        <v>66334</v>
      </c>
      <c r="G39" s="7">
        <v>8834</v>
      </c>
      <c r="H39" s="7">
        <v>9530</v>
      </c>
      <c r="I39" s="7">
        <v>10</v>
      </c>
      <c r="J39" s="7">
        <v>3641</v>
      </c>
      <c r="K39" s="7">
        <v>4995</v>
      </c>
      <c r="L39" s="7">
        <v>22096</v>
      </c>
      <c r="M39" s="7">
        <v>14113</v>
      </c>
      <c r="N39" s="7">
        <v>8261992</v>
      </c>
      <c r="O39" s="7">
        <v>249204</v>
      </c>
      <c r="P39" s="7">
        <v>30974</v>
      </c>
      <c r="Q39" s="7">
        <v>7671</v>
      </c>
      <c r="R39" s="8">
        <v>46878</v>
      </c>
      <c r="S39" s="7">
        <v>23999302</v>
      </c>
      <c r="T39" s="7"/>
      <c r="U39" s="7">
        <v>89390</v>
      </c>
      <c r="V39" s="7">
        <v>231525</v>
      </c>
      <c r="W39" s="7">
        <v>259720</v>
      </c>
      <c r="X39" s="18">
        <v>53305</v>
      </c>
      <c r="Y39" s="18">
        <v>37751</v>
      </c>
      <c r="Z39" s="18">
        <v>5668</v>
      </c>
      <c r="AA39" s="18">
        <v>41624</v>
      </c>
      <c r="AB39" s="18">
        <v>80422</v>
      </c>
      <c r="AC39" s="18">
        <v>250471</v>
      </c>
      <c r="AD39" s="18">
        <v>100613</v>
      </c>
      <c r="AE39" s="18">
        <v>6880</v>
      </c>
      <c r="AF39" s="18">
        <v>32945</v>
      </c>
      <c r="AG39" s="18">
        <v>150</v>
      </c>
      <c r="AH39" s="18"/>
      <c r="AI39" s="19">
        <v>1</v>
      </c>
      <c r="AJ39" s="18">
        <v>5404</v>
      </c>
      <c r="AK39" s="18">
        <v>2676</v>
      </c>
    </row>
    <row r="40" spans="1:37" ht="48.75" customHeight="1" thickBot="1" x14ac:dyDescent="0.3">
      <c r="A40" s="80"/>
      <c r="B40" s="10">
        <v>0.24999999962210501</v>
      </c>
      <c r="C40" s="11">
        <v>3808</v>
      </c>
      <c r="D40" s="11">
        <v>304957</v>
      </c>
      <c r="E40" s="11">
        <v>10381</v>
      </c>
      <c r="F40" s="11">
        <v>66334</v>
      </c>
      <c r="G40" s="11">
        <v>8834</v>
      </c>
      <c r="H40" s="11">
        <v>9530</v>
      </c>
      <c r="I40" s="11">
        <v>10</v>
      </c>
      <c r="J40" s="11">
        <v>3648</v>
      </c>
      <c r="K40" s="11">
        <v>4995</v>
      </c>
      <c r="L40" s="11">
        <v>22102</v>
      </c>
      <c r="M40" s="11">
        <v>14115</v>
      </c>
      <c r="N40" s="11">
        <v>8261992</v>
      </c>
      <c r="O40" s="11">
        <v>249204</v>
      </c>
      <c r="P40" s="11">
        <v>30974</v>
      </c>
      <c r="Q40" s="11">
        <v>7671</v>
      </c>
      <c r="R40" s="11">
        <v>46889</v>
      </c>
      <c r="S40" s="11">
        <v>24065518</v>
      </c>
      <c r="T40" s="11"/>
      <c r="U40" s="11">
        <v>89856</v>
      </c>
      <c r="V40" s="11">
        <v>231525</v>
      </c>
      <c r="W40" s="11">
        <v>259720</v>
      </c>
      <c r="X40" s="23">
        <f>AVERAGE(X41,X39)</f>
        <v>53397</v>
      </c>
      <c r="Y40" s="23">
        <f>AVERAGE(Y41,Y39)</f>
        <v>37816.5</v>
      </c>
      <c r="Z40" s="18">
        <v>5668</v>
      </c>
      <c r="AA40" s="18">
        <v>41624</v>
      </c>
      <c r="AB40" s="11">
        <v>80630</v>
      </c>
      <c r="AC40" s="11">
        <v>250574</v>
      </c>
      <c r="AD40" s="12">
        <v>100848</v>
      </c>
      <c r="AE40" s="18">
        <v>6880</v>
      </c>
      <c r="AF40" s="18">
        <v>32945</v>
      </c>
      <c r="AG40" s="18">
        <v>150</v>
      </c>
      <c r="AH40" s="18"/>
      <c r="AI40" s="19">
        <v>1</v>
      </c>
      <c r="AJ40" s="18">
        <v>5404</v>
      </c>
      <c r="AK40" s="18">
        <v>2676</v>
      </c>
    </row>
    <row r="41" spans="1:37" ht="48.75" customHeight="1" thickBot="1" x14ac:dyDescent="0.3">
      <c r="A41" s="81"/>
      <c r="B41" s="13">
        <v>0.58333333295513501</v>
      </c>
      <c r="C41" s="14">
        <v>3866</v>
      </c>
      <c r="D41" s="14">
        <v>305234</v>
      </c>
      <c r="E41" s="14">
        <v>10385</v>
      </c>
      <c r="F41" s="14">
        <v>66334</v>
      </c>
      <c r="G41" s="14">
        <v>8834</v>
      </c>
      <c r="H41" s="14">
        <v>9530</v>
      </c>
      <c r="I41" s="14">
        <v>10</v>
      </c>
      <c r="J41" s="14">
        <v>3651</v>
      </c>
      <c r="K41" s="14">
        <v>4997</v>
      </c>
      <c r="L41" s="14">
        <v>22108</v>
      </c>
      <c r="M41" s="14">
        <v>14124</v>
      </c>
      <c r="N41" s="14">
        <v>8261992</v>
      </c>
      <c r="O41" s="14">
        <v>249204</v>
      </c>
      <c r="P41" s="14">
        <v>30974</v>
      </c>
      <c r="Q41" s="14">
        <v>7671</v>
      </c>
      <c r="R41" s="14">
        <v>46929</v>
      </c>
      <c r="S41" s="14">
        <v>24131871</v>
      </c>
      <c r="T41" s="14"/>
      <c r="U41" s="14">
        <v>90451</v>
      </c>
      <c r="V41" s="14">
        <v>231651</v>
      </c>
      <c r="W41" s="14">
        <v>259915</v>
      </c>
      <c r="X41" s="14">
        <v>53489</v>
      </c>
      <c r="Y41" s="14">
        <v>37882</v>
      </c>
      <c r="Z41" s="18">
        <v>5668</v>
      </c>
      <c r="AA41" s="18">
        <v>41624</v>
      </c>
      <c r="AB41" s="14">
        <v>80841</v>
      </c>
      <c r="AC41" s="14">
        <v>250674</v>
      </c>
      <c r="AD41" s="14"/>
      <c r="AE41" s="18">
        <v>6880</v>
      </c>
      <c r="AF41" s="18">
        <v>32945</v>
      </c>
      <c r="AG41" s="18">
        <v>150</v>
      </c>
      <c r="AH41" s="18"/>
      <c r="AI41" s="19">
        <v>1</v>
      </c>
      <c r="AJ41" s="18">
        <v>5404</v>
      </c>
      <c r="AK41" s="18">
        <v>2676</v>
      </c>
    </row>
    <row r="42" spans="1:37" ht="48.75" customHeight="1" x14ac:dyDescent="0.25">
      <c r="A42" s="79">
        <v>46036</v>
      </c>
      <c r="B42" s="6">
        <v>0.91666666628816496</v>
      </c>
      <c r="C42" s="7">
        <v>3917</v>
      </c>
      <c r="D42" s="7">
        <v>305552</v>
      </c>
      <c r="E42" s="7">
        <v>101389</v>
      </c>
      <c r="F42" s="7">
        <v>66334</v>
      </c>
      <c r="G42" s="7">
        <v>8834</v>
      </c>
      <c r="H42" s="7">
        <v>9530</v>
      </c>
      <c r="I42" s="7">
        <v>10</v>
      </c>
      <c r="J42" s="7">
        <v>3654</v>
      </c>
      <c r="K42" s="7">
        <v>4999</v>
      </c>
      <c r="L42" s="7">
        <v>22115</v>
      </c>
      <c r="M42" s="7">
        <v>14131</v>
      </c>
      <c r="N42" s="7">
        <v>8415394</v>
      </c>
      <c r="O42" s="7">
        <v>249319</v>
      </c>
      <c r="P42" s="7">
        <v>30974</v>
      </c>
      <c r="Q42" s="7">
        <v>7671</v>
      </c>
      <c r="R42" s="8">
        <v>46947</v>
      </c>
      <c r="S42" s="7">
        <v>24205553</v>
      </c>
      <c r="T42" s="7"/>
      <c r="U42" s="7">
        <v>90999</v>
      </c>
      <c r="V42" s="7">
        <v>231796</v>
      </c>
      <c r="W42" s="7">
        <v>260198</v>
      </c>
      <c r="X42" s="18">
        <v>53647</v>
      </c>
      <c r="Y42" s="18">
        <v>38011</v>
      </c>
      <c r="Z42" s="18">
        <v>5668</v>
      </c>
      <c r="AA42" s="18">
        <v>41697</v>
      </c>
      <c r="AB42" s="18">
        <v>81083</v>
      </c>
      <c r="AC42" s="18">
        <v>250791</v>
      </c>
      <c r="AD42" s="18"/>
      <c r="AE42" s="18">
        <v>6887</v>
      </c>
      <c r="AF42" s="18">
        <v>32964</v>
      </c>
      <c r="AG42" s="18">
        <v>150</v>
      </c>
      <c r="AH42" s="18"/>
      <c r="AI42" s="19">
        <v>1</v>
      </c>
      <c r="AJ42" s="18">
        <v>5410</v>
      </c>
      <c r="AK42" s="18">
        <v>2676</v>
      </c>
    </row>
    <row r="43" spans="1:37" ht="48.75" customHeight="1" x14ac:dyDescent="0.25">
      <c r="A43" s="80"/>
      <c r="B43" s="10">
        <v>0.24999999962108199</v>
      </c>
      <c r="C43" s="11">
        <v>3955</v>
      </c>
      <c r="D43" s="11">
        <v>305862</v>
      </c>
      <c r="E43" s="11">
        <v>10394</v>
      </c>
      <c r="F43" s="11">
        <v>66334</v>
      </c>
      <c r="G43" s="11">
        <v>8834</v>
      </c>
      <c r="H43" s="11">
        <v>9530</v>
      </c>
      <c r="I43" s="11">
        <v>10</v>
      </c>
      <c r="J43" s="11">
        <v>3661</v>
      </c>
      <c r="K43" s="11">
        <v>5009</v>
      </c>
      <c r="L43" s="11">
        <v>22124</v>
      </c>
      <c r="M43" s="11">
        <v>14138</v>
      </c>
      <c r="N43" s="11">
        <v>8711792</v>
      </c>
      <c r="O43" s="11">
        <v>249557</v>
      </c>
      <c r="P43" s="11">
        <v>30974</v>
      </c>
      <c r="Q43" s="11">
        <v>7671</v>
      </c>
      <c r="R43" s="12">
        <v>46969</v>
      </c>
      <c r="S43" s="11">
        <v>24252301</v>
      </c>
      <c r="T43" s="11"/>
      <c r="U43" s="11">
        <v>91530</v>
      </c>
      <c r="V43" s="11">
        <v>231919</v>
      </c>
      <c r="W43" s="11">
        <v>260514</v>
      </c>
      <c r="X43" s="9">
        <f>AVERAGE(X44,X42)</f>
        <v>53781.5</v>
      </c>
      <c r="Y43" s="9">
        <f>AVERAGE(Y44,Y42)</f>
        <v>38117.5</v>
      </c>
      <c r="Z43" s="9">
        <v>5668</v>
      </c>
      <c r="AA43" s="9">
        <v>41697</v>
      </c>
      <c r="AB43" s="9">
        <v>81275</v>
      </c>
      <c r="AC43" s="9">
        <v>250905</v>
      </c>
      <c r="AD43" s="9"/>
      <c r="AE43" s="9">
        <v>6887</v>
      </c>
      <c r="AF43" s="9">
        <v>32964</v>
      </c>
      <c r="AG43" s="9">
        <v>150</v>
      </c>
      <c r="AH43" s="9"/>
      <c r="AI43" s="20">
        <v>1</v>
      </c>
      <c r="AJ43" s="9">
        <v>5410</v>
      </c>
      <c r="AK43" s="9">
        <v>2676</v>
      </c>
    </row>
    <row r="44" spans="1:37" ht="48.75" customHeight="1" thickBot="1" x14ac:dyDescent="0.3">
      <c r="A44" s="81"/>
      <c r="B44" s="13">
        <v>0.58333333295411205</v>
      </c>
      <c r="C44" s="14">
        <v>3990</v>
      </c>
      <c r="D44" s="14">
        <v>306129</v>
      </c>
      <c r="E44" s="14">
        <v>10397</v>
      </c>
      <c r="F44" s="14">
        <v>66334</v>
      </c>
      <c r="G44" s="14">
        <v>8834</v>
      </c>
      <c r="H44" s="14">
        <v>9530</v>
      </c>
      <c r="I44" s="14">
        <v>10</v>
      </c>
      <c r="J44" s="14">
        <v>3661</v>
      </c>
      <c r="K44" s="14">
        <v>5010</v>
      </c>
      <c r="L44" s="14">
        <v>22128</v>
      </c>
      <c r="M44" s="14">
        <v>14144</v>
      </c>
      <c r="N44" s="14">
        <v>8943654</v>
      </c>
      <c r="O44" s="14">
        <v>249741</v>
      </c>
      <c r="P44" s="14">
        <v>30974</v>
      </c>
      <c r="Q44" s="14">
        <v>76671</v>
      </c>
      <c r="R44" s="15">
        <v>47004</v>
      </c>
      <c r="S44" s="14">
        <v>24315218</v>
      </c>
      <c r="T44" s="14"/>
      <c r="U44" s="14">
        <v>92036</v>
      </c>
      <c r="V44" s="14">
        <v>231982</v>
      </c>
      <c r="W44" s="14">
        <v>260810</v>
      </c>
      <c r="X44" s="21">
        <v>53916</v>
      </c>
      <c r="Y44" s="21">
        <v>38224</v>
      </c>
      <c r="Z44" s="21">
        <v>5668</v>
      </c>
      <c r="AA44" s="21">
        <v>41697</v>
      </c>
      <c r="AB44" s="21">
        <v>81442</v>
      </c>
      <c r="AC44" s="21">
        <v>251008</v>
      </c>
      <c r="AD44" s="21"/>
      <c r="AE44" s="21">
        <v>6887</v>
      </c>
      <c r="AF44" s="21">
        <v>32964</v>
      </c>
      <c r="AG44" s="21">
        <v>150</v>
      </c>
      <c r="AH44" s="21"/>
      <c r="AI44" s="22">
        <v>1</v>
      </c>
      <c r="AJ44" s="21">
        <v>5410</v>
      </c>
      <c r="AK44" s="21">
        <v>2676</v>
      </c>
    </row>
    <row r="45" spans="1:37" ht="48.75" customHeight="1" x14ac:dyDescent="0.25">
      <c r="A45" s="79">
        <v>46037</v>
      </c>
      <c r="B45" s="6">
        <v>0.916666666287142</v>
      </c>
      <c r="C45" s="7">
        <v>4018</v>
      </c>
      <c r="D45" s="7">
        <v>306465</v>
      </c>
      <c r="E45" s="7">
        <v>10401</v>
      </c>
      <c r="F45" s="7">
        <v>66334</v>
      </c>
      <c r="G45" s="7">
        <v>8834</v>
      </c>
      <c r="H45" s="7">
        <v>9530</v>
      </c>
      <c r="I45" s="7">
        <v>10</v>
      </c>
      <c r="J45" s="7">
        <v>3663</v>
      </c>
      <c r="K45" s="7">
        <v>5014</v>
      </c>
      <c r="L45" s="7">
        <v>22136</v>
      </c>
      <c r="M45" s="7">
        <v>14152</v>
      </c>
      <c r="N45" s="7">
        <v>9348872</v>
      </c>
      <c r="O45" s="7">
        <v>250051</v>
      </c>
      <c r="P45" s="7">
        <v>30974</v>
      </c>
      <c r="Q45" s="7">
        <v>7671</v>
      </c>
      <c r="R45" s="8">
        <v>47025</v>
      </c>
      <c r="S45" s="7">
        <v>24378904</v>
      </c>
      <c r="T45" s="7"/>
      <c r="U45" s="7">
        <f>AVERAGE(U46,U44)</f>
        <v>92271.5</v>
      </c>
      <c r="V45" s="7">
        <v>232067</v>
      </c>
      <c r="W45" s="7">
        <v>261190</v>
      </c>
      <c r="X45" s="18">
        <v>54051</v>
      </c>
      <c r="Y45" s="18">
        <v>38332</v>
      </c>
      <c r="Z45" s="18">
        <v>5668</v>
      </c>
      <c r="AA45" s="18">
        <v>41752</v>
      </c>
      <c r="AB45" s="18">
        <v>81499</v>
      </c>
      <c r="AC45" s="18">
        <v>251127</v>
      </c>
      <c r="AD45" s="18"/>
      <c r="AE45" s="18">
        <v>6901</v>
      </c>
      <c r="AF45" s="18">
        <v>33089</v>
      </c>
      <c r="AG45" s="18">
        <v>150</v>
      </c>
      <c r="AH45" s="18"/>
      <c r="AI45" s="19">
        <v>1</v>
      </c>
      <c r="AJ45" s="18">
        <v>5469</v>
      </c>
      <c r="AK45" s="18">
        <v>2676</v>
      </c>
    </row>
    <row r="46" spans="1:37" ht="48.75" customHeight="1" x14ac:dyDescent="0.25">
      <c r="A46" s="80"/>
      <c r="B46" s="10">
        <v>0.249999999620172</v>
      </c>
      <c r="C46" s="11">
        <v>4041</v>
      </c>
      <c r="D46" s="11">
        <v>306813</v>
      </c>
      <c r="E46" s="11">
        <v>10405</v>
      </c>
      <c r="F46" s="11">
        <v>66334</v>
      </c>
      <c r="G46" s="11">
        <v>8834</v>
      </c>
      <c r="H46" s="11">
        <v>9530</v>
      </c>
      <c r="I46" s="11">
        <v>10</v>
      </c>
      <c r="J46" s="11">
        <v>3664</v>
      </c>
      <c r="K46" s="11">
        <v>5018</v>
      </c>
      <c r="L46" s="11">
        <v>22143</v>
      </c>
      <c r="M46" s="11">
        <v>14158</v>
      </c>
      <c r="N46" s="11">
        <v>245093</v>
      </c>
      <c r="O46" s="11">
        <v>250408</v>
      </c>
      <c r="P46" s="11">
        <v>30974</v>
      </c>
      <c r="Q46" s="11">
        <v>7671</v>
      </c>
      <c r="R46" s="12">
        <v>47042</v>
      </c>
      <c r="S46" s="11">
        <v>24444420</v>
      </c>
      <c r="T46" s="11"/>
      <c r="U46" s="11">
        <v>92507</v>
      </c>
      <c r="V46" s="11">
        <v>232209</v>
      </c>
      <c r="W46" s="11">
        <v>261520</v>
      </c>
      <c r="X46" s="9">
        <v>54177</v>
      </c>
      <c r="Y46" s="9">
        <v>38432</v>
      </c>
      <c r="Z46" s="9">
        <v>5668</v>
      </c>
      <c r="AA46" s="9">
        <v>41752</v>
      </c>
      <c r="AB46" s="9">
        <v>81499</v>
      </c>
      <c r="AC46" s="9">
        <v>251229</v>
      </c>
      <c r="AD46" s="9"/>
      <c r="AE46" s="9">
        <v>6901</v>
      </c>
      <c r="AF46" s="9">
        <v>33089</v>
      </c>
      <c r="AG46" s="9">
        <v>150</v>
      </c>
      <c r="AH46" s="9"/>
      <c r="AI46" s="20">
        <v>1</v>
      </c>
      <c r="AJ46" s="9">
        <v>5469</v>
      </c>
      <c r="AK46" s="9">
        <v>2676</v>
      </c>
    </row>
    <row r="47" spans="1:37" ht="48.75" customHeight="1" thickBot="1" x14ac:dyDescent="0.3">
      <c r="A47" s="81"/>
      <c r="B47" s="13">
        <v>0.58333333295308898</v>
      </c>
      <c r="C47" s="14">
        <v>4066</v>
      </c>
      <c r="D47" s="14">
        <v>307109</v>
      </c>
      <c r="E47" s="14">
        <v>10409</v>
      </c>
      <c r="F47" s="14">
        <v>66334</v>
      </c>
      <c r="G47" s="14">
        <v>8834</v>
      </c>
      <c r="H47" s="14">
        <v>9530</v>
      </c>
      <c r="I47" s="14">
        <v>10</v>
      </c>
      <c r="J47" s="14">
        <v>3661</v>
      </c>
      <c r="K47" s="14">
        <v>5012</v>
      </c>
      <c r="L47" s="14">
        <v>22147</v>
      </c>
      <c r="M47" s="14">
        <v>14162</v>
      </c>
      <c r="N47" s="14">
        <v>249541</v>
      </c>
      <c r="O47" s="14">
        <v>250753</v>
      </c>
      <c r="P47" s="14">
        <v>30974</v>
      </c>
      <c r="Q47" s="14">
        <v>7671</v>
      </c>
      <c r="R47" s="15">
        <v>47076</v>
      </c>
      <c r="S47" s="14">
        <v>24494556</v>
      </c>
      <c r="T47" s="14"/>
      <c r="U47" s="14">
        <v>92754</v>
      </c>
      <c r="V47" s="14">
        <v>232270</v>
      </c>
      <c r="W47" s="14">
        <v>261886</v>
      </c>
      <c r="X47" s="21">
        <v>54311</v>
      </c>
      <c r="Y47" s="21">
        <v>38539</v>
      </c>
      <c r="Z47" s="21">
        <v>5668</v>
      </c>
      <c r="AA47" s="21">
        <v>41752</v>
      </c>
      <c r="AB47" s="21">
        <v>81499</v>
      </c>
      <c r="AC47" s="21">
        <v>251380</v>
      </c>
      <c r="AD47" s="21"/>
      <c r="AE47" s="21">
        <v>6901</v>
      </c>
      <c r="AF47" s="21">
        <v>33089</v>
      </c>
      <c r="AG47" s="21">
        <v>150</v>
      </c>
      <c r="AH47" s="21"/>
      <c r="AI47" s="22">
        <v>1</v>
      </c>
      <c r="AJ47" s="21">
        <v>5469</v>
      </c>
      <c r="AK47" s="21">
        <v>2676</v>
      </c>
    </row>
    <row r="48" spans="1:37" ht="48.75" customHeight="1" x14ac:dyDescent="0.25">
      <c r="A48" s="79">
        <v>46038</v>
      </c>
      <c r="B48" s="6">
        <v>0.91666666628611904</v>
      </c>
      <c r="C48" s="7">
        <v>4110</v>
      </c>
      <c r="D48" s="7">
        <v>307413</v>
      </c>
      <c r="E48" s="7">
        <v>10412</v>
      </c>
      <c r="F48" s="7">
        <v>66334</v>
      </c>
      <c r="G48" s="7">
        <v>8834</v>
      </c>
      <c r="H48" s="7">
        <v>9530</v>
      </c>
      <c r="I48" s="7">
        <v>10</v>
      </c>
      <c r="J48" s="7">
        <v>3671</v>
      </c>
      <c r="K48" s="7">
        <v>5018</v>
      </c>
      <c r="L48" s="7">
        <v>22157</v>
      </c>
      <c r="M48" s="7">
        <v>14168</v>
      </c>
      <c r="N48" s="7">
        <v>698004</v>
      </c>
      <c r="O48" s="7">
        <v>251106</v>
      </c>
      <c r="P48" s="7">
        <v>30974</v>
      </c>
      <c r="Q48" s="7">
        <v>7671</v>
      </c>
      <c r="R48" s="8">
        <v>47102</v>
      </c>
      <c r="S48" s="7">
        <v>24577687</v>
      </c>
      <c r="T48" s="7"/>
      <c r="U48" s="7">
        <v>93374</v>
      </c>
      <c r="V48" s="7">
        <v>232374</v>
      </c>
      <c r="W48" s="7">
        <v>262338</v>
      </c>
      <c r="X48" s="18">
        <v>54405</v>
      </c>
      <c r="Y48" s="18">
        <v>38613</v>
      </c>
      <c r="Z48" s="18">
        <v>5668</v>
      </c>
      <c r="AA48" s="18">
        <v>41826</v>
      </c>
      <c r="AB48" s="18">
        <v>81569</v>
      </c>
      <c r="AC48" s="18">
        <v>251467</v>
      </c>
      <c r="AD48" s="18"/>
      <c r="AE48" s="18">
        <v>6915</v>
      </c>
      <c r="AF48" s="18">
        <v>33121</v>
      </c>
      <c r="AG48" s="18">
        <v>150</v>
      </c>
      <c r="AH48" s="18"/>
      <c r="AI48" s="19">
        <v>1</v>
      </c>
      <c r="AJ48" s="18">
        <v>5489</v>
      </c>
      <c r="AK48" s="18">
        <v>2676</v>
      </c>
    </row>
    <row r="49" spans="1:37" ht="48.75" customHeight="1" x14ac:dyDescent="0.25">
      <c r="A49" s="80"/>
      <c r="B49" s="10">
        <v>0.24999999961914901</v>
      </c>
      <c r="C49" s="11">
        <v>4133</v>
      </c>
      <c r="D49" s="11">
        <v>307711</v>
      </c>
      <c r="E49" s="11">
        <v>10415</v>
      </c>
      <c r="F49" s="11">
        <v>66334</v>
      </c>
      <c r="G49" s="11">
        <v>8834</v>
      </c>
      <c r="H49" s="11">
        <v>9530</v>
      </c>
      <c r="I49" s="11">
        <v>10</v>
      </c>
      <c r="J49" s="11">
        <v>3673</v>
      </c>
      <c r="K49" s="11">
        <v>5018</v>
      </c>
      <c r="L49" s="11">
        <v>22165</v>
      </c>
      <c r="M49" s="11">
        <v>14174</v>
      </c>
      <c r="N49" s="11">
        <v>1063953</v>
      </c>
      <c r="O49" s="11">
        <v>251387</v>
      </c>
      <c r="P49" s="11">
        <v>30974</v>
      </c>
      <c r="Q49" s="11">
        <v>7671</v>
      </c>
      <c r="R49" s="12">
        <v>47120</v>
      </c>
      <c r="S49" s="11">
        <v>24636192</v>
      </c>
      <c r="T49" s="11"/>
      <c r="U49" s="11">
        <v>93824</v>
      </c>
      <c r="V49" s="11">
        <v>232418</v>
      </c>
      <c r="W49" s="11">
        <v>262712</v>
      </c>
      <c r="X49" s="9">
        <v>54547</v>
      </c>
      <c r="Y49" s="9">
        <v>38725</v>
      </c>
      <c r="Z49" s="9">
        <v>5668</v>
      </c>
      <c r="AA49" s="9">
        <v>41826</v>
      </c>
      <c r="AB49" s="9">
        <v>81625</v>
      </c>
      <c r="AC49" s="9">
        <v>251587</v>
      </c>
      <c r="AD49" s="9"/>
      <c r="AE49" s="9">
        <v>6915</v>
      </c>
      <c r="AF49" s="9">
        <v>33121</v>
      </c>
      <c r="AG49" s="9">
        <v>150</v>
      </c>
      <c r="AH49" s="9"/>
      <c r="AI49" s="20">
        <v>1</v>
      </c>
      <c r="AJ49" s="9">
        <v>5489</v>
      </c>
      <c r="AK49" s="9">
        <v>2676</v>
      </c>
    </row>
    <row r="50" spans="1:37" ht="48.75" customHeight="1" thickBot="1" x14ac:dyDescent="0.3">
      <c r="A50" s="81"/>
      <c r="B50" s="13">
        <v>0.58333333295217904</v>
      </c>
      <c r="C50" s="14">
        <v>4161</v>
      </c>
      <c r="D50" s="14">
        <v>307928</v>
      </c>
      <c r="E50" s="14">
        <v>10417</v>
      </c>
      <c r="F50" s="14">
        <v>66334</v>
      </c>
      <c r="G50" s="14">
        <v>88334</v>
      </c>
      <c r="H50" s="14">
        <v>9530</v>
      </c>
      <c r="I50" s="14">
        <v>10</v>
      </c>
      <c r="J50" s="14">
        <v>3674</v>
      </c>
      <c r="K50" s="14">
        <v>5020</v>
      </c>
      <c r="L50" s="14">
        <v>22171</v>
      </c>
      <c r="M50" s="14">
        <v>14181</v>
      </c>
      <c r="N50" s="14">
        <v>1325201</v>
      </c>
      <c r="O50" s="14">
        <v>251599</v>
      </c>
      <c r="P50" s="14">
        <v>30974</v>
      </c>
      <c r="Q50" s="14">
        <v>7671</v>
      </c>
      <c r="R50" s="15">
        <v>47150</v>
      </c>
      <c r="S50" s="14">
        <v>24680161</v>
      </c>
      <c r="T50" s="14"/>
      <c r="U50" s="14">
        <v>94209</v>
      </c>
      <c r="V50" s="14">
        <v>232476</v>
      </c>
      <c r="W50" s="14">
        <v>262976</v>
      </c>
      <c r="X50" s="21">
        <v>54614</v>
      </c>
      <c r="Y50" s="21">
        <v>38781</v>
      </c>
      <c r="Z50" s="21">
        <v>5668</v>
      </c>
      <c r="AA50" s="21">
        <v>41826</v>
      </c>
      <c r="AB50" s="21">
        <v>81724</v>
      </c>
      <c r="AC50" s="21">
        <v>251619</v>
      </c>
      <c r="AD50" s="21"/>
      <c r="AE50" s="21">
        <v>6915</v>
      </c>
      <c r="AF50" s="21">
        <v>33121</v>
      </c>
      <c r="AG50" s="21">
        <v>150</v>
      </c>
      <c r="AH50" s="21"/>
      <c r="AI50" s="22">
        <v>1</v>
      </c>
      <c r="AJ50" s="21">
        <v>5489</v>
      </c>
      <c r="AK50" s="21">
        <v>2676</v>
      </c>
    </row>
    <row r="51" spans="1:37" ht="48.75" customHeight="1" x14ac:dyDescent="0.25">
      <c r="A51" s="79">
        <v>46039</v>
      </c>
      <c r="B51" s="6">
        <v>0.91666666628509597</v>
      </c>
      <c r="C51" s="7">
        <v>4193</v>
      </c>
      <c r="D51" s="7">
        <v>308170</v>
      </c>
      <c r="E51" s="7">
        <v>10420</v>
      </c>
      <c r="F51" s="7">
        <v>66334</v>
      </c>
      <c r="G51" s="7">
        <v>88334</v>
      </c>
      <c r="H51" s="7">
        <v>9530</v>
      </c>
      <c r="I51" s="7">
        <v>10</v>
      </c>
      <c r="J51" s="7">
        <v>3674</v>
      </c>
      <c r="K51" s="7">
        <v>5020</v>
      </c>
      <c r="L51" s="7">
        <v>22178</v>
      </c>
      <c r="M51" s="7">
        <v>14185</v>
      </c>
      <c r="N51" s="7">
        <v>1539257</v>
      </c>
      <c r="O51" s="7">
        <v>251730</v>
      </c>
      <c r="P51" s="7">
        <v>30974</v>
      </c>
      <c r="Q51" s="7">
        <v>7671</v>
      </c>
      <c r="R51" s="8">
        <v>47169</v>
      </c>
      <c r="S51" s="7">
        <v>24747733</v>
      </c>
      <c r="T51" s="7"/>
      <c r="U51" s="7">
        <v>94657</v>
      </c>
      <c r="V51" s="7">
        <v>232530</v>
      </c>
      <c r="W51" s="7">
        <v>263128</v>
      </c>
      <c r="X51" s="18">
        <v>54680</v>
      </c>
      <c r="Y51" s="18">
        <v>38832</v>
      </c>
      <c r="Z51" s="18">
        <v>5668</v>
      </c>
      <c r="AA51" s="18">
        <v>41905</v>
      </c>
      <c r="AB51" s="18">
        <v>81824</v>
      </c>
      <c r="AC51" s="18">
        <v>251636</v>
      </c>
      <c r="AD51" s="18"/>
      <c r="AE51" s="18">
        <v>6918</v>
      </c>
      <c r="AF51" s="18">
        <v>33219</v>
      </c>
      <c r="AG51" s="18">
        <v>150</v>
      </c>
      <c r="AH51" s="18"/>
      <c r="AI51" s="19">
        <v>1</v>
      </c>
      <c r="AJ51" s="18">
        <v>5493</v>
      </c>
      <c r="AK51" s="18">
        <v>2676</v>
      </c>
    </row>
    <row r="52" spans="1:37" ht="48.75" customHeight="1" x14ac:dyDescent="0.25">
      <c r="A52" s="80"/>
      <c r="B52" s="10">
        <v>0.249999999618126</v>
      </c>
      <c r="C52" s="11">
        <v>4233</v>
      </c>
      <c r="D52" s="11">
        <v>308463</v>
      </c>
      <c r="E52" s="11">
        <v>10423</v>
      </c>
      <c r="F52" s="11">
        <v>66334</v>
      </c>
      <c r="G52" s="11">
        <v>88334</v>
      </c>
      <c r="H52" s="11">
        <v>9530</v>
      </c>
      <c r="I52" s="11">
        <v>10</v>
      </c>
      <c r="J52" s="11">
        <v>3680</v>
      </c>
      <c r="K52" s="11">
        <v>5020</v>
      </c>
      <c r="L52" s="11">
        <v>22184</v>
      </c>
      <c r="M52" s="11">
        <v>14188</v>
      </c>
      <c r="N52" s="11">
        <v>1890123</v>
      </c>
      <c r="O52" s="11">
        <v>251991</v>
      </c>
      <c r="P52" s="11">
        <v>30974</v>
      </c>
      <c r="Q52" s="11">
        <v>7671</v>
      </c>
      <c r="R52" s="12">
        <v>47183</v>
      </c>
      <c r="S52" s="11">
        <v>24767674</v>
      </c>
      <c r="T52" s="11"/>
      <c r="U52" s="11">
        <v>95099</v>
      </c>
      <c r="V52" s="11">
        <v>232606</v>
      </c>
      <c r="W52" s="11">
        <v>263364</v>
      </c>
      <c r="X52" s="9">
        <v>54803</v>
      </c>
      <c r="Y52" s="9">
        <v>38926</v>
      </c>
      <c r="Z52" s="9">
        <v>5668</v>
      </c>
      <c r="AA52" s="9">
        <v>41905</v>
      </c>
      <c r="AB52" s="9">
        <v>82033</v>
      </c>
      <c r="AC52" s="9">
        <v>251749</v>
      </c>
      <c r="AD52" s="9"/>
      <c r="AE52" s="9">
        <v>6918</v>
      </c>
      <c r="AF52" s="9">
        <v>33219</v>
      </c>
      <c r="AG52" s="9">
        <v>150</v>
      </c>
      <c r="AH52" s="9"/>
      <c r="AI52" s="20">
        <v>1</v>
      </c>
      <c r="AJ52" s="9">
        <v>5493</v>
      </c>
      <c r="AK52" s="9">
        <v>2676</v>
      </c>
    </row>
    <row r="53" spans="1:37" ht="48.75" customHeight="1" thickBot="1" x14ac:dyDescent="0.3">
      <c r="A53" s="81"/>
      <c r="B53" s="13">
        <v>0.58333333295115597</v>
      </c>
      <c r="C53" s="14">
        <f>AVERAGE(C54,C52)</f>
        <v>4255</v>
      </c>
      <c r="D53" s="14">
        <v>308651</v>
      </c>
      <c r="E53" s="14">
        <v>10425</v>
      </c>
      <c r="F53" s="14">
        <v>66334</v>
      </c>
      <c r="G53" s="14">
        <v>88334</v>
      </c>
      <c r="H53" s="14">
        <v>9530</v>
      </c>
      <c r="I53" s="14">
        <v>10</v>
      </c>
      <c r="J53" s="14">
        <v>3682</v>
      </c>
      <c r="K53" s="14">
        <v>5024</v>
      </c>
      <c r="L53" s="14">
        <v>22184</v>
      </c>
      <c r="M53" s="14">
        <v>14191</v>
      </c>
      <c r="N53" s="14">
        <v>2002513</v>
      </c>
      <c r="O53" s="14">
        <v>252074</v>
      </c>
      <c r="P53" s="14">
        <v>30974</v>
      </c>
      <c r="Q53" s="14">
        <v>7671</v>
      </c>
      <c r="R53" s="15">
        <v>47200</v>
      </c>
      <c r="S53" s="14">
        <v>24781683</v>
      </c>
      <c r="T53" s="14"/>
      <c r="U53" s="14">
        <v>95364</v>
      </c>
      <c r="V53" s="14">
        <v>232613</v>
      </c>
      <c r="W53" s="14">
        <v>263565</v>
      </c>
      <c r="X53" s="21">
        <v>54878</v>
      </c>
      <c r="Y53" s="21">
        <v>38982</v>
      </c>
      <c r="Z53" s="21">
        <v>5668</v>
      </c>
      <c r="AA53" s="21">
        <v>42480</v>
      </c>
      <c r="AB53" s="21">
        <v>82059</v>
      </c>
      <c r="AC53" s="21">
        <v>251821</v>
      </c>
      <c r="AD53" s="21"/>
      <c r="AE53" s="21">
        <v>6918</v>
      </c>
      <c r="AF53" s="21">
        <v>33219</v>
      </c>
      <c r="AG53" s="21">
        <v>150</v>
      </c>
      <c r="AH53" s="21"/>
      <c r="AI53" s="22">
        <v>1</v>
      </c>
      <c r="AJ53" s="21">
        <v>5493</v>
      </c>
      <c r="AK53" s="21">
        <v>2676</v>
      </c>
    </row>
    <row r="54" spans="1:37" ht="48.75" customHeight="1" x14ac:dyDescent="0.25">
      <c r="A54" s="79">
        <v>46040</v>
      </c>
      <c r="B54" s="6">
        <v>0.91666666628418603</v>
      </c>
      <c r="C54" s="7">
        <v>4277</v>
      </c>
      <c r="D54" s="7">
        <v>308787</v>
      </c>
      <c r="E54" s="7">
        <v>10427</v>
      </c>
      <c r="F54" s="7">
        <v>66334</v>
      </c>
      <c r="G54" s="7">
        <v>88334</v>
      </c>
      <c r="H54" s="7">
        <v>9530</v>
      </c>
      <c r="I54" s="7">
        <v>10</v>
      </c>
      <c r="J54" s="7">
        <v>3682</v>
      </c>
      <c r="K54" s="7">
        <v>5025</v>
      </c>
      <c r="L54" s="7">
        <v>22190</v>
      </c>
      <c r="M54" s="7">
        <v>14182</v>
      </c>
      <c r="N54" s="7">
        <v>2002513</v>
      </c>
      <c r="O54" s="7">
        <v>252074</v>
      </c>
      <c r="P54" s="7">
        <v>30974</v>
      </c>
      <c r="Q54" s="7">
        <v>7671</v>
      </c>
      <c r="R54" s="8">
        <v>47205</v>
      </c>
      <c r="S54" s="7">
        <v>24796028</v>
      </c>
      <c r="T54" s="7"/>
      <c r="U54" s="7">
        <v>95597</v>
      </c>
      <c r="V54" s="7">
        <v>232625</v>
      </c>
      <c r="W54" s="7">
        <v>263730</v>
      </c>
      <c r="X54" s="18">
        <v>54954</v>
      </c>
      <c r="Y54" s="18">
        <v>39037</v>
      </c>
      <c r="Z54" s="18">
        <v>5701</v>
      </c>
      <c r="AA54" s="18">
        <v>41838</v>
      </c>
      <c r="AB54" s="18">
        <v>82161</v>
      </c>
      <c r="AC54" s="18">
        <v>252251</v>
      </c>
      <c r="AD54" s="18"/>
      <c r="AE54" s="18">
        <v>6920</v>
      </c>
      <c r="AF54" s="18">
        <v>33278</v>
      </c>
      <c r="AG54" s="18"/>
      <c r="AH54" s="18"/>
      <c r="AI54" s="19"/>
      <c r="AJ54" s="18">
        <v>5513</v>
      </c>
      <c r="AK54" s="18">
        <v>2676</v>
      </c>
    </row>
    <row r="55" spans="1:37" ht="48.75" customHeight="1" x14ac:dyDescent="0.25">
      <c r="A55" s="80"/>
      <c r="B55" s="10">
        <v>0.24999999961710301</v>
      </c>
      <c r="C55" s="11">
        <v>4277</v>
      </c>
      <c r="D55" s="11">
        <v>308787</v>
      </c>
      <c r="E55" s="11">
        <v>10427</v>
      </c>
      <c r="F55" s="11">
        <v>66334</v>
      </c>
      <c r="G55" s="11">
        <v>88334</v>
      </c>
      <c r="H55" s="11">
        <v>9530</v>
      </c>
      <c r="I55" s="11">
        <v>10</v>
      </c>
      <c r="J55" s="11">
        <v>3682</v>
      </c>
      <c r="K55" s="11">
        <v>5025</v>
      </c>
      <c r="L55" s="11">
        <v>22190</v>
      </c>
      <c r="M55" s="11">
        <v>14182</v>
      </c>
      <c r="N55" s="11">
        <v>2002513</v>
      </c>
      <c r="O55" s="11">
        <v>252074</v>
      </c>
      <c r="P55" s="11">
        <v>30974</v>
      </c>
      <c r="Q55" s="11">
        <v>7671</v>
      </c>
      <c r="R55" s="12">
        <v>47205</v>
      </c>
      <c r="S55" s="11">
        <v>24796028</v>
      </c>
      <c r="T55" s="11"/>
      <c r="U55" s="11">
        <v>95597</v>
      </c>
      <c r="V55" s="11">
        <v>232625</v>
      </c>
      <c r="W55" s="11">
        <v>263730</v>
      </c>
      <c r="X55" s="9">
        <v>54954</v>
      </c>
      <c r="Y55" s="9">
        <v>39037</v>
      </c>
      <c r="Z55" s="9">
        <v>5701</v>
      </c>
      <c r="AA55" s="9">
        <v>41838</v>
      </c>
      <c r="AB55" s="9">
        <v>82161</v>
      </c>
      <c r="AC55" s="9">
        <v>252251</v>
      </c>
      <c r="AD55" s="9"/>
      <c r="AE55" s="9">
        <v>6920</v>
      </c>
      <c r="AF55" s="9">
        <v>33278</v>
      </c>
      <c r="AG55" s="9"/>
      <c r="AH55" s="9"/>
      <c r="AI55" s="20"/>
      <c r="AJ55" s="9">
        <v>5513</v>
      </c>
      <c r="AK55" s="9">
        <v>2676</v>
      </c>
    </row>
    <row r="56" spans="1:37" ht="48.75" customHeight="1" thickBot="1" x14ac:dyDescent="0.3">
      <c r="A56" s="81"/>
      <c r="B56" s="13">
        <v>0.58333333295013301</v>
      </c>
      <c r="C56" s="14">
        <v>4277</v>
      </c>
      <c r="D56" s="14">
        <v>308787</v>
      </c>
      <c r="E56" s="14">
        <v>10427</v>
      </c>
      <c r="F56" s="14">
        <v>66334</v>
      </c>
      <c r="G56" s="14">
        <v>88334</v>
      </c>
      <c r="H56" s="14">
        <v>9530</v>
      </c>
      <c r="I56" s="14">
        <v>10</v>
      </c>
      <c r="J56" s="14">
        <v>3682</v>
      </c>
      <c r="K56" s="14">
        <v>5025</v>
      </c>
      <c r="L56" s="14">
        <v>22190</v>
      </c>
      <c r="M56" s="14">
        <v>14182</v>
      </c>
      <c r="N56" s="14">
        <v>2002513</v>
      </c>
      <c r="O56" s="14">
        <v>252074</v>
      </c>
      <c r="P56" s="14">
        <v>30974</v>
      </c>
      <c r="Q56" s="14">
        <v>7671</v>
      </c>
      <c r="R56" s="15">
        <v>47205</v>
      </c>
      <c r="S56" s="14">
        <v>24796028</v>
      </c>
      <c r="T56" s="14"/>
      <c r="U56" s="14">
        <v>95597</v>
      </c>
      <c r="V56" s="14">
        <v>232625</v>
      </c>
      <c r="W56" s="14">
        <v>263730</v>
      </c>
      <c r="X56" s="21">
        <v>54954</v>
      </c>
      <c r="Y56" s="21">
        <v>39037</v>
      </c>
      <c r="Z56" s="21">
        <v>5701</v>
      </c>
      <c r="AA56" s="21">
        <v>41838</v>
      </c>
      <c r="AB56" s="21">
        <v>82161</v>
      </c>
      <c r="AC56" s="21">
        <v>252251</v>
      </c>
      <c r="AD56" s="21"/>
      <c r="AE56" s="21">
        <v>6920</v>
      </c>
      <c r="AF56" s="21">
        <v>33278</v>
      </c>
      <c r="AG56" s="21"/>
      <c r="AH56" s="21"/>
      <c r="AI56" s="22"/>
      <c r="AJ56" s="21">
        <v>5513</v>
      </c>
      <c r="AK56" s="21">
        <v>2676</v>
      </c>
    </row>
    <row r="57" spans="1:37" ht="48.75" customHeight="1" x14ac:dyDescent="0.25">
      <c r="A57" s="79">
        <v>46041</v>
      </c>
      <c r="B57" s="6">
        <v>0.91666666628316296</v>
      </c>
      <c r="C57" s="7">
        <v>4277</v>
      </c>
      <c r="D57" s="7">
        <v>308787</v>
      </c>
      <c r="E57" s="7">
        <v>10427</v>
      </c>
      <c r="F57" s="7">
        <v>66334</v>
      </c>
      <c r="G57" s="7">
        <v>88334</v>
      </c>
      <c r="H57" s="7">
        <v>9530</v>
      </c>
      <c r="I57" s="7">
        <v>10</v>
      </c>
      <c r="J57" s="7">
        <v>3682</v>
      </c>
      <c r="K57" s="7">
        <v>5025</v>
      </c>
      <c r="L57" s="7">
        <v>22190</v>
      </c>
      <c r="M57" s="7">
        <v>14182</v>
      </c>
      <c r="N57" s="7">
        <v>2002513</v>
      </c>
      <c r="O57" s="7">
        <v>252074</v>
      </c>
      <c r="P57" s="7">
        <v>30974</v>
      </c>
      <c r="Q57" s="7">
        <v>7671</v>
      </c>
      <c r="R57" s="8">
        <v>47205</v>
      </c>
      <c r="S57" s="7">
        <v>24796028</v>
      </c>
      <c r="T57" s="7"/>
      <c r="U57" s="7">
        <v>95597</v>
      </c>
      <c r="V57" s="7">
        <v>232625</v>
      </c>
      <c r="W57" s="7">
        <v>263730</v>
      </c>
      <c r="X57" s="18">
        <v>54954</v>
      </c>
      <c r="Y57" s="18">
        <v>39037</v>
      </c>
      <c r="Z57" s="18">
        <v>5701</v>
      </c>
      <c r="AA57" s="18">
        <v>41838</v>
      </c>
      <c r="AB57" s="18">
        <v>82161</v>
      </c>
      <c r="AC57" s="18">
        <v>252251</v>
      </c>
      <c r="AD57" s="18"/>
      <c r="AE57" s="18">
        <v>6920</v>
      </c>
      <c r="AF57" s="18">
        <v>33278</v>
      </c>
      <c r="AG57" s="18"/>
      <c r="AH57" s="18"/>
      <c r="AI57" s="19"/>
      <c r="AJ57" s="18">
        <v>5513</v>
      </c>
      <c r="AK57" s="18">
        <v>2676</v>
      </c>
    </row>
    <row r="58" spans="1:37" ht="48.75" customHeight="1" x14ac:dyDescent="0.25">
      <c r="A58" s="80"/>
      <c r="B58" s="10">
        <v>0.24999999961607999</v>
      </c>
      <c r="C58" s="11">
        <v>4321</v>
      </c>
      <c r="D58" s="11">
        <v>309076</v>
      </c>
      <c r="E58" s="11">
        <v>10432</v>
      </c>
      <c r="F58" s="11">
        <v>66334</v>
      </c>
      <c r="G58" s="11">
        <v>88334</v>
      </c>
      <c r="H58" s="11">
        <v>9530</v>
      </c>
      <c r="I58" s="11">
        <v>10</v>
      </c>
      <c r="J58" s="11">
        <v>3684</v>
      </c>
      <c r="K58" s="11">
        <v>5030</v>
      </c>
      <c r="L58" s="11">
        <v>22197</v>
      </c>
      <c r="M58" s="11">
        <v>14283</v>
      </c>
      <c r="N58" s="11">
        <v>2002513</v>
      </c>
      <c r="O58" s="11">
        <v>252074</v>
      </c>
      <c r="P58" s="11">
        <v>30974</v>
      </c>
      <c r="Q58" s="11">
        <v>7671</v>
      </c>
      <c r="R58" s="12">
        <v>47201</v>
      </c>
      <c r="S58" s="11">
        <v>24848740</v>
      </c>
      <c r="T58" s="11"/>
      <c r="U58" s="11">
        <v>96049</v>
      </c>
      <c r="V58" s="11">
        <v>232625</v>
      </c>
      <c r="W58" s="11">
        <v>264016</v>
      </c>
      <c r="X58" s="9">
        <v>54954</v>
      </c>
      <c r="Y58" s="9">
        <v>39037</v>
      </c>
      <c r="Z58" s="9"/>
      <c r="AA58" s="9"/>
      <c r="AB58" s="9">
        <v>82360</v>
      </c>
      <c r="AC58" s="9">
        <v>252361</v>
      </c>
      <c r="AD58" s="9"/>
      <c r="AE58" s="9"/>
      <c r="AF58" s="9"/>
      <c r="AG58" s="9"/>
      <c r="AH58" s="9"/>
      <c r="AI58" s="20"/>
      <c r="AJ58" s="9"/>
      <c r="AK58" s="9"/>
    </row>
    <row r="59" spans="1:37" ht="48.75" customHeight="1" thickBot="1" x14ac:dyDescent="0.3">
      <c r="A59" s="81"/>
      <c r="B59" s="13">
        <v>0.58333333294911005</v>
      </c>
      <c r="C59" s="14">
        <v>4364</v>
      </c>
      <c r="D59" s="14">
        <v>309375</v>
      </c>
      <c r="E59" s="14">
        <v>10436</v>
      </c>
      <c r="F59" s="14">
        <v>66334</v>
      </c>
      <c r="G59" s="14">
        <v>88334</v>
      </c>
      <c r="H59" s="14">
        <v>9530</v>
      </c>
      <c r="I59" s="14">
        <v>10</v>
      </c>
      <c r="J59" s="14">
        <v>3688</v>
      </c>
      <c r="K59" s="14">
        <v>5034</v>
      </c>
      <c r="L59" s="14">
        <v>22203</v>
      </c>
      <c r="M59" s="14">
        <v>14184</v>
      </c>
      <c r="N59" s="14">
        <v>2259848</v>
      </c>
      <c r="O59" s="14">
        <v>252263</v>
      </c>
      <c r="P59" s="14">
        <v>30974</v>
      </c>
      <c r="Q59" s="14">
        <v>7671</v>
      </c>
      <c r="R59" s="15">
        <v>47228</v>
      </c>
      <c r="S59" s="14">
        <v>24893427</v>
      </c>
      <c r="T59" s="14"/>
      <c r="U59" s="14">
        <v>96495</v>
      </c>
      <c r="V59" s="14">
        <v>232625</v>
      </c>
      <c r="W59" s="14">
        <v>264274</v>
      </c>
      <c r="X59" s="21">
        <v>55045</v>
      </c>
      <c r="Y59" s="21">
        <v>39108</v>
      </c>
      <c r="Z59" s="21"/>
      <c r="AA59" s="21"/>
      <c r="AB59" s="21">
        <v>82557</v>
      </c>
      <c r="AC59" s="21">
        <v>252464</v>
      </c>
      <c r="AD59" s="21"/>
      <c r="AE59" s="21"/>
      <c r="AF59" s="21"/>
      <c r="AG59" s="21"/>
      <c r="AH59" s="21"/>
      <c r="AI59" s="22"/>
      <c r="AJ59" s="21"/>
      <c r="AK59" s="21"/>
    </row>
    <row r="60" spans="1:37" ht="48.75" customHeight="1" x14ac:dyDescent="0.25">
      <c r="A60" s="79">
        <v>46042</v>
      </c>
      <c r="B60" s="6">
        <v>0.91666666628214</v>
      </c>
      <c r="C60" s="7">
        <v>4411</v>
      </c>
      <c r="D60" s="7">
        <v>309704</v>
      </c>
      <c r="E60" s="7">
        <v>10441</v>
      </c>
      <c r="F60" s="7">
        <v>66334</v>
      </c>
      <c r="G60" s="7">
        <v>88334</v>
      </c>
      <c r="H60" s="7">
        <v>9530</v>
      </c>
      <c r="I60" s="7">
        <v>10</v>
      </c>
      <c r="J60" s="7">
        <v>3692</v>
      </c>
      <c r="K60" s="7">
        <v>5034</v>
      </c>
      <c r="L60" s="7">
        <v>22210</v>
      </c>
      <c r="M60" s="7">
        <v>14185</v>
      </c>
      <c r="N60" s="7">
        <v>2259848</v>
      </c>
      <c r="O60" s="7">
        <v>252263</v>
      </c>
      <c r="P60" s="7">
        <v>30974</v>
      </c>
      <c r="Q60" s="7">
        <v>7671</v>
      </c>
      <c r="R60" s="8">
        <v>47234</v>
      </c>
      <c r="S60" s="7">
        <v>24928818</v>
      </c>
      <c r="T60" s="7"/>
      <c r="U60" s="7">
        <v>97096</v>
      </c>
      <c r="V60" s="7">
        <v>232625</v>
      </c>
      <c r="W60" s="7">
        <v>264505</v>
      </c>
      <c r="X60" s="18">
        <v>55181</v>
      </c>
      <c r="Y60" s="18">
        <v>39208</v>
      </c>
      <c r="Z60" s="18">
        <v>5712</v>
      </c>
      <c r="AA60" s="18">
        <v>42019</v>
      </c>
      <c r="AB60" s="18">
        <v>82794</v>
      </c>
      <c r="AC60" s="18">
        <v>252587</v>
      </c>
      <c r="AD60" s="18"/>
      <c r="AE60" s="18">
        <v>6923</v>
      </c>
      <c r="AF60" s="18">
        <v>33342</v>
      </c>
      <c r="AG60" s="18"/>
      <c r="AH60" s="18"/>
      <c r="AI60" s="19"/>
      <c r="AJ60" s="18">
        <v>5534</v>
      </c>
      <c r="AK60" s="18"/>
    </row>
    <row r="61" spans="1:37" ht="48.75" customHeight="1" x14ac:dyDescent="0.25">
      <c r="A61" s="80"/>
      <c r="B61" s="10">
        <v>0.24999999961517</v>
      </c>
      <c r="C61" s="49">
        <f>AVERAGE(C62,C60)</f>
        <v>4453</v>
      </c>
      <c r="D61" s="11">
        <v>309926</v>
      </c>
      <c r="E61" s="11">
        <v>10444</v>
      </c>
      <c r="F61" s="11">
        <v>66334</v>
      </c>
      <c r="G61" s="11">
        <v>88334</v>
      </c>
      <c r="H61" s="11">
        <v>9530</v>
      </c>
      <c r="I61" s="11">
        <v>10</v>
      </c>
      <c r="J61" s="11">
        <v>3694</v>
      </c>
      <c r="K61" s="11">
        <v>5034</v>
      </c>
      <c r="L61" s="11">
        <v>22217</v>
      </c>
      <c r="M61" s="11">
        <v>14187</v>
      </c>
      <c r="N61" s="11">
        <f>AVERAGE(N62,N60)</f>
        <v>2411674</v>
      </c>
      <c r="O61" s="11">
        <f>AVERAGE(O62,O60)</f>
        <v>252375</v>
      </c>
      <c r="P61" s="11">
        <v>30974</v>
      </c>
      <c r="Q61" s="11">
        <v>7671</v>
      </c>
      <c r="R61" s="49">
        <f>AVERAGE(R62,R60)</f>
        <v>47242</v>
      </c>
      <c r="S61" s="11">
        <v>24988618</v>
      </c>
      <c r="T61" s="11"/>
      <c r="U61" s="49">
        <f>AVERAGE(U62,U60)</f>
        <v>97591.5</v>
      </c>
      <c r="V61" s="11">
        <v>232625</v>
      </c>
      <c r="W61" s="11">
        <v>264694</v>
      </c>
      <c r="X61" s="9">
        <v>55286</v>
      </c>
      <c r="Y61" s="9">
        <v>39288</v>
      </c>
      <c r="Z61" s="9"/>
      <c r="AA61" s="9"/>
      <c r="AB61" s="49">
        <f>AVERAGE(AB62,AB60)</f>
        <v>82993</v>
      </c>
      <c r="AC61" s="49">
        <f>AVERAGE(AC62,AC60)</f>
        <v>252704.5</v>
      </c>
      <c r="AD61" s="9"/>
      <c r="AE61" s="9"/>
      <c r="AF61" s="9"/>
      <c r="AG61" s="9"/>
      <c r="AH61" s="9"/>
      <c r="AI61" s="20"/>
      <c r="AJ61" s="9"/>
      <c r="AK61" s="9"/>
    </row>
    <row r="62" spans="1:37" ht="48.75" customHeight="1" thickBot="1" x14ac:dyDescent="0.3">
      <c r="A62" s="81"/>
      <c r="B62" s="13">
        <v>0.58333333294808698</v>
      </c>
      <c r="C62" s="14">
        <v>4495</v>
      </c>
      <c r="D62" s="14">
        <v>310236</v>
      </c>
      <c r="E62" s="14">
        <v>10448</v>
      </c>
      <c r="F62" s="14">
        <v>66334</v>
      </c>
      <c r="G62" s="14">
        <v>88334</v>
      </c>
      <c r="H62" s="14">
        <v>9530</v>
      </c>
      <c r="I62" s="14">
        <v>10</v>
      </c>
      <c r="J62" s="14">
        <v>3700</v>
      </c>
      <c r="K62" s="14">
        <v>5037</v>
      </c>
      <c r="L62" s="14">
        <v>22223</v>
      </c>
      <c r="M62" s="14">
        <v>14187</v>
      </c>
      <c r="N62" s="14">
        <v>2563500</v>
      </c>
      <c r="O62" s="14">
        <v>252487</v>
      </c>
      <c r="P62" s="14">
        <v>30974</v>
      </c>
      <c r="Q62" s="14">
        <v>7671</v>
      </c>
      <c r="R62" s="15">
        <v>47250</v>
      </c>
      <c r="S62" s="14">
        <v>25043865</v>
      </c>
      <c r="T62" s="14"/>
      <c r="U62" s="14">
        <v>98087</v>
      </c>
      <c r="V62" s="14">
        <v>232625</v>
      </c>
      <c r="W62" s="14">
        <v>264756</v>
      </c>
      <c r="X62" s="21">
        <v>55361</v>
      </c>
      <c r="Y62" s="21">
        <v>39342</v>
      </c>
      <c r="Z62" s="21"/>
      <c r="AA62" s="21"/>
      <c r="AB62" s="21">
        <v>83192</v>
      </c>
      <c r="AC62" s="21">
        <v>252822</v>
      </c>
      <c r="AD62" s="21"/>
      <c r="AE62" s="21"/>
      <c r="AF62" s="21"/>
      <c r="AG62" s="21"/>
      <c r="AH62" s="21"/>
      <c r="AI62" s="22"/>
      <c r="AJ62" s="21"/>
      <c r="AK62" s="21"/>
    </row>
    <row r="63" spans="1:37" ht="48.75" customHeight="1" x14ac:dyDescent="0.25">
      <c r="A63" s="79">
        <f>A60+1</f>
        <v>46043</v>
      </c>
      <c r="B63" s="6">
        <v>0.91666666628111704</v>
      </c>
      <c r="C63" s="7">
        <v>4549</v>
      </c>
      <c r="D63" s="7">
        <v>310554</v>
      </c>
      <c r="E63" s="7">
        <v>10451</v>
      </c>
      <c r="F63" s="7">
        <v>66334</v>
      </c>
      <c r="G63" s="7">
        <v>88334</v>
      </c>
      <c r="H63" s="7">
        <v>9530</v>
      </c>
      <c r="I63" s="7">
        <v>10</v>
      </c>
      <c r="J63" s="7">
        <v>3700</v>
      </c>
      <c r="K63" s="7">
        <v>5038</v>
      </c>
      <c r="L63" s="7">
        <v>22231</v>
      </c>
      <c r="M63" s="7">
        <v>14188</v>
      </c>
      <c r="N63" s="7">
        <v>2856598</v>
      </c>
      <c r="O63" s="7">
        <v>252701</v>
      </c>
      <c r="P63" s="7">
        <v>30974</v>
      </c>
      <c r="Q63" s="7">
        <v>7671</v>
      </c>
      <c r="R63" s="8">
        <v>47257</v>
      </c>
      <c r="S63" s="7">
        <v>25102803</v>
      </c>
      <c r="T63" s="7"/>
      <c r="U63" s="7">
        <v>98683</v>
      </c>
      <c r="V63" s="7">
        <v>232808</v>
      </c>
      <c r="W63" s="7">
        <v>264992</v>
      </c>
      <c r="X63" s="18">
        <v>55450</v>
      </c>
      <c r="Y63" s="18">
        <v>39405</v>
      </c>
      <c r="Z63" s="18">
        <v>5730</v>
      </c>
      <c r="AA63" s="18">
        <v>42095</v>
      </c>
      <c r="AB63" s="18">
        <v>83429</v>
      </c>
      <c r="AC63" s="18">
        <v>252968</v>
      </c>
      <c r="AD63" s="18"/>
      <c r="AE63" s="18">
        <v>6930</v>
      </c>
      <c r="AF63" s="18">
        <v>33416</v>
      </c>
      <c r="AG63" s="18"/>
      <c r="AH63" s="18"/>
      <c r="AI63" s="19"/>
      <c r="AJ63" s="18">
        <v>5557</v>
      </c>
      <c r="AK63" s="18"/>
    </row>
    <row r="64" spans="1:37" ht="48.75" customHeight="1" x14ac:dyDescent="0.25">
      <c r="A64" s="80"/>
      <c r="B64" s="10">
        <v>0.24999999961414701</v>
      </c>
      <c r="C64" s="11">
        <v>4588</v>
      </c>
      <c r="D64" s="11">
        <v>310812</v>
      </c>
      <c r="E64" s="11">
        <v>10455</v>
      </c>
      <c r="F64" s="11">
        <v>66334</v>
      </c>
      <c r="G64" s="11">
        <v>88334</v>
      </c>
      <c r="H64" s="11">
        <v>9530</v>
      </c>
      <c r="I64" s="11">
        <v>10</v>
      </c>
      <c r="J64" s="11">
        <v>3703</v>
      </c>
      <c r="K64" s="11">
        <v>5039</v>
      </c>
      <c r="L64" s="11">
        <v>22237</v>
      </c>
      <c r="M64" s="11">
        <v>14190</v>
      </c>
      <c r="N64" s="11">
        <v>3318269</v>
      </c>
      <c r="O64" s="11">
        <v>253042</v>
      </c>
      <c r="P64" s="11">
        <v>30974</v>
      </c>
      <c r="Q64" s="11">
        <v>7671</v>
      </c>
      <c r="R64" s="12">
        <v>47264</v>
      </c>
      <c r="S64" s="11">
        <v>25185026</v>
      </c>
      <c r="T64" s="11"/>
      <c r="U64" s="11">
        <v>99259</v>
      </c>
      <c r="V64" s="11">
        <v>233021</v>
      </c>
      <c r="W64" s="11">
        <v>265275</v>
      </c>
      <c r="X64" s="9">
        <v>55526</v>
      </c>
      <c r="Y64" s="9">
        <v>39457</v>
      </c>
      <c r="Z64" s="9">
        <v>5730</v>
      </c>
      <c r="AA64" s="9">
        <v>42095</v>
      </c>
      <c r="AB64" s="9">
        <v>83614</v>
      </c>
      <c r="AC64" s="9">
        <v>253088</v>
      </c>
      <c r="AD64" s="9"/>
      <c r="AE64" s="9">
        <v>6930</v>
      </c>
      <c r="AF64" s="9">
        <v>33416</v>
      </c>
      <c r="AG64" s="9"/>
      <c r="AH64" s="9"/>
      <c r="AI64" s="20"/>
      <c r="AJ64" s="9">
        <v>5557</v>
      </c>
      <c r="AK64" s="9"/>
    </row>
    <row r="65" spans="1:37" ht="48.75" customHeight="1" thickBot="1" x14ac:dyDescent="0.3">
      <c r="A65" s="81"/>
      <c r="B65" s="13">
        <v>0.58333333294717704</v>
      </c>
      <c r="C65" s="14">
        <v>4629</v>
      </c>
      <c r="D65" s="14">
        <v>311008</v>
      </c>
      <c r="E65" s="14">
        <v>10457</v>
      </c>
      <c r="F65" s="14">
        <v>66334</v>
      </c>
      <c r="G65" s="14">
        <v>88334</v>
      </c>
      <c r="H65" s="14">
        <v>9530</v>
      </c>
      <c r="I65" s="14">
        <v>10</v>
      </c>
      <c r="J65" s="14">
        <v>3706</v>
      </c>
      <c r="K65" s="14">
        <v>5040</v>
      </c>
      <c r="L65" s="14">
        <v>22242</v>
      </c>
      <c r="M65" s="14">
        <v>14194</v>
      </c>
      <c r="N65" s="14">
        <v>3592720</v>
      </c>
      <c r="O65" s="14">
        <v>253190</v>
      </c>
      <c r="P65" s="14">
        <v>30974</v>
      </c>
      <c r="Q65" s="14">
        <v>7671</v>
      </c>
      <c r="R65" s="15">
        <v>47279</v>
      </c>
      <c r="S65" s="14">
        <v>25255606</v>
      </c>
      <c r="T65" s="14"/>
      <c r="U65" s="14">
        <v>99669</v>
      </c>
      <c r="V65" s="14">
        <v>233120</v>
      </c>
      <c r="W65" s="14">
        <v>265417</v>
      </c>
      <c r="X65" s="21">
        <v>55639</v>
      </c>
      <c r="Y65" s="21">
        <v>39537</v>
      </c>
      <c r="Z65" s="21">
        <v>5730</v>
      </c>
      <c r="AA65" s="21">
        <v>42095</v>
      </c>
      <c r="AB65" s="21">
        <v>83804</v>
      </c>
      <c r="AC65" s="21">
        <v>253180</v>
      </c>
      <c r="AD65" s="21"/>
      <c r="AE65" s="21">
        <v>6930</v>
      </c>
      <c r="AF65" s="21">
        <v>33416</v>
      </c>
      <c r="AG65" s="21"/>
      <c r="AH65" s="21"/>
      <c r="AI65" s="22"/>
      <c r="AJ65" s="21">
        <v>5557</v>
      </c>
      <c r="AK65" s="21"/>
    </row>
    <row r="66" spans="1:37" ht="48.75" customHeight="1" x14ac:dyDescent="0.25">
      <c r="A66" s="79">
        <f>A63+1</f>
        <v>46044</v>
      </c>
      <c r="B66" s="6">
        <v>0.91666666628009397</v>
      </c>
      <c r="C66" s="7">
        <v>4660</v>
      </c>
      <c r="D66" s="7">
        <v>311283</v>
      </c>
      <c r="E66" s="7">
        <v>10460</v>
      </c>
      <c r="F66" s="7">
        <v>66334</v>
      </c>
      <c r="G66" s="7">
        <v>88334</v>
      </c>
      <c r="H66" s="7">
        <v>9530</v>
      </c>
      <c r="I66" s="7">
        <v>10</v>
      </c>
      <c r="J66" s="7">
        <v>3709</v>
      </c>
      <c r="K66" s="7">
        <v>5041</v>
      </c>
      <c r="L66" s="7">
        <v>22247</v>
      </c>
      <c r="M66" s="7">
        <v>14200</v>
      </c>
      <c r="N66" s="7">
        <v>3764213</v>
      </c>
      <c r="O66" s="7">
        <v>253342</v>
      </c>
      <c r="P66" s="7">
        <v>30974</v>
      </c>
      <c r="Q66" s="7">
        <v>7671</v>
      </c>
      <c r="R66" s="8">
        <v>47294</v>
      </c>
      <c r="S66" s="7">
        <v>25308745</v>
      </c>
      <c r="T66" s="7"/>
      <c r="U66" s="7">
        <v>100161</v>
      </c>
      <c r="V66" s="7">
        <v>233243</v>
      </c>
      <c r="W66" s="7">
        <v>265571</v>
      </c>
      <c r="X66" s="18">
        <v>55732</v>
      </c>
      <c r="Y66" s="18">
        <v>39610</v>
      </c>
      <c r="Z66" s="18">
        <v>5749</v>
      </c>
      <c r="AA66" s="18">
        <v>42152</v>
      </c>
      <c r="AB66" s="18">
        <v>83898</v>
      </c>
      <c r="AC66" s="18">
        <v>253287</v>
      </c>
      <c r="AD66" s="18"/>
      <c r="AE66" s="18">
        <v>6935</v>
      </c>
      <c r="AF66" s="18">
        <v>33489</v>
      </c>
      <c r="AG66" s="18">
        <v>150</v>
      </c>
      <c r="AH66" s="18"/>
      <c r="AI66" s="19">
        <v>1</v>
      </c>
      <c r="AJ66" s="18">
        <v>5575</v>
      </c>
      <c r="AK66" s="18"/>
    </row>
    <row r="67" spans="1:37" ht="48.75" customHeight="1" x14ac:dyDescent="0.25">
      <c r="A67" s="80"/>
      <c r="B67" s="10">
        <v>0.249999999613124</v>
      </c>
      <c r="C67" s="11">
        <v>4676</v>
      </c>
      <c r="D67" s="11">
        <v>311484</v>
      </c>
      <c r="E67" s="11">
        <v>10464</v>
      </c>
      <c r="F67" s="11">
        <v>66334</v>
      </c>
      <c r="G67" s="11">
        <v>88334</v>
      </c>
      <c r="H67" s="11">
        <v>9530</v>
      </c>
      <c r="I67" s="11">
        <v>10</v>
      </c>
      <c r="J67" s="11">
        <v>3713</v>
      </c>
      <c r="K67" s="11">
        <v>5043</v>
      </c>
      <c r="L67" s="11">
        <v>22254</v>
      </c>
      <c r="M67" s="11">
        <v>14202</v>
      </c>
      <c r="N67" s="11">
        <v>4015795</v>
      </c>
      <c r="O67" s="11">
        <v>253513</v>
      </c>
      <c r="P67" s="11">
        <v>30974</v>
      </c>
      <c r="Q67" s="11">
        <v>7671</v>
      </c>
      <c r="R67" s="12">
        <v>47318</v>
      </c>
      <c r="S67" s="11">
        <v>25341400</v>
      </c>
      <c r="T67" s="11"/>
      <c r="U67" s="11">
        <v>101109</v>
      </c>
      <c r="V67" s="11">
        <v>233469</v>
      </c>
      <c r="W67" s="11">
        <v>266581</v>
      </c>
      <c r="X67" s="9">
        <v>55853</v>
      </c>
      <c r="Y67" s="9">
        <v>39701</v>
      </c>
      <c r="Z67" s="9">
        <v>5749</v>
      </c>
      <c r="AA67" s="9">
        <v>42152</v>
      </c>
      <c r="AB67" s="49">
        <f>AVERAGE(AB68,AB66)</f>
        <v>84078.5</v>
      </c>
      <c r="AC67" s="9">
        <f>+AC66+116</f>
        <v>253403</v>
      </c>
      <c r="AD67" s="9"/>
      <c r="AE67" s="9">
        <v>6935</v>
      </c>
      <c r="AF67" s="9">
        <v>33489</v>
      </c>
      <c r="AG67" s="9">
        <v>150</v>
      </c>
      <c r="AH67" s="9"/>
      <c r="AI67" s="20">
        <v>1</v>
      </c>
      <c r="AJ67" s="9">
        <v>5575</v>
      </c>
      <c r="AK67" s="9"/>
    </row>
    <row r="68" spans="1:37" ht="48.75" customHeight="1" thickBot="1" x14ac:dyDescent="0.3">
      <c r="A68" s="81"/>
      <c r="B68" s="13">
        <v>0.58333333294615397</v>
      </c>
      <c r="C68" s="14">
        <v>4745</v>
      </c>
      <c r="D68" s="14">
        <v>311809</v>
      </c>
      <c r="E68" s="14">
        <v>10466</v>
      </c>
      <c r="F68" s="14">
        <v>66334</v>
      </c>
      <c r="G68" s="14">
        <v>88334</v>
      </c>
      <c r="H68" s="14">
        <v>9530</v>
      </c>
      <c r="I68" s="14">
        <v>10</v>
      </c>
      <c r="J68" s="14">
        <v>3716</v>
      </c>
      <c r="K68" s="14">
        <v>5045</v>
      </c>
      <c r="L68" s="14">
        <v>22260</v>
      </c>
      <c r="M68" s="14">
        <v>14215</v>
      </c>
      <c r="N68" s="14">
        <v>4379913</v>
      </c>
      <c r="O68" s="14">
        <v>253803</v>
      </c>
      <c r="P68" s="14">
        <v>30974</v>
      </c>
      <c r="Q68" s="14">
        <v>7671</v>
      </c>
      <c r="R68" s="15">
        <v>47330</v>
      </c>
      <c r="S68" s="14">
        <v>25491994</v>
      </c>
      <c r="T68" s="14"/>
      <c r="U68" s="14">
        <v>101244</v>
      </c>
      <c r="V68" s="14">
        <v>233596</v>
      </c>
      <c r="W68" s="14">
        <v>266034</v>
      </c>
      <c r="X68" s="21">
        <v>56000</v>
      </c>
      <c r="Y68" s="21">
        <v>39813</v>
      </c>
      <c r="Z68" s="21">
        <v>5749</v>
      </c>
      <c r="AA68" s="21">
        <v>42152</v>
      </c>
      <c r="AB68" s="21">
        <v>84259</v>
      </c>
      <c r="AC68" s="21">
        <f>+AC67+116</f>
        <v>253519</v>
      </c>
      <c r="AD68" s="21"/>
      <c r="AE68" s="21">
        <v>6935</v>
      </c>
      <c r="AF68" s="21">
        <v>33489</v>
      </c>
      <c r="AG68" s="21">
        <v>150</v>
      </c>
      <c r="AH68" s="21"/>
      <c r="AI68" s="22">
        <v>1</v>
      </c>
      <c r="AJ68" s="21">
        <v>5575</v>
      </c>
      <c r="AK68" s="21"/>
    </row>
    <row r="69" spans="1:37" ht="48.75" customHeight="1" x14ac:dyDescent="0.25">
      <c r="A69" s="79">
        <f>A66+1</f>
        <v>46045</v>
      </c>
      <c r="B69" s="6">
        <v>0.91666666627918403</v>
      </c>
      <c r="C69" s="7">
        <v>4765</v>
      </c>
      <c r="D69" s="7">
        <v>312030</v>
      </c>
      <c r="E69" s="7">
        <v>10468</v>
      </c>
      <c r="F69" s="7">
        <v>66334</v>
      </c>
      <c r="G69" s="7">
        <v>88334</v>
      </c>
      <c r="H69" s="7">
        <v>9530</v>
      </c>
      <c r="I69" s="7">
        <v>10</v>
      </c>
      <c r="J69" s="7">
        <v>3718</v>
      </c>
      <c r="K69" s="7">
        <v>5046</v>
      </c>
      <c r="L69" s="7">
        <v>22268</v>
      </c>
      <c r="M69" s="7">
        <v>14228</v>
      </c>
      <c r="N69" s="7">
        <v>4643174</v>
      </c>
      <c r="O69" s="7">
        <v>254017</v>
      </c>
      <c r="P69" s="7">
        <v>30974</v>
      </c>
      <c r="Q69" s="7">
        <v>7671</v>
      </c>
      <c r="R69" s="8">
        <v>47351</v>
      </c>
      <c r="S69" s="7">
        <v>25561844</v>
      </c>
      <c r="T69" s="7"/>
      <c r="U69" s="7">
        <v>101634</v>
      </c>
      <c r="V69" s="7">
        <v>233740</v>
      </c>
      <c r="W69" s="7">
        <v>266170</v>
      </c>
      <c r="X69" s="18">
        <v>56071</v>
      </c>
      <c r="Y69" s="18">
        <v>39864</v>
      </c>
      <c r="Z69" s="18">
        <v>5768</v>
      </c>
      <c r="AA69" s="18">
        <v>42206</v>
      </c>
      <c r="AB69" s="18">
        <v>84259</v>
      </c>
      <c r="AC69" s="18">
        <v>253635</v>
      </c>
      <c r="AD69" s="18"/>
      <c r="AE69" s="18">
        <v>6937</v>
      </c>
      <c r="AF69" s="18">
        <v>33563</v>
      </c>
      <c r="AG69" s="18">
        <v>150</v>
      </c>
      <c r="AH69" s="18"/>
      <c r="AI69" s="19">
        <v>1</v>
      </c>
      <c r="AJ69" s="18">
        <v>5598</v>
      </c>
      <c r="AK69" s="18"/>
    </row>
    <row r="70" spans="1:37" ht="48.75" customHeight="1" x14ac:dyDescent="0.25">
      <c r="A70" s="80"/>
      <c r="B70" s="10">
        <v>0.24999999961210101</v>
      </c>
      <c r="C70" s="11">
        <v>4815</v>
      </c>
      <c r="D70" s="11">
        <v>312290</v>
      </c>
      <c r="E70" s="11">
        <v>10471</v>
      </c>
      <c r="F70" s="11">
        <v>66334</v>
      </c>
      <c r="G70" s="11">
        <v>88334</v>
      </c>
      <c r="H70" s="11">
        <v>9530</v>
      </c>
      <c r="I70" s="11">
        <v>10</v>
      </c>
      <c r="J70" s="11">
        <v>3721</v>
      </c>
      <c r="K70" s="11">
        <v>5051</v>
      </c>
      <c r="L70" s="11">
        <v>22275</v>
      </c>
      <c r="M70" s="11">
        <v>14234</v>
      </c>
      <c r="N70" s="11">
        <v>4753155</v>
      </c>
      <c r="O70" s="11">
        <v>254097</v>
      </c>
      <c r="P70" s="11">
        <v>30974</v>
      </c>
      <c r="Q70" s="11">
        <v>7671</v>
      </c>
      <c r="R70" s="12">
        <v>47362</v>
      </c>
      <c r="S70" s="49">
        <f>AVERAGE(S71,S69)</f>
        <v>25618683.5</v>
      </c>
      <c r="T70" s="11"/>
      <c r="U70" s="11">
        <v>102115</v>
      </c>
      <c r="V70" s="11">
        <v>233809</v>
      </c>
      <c r="W70" s="11">
        <v>266260</v>
      </c>
      <c r="X70" s="9">
        <v>56201</v>
      </c>
      <c r="Y70" s="9">
        <v>39959</v>
      </c>
      <c r="Z70" s="9">
        <v>5768</v>
      </c>
      <c r="AA70" s="9">
        <v>42206</v>
      </c>
      <c r="AB70" s="9">
        <v>84259</v>
      </c>
      <c r="AC70" s="9">
        <v>253635</v>
      </c>
      <c r="AD70" s="9"/>
      <c r="AE70" s="9">
        <v>6937</v>
      </c>
      <c r="AF70" s="9">
        <v>33563</v>
      </c>
      <c r="AG70" s="9">
        <v>150</v>
      </c>
      <c r="AH70" s="9"/>
      <c r="AI70" s="20">
        <v>1</v>
      </c>
      <c r="AJ70" s="9">
        <v>5598</v>
      </c>
      <c r="AK70" s="9"/>
    </row>
    <row r="71" spans="1:37" ht="48.75" customHeight="1" thickBot="1" x14ac:dyDescent="0.3">
      <c r="A71" s="81"/>
      <c r="B71" s="13">
        <v>0.58333333294513101</v>
      </c>
      <c r="C71" s="14">
        <v>4857</v>
      </c>
      <c r="D71" s="14">
        <v>312580</v>
      </c>
      <c r="E71" s="14">
        <v>10474</v>
      </c>
      <c r="F71" s="14">
        <v>66334</v>
      </c>
      <c r="G71" s="14">
        <v>88334</v>
      </c>
      <c r="H71" s="14">
        <v>9530</v>
      </c>
      <c r="I71" s="14">
        <v>10</v>
      </c>
      <c r="J71" s="14">
        <v>3723</v>
      </c>
      <c r="K71" s="14">
        <v>5058</v>
      </c>
      <c r="L71" s="14">
        <v>22281</v>
      </c>
      <c r="M71" s="14">
        <v>14238</v>
      </c>
      <c r="N71" s="14">
        <v>4815771</v>
      </c>
      <c r="O71" s="14">
        <v>254141</v>
      </c>
      <c r="P71" s="14">
        <v>30974</v>
      </c>
      <c r="Q71" s="14">
        <v>7671</v>
      </c>
      <c r="R71" s="15">
        <v>47371</v>
      </c>
      <c r="S71" s="14">
        <v>25675523</v>
      </c>
      <c r="T71" s="14"/>
      <c r="U71" s="14">
        <v>102523</v>
      </c>
      <c r="V71" s="14">
        <v>233839</v>
      </c>
      <c r="W71" s="14">
        <v>266303</v>
      </c>
      <c r="X71" s="21">
        <v>56278</v>
      </c>
      <c r="Y71" s="21">
        <v>40021</v>
      </c>
      <c r="Z71" s="21">
        <v>5768</v>
      </c>
      <c r="AA71" s="21">
        <v>42206</v>
      </c>
      <c r="AB71" s="21">
        <v>84259</v>
      </c>
      <c r="AC71" s="21">
        <v>253635</v>
      </c>
      <c r="AD71" s="21"/>
      <c r="AE71" s="21">
        <v>6937</v>
      </c>
      <c r="AF71" s="21">
        <v>33563</v>
      </c>
      <c r="AG71" s="21">
        <v>150</v>
      </c>
      <c r="AH71" s="21"/>
      <c r="AI71" s="22">
        <v>1</v>
      </c>
      <c r="AJ71" s="21">
        <v>5598</v>
      </c>
      <c r="AK71" s="21"/>
    </row>
    <row r="72" spans="1:37" ht="48.75" customHeight="1" x14ac:dyDescent="0.25">
      <c r="A72" s="79">
        <f>A69+1</f>
        <v>46046</v>
      </c>
      <c r="B72" s="6">
        <v>0.91666666627816096</v>
      </c>
      <c r="C72" s="7">
        <v>4887</v>
      </c>
      <c r="D72" s="7">
        <v>312901</v>
      </c>
      <c r="E72" s="7">
        <v>10477</v>
      </c>
      <c r="F72" s="7">
        <v>66334</v>
      </c>
      <c r="G72" s="7">
        <v>88334</v>
      </c>
      <c r="H72" s="7">
        <v>9530</v>
      </c>
      <c r="I72" s="7">
        <v>10</v>
      </c>
      <c r="J72" s="7">
        <v>3731</v>
      </c>
      <c r="K72" s="7">
        <v>5058</v>
      </c>
      <c r="L72" s="7">
        <v>22287</v>
      </c>
      <c r="M72" s="7">
        <v>14245</v>
      </c>
      <c r="N72" s="7">
        <v>5219405</v>
      </c>
      <c r="O72" s="7">
        <v>254433</v>
      </c>
      <c r="P72" s="7">
        <v>30974</v>
      </c>
      <c r="Q72" s="7">
        <v>7671</v>
      </c>
      <c r="R72" s="8">
        <v>47378</v>
      </c>
      <c r="S72" s="7">
        <v>25706117</v>
      </c>
      <c r="T72" s="7"/>
      <c r="U72" s="7">
        <v>103053</v>
      </c>
      <c r="V72" s="7">
        <v>234061</v>
      </c>
      <c r="W72" s="7">
        <v>266514</v>
      </c>
      <c r="X72" s="18">
        <v>56376</v>
      </c>
      <c r="Y72" s="18">
        <v>40094</v>
      </c>
      <c r="Z72" s="18">
        <v>5787</v>
      </c>
      <c r="AA72" s="18">
        <v>42278</v>
      </c>
      <c r="AB72" s="18">
        <v>84800</v>
      </c>
      <c r="AC72" s="18">
        <v>254006</v>
      </c>
      <c r="AD72" s="18"/>
      <c r="AE72" s="18">
        <v>6943</v>
      </c>
      <c r="AF72" s="18">
        <v>33637</v>
      </c>
      <c r="AG72" s="18">
        <v>150</v>
      </c>
      <c r="AH72" s="18"/>
      <c r="AI72" s="19">
        <v>1</v>
      </c>
      <c r="AJ72" s="18">
        <v>5619</v>
      </c>
      <c r="AK72" s="18"/>
    </row>
    <row r="73" spans="1:37" ht="48.75" customHeight="1" x14ac:dyDescent="0.25">
      <c r="A73" s="80"/>
      <c r="B73" s="10">
        <v>0.249999999611077</v>
      </c>
      <c r="C73" s="11">
        <v>4924</v>
      </c>
      <c r="D73" s="11">
        <v>313197</v>
      </c>
      <c r="E73" s="11">
        <v>10481</v>
      </c>
      <c r="F73" s="11">
        <v>66334</v>
      </c>
      <c r="G73" s="11">
        <v>88334</v>
      </c>
      <c r="H73" s="11">
        <v>9530</v>
      </c>
      <c r="I73" s="11">
        <v>10</v>
      </c>
      <c r="J73" s="11">
        <v>3735</v>
      </c>
      <c r="K73" s="11">
        <v>5058</v>
      </c>
      <c r="L73" s="11">
        <v>22292</v>
      </c>
      <c r="M73" s="11">
        <v>14255</v>
      </c>
      <c r="N73" s="11">
        <v>5219405</v>
      </c>
      <c r="O73" s="11">
        <v>254433</v>
      </c>
      <c r="P73" s="11">
        <v>30974</v>
      </c>
      <c r="Q73" s="11">
        <v>7671</v>
      </c>
      <c r="R73" s="12">
        <v>47391</v>
      </c>
      <c r="S73" s="11">
        <v>25745670</v>
      </c>
      <c r="T73" s="11"/>
      <c r="U73" s="11">
        <v>103429</v>
      </c>
      <c r="V73" s="11">
        <v>234196</v>
      </c>
      <c r="W73" s="11">
        <v>266663</v>
      </c>
      <c r="X73" s="9">
        <v>56446</v>
      </c>
      <c r="Y73" s="9">
        <v>40146</v>
      </c>
      <c r="Z73" s="9"/>
      <c r="AA73" s="9"/>
      <c r="AB73" s="9">
        <v>84987</v>
      </c>
      <c r="AC73" s="9">
        <v>254102</v>
      </c>
      <c r="AD73" s="9"/>
      <c r="AE73" s="9"/>
      <c r="AF73" s="9"/>
      <c r="AG73" s="9"/>
      <c r="AH73" s="9"/>
      <c r="AI73" s="20"/>
      <c r="AJ73" s="9"/>
      <c r="AK73" s="9"/>
    </row>
    <row r="74" spans="1:37" ht="48.75" customHeight="1" thickBot="1" x14ac:dyDescent="0.3">
      <c r="A74" s="81"/>
      <c r="B74" s="13">
        <v>0.58333333294410705</v>
      </c>
      <c r="C74" s="14">
        <v>4976</v>
      </c>
      <c r="D74" s="14">
        <v>313543</v>
      </c>
      <c r="E74" s="14">
        <v>10484</v>
      </c>
      <c r="F74" s="14">
        <v>66334</v>
      </c>
      <c r="G74" s="14">
        <v>88334</v>
      </c>
      <c r="H74" s="14">
        <v>9530</v>
      </c>
      <c r="I74" s="14">
        <v>10</v>
      </c>
      <c r="J74" s="14">
        <v>3736</v>
      </c>
      <c r="K74" s="14">
        <v>5058</v>
      </c>
      <c r="L74" s="14">
        <v>22299</v>
      </c>
      <c r="M74" s="14">
        <v>14262</v>
      </c>
      <c r="N74" s="14">
        <v>5219405</v>
      </c>
      <c r="O74" s="14">
        <v>254433</v>
      </c>
      <c r="P74" s="14">
        <v>30974</v>
      </c>
      <c r="Q74" s="14">
        <v>7671</v>
      </c>
      <c r="R74" s="15">
        <v>47401</v>
      </c>
      <c r="S74" s="14">
        <v>25760208</v>
      </c>
      <c r="T74" s="14"/>
      <c r="U74" s="14">
        <v>103917</v>
      </c>
      <c r="V74" s="14">
        <v>234278</v>
      </c>
      <c r="W74" s="14">
        <v>266748</v>
      </c>
      <c r="X74" s="21">
        <v>56630</v>
      </c>
      <c r="Y74" s="21">
        <v>40285</v>
      </c>
      <c r="Z74" s="21">
        <v>5805</v>
      </c>
      <c r="AA74" s="21">
        <v>42335</v>
      </c>
      <c r="AB74" s="21">
        <v>85242</v>
      </c>
      <c r="AC74" s="21">
        <v>254277</v>
      </c>
      <c r="AD74" s="21"/>
      <c r="AE74" s="21">
        <v>6948</v>
      </c>
      <c r="AF74" s="21">
        <v>33687</v>
      </c>
      <c r="AG74" s="21">
        <v>150</v>
      </c>
      <c r="AH74" s="21"/>
      <c r="AI74" s="22">
        <v>1</v>
      </c>
      <c r="AJ74" s="21">
        <v>5634</v>
      </c>
      <c r="AK74" s="21"/>
    </row>
    <row r="75" spans="1:37" ht="48.75" customHeight="1" thickBot="1" x14ac:dyDescent="0.3">
      <c r="A75" s="79">
        <f>A72+1</f>
        <v>46047</v>
      </c>
      <c r="B75" s="6">
        <v>0.916666666277138</v>
      </c>
      <c r="C75" s="7">
        <v>4976</v>
      </c>
      <c r="D75" s="7">
        <v>313543</v>
      </c>
      <c r="E75" s="7">
        <v>10484</v>
      </c>
      <c r="F75" s="7">
        <v>66334</v>
      </c>
      <c r="G75" s="7">
        <v>88334</v>
      </c>
      <c r="H75" s="7">
        <v>9530</v>
      </c>
      <c r="I75" s="7">
        <v>10</v>
      </c>
      <c r="J75" s="7">
        <v>3736</v>
      </c>
      <c r="K75" s="7">
        <v>5058</v>
      </c>
      <c r="L75" s="7">
        <v>22299</v>
      </c>
      <c r="M75" s="7">
        <v>14262</v>
      </c>
      <c r="N75" s="7">
        <v>5219405</v>
      </c>
      <c r="O75" s="7">
        <v>254433</v>
      </c>
      <c r="P75" s="7">
        <v>30974</v>
      </c>
      <c r="Q75" s="7">
        <v>7671</v>
      </c>
      <c r="R75" s="8">
        <v>47401</v>
      </c>
      <c r="S75" s="7">
        <v>25760208</v>
      </c>
      <c r="T75" s="7"/>
      <c r="U75" s="7">
        <v>103917</v>
      </c>
      <c r="V75" s="7">
        <v>234278</v>
      </c>
      <c r="W75" s="7">
        <v>266748</v>
      </c>
      <c r="X75" s="18">
        <v>56630</v>
      </c>
      <c r="Y75" s="18">
        <v>40285</v>
      </c>
      <c r="Z75" s="18">
        <v>5805</v>
      </c>
      <c r="AA75" s="18">
        <v>42335</v>
      </c>
      <c r="AB75" s="18">
        <v>85242</v>
      </c>
      <c r="AC75" s="18">
        <v>254277</v>
      </c>
      <c r="AD75" s="18"/>
      <c r="AE75" s="18">
        <v>6948</v>
      </c>
      <c r="AF75" s="21">
        <v>33687</v>
      </c>
      <c r="AG75" s="18">
        <v>150</v>
      </c>
      <c r="AH75" s="18"/>
      <c r="AI75" s="19">
        <v>1</v>
      </c>
      <c r="AJ75" s="18">
        <v>5634</v>
      </c>
      <c r="AK75" s="18"/>
    </row>
    <row r="76" spans="1:37" ht="48.75" customHeight="1" thickBot="1" x14ac:dyDescent="0.3">
      <c r="A76" s="80"/>
      <c r="B76" s="10">
        <v>0.249999999610168</v>
      </c>
      <c r="C76" s="11">
        <v>4976</v>
      </c>
      <c r="D76" s="11">
        <v>313543</v>
      </c>
      <c r="E76" s="11">
        <v>10484</v>
      </c>
      <c r="F76" s="11">
        <v>66334</v>
      </c>
      <c r="G76" s="11">
        <v>88334</v>
      </c>
      <c r="H76" s="11">
        <v>9530</v>
      </c>
      <c r="I76" s="11">
        <v>10</v>
      </c>
      <c r="J76" s="11">
        <v>3736</v>
      </c>
      <c r="K76" s="11">
        <v>5058</v>
      </c>
      <c r="L76" s="11">
        <v>22299</v>
      </c>
      <c r="M76" s="11">
        <v>14262</v>
      </c>
      <c r="N76" s="11">
        <v>5219405</v>
      </c>
      <c r="O76" s="11">
        <v>254433</v>
      </c>
      <c r="P76" s="11">
        <v>30974</v>
      </c>
      <c r="Q76" s="11">
        <v>7671</v>
      </c>
      <c r="R76" s="12">
        <v>47401</v>
      </c>
      <c r="S76" s="11">
        <v>25760208</v>
      </c>
      <c r="T76" s="11"/>
      <c r="U76" s="11">
        <v>103917</v>
      </c>
      <c r="V76" s="11">
        <v>234278</v>
      </c>
      <c r="W76" s="11">
        <v>266748</v>
      </c>
      <c r="X76" s="9">
        <v>56630</v>
      </c>
      <c r="Y76" s="9">
        <v>40285</v>
      </c>
      <c r="Z76" s="9">
        <v>5805</v>
      </c>
      <c r="AA76" s="9">
        <v>42335</v>
      </c>
      <c r="AB76" s="9">
        <v>85242</v>
      </c>
      <c r="AC76" s="9">
        <v>254277</v>
      </c>
      <c r="AD76" s="9"/>
      <c r="AE76" s="9">
        <v>6948</v>
      </c>
      <c r="AF76" s="21">
        <v>33687</v>
      </c>
      <c r="AG76" s="9">
        <v>150</v>
      </c>
      <c r="AH76" s="9"/>
      <c r="AI76" s="20">
        <v>1</v>
      </c>
      <c r="AJ76" s="9">
        <v>5634</v>
      </c>
      <c r="AK76" s="9"/>
    </row>
    <row r="77" spans="1:37" ht="48.75" customHeight="1" thickBot="1" x14ac:dyDescent="0.3">
      <c r="A77" s="81"/>
      <c r="B77" s="13">
        <v>0.58333333294308398</v>
      </c>
      <c r="C77" s="14">
        <v>4976</v>
      </c>
      <c r="D77" s="14">
        <v>313543</v>
      </c>
      <c r="E77" s="14">
        <v>10484</v>
      </c>
      <c r="F77" s="14">
        <v>66334</v>
      </c>
      <c r="G77" s="14">
        <v>88334</v>
      </c>
      <c r="H77" s="14">
        <v>9530</v>
      </c>
      <c r="I77" s="14">
        <v>10</v>
      </c>
      <c r="J77" s="14">
        <v>3736</v>
      </c>
      <c r="K77" s="14">
        <v>5058</v>
      </c>
      <c r="L77" s="14">
        <v>22299</v>
      </c>
      <c r="M77" s="14">
        <v>14262</v>
      </c>
      <c r="N77" s="14">
        <v>5219405</v>
      </c>
      <c r="O77" s="14">
        <v>254433</v>
      </c>
      <c r="P77" s="14">
        <v>30974</v>
      </c>
      <c r="Q77" s="14">
        <v>7671</v>
      </c>
      <c r="R77" s="15">
        <v>47401</v>
      </c>
      <c r="S77" s="14">
        <v>25760208</v>
      </c>
      <c r="T77" s="14"/>
      <c r="U77" s="14">
        <v>103917</v>
      </c>
      <c r="V77" s="14">
        <v>234278</v>
      </c>
      <c r="W77" s="14">
        <v>266748</v>
      </c>
      <c r="X77" s="21">
        <v>56630</v>
      </c>
      <c r="Y77" s="21">
        <v>40285</v>
      </c>
      <c r="Z77" s="21">
        <v>5805</v>
      </c>
      <c r="AA77" s="21">
        <v>42335</v>
      </c>
      <c r="AB77" s="21">
        <v>85242</v>
      </c>
      <c r="AC77" s="21">
        <v>254277</v>
      </c>
      <c r="AD77" s="21"/>
      <c r="AE77" s="21">
        <v>6948</v>
      </c>
      <c r="AF77" s="21">
        <v>33687</v>
      </c>
      <c r="AG77" s="21">
        <v>150</v>
      </c>
      <c r="AH77" s="21"/>
      <c r="AI77" s="22">
        <v>1</v>
      </c>
      <c r="AJ77" s="21">
        <v>5634</v>
      </c>
      <c r="AK77" s="21"/>
    </row>
    <row r="78" spans="1:37" ht="48.75" customHeight="1" thickBot="1" x14ac:dyDescent="0.3">
      <c r="A78" s="79">
        <v>46048</v>
      </c>
      <c r="B78" s="6">
        <v>0.91666666627611404</v>
      </c>
      <c r="C78" s="7">
        <v>4976</v>
      </c>
      <c r="D78" s="7">
        <v>313543</v>
      </c>
      <c r="E78" s="7">
        <v>10484</v>
      </c>
      <c r="F78" s="7">
        <v>66334</v>
      </c>
      <c r="G78" s="7">
        <v>88334</v>
      </c>
      <c r="H78" s="7">
        <v>9530</v>
      </c>
      <c r="I78" s="7">
        <v>10</v>
      </c>
      <c r="J78" s="7">
        <v>3736</v>
      </c>
      <c r="K78" s="7">
        <v>5058</v>
      </c>
      <c r="L78" s="7">
        <v>22299</v>
      </c>
      <c r="M78" s="7">
        <v>14262</v>
      </c>
      <c r="N78" s="7">
        <v>5219405</v>
      </c>
      <c r="O78" s="7">
        <v>254433</v>
      </c>
      <c r="P78" s="7">
        <v>30974</v>
      </c>
      <c r="Q78" s="7">
        <v>7671</v>
      </c>
      <c r="R78" s="8">
        <v>47401</v>
      </c>
      <c r="S78" s="7">
        <v>25760208</v>
      </c>
      <c r="T78" s="7"/>
      <c r="U78" s="7">
        <v>103917</v>
      </c>
      <c r="V78" s="7">
        <v>234278</v>
      </c>
      <c r="W78" s="7">
        <v>266748</v>
      </c>
      <c r="X78" s="18">
        <v>56630</v>
      </c>
      <c r="Y78" s="18">
        <v>40285</v>
      </c>
      <c r="Z78" s="18">
        <v>5805</v>
      </c>
      <c r="AA78" s="18">
        <v>42335</v>
      </c>
      <c r="AB78" s="18">
        <v>85242</v>
      </c>
      <c r="AC78" s="18">
        <v>254277</v>
      </c>
      <c r="AD78" s="18"/>
      <c r="AE78" s="18">
        <v>6948</v>
      </c>
      <c r="AF78" s="21">
        <v>33687</v>
      </c>
      <c r="AG78" s="18">
        <v>150</v>
      </c>
      <c r="AH78" s="18"/>
      <c r="AI78" s="19">
        <v>1</v>
      </c>
      <c r="AJ78" s="18">
        <v>5634</v>
      </c>
      <c r="AK78" s="18"/>
    </row>
    <row r="79" spans="1:37" ht="48.75" customHeight="1" thickBot="1" x14ac:dyDescent="0.3">
      <c r="A79" s="80"/>
      <c r="B79" s="10">
        <v>0.24999999960914501</v>
      </c>
      <c r="C79" s="11">
        <v>5002</v>
      </c>
      <c r="D79" s="11">
        <v>313774</v>
      </c>
      <c r="E79" s="11">
        <v>10487</v>
      </c>
      <c r="F79" s="11">
        <v>66334</v>
      </c>
      <c r="G79" s="11">
        <v>88334</v>
      </c>
      <c r="H79" s="11">
        <v>9530</v>
      </c>
      <c r="I79" s="11">
        <v>10</v>
      </c>
      <c r="J79" s="11">
        <v>3738</v>
      </c>
      <c r="K79" s="11">
        <v>5059</v>
      </c>
      <c r="L79" s="11">
        <v>22299</v>
      </c>
      <c r="M79" s="11">
        <v>14262</v>
      </c>
      <c r="N79" s="11">
        <v>5219405</v>
      </c>
      <c r="O79" s="11">
        <v>254433</v>
      </c>
      <c r="P79" s="11">
        <v>30974</v>
      </c>
      <c r="Q79" s="11">
        <v>7671</v>
      </c>
      <c r="R79" s="12">
        <v>47405</v>
      </c>
      <c r="S79" s="11">
        <v>25783528</v>
      </c>
      <c r="T79" s="11"/>
      <c r="U79" s="11">
        <v>104116</v>
      </c>
      <c r="V79" s="11">
        <v>234368</v>
      </c>
      <c r="W79" s="11">
        <v>266848</v>
      </c>
      <c r="X79" s="9">
        <v>56664</v>
      </c>
      <c r="Y79" s="9">
        <v>40314</v>
      </c>
      <c r="Z79" s="9"/>
      <c r="AA79" s="9"/>
      <c r="AB79" s="9">
        <v>85352</v>
      </c>
      <c r="AC79" s="9">
        <v>254315</v>
      </c>
      <c r="AD79" s="9"/>
      <c r="AE79" s="9"/>
      <c r="AF79" s="21">
        <v>33687</v>
      </c>
      <c r="AG79" s="9"/>
      <c r="AH79" s="9"/>
      <c r="AI79" s="20"/>
      <c r="AJ79" s="9"/>
      <c r="AK79" s="9"/>
    </row>
    <row r="80" spans="1:37" ht="48.75" customHeight="1" thickBot="1" x14ac:dyDescent="0.3">
      <c r="A80" s="81"/>
      <c r="B80" s="13">
        <v>0.58333333294217504</v>
      </c>
      <c r="C80" s="14">
        <v>5019</v>
      </c>
      <c r="D80" s="14">
        <v>313993</v>
      </c>
      <c r="E80" s="14">
        <v>10490</v>
      </c>
      <c r="F80" s="14">
        <v>66334</v>
      </c>
      <c r="G80" s="14">
        <v>88334</v>
      </c>
      <c r="H80" s="14">
        <v>9530</v>
      </c>
      <c r="I80" s="14">
        <v>10</v>
      </c>
      <c r="J80" s="14">
        <v>3742</v>
      </c>
      <c r="K80" s="14">
        <v>5059</v>
      </c>
      <c r="L80" s="14">
        <v>22299</v>
      </c>
      <c r="M80" s="14">
        <v>14261</v>
      </c>
      <c r="N80" s="14">
        <v>5583437</v>
      </c>
      <c r="O80" s="14">
        <v>254694</v>
      </c>
      <c r="P80" s="14">
        <v>30974</v>
      </c>
      <c r="Q80" s="14">
        <v>7671</v>
      </c>
      <c r="R80" s="15">
        <v>47414</v>
      </c>
      <c r="S80" s="14">
        <v>25800475</v>
      </c>
      <c r="T80" s="14"/>
      <c r="U80" s="14">
        <v>104412</v>
      </c>
      <c r="V80" s="14">
        <v>234547</v>
      </c>
      <c r="W80" s="14">
        <v>266987</v>
      </c>
      <c r="X80" s="21">
        <v>56754</v>
      </c>
      <c r="Y80" s="21">
        <v>40382</v>
      </c>
      <c r="Z80" s="21"/>
      <c r="AA80" s="21"/>
      <c r="AB80" s="21">
        <v>85391</v>
      </c>
      <c r="AC80" s="21">
        <v>254384</v>
      </c>
      <c r="AD80" s="21"/>
      <c r="AE80" s="21"/>
      <c r="AF80" s="21">
        <v>33687</v>
      </c>
      <c r="AG80" s="21"/>
      <c r="AH80" s="21"/>
      <c r="AI80" s="22"/>
      <c r="AJ80" s="21"/>
      <c r="AK80" s="21"/>
    </row>
    <row r="81" spans="1:37" ht="48.75" customHeight="1" thickBot="1" x14ac:dyDescent="0.3">
      <c r="A81" s="79">
        <v>46049</v>
      </c>
      <c r="B81" s="6">
        <v>0.91666666627509097</v>
      </c>
      <c r="C81" s="7">
        <v>5056</v>
      </c>
      <c r="D81" s="7">
        <v>314271</v>
      </c>
      <c r="E81" s="7">
        <v>10494</v>
      </c>
      <c r="F81" s="7">
        <v>66334</v>
      </c>
      <c r="G81" s="7">
        <v>88334</v>
      </c>
      <c r="H81" s="7">
        <v>9530</v>
      </c>
      <c r="I81" s="7">
        <v>10</v>
      </c>
      <c r="J81" s="7">
        <v>3743</v>
      </c>
      <c r="K81" s="7">
        <v>5059</v>
      </c>
      <c r="L81" s="7">
        <v>22307</v>
      </c>
      <c r="M81" s="7">
        <v>14259</v>
      </c>
      <c r="N81" s="7">
        <v>5661525</v>
      </c>
      <c r="O81" s="7">
        <v>254754</v>
      </c>
      <c r="P81" s="7">
        <v>30974</v>
      </c>
      <c r="Q81" s="7">
        <v>7671</v>
      </c>
      <c r="R81" s="8">
        <v>47417</v>
      </c>
      <c r="S81" s="7">
        <v>25837435</v>
      </c>
      <c r="T81" s="7"/>
      <c r="U81" s="7">
        <v>104811</v>
      </c>
      <c r="V81" s="7">
        <v>234630</v>
      </c>
      <c r="W81" s="7">
        <v>267072</v>
      </c>
      <c r="X81" s="18">
        <v>56863</v>
      </c>
      <c r="Y81" s="18">
        <v>40461</v>
      </c>
      <c r="Z81" s="18">
        <v>5817</v>
      </c>
      <c r="AA81" s="18">
        <v>42367</v>
      </c>
      <c r="AB81" s="18">
        <v>85504</v>
      </c>
      <c r="AC81" s="18">
        <v>254503</v>
      </c>
      <c r="AD81" s="18"/>
      <c r="AE81" s="18">
        <v>6950</v>
      </c>
      <c r="AF81" s="21">
        <v>33687</v>
      </c>
      <c r="AG81" s="18">
        <v>150</v>
      </c>
      <c r="AH81" s="18"/>
      <c r="AI81" s="19">
        <v>1</v>
      </c>
      <c r="AJ81" s="18">
        <v>5657</v>
      </c>
      <c r="AK81" s="18"/>
    </row>
    <row r="82" spans="1:37" ht="48.75" customHeight="1" thickBot="1" x14ac:dyDescent="0.3">
      <c r="A82" s="80"/>
      <c r="B82" s="10">
        <v>0.249999999608121</v>
      </c>
      <c r="C82" s="11">
        <v>5075</v>
      </c>
      <c r="D82" s="11">
        <v>314592</v>
      </c>
      <c r="E82" s="11">
        <v>10497</v>
      </c>
      <c r="F82" s="11">
        <v>66334</v>
      </c>
      <c r="G82" s="11">
        <v>88334</v>
      </c>
      <c r="H82" s="11">
        <v>9530</v>
      </c>
      <c r="I82" s="11">
        <v>10</v>
      </c>
      <c r="J82" s="11">
        <v>3747</v>
      </c>
      <c r="K82" s="11">
        <v>5059</v>
      </c>
      <c r="L82" s="11">
        <v>22314</v>
      </c>
      <c r="M82" s="11">
        <v>14258</v>
      </c>
      <c r="N82" s="11">
        <v>5842649</v>
      </c>
      <c r="O82" s="11">
        <v>254902</v>
      </c>
      <c r="P82" s="11">
        <v>30974</v>
      </c>
      <c r="Q82" s="11">
        <v>7671</v>
      </c>
      <c r="R82" s="12">
        <v>47424</v>
      </c>
      <c r="S82" s="11">
        <v>25862618</v>
      </c>
      <c r="T82" s="11"/>
      <c r="U82" s="11">
        <v>105224</v>
      </c>
      <c r="V82" s="11">
        <v>234741</v>
      </c>
      <c r="W82" s="11">
        <v>277184</v>
      </c>
      <c r="X82" s="9">
        <v>56987</v>
      </c>
      <c r="Y82" s="9">
        <v>40554</v>
      </c>
      <c r="Z82" s="9">
        <v>5817</v>
      </c>
      <c r="AA82" s="9"/>
      <c r="AB82" s="9">
        <v>85571</v>
      </c>
      <c r="AC82" s="9">
        <v>254598</v>
      </c>
      <c r="AD82" s="9"/>
      <c r="AE82" s="9"/>
      <c r="AF82" s="21">
        <v>33687</v>
      </c>
      <c r="AG82" s="9"/>
      <c r="AH82" s="9"/>
      <c r="AI82" s="20"/>
      <c r="AJ82" s="9"/>
      <c r="AK82" s="9"/>
    </row>
    <row r="83" spans="1:37" ht="48.75" customHeight="1" thickBot="1" x14ac:dyDescent="0.3">
      <c r="A83" s="81"/>
      <c r="B83" s="13">
        <v>0.58333333294115197</v>
      </c>
      <c r="C83" s="14">
        <v>5097</v>
      </c>
      <c r="D83" s="14">
        <v>314812</v>
      </c>
      <c r="E83" s="14">
        <v>10499</v>
      </c>
      <c r="F83" s="14">
        <v>66334</v>
      </c>
      <c r="G83" s="14">
        <v>88334</v>
      </c>
      <c r="H83" s="14">
        <v>9530</v>
      </c>
      <c r="I83" s="14">
        <v>10</v>
      </c>
      <c r="J83" s="14">
        <v>3749</v>
      </c>
      <c r="K83" s="14">
        <v>5059</v>
      </c>
      <c r="L83" s="14">
        <v>22319</v>
      </c>
      <c r="M83" s="14">
        <v>14258</v>
      </c>
      <c r="N83" s="14">
        <v>6030072</v>
      </c>
      <c r="O83" s="14">
        <v>255054</v>
      </c>
      <c r="P83" s="14">
        <v>30974</v>
      </c>
      <c r="Q83" s="14">
        <v>7671</v>
      </c>
      <c r="R83" s="15">
        <v>47434</v>
      </c>
      <c r="S83" s="14">
        <v>25877030</v>
      </c>
      <c r="T83" s="14"/>
      <c r="U83" s="14">
        <v>105532</v>
      </c>
      <c r="V83" s="14">
        <v>234816</v>
      </c>
      <c r="W83" s="14">
        <v>267287</v>
      </c>
      <c r="X83" s="21">
        <v>57096</v>
      </c>
      <c r="Y83" s="21">
        <v>40637</v>
      </c>
      <c r="Z83" s="21"/>
      <c r="AA83" s="21"/>
      <c r="AB83" s="21">
        <v>85649</v>
      </c>
      <c r="AC83" s="21">
        <v>254670</v>
      </c>
      <c r="AD83" s="21"/>
      <c r="AE83" s="21"/>
      <c r="AF83" s="21">
        <v>33687</v>
      </c>
      <c r="AG83" s="21"/>
      <c r="AH83" s="21"/>
      <c r="AI83" s="22"/>
      <c r="AJ83" s="21"/>
      <c r="AK83" s="21"/>
    </row>
    <row r="84" spans="1:37" ht="48.75" customHeight="1" thickBot="1" x14ac:dyDescent="0.3">
      <c r="A84" s="79">
        <v>46050</v>
      </c>
      <c r="B84" s="6">
        <v>0.91666666627418203</v>
      </c>
      <c r="C84" s="7">
        <v>5137</v>
      </c>
      <c r="D84" s="7">
        <v>315160</v>
      </c>
      <c r="E84" s="7">
        <v>10503</v>
      </c>
      <c r="F84" s="7">
        <v>66334</v>
      </c>
      <c r="G84" s="7">
        <v>88334</v>
      </c>
      <c r="H84" s="7">
        <v>9530</v>
      </c>
      <c r="I84" s="7">
        <v>10</v>
      </c>
      <c r="J84" s="7">
        <v>3753</v>
      </c>
      <c r="K84" s="7">
        <v>5061</v>
      </c>
      <c r="L84" s="7">
        <v>22327</v>
      </c>
      <c r="M84" s="7">
        <v>14258</v>
      </c>
      <c r="N84" s="7">
        <v>6301543</v>
      </c>
      <c r="O84" s="7">
        <v>255277</v>
      </c>
      <c r="P84" s="7">
        <v>30974</v>
      </c>
      <c r="Q84" s="7">
        <v>7671</v>
      </c>
      <c r="R84" s="8">
        <v>47442</v>
      </c>
      <c r="S84" s="7">
        <v>25950890</v>
      </c>
      <c r="T84" s="7"/>
      <c r="U84" s="7">
        <v>106135</v>
      </c>
      <c r="V84" s="7">
        <v>234987</v>
      </c>
      <c r="W84" s="7">
        <v>267499</v>
      </c>
      <c r="X84" s="18">
        <v>57209</v>
      </c>
      <c r="Y84" s="18">
        <v>40720</v>
      </c>
      <c r="Z84" s="18">
        <v>5834</v>
      </c>
      <c r="AA84" s="18">
        <v>42398</v>
      </c>
      <c r="AB84" s="18">
        <v>85857</v>
      </c>
      <c r="AC84" s="18">
        <v>254726</v>
      </c>
      <c r="AD84" s="18"/>
      <c r="AE84" s="18">
        <v>6952</v>
      </c>
      <c r="AF84" s="21">
        <v>33687</v>
      </c>
      <c r="AG84" s="18">
        <v>150</v>
      </c>
      <c r="AH84" s="18"/>
      <c r="AI84" s="19">
        <v>1</v>
      </c>
      <c r="AJ84" s="18">
        <v>5679</v>
      </c>
      <c r="AK84" s="18"/>
    </row>
    <row r="85" spans="1:37" ht="48.75" customHeight="1" thickBot="1" x14ac:dyDescent="0.3">
      <c r="A85" s="80"/>
      <c r="B85" s="10">
        <v>0.24999999960709801</v>
      </c>
      <c r="C85" s="11">
        <v>5155</v>
      </c>
      <c r="D85" s="11">
        <v>315474</v>
      </c>
      <c r="E85" s="11">
        <v>10507</v>
      </c>
      <c r="F85" s="11">
        <v>66334</v>
      </c>
      <c r="G85" s="11">
        <v>88334</v>
      </c>
      <c r="H85" s="11">
        <v>9530</v>
      </c>
      <c r="I85" s="11">
        <v>10</v>
      </c>
      <c r="J85" s="11">
        <v>3751</v>
      </c>
      <c r="K85" s="11">
        <v>5061</v>
      </c>
      <c r="L85" s="11">
        <v>22334</v>
      </c>
      <c r="M85" s="11">
        <v>14258</v>
      </c>
      <c r="N85" s="11">
        <v>6815952</v>
      </c>
      <c r="O85" s="11">
        <v>255700</v>
      </c>
      <c r="P85" s="11">
        <v>30974</v>
      </c>
      <c r="Q85" s="11">
        <v>7671</v>
      </c>
      <c r="R85" s="12">
        <v>47449</v>
      </c>
      <c r="S85" s="11">
        <v>26029202</v>
      </c>
      <c r="T85" s="11"/>
      <c r="U85" s="11">
        <v>106628</v>
      </c>
      <c r="V85" s="11">
        <v>235177</v>
      </c>
      <c r="W85" s="11">
        <v>267729</v>
      </c>
      <c r="X85" s="18">
        <v>57331</v>
      </c>
      <c r="Y85" s="18">
        <v>40813</v>
      </c>
      <c r="Z85" s="9"/>
      <c r="AA85" s="9"/>
      <c r="AB85" s="9">
        <v>85857</v>
      </c>
      <c r="AC85" s="9">
        <v>254914</v>
      </c>
      <c r="AD85" s="9"/>
      <c r="AE85" s="9"/>
      <c r="AF85" s="21">
        <v>33687</v>
      </c>
      <c r="AG85" s="9">
        <v>150</v>
      </c>
      <c r="AH85" s="9"/>
      <c r="AI85" s="20">
        <v>1</v>
      </c>
      <c r="AJ85" s="9"/>
      <c r="AK85" s="9"/>
    </row>
    <row r="86" spans="1:37" ht="48.75" customHeight="1" thickBot="1" x14ac:dyDescent="0.3">
      <c r="A86" s="81"/>
      <c r="B86" s="13">
        <v>0.58333333294012801</v>
      </c>
      <c r="C86" s="14">
        <v>5174</v>
      </c>
      <c r="D86" s="14">
        <v>315750</v>
      </c>
      <c r="E86" s="14">
        <v>10511</v>
      </c>
      <c r="F86" s="14">
        <v>66334</v>
      </c>
      <c r="G86" s="14">
        <v>88334</v>
      </c>
      <c r="H86" s="14">
        <v>9530</v>
      </c>
      <c r="I86" s="14">
        <v>10</v>
      </c>
      <c r="J86" s="14">
        <v>3768</v>
      </c>
      <c r="K86" s="14">
        <v>5062</v>
      </c>
      <c r="L86" s="14">
        <v>22340</v>
      </c>
      <c r="M86" s="14">
        <v>14256</v>
      </c>
      <c r="N86" s="14">
        <v>6815952</v>
      </c>
      <c r="O86" s="14">
        <v>255700</v>
      </c>
      <c r="P86" s="14">
        <v>30974</v>
      </c>
      <c r="Q86" s="14">
        <v>7671</v>
      </c>
      <c r="R86" s="15">
        <v>47456</v>
      </c>
      <c r="S86" s="14">
        <v>26055907</v>
      </c>
      <c r="T86" s="14"/>
      <c r="U86" s="14">
        <v>106975</v>
      </c>
      <c r="V86" s="14">
        <v>235265</v>
      </c>
      <c r="W86" s="14">
        <v>267827</v>
      </c>
      <c r="X86" s="21">
        <v>57455</v>
      </c>
      <c r="Y86" s="21">
        <v>40907</v>
      </c>
      <c r="Z86" s="21"/>
      <c r="AA86" s="21"/>
      <c r="AB86" s="21">
        <v>85861</v>
      </c>
      <c r="AC86" s="21">
        <v>255011</v>
      </c>
      <c r="AD86" s="21"/>
      <c r="AE86" s="21"/>
      <c r="AF86" s="21">
        <v>33687</v>
      </c>
      <c r="AG86" s="21"/>
      <c r="AH86" s="21"/>
      <c r="AI86" s="22"/>
      <c r="AJ86" s="21"/>
      <c r="AK86" s="21"/>
    </row>
    <row r="87" spans="1:37" ht="48.75" customHeight="1" thickBot="1" x14ac:dyDescent="0.3">
      <c r="A87" s="79">
        <v>46051</v>
      </c>
      <c r="B87" s="6">
        <v>0.91666666627315896</v>
      </c>
      <c r="C87" s="7">
        <v>5201</v>
      </c>
      <c r="D87" s="7">
        <v>316074</v>
      </c>
      <c r="E87" s="7">
        <v>10515</v>
      </c>
      <c r="F87" s="7">
        <v>66334</v>
      </c>
      <c r="G87" s="7">
        <v>88334</v>
      </c>
      <c r="H87" s="7">
        <v>9530</v>
      </c>
      <c r="I87" s="7">
        <v>10</v>
      </c>
      <c r="J87" s="7">
        <v>3768</v>
      </c>
      <c r="K87" s="7">
        <v>5064</v>
      </c>
      <c r="L87" s="7">
        <v>22344</v>
      </c>
      <c r="M87" s="7">
        <v>14256</v>
      </c>
      <c r="N87" s="7">
        <v>7340483</v>
      </c>
      <c r="O87" s="7">
        <v>256127</v>
      </c>
      <c r="P87" s="14">
        <v>30974</v>
      </c>
      <c r="Q87" s="14">
        <v>7671</v>
      </c>
      <c r="R87" s="8">
        <v>47471</v>
      </c>
      <c r="S87" s="7">
        <v>26122650</v>
      </c>
      <c r="T87" s="7"/>
      <c r="U87" s="7">
        <v>107537</v>
      </c>
      <c r="V87" s="7">
        <v>235506</v>
      </c>
      <c r="W87" s="7">
        <v>268061</v>
      </c>
      <c r="X87" s="18">
        <v>57570</v>
      </c>
      <c r="Y87" s="18">
        <v>40998</v>
      </c>
      <c r="Z87" s="18">
        <v>5854</v>
      </c>
      <c r="AA87" s="18">
        <v>42423</v>
      </c>
      <c r="AB87" s="18">
        <v>85936</v>
      </c>
      <c r="AC87" s="18">
        <v>255151</v>
      </c>
      <c r="AD87" s="18"/>
      <c r="AE87" s="18">
        <v>6954</v>
      </c>
      <c r="AF87" s="21">
        <v>33687</v>
      </c>
      <c r="AG87" s="18">
        <v>150</v>
      </c>
      <c r="AH87" s="18"/>
      <c r="AI87" s="19">
        <v>1</v>
      </c>
      <c r="AJ87" s="18">
        <v>5698</v>
      </c>
      <c r="AK87" s="18"/>
    </row>
    <row r="88" spans="1:37" ht="48.75" customHeight="1" thickBot="1" x14ac:dyDescent="0.3">
      <c r="A88" s="80"/>
      <c r="B88" s="10">
        <v>0.24999999960618899</v>
      </c>
      <c r="C88" s="11">
        <v>5223</v>
      </c>
      <c r="D88" s="11">
        <v>316362</v>
      </c>
      <c r="E88" s="11">
        <v>10518</v>
      </c>
      <c r="F88" s="11">
        <v>66334</v>
      </c>
      <c r="G88" s="11">
        <v>88334</v>
      </c>
      <c r="H88" s="11">
        <v>9530</v>
      </c>
      <c r="I88" s="11">
        <v>10</v>
      </c>
      <c r="J88" s="11">
        <v>3769</v>
      </c>
      <c r="K88" s="11">
        <v>5067</v>
      </c>
      <c r="L88" s="11">
        <v>22351</v>
      </c>
      <c r="M88" s="11">
        <v>14256</v>
      </c>
      <c r="N88" s="11">
        <v>7782316</v>
      </c>
      <c r="O88" s="11">
        <v>256481</v>
      </c>
      <c r="P88" s="14">
        <v>30974</v>
      </c>
      <c r="Q88" s="14">
        <v>7671</v>
      </c>
      <c r="R88" s="12">
        <v>47479</v>
      </c>
      <c r="S88" s="11">
        <v>26191111</v>
      </c>
      <c r="T88" s="11"/>
      <c r="U88" s="11">
        <v>108046</v>
      </c>
      <c r="V88" s="11">
        <v>235777</v>
      </c>
      <c r="W88" s="11">
        <v>268343</v>
      </c>
      <c r="X88" s="9">
        <v>57689</v>
      </c>
      <c r="Y88" s="9">
        <v>41087</v>
      </c>
      <c r="Z88" s="9"/>
      <c r="AA88" s="9"/>
      <c r="AB88" s="9">
        <v>86005</v>
      </c>
      <c r="AC88" s="9">
        <f>AVERAGE(AC89,AC87)</f>
        <v>255234.5</v>
      </c>
      <c r="AD88" s="9"/>
      <c r="AE88" s="9"/>
      <c r="AF88" s="21">
        <v>33687</v>
      </c>
      <c r="AG88" s="9">
        <v>150</v>
      </c>
      <c r="AH88" s="9"/>
      <c r="AI88" s="20">
        <v>1</v>
      </c>
      <c r="AJ88" s="9"/>
      <c r="AK88" s="9"/>
    </row>
    <row r="89" spans="1:37" ht="48.75" customHeight="1" thickBot="1" x14ac:dyDescent="0.3">
      <c r="A89" s="81"/>
      <c r="B89" s="13">
        <v>0.58333333293910505</v>
      </c>
      <c r="C89" s="14">
        <v>5240</v>
      </c>
      <c r="D89" s="14">
        <v>316625</v>
      </c>
      <c r="E89" s="14">
        <v>10522</v>
      </c>
      <c r="F89" s="14">
        <v>66334</v>
      </c>
      <c r="G89" s="14">
        <v>88334</v>
      </c>
      <c r="H89" s="14">
        <v>9530</v>
      </c>
      <c r="I89" s="14">
        <v>10</v>
      </c>
      <c r="J89" s="14">
        <v>3776</v>
      </c>
      <c r="K89" s="14">
        <v>5068</v>
      </c>
      <c r="L89" s="14">
        <v>22352</v>
      </c>
      <c r="M89" s="14">
        <v>14256</v>
      </c>
      <c r="N89" s="14">
        <v>8099207</v>
      </c>
      <c r="O89" s="14">
        <v>256738</v>
      </c>
      <c r="P89" s="14">
        <v>30974</v>
      </c>
      <c r="Q89" s="14">
        <v>7671</v>
      </c>
      <c r="R89" s="15">
        <v>47483</v>
      </c>
      <c r="S89" s="14">
        <v>26220622</v>
      </c>
      <c r="T89" s="14"/>
      <c r="U89" s="14">
        <v>108429</v>
      </c>
      <c r="V89" s="14">
        <v>235920</v>
      </c>
      <c r="W89" s="14">
        <v>268492</v>
      </c>
      <c r="X89" s="21">
        <v>57810</v>
      </c>
      <c r="Y89" s="21">
        <v>41178</v>
      </c>
      <c r="Z89" s="21"/>
      <c r="AA89" s="21"/>
      <c r="AB89" s="21">
        <v>86032</v>
      </c>
      <c r="AC89" s="21">
        <v>255318</v>
      </c>
      <c r="AD89" s="21"/>
      <c r="AE89" s="21"/>
      <c r="AF89" s="21">
        <v>33687</v>
      </c>
      <c r="AG89" s="21"/>
      <c r="AH89" s="21"/>
      <c r="AI89" s="22"/>
      <c r="AJ89" s="21"/>
      <c r="AK89" s="21"/>
    </row>
    <row r="90" spans="1:37" ht="48.75" customHeight="1" thickBot="1" x14ac:dyDescent="0.3">
      <c r="A90" s="79">
        <v>46052</v>
      </c>
      <c r="B90" s="6">
        <v>0.916666666272135</v>
      </c>
      <c r="C90" s="7">
        <v>5274</v>
      </c>
      <c r="D90" s="7">
        <v>316977</v>
      </c>
      <c r="E90" s="7">
        <v>10528</v>
      </c>
      <c r="F90" s="7">
        <v>66334</v>
      </c>
      <c r="G90" s="7">
        <v>88334</v>
      </c>
      <c r="H90" s="7">
        <v>9530</v>
      </c>
      <c r="I90" s="7">
        <v>10</v>
      </c>
      <c r="J90" s="7">
        <v>3781</v>
      </c>
      <c r="K90" s="7">
        <v>5068</v>
      </c>
      <c r="L90" s="7">
        <v>22358</v>
      </c>
      <c r="M90" s="7">
        <v>14256</v>
      </c>
      <c r="N90" s="7">
        <v>8405196</v>
      </c>
      <c r="O90" s="7">
        <v>257007</v>
      </c>
      <c r="P90" s="14">
        <v>30974</v>
      </c>
      <c r="Q90" s="14">
        <v>7671</v>
      </c>
      <c r="R90" s="8">
        <v>47488</v>
      </c>
      <c r="S90" s="7">
        <v>26292398</v>
      </c>
      <c r="T90" s="7"/>
      <c r="U90" s="7">
        <v>108993</v>
      </c>
      <c r="V90" s="7">
        <v>236190</v>
      </c>
      <c r="W90" s="7">
        <v>268747</v>
      </c>
      <c r="X90" s="18">
        <v>57885</v>
      </c>
      <c r="Y90" s="18">
        <v>41236</v>
      </c>
      <c r="Z90" s="18">
        <v>5872</v>
      </c>
      <c r="AA90" s="18">
        <v>42446</v>
      </c>
      <c r="AB90" s="18">
        <v>86135</v>
      </c>
      <c r="AC90" s="18">
        <v>255452</v>
      </c>
      <c r="AD90" s="18"/>
      <c r="AE90" s="18">
        <v>6955</v>
      </c>
      <c r="AF90" s="21">
        <v>33687</v>
      </c>
      <c r="AG90" s="18">
        <v>150</v>
      </c>
      <c r="AH90" s="18"/>
      <c r="AI90" s="19">
        <v>1</v>
      </c>
      <c r="AJ90" s="18">
        <v>5718</v>
      </c>
      <c r="AK90" s="18"/>
    </row>
    <row r="91" spans="1:37" ht="48.75" customHeight="1" thickBot="1" x14ac:dyDescent="0.3">
      <c r="A91" s="80"/>
      <c r="B91" s="10">
        <v>0.249999999605166</v>
      </c>
      <c r="C91" s="11">
        <v>5293</v>
      </c>
      <c r="D91" s="11">
        <v>317284</v>
      </c>
      <c r="E91" s="11">
        <v>10531</v>
      </c>
      <c r="F91" s="11">
        <v>66334</v>
      </c>
      <c r="G91" s="11">
        <v>88334</v>
      </c>
      <c r="H91" s="11">
        <v>9530</v>
      </c>
      <c r="I91" s="11">
        <v>10</v>
      </c>
      <c r="J91" s="11">
        <v>3781</v>
      </c>
      <c r="K91" s="11">
        <v>5071</v>
      </c>
      <c r="L91" s="11">
        <v>22365</v>
      </c>
      <c r="M91" s="11">
        <v>14256</v>
      </c>
      <c r="N91" s="11">
        <v>8909609</v>
      </c>
      <c r="O91" s="11">
        <v>257459</v>
      </c>
      <c r="P91" s="14">
        <v>30974</v>
      </c>
      <c r="Q91" s="14">
        <v>7671</v>
      </c>
      <c r="R91" s="12">
        <v>47493</v>
      </c>
      <c r="S91" s="11">
        <v>26370506</v>
      </c>
      <c r="T91" s="11"/>
      <c r="U91" s="11">
        <v>109534</v>
      </c>
      <c r="V91" s="11">
        <v>236452</v>
      </c>
      <c r="W91" s="11">
        <v>269010</v>
      </c>
      <c r="X91" s="9">
        <v>58011</v>
      </c>
      <c r="Y91" s="9">
        <v>41333</v>
      </c>
      <c r="Z91" s="9"/>
      <c r="AA91" s="18">
        <v>42446</v>
      </c>
      <c r="AB91" s="9">
        <v>86135</v>
      </c>
      <c r="AC91" s="9">
        <v>255550</v>
      </c>
      <c r="AD91" s="9"/>
      <c r="AE91" s="18">
        <v>6955</v>
      </c>
      <c r="AF91" s="21">
        <v>33687</v>
      </c>
      <c r="AG91" s="9">
        <v>150</v>
      </c>
      <c r="AH91" s="9"/>
      <c r="AI91" s="20">
        <v>1</v>
      </c>
      <c r="AJ91" s="18">
        <v>5718</v>
      </c>
      <c r="AK91" s="9"/>
    </row>
    <row r="92" spans="1:37" ht="48.75" customHeight="1" thickBot="1" x14ac:dyDescent="0.3">
      <c r="A92" s="81"/>
      <c r="B92" s="13">
        <v>0.58333333293808198</v>
      </c>
      <c r="C92" s="14">
        <v>5310</v>
      </c>
      <c r="D92" s="14">
        <v>317564</v>
      </c>
      <c r="E92" s="14">
        <v>10356</v>
      </c>
      <c r="F92" s="11">
        <v>66334</v>
      </c>
      <c r="G92" s="11">
        <v>88334</v>
      </c>
      <c r="H92" s="11">
        <v>9530</v>
      </c>
      <c r="I92" s="11">
        <v>10</v>
      </c>
      <c r="J92" s="14">
        <v>3785</v>
      </c>
      <c r="K92" s="14">
        <v>5071</v>
      </c>
      <c r="L92" s="14">
        <v>22366</v>
      </c>
      <c r="M92" s="14">
        <v>14255</v>
      </c>
      <c r="N92" s="14">
        <v>9216114</v>
      </c>
      <c r="O92" s="14">
        <v>257731</v>
      </c>
      <c r="P92" s="14">
        <v>30974</v>
      </c>
      <c r="Q92" s="14">
        <v>7671</v>
      </c>
      <c r="R92" s="15">
        <v>47507</v>
      </c>
      <c r="S92" s="14">
        <v>26420195</v>
      </c>
      <c r="T92" s="14"/>
      <c r="U92" s="14">
        <v>109981</v>
      </c>
      <c r="V92" s="14">
        <v>236585</v>
      </c>
      <c r="W92" s="14">
        <v>269165</v>
      </c>
      <c r="X92" s="21">
        <v>58129</v>
      </c>
      <c r="Y92" s="21">
        <v>41426</v>
      </c>
      <c r="Z92" s="21"/>
      <c r="AA92" s="18">
        <v>42446</v>
      </c>
      <c r="AB92" s="21">
        <v>86135</v>
      </c>
      <c r="AC92" s="21">
        <v>255661</v>
      </c>
      <c r="AD92" s="21"/>
      <c r="AE92" s="18">
        <v>6955</v>
      </c>
      <c r="AF92" s="21">
        <v>33687</v>
      </c>
      <c r="AG92" s="9">
        <v>150</v>
      </c>
      <c r="AH92" s="9"/>
      <c r="AI92" s="20">
        <v>1</v>
      </c>
      <c r="AJ92" s="18">
        <v>5718</v>
      </c>
      <c r="AK92" s="21"/>
    </row>
    <row r="93" spans="1:37" ht="48.75" customHeight="1" thickBot="1" x14ac:dyDescent="0.3">
      <c r="A93" s="79">
        <v>46053</v>
      </c>
      <c r="B93" s="6">
        <v>0.91666666627111204</v>
      </c>
      <c r="C93" s="7">
        <v>5336</v>
      </c>
      <c r="D93" s="7">
        <v>317919</v>
      </c>
      <c r="E93" s="7">
        <v>10540</v>
      </c>
      <c r="F93" s="7">
        <v>66334</v>
      </c>
      <c r="G93" s="7">
        <v>88334</v>
      </c>
      <c r="H93" s="7">
        <v>9530</v>
      </c>
      <c r="I93" s="7">
        <v>10</v>
      </c>
      <c r="J93" s="7">
        <v>3785</v>
      </c>
      <c r="K93" s="7">
        <v>5071</v>
      </c>
      <c r="L93" s="7">
        <v>22373</v>
      </c>
      <c r="M93" s="7">
        <v>14260</v>
      </c>
      <c r="N93" s="7">
        <v>9662353</v>
      </c>
      <c r="O93" s="7">
        <v>258126</v>
      </c>
      <c r="P93" s="14">
        <v>30974</v>
      </c>
      <c r="Q93" s="14">
        <v>7671</v>
      </c>
      <c r="R93" s="8">
        <v>47516</v>
      </c>
      <c r="S93" s="7">
        <v>26523060</v>
      </c>
      <c r="T93" s="7"/>
      <c r="U93" s="7">
        <v>110613</v>
      </c>
      <c r="V93" s="7">
        <v>236844</v>
      </c>
      <c r="W93" s="7">
        <v>269456</v>
      </c>
      <c r="X93" s="18">
        <v>58356</v>
      </c>
      <c r="Y93" s="18">
        <v>41597</v>
      </c>
      <c r="Z93" s="18">
        <v>5890</v>
      </c>
      <c r="AA93" s="18">
        <v>42454</v>
      </c>
      <c r="AB93" s="18">
        <v>86167</v>
      </c>
      <c r="AC93" s="18">
        <f>AVERAGE(AC94,AC92)</f>
        <v>255769.5</v>
      </c>
      <c r="AD93" s="18"/>
      <c r="AE93" s="18">
        <v>6961</v>
      </c>
      <c r="AF93" s="21">
        <v>33687</v>
      </c>
      <c r="AG93" s="18">
        <v>150</v>
      </c>
      <c r="AH93" s="18"/>
      <c r="AI93" s="19">
        <v>1</v>
      </c>
      <c r="AJ93" s="18">
        <v>5739</v>
      </c>
      <c r="AK93" s="18"/>
    </row>
    <row r="94" spans="1:37" ht="48.75" customHeight="1" thickBot="1" x14ac:dyDescent="0.3">
      <c r="A94" s="80"/>
      <c r="B94" s="10">
        <v>0.24999999960414199</v>
      </c>
      <c r="C94" s="11">
        <v>5356</v>
      </c>
      <c r="D94" s="11">
        <v>318264</v>
      </c>
      <c r="E94" s="11">
        <v>10544</v>
      </c>
      <c r="F94" s="11">
        <v>66334</v>
      </c>
      <c r="G94" s="11">
        <v>88334</v>
      </c>
      <c r="H94" s="11">
        <v>9530</v>
      </c>
      <c r="I94" s="11">
        <v>10</v>
      </c>
      <c r="J94" s="11">
        <v>3790</v>
      </c>
      <c r="K94" s="11">
        <v>5071</v>
      </c>
      <c r="L94" s="11">
        <v>22381</v>
      </c>
      <c r="M94" s="11">
        <v>14260</v>
      </c>
      <c r="N94" s="11">
        <v>103624</v>
      </c>
      <c r="O94" s="11">
        <v>258513</v>
      </c>
      <c r="P94" s="14">
        <f>10000000-N93</f>
        <v>337647</v>
      </c>
      <c r="Q94" s="14">
        <v>7671</v>
      </c>
      <c r="R94" s="12">
        <v>47529</v>
      </c>
      <c r="S94" s="11">
        <v>26569434</v>
      </c>
      <c r="T94" s="11"/>
      <c r="U94" s="11">
        <v>111158</v>
      </c>
      <c r="V94" s="11">
        <v>237062</v>
      </c>
      <c r="W94" s="11">
        <v>269721</v>
      </c>
      <c r="X94" s="9">
        <v>58448</v>
      </c>
      <c r="Y94" s="9">
        <v>41668</v>
      </c>
      <c r="Z94" s="9"/>
      <c r="AA94" s="18"/>
      <c r="AB94" s="9">
        <v>86198</v>
      </c>
      <c r="AC94" s="9">
        <v>255878</v>
      </c>
      <c r="AD94" s="9"/>
      <c r="AE94" s="18"/>
      <c r="AF94" s="21">
        <v>33687</v>
      </c>
      <c r="AG94" s="9">
        <v>150</v>
      </c>
      <c r="AH94" s="9"/>
      <c r="AI94" s="20">
        <v>1</v>
      </c>
      <c r="AJ94" s="18"/>
      <c r="AK94" s="9"/>
    </row>
    <row r="95" spans="1:37" ht="48.75" customHeight="1" thickBot="1" x14ac:dyDescent="0.3">
      <c r="A95" s="81"/>
      <c r="B95" s="13">
        <v>0.58333333293717304</v>
      </c>
      <c r="C95" s="14">
        <v>5371</v>
      </c>
      <c r="D95" s="14">
        <v>318497</v>
      </c>
      <c r="E95" s="14">
        <v>10548</v>
      </c>
      <c r="F95" s="11">
        <v>66334</v>
      </c>
      <c r="G95" s="11">
        <v>88334</v>
      </c>
      <c r="H95" s="11">
        <v>9530</v>
      </c>
      <c r="I95" s="11">
        <v>10</v>
      </c>
      <c r="J95" s="14">
        <v>3792</v>
      </c>
      <c r="K95" s="14">
        <v>5071</v>
      </c>
      <c r="L95" s="14">
        <v>22385</v>
      </c>
      <c r="M95" s="14">
        <v>14273</v>
      </c>
      <c r="N95" s="14">
        <v>328947</v>
      </c>
      <c r="O95" s="14">
        <v>258709</v>
      </c>
      <c r="P95" s="14">
        <v>30974</v>
      </c>
      <c r="Q95" s="14">
        <v>7671</v>
      </c>
      <c r="R95" s="15">
        <v>47561</v>
      </c>
      <c r="S95" s="14">
        <v>26573831</v>
      </c>
      <c r="T95" s="14"/>
      <c r="U95" s="14">
        <v>111444</v>
      </c>
      <c r="V95" s="14">
        <v>237189</v>
      </c>
      <c r="W95" s="14">
        <v>269867</v>
      </c>
      <c r="X95" s="21">
        <v>58448</v>
      </c>
      <c r="Y95" s="21">
        <v>41668</v>
      </c>
      <c r="Z95" s="21"/>
      <c r="AA95" s="18"/>
      <c r="AB95" s="21">
        <v>86224</v>
      </c>
      <c r="AC95" s="21">
        <f>AVERAGE(AC96,AC94)</f>
        <v>255952.5</v>
      </c>
      <c r="AD95" s="21"/>
      <c r="AE95" s="18"/>
      <c r="AF95" s="21">
        <v>33687</v>
      </c>
      <c r="AG95" s="9">
        <v>150</v>
      </c>
      <c r="AH95" s="9"/>
      <c r="AI95" s="20">
        <v>1</v>
      </c>
      <c r="AJ95" s="18"/>
      <c r="AK95" s="21"/>
    </row>
    <row r="96" spans="1:37" ht="48.75" customHeight="1" thickBot="1" x14ac:dyDescent="0.3">
      <c r="A96" s="79">
        <v>46054</v>
      </c>
      <c r="B96" s="6">
        <v>0.91666666627008897</v>
      </c>
      <c r="C96" s="7">
        <v>5403</v>
      </c>
      <c r="D96" s="7">
        <v>318636</v>
      </c>
      <c r="E96" s="7">
        <v>10549</v>
      </c>
      <c r="F96" s="7">
        <v>66334</v>
      </c>
      <c r="G96" s="7">
        <v>88334</v>
      </c>
      <c r="H96" s="7">
        <v>9530</v>
      </c>
      <c r="I96" s="7">
        <v>10</v>
      </c>
      <c r="J96" s="7">
        <v>3795</v>
      </c>
      <c r="K96" s="7">
        <v>5071</v>
      </c>
      <c r="L96" s="7">
        <v>22392</v>
      </c>
      <c r="M96" s="7">
        <v>14289</v>
      </c>
      <c r="N96" s="7">
        <v>328947</v>
      </c>
      <c r="O96" s="7">
        <v>258709</v>
      </c>
      <c r="P96" s="14">
        <v>30974</v>
      </c>
      <c r="Q96" s="14">
        <v>7671</v>
      </c>
      <c r="R96" s="8">
        <v>47575</v>
      </c>
      <c r="S96" s="7">
        <v>26601500</v>
      </c>
      <c r="T96" s="7"/>
      <c r="U96" s="7">
        <v>111449</v>
      </c>
      <c r="V96" s="7">
        <v>237223</v>
      </c>
      <c r="W96" s="7">
        <v>269904</v>
      </c>
      <c r="X96" s="18">
        <v>58448</v>
      </c>
      <c r="Y96" s="18">
        <v>41668</v>
      </c>
      <c r="Z96" s="18">
        <v>5890</v>
      </c>
      <c r="AA96" s="18">
        <v>42454</v>
      </c>
      <c r="AB96" s="18">
        <v>86377</v>
      </c>
      <c r="AC96" s="18">
        <v>256027</v>
      </c>
      <c r="AD96" s="18"/>
      <c r="AE96" s="18">
        <v>6968</v>
      </c>
      <c r="AF96" s="21">
        <v>33687</v>
      </c>
      <c r="AG96" s="18">
        <v>150</v>
      </c>
      <c r="AH96" s="18"/>
      <c r="AI96" s="19">
        <v>1</v>
      </c>
      <c r="AJ96" s="18">
        <v>5780</v>
      </c>
      <c r="AK96" s="18">
        <v>2676</v>
      </c>
    </row>
    <row r="97" spans="1:37" ht="48.75" customHeight="1" thickBot="1" x14ac:dyDescent="0.3">
      <c r="A97" s="80"/>
      <c r="B97" s="10">
        <v>0.249999999603119</v>
      </c>
      <c r="C97" s="11">
        <v>5403</v>
      </c>
      <c r="D97" s="11">
        <v>318636</v>
      </c>
      <c r="E97" s="11">
        <v>10549</v>
      </c>
      <c r="F97" s="11">
        <v>66334</v>
      </c>
      <c r="G97" s="11">
        <v>88334</v>
      </c>
      <c r="H97" s="11">
        <v>9530</v>
      </c>
      <c r="I97" s="11">
        <v>10</v>
      </c>
      <c r="J97" s="11">
        <v>3795</v>
      </c>
      <c r="K97" s="11">
        <v>5071</v>
      </c>
      <c r="L97" s="11">
        <v>22392</v>
      </c>
      <c r="M97" s="11">
        <v>14289</v>
      </c>
      <c r="N97" s="11">
        <v>328947</v>
      </c>
      <c r="O97" s="11">
        <v>258709</v>
      </c>
      <c r="P97" s="14">
        <v>30974</v>
      </c>
      <c r="Q97" s="14">
        <v>7671</v>
      </c>
      <c r="R97" s="12">
        <v>47575</v>
      </c>
      <c r="S97" s="11">
        <v>26601500</v>
      </c>
      <c r="T97" s="11"/>
      <c r="U97" s="11">
        <v>111449</v>
      </c>
      <c r="V97" s="11">
        <v>237223</v>
      </c>
      <c r="W97" s="11">
        <v>269904</v>
      </c>
      <c r="X97" s="9">
        <v>58448</v>
      </c>
      <c r="Y97" s="9">
        <v>41668</v>
      </c>
      <c r="Z97" s="9">
        <v>5890</v>
      </c>
      <c r="AA97" s="18">
        <v>42454</v>
      </c>
      <c r="AB97" s="9">
        <v>86377</v>
      </c>
      <c r="AC97" s="9">
        <v>256027</v>
      </c>
      <c r="AD97" s="9"/>
      <c r="AE97" s="18">
        <v>6968</v>
      </c>
      <c r="AF97" s="21">
        <v>33687</v>
      </c>
      <c r="AG97" s="9">
        <v>150</v>
      </c>
      <c r="AH97" s="9"/>
      <c r="AI97" s="20">
        <v>1</v>
      </c>
      <c r="AJ97" s="18">
        <v>5780</v>
      </c>
      <c r="AK97" s="9">
        <v>2676</v>
      </c>
    </row>
    <row r="98" spans="1:37" ht="48.75" customHeight="1" thickBot="1" x14ac:dyDescent="0.3">
      <c r="A98" s="81"/>
      <c r="B98" s="13">
        <v>0.58333333293614897</v>
      </c>
      <c r="C98" s="14">
        <v>5403</v>
      </c>
      <c r="D98" s="14">
        <v>318636</v>
      </c>
      <c r="E98" s="14">
        <v>10549</v>
      </c>
      <c r="F98" s="11">
        <v>66334</v>
      </c>
      <c r="G98" s="11">
        <v>88334</v>
      </c>
      <c r="H98" s="11">
        <v>9530</v>
      </c>
      <c r="I98" s="11">
        <v>10</v>
      </c>
      <c r="J98" s="14">
        <v>3795</v>
      </c>
      <c r="K98" s="14">
        <v>5071</v>
      </c>
      <c r="L98" s="14">
        <v>22392</v>
      </c>
      <c r="M98" s="14">
        <v>14289</v>
      </c>
      <c r="N98" s="14">
        <v>328947</v>
      </c>
      <c r="O98" s="14">
        <v>258709</v>
      </c>
      <c r="P98" s="14">
        <v>30974</v>
      </c>
      <c r="Q98" s="14">
        <v>7671</v>
      </c>
      <c r="R98" s="15">
        <v>47575</v>
      </c>
      <c r="S98" s="14">
        <v>26601500</v>
      </c>
      <c r="T98" s="14"/>
      <c r="U98" s="14">
        <v>111449</v>
      </c>
      <c r="V98" s="14">
        <v>237223</v>
      </c>
      <c r="W98" s="14">
        <v>269904</v>
      </c>
      <c r="X98" s="21">
        <v>58448</v>
      </c>
      <c r="Y98" s="21">
        <v>41668</v>
      </c>
      <c r="Z98" s="21">
        <v>5890</v>
      </c>
      <c r="AA98" s="18">
        <v>42454</v>
      </c>
      <c r="AB98" s="21">
        <v>86377</v>
      </c>
      <c r="AC98" s="21">
        <v>256027</v>
      </c>
      <c r="AD98" s="21"/>
      <c r="AE98" s="18">
        <v>6968</v>
      </c>
      <c r="AF98" s="21">
        <v>33687</v>
      </c>
      <c r="AG98" s="9">
        <v>150</v>
      </c>
      <c r="AH98" s="9"/>
      <c r="AI98" s="20">
        <v>1</v>
      </c>
      <c r="AJ98" s="18">
        <v>5780</v>
      </c>
      <c r="AK98" s="21">
        <v>2676</v>
      </c>
    </row>
    <row r="99" spans="1:37" ht="48.75" customHeight="1" thickBot="1" x14ac:dyDescent="0.3">
      <c r="A99" s="79">
        <v>46055</v>
      </c>
      <c r="B99" s="6">
        <v>0.91666666626918003</v>
      </c>
      <c r="C99" s="7">
        <v>5403</v>
      </c>
      <c r="D99" s="7">
        <v>318636</v>
      </c>
      <c r="E99" s="7">
        <v>10549</v>
      </c>
      <c r="F99" s="7">
        <v>66334</v>
      </c>
      <c r="G99" s="7">
        <v>88334</v>
      </c>
      <c r="H99" s="7">
        <v>9530</v>
      </c>
      <c r="I99" s="7">
        <v>10</v>
      </c>
      <c r="J99" s="7">
        <v>3795</v>
      </c>
      <c r="K99" s="7">
        <v>5071</v>
      </c>
      <c r="L99" s="7">
        <v>22392</v>
      </c>
      <c r="M99" s="7">
        <v>14289</v>
      </c>
      <c r="N99" s="7">
        <v>328947</v>
      </c>
      <c r="O99" s="7">
        <v>258709</v>
      </c>
      <c r="P99" s="14">
        <v>30974</v>
      </c>
      <c r="Q99" s="14">
        <v>7671</v>
      </c>
      <c r="R99" s="8">
        <v>47575</v>
      </c>
      <c r="S99" s="7">
        <v>26601500</v>
      </c>
      <c r="T99" s="7"/>
      <c r="U99" s="7">
        <v>111449</v>
      </c>
      <c r="V99" s="7">
        <v>237223</v>
      </c>
      <c r="W99" s="7">
        <v>269904</v>
      </c>
      <c r="X99" s="18">
        <v>58448</v>
      </c>
      <c r="Y99" s="18">
        <v>41668</v>
      </c>
      <c r="Z99" s="18">
        <v>5890</v>
      </c>
      <c r="AA99" s="18">
        <v>42454</v>
      </c>
      <c r="AB99" s="18">
        <v>86377</v>
      </c>
      <c r="AC99" s="18">
        <v>256027</v>
      </c>
      <c r="AD99" s="18"/>
      <c r="AE99" s="18">
        <v>6968</v>
      </c>
      <c r="AF99" s="21">
        <v>33687</v>
      </c>
      <c r="AG99" s="18">
        <v>150</v>
      </c>
      <c r="AH99" s="18"/>
      <c r="AI99" s="19">
        <v>1</v>
      </c>
      <c r="AJ99" s="18">
        <v>5780</v>
      </c>
      <c r="AK99" s="18">
        <v>2676</v>
      </c>
    </row>
    <row r="100" spans="1:37" ht="48.75" customHeight="1" thickBot="1" x14ac:dyDescent="0.3">
      <c r="A100" s="80"/>
      <c r="B100" s="10">
        <v>0.24999999960209601</v>
      </c>
      <c r="C100" s="11">
        <v>5441</v>
      </c>
      <c r="D100" s="11">
        <v>318947</v>
      </c>
      <c r="E100" s="11">
        <v>10552</v>
      </c>
      <c r="F100" s="11">
        <v>66334</v>
      </c>
      <c r="G100" s="11">
        <v>88334</v>
      </c>
      <c r="H100" s="11">
        <v>9530</v>
      </c>
      <c r="I100" s="11">
        <v>10</v>
      </c>
      <c r="J100" s="11">
        <v>3799</v>
      </c>
      <c r="K100" s="11">
        <v>5071</v>
      </c>
      <c r="L100" s="11">
        <v>22398</v>
      </c>
      <c r="M100" s="11">
        <v>14293</v>
      </c>
      <c r="N100" s="11">
        <v>494093</v>
      </c>
      <c r="O100" s="11">
        <v>258834</v>
      </c>
      <c r="P100" s="14">
        <v>30974</v>
      </c>
      <c r="Q100" s="14">
        <v>7671</v>
      </c>
      <c r="R100" s="12">
        <v>47591</v>
      </c>
      <c r="S100" s="11">
        <v>26665070</v>
      </c>
      <c r="T100" s="11"/>
      <c r="U100" s="11">
        <v>112034</v>
      </c>
      <c r="V100" s="11">
        <v>237368</v>
      </c>
      <c r="W100" s="11">
        <v>270051</v>
      </c>
      <c r="X100" s="9">
        <v>58560</v>
      </c>
      <c r="Y100" s="9">
        <v>41721</v>
      </c>
      <c r="Z100" s="9"/>
      <c r="AA100" s="18"/>
      <c r="AB100" s="9">
        <v>86483</v>
      </c>
      <c r="AC100" s="9">
        <v>256140</v>
      </c>
      <c r="AD100" s="9"/>
      <c r="AE100" s="18"/>
      <c r="AF100" s="21"/>
      <c r="AG100" s="9"/>
      <c r="AH100" s="9"/>
      <c r="AI100" s="20"/>
      <c r="AJ100" s="18"/>
      <c r="AK100" s="9"/>
    </row>
    <row r="101" spans="1:37" ht="48.75" customHeight="1" thickBot="1" x14ac:dyDescent="0.3">
      <c r="A101" s="81"/>
      <c r="B101" s="13">
        <v>0.58333333293512601</v>
      </c>
      <c r="C101" s="14">
        <v>5471</v>
      </c>
      <c r="D101" s="14">
        <v>319269</v>
      </c>
      <c r="E101" s="14">
        <v>10558</v>
      </c>
      <c r="F101" s="11">
        <v>66334</v>
      </c>
      <c r="G101" s="11">
        <v>88334</v>
      </c>
      <c r="H101" s="11">
        <v>9530</v>
      </c>
      <c r="I101" s="11">
        <v>10</v>
      </c>
      <c r="J101" s="14">
        <v>3802</v>
      </c>
      <c r="K101" s="14">
        <v>5072</v>
      </c>
      <c r="L101" s="14">
        <v>22405</v>
      </c>
      <c r="M101" s="14">
        <v>14297</v>
      </c>
      <c r="N101" s="14">
        <v>802433</v>
      </c>
      <c r="O101" s="14">
        <v>259063</v>
      </c>
      <c r="P101" s="14">
        <v>30974</v>
      </c>
      <c r="Q101" s="14">
        <v>7671</v>
      </c>
      <c r="R101" s="15">
        <v>47618</v>
      </c>
      <c r="S101" s="14">
        <v>26693707</v>
      </c>
      <c r="T101" s="14"/>
      <c r="U101" s="14">
        <v>112445</v>
      </c>
      <c r="V101" s="14">
        <v>237532</v>
      </c>
      <c r="W101" s="14">
        <v>270212</v>
      </c>
      <c r="X101" s="21">
        <v>58650</v>
      </c>
      <c r="Y101" s="21">
        <v>41788</v>
      </c>
      <c r="Z101" s="21"/>
      <c r="AA101" s="18"/>
      <c r="AB101" s="21">
        <v>86576</v>
      </c>
      <c r="AC101" s="21">
        <v>256214</v>
      </c>
      <c r="AD101" s="21"/>
      <c r="AE101" s="18"/>
      <c r="AF101" s="21"/>
      <c r="AG101" s="9"/>
      <c r="AH101" s="9"/>
      <c r="AI101" s="20"/>
      <c r="AJ101" s="18"/>
      <c r="AK101" s="21"/>
    </row>
    <row r="102" spans="1:37" ht="48.75" customHeight="1" thickBot="1" x14ac:dyDescent="0.3">
      <c r="A102" s="79">
        <v>46056</v>
      </c>
      <c r="B102" s="6">
        <v>0.91666666626815596</v>
      </c>
      <c r="C102" s="7">
        <v>5491</v>
      </c>
      <c r="D102" s="7">
        <v>319553</v>
      </c>
      <c r="E102" s="7">
        <v>10560</v>
      </c>
      <c r="F102" s="7">
        <v>66334</v>
      </c>
      <c r="G102" s="7">
        <v>88334</v>
      </c>
      <c r="H102" s="7">
        <v>9530</v>
      </c>
      <c r="I102" s="7">
        <v>10</v>
      </c>
      <c r="J102" s="7">
        <v>3803</v>
      </c>
      <c r="K102" s="7">
        <v>5072</v>
      </c>
      <c r="L102" s="7">
        <v>22411</v>
      </c>
      <c r="M102" s="7">
        <v>14304</v>
      </c>
      <c r="N102" s="7">
        <v>1166531</v>
      </c>
      <c r="O102" s="7">
        <v>259357</v>
      </c>
      <c r="P102" s="14">
        <v>30974</v>
      </c>
      <c r="Q102" s="14">
        <v>7671</v>
      </c>
      <c r="R102" s="8">
        <v>47633</v>
      </c>
      <c r="S102" s="7">
        <v>26748322</v>
      </c>
      <c r="T102" s="7"/>
      <c r="U102" s="7">
        <v>112943</v>
      </c>
      <c r="V102" s="7">
        <v>237805</v>
      </c>
      <c r="W102" s="7">
        <v>270412</v>
      </c>
      <c r="X102" s="18">
        <v>58774</v>
      </c>
      <c r="Y102" s="18">
        <v>41889</v>
      </c>
      <c r="Z102" s="18">
        <v>5922</v>
      </c>
      <c r="AA102" s="18">
        <v>42540</v>
      </c>
      <c r="AB102" s="18">
        <v>86584</v>
      </c>
      <c r="AC102" s="18">
        <v>256318</v>
      </c>
      <c r="AD102" s="18"/>
      <c r="AE102" s="18">
        <v>6972</v>
      </c>
      <c r="AF102" s="21">
        <v>33687</v>
      </c>
      <c r="AG102" s="18">
        <v>150</v>
      </c>
      <c r="AH102" s="18"/>
      <c r="AI102" s="19">
        <v>1</v>
      </c>
      <c r="AJ102" s="18">
        <v>5780</v>
      </c>
      <c r="AK102" s="18">
        <v>2676</v>
      </c>
    </row>
    <row r="103" spans="1:37" ht="48.75" customHeight="1" thickBot="1" x14ac:dyDescent="0.3">
      <c r="A103" s="80"/>
      <c r="B103" s="10">
        <v>0.24999999960118699</v>
      </c>
      <c r="C103" s="11">
        <v>5517</v>
      </c>
      <c r="D103" s="11">
        <v>319937</v>
      </c>
      <c r="E103" s="11">
        <v>10566</v>
      </c>
      <c r="F103" s="11">
        <v>66334</v>
      </c>
      <c r="G103" s="11">
        <v>88334</v>
      </c>
      <c r="H103" s="11">
        <v>9530</v>
      </c>
      <c r="I103" s="11">
        <v>10</v>
      </c>
      <c r="J103" s="11">
        <v>3809</v>
      </c>
      <c r="K103" s="11">
        <v>5072</v>
      </c>
      <c r="L103" s="11">
        <v>22419</v>
      </c>
      <c r="M103" s="11">
        <v>14310</v>
      </c>
      <c r="N103" s="11">
        <v>1564404</v>
      </c>
      <c r="O103" s="11">
        <v>259686</v>
      </c>
      <c r="P103" s="14">
        <v>30974</v>
      </c>
      <c r="Q103" s="14">
        <v>7671</v>
      </c>
      <c r="R103" s="12">
        <v>47651</v>
      </c>
      <c r="S103" s="11">
        <v>26803917</v>
      </c>
      <c r="T103" s="11"/>
      <c r="U103" s="11">
        <v>113466</v>
      </c>
      <c r="V103" s="11">
        <v>237933</v>
      </c>
      <c r="W103" s="11">
        <v>270698</v>
      </c>
      <c r="X103" s="9">
        <v>58900</v>
      </c>
      <c r="Y103" s="9">
        <v>41989</v>
      </c>
      <c r="Z103" s="9"/>
      <c r="AA103" s="18"/>
      <c r="AB103" s="9">
        <v>86592</v>
      </c>
      <c r="AC103" s="9">
        <v>256438</v>
      </c>
      <c r="AD103" s="9"/>
      <c r="AE103" s="18"/>
      <c r="AF103" s="21"/>
      <c r="AG103" s="9"/>
      <c r="AH103" s="9"/>
      <c r="AI103" s="20"/>
      <c r="AJ103" s="18"/>
      <c r="AK103" s="9"/>
    </row>
    <row r="104" spans="1:37" ht="48.75" customHeight="1" thickBot="1" x14ac:dyDescent="0.3">
      <c r="A104" s="81"/>
      <c r="B104" s="13">
        <v>0.58333333293410305</v>
      </c>
      <c r="C104" s="14">
        <v>5544</v>
      </c>
      <c r="D104" s="14">
        <v>320198</v>
      </c>
      <c r="E104" s="14">
        <v>10570</v>
      </c>
      <c r="F104" s="11">
        <v>66334</v>
      </c>
      <c r="G104" s="11">
        <v>88334</v>
      </c>
      <c r="H104" s="11">
        <v>9530</v>
      </c>
      <c r="I104" s="11">
        <v>10</v>
      </c>
      <c r="J104" s="14">
        <v>3811</v>
      </c>
      <c r="K104" s="14">
        <v>5072</v>
      </c>
      <c r="L104" s="14">
        <v>22423</v>
      </c>
      <c r="M104" s="14">
        <v>14316</v>
      </c>
      <c r="N104" s="14">
        <v>1947936</v>
      </c>
      <c r="O104" s="14">
        <v>260001</v>
      </c>
      <c r="P104" s="14">
        <v>30974</v>
      </c>
      <c r="Q104" s="14">
        <v>7671</v>
      </c>
      <c r="R104" s="15">
        <v>47676</v>
      </c>
      <c r="S104" s="14">
        <v>26841082</v>
      </c>
      <c r="T104" s="14">
        <v>113916</v>
      </c>
      <c r="U104" s="24">
        <f>AVERAGE(U105,U103)</f>
        <v>113905.5</v>
      </c>
      <c r="V104" s="14">
        <v>237933</v>
      </c>
      <c r="W104" s="14">
        <v>270698</v>
      </c>
      <c r="X104" s="21">
        <v>59030</v>
      </c>
      <c r="Y104" s="21">
        <v>42092</v>
      </c>
      <c r="Z104" s="21"/>
      <c r="AA104" s="18">
        <v>86691</v>
      </c>
      <c r="AB104" s="21">
        <v>256543</v>
      </c>
      <c r="AC104" s="24">
        <f>AVERAGE(AC105,AC103)</f>
        <v>256540</v>
      </c>
      <c r="AD104" s="21">
        <v>33687</v>
      </c>
      <c r="AE104" s="18"/>
      <c r="AF104" s="21"/>
      <c r="AG104" s="9"/>
      <c r="AH104" s="9">
        <v>2676</v>
      </c>
      <c r="AI104" s="20"/>
      <c r="AJ104" s="18"/>
      <c r="AK104" s="21"/>
    </row>
    <row r="105" spans="1:37" ht="48.75" customHeight="1" thickBot="1" x14ac:dyDescent="0.3">
      <c r="A105" s="79">
        <v>46057</v>
      </c>
      <c r="B105" s="6">
        <v>0.916666666267133</v>
      </c>
      <c r="C105" s="7">
        <v>5564</v>
      </c>
      <c r="D105" s="7">
        <v>320484</v>
      </c>
      <c r="E105" s="7">
        <v>10572</v>
      </c>
      <c r="F105" s="7">
        <v>66334</v>
      </c>
      <c r="G105" s="7">
        <v>88334</v>
      </c>
      <c r="H105" s="7">
        <v>9530</v>
      </c>
      <c r="I105" s="7">
        <v>10</v>
      </c>
      <c r="J105" s="7">
        <v>3813</v>
      </c>
      <c r="K105" s="7">
        <v>5073</v>
      </c>
      <c r="L105" s="7">
        <v>22423</v>
      </c>
      <c r="M105" s="7">
        <v>14324</v>
      </c>
      <c r="N105" s="7">
        <v>2266190</v>
      </c>
      <c r="O105" s="7">
        <v>260281</v>
      </c>
      <c r="P105" s="14">
        <v>30974</v>
      </c>
      <c r="Q105" s="14">
        <v>7671</v>
      </c>
      <c r="R105" s="8">
        <v>47697</v>
      </c>
      <c r="S105" s="7">
        <v>26891267</v>
      </c>
      <c r="T105" s="7"/>
      <c r="U105" s="7">
        <v>114345</v>
      </c>
      <c r="V105" s="7">
        <v>238154</v>
      </c>
      <c r="W105" s="7">
        <v>271356</v>
      </c>
      <c r="X105" s="18">
        <v>59156</v>
      </c>
      <c r="Y105" s="18">
        <v>42197</v>
      </c>
      <c r="Z105" s="18">
        <v>5940</v>
      </c>
      <c r="AA105" s="18">
        <v>42584</v>
      </c>
      <c r="AB105" s="18">
        <v>86691</v>
      </c>
      <c r="AC105" s="18">
        <v>256642</v>
      </c>
      <c r="AD105" s="18"/>
      <c r="AE105" s="18">
        <v>6978</v>
      </c>
      <c r="AF105" s="21">
        <v>33687</v>
      </c>
      <c r="AG105" s="18">
        <v>150</v>
      </c>
      <c r="AH105" s="18"/>
      <c r="AI105" s="19">
        <v>1</v>
      </c>
      <c r="AJ105" s="18">
        <v>5780</v>
      </c>
      <c r="AK105" s="18">
        <v>2676</v>
      </c>
    </row>
    <row r="106" spans="1:37" ht="48.75" customHeight="1" thickBot="1" x14ac:dyDescent="0.3">
      <c r="A106" s="80"/>
      <c r="B106" s="10">
        <v>0.249999999600163</v>
      </c>
      <c r="C106" s="11">
        <v>5697</v>
      </c>
      <c r="D106" s="11">
        <v>320823</v>
      </c>
      <c r="E106" s="11">
        <v>10577</v>
      </c>
      <c r="F106" s="11">
        <v>66334</v>
      </c>
      <c r="G106" s="11">
        <v>88334</v>
      </c>
      <c r="H106" s="11">
        <v>9530</v>
      </c>
      <c r="I106" s="11">
        <v>10</v>
      </c>
      <c r="J106" s="11">
        <v>3816</v>
      </c>
      <c r="K106" s="11">
        <v>5073</v>
      </c>
      <c r="L106" s="11">
        <v>22429</v>
      </c>
      <c r="M106" s="11">
        <v>14328</v>
      </c>
      <c r="N106" s="11">
        <v>2571691</v>
      </c>
      <c r="O106" s="11">
        <v>260554</v>
      </c>
      <c r="P106" s="14">
        <v>30974</v>
      </c>
      <c r="Q106" s="14">
        <v>7671</v>
      </c>
      <c r="R106" s="12">
        <v>47709</v>
      </c>
      <c r="S106" s="11">
        <v>26969824</v>
      </c>
      <c r="T106" s="11"/>
      <c r="U106" s="11">
        <v>114776</v>
      </c>
      <c r="V106" s="11">
        <v>238246</v>
      </c>
      <c r="W106" s="11">
        <v>271618</v>
      </c>
      <c r="X106" s="9">
        <v>59306</v>
      </c>
      <c r="Y106" s="9">
        <v>42306</v>
      </c>
      <c r="Z106" s="9"/>
      <c r="AA106" s="18"/>
      <c r="AB106" s="9">
        <v>86749</v>
      </c>
      <c r="AC106" s="9">
        <v>256730</v>
      </c>
      <c r="AD106" s="9"/>
      <c r="AE106" s="18"/>
      <c r="AF106" s="21"/>
      <c r="AG106" s="9"/>
      <c r="AH106" s="9"/>
      <c r="AI106" s="20"/>
      <c r="AJ106" s="18"/>
      <c r="AK106" s="9"/>
    </row>
    <row r="107" spans="1:37" ht="48.75" customHeight="1" thickBot="1" x14ac:dyDescent="0.3">
      <c r="A107" s="81"/>
      <c r="B107" s="13">
        <v>0.58333333293307998</v>
      </c>
      <c r="C107" s="14">
        <v>5628</v>
      </c>
      <c r="D107" s="14">
        <v>321145</v>
      </c>
      <c r="E107" s="14">
        <v>10582</v>
      </c>
      <c r="F107" s="11">
        <v>66334</v>
      </c>
      <c r="G107" s="11">
        <v>88334</v>
      </c>
      <c r="H107" s="11">
        <v>9530</v>
      </c>
      <c r="I107" s="11">
        <v>10</v>
      </c>
      <c r="J107" s="14">
        <v>3819</v>
      </c>
      <c r="K107" s="14">
        <v>5076</v>
      </c>
      <c r="L107" s="14">
        <v>22436</v>
      </c>
      <c r="M107" s="14">
        <v>14333</v>
      </c>
      <c r="N107" s="14">
        <v>2883816</v>
      </c>
      <c r="O107" s="14">
        <v>260842</v>
      </c>
      <c r="P107" s="14">
        <v>30974</v>
      </c>
      <c r="Q107" s="14">
        <v>7671</v>
      </c>
      <c r="R107" s="15">
        <v>47737</v>
      </c>
      <c r="S107" s="14">
        <v>27013610</v>
      </c>
      <c r="T107" s="14"/>
      <c r="U107" s="14">
        <v>115156</v>
      </c>
      <c r="V107" s="14">
        <v>238332</v>
      </c>
      <c r="W107" s="14">
        <v>271798</v>
      </c>
      <c r="X107" s="21">
        <v>59306</v>
      </c>
      <c r="Y107" s="21">
        <v>42306</v>
      </c>
      <c r="Z107" s="21"/>
      <c r="AA107" s="18"/>
      <c r="AB107" s="21">
        <v>86855</v>
      </c>
      <c r="AC107" s="21">
        <v>256807</v>
      </c>
      <c r="AD107" s="21"/>
      <c r="AE107" s="18"/>
      <c r="AF107" s="21">
        <v>33687</v>
      </c>
      <c r="AG107" s="9">
        <v>150</v>
      </c>
      <c r="AH107" s="9"/>
      <c r="AI107" s="20">
        <v>1</v>
      </c>
      <c r="AJ107" s="18">
        <v>5780</v>
      </c>
      <c r="AK107" s="21">
        <v>2676</v>
      </c>
    </row>
    <row r="108" spans="1:37" ht="48.75" customHeight="1" x14ac:dyDescent="0.25">
      <c r="A108" s="79">
        <v>46058</v>
      </c>
      <c r="B108" s="6">
        <v>0.91666666626611004</v>
      </c>
      <c r="C108" s="7">
        <v>5678</v>
      </c>
      <c r="D108" s="7">
        <v>321424</v>
      </c>
      <c r="E108" s="7">
        <v>10586</v>
      </c>
      <c r="F108" s="7">
        <v>66334</v>
      </c>
      <c r="G108" s="7">
        <v>88334</v>
      </c>
      <c r="H108" s="7">
        <v>9530</v>
      </c>
      <c r="I108" s="7">
        <v>10</v>
      </c>
      <c r="J108" s="7">
        <v>3821</v>
      </c>
      <c r="K108" s="7">
        <v>5078</v>
      </c>
      <c r="L108" s="7">
        <v>22443</v>
      </c>
      <c r="M108" s="7">
        <v>14339</v>
      </c>
      <c r="N108" s="7">
        <v>2963673</v>
      </c>
      <c r="O108" s="7">
        <v>260909</v>
      </c>
      <c r="P108" s="7">
        <v>30974</v>
      </c>
      <c r="Q108" s="7">
        <v>7671</v>
      </c>
      <c r="R108" s="8">
        <v>47753</v>
      </c>
      <c r="S108" s="7">
        <v>27087809</v>
      </c>
      <c r="T108" s="7"/>
      <c r="U108" s="7">
        <v>115625</v>
      </c>
      <c r="V108" s="7">
        <v>238425</v>
      </c>
      <c r="W108" s="7">
        <v>272091</v>
      </c>
      <c r="X108" s="18">
        <v>59306</v>
      </c>
      <c r="Y108" s="18">
        <v>42306</v>
      </c>
      <c r="Z108" s="18">
        <v>5959</v>
      </c>
      <c r="AA108" s="18">
        <v>42660</v>
      </c>
      <c r="AB108" s="18">
        <v>87080</v>
      </c>
      <c r="AC108" s="18">
        <v>256887</v>
      </c>
      <c r="AD108" s="18"/>
      <c r="AE108" s="18">
        <v>6983</v>
      </c>
      <c r="AF108" s="18">
        <v>33687</v>
      </c>
      <c r="AG108" s="18">
        <v>150</v>
      </c>
      <c r="AH108" s="18"/>
      <c r="AI108" s="19">
        <v>1</v>
      </c>
      <c r="AJ108" s="18">
        <v>5780</v>
      </c>
      <c r="AK108" s="18">
        <v>2676</v>
      </c>
    </row>
    <row r="109" spans="1:37" ht="48.75" customHeight="1" x14ac:dyDescent="0.25">
      <c r="A109" s="80"/>
      <c r="B109" s="10">
        <v>0.24999999959913999</v>
      </c>
      <c r="C109" s="11">
        <v>5707</v>
      </c>
      <c r="D109" s="11">
        <v>321796</v>
      </c>
      <c r="E109" s="11">
        <v>10592</v>
      </c>
      <c r="F109" s="11">
        <v>66334</v>
      </c>
      <c r="G109" s="11">
        <v>88334</v>
      </c>
      <c r="H109" s="11">
        <v>9530</v>
      </c>
      <c r="I109" s="11">
        <v>10</v>
      </c>
      <c r="J109" s="11">
        <v>3824</v>
      </c>
      <c r="K109" s="11">
        <v>5078</v>
      </c>
      <c r="L109" s="11">
        <v>22444</v>
      </c>
      <c r="M109" s="11">
        <v>14343</v>
      </c>
      <c r="N109" s="11">
        <v>3212955</v>
      </c>
      <c r="O109" s="11">
        <v>261117</v>
      </c>
      <c r="P109" s="11">
        <v>30974</v>
      </c>
      <c r="Q109" s="11">
        <v>7671</v>
      </c>
      <c r="R109" s="12">
        <v>47768</v>
      </c>
      <c r="S109" s="11">
        <v>27131171</v>
      </c>
      <c r="T109" s="11"/>
      <c r="U109" s="11">
        <v>116063</v>
      </c>
      <c r="V109" s="11">
        <v>238512</v>
      </c>
      <c r="W109" s="11">
        <v>272366</v>
      </c>
      <c r="X109" s="9">
        <v>59393</v>
      </c>
      <c r="Y109" s="9">
        <v>42376</v>
      </c>
      <c r="Z109" s="9"/>
      <c r="AA109" s="9"/>
      <c r="AB109" s="9">
        <v>87130</v>
      </c>
      <c r="AC109" s="9">
        <v>256972</v>
      </c>
      <c r="AD109" s="9"/>
      <c r="AE109" s="9"/>
      <c r="AF109" s="9">
        <v>33687</v>
      </c>
      <c r="AG109" s="9">
        <v>150</v>
      </c>
      <c r="AH109" s="9"/>
      <c r="AI109" s="20">
        <v>1</v>
      </c>
      <c r="AJ109" s="9"/>
      <c r="AK109" s="9">
        <v>2676</v>
      </c>
    </row>
    <row r="110" spans="1:37" ht="48.75" customHeight="1" thickBot="1" x14ac:dyDescent="0.3">
      <c r="A110" s="81"/>
      <c r="B110" s="13">
        <v>0.58333333293217005</v>
      </c>
      <c r="C110" s="14">
        <v>5725</v>
      </c>
      <c r="D110" s="14">
        <v>322055</v>
      </c>
      <c r="E110" s="14">
        <v>10596</v>
      </c>
      <c r="F110" s="14">
        <v>66334</v>
      </c>
      <c r="G110" s="14">
        <v>88334</v>
      </c>
      <c r="H110" s="14">
        <v>9530</v>
      </c>
      <c r="I110" s="14">
        <v>10</v>
      </c>
      <c r="J110" s="14">
        <v>3824</v>
      </c>
      <c r="K110" s="14">
        <v>5081</v>
      </c>
      <c r="L110" s="14">
        <v>22451</v>
      </c>
      <c r="M110" s="14">
        <v>14352</v>
      </c>
      <c r="N110" s="14">
        <v>3559496</v>
      </c>
      <c r="O110" s="14">
        <v>261406</v>
      </c>
      <c r="P110" s="14">
        <v>30974</v>
      </c>
      <c r="Q110" s="14">
        <v>7671</v>
      </c>
      <c r="R110" s="15">
        <v>47790</v>
      </c>
      <c r="S110" s="14">
        <v>27169099</v>
      </c>
      <c r="T110" s="14"/>
      <c r="U110" s="14">
        <v>116423</v>
      </c>
      <c r="V110" s="14">
        <v>238587</v>
      </c>
      <c r="W110" s="14">
        <v>272598</v>
      </c>
      <c r="X110" s="21">
        <v>59393</v>
      </c>
      <c r="Y110" s="21">
        <v>42376</v>
      </c>
      <c r="Z110" s="21"/>
      <c r="AA110" s="21"/>
      <c r="AB110" s="21">
        <v>87144</v>
      </c>
      <c r="AC110" s="21">
        <v>257051</v>
      </c>
      <c r="AD110" s="21"/>
      <c r="AE110" s="21"/>
      <c r="AF110" s="21"/>
      <c r="AG110" s="21"/>
      <c r="AH110" s="21"/>
      <c r="AI110" s="22"/>
      <c r="AJ110" s="21"/>
      <c r="AK110" s="21">
        <v>2676</v>
      </c>
    </row>
    <row r="111" spans="1:37" ht="48.75" customHeight="1" x14ac:dyDescent="0.25">
      <c r="A111" s="79">
        <v>46059</v>
      </c>
      <c r="B111" s="6">
        <v>0.91666666626508697</v>
      </c>
      <c r="C111" s="7">
        <v>5762</v>
      </c>
      <c r="D111" s="7">
        <v>322374</v>
      </c>
      <c r="E111" s="7">
        <v>10599</v>
      </c>
      <c r="F111" s="7">
        <v>66334</v>
      </c>
      <c r="G111" s="7">
        <v>88334</v>
      </c>
      <c r="H111" s="7">
        <v>9530</v>
      </c>
      <c r="I111" s="7">
        <v>10</v>
      </c>
      <c r="J111" s="7">
        <v>3825</v>
      </c>
      <c r="K111" s="7">
        <v>5081</v>
      </c>
      <c r="L111" s="7">
        <v>22458</v>
      </c>
      <c r="M111" s="7">
        <v>14356</v>
      </c>
      <c r="N111" s="7">
        <v>3854682</v>
      </c>
      <c r="O111" s="7">
        <v>261650</v>
      </c>
      <c r="P111" s="7">
        <v>30974</v>
      </c>
      <c r="Q111" s="7">
        <v>7671</v>
      </c>
      <c r="R111" s="8">
        <v>47801</v>
      </c>
      <c r="S111" s="7">
        <v>27281391</v>
      </c>
      <c r="T111" s="7"/>
      <c r="U111" s="7">
        <v>116898</v>
      </c>
      <c r="V111" s="7">
        <v>238683</v>
      </c>
      <c r="W111" s="7">
        <v>272876</v>
      </c>
      <c r="X111" s="18">
        <v>59526</v>
      </c>
      <c r="Y111" s="18">
        <v>42476</v>
      </c>
      <c r="Z111" s="18">
        <v>5968</v>
      </c>
      <c r="AA111" s="18">
        <v>42687</v>
      </c>
      <c r="AB111" s="18">
        <v>87237</v>
      </c>
      <c r="AC111" s="18">
        <v>257154</v>
      </c>
      <c r="AD111" s="18"/>
      <c r="AE111" s="18">
        <v>6994</v>
      </c>
      <c r="AF111" s="18">
        <v>33687</v>
      </c>
      <c r="AG111" s="18">
        <v>150</v>
      </c>
      <c r="AH111" s="18"/>
      <c r="AI111" s="19">
        <v>1</v>
      </c>
      <c r="AJ111" s="18">
        <v>5780</v>
      </c>
      <c r="AK111" s="18">
        <v>2676</v>
      </c>
    </row>
    <row r="112" spans="1:37" ht="48.75" customHeight="1" x14ac:dyDescent="0.25">
      <c r="A112" s="80"/>
      <c r="B112" s="10">
        <v>0.249999999598117</v>
      </c>
      <c r="C112" s="11">
        <v>5796</v>
      </c>
      <c r="D112" s="11">
        <v>322693</v>
      </c>
      <c r="E112" s="11">
        <v>10602</v>
      </c>
      <c r="F112" s="11">
        <v>66334</v>
      </c>
      <c r="G112" s="11">
        <v>88334</v>
      </c>
      <c r="H112" s="11">
        <v>9530</v>
      </c>
      <c r="I112" s="11">
        <v>10</v>
      </c>
      <c r="J112" s="11">
        <v>3827</v>
      </c>
      <c r="K112" s="11">
        <v>5081</v>
      </c>
      <c r="L112" s="11">
        <v>22465</v>
      </c>
      <c r="M112" s="11">
        <v>14364</v>
      </c>
      <c r="N112" s="11">
        <v>3854628</v>
      </c>
      <c r="O112" s="11">
        <v>261650</v>
      </c>
      <c r="P112" s="11">
        <v>30974</v>
      </c>
      <c r="Q112" s="11">
        <v>7671</v>
      </c>
      <c r="R112" s="12">
        <v>47815</v>
      </c>
      <c r="S112" s="11">
        <v>27359294</v>
      </c>
      <c r="T112" s="11"/>
      <c r="U112" s="11">
        <v>117397</v>
      </c>
      <c r="V112" s="11">
        <v>238831</v>
      </c>
      <c r="W112" s="11">
        <v>273164</v>
      </c>
      <c r="X112" s="9">
        <v>59645</v>
      </c>
      <c r="Y112" s="9">
        <v>42571</v>
      </c>
      <c r="Z112" s="9"/>
      <c r="AA112" s="9"/>
      <c r="AB112" s="9">
        <v>87320</v>
      </c>
      <c r="AC112" s="9">
        <v>257249</v>
      </c>
      <c r="AD112" s="9"/>
      <c r="AE112" s="9"/>
      <c r="AF112" s="9"/>
      <c r="AG112" s="9"/>
      <c r="AH112" s="9"/>
      <c r="AI112" s="20"/>
      <c r="AJ112" s="9"/>
      <c r="AK112" s="9"/>
    </row>
    <row r="113" spans="1:37" ht="48.75" customHeight="1" thickBot="1" x14ac:dyDescent="0.3">
      <c r="A113" s="81"/>
      <c r="B113" s="13">
        <v>0.58333333293114698</v>
      </c>
      <c r="C113" s="14">
        <v>5818</v>
      </c>
      <c r="D113" s="14">
        <v>323024</v>
      </c>
      <c r="E113" s="14">
        <v>10606</v>
      </c>
      <c r="F113" s="14">
        <v>66334</v>
      </c>
      <c r="G113" s="14">
        <v>88334</v>
      </c>
      <c r="H113" s="14">
        <v>9530</v>
      </c>
      <c r="I113" s="14">
        <v>10</v>
      </c>
      <c r="J113" s="14">
        <v>3829</v>
      </c>
      <c r="K113" s="14">
        <v>5086</v>
      </c>
      <c r="L113" s="14">
        <v>22472</v>
      </c>
      <c r="M113" s="14">
        <v>14371</v>
      </c>
      <c r="N113" s="14">
        <v>4479632</v>
      </c>
      <c r="O113" s="14">
        <v>262166</v>
      </c>
      <c r="P113" s="14">
        <v>30974</v>
      </c>
      <c r="Q113" s="14">
        <v>7671</v>
      </c>
      <c r="R113" s="15">
        <v>47832</v>
      </c>
      <c r="S113" s="14">
        <v>27373196</v>
      </c>
      <c r="T113" s="14"/>
      <c r="U113" s="14">
        <v>117803</v>
      </c>
      <c r="V113" s="14">
        <v>238915</v>
      </c>
      <c r="W113" s="14">
        <v>273414</v>
      </c>
      <c r="X113" s="21">
        <v>59779</v>
      </c>
      <c r="Y113" s="21">
        <v>42678</v>
      </c>
      <c r="Z113" s="21"/>
      <c r="AA113" s="21"/>
      <c r="AB113" s="21">
        <v>87370</v>
      </c>
      <c r="AC113" s="21">
        <v>257347</v>
      </c>
      <c r="AD113" s="21"/>
      <c r="AE113" s="21"/>
      <c r="AF113" s="21"/>
      <c r="AG113" s="21"/>
      <c r="AH113" s="21"/>
      <c r="AI113" s="22"/>
      <c r="AJ113" s="21"/>
      <c r="AK113" s="21"/>
    </row>
    <row r="114" spans="1:37" ht="48.75" customHeight="1" x14ac:dyDescent="0.25">
      <c r="A114" s="79">
        <v>46060</v>
      </c>
      <c r="B114" s="6">
        <v>0.91666666626417703</v>
      </c>
      <c r="C114" s="11">
        <v>5837</v>
      </c>
      <c r="D114" s="11">
        <v>323267</v>
      </c>
      <c r="E114" s="11">
        <v>10609</v>
      </c>
      <c r="F114" s="11">
        <v>66334</v>
      </c>
      <c r="G114" s="11">
        <v>88334</v>
      </c>
      <c r="H114" s="11">
        <v>9530</v>
      </c>
      <c r="I114" s="11">
        <v>10</v>
      </c>
      <c r="J114" s="7">
        <v>3837</v>
      </c>
      <c r="K114" s="7">
        <v>5090</v>
      </c>
      <c r="L114" s="7">
        <v>22478</v>
      </c>
      <c r="M114" s="7">
        <v>14373</v>
      </c>
      <c r="N114" s="7">
        <v>4794758</v>
      </c>
      <c r="O114" s="7">
        <v>262419</v>
      </c>
      <c r="P114" s="7">
        <v>30974</v>
      </c>
      <c r="Q114" s="7">
        <v>7671</v>
      </c>
      <c r="R114" s="8">
        <v>47839</v>
      </c>
      <c r="S114" s="7">
        <v>27401010</v>
      </c>
      <c r="T114" s="7"/>
      <c r="U114" s="7">
        <v>118230</v>
      </c>
      <c r="V114" s="7">
        <v>239000</v>
      </c>
      <c r="W114" s="7">
        <v>273664</v>
      </c>
      <c r="X114" s="18">
        <v>59904</v>
      </c>
      <c r="Y114" s="18">
        <v>42780</v>
      </c>
      <c r="Z114" s="18">
        <v>5996</v>
      </c>
      <c r="AA114" s="18">
        <v>42749</v>
      </c>
      <c r="AB114" s="18">
        <v>87390</v>
      </c>
      <c r="AC114" s="18">
        <v>257429</v>
      </c>
      <c r="AD114" s="18"/>
      <c r="AE114" s="18">
        <v>6997</v>
      </c>
      <c r="AF114" s="18">
        <v>33687</v>
      </c>
      <c r="AG114" s="18">
        <v>150</v>
      </c>
      <c r="AH114" s="18"/>
      <c r="AI114" s="19">
        <v>1</v>
      </c>
      <c r="AJ114" s="18">
        <v>5865</v>
      </c>
      <c r="AK114" s="18">
        <v>2676</v>
      </c>
    </row>
    <row r="115" spans="1:37" ht="48.75" customHeight="1" x14ac:dyDescent="0.25">
      <c r="A115" s="80"/>
      <c r="B115" s="10">
        <v>0.24999999959709401</v>
      </c>
      <c r="C115" s="11">
        <v>5883</v>
      </c>
      <c r="D115" s="11">
        <v>323655</v>
      </c>
      <c r="E115" s="11">
        <v>10614</v>
      </c>
      <c r="F115" s="11">
        <v>66334</v>
      </c>
      <c r="G115" s="11">
        <v>88334</v>
      </c>
      <c r="H115" s="11">
        <v>9530</v>
      </c>
      <c r="I115" s="11">
        <v>1</v>
      </c>
      <c r="J115" s="11">
        <v>3837</v>
      </c>
      <c r="K115" s="11">
        <v>5090</v>
      </c>
      <c r="L115" s="11">
        <v>22485</v>
      </c>
      <c r="M115" s="11">
        <v>14383</v>
      </c>
      <c r="N115" s="11">
        <v>4794758</v>
      </c>
      <c r="O115" s="11">
        <v>262419</v>
      </c>
      <c r="P115" s="11">
        <v>30974</v>
      </c>
      <c r="Q115" s="11">
        <v>7671</v>
      </c>
      <c r="R115" s="12">
        <v>47858</v>
      </c>
      <c r="S115" s="11">
        <v>27416427</v>
      </c>
      <c r="T115" s="11"/>
      <c r="U115" s="11">
        <v>118626</v>
      </c>
      <c r="V115" s="11">
        <v>239016</v>
      </c>
      <c r="W115" s="11">
        <v>273710</v>
      </c>
      <c r="X115" s="9">
        <v>60179</v>
      </c>
      <c r="Y115" s="9">
        <v>43009</v>
      </c>
      <c r="Z115" s="9"/>
      <c r="AA115" s="9"/>
      <c r="AB115" s="9">
        <v>87582</v>
      </c>
      <c r="AC115" s="9">
        <v>257509</v>
      </c>
      <c r="AD115" s="9"/>
      <c r="AE115" s="9"/>
      <c r="AF115" s="9"/>
      <c r="AG115" s="9"/>
      <c r="AH115" s="9"/>
      <c r="AI115" s="20"/>
      <c r="AJ115" s="9"/>
      <c r="AK115" s="9"/>
    </row>
    <row r="116" spans="1:37" ht="48.75" customHeight="1" thickBot="1" x14ac:dyDescent="0.3">
      <c r="A116" s="81"/>
      <c r="B116" s="13">
        <v>0.58333333293012402</v>
      </c>
      <c r="C116" s="14">
        <v>5927</v>
      </c>
      <c r="D116" s="14">
        <v>323978</v>
      </c>
      <c r="E116" s="14">
        <v>10616</v>
      </c>
      <c r="F116" s="14">
        <v>66334</v>
      </c>
      <c r="G116" s="14">
        <v>88334</v>
      </c>
      <c r="H116" s="14">
        <v>9530</v>
      </c>
      <c r="I116" s="14">
        <v>10</v>
      </c>
      <c r="J116" s="14">
        <v>3837</v>
      </c>
      <c r="K116" s="14">
        <v>5090</v>
      </c>
      <c r="L116" s="14">
        <v>22497</v>
      </c>
      <c r="M116" s="14">
        <v>14389</v>
      </c>
      <c r="N116" s="14">
        <v>4794758</v>
      </c>
      <c r="O116" s="14">
        <v>262419</v>
      </c>
      <c r="P116" s="14">
        <v>30974</v>
      </c>
      <c r="Q116" s="14">
        <v>7671</v>
      </c>
      <c r="R116" s="15">
        <v>47885</v>
      </c>
      <c r="S116" s="14">
        <v>27427658</v>
      </c>
      <c r="T116" s="14"/>
      <c r="U116" s="14">
        <v>119046</v>
      </c>
      <c r="V116" s="14">
        <v>239023</v>
      </c>
      <c r="W116" s="14">
        <v>273712</v>
      </c>
      <c r="X116" s="21">
        <v>60179</v>
      </c>
      <c r="Y116" s="21">
        <v>43009</v>
      </c>
      <c r="Z116" s="21">
        <v>6019</v>
      </c>
      <c r="AA116" s="21">
        <v>42809</v>
      </c>
      <c r="AB116" s="21">
        <v>87776</v>
      </c>
      <c r="AC116" s="21">
        <v>257738</v>
      </c>
      <c r="AD116" s="21"/>
      <c r="AE116" s="21">
        <v>6997</v>
      </c>
      <c r="AF116" s="21">
        <v>33687</v>
      </c>
      <c r="AG116" s="21">
        <v>150</v>
      </c>
      <c r="AH116" s="21"/>
      <c r="AI116" s="22">
        <v>1</v>
      </c>
      <c r="AJ116" s="21">
        <v>5886</v>
      </c>
      <c r="AK116" s="21">
        <v>2676</v>
      </c>
    </row>
    <row r="117" spans="1:37" ht="48.75" customHeight="1" x14ac:dyDescent="0.25">
      <c r="A117" s="79">
        <v>46061</v>
      </c>
      <c r="B117" s="6">
        <v>0.91666666626315396</v>
      </c>
      <c r="C117" s="11">
        <v>5927</v>
      </c>
      <c r="D117" s="11">
        <v>323978</v>
      </c>
      <c r="E117" s="11">
        <v>10616</v>
      </c>
      <c r="F117" s="11">
        <v>66334</v>
      </c>
      <c r="G117" s="11">
        <v>88334</v>
      </c>
      <c r="H117" s="11">
        <v>9530</v>
      </c>
      <c r="I117" s="11">
        <v>10</v>
      </c>
      <c r="J117" s="11">
        <v>3837</v>
      </c>
      <c r="K117" s="11">
        <v>5090</v>
      </c>
      <c r="L117" s="11">
        <v>22497</v>
      </c>
      <c r="M117" s="11">
        <v>14389</v>
      </c>
      <c r="N117" s="7">
        <v>4794758</v>
      </c>
      <c r="O117" s="7">
        <v>262419</v>
      </c>
      <c r="P117" s="7">
        <v>30974</v>
      </c>
      <c r="Q117" s="7">
        <v>7671</v>
      </c>
      <c r="R117" s="12">
        <v>47885</v>
      </c>
      <c r="S117" s="11">
        <v>27427658</v>
      </c>
      <c r="T117" s="11"/>
      <c r="U117" s="11">
        <v>119046</v>
      </c>
      <c r="V117" s="11">
        <v>239023</v>
      </c>
      <c r="W117" s="11">
        <v>273712</v>
      </c>
      <c r="X117" s="9">
        <v>60179</v>
      </c>
      <c r="Y117" s="9">
        <v>43009</v>
      </c>
      <c r="Z117" s="18">
        <v>6019</v>
      </c>
      <c r="AA117" s="18">
        <v>42809</v>
      </c>
      <c r="AB117" s="18">
        <v>87991</v>
      </c>
      <c r="AC117" s="18">
        <v>257738</v>
      </c>
      <c r="AD117" s="18"/>
      <c r="AE117" s="18">
        <v>6997</v>
      </c>
      <c r="AF117" s="18">
        <v>33687</v>
      </c>
      <c r="AG117" s="18">
        <v>150</v>
      </c>
      <c r="AH117" s="18"/>
      <c r="AI117" s="19">
        <v>1</v>
      </c>
      <c r="AJ117" s="18">
        <v>5886</v>
      </c>
      <c r="AK117" s="18">
        <v>2676</v>
      </c>
    </row>
    <row r="118" spans="1:37" ht="48.75" customHeight="1" x14ac:dyDescent="0.25">
      <c r="A118" s="80"/>
      <c r="B118" s="10">
        <v>0.24999999959618399</v>
      </c>
      <c r="C118" s="11">
        <v>5927</v>
      </c>
      <c r="D118" s="11">
        <v>323978</v>
      </c>
      <c r="E118" s="11">
        <v>10616</v>
      </c>
      <c r="F118" s="11">
        <v>66334</v>
      </c>
      <c r="G118" s="11">
        <v>88334</v>
      </c>
      <c r="H118" s="11">
        <v>9530</v>
      </c>
      <c r="I118" s="11">
        <v>10</v>
      </c>
      <c r="J118" s="11">
        <v>3837</v>
      </c>
      <c r="K118" s="11">
        <v>5090</v>
      </c>
      <c r="L118" s="11">
        <v>22497</v>
      </c>
      <c r="M118" s="11">
        <v>14389</v>
      </c>
      <c r="N118" s="11">
        <v>4794758</v>
      </c>
      <c r="O118" s="11">
        <v>262419</v>
      </c>
      <c r="P118" s="11">
        <v>30974</v>
      </c>
      <c r="Q118" s="11">
        <v>7671</v>
      </c>
      <c r="R118" s="12">
        <v>47885</v>
      </c>
      <c r="S118" s="11">
        <v>27427658</v>
      </c>
      <c r="T118" s="11"/>
      <c r="U118" s="11">
        <v>119046</v>
      </c>
      <c r="V118" s="11">
        <v>239023</v>
      </c>
      <c r="W118" s="11">
        <v>273712</v>
      </c>
      <c r="X118" s="9">
        <v>60179</v>
      </c>
      <c r="Y118" s="9">
        <v>43009</v>
      </c>
      <c r="Z118" s="9">
        <v>6019</v>
      </c>
      <c r="AA118" s="9">
        <v>42809</v>
      </c>
      <c r="AB118" s="9">
        <v>87776</v>
      </c>
      <c r="AC118" s="9">
        <v>257738</v>
      </c>
      <c r="AD118" s="9"/>
      <c r="AE118" s="9">
        <v>6997</v>
      </c>
      <c r="AF118" s="9">
        <v>33687</v>
      </c>
      <c r="AG118" s="9">
        <v>150</v>
      </c>
      <c r="AH118" s="9"/>
      <c r="AI118" s="20">
        <v>1</v>
      </c>
      <c r="AJ118" s="9">
        <v>5886</v>
      </c>
      <c r="AK118" s="9">
        <v>2676</v>
      </c>
    </row>
    <row r="119" spans="1:37" ht="48.75" customHeight="1" thickBot="1" x14ac:dyDescent="0.3">
      <c r="A119" s="81"/>
      <c r="B119" s="13">
        <v>0.58333333292910095</v>
      </c>
      <c r="C119" s="14">
        <v>5927</v>
      </c>
      <c r="D119" s="14">
        <v>323978</v>
      </c>
      <c r="E119" s="14">
        <v>10616</v>
      </c>
      <c r="F119" s="14">
        <v>66334</v>
      </c>
      <c r="G119" s="14">
        <v>88334</v>
      </c>
      <c r="H119" s="14">
        <v>9530</v>
      </c>
      <c r="I119" s="14">
        <v>10</v>
      </c>
      <c r="J119" s="14">
        <v>3837</v>
      </c>
      <c r="K119" s="14">
        <v>5090</v>
      </c>
      <c r="L119" s="14">
        <v>22497</v>
      </c>
      <c r="M119" s="14">
        <v>14389</v>
      </c>
      <c r="N119" s="14">
        <v>4794758</v>
      </c>
      <c r="O119" s="14">
        <v>262419</v>
      </c>
      <c r="P119" s="14">
        <v>30974</v>
      </c>
      <c r="Q119" s="14">
        <v>7671</v>
      </c>
      <c r="R119" s="15">
        <v>47885</v>
      </c>
      <c r="S119" s="14">
        <v>27427658</v>
      </c>
      <c r="T119" s="14"/>
      <c r="U119" s="14">
        <v>119046</v>
      </c>
      <c r="V119" s="14">
        <v>239023</v>
      </c>
      <c r="W119" s="14">
        <v>273712</v>
      </c>
      <c r="X119" s="21">
        <v>60179</v>
      </c>
      <c r="Y119" s="21">
        <v>43009</v>
      </c>
      <c r="Z119" s="21">
        <v>6019</v>
      </c>
      <c r="AA119" s="21">
        <v>42809</v>
      </c>
      <c r="AB119" s="21">
        <v>87991</v>
      </c>
      <c r="AC119" s="21">
        <v>257738</v>
      </c>
      <c r="AD119" s="21"/>
      <c r="AE119" s="21">
        <v>6997</v>
      </c>
      <c r="AF119" s="21">
        <v>33687</v>
      </c>
      <c r="AG119" s="21">
        <v>150</v>
      </c>
      <c r="AH119" s="21"/>
      <c r="AI119" s="22">
        <v>1</v>
      </c>
      <c r="AJ119" s="21">
        <v>5886</v>
      </c>
      <c r="AK119" s="21">
        <v>2676</v>
      </c>
    </row>
    <row r="120" spans="1:37" ht="48.75" customHeight="1" thickBot="1" x14ac:dyDescent="0.3">
      <c r="A120" s="79">
        <v>46062</v>
      </c>
      <c r="B120" s="6">
        <v>0.916666666262131</v>
      </c>
      <c r="C120" s="11">
        <v>5927</v>
      </c>
      <c r="D120" s="11">
        <v>323978</v>
      </c>
      <c r="E120" s="11">
        <v>10616</v>
      </c>
      <c r="F120" s="11">
        <v>66334</v>
      </c>
      <c r="G120" s="11">
        <v>88334</v>
      </c>
      <c r="H120" s="11">
        <v>9530</v>
      </c>
      <c r="I120" s="11">
        <v>10</v>
      </c>
      <c r="J120" s="11">
        <v>3837</v>
      </c>
      <c r="K120" s="11">
        <v>5090</v>
      </c>
      <c r="L120" s="11">
        <v>22497</v>
      </c>
      <c r="M120" s="11">
        <v>14389</v>
      </c>
      <c r="N120" s="7">
        <v>4794758</v>
      </c>
      <c r="O120" s="7">
        <v>262419</v>
      </c>
      <c r="P120" s="7">
        <v>30974</v>
      </c>
      <c r="Q120" s="7">
        <v>7671</v>
      </c>
      <c r="R120" s="8">
        <v>47885</v>
      </c>
      <c r="S120" s="7">
        <v>27427658</v>
      </c>
      <c r="T120" s="7"/>
      <c r="U120" s="7">
        <v>119046</v>
      </c>
      <c r="V120" s="7">
        <v>239023</v>
      </c>
      <c r="W120" s="7">
        <v>273712</v>
      </c>
      <c r="X120" s="9">
        <v>60179</v>
      </c>
      <c r="Y120" s="9">
        <v>43009</v>
      </c>
      <c r="Z120" s="18">
        <v>6019</v>
      </c>
      <c r="AA120" s="18">
        <v>42809</v>
      </c>
      <c r="AB120" s="18">
        <v>87776</v>
      </c>
      <c r="AC120" s="18">
        <v>257738</v>
      </c>
      <c r="AD120" s="18"/>
      <c r="AE120" s="18">
        <v>6997</v>
      </c>
      <c r="AF120" s="18">
        <v>33687</v>
      </c>
      <c r="AG120" s="18">
        <v>150</v>
      </c>
      <c r="AH120" s="18"/>
      <c r="AI120" s="19">
        <v>1</v>
      </c>
      <c r="AJ120" s="18">
        <v>5886</v>
      </c>
      <c r="AK120" s="18">
        <v>2676</v>
      </c>
    </row>
    <row r="121" spans="1:37" ht="48.75" customHeight="1" x14ac:dyDescent="0.25">
      <c r="A121" s="80"/>
      <c r="B121" s="10">
        <v>0.249999999595161</v>
      </c>
      <c r="C121" s="11">
        <v>5968</v>
      </c>
      <c r="D121" s="11">
        <v>324255</v>
      </c>
      <c r="E121" s="11">
        <v>10619</v>
      </c>
      <c r="F121" s="11">
        <v>66334</v>
      </c>
      <c r="G121" s="11">
        <v>88334</v>
      </c>
      <c r="H121" s="11">
        <v>9530</v>
      </c>
      <c r="I121" s="11">
        <v>10</v>
      </c>
      <c r="J121" s="11">
        <v>3838</v>
      </c>
      <c r="K121" s="11">
        <v>5090</v>
      </c>
      <c r="L121" s="11">
        <v>22504</v>
      </c>
      <c r="M121" s="11">
        <v>14397</v>
      </c>
      <c r="N121" s="11">
        <v>4818528</v>
      </c>
      <c r="O121" s="50">
        <f>AVERAGE(O122,O120)</f>
        <v>262482.5</v>
      </c>
      <c r="P121" s="11">
        <v>30974</v>
      </c>
      <c r="Q121" s="11">
        <v>7671</v>
      </c>
      <c r="R121" s="12">
        <v>47905</v>
      </c>
      <c r="S121" s="11">
        <v>27449813</v>
      </c>
      <c r="T121" s="11"/>
      <c r="U121" s="11">
        <v>119370</v>
      </c>
      <c r="V121" s="11">
        <v>239162</v>
      </c>
      <c r="W121" s="11">
        <v>273956</v>
      </c>
      <c r="X121" s="9">
        <v>60262</v>
      </c>
      <c r="Y121" s="9">
        <v>43074</v>
      </c>
      <c r="Z121" s="9">
        <v>6019</v>
      </c>
      <c r="AA121" s="9">
        <v>42809</v>
      </c>
      <c r="AB121" s="9">
        <v>87991</v>
      </c>
      <c r="AC121" s="9">
        <v>257817</v>
      </c>
      <c r="AD121" s="9"/>
      <c r="AE121" s="9">
        <v>6997</v>
      </c>
      <c r="AF121" s="9">
        <v>33687</v>
      </c>
      <c r="AG121" s="9">
        <v>150</v>
      </c>
      <c r="AH121" s="9"/>
      <c r="AI121" s="20">
        <v>1</v>
      </c>
      <c r="AJ121" s="9">
        <v>5886</v>
      </c>
      <c r="AK121" s="9">
        <v>2676</v>
      </c>
    </row>
    <row r="122" spans="1:37" ht="48.75" customHeight="1" thickBot="1" x14ac:dyDescent="0.3">
      <c r="A122" s="81"/>
      <c r="B122" s="13">
        <v>0.58333333292807799</v>
      </c>
      <c r="C122" s="14">
        <v>5991</v>
      </c>
      <c r="D122" s="14">
        <v>324482</v>
      </c>
      <c r="E122" s="14">
        <v>10621</v>
      </c>
      <c r="F122" s="14">
        <v>66334</v>
      </c>
      <c r="G122" s="14">
        <v>88334</v>
      </c>
      <c r="H122" s="14">
        <v>9530</v>
      </c>
      <c r="I122" s="14">
        <v>10</v>
      </c>
      <c r="J122" s="14">
        <v>3842</v>
      </c>
      <c r="K122" s="14">
        <v>5091</v>
      </c>
      <c r="L122" s="14">
        <v>22510</v>
      </c>
      <c r="M122" s="14">
        <v>14401</v>
      </c>
      <c r="N122" s="14">
        <v>4942297</v>
      </c>
      <c r="O122" s="14">
        <v>262546</v>
      </c>
      <c r="P122" s="14">
        <v>30974</v>
      </c>
      <c r="Q122" s="14">
        <v>7671</v>
      </c>
      <c r="R122" s="15">
        <v>47925</v>
      </c>
      <c r="S122" s="14">
        <v>27459300</v>
      </c>
      <c r="T122" s="14"/>
      <c r="U122" s="14">
        <v>119670</v>
      </c>
      <c r="V122" s="14">
        <v>239240</v>
      </c>
      <c r="W122" s="14">
        <v>274098</v>
      </c>
      <c r="X122" s="21">
        <v>60373</v>
      </c>
      <c r="Y122" s="21">
        <v>43162</v>
      </c>
      <c r="Z122" s="21">
        <v>6019</v>
      </c>
      <c r="AA122" s="21">
        <v>42809</v>
      </c>
      <c r="AB122" s="21">
        <v>88043</v>
      </c>
      <c r="AC122" s="21">
        <v>257868</v>
      </c>
      <c r="AD122" s="21"/>
      <c r="AE122" s="21">
        <v>6997</v>
      </c>
      <c r="AF122" s="21">
        <v>33687</v>
      </c>
      <c r="AG122" s="21">
        <v>150</v>
      </c>
      <c r="AH122" s="21"/>
      <c r="AI122" s="22">
        <v>1</v>
      </c>
      <c r="AJ122" s="21">
        <v>5886</v>
      </c>
      <c r="AK122" s="21">
        <v>2676</v>
      </c>
    </row>
    <row r="123" spans="1:37" ht="48.75" customHeight="1" x14ac:dyDescent="0.25">
      <c r="A123" s="79">
        <v>46063</v>
      </c>
      <c r="B123" s="6">
        <v>0.91666666626110804</v>
      </c>
      <c r="C123" s="7">
        <v>6013</v>
      </c>
      <c r="D123" s="7">
        <v>324792</v>
      </c>
      <c r="E123" s="7">
        <v>10623</v>
      </c>
      <c r="F123" s="7">
        <v>66334</v>
      </c>
      <c r="G123" s="7">
        <v>88334</v>
      </c>
      <c r="H123" s="7">
        <v>9530</v>
      </c>
      <c r="I123" s="7">
        <v>10</v>
      </c>
      <c r="J123" s="7">
        <v>3845</v>
      </c>
      <c r="K123" s="7">
        <v>5091</v>
      </c>
      <c r="L123" s="7">
        <v>22518</v>
      </c>
      <c r="M123" s="7">
        <v>14404</v>
      </c>
      <c r="N123" s="50">
        <f>+N120+257000</f>
        <v>5051758</v>
      </c>
      <c r="O123" s="50">
        <f>+O120+227</f>
        <v>262646</v>
      </c>
      <c r="P123" s="7">
        <v>30974</v>
      </c>
      <c r="Q123" s="7">
        <v>7671</v>
      </c>
      <c r="R123" s="8">
        <v>47942</v>
      </c>
      <c r="S123" s="7">
        <v>27470390</v>
      </c>
      <c r="T123" s="7"/>
      <c r="U123" s="7">
        <v>120038</v>
      </c>
      <c r="V123" s="7">
        <v>239283</v>
      </c>
      <c r="W123" s="7">
        <v>274157</v>
      </c>
      <c r="X123" s="9">
        <v>60484</v>
      </c>
      <c r="Y123" s="9">
        <v>43246</v>
      </c>
      <c r="Z123" s="18">
        <v>6038</v>
      </c>
      <c r="AA123" s="18">
        <v>42894</v>
      </c>
      <c r="AB123" s="18">
        <v>88075</v>
      </c>
      <c r="AC123" s="18">
        <v>257959</v>
      </c>
      <c r="AD123" s="18"/>
      <c r="AE123" s="18">
        <v>7000</v>
      </c>
      <c r="AF123" s="18">
        <v>33687</v>
      </c>
      <c r="AG123" s="18">
        <v>150</v>
      </c>
      <c r="AH123" s="18"/>
      <c r="AI123" s="19">
        <v>1</v>
      </c>
      <c r="AJ123" s="18">
        <v>5908</v>
      </c>
      <c r="AK123" s="18">
        <v>2376</v>
      </c>
    </row>
    <row r="124" spans="1:37" ht="48.75" customHeight="1" x14ac:dyDescent="0.25">
      <c r="A124" s="80"/>
      <c r="B124" s="10">
        <v>0.24999999959413799</v>
      </c>
      <c r="C124" s="11">
        <v>6045</v>
      </c>
      <c r="D124" s="11">
        <v>325088</v>
      </c>
      <c r="E124" s="11">
        <v>10628</v>
      </c>
      <c r="F124" s="11">
        <v>66334</v>
      </c>
      <c r="G124" s="11">
        <v>88334</v>
      </c>
      <c r="H124" s="11">
        <v>9530</v>
      </c>
      <c r="I124" s="11">
        <v>10</v>
      </c>
      <c r="J124" s="11">
        <v>3846</v>
      </c>
      <c r="K124" s="11">
        <v>5091</v>
      </c>
      <c r="L124" s="11">
        <v>22524</v>
      </c>
      <c r="M124" s="11">
        <v>14412</v>
      </c>
      <c r="N124" s="11">
        <v>5288301</v>
      </c>
      <c r="O124" s="11">
        <v>262839</v>
      </c>
      <c r="P124" s="11">
        <v>30974</v>
      </c>
      <c r="Q124" s="11">
        <v>7671</v>
      </c>
      <c r="R124" s="12">
        <v>47958</v>
      </c>
      <c r="S124" s="11">
        <v>27492434</v>
      </c>
      <c r="T124" s="11"/>
      <c r="U124" s="11">
        <v>120417</v>
      </c>
      <c r="V124" s="11">
        <v>239419</v>
      </c>
      <c r="W124" s="11">
        <v>274299</v>
      </c>
      <c r="X124" s="9">
        <v>60609</v>
      </c>
      <c r="Y124" s="9">
        <v>43341</v>
      </c>
      <c r="Z124" s="9">
        <v>6038</v>
      </c>
      <c r="AA124" s="9">
        <v>42894</v>
      </c>
      <c r="AB124" s="9">
        <v>88234</v>
      </c>
      <c r="AC124" s="9">
        <v>258045</v>
      </c>
      <c r="AD124" s="9"/>
      <c r="AE124" s="9">
        <v>7000</v>
      </c>
      <c r="AF124" s="9">
        <v>33687</v>
      </c>
      <c r="AG124" s="9">
        <v>150</v>
      </c>
      <c r="AH124" s="9"/>
      <c r="AI124" s="20">
        <v>1</v>
      </c>
      <c r="AJ124" s="9">
        <v>5908</v>
      </c>
      <c r="AK124" s="9">
        <v>2376</v>
      </c>
    </row>
    <row r="125" spans="1:37" ht="48.75" customHeight="1" thickBot="1" x14ac:dyDescent="0.3">
      <c r="A125" s="81"/>
      <c r="B125" s="13">
        <v>0.58333333292716805</v>
      </c>
      <c r="C125" s="14">
        <v>6056</v>
      </c>
      <c r="D125" s="14">
        <v>325337</v>
      </c>
      <c r="E125" s="14">
        <v>10630</v>
      </c>
      <c r="F125" s="14">
        <v>66334</v>
      </c>
      <c r="G125" s="14">
        <v>88334</v>
      </c>
      <c r="H125" s="14">
        <v>9530</v>
      </c>
      <c r="I125" s="14">
        <v>10</v>
      </c>
      <c r="J125" s="14">
        <v>3851</v>
      </c>
      <c r="K125" s="14">
        <v>5091</v>
      </c>
      <c r="L125" s="14">
        <v>22529</v>
      </c>
      <c r="M125" s="14">
        <v>14414</v>
      </c>
      <c r="N125" s="14">
        <v>5490150</v>
      </c>
      <c r="O125" s="14">
        <v>263010</v>
      </c>
      <c r="P125" s="14">
        <v>30974</v>
      </c>
      <c r="Q125" s="14">
        <v>7671</v>
      </c>
      <c r="R125" s="15">
        <v>47974</v>
      </c>
      <c r="S125" s="14">
        <v>27519621</v>
      </c>
      <c r="T125" s="14"/>
      <c r="U125" s="14">
        <v>120732</v>
      </c>
      <c r="V125" s="14">
        <v>239610</v>
      </c>
      <c r="W125" s="14">
        <v>274458</v>
      </c>
      <c r="X125" s="21">
        <v>60717</v>
      </c>
      <c r="Y125" s="21">
        <v>43425</v>
      </c>
      <c r="Z125" s="21">
        <v>6038</v>
      </c>
      <c r="AA125" s="21">
        <v>42894</v>
      </c>
      <c r="AB125" s="21">
        <v>88275</v>
      </c>
      <c r="AC125" s="21">
        <v>258124</v>
      </c>
      <c r="AD125" s="21"/>
      <c r="AE125" s="21">
        <v>7000</v>
      </c>
      <c r="AF125" s="21">
        <v>33687</v>
      </c>
      <c r="AG125" s="21">
        <v>150</v>
      </c>
      <c r="AH125" s="21"/>
      <c r="AI125" s="22">
        <v>1</v>
      </c>
      <c r="AJ125" s="21">
        <v>5908</v>
      </c>
      <c r="AK125" s="21">
        <v>2376</v>
      </c>
    </row>
    <row r="126" spans="1:37" ht="48.75" customHeight="1" thickBot="1" x14ac:dyDescent="0.3">
      <c r="A126" s="79">
        <v>46064</v>
      </c>
      <c r="B126" s="6">
        <v>0.91666666626008497</v>
      </c>
      <c r="C126" s="7">
        <v>6059</v>
      </c>
      <c r="D126" s="7">
        <v>325632</v>
      </c>
      <c r="E126" s="7">
        <v>10634</v>
      </c>
      <c r="F126" s="7">
        <v>66334</v>
      </c>
      <c r="G126" s="7">
        <v>88334</v>
      </c>
      <c r="H126" s="7">
        <v>9530</v>
      </c>
      <c r="I126" s="7">
        <v>10</v>
      </c>
      <c r="J126" s="7">
        <v>3851</v>
      </c>
      <c r="K126" s="7">
        <v>5091</v>
      </c>
      <c r="L126" s="7">
        <v>22537</v>
      </c>
      <c r="M126" s="7">
        <v>14419</v>
      </c>
      <c r="N126" s="7">
        <v>5809952</v>
      </c>
      <c r="O126" s="7">
        <v>263280</v>
      </c>
      <c r="P126" s="7">
        <v>30974</v>
      </c>
      <c r="Q126" s="7">
        <v>7671</v>
      </c>
      <c r="R126" s="8">
        <v>47989</v>
      </c>
      <c r="S126" s="7">
        <v>27540395</v>
      </c>
      <c r="T126" s="7"/>
      <c r="U126" s="7">
        <v>121090</v>
      </c>
      <c r="V126" s="7">
        <v>239878</v>
      </c>
      <c r="W126" s="7">
        <v>274666</v>
      </c>
      <c r="X126" s="9">
        <v>60858</v>
      </c>
      <c r="Y126" s="9">
        <v>43539</v>
      </c>
      <c r="Z126" s="18">
        <v>6056</v>
      </c>
      <c r="AA126" s="18">
        <v>42914</v>
      </c>
      <c r="AB126" s="18">
        <v>88276</v>
      </c>
      <c r="AC126" s="18">
        <v>258223</v>
      </c>
      <c r="AD126" s="18"/>
      <c r="AE126" s="18">
        <v>7009</v>
      </c>
      <c r="AF126" s="18">
        <v>33687</v>
      </c>
      <c r="AG126" s="18">
        <v>150</v>
      </c>
      <c r="AH126" s="18"/>
      <c r="AI126" s="19">
        <v>1</v>
      </c>
      <c r="AJ126" s="18">
        <v>5915</v>
      </c>
      <c r="AK126" s="18">
        <v>2376</v>
      </c>
    </row>
    <row r="127" spans="1:37" ht="48.75" customHeight="1" thickBot="1" x14ac:dyDescent="0.3">
      <c r="A127" s="80"/>
      <c r="B127" s="10">
        <v>0.249999999593115</v>
      </c>
      <c r="C127" s="11">
        <v>6060</v>
      </c>
      <c r="D127" s="11">
        <v>325835</v>
      </c>
      <c r="E127" s="11">
        <v>10635</v>
      </c>
      <c r="F127" s="11">
        <v>66334</v>
      </c>
      <c r="G127" s="11">
        <v>88334</v>
      </c>
      <c r="H127" s="11">
        <v>9530</v>
      </c>
      <c r="I127" s="11">
        <v>10</v>
      </c>
      <c r="J127" s="11">
        <v>3851</v>
      </c>
      <c r="K127" s="11">
        <v>5091</v>
      </c>
      <c r="L127" s="11">
        <v>22538</v>
      </c>
      <c r="M127" s="11">
        <v>14425</v>
      </c>
      <c r="N127" s="11">
        <v>5942218</v>
      </c>
      <c r="O127" s="11">
        <v>263391</v>
      </c>
      <c r="P127" s="7">
        <v>30974</v>
      </c>
      <c r="Q127" s="7">
        <v>7671</v>
      </c>
      <c r="R127" s="12">
        <v>48002</v>
      </c>
      <c r="S127" s="11">
        <v>27540502</v>
      </c>
      <c r="T127" s="11"/>
      <c r="U127" s="11">
        <v>121308</v>
      </c>
      <c r="V127" s="11">
        <v>239992</v>
      </c>
      <c r="W127" s="11">
        <v>274756</v>
      </c>
      <c r="X127" s="9">
        <v>60980</v>
      </c>
      <c r="Y127" s="9">
        <v>43637</v>
      </c>
      <c r="Z127" s="18">
        <v>6056</v>
      </c>
      <c r="AA127" s="18">
        <v>42914</v>
      </c>
      <c r="AB127" s="9">
        <v>88276</v>
      </c>
      <c r="AC127" s="9">
        <f>AVERAGE(AC128,AC126)</f>
        <v>258315</v>
      </c>
      <c r="AD127" s="9"/>
      <c r="AE127" s="18">
        <v>7009</v>
      </c>
      <c r="AF127" s="18">
        <v>33687</v>
      </c>
      <c r="AG127" s="18">
        <v>150</v>
      </c>
      <c r="AH127" s="18"/>
      <c r="AI127" s="19">
        <v>1</v>
      </c>
      <c r="AJ127" s="18">
        <v>5915</v>
      </c>
      <c r="AK127" s="18">
        <v>2376</v>
      </c>
    </row>
    <row r="128" spans="1:37" ht="48.75" customHeight="1" thickBot="1" x14ac:dyDescent="0.3">
      <c r="A128" s="81"/>
      <c r="B128" s="13">
        <v>0.58333333292614498</v>
      </c>
      <c r="C128" s="14">
        <v>6074</v>
      </c>
      <c r="D128" s="14">
        <v>326085</v>
      </c>
      <c r="E128" s="14">
        <v>10638</v>
      </c>
      <c r="F128" s="14">
        <v>66334</v>
      </c>
      <c r="G128" s="14">
        <v>88334</v>
      </c>
      <c r="H128" s="14">
        <v>9530</v>
      </c>
      <c r="I128" s="14">
        <v>10</v>
      </c>
      <c r="J128" s="14">
        <v>3854</v>
      </c>
      <c r="K128" s="14">
        <v>5091</v>
      </c>
      <c r="L128" s="14">
        <v>22543</v>
      </c>
      <c r="M128" s="14">
        <v>14433</v>
      </c>
      <c r="N128" s="14">
        <v>6145620</v>
      </c>
      <c r="O128" s="14">
        <v>263563</v>
      </c>
      <c r="P128" s="14">
        <v>30974</v>
      </c>
      <c r="Q128" s="14">
        <v>7671</v>
      </c>
      <c r="R128" s="15">
        <v>48027</v>
      </c>
      <c r="S128" s="14">
        <v>27587828</v>
      </c>
      <c r="T128" s="14"/>
      <c r="U128" s="14">
        <v>121680</v>
      </c>
      <c r="V128" s="14">
        <v>240114</v>
      </c>
      <c r="W128" s="14">
        <v>274841</v>
      </c>
      <c r="X128" s="21">
        <v>61109</v>
      </c>
      <c r="Y128" s="21">
        <v>43742</v>
      </c>
      <c r="Z128" s="18">
        <v>6056</v>
      </c>
      <c r="AA128" s="18">
        <v>42914</v>
      </c>
      <c r="AB128" s="21">
        <v>88353</v>
      </c>
      <c r="AC128" s="21">
        <v>258407</v>
      </c>
      <c r="AD128" s="21"/>
      <c r="AE128" s="18">
        <v>7009</v>
      </c>
      <c r="AF128" s="18">
        <v>33687</v>
      </c>
      <c r="AG128" s="18">
        <v>150</v>
      </c>
      <c r="AH128" s="18"/>
      <c r="AI128" s="19">
        <v>1</v>
      </c>
      <c r="AJ128" s="18">
        <v>5915</v>
      </c>
      <c r="AK128" s="18">
        <v>2376</v>
      </c>
    </row>
    <row r="129" spans="1:37" ht="48.75" customHeight="1" thickBot="1" x14ac:dyDescent="0.3">
      <c r="A129" s="79">
        <v>46065</v>
      </c>
      <c r="B129" s="6">
        <v>0.91666666625917503</v>
      </c>
      <c r="C129" s="7">
        <v>6084</v>
      </c>
      <c r="D129" s="7">
        <v>326359</v>
      </c>
      <c r="E129" s="7">
        <v>10640</v>
      </c>
      <c r="F129" s="7">
        <v>66334</v>
      </c>
      <c r="G129" s="7">
        <v>88334</v>
      </c>
      <c r="H129" s="7">
        <v>9530</v>
      </c>
      <c r="I129" s="7">
        <v>10</v>
      </c>
      <c r="J129" s="7">
        <v>3855</v>
      </c>
      <c r="K129" s="7">
        <v>5091</v>
      </c>
      <c r="L129" s="7">
        <v>22550</v>
      </c>
      <c r="M129" s="7">
        <v>14440</v>
      </c>
      <c r="N129" s="7">
        <v>6357224</v>
      </c>
      <c r="O129" s="7">
        <v>263739</v>
      </c>
      <c r="P129" s="7">
        <v>30974</v>
      </c>
      <c r="Q129" s="7">
        <v>7671</v>
      </c>
      <c r="R129" s="8">
        <v>48044</v>
      </c>
      <c r="S129" s="7">
        <v>27622618</v>
      </c>
      <c r="T129" s="7"/>
      <c r="U129" s="7">
        <v>122123</v>
      </c>
      <c r="V129" s="7">
        <v>240273</v>
      </c>
      <c r="W129" s="7">
        <v>274993</v>
      </c>
      <c r="X129" s="18">
        <v>61233</v>
      </c>
      <c r="Y129" s="18">
        <v>43842</v>
      </c>
      <c r="Z129" s="18">
        <v>6062</v>
      </c>
      <c r="AA129" s="18">
        <v>42919</v>
      </c>
      <c r="AB129" s="18">
        <v>88390</v>
      </c>
      <c r="AC129" s="18">
        <v>258515</v>
      </c>
      <c r="AD129" s="18"/>
      <c r="AE129" s="18">
        <v>7010</v>
      </c>
      <c r="AF129" s="18">
        <v>33687</v>
      </c>
      <c r="AG129" s="18">
        <v>150</v>
      </c>
      <c r="AH129" s="18"/>
      <c r="AI129" s="19">
        <v>1</v>
      </c>
      <c r="AJ129" s="18">
        <v>5928</v>
      </c>
      <c r="AK129" s="18">
        <v>2376</v>
      </c>
    </row>
    <row r="130" spans="1:37" ht="48.75" customHeight="1" thickBot="1" x14ac:dyDescent="0.3">
      <c r="A130" s="80"/>
      <c r="B130" s="10">
        <v>0.24999999959209199</v>
      </c>
      <c r="C130" s="11">
        <v>6086</v>
      </c>
      <c r="D130" s="11">
        <v>326615</v>
      </c>
      <c r="E130" s="11">
        <v>10643</v>
      </c>
      <c r="F130" s="11">
        <v>66334</v>
      </c>
      <c r="G130" s="11">
        <v>88334</v>
      </c>
      <c r="H130" s="11">
        <v>9530</v>
      </c>
      <c r="I130" s="11">
        <v>10</v>
      </c>
      <c r="J130" s="11">
        <v>3856</v>
      </c>
      <c r="K130" s="11">
        <v>5092</v>
      </c>
      <c r="L130" s="11">
        <v>22555</v>
      </c>
      <c r="M130" s="11">
        <v>14446</v>
      </c>
      <c r="N130" s="11">
        <v>6686907</v>
      </c>
      <c r="O130" s="11">
        <v>263970</v>
      </c>
      <c r="P130" s="7">
        <v>30974</v>
      </c>
      <c r="Q130" s="7">
        <v>7671</v>
      </c>
      <c r="R130" s="12">
        <v>48053</v>
      </c>
      <c r="S130" s="11">
        <v>27622673</v>
      </c>
      <c r="T130" s="11"/>
      <c r="U130" s="11">
        <v>122391</v>
      </c>
      <c r="V130" s="11">
        <v>240448</v>
      </c>
      <c r="W130" s="11">
        <v>275142</v>
      </c>
      <c r="X130" s="9">
        <v>61325</v>
      </c>
      <c r="Y130" s="9">
        <v>43915</v>
      </c>
      <c r="Z130" s="18">
        <v>6062</v>
      </c>
      <c r="AA130" s="18">
        <v>42919</v>
      </c>
      <c r="AB130" s="9">
        <v>88394</v>
      </c>
      <c r="AC130" s="9">
        <v>258607</v>
      </c>
      <c r="AD130" s="9"/>
      <c r="AE130" s="18">
        <v>7010</v>
      </c>
      <c r="AF130" s="18">
        <v>33687</v>
      </c>
      <c r="AG130" s="18">
        <v>150</v>
      </c>
      <c r="AH130" s="18"/>
      <c r="AI130" s="19">
        <v>1</v>
      </c>
      <c r="AJ130" s="18">
        <v>5928</v>
      </c>
      <c r="AK130" s="18">
        <v>2376</v>
      </c>
    </row>
    <row r="131" spans="1:37" ht="48.75" customHeight="1" thickBot="1" x14ac:dyDescent="0.3">
      <c r="A131" s="81"/>
      <c r="B131" s="13">
        <v>0.58333333292512202</v>
      </c>
      <c r="C131" s="14">
        <v>6095</v>
      </c>
      <c r="D131" s="14">
        <v>326831</v>
      </c>
      <c r="E131" s="14">
        <v>10644</v>
      </c>
      <c r="F131" s="14">
        <v>66334</v>
      </c>
      <c r="G131" s="14">
        <v>88334</v>
      </c>
      <c r="H131" s="14">
        <v>9530</v>
      </c>
      <c r="I131" s="14">
        <v>10</v>
      </c>
      <c r="J131" s="14">
        <v>3859</v>
      </c>
      <c r="K131" s="14">
        <v>5092</v>
      </c>
      <c r="L131" s="14">
        <v>22555</v>
      </c>
      <c r="M131" s="14">
        <v>14450</v>
      </c>
      <c r="N131" s="14">
        <v>6933822</v>
      </c>
      <c r="O131" s="14">
        <v>264164</v>
      </c>
      <c r="P131" s="14">
        <v>30974</v>
      </c>
      <c r="Q131" s="14">
        <v>7671</v>
      </c>
      <c r="R131" s="15">
        <v>48075</v>
      </c>
      <c r="S131" s="14">
        <v>27647866</v>
      </c>
      <c r="T131" s="14"/>
      <c r="U131" s="14">
        <v>122717</v>
      </c>
      <c r="V131" s="14">
        <v>240593</v>
      </c>
      <c r="W131" s="14">
        <v>275254</v>
      </c>
      <c r="X131" s="21">
        <v>61410</v>
      </c>
      <c r="Y131" s="21">
        <v>43983</v>
      </c>
      <c r="Z131" s="21">
        <v>6062</v>
      </c>
      <c r="AA131" s="21">
        <v>42919</v>
      </c>
      <c r="AB131" s="21">
        <v>88431</v>
      </c>
      <c r="AC131" s="21">
        <v>258700</v>
      </c>
      <c r="AD131" s="21"/>
      <c r="AE131" s="18">
        <v>7010</v>
      </c>
      <c r="AF131" s="18">
        <v>33687</v>
      </c>
      <c r="AG131" s="18">
        <v>150</v>
      </c>
      <c r="AH131" s="18"/>
      <c r="AI131" s="19">
        <v>1</v>
      </c>
      <c r="AJ131" s="18">
        <v>5928</v>
      </c>
      <c r="AK131" s="18">
        <v>2376</v>
      </c>
    </row>
    <row r="132" spans="1:37" ht="48.75" customHeight="1" thickBot="1" x14ac:dyDescent="0.3">
      <c r="A132" s="79">
        <v>46066</v>
      </c>
      <c r="B132" s="6">
        <v>0.91666666625815196</v>
      </c>
      <c r="C132" s="7">
        <v>6115</v>
      </c>
      <c r="D132" s="7">
        <v>327109</v>
      </c>
      <c r="E132" s="7">
        <v>10648</v>
      </c>
      <c r="F132" s="7">
        <v>66334</v>
      </c>
      <c r="G132" s="7">
        <v>88334</v>
      </c>
      <c r="H132" s="7">
        <v>9530</v>
      </c>
      <c r="I132" s="7">
        <v>10</v>
      </c>
      <c r="J132" s="7">
        <v>3860</v>
      </c>
      <c r="K132" s="7">
        <v>5092</v>
      </c>
      <c r="L132" s="7">
        <v>22560</v>
      </c>
      <c r="M132" s="7">
        <v>14456</v>
      </c>
      <c r="N132" s="7">
        <v>7216577</v>
      </c>
      <c r="O132" s="7">
        <v>264386</v>
      </c>
      <c r="P132" s="7">
        <v>30974</v>
      </c>
      <c r="Q132" s="7">
        <v>7671</v>
      </c>
      <c r="R132" s="8">
        <v>48087</v>
      </c>
      <c r="S132" s="7">
        <v>27710554</v>
      </c>
      <c r="T132" s="7"/>
      <c r="U132" s="7">
        <v>123127</v>
      </c>
      <c r="V132" s="7">
        <v>240831</v>
      </c>
      <c r="W132" s="7">
        <v>275462</v>
      </c>
      <c r="X132" s="18">
        <v>61466</v>
      </c>
      <c r="Y132" s="18">
        <v>44029</v>
      </c>
      <c r="Z132" s="18">
        <v>6068</v>
      </c>
      <c r="AA132" s="18">
        <v>42962</v>
      </c>
      <c r="AB132" s="18">
        <v>88514</v>
      </c>
      <c r="AC132" s="18">
        <v>258806</v>
      </c>
      <c r="AD132" s="18"/>
      <c r="AE132" s="18">
        <v>7012</v>
      </c>
      <c r="AF132" s="18">
        <v>33687</v>
      </c>
      <c r="AG132" s="18">
        <v>150</v>
      </c>
      <c r="AH132" s="18"/>
      <c r="AI132" s="19">
        <v>1</v>
      </c>
      <c r="AJ132" s="18">
        <v>5940</v>
      </c>
      <c r="AK132" s="18">
        <v>2376</v>
      </c>
    </row>
    <row r="133" spans="1:37" ht="48.75" customHeight="1" thickBot="1" x14ac:dyDescent="0.3">
      <c r="A133" s="80"/>
      <c r="B133" s="10">
        <v>0.24999999959118199</v>
      </c>
      <c r="C133" s="11">
        <v>6116</v>
      </c>
      <c r="D133" s="11">
        <v>327398</v>
      </c>
      <c r="E133" s="11">
        <v>10652</v>
      </c>
      <c r="F133" s="11">
        <v>66334</v>
      </c>
      <c r="G133" s="11">
        <v>88334</v>
      </c>
      <c r="H133" s="11">
        <v>9530</v>
      </c>
      <c r="I133" s="11">
        <v>10</v>
      </c>
      <c r="J133" s="11">
        <v>3861</v>
      </c>
      <c r="K133" s="11">
        <v>5092</v>
      </c>
      <c r="L133" s="11">
        <v>22560</v>
      </c>
      <c r="M133" s="11">
        <v>14461</v>
      </c>
      <c r="N133" s="11">
        <v>7483607</v>
      </c>
      <c r="O133" s="11">
        <v>264594</v>
      </c>
      <c r="P133" s="7">
        <v>30974</v>
      </c>
      <c r="Q133" s="7">
        <v>7671</v>
      </c>
      <c r="R133" s="12">
        <v>48096</v>
      </c>
      <c r="S133" s="11">
        <v>27711094</v>
      </c>
      <c r="T133" s="11"/>
      <c r="U133" s="11">
        <v>123464</v>
      </c>
      <c r="V133" s="11">
        <v>240980</v>
      </c>
      <c r="W133" s="11">
        <v>275565</v>
      </c>
      <c r="X133" s="9">
        <v>61586</v>
      </c>
      <c r="Y133" s="9">
        <v>44122</v>
      </c>
      <c r="Z133" s="18">
        <v>6068</v>
      </c>
      <c r="AA133" s="18">
        <v>42962</v>
      </c>
      <c r="AB133" s="9">
        <v>88514</v>
      </c>
      <c r="AC133" s="9">
        <v>258900</v>
      </c>
      <c r="AD133" s="9"/>
      <c r="AE133" s="18">
        <v>7012</v>
      </c>
      <c r="AF133" s="18">
        <v>33687</v>
      </c>
      <c r="AG133" s="18">
        <v>150</v>
      </c>
      <c r="AH133" s="18"/>
      <c r="AI133" s="19">
        <v>1</v>
      </c>
      <c r="AJ133" s="18">
        <v>5940</v>
      </c>
      <c r="AK133" s="18">
        <v>2376</v>
      </c>
    </row>
    <row r="134" spans="1:37" ht="48.75" customHeight="1" thickBot="1" x14ac:dyDescent="0.3">
      <c r="A134" s="81"/>
      <c r="B134" s="13">
        <v>0.58333333292409895</v>
      </c>
      <c r="C134" s="14">
        <v>6126</v>
      </c>
      <c r="D134" s="14">
        <v>327665</v>
      </c>
      <c r="E134" s="14">
        <v>10655</v>
      </c>
      <c r="F134" s="14">
        <v>66334</v>
      </c>
      <c r="G134" s="14">
        <v>88334</v>
      </c>
      <c r="H134" s="14">
        <v>9530</v>
      </c>
      <c r="I134" s="14">
        <v>10</v>
      </c>
      <c r="J134" s="14">
        <v>3864</v>
      </c>
      <c r="K134" s="14">
        <v>5092</v>
      </c>
      <c r="L134" s="14">
        <v>22560</v>
      </c>
      <c r="M134" s="14">
        <v>14469</v>
      </c>
      <c r="N134" s="14">
        <v>7697662</v>
      </c>
      <c r="O134" s="14">
        <v>264759</v>
      </c>
      <c r="P134" s="14">
        <v>30974</v>
      </c>
      <c r="Q134" s="14">
        <v>7671</v>
      </c>
      <c r="R134" s="15">
        <v>48115</v>
      </c>
      <c r="S134" s="14">
        <v>27732128</v>
      </c>
      <c r="T134" s="14"/>
      <c r="U134" s="14">
        <v>123823</v>
      </c>
      <c r="V134" s="14">
        <v>241084</v>
      </c>
      <c r="W134" s="14">
        <v>275647</v>
      </c>
      <c r="X134" s="21">
        <v>61673</v>
      </c>
      <c r="Y134" s="21">
        <v>44191</v>
      </c>
      <c r="Z134" s="18">
        <v>6068</v>
      </c>
      <c r="AA134" s="18">
        <v>42962</v>
      </c>
      <c r="AB134" s="21">
        <v>88592</v>
      </c>
      <c r="AC134" s="21">
        <v>258996</v>
      </c>
      <c r="AD134" s="21"/>
      <c r="AE134" s="18">
        <v>7012</v>
      </c>
      <c r="AF134" s="18">
        <v>33687</v>
      </c>
      <c r="AG134" s="18">
        <v>150</v>
      </c>
      <c r="AH134" s="18"/>
      <c r="AI134" s="19">
        <v>1</v>
      </c>
      <c r="AJ134" s="18">
        <v>5940</v>
      </c>
      <c r="AK134" s="18">
        <v>2376</v>
      </c>
    </row>
    <row r="135" spans="1:37" ht="48.75" customHeight="1" thickBot="1" x14ac:dyDescent="0.3">
      <c r="A135" s="79">
        <v>46067</v>
      </c>
      <c r="B135" s="6">
        <v>0.916666666257129</v>
      </c>
      <c r="C135" s="7">
        <v>6132</v>
      </c>
      <c r="D135" s="7">
        <v>327911</v>
      </c>
      <c r="E135" s="7">
        <v>10657</v>
      </c>
      <c r="F135" s="7">
        <v>663347</v>
      </c>
      <c r="G135" s="7">
        <v>88334</v>
      </c>
      <c r="H135" s="7">
        <v>9530</v>
      </c>
      <c r="I135" s="7">
        <v>10</v>
      </c>
      <c r="J135" s="7">
        <v>3867</v>
      </c>
      <c r="K135" s="7">
        <v>5092</v>
      </c>
      <c r="L135" s="7">
        <v>22565</v>
      </c>
      <c r="M135" s="7">
        <v>14476</v>
      </c>
      <c r="N135" s="7">
        <v>7868071</v>
      </c>
      <c r="O135" s="7">
        <v>264890</v>
      </c>
      <c r="P135" s="7">
        <v>30974</v>
      </c>
      <c r="Q135" s="7">
        <v>7671</v>
      </c>
      <c r="R135" s="8">
        <v>48134</v>
      </c>
      <c r="S135" s="7">
        <v>27760687</v>
      </c>
      <c r="T135" s="7"/>
      <c r="U135" s="7">
        <v>124096</v>
      </c>
      <c r="V135" s="7">
        <v>241187</v>
      </c>
      <c r="W135" s="7">
        <v>275722</v>
      </c>
      <c r="X135" s="18">
        <v>61788</v>
      </c>
      <c r="Y135" s="18">
        <v>44284</v>
      </c>
      <c r="Z135" s="18">
        <v>6073</v>
      </c>
      <c r="AA135" s="18">
        <v>42963</v>
      </c>
      <c r="AB135" s="18">
        <v>88605</v>
      </c>
      <c r="AC135" s="18">
        <v>259086</v>
      </c>
      <c r="AD135" s="18"/>
      <c r="AE135" s="18">
        <v>7013</v>
      </c>
      <c r="AF135" s="18">
        <v>33681</v>
      </c>
      <c r="AG135" s="18">
        <v>150</v>
      </c>
      <c r="AH135" s="18"/>
      <c r="AI135" s="19">
        <v>1</v>
      </c>
      <c r="AJ135" s="18">
        <v>5944</v>
      </c>
      <c r="AK135" s="18">
        <v>2376</v>
      </c>
    </row>
    <row r="136" spans="1:37" ht="48.75" customHeight="1" x14ac:dyDescent="0.25">
      <c r="A136" s="80"/>
      <c r="B136" s="10">
        <v>0.24999999959015901</v>
      </c>
      <c r="C136" s="11">
        <v>6144</v>
      </c>
      <c r="D136" s="11">
        <v>328159</v>
      </c>
      <c r="E136" s="11">
        <v>10660</v>
      </c>
      <c r="F136" s="11">
        <v>663347</v>
      </c>
      <c r="G136" s="11">
        <v>88334</v>
      </c>
      <c r="H136" s="11">
        <v>9530</v>
      </c>
      <c r="I136" s="11">
        <v>10</v>
      </c>
      <c r="J136" s="11">
        <v>3867</v>
      </c>
      <c r="K136" s="11">
        <v>5092</v>
      </c>
      <c r="L136" s="11">
        <v>22570</v>
      </c>
      <c r="M136" s="11">
        <v>14481</v>
      </c>
      <c r="N136" s="11">
        <v>8066648</v>
      </c>
      <c r="O136" s="11">
        <v>265041</v>
      </c>
      <c r="P136" s="7">
        <v>30974</v>
      </c>
      <c r="Q136" s="7">
        <v>7671</v>
      </c>
      <c r="R136" s="12">
        <v>48143</v>
      </c>
      <c r="S136" s="11">
        <v>27760900</v>
      </c>
      <c r="T136" s="11"/>
      <c r="U136" s="11">
        <v>124331</v>
      </c>
      <c r="V136" s="11">
        <v>241352</v>
      </c>
      <c r="W136" s="11">
        <v>275819</v>
      </c>
      <c r="X136" s="9">
        <v>61909</v>
      </c>
      <c r="Y136" s="9">
        <v>44379</v>
      </c>
      <c r="Z136" s="18">
        <v>6073</v>
      </c>
      <c r="AA136" s="18">
        <v>42963</v>
      </c>
      <c r="AB136" s="9">
        <v>88665</v>
      </c>
      <c r="AC136" s="9">
        <v>259174</v>
      </c>
      <c r="AD136" s="9"/>
      <c r="AE136" s="18">
        <v>7013</v>
      </c>
      <c r="AF136" s="18">
        <v>33681</v>
      </c>
      <c r="AG136" s="18">
        <v>150</v>
      </c>
      <c r="AH136" s="18"/>
      <c r="AI136" s="19">
        <v>1</v>
      </c>
      <c r="AJ136" s="18">
        <v>5944</v>
      </c>
      <c r="AK136" s="18">
        <v>2376</v>
      </c>
    </row>
    <row r="137" spans="1:37" ht="48.75" customHeight="1" thickBot="1" x14ac:dyDescent="0.3">
      <c r="A137" s="81"/>
      <c r="B137" s="13">
        <v>0.58333333292318901</v>
      </c>
      <c r="C137" s="14">
        <v>6161</v>
      </c>
      <c r="D137" s="14">
        <v>328353</v>
      </c>
      <c r="E137" s="14">
        <v>10662</v>
      </c>
      <c r="F137" s="14">
        <v>663347</v>
      </c>
      <c r="G137" s="14">
        <v>88334</v>
      </c>
      <c r="H137" s="14">
        <v>9530</v>
      </c>
      <c r="I137" s="14">
        <v>10</v>
      </c>
      <c r="J137" s="14">
        <v>3870</v>
      </c>
      <c r="K137" s="14">
        <v>5092</v>
      </c>
      <c r="L137" s="14">
        <v>22570</v>
      </c>
      <c r="M137" s="14">
        <v>14485</v>
      </c>
      <c r="N137" s="14">
        <v>8210654</v>
      </c>
      <c r="O137" s="14">
        <v>265150</v>
      </c>
      <c r="P137" s="14">
        <v>30974</v>
      </c>
      <c r="Q137" s="14">
        <v>7671</v>
      </c>
      <c r="R137" s="15">
        <v>48153</v>
      </c>
      <c r="S137" s="14">
        <v>27793606</v>
      </c>
      <c r="T137" s="14"/>
      <c r="U137" s="14">
        <v>124688</v>
      </c>
      <c r="V137" s="14">
        <v>241473</v>
      </c>
      <c r="W137" s="14">
        <v>275841</v>
      </c>
      <c r="X137" s="21">
        <v>62005</v>
      </c>
      <c r="Y137" s="21">
        <v>44451</v>
      </c>
      <c r="Z137" s="21">
        <v>6073</v>
      </c>
      <c r="AA137" s="21">
        <v>42963</v>
      </c>
      <c r="AB137" s="21">
        <v>88779</v>
      </c>
      <c r="AC137" s="21">
        <v>259236</v>
      </c>
      <c r="AD137" s="21"/>
      <c r="AE137" s="21"/>
      <c r="AF137" s="21"/>
      <c r="AG137" s="21"/>
      <c r="AH137" s="21"/>
      <c r="AI137" s="22"/>
      <c r="AJ137" s="21"/>
      <c r="AK137" s="21"/>
    </row>
    <row r="138" spans="1:37" ht="48.75" customHeight="1" x14ac:dyDescent="0.25">
      <c r="A138" s="79">
        <v>46068</v>
      </c>
      <c r="B138" s="6">
        <v>0.91666666625610604</v>
      </c>
      <c r="C138" s="7">
        <v>6172</v>
      </c>
      <c r="D138" s="7">
        <v>328547</v>
      </c>
      <c r="E138" s="7">
        <v>10664</v>
      </c>
      <c r="F138" s="7">
        <v>663347</v>
      </c>
      <c r="G138" s="7">
        <v>88334</v>
      </c>
      <c r="H138" s="7">
        <v>9530</v>
      </c>
      <c r="I138" s="7">
        <v>10</v>
      </c>
      <c r="J138" s="7">
        <v>3871</v>
      </c>
      <c r="K138" s="7">
        <v>5092</v>
      </c>
      <c r="L138" s="7">
        <v>22577</v>
      </c>
      <c r="M138" s="7">
        <v>14496</v>
      </c>
      <c r="N138" s="7">
        <v>8339906</v>
      </c>
      <c r="O138" s="7">
        <v>265248</v>
      </c>
      <c r="P138" s="7">
        <v>30974</v>
      </c>
      <c r="Q138" s="7">
        <v>7671</v>
      </c>
      <c r="R138" s="8">
        <v>48172</v>
      </c>
      <c r="S138" s="7">
        <v>27821036</v>
      </c>
      <c r="T138" s="7"/>
      <c r="U138" s="7">
        <v>124976</v>
      </c>
      <c r="V138" s="7">
        <v>241605</v>
      </c>
      <c r="W138" s="7">
        <v>275879</v>
      </c>
      <c r="X138" s="18">
        <v>62102</v>
      </c>
      <c r="Y138" s="18">
        <v>44526</v>
      </c>
      <c r="Z138" s="18">
        <v>6089</v>
      </c>
      <c r="AA138" s="18">
        <v>42982</v>
      </c>
      <c r="AB138" s="18">
        <v>88877</v>
      </c>
      <c r="AC138" s="18">
        <v>259333</v>
      </c>
      <c r="AD138" s="18"/>
      <c r="AE138" s="18">
        <v>7015</v>
      </c>
      <c r="AF138" s="18">
        <v>33681</v>
      </c>
      <c r="AG138" s="18">
        <v>150</v>
      </c>
      <c r="AH138" s="18"/>
      <c r="AI138" s="19">
        <v>1</v>
      </c>
      <c r="AJ138" s="18">
        <v>5951</v>
      </c>
      <c r="AK138" s="18">
        <v>2376</v>
      </c>
    </row>
    <row r="139" spans="1:37" ht="48.75" customHeight="1" x14ac:dyDescent="0.25">
      <c r="A139" s="80"/>
      <c r="B139" s="10">
        <v>0.24999999958913599</v>
      </c>
      <c r="C139" s="11">
        <v>6172</v>
      </c>
      <c r="D139" s="11">
        <v>328547</v>
      </c>
      <c r="E139" s="11">
        <v>10664</v>
      </c>
      <c r="F139" s="11">
        <v>663347</v>
      </c>
      <c r="G139" s="11">
        <v>88334</v>
      </c>
      <c r="H139" s="11">
        <v>9530</v>
      </c>
      <c r="I139" s="11">
        <v>10</v>
      </c>
      <c r="J139" s="11">
        <v>3871</v>
      </c>
      <c r="K139" s="11">
        <v>5092</v>
      </c>
      <c r="L139" s="11">
        <v>22577</v>
      </c>
      <c r="M139" s="11">
        <v>14496</v>
      </c>
      <c r="N139" s="11">
        <v>8339906</v>
      </c>
      <c r="O139" s="11">
        <v>265248</v>
      </c>
      <c r="P139" s="11">
        <v>30974</v>
      </c>
      <c r="Q139" s="11">
        <v>7671</v>
      </c>
      <c r="R139" s="12">
        <v>48172</v>
      </c>
      <c r="S139" s="11">
        <v>27821036</v>
      </c>
      <c r="T139" s="11"/>
      <c r="U139" s="11">
        <v>124976</v>
      </c>
      <c r="V139" s="11">
        <v>241605</v>
      </c>
      <c r="W139" s="11">
        <v>275879</v>
      </c>
      <c r="X139" s="9">
        <v>62102</v>
      </c>
      <c r="Y139" s="9">
        <v>44526</v>
      </c>
      <c r="Z139" s="9">
        <v>6089</v>
      </c>
      <c r="AA139" s="9">
        <v>42982</v>
      </c>
      <c r="AB139" s="9">
        <v>88877</v>
      </c>
      <c r="AC139" s="9">
        <v>259333</v>
      </c>
      <c r="AD139" s="9"/>
      <c r="AE139" s="9">
        <v>7015</v>
      </c>
      <c r="AF139" s="9">
        <v>33681</v>
      </c>
      <c r="AG139" s="9">
        <v>150</v>
      </c>
      <c r="AH139" s="9"/>
      <c r="AI139" s="20">
        <v>1</v>
      </c>
      <c r="AJ139" s="9">
        <v>5951</v>
      </c>
      <c r="AK139" s="9">
        <v>2376</v>
      </c>
    </row>
    <row r="140" spans="1:37" ht="48.75" customHeight="1" thickBot="1" x14ac:dyDescent="0.3">
      <c r="A140" s="81"/>
      <c r="B140" s="13">
        <v>0.58333333292216605</v>
      </c>
      <c r="C140" s="14">
        <v>6172</v>
      </c>
      <c r="D140" s="14">
        <v>328547</v>
      </c>
      <c r="E140" s="14">
        <v>10664</v>
      </c>
      <c r="F140" s="14">
        <v>663347</v>
      </c>
      <c r="G140" s="14">
        <v>88334</v>
      </c>
      <c r="H140" s="14">
        <v>9530</v>
      </c>
      <c r="I140" s="14">
        <v>10</v>
      </c>
      <c r="J140" s="14">
        <v>3871</v>
      </c>
      <c r="K140" s="14">
        <v>5092</v>
      </c>
      <c r="L140" s="14">
        <v>22577</v>
      </c>
      <c r="M140" s="14">
        <v>14496</v>
      </c>
      <c r="N140" s="14">
        <v>8339906</v>
      </c>
      <c r="O140" s="14">
        <v>265248</v>
      </c>
      <c r="P140" s="14">
        <v>30974</v>
      </c>
      <c r="Q140" s="14">
        <v>7671</v>
      </c>
      <c r="R140" s="15">
        <v>48172</v>
      </c>
      <c r="S140" s="14">
        <v>27821036</v>
      </c>
      <c r="T140" s="14"/>
      <c r="U140" s="14">
        <v>124976</v>
      </c>
      <c r="V140" s="14">
        <v>241605</v>
      </c>
      <c r="W140" s="14">
        <v>275879</v>
      </c>
      <c r="X140" s="21">
        <v>62102</v>
      </c>
      <c r="Y140" s="21">
        <v>44526</v>
      </c>
      <c r="Z140" s="21">
        <v>6089</v>
      </c>
      <c r="AA140" s="21">
        <v>42982</v>
      </c>
      <c r="AB140" s="21">
        <v>88877</v>
      </c>
      <c r="AC140" s="21">
        <v>259333</v>
      </c>
      <c r="AD140" s="21"/>
      <c r="AE140" s="21">
        <v>7015</v>
      </c>
      <c r="AF140" s="21">
        <v>33681</v>
      </c>
      <c r="AG140" s="21">
        <v>150</v>
      </c>
      <c r="AH140" s="21"/>
      <c r="AI140" s="22">
        <v>1</v>
      </c>
      <c r="AJ140" s="21">
        <v>5951</v>
      </c>
      <c r="AK140" s="21">
        <v>2376</v>
      </c>
    </row>
    <row r="141" spans="1:37" ht="48.75" customHeight="1" thickBot="1" x14ac:dyDescent="0.3">
      <c r="A141" s="79">
        <v>46069</v>
      </c>
      <c r="B141" s="6">
        <v>0.91666666625508197</v>
      </c>
      <c r="C141" s="7">
        <v>6172</v>
      </c>
      <c r="D141" s="7">
        <v>328547</v>
      </c>
      <c r="E141" s="7">
        <v>10664</v>
      </c>
      <c r="F141" s="7">
        <v>663347</v>
      </c>
      <c r="G141" s="7">
        <v>88334</v>
      </c>
      <c r="H141" s="7">
        <v>9530</v>
      </c>
      <c r="I141" s="7">
        <v>10</v>
      </c>
      <c r="J141" s="7">
        <v>3871</v>
      </c>
      <c r="K141" s="7">
        <v>5092</v>
      </c>
      <c r="L141" s="7">
        <v>22577</v>
      </c>
      <c r="M141" s="7">
        <v>14496</v>
      </c>
      <c r="N141" s="7">
        <v>8339906</v>
      </c>
      <c r="O141" s="7">
        <v>265248</v>
      </c>
      <c r="P141" s="7">
        <v>30974</v>
      </c>
      <c r="Q141" s="7">
        <v>7671</v>
      </c>
      <c r="R141" s="8">
        <v>48172</v>
      </c>
      <c r="S141" s="7">
        <v>27821036</v>
      </c>
      <c r="T141" s="7"/>
      <c r="U141" s="7">
        <v>124976</v>
      </c>
      <c r="V141" s="7">
        <v>241605</v>
      </c>
      <c r="W141" s="7">
        <v>275879</v>
      </c>
      <c r="X141" s="18">
        <v>62102</v>
      </c>
      <c r="Y141" s="18">
        <v>44526</v>
      </c>
      <c r="Z141" s="18">
        <v>6089</v>
      </c>
      <c r="AA141" s="18">
        <v>42982</v>
      </c>
      <c r="AB141" s="18">
        <v>88877</v>
      </c>
      <c r="AC141" s="18">
        <v>259333</v>
      </c>
      <c r="AD141" s="18"/>
      <c r="AE141" s="18">
        <v>7015</v>
      </c>
      <c r="AF141" s="18">
        <v>33681</v>
      </c>
      <c r="AG141" s="18">
        <v>150</v>
      </c>
      <c r="AH141" s="18"/>
      <c r="AI141" s="19">
        <v>1</v>
      </c>
      <c r="AJ141" s="18">
        <v>5951</v>
      </c>
      <c r="AK141" s="18">
        <v>2376</v>
      </c>
    </row>
    <row r="142" spans="1:37" ht="48.75" customHeight="1" thickBot="1" x14ac:dyDescent="0.3">
      <c r="A142" s="80"/>
      <c r="B142" s="10">
        <v>0.249999999588113</v>
      </c>
      <c r="C142" s="11">
        <v>6173</v>
      </c>
      <c r="D142" s="11">
        <v>328777</v>
      </c>
      <c r="E142" s="11">
        <v>10666</v>
      </c>
      <c r="F142" s="11">
        <v>663347</v>
      </c>
      <c r="G142" s="11">
        <v>88334</v>
      </c>
      <c r="H142" s="11">
        <v>9530</v>
      </c>
      <c r="I142" s="11">
        <v>10</v>
      </c>
      <c r="J142" s="11">
        <v>3872</v>
      </c>
      <c r="K142" s="11">
        <v>5092</v>
      </c>
      <c r="L142" s="11">
        <v>22585</v>
      </c>
      <c r="M142" s="11">
        <v>14501</v>
      </c>
      <c r="N142" s="11">
        <v>8489815</v>
      </c>
      <c r="O142" s="11">
        <v>265377</v>
      </c>
      <c r="P142" s="11">
        <v>30974</v>
      </c>
      <c r="Q142" s="11">
        <v>7671</v>
      </c>
      <c r="R142" s="12">
        <v>48186</v>
      </c>
      <c r="S142" s="11">
        <v>27821053</v>
      </c>
      <c r="T142" s="11"/>
      <c r="U142" s="11">
        <v>125197</v>
      </c>
      <c r="V142" s="11">
        <v>241761</v>
      </c>
      <c r="W142" s="11">
        <v>276019</v>
      </c>
      <c r="X142" s="9">
        <v>62203</v>
      </c>
      <c r="Y142" s="9">
        <v>44603</v>
      </c>
      <c r="Z142" s="9">
        <v>6089</v>
      </c>
      <c r="AA142" s="9">
        <v>42982</v>
      </c>
      <c r="AB142" s="9">
        <v>88933</v>
      </c>
      <c r="AC142" s="9">
        <v>259354</v>
      </c>
      <c r="AD142" s="9"/>
      <c r="AE142" s="18">
        <v>7015</v>
      </c>
      <c r="AF142" s="9">
        <v>33681</v>
      </c>
      <c r="AG142" s="9">
        <v>150</v>
      </c>
      <c r="AH142" s="9"/>
      <c r="AI142" s="20">
        <v>1</v>
      </c>
      <c r="AJ142" s="9"/>
      <c r="AK142" s="9">
        <v>2376</v>
      </c>
    </row>
    <row r="143" spans="1:37" ht="48.75" customHeight="1" thickBot="1" x14ac:dyDescent="0.3">
      <c r="A143" s="81"/>
      <c r="B143" s="13">
        <v>0.58333333292114298</v>
      </c>
      <c r="C143" s="14">
        <v>6176</v>
      </c>
      <c r="D143" s="14">
        <v>329064</v>
      </c>
      <c r="E143" s="14">
        <v>10668</v>
      </c>
      <c r="F143" s="14">
        <v>663347</v>
      </c>
      <c r="G143" s="14">
        <v>88334</v>
      </c>
      <c r="H143" s="14">
        <v>9530</v>
      </c>
      <c r="I143" s="14">
        <v>10</v>
      </c>
      <c r="J143" s="14">
        <v>3879</v>
      </c>
      <c r="K143" s="14">
        <v>5092</v>
      </c>
      <c r="L143" s="14">
        <v>22585</v>
      </c>
      <c r="M143" s="14">
        <v>14508</v>
      </c>
      <c r="N143" s="14">
        <v>8689231</v>
      </c>
      <c r="O143" s="14">
        <v>265554</v>
      </c>
      <c r="P143" s="14">
        <v>30974</v>
      </c>
      <c r="Q143" s="14">
        <v>767</v>
      </c>
      <c r="R143" s="15">
        <v>48211</v>
      </c>
      <c r="S143" s="14">
        <v>27711094</v>
      </c>
      <c r="T143" s="14"/>
      <c r="U143" s="14">
        <v>125781</v>
      </c>
      <c r="V143" s="14">
        <v>241906</v>
      </c>
      <c r="W143" s="14">
        <v>276158</v>
      </c>
      <c r="X143" s="21">
        <v>62314</v>
      </c>
      <c r="Y143" s="21">
        <v>44688</v>
      </c>
      <c r="Z143" s="21">
        <v>6089</v>
      </c>
      <c r="AA143" s="21">
        <v>42982</v>
      </c>
      <c r="AB143" s="21">
        <v>88940</v>
      </c>
      <c r="AC143" s="21">
        <v>259434</v>
      </c>
      <c r="AD143" s="21"/>
      <c r="AE143" s="18">
        <v>7015</v>
      </c>
      <c r="AF143" s="21">
        <v>33681</v>
      </c>
      <c r="AG143" s="21">
        <v>150</v>
      </c>
      <c r="AH143" s="21"/>
      <c r="AI143" s="22">
        <v>1</v>
      </c>
      <c r="AJ143" s="21"/>
      <c r="AK143" s="21"/>
    </row>
    <row r="144" spans="1:37" ht="48.75" customHeight="1" thickBot="1" x14ac:dyDescent="0.3">
      <c r="A144" s="79">
        <v>46070</v>
      </c>
      <c r="B144" s="6">
        <v>0.91666666625417303</v>
      </c>
      <c r="C144" s="7">
        <v>6180</v>
      </c>
      <c r="D144" s="7">
        <v>329353</v>
      </c>
      <c r="E144" s="7">
        <v>10671</v>
      </c>
      <c r="F144" s="7">
        <v>663347</v>
      </c>
      <c r="G144" s="7">
        <v>88334</v>
      </c>
      <c r="H144" s="7">
        <v>9530</v>
      </c>
      <c r="I144" s="7">
        <v>10</v>
      </c>
      <c r="J144" s="7">
        <v>3892</v>
      </c>
      <c r="K144" s="7">
        <v>5092</v>
      </c>
      <c r="L144" s="7">
        <v>22591</v>
      </c>
      <c r="M144" s="7">
        <v>14517</v>
      </c>
      <c r="N144" s="7">
        <v>9078849</v>
      </c>
      <c r="O144" s="7">
        <v>265872</v>
      </c>
      <c r="P144" s="7">
        <v>30974</v>
      </c>
      <c r="Q144" s="7">
        <v>7671</v>
      </c>
      <c r="R144" s="8">
        <v>48231</v>
      </c>
      <c r="S144" s="7">
        <v>27872941</v>
      </c>
      <c r="T144" s="7"/>
      <c r="U144" s="7">
        <v>125989</v>
      </c>
      <c r="V144" s="7">
        <v>242092</v>
      </c>
      <c r="W144" s="7">
        <v>276360</v>
      </c>
      <c r="X144" s="18">
        <v>62445</v>
      </c>
      <c r="Y144" s="18">
        <v>44786</v>
      </c>
      <c r="Z144" s="18">
        <v>6097</v>
      </c>
      <c r="AA144" s="18">
        <v>42983</v>
      </c>
      <c r="AB144" s="18">
        <v>88930</v>
      </c>
      <c r="AC144" s="18">
        <v>259535</v>
      </c>
      <c r="AD144" s="18"/>
      <c r="AE144" s="18">
        <v>7018</v>
      </c>
      <c r="AF144" s="18">
        <v>33687</v>
      </c>
      <c r="AG144" s="18">
        <v>150</v>
      </c>
      <c r="AH144" s="18"/>
      <c r="AI144" s="19">
        <v>1</v>
      </c>
      <c r="AJ144" s="18">
        <v>5963</v>
      </c>
      <c r="AK144" s="18">
        <v>2376</v>
      </c>
    </row>
    <row r="145" spans="1:37" ht="48.75" customHeight="1" thickBot="1" x14ac:dyDescent="0.3">
      <c r="A145" s="80"/>
      <c r="B145" s="10">
        <v>0.24999999958708899</v>
      </c>
      <c r="C145" s="11">
        <v>6180</v>
      </c>
      <c r="D145" s="11">
        <v>329585</v>
      </c>
      <c r="E145" s="11">
        <v>10673</v>
      </c>
      <c r="F145" s="11">
        <v>663347</v>
      </c>
      <c r="G145" s="11">
        <v>88334</v>
      </c>
      <c r="H145" s="11">
        <v>9530</v>
      </c>
      <c r="I145" s="11">
        <v>10</v>
      </c>
      <c r="J145" s="11">
        <v>3885</v>
      </c>
      <c r="K145" s="11">
        <v>5092</v>
      </c>
      <c r="L145" s="11">
        <v>22591</v>
      </c>
      <c r="M145" s="11">
        <v>14523</v>
      </c>
      <c r="N145" s="11">
        <v>9247191</v>
      </c>
      <c r="O145" s="11">
        <v>266001</v>
      </c>
      <c r="P145" s="11">
        <v>30974</v>
      </c>
      <c r="Q145" s="11">
        <v>7671</v>
      </c>
      <c r="R145" s="12">
        <v>48242</v>
      </c>
      <c r="S145" s="11">
        <v>27872966</v>
      </c>
      <c r="T145" s="11"/>
      <c r="U145" s="11">
        <v>126209</v>
      </c>
      <c r="V145" s="11">
        <v>242235</v>
      </c>
      <c r="W145" s="11">
        <v>276521</v>
      </c>
      <c r="X145" s="9">
        <v>62573</v>
      </c>
      <c r="Y145" s="9">
        <v>44886</v>
      </c>
      <c r="Z145" s="9">
        <v>6097</v>
      </c>
      <c r="AA145" s="9">
        <v>42983</v>
      </c>
      <c r="AB145" s="9">
        <v>88938</v>
      </c>
      <c r="AC145" s="9">
        <v>259625</v>
      </c>
      <c r="AD145" s="9"/>
      <c r="AE145" s="18">
        <v>7018</v>
      </c>
      <c r="AF145" s="18">
        <v>33687</v>
      </c>
      <c r="AG145" s="18">
        <v>150</v>
      </c>
      <c r="AH145" s="18"/>
      <c r="AI145" s="19">
        <v>1</v>
      </c>
      <c r="AJ145" s="18">
        <v>5963</v>
      </c>
      <c r="AK145" s="18">
        <v>2376</v>
      </c>
    </row>
    <row r="146" spans="1:37" ht="48.75" customHeight="1" thickBot="1" x14ac:dyDescent="0.3">
      <c r="A146" s="81"/>
      <c r="B146" s="13">
        <v>0.58333333292012002</v>
      </c>
      <c r="C146" s="14">
        <v>6194</v>
      </c>
      <c r="D146" s="14">
        <v>329896</v>
      </c>
      <c r="E146" s="14">
        <v>10677</v>
      </c>
      <c r="F146" s="14">
        <v>66334</v>
      </c>
      <c r="G146" s="14">
        <v>88334</v>
      </c>
      <c r="H146" s="14">
        <v>9530</v>
      </c>
      <c r="I146" s="14">
        <v>10</v>
      </c>
      <c r="J146" s="14">
        <v>3887</v>
      </c>
      <c r="K146" s="14">
        <v>5093</v>
      </c>
      <c r="L146" s="14">
        <v>22594</v>
      </c>
      <c r="M146" s="14">
        <v>14529</v>
      </c>
      <c r="N146" s="14">
        <v>9464226</v>
      </c>
      <c r="O146" s="14">
        <v>266170</v>
      </c>
      <c r="P146" s="14">
        <v>30974</v>
      </c>
      <c r="Q146" s="14">
        <v>7671</v>
      </c>
      <c r="R146" s="15">
        <v>48272</v>
      </c>
      <c r="S146" s="14">
        <v>27909612</v>
      </c>
      <c r="T146" s="14"/>
      <c r="U146" s="14">
        <v>126621</v>
      </c>
      <c r="V146" s="14">
        <v>242402</v>
      </c>
      <c r="W146" s="14">
        <v>276672</v>
      </c>
      <c r="X146" s="21">
        <v>62724</v>
      </c>
      <c r="Y146" s="21">
        <v>44998</v>
      </c>
      <c r="Z146" s="21">
        <v>6097</v>
      </c>
      <c r="AA146" s="21">
        <v>42983</v>
      </c>
      <c r="AB146" s="21">
        <v>89010</v>
      </c>
      <c r="AC146" s="21">
        <v>259720</v>
      </c>
      <c r="AD146" s="21"/>
      <c r="AE146" s="18">
        <v>7018</v>
      </c>
      <c r="AF146" s="18">
        <v>33687</v>
      </c>
      <c r="AG146" s="18">
        <v>150</v>
      </c>
      <c r="AH146" s="18"/>
      <c r="AI146" s="19">
        <v>1</v>
      </c>
      <c r="AJ146" s="18">
        <v>5963</v>
      </c>
      <c r="AK146" s="18">
        <v>2376</v>
      </c>
    </row>
    <row r="147" spans="1:37" ht="48.75" customHeight="1" thickBot="1" x14ac:dyDescent="0.3">
      <c r="A147" s="79">
        <v>46071</v>
      </c>
      <c r="B147" s="6">
        <v>0.91666666625314996</v>
      </c>
      <c r="C147" s="7">
        <v>6201</v>
      </c>
      <c r="D147" s="7">
        <v>330252</v>
      </c>
      <c r="E147" s="7">
        <v>10683</v>
      </c>
      <c r="F147" s="7">
        <v>66334</v>
      </c>
      <c r="G147" s="7">
        <v>88334</v>
      </c>
      <c r="H147" s="7">
        <v>9530</v>
      </c>
      <c r="I147" s="7">
        <v>10</v>
      </c>
      <c r="J147" s="7">
        <v>3892</v>
      </c>
      <c r="K147" s="7">
        <v>5092</v>
      </c>
      <c r="L147" s="7">
        <v>22602</v>
      </c>
      <c r="M147" s="7">
        <v>14532</v>
      </c>
      <c r="N147" s="7">
        <v>9837624</v>
      </c>
      <c r="O147" s="7">
        <v>266460</v>
      </c>
      <c r="P147" s="7">
        <v>30974</v>
      </c>
      <c r="Q147" s="7">
        <v>7671</v>
      </c>
      <c r="R147" s="8">
        <v>48282</v>
      </c>
      <c r="S147" s="7">
        <v>27960215</v>
      </c>
      <c r="T147" s="7"/>
      <c r="U147" s="7">
        <v>127120</v>
      </c>
      <c r="V147" s="7">
        <v>242620</v>
      </c>
      <c r="W147" s="7">
        <v>276774</v>
      </c>
      <c r="X147" s="18">
        <v>62780</v>
      </c>
      <c r="Y147" s="18">
        <v>45040</v>
      </c>
      <c r="Z147" s="18">
        <v>6105</v>
      </c>
      <c r="AA147" s="18">
        <v>42983</v>
      </c>
      <c r="AB147" s="18">
        <v>89035</v>
      </c>
      <c r="AC147" s="18">
        <v>259840</v>
      </c>
      <c r="AD147" s="18"/>
      <c r="AE147" s="18">
        <v>7021</v>
      </c>
      <c r="AF147" s="18">
        <v>33687</v>
      </c>
      <c r="AG147" s="18">
        <v>150</v>
      </c>
      <c r="AH147" s="18"/>
      <c r="AI147" s="19">
        <v>1</v>
      </c>
      <c r="AJ147" s="18">
        <v>5972</v>
      </c>
      <c r="AK147" s="18">
        <v>2376</v>
      </c>
    </row>
    <row r="148" spans="1:37" ht="48.75" customHeight="1" thickBot="1" x14ac:dyDescent="0.3">
      <c r="A148" s="80"/>
      <c r="B148" s="10">
        <v>0.24999999958617999</v>
      </c>
      <c r="C148" s="11">
        <v>6205</v>
      </c>
      <c r="D148" s="11">
        <v>330487</v>
      </c>
      <c r="E148" s="11">
        <v>10686</v>
      </c>
      <c r="F148" s="11">
        <v>66334</v>
      </c>
      <c r="G148" s="11">
        <v>88334</v>
      </c>
      <c r="H148" s="11">
        <v>9530</v>
      </c>
      <c r="I148" s="11">
        <v>10</v>
      </c>
      <c r="J148" s="11">
        <v>3892</v>
      </c>
      <c r="K148" s="11">
        <v>5093</v>
      </c>
      <c r="L148" s="11">
        <v>22609</v>
      </c>
      <c r="M148" s="11">
        <v>14537</v>
      </c>
      <c r="N148" s="11">
        <v>114489</v>
      </c>
      <c r="O148" s="11">
        <v>266658</v>
      </c>
      <c r="P148" s="11">
        <v>30974</v>
      </c>
      <c r="Q148" s="11">
        <v>7671</v>
      </c>
      <c r="R148" s="12">
        <v>48291</v>
      </c>
      <c r="S148" s="11">
        <v>27960822</v>
      </c>
      <c r="T148" s="11"/>
      <c r="U148" s="11">
        <v>127295</v>
      </c>
      <c r="V148" s="11">
        <v>242844</v>
      </c>
      <c r="W148" s="11">
        <v>276868</v>
      </c>
      <c r="X148" s="9">
        <v>62780</v>
      </c>
      <c r="Y148" s="9">
        <v>45040</v>
      </c>
      <c r="Z148" s="9">
        <v>6105</v>
      </c>
      <c r="AA148" s="9">
        <v>42983</v>
      </c>
      <c r="AB148" s="9">
        <v>99066</v>
      </c>
      <c r="AC148" s="9">
        <v>259925</v>
      </c>
      <c r="AD148" s="9"/>
      <c r="AE148" s="18">
        <v>7021</v>
      </c>
      <c r="AF148" s="18">
        <v>33687</v>
      </c>
      <c r="AG148" s="18">
        <v>150</v>
      </c>
      <c r="AH148" s="18"/>
      <c r="AI148" s="19">
        <v>1</v>
      </c>
      <c r="AJ148" s="18">
        <v>5972</v>
      </c>
      <c r="AK148" s="18">
        <v>2376</v>
      </c>
    </row>
    <row r="149" spans="1:37" ht="48.75" customHeight="1" thickBot="1" x14ac:dyDescent="0.3">
      <c r="A149" s="81"/>
      <c r="B149" s="13">
        <v>0.58333333291909595</v>
      </c>
      <c r="C149" s="14">
        <v>6220</v>
      </c>
      <c r="D149" s="14">
        <v>330772</v>
      </c>
      <c r="E149" s="14">
        <v>10689</v>
      </c>
      <c r="F149" s="14">
        <v>66334</v>
      </c>
      <c r="G149" s="14">
        <v>88334</v>
      </c>
      <c r="H149" s="14">
        <v>9530</v>
      </c>
      <c r="I149" s="14">
        <v>10</v>
      </c>
      <c r="J149" s="14">
        <v>3896</v>
      </c>
      <c r="K149" s="14">
        <v>5093</v>
      </c>
      <c r="L149" s="14">
        <v>22615</v>
      </c>
      <c r="M149" s="14">
        <v>14538</v>
      </c>
      <c r="N149" s="14">
        <v>378834</v>
      </c>
      <c r="O149" s="14">
        <v>266892</v>
      </c>
      <c r="P149" s="14">
        <v>30974</v>
      </c>
      <c r="Q149" s="14">
        <v>7671</v>
      </c>
      <c r="R149" s="15">
        <v>48316</v>
      </c>
      <c r="S149" s="14">
        <v>28006656</v>
      </c>
      <c r="T149" s="14"/>
      <c r="U149" s="14">
        <v>127692</v>
      </c>
      <c r="V149" s="14">
        <v>243041</v>
      </c>
      <c r="W149" s="14">
        <v>276935</v>
      </c>
      <c r="X149" s="21">
        <v>62780</v>
      </c>
      <c r="Y149" s="21">
        <v>45040</v>
      </c>
      <c r="Z149" s="21">
        <v>6105</v>
      </c>
      <c r="AA149" s="21">
        <v>42983</v>
      </c>
      <c r="AB149" s="21">
        <v>88108</v>
      </c>
      <c r="AC149" s="21">
        <v>260015</v>
      </c>
      <c r="AD149" s="21"/>
      <c r="AE149" s="18">
        <v>7021</v>
      </c>
      <c r="AF149" s="18">
        <v>33687</v>
      </c>
      <c r="AG149" s="18">
        <v>150</v>
      </c>
      <c r="AH149" s="18"/>
      <c r="AI149" s="19">
        <v>1</v>
      </c>
      <c r="AJ149" s="18">
        <v>5972</v>
      </c>
      <c r="AK149" s="18">
        <v>2376</v>
      </c>
    </row>
    <row r="150" spans="1:37" ht="48.75" customHeight="1" thickBot="1" x14ac:dyDescent="0.3">
      <c r="A150" s="79">
        <v>46072</v>
      </c>
      <c r="B150" s="6">
        <v>0.916666666252127</v>
      </c>
      <c r="C150" s="7">
        <v>6246</v>
      </c>
      <c r="D150" s="7">
        <v>331105</v>
      </c>
      <c r="E150" s="7">
        <v>10694</v>
      </c>
      <c r="F150" s="7">
        <v>66334</v>
      </c>
      <c r="G150" s="7">
        <v>88334</v>
      </c>
      <c r="H150" s="7">
        <v>9530</v>
      </c>
      <c r="I150" s="7">
        <v>10</v>
      </c>
      <c r="J150" s="7">
        <v>3899</v>
      </c>
      <c r="K150" s="7">
        <v>5093</v>
      </c>
      <c r="L150" s="7">
        <v>22622</v>
      </c>
      <c r="M150" s="7">
        <v>14543</v>
      </c>
      <c r="N150" s="7">
        <v>648238</v>
      </c>
      <c r="O150" s="7">
        <v>267133</v>
      </c>
      <c r="P150" s="7">
        <v>30974</v>
      </c>
      <c r="Q150" s="7">
        <v>7671</v>
      </c>
      <c r="R150" s="8">
        <v>48334</v>
      </c>
      <c r="S150" s="7">
        <v>28064929</v>
      </c>
      <c r="T150" s="7"/>
      <c r="U150" s="7">
        <v>128170</v>
      </c>
      <c r="V150" s="7">
        <v>243313</v>
      </c>
      <c r="W150" s="7">
        <v>276974</v>
      </c>
      <c r="X150" s="18">
        <v>62780</v>
      </c>
      <c r="Y150" s="18">
        <v>45040</v>
      </c>
      <c r="Z150" s="18">
        <v>6113</v>
      </c>
      <c r="AA150" s="18">
        <v>43069</v>
      </c>
      <c r="AB150" s="18">
        <v>89247</v>
      </c>
      <c r="AC150" s="18">
        <v>260128</v>
      </c>
      <c r="AD150" s="18"/>
      <c r="AE150" s="18">
        <v>7025</v>
      </c>
      <c r="AF150" s="18">
        <v>33687</v>
      </c>
      <c r="AG150" s="18">
        <v>150</v>
      </c>
      <c r="AH150" s="18"/>
      <c r="AI150" s="19">
        <v>1</v>
      </c>
      <c r="AJ150" s="18">
        <v>5997</v>
      </c>
      <c r="AK150" s="18">
        <v>2376</v>
      </c>
    </row>
    <row r="151" spans="1:37" ht="48.75" customHeight="1" thickBot="1" x14ac:dyDescent="0.3">
      <c r="A151" s="80"/>
      <c r="B151" s="10">
        <v>0.24999999958515701</v>
      </c>
      <c r="C151" s="11">
        <v>6261</v>
      </c>
      <c r="D151" s="11">
        <v>331398</v>
      </c>
      <c r="E151" s="11">
        <v>10697</v>
      </c>
      <c r="F151" s="11">
        <v>66334</v>
      </c>
      <c r="G151" s="11">
        <v>88334</v>
      </c>
      <c r="H151" s="11">
        <v>9530</v>
      </c>
      <c r="I151" s="11">
        <v>10</v>
      </c>
      <c r="J151" s="11">
        <v>3900</v>
      </c>
      <c r="K151" s="11">
        <v>5093</v>
      </c>
      <c r="L151" s="11">
        <v>22629</v>
      </c>
      <c r="M151" s="11">
        <v>14545</v>
      </c>
      <c r="N151" s="11">
        <v>902669</v>
      </c>
      <c r="O151" s="11">
        <v>267329</v>
      </c>
      <c r="P151" s="11">
        <v>30974</v>
      </c>
      <c r="Q151" s="11">
        <v>7671</v>
      </c>
      <c r="R151" s="12">
        <v>48339</v>
      </c>
      <c r="S151" s="11">
        <v>28065347</v>
      </c>
      <c r="T151" s="11"/>
      <c r="U151" s="11">
        <v>128448</v>
      </c>
      <c r="V151" s="11">
        <v>243454</v>
      </c>
      <c r="W151" s="11">
        <v>277099</v>
      </c>
      <c r="X151" s="18">
        <v>62780</v>
      </c>
      <c r="Y151" s="18">
        <v>45040</v>
      </c>
      <c r="Z151" s="9">
        <v>6113</v>
      </c>
      <c r="AA151" s="9">
        <v>43069</v>
      </c>
      <c r="AB151" s="9">
        <v>89439</v>
      </c>
      <c r="AC151" s="9">
        <v>260210</v>
      </c>
      <c r="AD151" s="9"/>
      <c r="AE151" s="9"/>
      <c r="AF151" s="9">
        <v>33687</v>
      </c>
      <c r="AG151" s="9">
        <v>150</v>
      </c>
      <c r="AH151" s="9"/>
      <c r="AI151" s="20">
        <v>1</v>
      </c>
      <c r="AJ151" s="9"/>
      <c r="AK151" s="9">
        <v>2376</v>
      </c>
    </row>
    <row r="152" spans="1:37" ht="48.75" customHeight="1" thickBot="1" x14ac:dyDescent="0.3">
      <c r="A152" s="81"/>
      <c r="B152" s="13">
        <v>0.58333333291818701</v>
      </c>
      <c r="C152" s="14">
        <v>6269</v>
      </c>
      <c r="D152" s="14">
        <v>331665</v>
      </c>
      <c r="E152" s="14">
        <v>10701</v>
      </c>
      <c r="F152" s="14">
        <v>66334</v>
      </c>
      <c r="G152" s="14">
        <v>88334</v>
      </c>
      <c r="H152" s="14">
        <v>9530</v>
      </c>
      <c r="I152" s="14">
        <v>10</v>
      </c>
      <c r="J152" s="14">
        <v>3903</v>
      </c>
      <c r="K152" s="14">
        <v>5094</v>
      </c>
      <c r="L152" s="14">
        <v>22635</v>
      </c>
      <c r="M152" s="14">
        <v>14551</v>
      </c>
      <c r="N152" s="14">
        <v>1096841</v>
      </c>
      <c r="O152" s="14">
        <v>267479</v>
      </c>
      <c r="P152" s="14">
        <v>30974</v>
      </c>
      <c r="Q152" s="14">
        <v>7671</v>
      </c>
      <c r="R152" s="15">
        <v>48356</v>
      </c>
      <c r="S152" s="14">
        <v>28093035</v>
      </c>
      <c r="T152" s="14"/>
      <c r="U152" s="14">
        <v>128736</v>
      </c>
      <c r="V152" s="14">
        <v>243603</v>
      </c>
      <c r="W152" s="14">
        <v>277213</v>
      </c>
      <c r="X152" s="18">
        <v>62780</v>
      </c>
      <c r="Y152" s="18">
        <v>45040</v>
      </c>
      <c r="Z152" s="21">
        <v>6113</v>
      </c>
      <c r="AA152" s="21">
        <v>43069</v>
      </c>
      <c r="AB152" s="21">
        <v>89523</v>
      </c>
      <c r="AC152" s="21">
        <v>260301</v>
      </c>
      <c r="AD152" s="21"/>
      <c r="AE152" s="21"/>
      <c r="AF152" s="21"/>
      <c r="AG152" s="21"/>
      <c r="AH152" s="21"/>
      <c r="AI152" s="22"/>
      <c r="AJ152" s="21"/>
      <c r="AK152" s="21"/>
    </row>
    <row r="153" spans="1:37" ht="48.75" customHeight="1" x14ac:dyDescent="0.25">
      <c r="A153" s="79">
        <v>46073</v>
      </c>
      <c r="B153" s="6">
        <v>0.91666666625110305</v>
      </c>
      <c r="C153" s="7">
        <v>6305</v>
      </c>
      <c r="D153" s="7">
        <v>332002</v>
      </c>
      <c r="E153" s="7">
        <v>10705</v>
      </c>
      <c r="F153" s="7">
        <v>66334</v>
      </c>
      <c r="G153" s="7">
        <v>88334</v>
      </c>
      <c r="H153" s="7">
        <v>9530</v>
      </c>
      <c r="I153" s="7">
        <v>10</v>
      </c>
      <c r="J153" s="7">
        <v>3905</v>
      </c>
      <c r="K153" s="7">
        <v>5094</v>
      </c>
      <c r="L153" s="7">
        <v>22643</v>
      </c>
      <c r="M153" s="7">
        <v>14559</v>
      </c>
      <c r="N153" s="7">
        <v>1253181</v>
      </c>
      <c r="O153" s="7">
        <v>267596</v>
      </c>
      <c r="P153" s="7">
        <v>30974</v>
      </c>
      <c r="Q153" s="7">
        <v>7671</v>
      </c>
      <c r="R153" s="8">
        <v>48371</v>
      </c>
      <c r="S153" s="7">
        <v>28146984</v>
      </c>
      <c r="T153" s="7"/>
      <c r="U153" s="7">
        <v>129180</v>
      </c>
      <c r="V153" s="7">
        <v>243717</v>
      </c>
      <c r="W153" s="7">
        <v>277302</v>
      </c>
      <c r="X153" s="18">
        <v>62826</v>
      </c>
      <c r="Y153" s="18">
        <v>45078</v>
      </c>
      <c r="Z153" s="18">
        <v>6132</v>
      </c>
      <c r="AA153" s="18">
        <v>43155</v>
      </c>
      <c r="AB153" s="18">
        <v>89777</v>
      </c>
      <c r="AC153" s="18">
        <v>260425</v>
      </c>
      <c r="AD153" s="18"/>
      <c r="AE153" s="18">
        <v>7030</v>
      </c>
      <c r="AF153" s="18">
        <v>33687</v>
      </c>
      <c r="AG153" s="18">
        <v>150</v>
      </c>
      <c r="AH153" s="18"/>
      <c r="AI153" s="19">
        <v>1</v>
      </c>
      <c r="AJ153" s="18">
        <v>6019</v>
      </c>
      <c r="AK153" s="18">
        <v>2376</v>
      </c>
    </row>
    <row r="154" spans="1:37" ht="48.75" customHeight="1" x14ac:dyDescent="0.25">
      <c r="A154" s="80"/>
      <c r="B154" s="10">
        <v>0.24999999958413399</v>
      </c>
      <c r="C154" s="11">
        <v>6316</v>
      </c>
      <c r="D154" s="11">
        <v>332272</v>
      </c>
      <c r="E154" s="11">
        <v>10707</v>
      </c>
      <c r="F154" s="11">
        <v>66334</v>
      </c>
      <c r="G154" s="11">
        <v>88334</v>
      </c>
      <c r="H154" s="11">
        <v>9530</v>
      </c>
      <c r="I154" s="11">
        <v>10</v>
      </c>
      <c r="J154" s="11">
        <v>3905</v>
      </c>
      <c r="K154" s="11">
        <v>5094</v>
      </c>
      <c r="L154" s="11">
        <v>22649</v>
      </c>
      <c r="M154" s="11">
        <v>14560</v>
      </c>
      <c r="N154" s="11">
        <v>1253181</v>
      </c>
      <c r="O154" s="11">
        <v>267596</v>
      </c>
      <c r="P154" s="11">
        <v>30974</v>
      </c>
      <c r="Q154" s="11">
        <v>7671</v>
      </c>
      <c r="R154" s="12">
        <v>48378</v>
      </c>
      <c r="S154" s="11">
        <v>28147052</v>
      </c>
      <c r="T154" s="11"/>
      <c r="U154" s="11">
        <v>129483</v>
      </c>
      <c r="V154" s="11">
        <v>243765</v>
      </c>
      <c r="W154" s="11">
        <v>277341</v>
      </c>
      <c r="X154" s="9">
        <v>62958</v>
      </c>
      <c r="Y154" s="9">
        <v>45179</v>
      </c>
      <c r="Z154" s="9"/>
      <c r="AA154" s="9"/>
      <c r="AB154" s="9">
        <v>89952</v>
      </c>
      <c r="AC154" s="9">
        <v>260505</v>
      </c>
      <c r="AD154" s="9"/>
      <c r="AE154" s="9"/>
      <c r="AF154" s="9"/>
      <c r="AG154" s="9"/>
      <c r="AH154" s="9"/>
      <c r="AI154" s="20"/>
      <c r="AJ154" s="9"/>
      <c r="AK154" s="9"/>
    </row>
    <row r="155" spans="1:37" ht="48.75" customHeight="1" thickBot="1" x14ac:dyDescent="0.3">
      <c r="A155" s="81"/>
      <c r="B155" s="13">
        <v>0.58333333291716405</v>
      </c>
      <c r="C155" s="14">
        <v>6340</v>
      </c>
      <c r="D155" s="14">
        <v>332632</v>
      </c>
      <c r="E155" s="14">
        <v>10713</v>
      </c>
      <c r="F155" s="14">
        <v>66334</v>
      </c>
      <c r="G155" s="14">
        <v>88334</v>
      </c>
      <c r="H155" s="14">
        <v>9530</v>
      </c>
      <c r="I155" s="14">
        <v>10</v>
      </c>
      <c r="J155" s="14">
        <v>3907</v>
      </c>
      <c r="K155" s="14">
        <v>5095</v>
      </c>
      <c r="L155" s="14">
        <v>22656</v>
      </c>
      <c r="M155" s="14">
        <v>14565</v>
      </c>
      <c r="N155" s="14">
        <v>1253181</v>
      </c>
      <c r="O155" s="14">
        <v>267596</v>
      </c>
      <c r="P155" s="14">
        <v>30974</v>
      </c>
      <c r="Q155" s="14">
        <v>7671</v>
      </c>
      <c r="R155" s="15">
        <v>48394</v>
      </c>
      <c r="S155" s="14">
        <v>28191575</v>
      </c>
      <c r="T155" s="14"/>
      <c r="U155" s="14">
        <v>129926</v>
      </c>
      <c r="V155" s="14">
        <v>243890</v>
      </c>
      <c r="W155" s="14">
        <v>277452</v>
      </c>
      <c r="X155" s="21">
        <v>63077</v>
      </c>
      <c r="Y155" s="21">
        <v>45274</v>
      </c>
      <c r="Z155" s="21"/>
      <c r="AA155" s="21"/>
      <c r="AB155" s="21">
        <v>90173</v>
      </c>
      <c r="AC155" s="21">
        <v>260601</v>
      </c>
      <c r="AD155" s="21"/>
      <c r="AE155" s="21"/>
      <c r="AF155" s="21"/>
      <c r="AG155" s="21"/>
      <c r="AH155" s="21"/>
      <c r="AI155" s="22"/>
      <c r="AJ155" s="21"/>
      <c r="AK155" s="21"/>
    </row>
    <row r="156" spans="1:37" ht="48.75" customHeight="1" thickBot="1" x14ac:dyDescent="0.3">
      <c r="A156" s="79">
        <v>46074</v>
      </c>
      <c r="B156" s="6">
        <v>0.91666666625007998</v>
      </c>
      <c r="C156" s="7">
        <v>6373</v>
      </c>
      <c r="D156" s="7">
        <v>332952</v>
      </c>
      <c r="E156" s="7">
        <v>10717</v>
      </c>
      <c r="F156" s="14">
        <v>66334</v>
      </c>
      <c r="G156" s="14">
        <v>88334</v>
      </c>
      <c r="H156" s="14">
        <v>9530</v>
      </c>
      <c r="I156" s="14">
        <v>10</v>
      </c>
      <c r="J156" s="7">
        <v>3913</v>
      </c>
      <c r="K156" s="7">
        <v>5095</v>
      </c>
      <c r="L156" s="7">
        <v>22663</v>
      </c>
      <c r="M156" s="7">
        <v>14569</v>
      </c>
      <c r="N156" s="7">
        <v>1253181</v>
      </c>
      <c r="O156" s="7">
        <v>267596</v>
      </c>
      <c r="P156" s="7">
        <v>30974</v>
      </c>
      <c r="Q156" s="7">
        <v>7671</v>
      </c>
      <c r="R156" s="8">
        <v>48412</v>
      </c>
      <c r="S156" s="7">
        <v>28224092</v>
      </c>
      <c r="T156" s="7"/>
      <c r="U156" s="7">
        <v>130393</v>
      </c>
      <c r="V156" s="7">
        <v>243993</v>
      </c>
      <c r="W156" s="7">
        <v>277493</v>
      </c>
      <c r="X156" s="18">
        <v>63182</v>
      </c>
      <c r="Y156" s="18">
        <v>45356</v>
      </c>
      <c r="Z156" s="18">
        <v>6150</v>
      </c>
      <c r="AA156" s="18">
        <v>43242</v>
      </c>
      <c r="AB156" s="18">
        <v>90395</v>
      </c>
      <c r="AC156" s="18">
        <v>260715</v>
      </c>
      <c r="AD156" s="18"/>
      <c r="AE156" s="18">
        <v>7038</v>
      </c>
      <c r="AF156" s="18">
        <v>33687</v>
      </c>
      <c r="AG156" s="18">
        <v>150</v>
      </c>
      <c r="AH156" s="18"/>
      <c r="AI156" s="19">
        <v>1</v>
      </c>
      <c r="AJ156" s="18">
        <v>6041</v>
      </c>
      <c r="AK156" s="18">
        <v>2376</v>
      </c>
    </row>
    <row r="157" spans="1:37" ht="48.75" customHeight="1" x14ac:dyDescent="0.25">
      <c r="A157" s="80"/>
      <c r="B157" s="10">
        <v>0.24999999958311001</v>
      </c>
      <c r="C157" s="11">
        <v>6397</v>
      </c>
      <c r="D157" s="11">
        <v>333260</v>
      </c>
      <c r="E157" s="11">
        <v>10720</v>
      </c>
      <c r="F157" s="11">
        <v>66334</v>
      </c>
      <c r="G157" s="11">
        <v>88334</v>
      </c>
      <c r="H157" s="11">
        <v>9530</v>
      </c>
      <c r="I157" s="11">
        <v>10</v>
      </c>
      <c r="J157" s="11">
        <v>3915</v>
      </c>
      <c r="K157" s="11">
        <v>5095</v>
      </c>
      <c r="L157" s="11">
        <v>22670</v>
      </c>
      <c r="M157" s="11">
        <v>14574</v>
      </c>
      <c r="N157" s="11">
        <v>1253181</v>
      </c>
      <c r="O157" s="11">
        <v>267596</v>
      </c>
      <c r="P157" s="11">
        <v>30974</v>
      </c>
      <c r="Q157" s="11">
        <v>7671</v>
      </c>
      <c r="R157" s="12">
        <v>48437</v>
      </c>
      <c r="S157" s="11">
        <v>28224972</v>
      </c>
      <c r="T157" s="11"/>
      <c r="U157" s="11">
        <v>130727</v>
      </c>
      <c r="V157" s="11">
        <v>243956</v>
      </c>
      <c r="W157" s="11">
        <v>277520</v>
      </c>
      <c r="X157" s="9">
        <v>63257</v>
      </c>
      <c r="Y157" s="9">
        <v>45411</v>
      </c>
      <c r="Z157" s="9"/>
      <c r="AA157" s="9"/>
      <c r="AB157" s="9">
        <v>90621</v>
      </c>
      <c r="AC157" s="9">
        <v>260815</v>
      </c>
      <c r="AD157" s="9"/>
      <c r="AE157" s="9"/>
      <c r="AF157" s="9"/>
      <c r="AG157" s="9">
        <v>150</v>
      </c>
      <c r="AH157" s="9"/>
      <c r="AI157" s="20">
        <v>1</v>
      </c>
      <c r="AJ157" s="9"/>
      <c r="AK157" s="9"/>
    </row>
    <row r="158" spans="1:37" ht="48.75" customHeight="1" thickBot="1" x14ac:dyDescent="0.3">
      <c r="A158" s="81"/>
      <c r="B158" s="13">
        <v>0.58333333291614098</v>
      </c>
      <c r="C158" s="14">
        <v>6442</v>
      </c>
      <c r="D158" s="14">
        <v>333660</v>
      </c>
      <c r="E158" s="14">
        <v>10724</v>
      </c>
      <c r="F158" s="14">
        <v>66334</v>
      </c>
      <c r="G158" s="14">
        <v>88334</v>
      </c>
      <c r="H158" s="14">
        <v>9530</v>
      </c>
      <c r="I158" s="14">
        <v>10</v>
      </c>
      <c r="J158" s="14">
        <v>3919</v>
      </c>
      <c r="K158" s="14">
        <v>5095</v>
      </c>
      <c r="L158" s="14">
        <v>22687</v>
      </c>
      <c r="M158" s="14">
        <v>14604</v>
      </c>
      <c r="N158" s="14">
        <v>1253181</v>
      </c>
      <c r="O158" s="14">
        <v>267596</v>
      </c>
      <c r="P158" s="14">
        <v>30974</v>
      </c>
      <c r="Q158" s="14">
        <v>7671</v>
      </c>
      <c r="R158" s="15">
        <v>48518</v>
      </c>
      <c r="S158" s="14">
        <v>28277737</v>
      </c>
      <c r="T158" s="14"/>
      <c r="U158" s="14">
        <f>+U157+333</f>
        <v>131060</v>
      </c>
      <c r="V158" s="14">
        <v>244065</v>
      </c>
      <c r="W158" s="14">
        <v>277641</v>
      </c>
      <c r="X158" s="21">
        <v>63312</v>
      </c>
      <c r="Y158" s="21">
        <v>45449</v>
      </c>
      <c r="Z158" s="21">
        <v>6150</v>
      </c>
      <c r="AA158" s="21">
        <v>43330</v>
      </c>
      <c r="AB158" s="21">
        <v>91609</v>
      </c>
      <c r="AC158" s="21">
        <v>260988</v>
      </c>
      <c r="AD158" s="21"/>
      <c r="AE158" s="21">
        <v>7063</v>
      </c>
      <c r="AF158" s="21">
        <v>33687</v>
      </c>
      <c r="AG158" s="21">
        <v>150</v>
      </c>
      <c r="AH158" s="21"/>
      <c r="AI158" s="22">
        <v>1</v>
      </c>
      <c r="AJ158" s="21">
        <v>6041</v>
      </c>
      <c r="AK158" s="21">
        <v>2376</v>
      </c>
    </row>
    <row r="159" spans="1:37" ht="48.75" customHeight="1" x14ac:dyDescent="0.25">
      <c r="A159" s="79">
        <v>46075</v>
      </c>
      <c r="B159" s="6">
        <v>0.91666666624917104</v>
      </c>
      <c r="C159" s="7">
        <v>6442</v>
      </c>
      <c r="D159" s="7">
        <v>333660</v>
      </c>
      <c r="E159" s="7">
        <v>10724</v>
      </c>
      <c r="F159" s="7">
        <v>66334</v>
      </c>
      <c r="G159" s="7">
        <v>88334</v>
      </c>
      <c r="H159" s="7">
        <v>9530</v>
      </c>
      <c r="I159" s="7">
        <v>10</v>
      </c>
      <c r="J159" s="7">
        <v>3919</v>
      </c>
      <c r="K159" s="7">
        <v>5095</v>
      </c>
      <c r="L159" s="7">
        <v>22687</v>
      </c>
      <c r="M159" s="7">
        <v>14604</v>
      </c>
      <c r="N159" s="7">
        <v>1253181</v>
      </c>
      <c r="O159" s="7">
        <v>267596</v>
      </c>
      <c r="P159" s="7">
        <v>30974</v>
      </c>
      <c r="Q159" s="7">
        <v>7671</v>
      </c>
      <c r="R159" s="8">
        <v>48518</v>
      </c>
      <c r="S159" s="7">
        <v>28277737</v>
      </c>
      <c r="T159" s="7"/>
      <c r="U159" s="7">
        <f>+U158+333</f>
        <v>131393</v>
      </c>
      <c r="V159" s="7">
        <v>244065</v>
      </c>
      <c r="W159" s="7">
        <v>277641</v>
      </c>
      <c r="X159" s="18">
        <v>63312</v>
      </c>
      <c r="Y159" s="18">
        <v>45449</v>
      </c>
      <c r="Z159" s="18">
        <v>6150</v>
      </c>
      <c r="AA159" s="18">
        <v>43330</v>
      </c>
      <c r="AB159" s="18">
        <v>91609</v>
      </c>
      <c r="AC159" s="18">
        <v>260988</v>
      </c>
      <c r="AD159" s="18"/>
      <c r="AE159" s="18">
        <v>7063</v>
      </c>
      <c r="AF159" s="18">
        <v>33687</v>
      </c>
      <c r="AG159" s="18">
        <v>150</v>
      </c>
      <c r="AH159" s="18"/>
      <c r="AI159" s="19">
        <v>1</v>
      </c>
      <c r="AJ159" s="55">
        <v>6041</v>
      </c>
      <c r="AK159" s="18">
        <v>2376</v>
      </c>
    </row>
    <row r="160" spans="1:37" ht="48.75" customHeight="1" x14ac:dyDescent="0.25">
      <c r="A160" s="80"/>
      <c r="B160" s="10">
        <v>0.24999999958208699</v>
      </c>
      <c r="C160" s="11">
        <v>6442</v>
      </c>
      <c r="D160" s="11">
        <v>333660</v>
      </c>
      <c r="E160" s="11">
        <v>10724</v>
      </c>
      <c r="F160" s="11">
        <v>66334</v>
      </c>
      <c r="G160" s="11">
        <v>88334</v>
      </c>
      <c r="H160" s="11">
        <v>9530</v>
      </c>
      <c r="I160" s="11">
        <v>10</v>
      </c>
      <c r="J160" s="11">
        <v>3919</v>
      </c>
      <c r="K160" s="11">
        <v>5095</v>
      </c>
      <c r="L160" s="11">
        <v>22687</v>
      </c>
      <c r="M160" s="11">
        <v>14604</v>
      </c>
      <c r="N160" s="11">
        <v>1253181</v>
      </c>
      <c r="O160" s="11">
        <v>267596</v>
      </c>
      <c r="P160" s="11">
        <v>30974</v>
      </c>
      <c r="Q160" s="11">
        <v>7671</v>
      </c>
      <c r="R160" s="12">
        <v>48518</v>
      </c>
      <c r="S160" s="11">
        <v>28277737</v>
      </c>
      <c r="T160" s="11"/>
      <c r="U160" s="11">
        <f>+U159</f>
        <v>131393</v>
      </c>
      <c r="V160" s="11">
        <v>244065</v>
      </c>
      <c r="W160" s="11">
        <v>277641</v>
      </c>
      <c r="X160" s="9">
        <v>63312</v>
      </c>
      <c r="Y160" s="9">
        <v>45449</v>
      </c>
      <c r="Z160" s="9">
        <v>6150</v>
      </c>
      <c r="AA160" s="9">
        <v>43330</v>
      </c>
      <c r="AB160" s="9">
        <v>91609</v>
      </c>
      <c r="AC160" s="9">
        <v>260988</v>
      </c>
      <c r="AD160" s="9"/>
      <c r="AE160" s="9">
        <v>7063</v>
      </c>
      <c r="AF160" s="9">
        <v>33687</v>
      </c>
      <c r="AG160" s="9">
        <v>150</v>
      </c>
      <c r="AH160" s="9"/>
      <c r="AI160" s="20">
        <v>1</v>
      </c>
      <c r="AJ160" s="56">
        <v>6041</v>
      </c>
      <c r="AK160" s="9">
        <v>2376</v>
      </c>
    </row>
    <row r="161" spans="1:37" ht="48.75" customHeight="1" thickBot="1" x14ac:dyDescent="0.3">
      <c r="A161" s="81"/>
      <c r="B161" s="13">
        <v>0.58333333291511702</v>
      </c>
      <c r="C161" s="14">
        <v>6442</v>
      </c>
      <c r="D161" s="14">
        <v>333660</v>
      </c>
      <c r="E161" s="14">
        <v>10724</v>
      </c>
      <c r="F161" s="14">
        <v>66334</v>
      </c>
      <c r="G161" s="14">
        <v>88334</v>
      </c>
      <c r="H161" s="14">
        <v>9530</v>
      </c>
      <c r="I161" s="14">
        <v>10</v>
      </c>
      <c r="J161" s="14">
        <v>3919</v>
      </c>
      <c r="K161" s="14">
        <v>5095</v>
      </c>
      <c r="L161" s="14">
        <v>22687</v>
      </c>
      <c r="M161" s="14">
        <v>14604</v>
      </c>
      <c r="N161" s="14">
        <v>1253181</v>
      </c>
      <c r="O161" s="14">
        <v>267596</v>
      </c>
      <c r="P161" s="14">
        <v>30974</v>
      </c>
      <c r="Q161" s="14">
        <v>7671</v>
      </c>
      <c r="R161" s="15">
        <v>48518</v>
      </c>
      <c r="S161" s="14">
        <v>28277737</v>
      </c>
      <c r="T161" s="14"/>
      <c r="U161" s="14">
        <f>+U160</f>
        <v>131393</v>
      </c>
      <c r="V161" s="14">
        <v>244065</v>
      </c>
      <c r="W161" s="14">
        <v>277641</v>
      </c>
      <c r="X161" s="21">
        <v>63312</v>
      </c>
      <c r="Y161" s="21">
        <v>45449</v>
      </c>
      <c r="Z161" s="21">
        <v>6150</v>
      </c>
      <c r="AA161" s="21">
        <v>43330</v>
      </c>
      <c r="AB161" s="21">
        <v>91609</v>
      </c>
      <c r="AC161" s="21">
        <v>260988</v>
      </c>
      <c r="AD161" s="21"/>
      <c r="AE161" s="21">
        <v>7063</v>
      </c>
      <c r="AF161" s="21">
        <v>33687</v>
      </c>
      <c r="AG161" s="21">
        <v>150</v>
      </c>
      <c r="AH161" s="21"/>
      <c r="AI161" s="22">
        <v>1</v>
      </c>
      <c r="AJ161" s="21">
        <v>6041</v>
      </c>
      <c r="AK161" s="21">
        <v>2376</v>
      </c>
    </row>
    <row r="162" spans="1:37" ht="48.75" customHeight="1" x14ac:dyDescent="0.25">
      <c r="A162" s="82">
        <v>46076</v>
      </c>
      <c r="B162" s="57">
        <v>0.91666666624814797</v>
      </c>
      <c r="C162" s="51">
        <v>6442</v>
      </c>
      <c r="D162" s="51">
        <v>333660</v>
      </c>
      <c r="E162" s="51">
        <v>10724</v>
      </c>
      <c r="F162" s="51">
        <v>66334</v>
      </c>
      <c r="G162" s="51">
        <v>88334</v>
      </c>
      <c r="H162" s="51">
        <v>9530</v>
      </c>
      <c r="I162" s="51">
        <v>10</v>
      </c>
      <c r="J162" s="51">
        <v>3919</v>
      </c>
      <c r="K162" s="51">
        <v>5095</v>
      </c>
      <c r="L162" s="51">
        <v>22687</v>
      </c>
      <c r="M162" s="51">
        <v>14604</v>
      </c>
      <c r="N162" s="51">
        <v>1253181</v>
      </c>
      <c r="O162" s="51">
        <v>267596</v>
      </c>
      <c r="P162" s="51">
        <v>30974</v>
      </c>
      <c r="Q162" s="51">
        <v>7671</v>
      </c>
      <c r="R162" s="52">
        <v>48518</v>
      </c>
      <c r="S162" s="51">
        <v>28277737</v>
      </c>
      <c r="T162" s="51"/>
      <c r="U162" s="51">
        <f>+U161</f>
        <v>131393</v>
      </c>
      <c r="V162" s="51">
        <v>244065</v>
      </c>
      <c r="W162" s="51">
        <v>277641</v>
      </c>
      <c r="X162" s="53">
        <v>63312</v>
      </c>
      <c r="Y162" s="53">
        <v>45449</v>
      </c>
      <c r="Z162" s="18">
        <v>6150</v>
      </c>
      <c r="AA162" s="18">
        <v>43330</v>
      </c>
      <c r="AB162" s="53">
        <v>91609</v>
      </c>
      <c r="AC162" s="53">
        <v>260988</v>
      </c>
      <c r="AD162" s="53"/>
      <c r="AE162" s="53">
        <v>7063</v>
      </c>
      <c r="AF162" s="53">
        <v>33687</v>
      </c>
      <c r="AG162" s="53">
        <v>150</v>
      </c>
      <c r="AH162" s="53"/>
      <c r="AI162" s="54">
        <v>1</v>
      </c>
      <c r="AJ162" s="53">
        <v>6041</v>
      </c>
      <c r="AK162" s="53">
        <v>2376</v>
      </c>
    </row>
    <row r="163" spans="1:37" ht="48.75" customHeight="1" x14ac:dyDescent="0.25">
      <c r="A163" s="80"/>
      <c r="B163" s="10">
        <v>0.249999999581178</v>
      </c>
      <c r="C163" s="11">
        <v>6470</v>
      </c>
      <c r="D163" s="11">
        <v>333978</v>
      </c>
      <c r="E163" s="11">
        <v>10728</v>
      </c>
      <c r="F163" s="11">
        <v>66334</v>
      </c>
      <c r="G163" s="11">
        <v>88334</v>
      </c>
      <c r="H163" s="11">
        <v>9530</v>
      </c>
      <c r="I163" s="11">
        <v>10</v>
      </c>
      <c r="J163" s="11">
        <v>3919</v>
      </c>
      <c r="K163" s="11">
        <v>5095</v>
      </c>
      <c r="L163" s="11">
        <v>22694</v>
      </c>
      <c r="M163" s="11">
        <v>14604</v>
      </c>
      <c r="N163" s="11">
        <v>1253181</v>
      </c>
      <c r="O163" s="11">
        <v>267596</v>
      </c>
      <c r="P163" s="11">
        <v>30974</v>
      </c>
      <c r="Q163" s="11">
        <v>7671</v>
      </c>
      <c r="R163" s="12">
        <v>48533</v>
      </c>
      <c r="S163" s="11">
        <v>28278058</v>
      </c>
      <c r="T163" s="11"/>
      <c r="U163" s="11">
        <v>131726</v>
      </c>
      <c r="V163" s="11">
        <v>244065</v>
      </c>
      <c r="W163" s="11">
        <v>277743</v>
      </c>
      <c r="X163" s="9">
        <v>63359</v>
      </c>
      <c r="Y163" s="9">
        <v>45476</v>
      </c>
      <c r="Z163" s="9"/>
      <c r="AA163" s="9"/>
      <c r="AB163" s="9">
        <f>AVERAGE(AB164,AB162)</f>
        <v>91546.5</v>
      </c>
      <c r="AC163" s="9">
        <f>AVERAGE(AC164,AC162)</f>
        <v>261102</v>
      </c>
      <c r="AD163" s="9"/>
      <c r="AE163" s="9"/>
      <c r="AF163" s="9"/>
      <c r="AG163" s="9"/>
      <c r="AH163" s="9"/>
      <c r="AI163" s="20"/>
      <c r="AJ163" s="9"/>
      <c r="AK163" s="9"/>
    </row>
    <row r="164" spans="1:37" ht="48.75" customHeight="1" thickBot="1" x14ac:dyDescent="0.3">
      <c r="A164" s="81"/>
      <c r="B164" s="13">
        <v>0.58333333291409395</v>
      </c>
      <c r="C164" s="14">
        <v>6505</v>
      </c>
      <c r="D164" s="14">
        <v>334194</v>
      </c>
      <c r="E164" s="14">
        <v>10731</v>
      </c>
      <c r="F164" s="14">
        <v>66334</v>
      </c>
      <c r="G164" s="14">
        <v>88334</v>
      </c>
      <c r="H164" s="14">
        <v>9530</v>
      </c>
      <c r="I164" s="14">
        <v>10</v>
      </c>
      <c r="J164" s="14">
        <v>3924</v>
      </c>
      <c r="K164" s="14">
        <v>5095</v>
      </c>
      <c r="L164" s="14">
        <v>22703</v>
      </c>
      <c r="M164" s="14">
        <v>14609</v>
      </c>
      <c r="N164" s="14">
        <v>1253181</v>
      </c>
      <c r="O164" s="14">
        <v>267596</v>
      </c>
      <c r="P164" s="14">
        <v>30974</v>
      </c>
      <c r="Q164" s="14">
        <v>7671</v>
      </c>
      <c r="R164" s="15">
        <v>48586</v>
      </c>
      <c r="S164" s="14">
        <v>28314309</v>
      </c>
      <c r="T164" s="14"/>
      <c r="U164" s="14">
        <v>132248</v>
      </c>
      <c r="V164" s="14">
        <v>244145</v>
      </c>
      <c r="W164" s="14">
        <v>277794</v>
      </c>
      <c r="X164" s="21">
        <v>63395</v>
      </c>
      <c r="Y164" s="21">
        <v>45497</v>
      </c>
      <c r="Z164" s="21"/>
      <c r="AA164" s="21"/>
      <c r="AB164" s="21">
        <v>91484</v>
      </c>
      <c r="AC164" s="21">
        <v>261216</v>
      </c>
      <c r="AD164" s="21"/>
      <c r="AE164" s="21"/>
      <c r="AF164" s="21"/>
      <c r="AG164" s="21"/>
      <c r="AH164" s="21"/>
      <c r="AI164" s="22"/>
      <c r="AJ164" s="21"/>
      <c r="AK164" s="21"/>
    </row>
    <row r="165" spans="1:37" ht="48.75" customHeight="1" x14ac:dyDescent="0.25">
      <c r="A165" s="79">
        <v>46077</v>
      </c>
      <c r="B165" s="6">
        <v>0.91666666624712401</v>
      </c>
      <c r="C165" s="7">
        <v>6546</v>
      </c>
      <c r="D165" s="7">
        <v>334501</v>
      </c>
      <c r="E165" s="7">
        <v>10732</v>
      </c>
      <c r="F165" s="7">
        <v>66334</v>
      </c>
      <c r="G165" s="7">
        <v>88334</v>
      </c>
      <c r="H165" s="7">
        <v>9530</v>
      </c>
      <c r="I165" s="7">
        <v>10</v>
      </c>
      <c r="J165" s="7">
        <v>3925</v>
      </c>
      <c r="K165" s="7">
        <v>5095</v>
      </c>
      <c r="L165" s="7">
        <v>22707</v>
      </c>
      <c r="M165" s="7">
        <v>14610</v>
      </c>
      <c r="N165" s="7">
        <v>1333112</v>
      </c>
      <c r="O165" s="7">
        <v>267650</v>
      </c>
      <c r="P165" s="7">
        <v>30974</v>
      </c>
      <c r="Q165" s="7">
        <v>7671</v>
      </c>
      <c r="R165" s="8">
        <v>48611</v>
      </c>
      <c r="S165" s="7">
        <v>28342302</v>
      </c>
      <c r="T165" s="7"/>
      <c r="U165" s="7">
        <v>132511</v>
      </c>
      <c r="V165" s="7">
        <v>244260</v>
      </c>
      <c r="W165" s="7">
        <v>277849</v>
      </c>
      <c r="X165" s="18">
        <v>63435</v>
      </c>
      <c r="Y165" s="18">
        <v>45527</v>
      </c>
      <c r="Z165" s="18">
        <v>6150</v>
      </c>
      <c r="AA165" s="18">
        <v>43387</v>
      </c>
      <c r="AB165" s="18">
        <v>91710</v>
      </c>
      <c r="AC165" s="18">
        <v>261256</v>
      </c>
      <c r="AD165" s="18"/>
      <c r="AE165" s="18">
        <v>7067</v>
      </c>
      <c r="AF165" s="18">
        <v>33687</v>
      </c>
      <c r="AG165" s="18">
        <v>150</v>
      </c>
      <c r="AH165" s="18"/>
      <c r="AI165" s="19">
        <v>1</v>
      </c>
      <c r="AJ165" s="18">
        <v>6041</v>
      </c>
      <c r="AK165" s="18">
        <v>2376</v>
      </c>
    </row>
    <row r="166" spans="1:37" ht="48.75" customHeight="1" x14ac:dyDescent="0.25">
      <c r="A166" s="80"/>
      <c r="B166" s="10">
        <v>0.24999999958015501</v>
      </c>
      <c r="C166" s="11">
        <v>6562</v>
      </c>
      <c r="D166" s="11">
        <v>334869</v>
      </c>
      <c r="E166" s="11">
        <v>10737</v>
      </c>
      <c r="F166" s="11">
        <v>66334</v>
      </c>
      <c r="G166" s="11">
        <v>88334</v>
      </c>
      <c r="H166" s="11">
        <v>9530</v>
      </c>
      <c r="I166" s="11">
        <v>10</v>
      </c>
      <c r="J166" s="11">
        <v>3925</v>
      </c>
      <c r="K166" s="11">
        <v>5095</v>
      </c>
      <c r="L166" s="11">
        <v>22714</v>
      </c>
      <c r="M166" s="11">
        <v>14614</v>
      </c>
      <c r="N166" s="11">
        <v>1562813</v>
      </c>
      <c r="O166" s="11">
        <v>267843</v>
      </c>
      <c r="P166" s="11">
        <v>30974</v>
      </c>
      <c r="Q166" s="11">
        <v>7671</v>
      </c>
      <c r="R166" s="12">
        <v>48632</v>
      </c>
      <c r="S166" s="11">
        <v>28342817</v>
      </c>
      <c r="T166" s="11"/>
      <c r="U166" s="11">
        <v>132858</v>
      </c>
      <c r="V166" s="11">
        <v>244478</v>
      </c>
      <c r="W166" s="11">
        <v>278001</v>
      </c>
      <c r="X166" s="9">
        <v>63511</v>
      </c>
      <c r="Y166" s="9">
        <v>45580</v>
      </c>
      <c r="Z166" s="9"/>
      <c r="AA166" s="9"/>
      <c r="AB166" s="9">
        <v>91924</v>
      </c>
      <c r="AC166" s="9">
        <v>261377</v>
      </c>
      <c r="AD166" s="9"/>
      <c r="AE166" s="9"/>
      <c r="AF166" s="9"/>
      <c r="AG166" s="9"/>
      <c r="AH166" s="9"/>
      <c r="AI166" s="20"/>
      <c r="AJ166" s="9"/>
      <c r="AK166" s="9"/>
    </row>
    <row r="167" spans="1:37" ht="48.75" customHeight="1" thickBot="1" x14ac:dyDescent="0.3">
      <c r="A167" s="81"/>
      <c r="B167" s="13">
        <v>0.58333333291318501</v>
      </c>
      <c r="C167" s="14">
        <v>6594</v>
      </c>
      <c r="D167" s="14">
        <v>335209</v>
      </c>
      <c r="E167" s="14">
        <v>10742</v>
      </c>
      <c r="F167" s="14">
        <v>66334</v>
      </c>
      <c r="G167" s="14">
        <v>88334</v>
      </c>
      <c r="H167" s="14">
        <v>9530</v>
      </c>
      <c r="I167" s="14">
        <v>10</v>
      </c>
      <c r="J167" s="14">
        <v>3925</v>
      </c>
      <c r="K167" s="14">
        <v>5096</v>
      </c>
      <c r="L167" s="14">
        <v>22721</v>
      </c>
      <c r="M167" s="14">
        <v>14617</v>
      </c>
      <c r="N167" s="14">
        <v>1726820</v>
      </c>
      <c r="O167" s="14">
        <v>267964</v>
      </c>
      <c r="P167" s="14">
        <v>30974</v>
      </c>
      <c r="Q167" s="14">
        <v>7671</v>
      </c>
      <c r="R167" s="15">
        <v>48658</v>
      </c>
      <c r="S167" s="14">
        <v>28411587</v>
      </c>
      <c r="T167" s="14"/>
      <c r="U167" s="14">
        <v>133434</v>
      </c>
      <c r="V167" s="14">
        <v>244688</v>
      </c>
      <c r="W167" s="14">
        <v>278116</v>
      </c>
      <c r="X167" s="21">
        <v>63560</v>
      </c>
      <c r="Y167" s="21">
        <v>45605</v>
      </c>
      <c r="Z167" s="21"/>
      <c r="AA167" s="21"/>
      <c r="AB167" s="21">
        <v>92125</v>
      </c>
      <c r="AC167" s="21">
        <v>261488</v>
      </c>
      <c r="AD167" s="21"/>
      <c r="AE167" s="21"/>
      <c r="AF167" s="21"/>
      <c r="AG167" s="21"/>
      <c r="AH167" s="21"/>
      <c r="AI167" s="22"/>
      <c r="AJ167" s="21"/>
      <c r="AK167" s="21"/>
    </row>
    <row r="168" spans="1:37" ht="48.75" customHeight="1" x14ac:dyDescent="0.25">
      <c r="A168" s="79">
        <v>46078</v>
      </c>
      <c r="B168" s="6">
        <v>0.91666666624610105</v>
      </c>
      <c r="C168" s="7">
        <v>6619</v>
      </c>
      <c r="D168" s="7">
        <v>335410</v>
      </c>
      <c r="E168" s="7">
        <v>10745</v>
      </c>
      <c r="F168" s="7">
        <v>66334</v>
      </c>
      <c r="G168" s="7">
        <v>88334</v>
      </c>
      <c r="H168" s="7">
        <v>9530</v>
      </c>
      <c r="I168" s="7">
        <v>10</v>
      </c>
      <c r="J168" s="7">
        <v>3926</v>
      </c>
      <c r="K168" s="7">
        <v>5096</v>
      </c>
      <c r="L168" s="7">
        <v>22726</v>
      </c>
      <c r="M168" s="7">
        <v>14620</v>
      </c>
      <c r="N168" s="7">
        <v>1903832</v>
      </c>
      <c r="O168" s="7">
        <v>268086</v>
      </c>
      <c r="P168" s="7">
        <v>30974</v>
      </c>
      <c r="Q168" s="7">
        <v>7671</v>
      </c>
      <c r="R168" s="8">
        <v>48677</v>
      </c>
      <c r="S168" s="7">
        <v>28432154</v>
      </c>
      <c r="T168" s="7"/>
      <c r="U168" s="7">
        <v>133764</v>
      </c>
      <c r="V168" s="7">
        <v>244995</v>
      </c>
      <c r="W168" s="7">
        <v>278268</v>
      </c>
      <c r="X168" s="18">
        <v>63635</v>
      </c>
      <c r="Y168" s="18">
        <v>45653</v>
      </c>
      <c r="Z168" s="18" t="s">
        <v>88</v>
      </c>
      <c r="AA168" s="18"/>
      <c r="AB168" s="18">
        <v>92331</v>
      </c>
      <c r="AC168" s="18">
        <v>261586</v>
      </c>
      <c r="AD168" s="18"/>
      <c r="AE168" s="18"/>
      <c r="AF168" s="18"/>
      <c r="AG168" s="18"/>
      <c r="AH168" s="18"/>
      <c r="AI168" s="19"/>
      <c r="AJ168" s="18"/>
      <c r="AK168" s="18"/>
    </row>
    <row r="169" spans="1:37" ht="48.75" customHeight="1" x14ac:dyDescent="0.25">
      <c r="A169" s="80"/>
      <c r="B169" s="10">
        <v>0.24999999957913099</v>
      </c>
      <c r="C169" s="11">
        <v>6628</v>
      </c>
      <c r="D169" s="11">
        <v>335863</v>
      </c>
      <c r="E169" s="11">
        <v>10748</v>
      </c>
      <c r="F169" s="11">
        <v>66334</v>
      </c>
      <c r="G169" s="11">
        <v>88334</v>
      </c>
      <c r="H169" s="11">
        <v>9530</v>
      </c>
      <c r="I169" s="11">
        <v>10</v>
      </c>
      <c r="J169" s="11">
        <v>3826</v>
      </c>
      <c r="K169" s="11">
        <v>5096</v>
      </c>
      <c r="L169" s="11">
        <v>22734</v>
      </c>
      <c r="M169" s="11">
        <v>14624</v>
      </c>
      <c r="N169" s="11">
        <v>2112808</v>
      </c>
      <c r="O169" s="11">
        <v>268262</v>
      </c>
      <c r="P169" s="11">
        <v>30674</v>
      </c>
      <c r="Q169" s="11">
        <v>7671</v>
      </c>
      <c r="R169" s="12">
        <v>48686</v>
      </c>
      <c r="S169" s="11">
        <v>28455518</v>
      </c>
      <c r="T169" s="11"/>
      <c r="U169" s="11">
        <v>134222</v>
      </c>
      <c r="V169" s="11">
        <v>245198</v>
      </c>
      <c r="W169" s="11">
        <v>278381</v>
      </c>
      <c r="X169" s="9">
        <v>63685</v>
      </c>
      <c r="Y169" s="9">
        <v>45685</v>
      </c>
      <c r="Z169" s="9"/>
      <c r="AA169" s="9"/>
      <c r="AB169" s="9">
        <v>92503</v>
      </c>
      <c r="AC169" s="9">
        <v>261681</v>
      </c>
      <c r="AD169" s="9"/>
      <c r="AE169" s="9"/>
      <c r="AF169" s="9"/>
      <c r="AG169" s="9"/>
      <c r="AH169" s="9"/>
      <c r="AI169" s="20"/>
      <c r="AJ169" s="9"/>
      <c r="AK169" s="9"/>
    </row>
    <row r="170" spans="1:37" ht="48.75" customHeight="1" thickBot="1" x14ac:dyDescent="0.3">
      <c r="A170" s="81"/>
      <c r="B170" s="13">
        <v>0.58333333291216105</v>
      </c>
      <c r="C170" s="14">
        <v>6662</v>
      </c>
      <c r="D170" s="14">
        <v>336204</v>
      </c>
      <c r="E170" s="14">
        <v>10751</v>
      </c>
      <c r="F170" s="14">
        <v>66334</v>
      </c>
      <c r="G170" s="14">
        <v>88334</v>
      </c>
      <c r="H170" s="14">
        <v>9530</v>
      </c>
      <c r="I170" s="14">
        <v>10</v>
      </c>
      <c r="J170" s="14">
        <v>3933</v>
      </c>
      <c r="K170" s="14">
        <v>5096</v>
      </c>
      <c r="L170" s="14">
        <v>22741</v>
      </c>
      <c r="M170" s="14">
        <v>14629</v>
      </c>
      <c r="N170" s="14">
        <v>2267242</v>
      </c>
      <c r="O170" s="14">
        <v>268385</v>
      </c>
      <c r="P170" s="14">
        <v>30674</v>
      </c>
      <c r="Q170" s="14">
        <v>7671</v>
      </c>
      <c r="R170" s="15">
        <v>48734</v>
      </c>
      <c r="S170" s="14">
        <v>28505537</v>
      </c>
      <c r="T170" s="14"/>
      <c r="U170" s="14">
        <v>134706</v>
      </c>
      <c r="V170" s="14">
        <v>245384</v>
      </c>
      <c r="W170" s="14">
        <v>278469</v>
      </c>
      <c r="X170" s="21">
        <f>+X169+90</f>
        <v>63775</v>
      </c>
      <c r="Y170" s="21">
        <f>+Y169+52</f>
        <v>45737</v>
      </c>
      <c r="Z170" s="21"/>
      <c r="AA170" s="21"/>
      <c r="AB170" s="21">
        <v>92711</v>
      </c>
      <c r="AC170" s="21">
        <v>261808</v>
      </c>
      <c r="AD170" s="21"/>
      <c r="AE170" s="21"/>
      <c r="AF170" s="21"/>
      <c r="AG170" s="21"/>
      <c r="AH170" s="21"/>
      <c r="AI170" s="22"/>
      <c r="AJ170" s="21"/>
      <c r="AK170" s="21">
        <v>2376</v>
      </c>
    </row>
    <row r="171" spans="1:37" ht="48.75" customHeight="1" x14ac:dyDescent="0.25">
      <c r="A171" s="79">
        <v>46079</v>
      </c>
      <c r="B171" s="6">
        <v>0.91666666624507798</v>
      </c>
      <c r="C171" s="7">
        <v>6694</v>
      </c>
      <c r="D171" s="7">
        <v>336555</v>
      </c>
      <c r="E171" s="7">
        <v>10752</v>
      </c>
      <c r="F171" s="7">
        <v>66334</v>
      </c>
      <c r="G171" s="7">
        <v>88334</v>
      </c>
      <c r="H171" s="7">
        <v>9530</v>
      </c>
      <c r="I171" s="7">
        <v>10</v>
      </c>
      <c r="J171" s="7">
        <v>3935</v>
      </c>
      <c r="K171" s="7">
        <v>5096</v>
      </c>
      <c r="L171" s="7">
        <v>22747</v>
      </c>
      <c r="M171" s="7">
        <v>14634</v>
      </c>
      <c r="N171" s="7">
        <v>2420960</v>
      </c>
      <c r="O171" s="7">
        <v>268494</v>
      </c>
      <c r="P171" s="7">
        <v>30674</v>
      </c>
      <c r="Q171" s="7">
        <v>7671</v>
      </c>
      <c r="R171" s="8">
        <v>48749</v>
      </c>
      <c r="S171" s="7">
        <v>28566270</v>
      </c>
      <c r="T171" s="7"/>
      <c r="U171" s="7">
        <v>135425</v>
      </c>
      <c r="V171" s="7">
        <v>245621</v>
      </c>
      <c r="W171" s="7">
        <v>278545</v>
      </c>
      <c r="X171" s="18">
        <f>+X170+30</f>
        <v>63805</v>
      </c>
      <c r="Y171" s="18">
        <f>+Y170+21</f>
        <v>45758</v>
      </c>
      <c r="Z171" s="18"/>
      <c r="AA171" s="18"/>
      <c r="AB171" s="18">
        <v>92928</v>
      </c>
      <c r="AC171" s="18">
        <v>261936</v>
      </c>
      <c r="AD171" s="18"/>
      <c r="AE171" s="18"/>
      <c r="AF171" s="18"/>
      <c r="AG171" s="18"/>
      <c r="AH171" s="18"/>
      <c r="AI171" s="19"/>
      <c r="AJ171" s="18"/>
      <c r="AK171" s="18"/>
    </row>
    <row r="172" spans="1:37" ht="48.75" customHeight="1" x14ac:dyDescent="0.25">
      <c r="A172" s="80"/>
      <c r="B172" s="10">
        <v>0.24999999957810801</v>
      </c>
      <c r="C172" s="11">
        <v>6742</v>
      </c>
      <c r="D172" s="11">
        <v>336909</v>
      </c>
      <c r="E172" s="11">
        <v>10756</v>
      </c>
      <c r="F172" s="11"/>
      <c r="G172" s="11"/>
      <c r="H172" s="11"/>
      <c r="I172" s="11"/>
      <c r="J172" s="11">
        <v>3935</v>
      </c>
      <c r="K172" s="11">
        <v>5096</v>
      </c>
      <c r="L172" s="11">
        <v>22754</v>
      </c>
      <c r="M172" s="11">
        <v>14643</v>
      </c>
      <c r="N172" s="11">
        <v>2944851</v>
      </c>
      <c r="O172" s="11">
        <v>268896</v>
      </c>
      <c r="P172" s="11">
        <v>30674</v>
      </c>
      <c r="Q172" s="11">
        <v>7671</v>
      </c>
      <c r="R172" s="12">
        <v>48767</v>
      </c>
      <c r="S172" s="11">
        <v>28587658</v>
      </c>
      <c r="T172" s="11"/>
      <c r="U172" s="11">
        <v>135644</v>
      </c>
      <c r="V172" s="11">
        <v>245894</v>
      </c>
      <c r="W172" s="11">
        <v>278701</v>
      </c>
      <c r="X172" s="9">
        <v>63805</v>
      </c>
      <c r="Y172" s="9">
        <v>45758</v>
      </c>
      <c r="Z172" s="9"/>
      <c r="AA172" s="9"/>
      <c r="AB172" s="9">
        <v>93167</v>
      </c>
      <c r="AC172" s="9">
        <v>262039</v>
      </c>
      <c r="AD172" s="9"/>
      <c r="AE172" s="9"/>
      <c r="AF172" s="9"/>
      <c r="AG172" s="9"/>
      <c r="AH172" s="9"/>
      <c r="AI172" s="20"/>
      <c r="AJ172" s="9"/>
      <c r="AK172" s="9"/>
    </row>
    <row r="173" spans="1:37" ht="48.75" customHeight="1" thickBot="1" x14ac:dyDescent="0.3">
      <c r="A173" s="81"/>
      <c r="B173" s="13">
        <v>0.58333333291113798</v>
      </c>
      <c r="C173" s="14">
        <v>6775</v>
      </c>
      <c r="D173" s="14">
        <v>337253</v>
      </c>
      <c r="E173" s="14">
        <v>10759</v>
      </c>
      <c r="F173" s="14">
        <v>66334</v>
      </c>
      <c r="G173" s="14">
        <v>88334</v>
      </c>
      <c r="H173" s="14">
        <v>9530</v>
      </c>
      <c r="I173" s="14">
        <v>10</v>
      </c>
      <c r="J173" s="14">
        <v>3935</v>
      </c>
      <c r="K173" s="14">
        <v>5108</v>
      </c>
      <c r="L173" s="14">
        <v>22761</v>
      </c>
      <c r="M173" s="14">
        <v>14649</v>
      </c>
      <c r="N173" s="14">
        <v>2789204</v>
      </c>
      <c r="O173" s="14">
        <v>268789</v>
      </c>
      <c r="P173" s="14">
        <v>30674</v>
      </c>
      <c r="Q173" s="14">
        <v>7671</v>
      </c>
      <c r="R173" s="15">
        <v>48790</v>
      </c>
      <c r="S173" s="14">
        <v>28648053</v>
      </c>
      <c r="T173" s="14"/>
      <c r="U173" s="14">
        <v>136156</v>
      </c>
      <c r="V173" s="14">
        <v>246106</v>
      </c>
      <c r="W173" s="14">
        <v>278785</v>
      </c>
      <c r="X173" s="21">
        <v>63930</v>
      </c>
      <c r="Y173" s="21">
        <v>45830</v>
      </c>
      <c r="Z173" s="21"/>
      <c r="AA173" s="21"/>
      <c r="AB173" s="21">
        <v>93372</v>
      </c>
      <c r="AC173" s="21">
        <v>262153</v>
      </c>
      <c r="AD173" s="21">
        <v>0.3</v>
      </c>
      <c r="AE173" s="21"/>
      <c r="AF173" s="21"/>
      <c r="AG173" s="21"/>
      <c r="AH173" s="21"/>
      <c r="AI173" s="22"/>
      <c r="AJ173" s="21"/>
      <c r="AK173" s="21"/>
    </row>
    <row r="174" spans="1:37" ht="48.75" customHeight="1" thickBot="1" x14ac:dyDescent="0.3">
      <c r="A174" s="79">
        <v>46080</v>
      </c>
      <c r="B174" s="6">
        <v>0.91666666624416804</v>
      </c>
      <c r="C174" s="7">
        <v>6814</v>
      </c>
      <c r="D174" s="66">
        <f>AVERAGE(D175,D173)</f>
        <v>337583</v>
      </c>
      <c r="E174" s="7">
        <v>10762</v>
      </c>
      <c r="F174" s="14">
        <v>66334</v>
      </c>
      <c r="G174" s="14">
        <v>88334</v>
      </c>
      <c r="H174" s="7">
        <v>9530</v>
      </c>
      <c r="I174" s="7">
        <v>10</v>
      </c>
      <c r="J174" s="7">
        <v>3935</v>
      </c>
      <c r="K174" s="7">
        <v>5109</v>
      </c>
      <c r="L174" s="7">
        <v>22767</v>
      </c>
      <c r="M174" s="7">
        <v>14652</v>
      </c>
      <c r="N174" s="7">
        <v>2944851</v>
      </c>
      <c r="O174" s="7">
        <v>268896</v>
      </c>
      <c r="P174" s="7">
        <v>30674</v>
      </c>
      <c r="Q174" s="7">
        <v>7671</v>
      </c>
      <c r="R174" s="8">
        <v>48803</v>
      </c>
      <c r="S174" s="7">
        <v>28702608</v>
      </c>
      <c r="T174" s="7"/>
      <c r="U174" s="7">
        <v>136880</v>
      </c>
      <c r="V174" s="7">
        <v>246409</v>
      </c>
      <c r="W174" s="7">
        <v>278953</v>
      </c>
      <c r="X174" s="18">
        <v>64001</v>
      </c>
      <c r="Y174" s="18">
        <v>45870</v>
      </c>
      <c r="Z174" s="18"/>
      <c r="AA174" s="18"/>
      <c r="AB174" s="18"/>
      <c r="AC174" s="18">
        <v>262298</v>
      </c>
      <c r="AD174" s="18">
        <v>12.96</v>
      </c>
      <c r="AE174" s="18"/>
      <c r="AF174" s="18"/>
      <c r="AG174" s="18"/>
      <c r="AH174" s="18"/>
      <c r="AI174" s="19"/>
      <c r="AJ174" s="18"/>
      <c r="AK174" s="18"/>
    </row>
    <row r="175" spans="1:37" ht="48.75" customHeight="1" x14ac:dyDescent="0.25">
      <c r="A175" s="80"/>
      <c r="B175" s="10">
        <v>0.24999999957708499</v>
      </c>
      <c r="C175" s="11">
        <v>6861</v>
      </c>
      <c r="D175" s="11">
        <v>337913</v>
      </c>
      <c r="E175" s="11">
        <v>10767</v>
      </c>
      <c r="F175" s="11">
        <v>66334</v>
      </c>
      <c r="G175" s="11">
        <v>88334</v>
      </c>
      <c r="H175" s="11">
        <v>9530</v>
      </c>
      <c r="I175" s="11">
        <v>10</v>
      </c>
      <c r="J175" s="11">
        <v>3941</v>
      </c>
      <c r="K175" s="11">
        <v>5109</v>
      </c>
      <c r="L175" s="11">
        <v>22774</v>
      </c>
      <c r="M175" s="11">
        <v>14662</v>
      </c>
      <c r="N175" s="11">
        <v>3170811</v>
      </c>
      <c r="O175" s="11">
        <v>269059</v>
      </c>
      <c r="P175" s="11"/>
      <c r="Q175" s="11"/>
      <c r="R175" s="12">
        <v>48824</v>
      </c>
      <c r="S175" s="11">
        <v>28705043</v>
      </c>
      <c r="T175" s="11"/>
      <c r="U175" s="11">
        <v>137209</v>
      </c>
      <c r="V175" s="11">
        <v>246579</v>
      </c>
      <c r="W175" s="11">
        <v>279051</v>
      </c>
      <c r="X175" s="9">
        <v>64072</v>
      </c>
      <c r="Y175" s="9">
        <v>45911</v>
      </c>
      <c r="Z175" s="9"/>
      <c r="AA175" s="9"/>
      <c r="AB175" s="9">
        <v>93831</v>
      </c>
      <c r="AC175" s="9">
        <v>262444</v>
      </c>
      <c r="AD175" s="9">
        <v>25.52</v>
      </c>
      <c r="AE175" s="9"/>
      <c r="AF175" s="9"/>
      <c r="AG175" s="9"/>
      <c r="AH175" s="9"/>
      <c r="AI175" s="20"/>
      <c r="AJ175" s="9"/>
      <c r="AK175" s="9"/>
    </row>
    <row r="176" spans="1:37" ht="48.75" customHeight="1" thickBot="1" x14ac:dyDescent="0.3">
      <c r="A176" s="81"/>
      <c r="B176" s="13">
        <v>0.58333333291011502</v>
      </c>
      <c r="C176" s="14">
        <v>6892</v>
      </c>
      <c r="D176" s="14">
        <v>338219</v>
      </c>
      <c r="E176" s="14">
        <v>10770</v>
      </c>
      <c r="F176" s="14"/>
      <c r="G176" s="14"/>
      <c r="H176" s="14"/>
      <c r="I176" s="14"/>
      <c r="J176" s="14">
        <v>3944</v>
      </c>
      <c r="K176" s="14">
        <v>5109</v>
      </c>
      <c r="L176" s="14">
        <v>22781</v>
      </c>
      <c r="M176" s="14">
        <v>14674</v>
      </c>
      <c r="N176" s="14">
        <v>3341413</v>
      </c>
      <c r="O176" s="14">
        <v>269187</v>
      </c>
      <c r="P176" s="14"/>
      <c r="Q176" s="14"/>
      <c r="R176" s="15">
        <v>48859</v>
      </c>
      <c r="S176" s="14">
        <v>28752376</v>
      </c>
      <c r="T176" s="14"/>
      <c r="U176" s="14">
        <v>137665</v>
      </c>
      <c r="V176" s="14">
        <v>246816</v>
      </c>
      <c r="W176" s="14">
        <v>279142</v>
      </c>
      <c r="X176" s="21">
        <v>64159</v>
      </c>
      <c r="Y176" s="21">
        <v>45965</v>
      </c>
      <c r="Z176" s="21"/>
      <c r="AA176" s="21"/>
      <c r="AB176" s="21">
        <v>94047</v>
      </c>
      <c r="AC176" s="21">
        <v>262597</v>
      </c>
      <c r="AD176" s="21">
        <v>55.78</v>
      </c>
      <c r="AE176" s="21"/>
      <c r="AF176" s="21"/>
      <c r="AG176" s="21"/>
      <c r="AH176" s="21"/>
      <c r="AI176" s="22"/>
      <c r="AJ176" s="21"/>
      <c r="AK176" s="21"/>
    </row>
    <row r="177" spans="1:37" ht="48.75" customHeight="1" thickBot="1" x14ac:dyDescent="0.3">
      <c r="A177" s="79">
        <v>46081</v>
      </c>
      <c r="B177" s="6">
        <v>0.91666666624314497</v>
      </c>
      <c r="C177" s="7">
        <v>6920</v>
      </c>
      <c r="D177" s="7">
        <v>338464</v>
      </c>
      <c r="E177" s="7">
        <v>10773</v>
      </c>
      <c r="F177" s="14"/>
      <c r="G177" s="14"/>
      <c r="H177" s="7"/>
      <c r="I177" s="7"/>
      <c r="J177" s="7">
        <v>3944</v>
      </c>
      <c r="K177" s="7">
        <v>5109</v>
      </c>
      <c r="L177" s="7">
        <v>22787</v>
      </c>
      <c r="M177" s="7">
        <v>14682</v>
      </c>
      <c r="N177" s="7">
        <v>3634720</v>
      </c>
      <c r="O177" s="7">
        <v>269414</v>
      </c>
      <c r="P177" s="7"/>
      <c r="Q177" s="7"/>
      <c r="R177" s="8">
        <v>48882</v>
      </c>
      <c r="S177" s="7">
        <v>28790865</v>
      </c>
      <c r="T177" s="7"/>
      <c r="U177" s="7">
        <v>138135</v>
      </c>
      <c r="V177" s="7">
        <v>247046</v>
      </c>
      <c r="W177" s="7">
        <v>279232</v>
      </c>
      <c r="X177" s="18">
        <v>64224</v>
      </c>
      <c r="Y177" s="18">
        <v>46002</v>
      </c>
      <c r="Z177" s="18"/>
      <c r="AA177" s="18"/>
      <c r="AB177" s="18">
        <v>94254</v>
      </c>
      <c r="AC177" s="18">
        <v>262726</v>
      </c>
      <c r="AD177" s="18">
        <v>63.78</v>
      </c>
      <c r="AE177" s="18"/>
      <c r="AF177" s="18"/>
      <c r="AG177" s="18"/>
      <c r="AH177" s="18"/>
      <c r="AI177" s="19"/>
      <c r="AJ177" s="18"/>
      <c r="AK177" s="18"/>
    </row>
    <row r="178" spans="1:37" ht="48.75" customHeight="1" thickBot="1" x14ac:dyDescent="0.3">
      <c r="A178" s="80"/>
      <c r="B178" s="10">
        <v>0.249999999576175</v>
      </c>
      <c r="C178" s="11">
        <v>6946</v>
      </c>
      <c r="D178" s="11">
        <v>338785</v>
      </c>
      <c r="E178" s="11">
        <v>10779</v>
      </c>
      <c r="F178" s="11"/>
      <c r="G178" s="11"/>
      <c r="H178" s="11"/>
      <c r="I178" s="11"/>
      <c r="J178" s="11">
        <v>3945</v>
      </c>
      <c r="K178" s="11">
        <v>5109</v>
      </c>
      <c r="L178" s="11">
        <v>22789</v>
      </c>
      <c r="M178" s="11">
        <v>14692</v>
      </c>
      <c r="N178" s="11">
        <v>3903393</v>
      </c>
      <c r="O178" s="11">
        <v>269621</v>
      </c>
      <c r="P178" s="11"/>
      <c r="Q178" s="11"/>
      <c r="R178" s="12">
        <v>48899</v>
      </c>
      <c r="S178" s="11">
        <v>28790925</v>
      </c>
      <c r="T178" s="11"/>
      <c r="U178" s="11">
        <v>138472</v>
      </c>
      <c r="V178" s="11">
        <v>247276</v>
      </c>
      <c r="W178" s="11">
        <v>279329</v>
      </c>
      <c r="X178" s="9">
        <v>64381</v>
      </c>
      <c r="Y178" s="9">
        <v>46099</v>
      </c>
      <c r="Z178" s="9"/>
      <c r="AA178" s="9"/>
      <c r="AB178" s="9">
        <v>94576</v>
      </c>
      <c r="AC178" s="9">
        <v>262852</v>
      </c>
      <c r="AD178" s="9">
        <v>70.81</v>
      </c>
      <c r="AE178" s="9"/>
      <c r="AF178" s="9"/>
      <c r="AG178" s="9"/>
      <c r="AH178" s="9"/>
      <c r="AI178" s="20"/>
      <c r="AJ178" s="9"/>
      <c r="AK178" s="9"/>
    </row>
    <row r="179" spans="1:37" ht="48.75" customHeight="1" thickBot="1" x14ac:dyDescent="0.3">
      <c r="A179" s="81"/>
      <c r="B179" s="13">
        <v>0.58333333290909195</v>
      </c>
      <c r="C179" s="14">
        <v>6946</v>
      </c>
      <c r="D179" s="14">
        <v>339092</v>
      </c>
      <c r="E179" s="14">
        <v>10781</v>
      </c>
      <c r="F179" s="14"/>
      <c r="G179" s="14"/>
      <c r="H179" s="14"/>
      <c r="I179" s="14"/>
      <c r="J179" s="14">
        <v>3950</v>
      </c>
      <c r="K179" s="14">
        <v>5110</v>
      </c>
      <c r="L179" s="14">
        <v>22797</v>
      </c>
      <c r="M179" s="14">
        <v>14692</v>
      </c>
      <c r="N179" s="14">
        <v>4226032</v>
      </c>
      <c r="O179" s="14">
        <v>269870</v>
      </c>
      <c r="P179" s="14"/>
      <c r="Q179" s="14"/>
      <c r="R179" s="15">
        <v>48911</v>
      </c>
      <c r="S179" s="14">
        <v>28840673</v>
      </c>
      <c r="T179" s="14"/>
      <c r="U179" s="14">
        <v>138964</v>
      </c>
      <c r="V179" s="14">
        <v>247531</v>
      </c>
      <c r="W179" s="14">
        <v>279437</v>
      </c>
      <c r="X179" s="21">
        <v>64381</v>
      </c>
      <c r="Y179" s="21">
        <v>46099</v>
      </c>
      <c r="Z179" s="18"/>
      <c r="AA179" s="18"/>
      <c r="AB179" s="18">
        <v>94576</v>
      </c>
      <c r="AC179" s="18">
        <v>263222</v>
      </c>
      <c r="AD179" s="18">
        <v>74.81</v>
      </c>
      <c r="AE179" s="18"/>
      <c r="AF179" s="18"/>
      <c r="AG179" s="18"/>
      <c r="AH179" s="18"/>
      <c r="AI179" s="19"/>
      <c r="AJ179" s="18"/>
      <c r="AK179" s="18"/>
    </row>
    <row r="180" spans="1:37" ht="48.75" customHeight="1" x14ac:dyDescent="0.25">
      <c r="A180" s="79">
        <v>46082</v>
      </c>
      <c r="B180" s="6">
        <v>0.91666666624212201</v>
      </c>
      <c r="C180" s="7">
        <v>6948</v>
      </c>
      <c r="D180" s="7">
        <v>339205</v>
      </c>
      <c r="E180" s="7">
        <v>10781</v>
      </c>
      <c r="F180" s="7"/>
      <c r="G180" s="7"/>
      <c r="H180" s="7"/>
      <c r="I180" s="7"/>
      <c r="J180" s="7">
        <v>3951</v>
      </c>
      <c r="K180" s="7">
        <v>5110</v>
      </c>
      <c r="L180" s="7">
        <v>22802</v>
      </c>
      <c r="M180" s="7">
        <v>14677</v>
      </c>
      <c r="N180" s="7">
        <v>4383091</v>
      </c>
      <c r="O180" s="7">
        <v>269990</v>
      </c>
      <c r="P180" s="7"/>
      <c r="Q180" s="7"/>
      <c r="R180" s="8">
        <v>48901</v>
      </c>
      <c r="S180" s="7">
        <v>28868130</v>
      </c>
      <c r="T180" s="7"/>
      <c r="U180" s="7">
        <v>139199</v>
      </c>
      <c r="V180" s="7">
        <v>247611</v>
      </c>
      <c r="W180" s="7">
        <v>279604</v>
      </c>
      <c r="X180" s="18">
        <v>64420</v>
      </c>
      <c r="Y180" s="18">
        <v>46124</v>
      </c>
      <c r="Z180" s="18"/>
      <c r="AA180" s="18"/>
      <c r="AB180" s="18">
        <v>94630</v>
      </c>
      <c r="AC180" s="18">
        <v>263222</v>
      </c>
      <c r="AD180" s="18">
        <v>82.5</v>
      </c>
      <c r="AE180" s="18"/>
      <c r="AF180" s="18"/>
      <c r="AG180" s="18"/>
      <c r="AH180" s="18"/>
      <c r="AI180" s="19"/>
      <c r="AJ180" s="18"/>
      <c r="AK180" s="18"/>
    </row>
    <row r="181" spans="1:37" ht="48.75" customHeight="1" x14ac:dyDescent="0.25">
      <c r="A181" s="80"/>
      <c r="B181" s="10">
        <v>0.24999999957515201</v>
      </c>
      <c r="C181" s="11">
        <v>6948</v>
      </c>
      <c r="D181" s="11">
        <v>339205</v>
      </c>
      <c r="E181" s="11">
        <v>10781</v>
      </c>
      <c r="F181" s="11"/>
      <c r="G181" s="11"/>
      <c r="H181" s="11"/>
      <c r="I181" s="11"/>
      <c r="J181" s="11">
        <v>3951</v>
      </c>
      <c r="K181" s="11">
        <v>5110</v>
      </c>
      <c r="L181" s="11">
        <v>22802</v>
      </c>
      <c r="M181" s="11">
        <v>14677</v>
      </c>
      <c r="N181" s="11">
        <v>4383091</v>
      </c>
      <c r="O181" s="11">
        <v>269990</v>
      </c>
      <c r="P181" s="11"/>
      <c r="Q181" s="11"/>
      <c r="R181" s="12">
        <v>48901</v>
      </c>
      <c r="S181" s="11">
        <v>28868130</v>
      </c>
      <c r="T181" s="11"/>
      <c r="U181" s="11">
        <v>139199</v>
      </c>
      <c r="V181" s="11">
        <v>247611</v>
      </c>
      <c r="W181" s="11">
        <v>279604</v>
      </c>
      <c r="X181" s="9">
        <v>64420</v>
      </c>
      <c r="Y181" s="9">
        <v>46124</v>
      </c>
      <c r="Z181" s="9"/>
      <c r="AA181" s="9"/>
      <c r="AB181" s="9">
        <v>94630</v>
      </c>
      <c r="AC181" s="9">
        <v>263222</v>
      </c>
      <c r="AD181" s="9">
        <v>82.5</v>
      </c>
      <c r="AE181" s="9"/>
      <c r="AF181" s="9"/>
      <c r="AG181" s="9"/>
      <c r="AH181" s="9"/>
      <c r="AI181" s="20"/>
      <c r="AJ181" s="9"/>
      <c r="AK181" s="9"/>
    </row>
    <row r="182" spans="1:37" ht="48.75" customHeight="1" thickBot="1" x14ac:dyDescent="0.3">
      <c r="A182" s="81"/>
      <c r="B182" s="13">
        <v>0.58333333290818201</v>
      </c>
      <c r="C182" s="14">
        <v>6948</v>
      </c>
      <c r="D182" s="14">
        <v>339205</v>
      </c>
      <c r="E182" s="14">
        <v>10781</v>
      </c>
      <c r="F182" s="14"/>
      <c r="G182" s="14"/>
      <c r="H182" s="14"/>
      <c r="I182" s="14"/>
      <c r="J182" s="14">
        <v>3951</v>
      </c>
      <c r="K182" s="14">
        <v>5110</v>
      </c>
      <c r="L182" s="14">
        <v>22802</v>
      </c>
      <c r="M182" s="14">
        <v>14677</v>
      </c>
      <c r="N182" s="14">
        <v>4383091</v>
      </c>
      <c r="O182" s="14">
        <v>269990</v>
      </c>
      <c r="P182" s="14"/>
      <c r="Q182" s="14"/>
      <c r="R182" s="15">
        <v>48901</v>
      </c>
      <c r="S182" s="14">
        <v>28868130</v>
      </c>
      <c r="T182" s="14"/>
      <c r="U182" s="14">
        <v>139199</v>
      </c>
      <c r="V182" s="14">
        <v>247611</v>
      </c>
      <c r="W182" s="14">
        <v>279604</v>
      </c>
      <c r="X182" s="21">
        <v>64420</v>
      </c>
      <c r="Y182" s="21">
        <v>46124</v>
      </c>
      <c r="Z182" s="21"/>
      <c r="AA182" s="21"/>
      <c r="AB182" s="21">
        <v>94630</v>
      </c>
      <c r="AC182" s="21">
        <v>263222</v>
      </c>
      <c r="AD182" s="21">
        <v>82.5</v>
      </c>
      <c r="AE182" s="21"/>
      <c r="AF182" s="21"/>
      <c r="AG182" s="21"/>
      <c r="AH182" s="21"/>
      <c r="AI182" s="22"/>
      <c r="AJ182" s="21"/>
      <c r="AK182" s="21"/>
    </row>
    <row r="183" spans="1:37" ht="48.75" customHeight="1" thickBot="1" x14ac:dyDescent="0.3">
      <c r="A183" s="79">
        <v>46083</v>
      </c>
      <c r="B183" s="6">
        <v>0.91666666624109905</v>
      </c>
      <c r="C183" s="7">
        <v>6948</v>
      </c>
      <c r="D183" s="7">
        <v>339205</v>
      </c>
      <c r="E183" s="7">
        <v>10781</v>
      </c>
      <c r="F183" s="7"/>
      <c r="G183" s="7"/>
      <c r="H183" s="7"/>
      <c r="I183" s="7"/>
      <c r="J183" s="7">
        <v>3951</v>
      </c>
      <c r="K183" s="7">
        <v>5110</v>
      </c>
      <c r="L183" s="7">
        <v>22802</v>
      </c>
      <c r="M183" s="7">
        <v>14677</v>
      </c>
      <c r="N183" s="7">
        <v>4383091</v>
      </c>
      <c r="O183" s="7">
        <v>269990</v>
      </c>
      <c r="P183" s="7"/>
      <c r="Q183" s="7"/>
      <c r="R183" s="8">
        <v>48901</v>
      </c>
      <c r="S183" s="7">
        <v>28868130</v>
      </c>
      <c r="T183" s="7"/>
      <c r="U183" s="7">
        <v>139199</v>
      </c>
      <c r="V183" s="7">
        <v>247611</v>
      </c>
      <c r="W183" s="7">
        <v>279604</v>
      </c>
      <c r="X183" s="18">
        <v>64420</v>
      </c>
      <c r="Y183" s="18">
        <v>46124</v>
      </c>
      <c r="Z183" s="18">
        <v>6305</v>
      </c>
      <c r="AA183" s="18">
        <v>43879</v>
      </c>
      <c r="AB183" s="18">
        <v>94630</v>
      </c>
      <c r="AC183" s="18">
        <v>263222</v>
      </c>
      <c r="AD183" s="63">
        <v>82.5</v>
      </c>
      <c r="AE183" s="18">
        <v>7141</v>
      </c>
      <c r="AF183" s="18">
        <v>33687</v>
      </c>
      <c r="AG183" s="18">
        <v>150</v>
      </c>
      <c r="AH183" s="18"/>
      <c r="AI183" s="19">
        <v>1</v>
      </c>
      <c r="AJ183" s="18">
        <v>6162</v>
      </c>
      <c r="AK183" s="18">
        <v>2376</v>
      </c>
    </row>
    <row r="184" spans="1:37" ht="48.75" customHeight="1" thickBot="1" x14ac:dyDescent="0.3">
      <c r="A184" s="80"/>
      <c r="B184" s="10">
        <v>0.24999999957412899</v>
      </c>
      <c r="C184" s="11">
        <v>6975</v>
      </c>
      <c r="D184" s="11">
        <v>339458</v>
      </c>
      <c r="E184" s="11">
        <v>10783</v>
      </c>
      <c r="F184" s="11"/>
      <c r="G184" s="11"/>
      <c r="H184" s="11"/>
      <c r="I184" s="11"/>
      <c r="J184" s="11">
        <v>3951</v>
      </c>
      <c r="K184" s="11">
        <v>5117</v>
      </c>
      <c r="L184" s="11">
        <v>22809</v>
      </c>
      <c r="M184" s="11">
        <v>14680</v>
      </c>
      <c r="N184" s="11">
        <v>4398359</v>
      </c>
      <c r="O184" s="11">
        <v>270000</v>
      </c>
      <c r="P184" s="11"/>
      <c r="Q184" s="11"/>
      <c r="R184" s="12">
        <v>48918</v>
      </c>
      <c r="S184" s="11">
        <v>28923808</v>
      </c>
      <c r="T184" s="11"/>
      <c r="U184" s="11">
        <v>139522</v>
      </c>
      <c r="V184" s="11">
        <v>247777</v>
      </c>
      <c r="W184" s="11">
        <v>279794</v>
      </c>
      <c r="X184" s="9">
        <v>64717</v>
      </c>
      <c r="Y184" s="9">
        <v>46322</v>
      </c>
      <c r="Z184" s="9"/>
      <c r="AA184" s="9"/>
      <c r="AB184" s="9">
        <v>94855</v>
      </c>
      <c r="AC184" s="9">
        <v>263359</v>
      </c>
      <c r="AD184" s="9">
        <v>94.2</v>
      </c>
      <c r="AE184" s="18">
        <v>7141</v>
      </c>
      <c r="AF184" s="18">
        <v>33687</v>
      </c>
      <c r="AG184" s="18">
        <v>150</v>
      </c>
      <c r="AH184" s="18"/>
      <c r="AI184" s="19">
        <v>1</v>
      </c>
      <c r="AJ184" s="18">
        <v>6162</v>
      </c>
      <c r="AK184" s="18">
        <v>2376</v>
      </c>
    </row>
    <row r="185" spans="1:37" ht="48.75" customHeight="1" thickBot="1" x14ac:dyDescent="0.3">
      <c r="A185" s="81"/>
      <c r="B185" s="13">
        <v>0.58333333290715905</v>
      </c>
      <c r="C185" s="14">
        <v>6988</v>
      </c>
      <c r="D185" s="14">
        <v>339771</v>
      </c>
      <c r="E185" s="14">
        <v>10797</v>
      </c>
      <c r="F185" s="14"/>
      <c r="G185" s="14"/>
      <c r="H185" s="14"/>
      <c r="I185" s="14"/>
      <c r="J185" s="14">
        <v>3964</v>
      </c>
      <c r="K185" s="14">
        <v>5117</v>
      </c>
      <c r="L185" s="14">
        <v>22815</v>
      </c>
      <c r="M185" s="14">
        <v>14688</v>
      </c>
      <c r="N185" s="14">
        <v>4680677</v>
      </c>
      <c r="O185" s="14">
        <v>270232</v>
      </c>
      <c r="P185" s="14"/>
      <c r="Q185" s="14"/>
      <c r="R185" s="15">
        <v>48950</v>
      </c>
      <c r="S185" s="14">
        <v>28958652</v>
      </c>
      <c r="T185" s="14"/>
      <c r="U185" s="14">
        <v>140012</v>
      </c>
      <c r="V185" s="14">
        <v>247961</v>
      </c>
      <c r="W185" s="14">
        <v>280031</v>
      </c>
      <c r="X185" s="21">
        <v>64978</v>
      </c>
      <c r="Y185" s="21">
        <v>46525</v>
      </c>
      <c r="Z185" s="21"/>
      <c r="AA185" s="21"/>
      <c r="AB185" s="21">
        <v>94960</v>
      </c>
      <c r="AC185" s="21">
        <v>263469</v>
      </c>
      <c r="AD185" s="21">
        <v>102.6</v>
      </c>
      <c r="AE185" s="18">
        <v>7141</v>
      </c>
      <c r="AF185" s="18">
        <v>33687</v>
      </c>
      <c r="AG185" s="18">
        <v>150</v>
      </c>
      <c r="AH185" s="18"/>
      <c r="AI185" s="19">
        <v>1</v>
      </c>
      <c r="AJ185" s="18">
        <v>6162</v>
      </c>
      <c r="AK185" s="18">
        <v>2376</v>
      </c>
    </row>
    <row r="186" spans="1:37" ht="48.75" customHeight="1" thickBot="1" x14ac:dyDescent="0.3">
      <c r="A186" s="79">
        <v>46084</v>
      </c>
      <c r="B186" s="6">
        <v>0.916666666240189</v>
      </c>
      <c r="C186" s="7">
        <v>7004</v>
      </c>
      <c r="D186" s="7">
        <v>340093</v>
      </c>
      <c r="E186" s="7">
        <v>10797</v>
      </c>
      <c r="F186" s="7"/>
      <c r="G186" s="7"/>
      <c r="H186" s="7"/>
      <c r="I186" s="7"/>
      <c r="J186" s="7">
        <v>3970</v>
      </c>
      <c r="K186" s="7">
        <v>5117</v>
      </c>
      <c r="L186" s="7">
        <v>22823</v>
      </c>
      <c r="M186" s="7">
        <v>14693</v>
      </c>
      <c r="N186" s="7">
        <v>4846841</v>
      </c>
      <c r="O186" s="7">
        <v>270369</v>
      </c>
      <c r="P186" s="7"/>
      <c r="Q186" s="7"/>
      <c r="R186" s="8">
        <v>48972</v>
      </c>
      <c r="S186" s="7">
        <v>28997618</v>
      </c>
      <c r="T186" s="7"/>
      <c r="U186" s="7">
        <v>140504</v>
      </c>
      <c r="V186" s="7">
        <v>248097</v>
      </c>
      <c r="W186" s="7">
        <v>280240</v>
      </c>
      <c r="X186" s="18">
        <v>64841</v>
      </c>
      <c r="Y186" s="18">
        <v>46419</v>
      </c>
      <c r="Z186" s="18">
        <v>6305</v>
      </c>
      <c r="AA186" s="18">
        <v>43951</v>
      </c>
      <c r="AB186" s="18">
        <v>95060</v>
      </c>
      <c r="AC186" s="18">
        <v>263603</v>
      </c>
      <c r="AD186" s="18">
        <v>111.1</v>
      </c>
      <c r="AE186" s="18">
        <v>7144</v>
      </c>
      <c r="AF186" s="18">
        <v>33687</v>
      </c>
      <c r="AG186" s="18">
        <v>150</v>
      </c>
      <c r="AH186" s="18"/>
      <c r="AI186" s="19">
        <v>1</v>
      </c>
      <c r="AJ186" s="18">
        <v>6184</v>
      </c>
      <c r="AK186" s="18">
        <v>2376</v>
      </c>
    </row>
    <row r="187" spans="1:37" ht="48.75" customHeight="1" thickBot="1" x14ac:dyDescent="0.3">
      <c r="A187" s="80"/>
      <c r="B187" s="10">
        <v>0.24999999957310601</v>
      </c>
      <c r="C187" s="11">
        <v>7011</v>
      </c>
      <c r="D187" s="11">
        <v>340312</v>
      </c>
      <c r="E187" s="11">
        <v>10797</v>
      </c>
      <c r="F187" s="11"/>
      <c r="G187" s="11"/>
      <c r="H187" s="11"/>
      <c r="I187" s="11"/>
      <c r="J187" s="11">
        <v>3974</v>
      </c>
      <c r="K187" s="11">
        <v>5117</v>
      </c>
      <c r="L187" s="11">
        <v>22830</v>
      </c>
      <c r="M187" s="11">
        <v>14697</v>
      </c>
      <c r="N187" s="11">
        <v>5218617</v>
      </c>
      <c r="O187" s="11">
        <v>270694</v>
      </c>
      <c r="P187" s="11"/>
      <c r="Q187" s="11"/>
      <c r="R187" s="12">
        <v>48986</v>
      </c>
      <c r="S187" s="11">
        <v>29077276</v>
      </c>
      <c r="T187" s="11"/>
      <c r="U187" s="11">
        <v>140981</v>
      </c>
      <c r="V187" s="11">
        <v>248253</v>
      </c>
      <c r="W187" s="11">
        <v>280490</v>
      </c>
      <c r="X187" s="9">
        <v>64978</v>
      </c>
      <c r="Y187" s="9">
        <v>46525</v>
      </c>
      <c r="Z187" s="9"/>
      <c r="AA187" s="9"/>
      <c r="AB187" s="9">
        <v>95064</v>
      </c>
      <c r="AC187" s="9">
        <v>263721</v>
      </c>
      <c r="AD187" s="9">
        <v>111.77</v>
      </c>
      <c r="AE187" s="18">
        <v>7144</v>
      </c>
      <c r="AF187" s="18">
        <v>33687</v>
      </c>
      <c r="AG187" s="18">
        <v>150</v>
      </c>
      <c r="AH187" s="18"/>
      <c r="AI187" s="19">
        <v>1</v>
      </c>
      <c r="AJ187" s="18">
        <v>6184</v>
      </c>
      <c r="AK187" s="18">
        <v>2376</v>
      </c>
    </row>
    <row r="188" spans="1:37" ht="48.75" customHeight="1" thickBot="1" x14ac:dyDescent="0.3">
      <c r="A188" s="81"/>
      <c r="B188" s="13">
        <v>0.58333333290613598</v>
      </c>
      <c r="C188" s="11">
        <v>7018</v>
      </c>
      <c r="D188" s="11">
        <v>340631</v>
      </c>
      <c r="E188" s="11">
        <v>10799</v>
      </c>
      <c r="F188" s="14"/>
      <c r="G188" s="14"/>
      <c r="H188" s="14"/>
      <c r="I188" s="14"/>
      <c r="J188" s="11">
        <v>3976</v>
      </c>
      <c r="K188" s="11">
        <v>5117</v>
      </c>
      <c r="L188" s="11">
        <v>22837</v>
      </c>
      <c r="M188" s="11">
        <v>14704</v>
      </c>
      <c r="N188" s="11">
        <v>5607325</v>
      </c>
      <c r="O188" s="11">
        <v>271033</v>
      </c>
      <c r="P188" s="14"/>
      <c r="Q188" s="14"/>
      <c r="R188" s="12">
        <v>49015</v>
      </c>
      <c r="S188" s="11">
        <v>29124633</v>
      </c>
      <c r="T188" s="14"/>
      <c r="U188" s="11">
        <v>141471</v>
      </c>
      <c r="V188" s="11">
        <v>248428</v>
      </c>
      <c r="W188" s="14">
        <v>280695</v>
      </c>
      <c r="X188" s="21">
        <v>65116</v>
      </c>
      <c r="Y188" s="21">
        <v>46634</v>
      </c>
      <c r="Z188" s="21"/>
      <c r="AA188" s="21"/>
      <c r="AB188" s="21">
        <v>95069</v>
      </c>
      <c r="AC188" s="21">
        <v>263830</v>
      </c>
      <c r="AD188" s="21">
        <v>115.3</v>
      </c>
      <c r="AE188" s="18">
        <v>7144</v>
      </c>
      <c r="AF188" s="18">
        <v>33687</v>
      </c>
      <c r="AG188" s="18">
        <v>150</v>
      </c>
      <c r="AH188" s="18"/>
      <c r="AI188" s="19">
        <v>1</v>
      </c>
      <c r="AJ188" s="18">
        <v>6184</v>
      </c>
      <c r="AK188" s="18">
        <v>2376</v>
      </c>
    </row>
    <row r="189" spans="1:37" ht="48.75" customHeight="1" x14ac:dyDescent="0.25">
      <c r="A189" s="79">
        <v>46085</v>
      </c>
      <c r="B189" s="6">
        <v>0.91666666623916604</v>
      </c>
      <c r="C189" s="7">
        <v>7029</v>
      </c>
      <c r="D189" s="7">
        <v>340918</v>
      </c>
      <c r="E189" s="7">
        <v>10799</v>
      </c>
      <c r="F189" s="7"/>
      <c r="G189" s="7"/>
      <c r="H189" s="7"/>
      <c r="I189" s="7"/>
      <c r="J189" s="7">
        <v>3981</v>
      </c>
      <c r="K189" s="7">
        <v>5117</v>
      </c>
      <c r="L189" s="7">
        <v>22840</v>
      </c>
      <c r="M189" s="7">
        <v>14708</v>
      </c>
      <c r="N189" s="7">
        <v>5937535</v>
      </c>
      <c r="O189" s="7">
        <v>271321</v>
      </c>
      <c r="P189" s="7"/>
      <c r="Q189" s="7"/>
      <c r="R189" s="8">
        <v>49038</v>
      </c>
      <c r="S189" s="7">
        <v>29179560</v>
      </c>
      <c r="T189" s="7"/>
      <c r="U189" s="7">
        <v>141966</v>
      </c>
      <c r="V189" s="7">
        <v>248575</v>
      </c>
      <c r="W189" s="7">
        <v>280876</v>
      </c>
      <c r="X189" s="18">
        <v>65257</v>
      </c>
      <c r="Y189" s="18">
        <v>46746</v>
      </c>
      <c r="Z189" s="18">
        <v>6309</v>
      </c>
      <c r="AA189" s="18">
        <v>43956</v>
      </c>
      <c r="AB189" s="18">
        <v>95106</v>
      </c>
      <c r="AC189" s="18">
        <v>263943</v>
      </c>
      <c r="AD189" s="63">
        <f>AVERAGE(AD190,AD188)</f>
        <v>128.32499999999999</v>
      </c>
      <c r="AE189" s="18">
        <v>7144</v>
      </c>
      <c r="AF189" s="18">
        <v>33687</v>
      </c>
      <c r="AG189" s="18">
        <v>150</v>
      </c>
      <c r="AH189" s="18"/>
      <c r="AI189" s="19">
        <v>1</v>
      </c>
      <c r="AJ189" s="18">
        <v>6201</v>
      </c>
      <c r="AK189" s="18">
        <v>2376</v>
      </c>
    </row>
    <row r="190" spans="1:37" ht="48.75" customHeight="1" x14ac:dyDescent="0.25">
      <c r="A190" s="80"/>
      <c r="B190" s="10">
        <v>0.24999999957208299</v>
      </c>
      <c r="C190" s="11">
        <v>7044</v>
      </c>
      <c r="D190" s="11">
        <v>341140</v>
      </c>
      <c r="E190" s="11">
        <f>AVERAGE(E191,E189)</f>
        <v>10800</v>
      </c>
      <c r="F190" s="11"/>
      <c r="G190" s="11"/>
      <c r="H190" s="11"/>
      <c r="I190" s="11"/>
      <c r="J190" s="11">
        <v>3986</v>
      </c>
      <c r="K190" s="11">
        <v>5117</v>
      </c>
      <c r="L190" s="11">
        <v>22847</v>
      </c>
      <c r="M190" s="11">
        <f>AVERAGE(M191,M189)</f>
        <v>14714</v>
      </c>
      <c r="N190" s="11">
        <v>6216862</v>
      </c>
      <c r="O190" s="11">
        <v>271563</v>
      </c>
      <c r="P190" s="11"/>
      <c r="Q190" s="11"/>
      <c r="R190" s="12">
        <v>49050</v>
      </c>
      <c r="S190" s="11">
        <v>29248189</v>
      </c>
      <c r="T190" s="11"/>
      <c r="U190" s="11">
        <f>AVERAGE(U191,U189)</f>
        <v>142389</v>
      </c>
      <c r="V190" s="11">
        <v>248723</v>
      </c>
      <c r="W190" s="11">
        <v>281092</v>
      </c>
      <c r="X190" s="9">
        <v>65395</v>
      </c>
      <c r="Y190" s="9">
        <v>46855</v>
      </c>
      <c r="Z190" s="9"/>
      <c r="AA190" s="9"/>
      <c r="AB190" s="9">
        <v>95176</v>
      </c>
      <c r="AC190" s="9">
        <v>264062</v>
      </c>
      <c r="AD190" s="67">
        <v>141.35</v>
      </c>
      <c r="AE190" s="9"/>
      <c r="AF190" s="9"/>
      <c r="AG190" s="9"/>
      <c r="AH190" s="9"/>
      <c r="AI190" s="20"/>
      <c r="AJ190" s="9"/>
      <c r="AK190" s="9"/>
    </row>
    <row r="191" spans="1:37" ht="48.75" customHeight="1" thickBot="1" x14ac:dyDescent="0.3">
      <c r="A191" s="81"/>
      <c r="B191" s="13">
        <v>0.58333333290511302</v>
      </c>
      <c r="C191" s="14">
        <v>7052</v>
      </c>
      <c r="D191" s="14">
        <v>341369</v>
      </c>
      <c r="E191" s="14">
        <v>10801</v>
      </c>
      <c r="F191" s="14"/>
      <c r="G191" s="14"/>
      <c r="H191" s="14"/>
      <c r="I191" s="14"/>
      <c r="J191" s="14">
        <v>3993</v>
      </c>
      <c r="K191" s="14">
        <v>5118</v>
      </c>
      <c r="L191" s="14">
        <v>22853</v>
      </c>
      <c r="M191" s="14">
        <v>14720</v>
      </c>
      <c r="N191" s="11">
        <v>6612953</v>
      </c>
      <c r="O191" s="11">
        <v>271904</v>
      </c>
      <c r="P191" s="14"/>
      <c r="Q191" s="14"/>
      <c r="R191" s="15">
        <v>49081</v>
      </c>
      <c r="S191" s="14">
        <v>29318670</v>
      </c>
      <c r="T191" s="14"/>
      <c r="U191" s="14">
        <v>142812</v>
      </c>
      <c r="V191" s="14">
        <v>248886</v>
      </c>
      <c r="W191" s="14">
        <v>281293</v>
      </c>
      <c r="X191" s="21">
        <v>65549</v>
      </c>
      <c r="Y191" s="21">
        <v>46974</v>
      </c>
      <c r="Z191" s="21"/>
      <c r="AA191" s="21"/>
      <c r="AB191" s="21">
        <v>95783</v>
      </c>
      <c r="AC191" s="21">
        <v>264174</v>
      </c>
      <c r="AD191" s="21">
        <v>147.6</v>
      </c>
      <c r="AE191" s="21">
        <v>7144</v>
      </c>
      <c r="AF191" s="21">
        <v>33687</v>
      </c>
      <c r="AG191" s="21">
        <v>150</v>
      </c>
      <c r="AH191" s="21"/>
      <c r="AI191" s="22">
        <v>1</v>
      </c>
      <c r="AJ191" s="21"/>
      <c r="AK191" s="21">
        <v>2376</v>
      </c>
    </row>
    <row r="192" spans="1:37" ht="48.75" customHeight="1" thickBot="1" x14ac:dyDescent="0.3">
      <c r="A192" s="79">
        <v>46086</v>
      </c>
      <c r="B192" s="6">
        <v>0.91666666623814297</v>
      </c>
      <c r="C192" s="7">
        <v>7075</v>
      </c>
      <c r="D192" s="7">
        <v>341691</v>
      </c>
      <c r="E192" s="7">
        <v>10802</v>
      </c>
      <c r="F192" s="7"/>
      <c r="G192" s="7"/>
      <c r="H192" s="7"/>
      <c r="I192" s="7"/>
      <c r="J192" s="7">
        <v>3997</v>
      </c>
      <c r="K192" s="7">
        <v>5118</v>
      </c>
      <c r="L192" s="7">
        <v>22860</v>
      </c>
      <c r="M192" s="7">
        <v>14724</v>
      </c>
      <c r="N192" s="7">
        <v>6909885</v>
      </c>
      <c r="O192" s="7">
        <v>272155</v>
      </c>
      <c r="P192" s="7"/>
      <c r="Q192" s="7"/>
      <c r="R192" s="8">
        <v>49094</v>
      </c>
      <c r="S192" s="7">
        <v>29426824</v>
      </c>
      <c r="T192" s="7"/>
      <c r="U192" s="7">
        <v>143386</v>
      </c>
      <c r="V192" s="7">
        <v>249086</v>
      </c>
      <c r="W192" s="7">
        <v>281504</v>
      </c>
      <c r="X192" s="18">
        <v>65685</v>
      </c>
      <c r="Y192" s="18">
        <v>47084</v>
      </c>
      <c r="Z192" s="18">
        <v>6309</v>
      </c>
      <c r="AA192" s="18">
        <v>43973</v>
      </c>
      <c r="AB192" s="18">
        <v>95240</v>
      </c>
      <c r="AC192" s="18">
        <v>264335</v>
      </c>
      <c r="AD192" s="18">
        <v>152</v>
      </c>
      <c r="AE192" s="18">
        <v>7145</v>
      </c>
      <c r="AF192" s="18">
        <v>33687</v>
      </c>
      <c r="AG192" s="18">
        <v>150</v>
      </c>
      <c r="AH192" s="18"/>
      <c r="AI192" s="19">
        <v>1</v>
      </c>
      <c r="AJ192" s="18">
        <v>6223</v>
      </c>
      <c r="AK192" s="18">
        <v>2376</v>
      </c>
    </row>
    <row r="193" spans="1:37" ht="48.75" customHeight="1" thickBot="1" x14ac:dyDescent="0.3">
      <c r="A193" s="80"/>
      <c r="B193" s="10">
        <v>0.249999999571173</v>
      </c>
      <c r="C193" s="11">
        <v>7091</v>
      </c>
      <c r="D193" s="11">
        <v>341938</v>
      </c>
      <c r="E193" s="11">
        <v>10805</v>
      </c>
      <c r="F193" s="11"/>
      <c r="G193" s="11"/>
      <c r="H193" s="11"/>
      <c r="I193" s="11"/>
      <c r="J193" s="11">
        <v>3999</v>
      </c>
      <c r="K193" s="11">
        <v>5118</v>
      </c>
      <c r="L193" s="11">
        <v>22867</v>
      </c>
      <c r="M193" s="11">
        <v>14730</v>
      </c>
      <c r="N193" s="11">
        <v>7292771</v>
      </c>
      <c r="O193" s="11">
        <v>272478</v>
      </c>
      <c r="P193" s="11"/>
      <c r="Q193" s="11"/>
      <c r="R193" s="12">
        <v>49108</v>
      </c>
      <c r="S193" s="11">
        <v>29482811</v>
      </c>
      <c r="T193" s="11"/>
      <c r="U193" s="11">
        <v>143810</v>
      </c>
      <c r="V193" s="11">
        <v>249267</v>
      </c>
      <c r="W193" s="11">
        <v>281695</v>
      </c>
      <c r="X193" s="9">
        <v>65846</v>
      </c>
      <c r="Y193" s="9">
        <v>47214</v>
      </c>
      <c r="Z193" s="9"/>
      <c r="AA193" s="9"/>
      <c r="AB193" s="9">
        <v>95281</v>
      </c>
      <c r="AC193" s="9">
        <v>264451</v>
      </c>
      <c r="AD193" s="9">
        <v>167</v>
      </c>
      <c r="AE193" s="18">
        <v>7145</v>
      </c>
      <c r="AF193" s="18">
        <v>33687</v>
      </c>
      <c r="AG193" s="18">
        <v>150</v>
      </c>
      <c r="AH193" s="18"/>
      <c r="AI193" s="19">
        <v>1</v>
      </c>
      <c r="AJ193" s="18">
        <v>6223</v>
      </c>
      <c r="AK193" s="18">
        <v>2376</v>
      </c>
    </row>
    <row r="194" spans="1:37" ht="48.75" customHeight="1" thickBot="1" x14ac:dyDescent="0.3">
      <c r="A194" s="81"/>
      <c r="B194" s="13">
        <v>0.58333333290408995</v>
      </c>
      <c r="C194" s="14">
        <v>7100</v>
      </c>
      <c r="D194" s="14">
        <v>342233</v>
      </c>
      <c r="E194" s="14">
        <v>10806</v>
      </c>
      <c r="F194" s="14"/>
      <c r="G194" s="14"/>
      <c r="H194" s="14"/>
      <c r="I194" s="14"/>
      <c r="J194" s="14">
        <v>4001</v>
      </c>
      <c r="K194" s="14">
        <v>5118</v>
      </c>
      <c r="L194" s="14">
        <v>22873</v>
      </c>
      <c r="M194" s="14">
        <v>14734</v>
      </c>
      <c r="N194" s="14">
        <v>7567593</v>
      </c>
      <c r="O194" s="14">
        <v>272721</v>
      </c>
      <c r="P194" s="14"/>
      <c r="Q194" s="14"/>
      <c r="R194" s="15">
        <v>49140</v>
      </c>
      <c r="S194" s="14">
        <v>29552899</v>
      </c>
      <c r="T194" s="14"/>
      <c r="U194" s="14">
        <v>144247</v>
      </c>
      <c r="V194" s="14">
        <v>249454</v>
      </c>
      <c r="W194" s="14">
        <v>281875</v>
      </c>
      <c r="X194" s="21">
        <v>66001</v>
      </c>
      <c r="Y194" s="21">
        <v>47339</v>
      </c>
      <c r="Z194" s="21"/>
      <c r="AA194" s="21"/>
      <c r="AB194" s="21">
        <v>95281</v>
      </c>
      <c r="AC194" s="21">
        <v>264567</v>
      </c>
      <c r="AD194" s="21">
        <v>176</v>
      </c>
      <c r="AE194" s="18">
        <v>7145</v>
      </c>
      <c r="AF194" s="18">
        <v>33687</v>
      </c>
      <c r="AG194" s="18">
        <v>150</v>
      </c>
      <c r="AH194" s="18"/>
      <c r="AI194" s="19">
        <v>1</v>
      </c>
      <c r="AJ194" s="18">
        <v>6223</v>
      </c>
      <c r="AK194" s="18">
        <v>2376</v>
      </c>
    </row>
    <row r="195" spans="1:37" ht="48.75" customHeight="1" thickBot="1" x14ac:dyDescent="0.3">
      <c r="A195" s="79">
        <v>46087</v>
      </c>
      <c r="B195" s="6">
        <v>0.91666666623712001</v>
      </c>
      <c r="C195" s="7">
        <v>7134</v>
      </c>
      <c r="D195" s="7">
        <v>342524</v>
      </c>
      <c r="E195" s="7">
        <v>10807</v>
      </c>
      <c r="F195" s="7"/>
      <c r="G195" s="7"/>
      <c r="H195" s="7"/>
      <c r="I195" s="7"/>
      <c r="J195" s="7">
        <v>4001</v>
      </c>
      <c r="K195" s="7">
        <v>5118</v>
      </c>
      <c r="L195" s="7">
        <v>22880</v>
      </c>
      <c r="M195" s="7">
        <v>14739</v>
      </c>
      <c r="N195" s="7">
        <v>7830165</v>
      </c>
      <c r="O195" s="7">
        <v>272956</v>
      </c>
      <c r="P195" s="7"/>
      <c r="Q195" s="7"/>
      <c r="R195" s="8">
        <v>49155</v>
      </c>
      <c r="S195" s="7">
        <v>29612347</v>
      </c>
      <c r="T195" s="7"/>
      <c r="U195" s="7">
        <v>144794</v>
      </c>
      <c r="V195" s="7">
        <v>249647</v>
      </c>
      <c r="W195" s="7">
        <v>282042</v>
      </c>
      <c r="X195" s="18">
        <v>66141</v>
      </c>
      <c r="Y195" s="18">
        <v>47451</v>
      </c>
      <c r="Z195" s="18">
        <v>6314</v>
      </c>
      <c r="AA195" s="18">
        <v>43998</v>
      </c>
      <c r="AB195" s="18">
        <v>95431</v>
      </c>
      <c r="AC195" s="18">
        <v>264712</v>
      </c>
      <c r="AD195" s="18">
        <v>210</v>
      </c>
      <c r="AE195" s="18">
        <v>7146</v>
      </c>
      <c r="AF195" s="18">
        <v>33687</v>
      </c>
      <c r="AG195" s="18">
        <v>150</v>
      </c>
      <c r="AH195" s="18"/>
      <c r="AI195" s="19">
        <v>1</v>
      </c>
      <c r="AJ195" s="18">
        <v>6246</v>
      </c>
      <c r="AK195" s="18">
        <v>2376</v>
      </c>
    </row>
    <row r="196" spans="1:37" ht="48.75" customHeight="1" x14ac:dyDescent="0.25">
      <c r="A196" s="80"/>
      <c r="B196" s="10">
        <v>0.24999999957015001</v>
      </c>
      <c r="C196" s="11">
        <v>7155</v>
      </c>
      <c r="D196" s="11">
        <v>342727</v>
      </c>
      <c r="E196" s="11">
        <v>10809</v>
      </c>
      <c r="F196" s="11"/>
      <c r="G196" s="11"/>
      <c r="H196" s="11"/>
      <c r="I196" s="11"/>
      <c r="J196" s="11">
        <v>4013</v>
      </c>
      <c r="K196" s="11">
        <v>5118</v>
      </c>
      <c r="L196" s="11">
        <v>22887</v>
      </c>
      <c r="M196" s="11">
        <v>14745</v>
      </c>
      <c r="N196" s="11">
        <v>8180254</v>
      </c>
      <c r="O196" s="11">
        <v>273230</v>
      </c>
      <c r="P196" s="11"/>
      <c r="Q196" s="11"/>
      <c r="R196" s="12">
        <v>49169</v>
      </c>
      <c r="S196" s="11">
        <v>29731635</v>
      </c>
      <c r="T196" s="11"/>
      <c r="U196" s="11">
        <v>145275</v>
      </c>
      <c r="V196" s="11">
        <v>249834</v>
      </c>
      <c r="W196" s="11">
        <v>282218</v>
      </c>
      <c r="X196" s="9">
        <v>66304</v>
      </c>
      <c r="Y196" s="9">
        <v>47584</v>
      </c>
      <c r="Z196" s="18">
        <v>6314</v>
      </c>
      <c r="AA196" s="18">
        <v>43998</v>
      </c>
      <c r="AB196" s="9">
        <v>95528</v>
      </c>
      <c r="AC196" s="9">
        <v>264831</v>
      </c>
      <c r="AD196" s="9">
        <v>225</v>
      </c>
      <c r="AE196" s="9">
        <v>7155</v>
      </c>
      <c r="AF196" s="9">
        <v>33687</v>
      </c>
      <c r="AG196" s="9">
        <v>150</v>
      </c>
      <c r="AH196" s="9"/>
      <c r="AI196" s="20">
        <v>1</v>
      </c>
      <c r="AJ196" s="18">
        <v>6246</v>
      </c>
      <c r="AK196" s="18">
        <v>2376</v>
      </c>
    </row>
    <row r="197" spans="1:37" ht="48.75" customHeight="1" thickBot="1" x14ac:dyDescent="0.3">
      <c r="A197" s="81"/>
      <c r="B197" s="13">
        <v>0.58333333290318001</v>
      </c>
      <c r="C197" s="14">
        <v>7173</v>
      </c>
      <c r="D197" s="14">
        <v>342999</v>
      </c>
      <c r="E197" s="14">
        <v>10811</v>
      </c>
      <c r="F197" s="14"/>
      <c r="G197" s="14"/>
      <c r="H197" s="14"/>
      <c r="I197" s="14"/>
      <c r="J197" s="14">
        <v>4016</v>
      </c>
      <c r="K197" s="14">
        <v>5118</v>
      </c>
      <c r="L197" s="14">
        <v>22893</v>
      </c>
      <c r="M197" s="14">
        <v>14748</v>
      </c>
      <c r="N197" s="14">
        <v>8490535</v>
      </c>
      <c r="O197" s="14">
        <v>273469</v>
      </c>
      <c r="P197" s="14"/>
      <c r="Q197" s="14"/>
      <c r="R197" s="15">
        <v>49199</v>
      </c>
      <c r="S197" s="14">
        <v>29845711</v>
      </c>
      <c r="T197" s="14"/>
      <c r="U197" s="14">
        <v>145756</v>
      </c>
      <c r="V197" s="14">
        <v>250004</v>
      </c>
      <c r="W197" s="14">
        <v>282432</v>
      </c>
      <c r="X197" s="21">
        <v>66453</v>
      </c>
      <c r="Y197" s="21">
        <v>47705</v>
      </c>
      <c r="Z197" s="21"/>
      <c r="AA197" s="21"/>
      <c r="AB197" s="21">
        <v>95528</v>
      </c>
      <c r="AC197" s="21">
        <v>264946</v>
      </c>
      <c r="AD197" s="21">
        <v>247</v>
      </c>
      <c r="AE197" s="21"/>
      <c r="AF197" s="21">
        <v>33687</v>
      </c>
      <c r="AG197" s="21">
        <v>150</v>
      </c>
      <c r="AH197" s="21"/>
      <c r="AI197" s="22">
        <v>1</v>
      </c>
      <c r="AJ197" s="21">
        <v>6246</v>
      </c>
      <c r="AK197" s="21">
        <v>2376</v>
      </c>
    </row>
    <row r="198" spans="1:37" ht="48.75" customHeight="1" x14ac:dyDescent="0.25">
      <c r="A198" s="79">
        <v>46088</v>
      </c>
      <c r="B198" s="6">
        <v>0.91666666623609705</v>
      </c>
      <c r="C198" s="7">
        <v>7209</v>
      </c>
      <c r="D198" s="7">
        <v>343283</v>
      </c>
      <c r="E198" s="7">
        <v>10813</v>
      </c>
      <c r="F198" s="7"/>
      <c r="G198" s="7"/>
      <c r="H198" s="7"/>
      <c r="I198" s="7"/>
      <c r="J198" s="7">
        <v>4023</v>
      </c>
      <c r="K198" s="7">
        <v>5118</v>
      </c>
      <c r="L198" s="7">
        <v>22900</v>
      </c>
      <c r="M198" s="7">
        <v>14754</v>
      </c>
      <c r="N198" s="7">
        <v>8802730</v>
      </c>
      <c r="O198" s="7">
        <v>273722</v>
      </c>
      <c r="P198" s="7"/>
      <c r="Q198" s="7"/>
      <c r="R198" s="8">
        <v>49220</v>
      </c>
      <c r="S198" s="7">
        <v>29930291</v>
      </c>
      <c r="T198" s="7"/>
      <c r="U198" s="7">
        <v>146327</v>
      </c>
      <c r="V198" s="7">
        <v>250202</v>
      </c>
      <c r="W198" s="7">
        <v>282659</v>
      </c>
      <c r="X198" s="18">
        <v>66609</v>
      </c>
      <c r="Y198" s="18">
        <v>47833</v>
      </c>
      <c r="Z198" s="18">
        <v>6322</v>
      </c>
      <c r="AA198" s="18">
        <v>44034</v>
      </c>
      <c r="AB198" s="18">
        <v>95711</v>
      </c>
      <c r="AC198" s="18">
        <v>265097</v>
      </c>
      <c r="AD198" s="18">
        <v>282</v>
      </c>
      <c r="AE198" s="18">
        <v>7147</v>
      </c>
      <c r="AF198" s="18">
        <v>33687</v>
      </c>
      <c r="AG198" s="18">
        <v>150</v>
      </c>
      <c r="AH198" s="18"/>
      <c r="AI198" s="19">
        <v>1</v>
      </c>
      <c r="AJ198" s="18">
        <v>6267</v>
      </c>
      <c r="AK198" s="18">
        <v>2376</v>
      </c>
    </row>
    <row r="199" spans="1:37" ht="48.75" customHeight="1" x14ac:dyDescent="0.25">
      <c r="A199" s="80"/>
      <c r="B199" s="10">
        <v>0.249999999569127</v>
      </c>
      <c r="C199" s="11">
        <v>7244</v>
      </c>
      <c r="D199" s="11">
        <v>343505</v>
      </c>
      <c r="E199" s="11">
        <v>10810</v>
      </c>
      <c r="F199" s="11"/>
      <c r="G199" s="11"/>
      <c r="H199" s="11"/>
      <c r="I199" s="11"/>
      <c r="J199" s="11">
        <v>4026</v>
      </c>
      <c r="K199" s="11">
        <v>5118</v>
      </c>
      <c r="L199" s="11">
        <v>22907</v>
      </c>
      <c r="M199" s="11">
        <v>14760</v>
      </c>
      <c r="N199" s="11">
        <v>9086388</v>
      </c>
      <c r="O199" s="11">
        <v>273962</v>
      </c>
      <c r="P199" s="11"/>
      <c r="Q199" s="11"/>
      <c r="R199" s="12">
        <v>49245</v>
      </c>
      <c r="S199" s="11">
        <v>30009502</v>
      </c>
      <c r="T199" s="11"/>
      <c r="U199" s="11">
        <v>146792</v>
      </c>
      <c r="V199" s="11">
        <v>250364</v>
      </c>
      <c r="W199" s="11">
        <v>282808</v>
      </c>
      <c r="X199" s="9">
        <v>66728</v>
      </c>
      <c r="Y199" s="9">
        <v>47925</v>
      </c>
      <c r="Z199" s="9"/>
      <c r="AA199" s="9"/>
      <c r="AB199" s="9">
        <v>95891</v>
      </c>
      <c r="AC199" s="9">
        <v>265240</v>
      </c>
      <c r="AD199" s="9">
        <v>327</v>
      </c>
      <c r="AE199" s="9"/>
      <c r="AF199" s="9"/>
      <c r="AG199" s="9"/>
      <c r="AH199" s="9"/>
      <c r="AI199" s="20"/>
      <c r="AJ199" s="9"/>
      <c r="AK199" s="9"/>
    </row>
    <row r="200" spans="1:37" ht="48.75" customHeight="1" thickBot="1" x14ac:dyDescent="0.3">
      <c r="A200" s="81"/>
      <c r="B200" s="13">
        <v>0.58333333290215705</v>
      </c>
      <c r="C200" s="14">
        <v>7254</v>
      </c>
      <c r="D200" s="14">
        <v>343817</v>
      </c>
      <c r="E200" s="14">
        <v>10818</v>
      </c>
      <c r="F200" s="14"/>
      <c r="G200" s="14"/>
      <c r="H200" s="14"/>
      <c r="I200" s="14"/>
      <c r="J200" s="14">
        <v>4031</v>
      </c>
      <c r="K200" s="14">
        <v>5118</v>
      </c>
      <c r="L200" s="14">
        <v>22914</v>
      </c>
      <c r="M200" s="14">
        <v>14763</v>
      </c>
      <c r="N200" s="14">
        <v>9347266</v>
      </c>
      <c r="O200" s="14">
        <v>274175</v>
      </c>
      <c r="P200" s="14"/>
      <c r="Q200" s="14"/>
      <c r="R200" s="15">
        <v>49263</v>
      </c>
      <c r="S200" s="14">
        <v>30070674</v>
      </c>
      <c r="T200" s="14"/>
      <c r="U200" s="14">
        <v>147279</v>
      </c>
      <c r="V200" s="14">
        <v>250551</v>
      </c>
      <c r="W200" s="14">
        <v>282960</v>
      </c>
      <c r="X200" s="21">
        <v>66852</v>
      </c>
      <c r="Y200" s="21">
        <v>48028</v>
      </c>
      <c r="Z200" s="21"/>
      <c r="AA200" s="21"/>
      <c r="AB200" s="21">
        <v>95891</v>
      </c>
      <c r="AC200" s="21">
        <v>265352</v>
      </c>
      <c r="AD200" s="21">
        <v>327</v>
      </c>
      <c r="AE200" s="21"/>
      <c r="AF200" s="21"/>
      <c r="AG200" s="21"/>
      <c r="AH200" s="21"/>
      <c r="AI200" s="22"/>
      <c r="AJ200" s="21"/>
      <c r="AK200" s="21"/>
    </row>
    <row r="201" spans="1:37" ht="48.75" customHeight="1" x14ac:dyDescent="0.25">
      <c r="A201" s="79">
        <v>46089</v>
      </c>
      <c r="B201" s="6">
        <v>0.916666666235187</v>
      </c>
      <c r="C201" s="7">
        <v>7280</v>
      </c>
      <c r="D201" s="7">
        <v>344008</v>
      </c>
      <c r="E201" s="7">
        <v>10819</v>
      </c>
      <c r="F201" s="7"/>
      <c r="G201" s="7"/>
      <c r="H201" s="7"/>
      <c r="I201" s="7"/>
      <c r="J201" s="7">
        <v>4031</v>
      </c>
      <c r="K201" s="7">
        <v>5118</v>
      </c>
      <c r="L201" s="7">
        <v>22932</v>
      </c>
      <c r="M201" s="7">
        <v>14772</v>
      </c>
      <c r="N201" s="7">
        <v>9347266</v>
      </c>
      <c r="O201" s="7">
        <v>274175</v>
      </c>
      <c r="P201" s="7"/>
      <c r="Q201" s="7"/>
      <c r="R201" s="8">
        <v>49282</v>
      </c>
      <c r="S201" s="7">
        <v>30083183</v>
      </c>
      <c r="T201" s="7"/>
      <c r="U201" s="7">
        <v>147537</v>
      </c>
      <c r="V201" s="7">
        <v>250589</v>
      </c>
      <c r="W201" s="7">
        <v>282987</v>
      </c>
      <c r="X201" s="18">
        <v>66951</v>
      </c>
      <c r="Y201" s="18">
        <v>48108</v>
      </c>
      <c r="Z201" s="18"/>
      <c r="AA201" s="18"/>
      <c r="AB201" s="18">
        <v>95891</v>
      </c>
      <c r="AC201" s="18">
        <v>265352</v>
      </c>
      <c r="AD201" s="18">
        <v>327</v>
      </c>
      <c r="AE201" s="18"/>
      <c r="AF201" s="18"/>
      <c r="AG201" s="18"/>
      <c r="AH201" s="18"/>
      <c r="AI201" s="19"/>
      <c r="AJ201" s="18"/>
      <c r="AK201" s="18"/>
    </row>
    <row r="202" spans="1:37" ht="48.75" customHeight="1" x14ac:dyDescent="0.25">
      <c r="A202" s="80"/>
      <c r="B202" s="10">
        <v>0.24999999956810401</v>
      </c>
      <c r="C202" s="11">
        <v>7280</v>
      </c>
      <c r="D202" s="11">
        <v>344008</v>
      </c>
      <c r="E202" s="11">
        <v>10819</v>
      </c>
      <c r="F202" s="11"/>
      <c r="G202" s="11"/>
      <c r="H202" s="11"/>
      <c r="I202" s="11"/>
      <c r="J202" s="11">
        <v>4031</v>
      </c>
      <c r="K202" s="11">
        <v>5118</v>
      </c>
      <c r="L202" s="11">
        <v>22932</v>
      </c>
      <c r="M202" s="11">
        <v>14772</v>
      </c>
      <c r="N202" s="11">
        <v>9347266</v>
      </c>
      <c r="O202" s="11">
        <v>274175</v>
      </c>
      <c r="P202" s="11"/>
      <c r="Q202" s="11"/>
      <c r="R202" s="12">
        <v>49282</v>
      </c>
      <c r="S202" s="11">
        <v>30083183</v>
      </c>
      <c r="T202" s="11"/>
      <c r="U202" s="11">
        <v>147537</v>
      </c>
      <c r="V202" s="11">
        <v>250589</v>
      </c>
      <c r="W202" s="11">
        <v>282987</v>
      </c>
      <c r="X202" s="9">
        <v>66951</v>
      </c>
      <c r="Y202" s="9">
        <v>48108</v>
      </c>
      <c r="Z202" s="9"/>
      <c r="AA202" s="9"/>
      <c r="AB202" s="9">
        <v>95891</v>
      </c>
      <c r="AC202" s="9">
        <v>265352</v>
      </c>
      <c r="AD202" s="9">
        <v>327</v>
      </c>
      <c r="AE202" s="9"/>
      <c r="AF202" s="9"/>
      <c r="AG202" s="9"/>
      <c r="AH202" s="9"/>
      <c r="AI202" s="20"/>
      <c r="AJ202" s="9"/>
      <c r="AK202" s="9"/>
    </row>
    <row r="203" spans="1:37" ht="48.75" customHeight="1" thickBot="1" x14ac:dyDescent="0.3">
      <c r="A203" s="81"/>
      <c r="B203" s="13">
        <v>0.58333333290113398</v>
      </c>
      <c r="C203" s="14">
        <v>7280</v>
      </c>
      <c r="D203" s="14">
        <v>344008</v>
      </c>
      <c r="E203" s="14">
        <v>10819</v>
      </c>
      <c r="F203" s="14"/>
      <c r="G203" s="14"/>
      <c r="H203" s="14"/>
      <c r="I203" s="14"/>
      <c r="J203" s="14">
        <v>4031</v>
      </c>
      <c r="K203" s="14">
        <v>5118</v>
      </c>
      <c r="L203" s="14">
        <v>22932</v>
      </c>
      <c r="M203" s="14">
        <v>14772</v>
      </c>
      <c r="N203" s="14">
        <v>9347266</v>
      </c>
      <c r="O203" s="14">
        <v>274175</v>
      </c>
      <c r="P203" s="14"/>
      <c r="Q203" s="14"/>
      <c r="R203" s="15">
        <v>49282</v>
      </c>
      <c r="S203" s="14">
        <v>30083183</v>
      </c>
      <c r="T203" s="14"/>
      <c r="U203" s="14">
        <v>147537</v>
      </c>
      <c r="V203" s="14">
        <v>250589</v>
      </c>
      <c r="W203" s="14">
        <v>282987</v>
      </c>
      <c r="X203" s="21">
        <v>66951</v>
      </c>
      <c r="Y203" s="21">
        <v>48108</v>
      </c>
      <c r="Z203" s="21"/>
      <c r="AA203" s="21"/>
      <c r="AB203" s="21">
        <v>95891</v>
      </c>
      <c r="AC203" s="21">
        <v>265352</v>
      </c>
      <c r="AD203" s="21">
        <v>327</v>
      </c>
      <c r="AE203" s="21"/>
      <c r="AF203" s="21"/>
      <c r="AG203" s="21"/>
      <c r="AH203" s="21"/>
      <c r="AI203" s="22"/>
      <c r="AJ203" s="21"/>
      <c r="AK203" s="21"/>
    </row>
    <row r="204" spans="1:37" ht="48.75" customHeight="1" thickBot="1" x14ac:dyDescent="0.3">
      <c r="A204" s="79">
        <v>46090</v>
      </c>
      <c r="B204" s="6">
        <v>0.91666666623416404</v>
      </c>
      <c r="C204" s="7">
        <v>7280</v>
      </c>
      <c r="D204" s="7">
        <v>344008</v>
      </c>
      <c r="E204" s="7">
        <v>10819</v>
      </c>
      <c r="F204" s="7"/>
      <c r="G204" s="7"/>
      <c r="H204" s="7"/>
      <c r="I204" s="7"/>
      <c r="J204" s="7">
        <v>4031</v>
      </c>
      <c r="K204" s="7">
        <v>5118</v>
      </c>
      <c r="L204" s="7">
        <v>22932</v>
      </c>
      <c r="M204" s="7">
        <v>14772</v>
      </c>
      <c r="N204" s="7">
        <f>+N200</f>
        <v>9347266</v>
      </c>
      <c r="O204" s="7">
        <v>274175</v>
      </c>
      <c r="P204" s="7"/>
      <c r="Q204" s="7"/>
      <c r="R204" s="8">
        <v>49282</v>
      </c>
      <c r="S204" s="7">
        <v>30083183</v>
      </c>
      <c r="T204" s="7"/>
      <c r="U204" s="7">
        <v>147537</v>
      </c>
      <c r="V204" s="7">
        <v>250589</v>
      </c>
      <c r="W204" s="7">
        <v>282987</v>
      </c>
      <c r="X204" s="18">
        <v>66951</v>
      </c>
      <c r="Y204" s="18">
        <v>48108</v>
      </c>
      <c r="Z204" s="18">
        <v>6365</v>
      </c>
      <c r="AA204" s="18">
        <v>44088</v>
      </c>
      <c r="AB204" s="18">
        <v>96125</v>
      </c>
      <c r="AC204" s="18">
        <v>265453</v>
      </c>
      <c r="AD204" s="18">
        <v>327</v>
      </c>
      <c r="AE204" s="18">
        <v>7154</v>
      </c>
      <c r="AF204" s="18">
        <v>33687</v>
      </c>
      <c r="AG204" s="18">
        <v>150</v>
      </c>
      <c r="AH204" s="18"/>
      <c r="AI204" s="19">
        <v>1</v>
      </c>
      <c r="AJ204" s="18">
        <v>6291</v>
      </c>
      <c r="AK204" s="18">
        <v>2376</v>
      </c>
    </row>
    <row r="205" spans="1:37" ht="48.75" customHeight="1" thickBot="1" x14ac:dyDescent="0.3">
      <c r="A205" s="80"/>
      <c r="B205" s="10">
        <v>0.24999999956708099</v>
      </c>
      <c r="C205" s="11">
        <v>7294</v>
      </c>
      <c r="D205" s="11">
        <v>344248</v>
      </c>
      <c r="E205" s="11">
        <v>10821</v>
      </c>
      <c r="F205" s="11"/>
      <c r="G205" s="11"/>
      <c r="H205" s="11"/>
      <c r="I205" s="11"/>
      <c r="J205" s="11">
        <v>4031</v>
      </c>
      <c r="K205" s="11">
        <v>5119</v>
      </c>
      <c r="L205" s="11">
        <v>22956</v>
      </c>
      <c r="M205" s="11">
        <v>14778</v>
      </c>
      <c r="N205" s="11">
        <v>9667177</v>
      </c>
      <c r="O205" s="11">
        <v>274393</v>
      </c>
      <c r="P205" s="11"/>
      <c r="Q205" s="11"/>
      <c r="R205" s="12">
        <v>49341</v>
      </c>
      <c r="S205" s="11">
        <v>30147129</v>
      </c>
      <c r="T205" s="11"/>
      <c r="U205" s="11">
        <v>147960</v>
      </c>
      <c r="V205" s="11">
        <v>250785</v>
      </c>
      <c r="W205" s="11">
        <v>283195</v>
      </c>
      <c r="X205" s="9">
        <v>67044</v>
      </c>
      <c r="Y205" s="9">
        <v>48179</v>
      </c>
      <c r="Z205" s="18">
        <v>6365</v>
      </c>
      <c r="AA205" s="18">
        <v>44088</v>
      </c>
      <c r="AB205" s="9">
        <v>96198</v>
      </c>
      <c r="AC205" s="9">
        <v>265518</v>
      </c>
      <c r="AD205" s="9">
        <v>330</v>
      </c>
      <c r="AE205" s="18">
        <v>7154</v>
      </c>
      <c r="AF205" s="9">
        <v>33687</v>
      </c>
      <c r="AG205" s="18">
        <v>150</v>
      </c>
      <c r="AH205" s="18"/>
      <c r="AI205" s="19">
        <v>1</v>
      </c>
      <c r="AJ205" s="18">
        <v>6291</v>
      </c>
      <c r="AK205" s="18">
        <v>2376</v>
      </c>
    </row>
    <row r="206" spans="1:37" ht="48.75" customHeight="1" thickBot="1" x14ac:dyDescent="0.3">
      <c r="A206" s="81"/>
      <c r="B206" s="13">
        <v>0.58333333290011102</v>
      </c>
      <c r="C206" s="14">
        <f>AVERAGE(C207,C205)</f>
        <v>7311</v>
      </c>
      <c r="D206" s="14">
        <v>344513</v>
      </c>
      <c r="E206" s="14">
        <v>10824</v>
      </c>
      <c r="F206" s="14"/>
      <c r="G206" s="14"/>
      <c r="H206" s="14"/>
      <c r="I206" s="14"/>
      <c r="J206" s="14">
        <v>4031</v>
      </c>
      <c r="K206" s="14">
        <v>5119</v>
      </c>
      <c r="L206" s="14">
        <v>22975</v>
      </c>
      <c r="M206" s="14">
        <v>15785</v>
      </c>
      <c r="N206" s="14">
        <v>9966273</v>
      </c>
      <c r="O206" s="14">
        <v>274632</v>
      </c>
      <c r="P206" s="14"/>
      <c r="Q206" s="14"/>
      <c r="R206" s="15">
        <v>49365</v>
      </c>
      <c r="S206" s="14">
        <v>30230438</v>
      </c>
      <c r="T206" s="14"/>
      <c r="U206" s="14">
        <v>148175</v>
      </c>
      <c r="V206" s="14">
        <v>250974</v>
      </c>
      <c r="W206" s="14">
        <v>283382</v>
      </c>
      <c r="X206" s="21">
        <v>67186</v>
      </c>
      <c r="Y206" s="21">
        <v>48293</v>
      </c>
      <c r="Z206" s="18">
        <v>6365</v>
      </c>
      <c r="AA206" s="18">
        <v>44088</v>
      </c>
      <c r="AB206" s="21">
        <v>96237</v>
      </c>
      <c r="AC206" s="21">
        <v>265634</v>
      </c>
      <c r="AD206" s="21">
        <v>350</v>
      </c>
      <c r="AE206" s="18">
        <v>7154</v>
      </c>
      <c r="AF206" s="9">
        <v>33687</v>
      </c>
      <c r="AG206" s="18">
        <v>150</v>
      </c>
      <c r="AH206" s="18"/>
      <c r="AI206" s="19">
        <v>1</v>
      </c>
      <c r="AJ206" s="18">
        <v>6291</v>
      </c>
      <c r="AK206" s="18">
        <v>2376</v>
      </c>
    </row>
    <row r="207" spans="1:37" ht="48.75" customHeight="1" thickBot="1" x14ac:dyDescent="0.3">
      <c r="A207" s="79">
        <v>46091</v>
      </c>
      <c r="B207" s="6">
        <v>0.91666666623314097</v>
      </c>
      <c r="C207" s="7">
        <v>7328</v>
      </c>
      <c r="D207" s="7">
        <v>344811</v>
      </c>
      <c r="E207" s="7">
        <v>10829</v>
      </c>
      <c r="F207" s="7"/>
      <c r="G207" s="7"/>
      <c r="H207" s="7"/>
      <c r="I207" s="7"/>
      <c r="J207" s="7">
        <v>4044</v>
      </c>
      <c r="K207" s="7">
        <v>5119</v>
      </c>
      <c r="L207" s="7">
        <v>22997</v>
      </c>
      <c r="M207" s="7">
        <v>14789</v>
      </c>
      <c r="N207" s="7">
        <v>255232</v>
      </c>
      <c r="O207" s="7">
        <v>274864</v>
      </c>
      <c r="P207" s="7"/>
      <c r="Q207" s="7"/>
      <c r="R207" s="8">
        <v>49376</v>
      </c>
      <c r="S207" s="7">
        <v>30292600</v>
      </c>
      <c r="T207" s="7"/>
      <c r="U207" s="7">
        <v>148999</v>
      </c>
      <c r="V207" s="7">
        <v>251200</v>
      </c>
      <c r="W207" s="7">
        <v>283604</v>
      </c>
      <c r="X207" s="18">
        <f>AVERAGE(X208,X206)</f>
        <v>67302</v>
      </c>
      <c r="Y207" s="69">
        <f>AVERAGE(Y208,Y206)</f>
        <v>48388.5</v>
      </c>
      <c r="Z207" s="18">
        <v>6392</v>
      </c>
      <c r="AA207" s="18">
        <v>44133</v>
      </c>
      <c r="AB207" s="18">
        <v>96368</v>
      </c>
      <c r="AC207" s="18">
        <v>265741</v>
      </c>
      <c r="AD207" s="18">
        <v>350</v>
      </c>
      <c r="AE207" s="18">
        <v>7155</v>
      </c>
      <c r="AF207" s="18">
        <v>33687</v>
      </c>
      <c r="AG207" s="18">
        <v>150</v>
      </c>
      <c r="AH207" s="18"/>
      <c r="AI207" s="19">
        <v>1</v>
      </c>
      <c r="AJ207" s="18">
        <v>6313</v>
      </c>
      <c r="AK207" s="18">
        <v>2376</v>
      </c>
    </row>
    <row r="208" spans="1:37" ht="48.75" customHeight="1" thickBot="1" x14ac:dyDescent="0.3">
      <c r="A208" s="80"/>
      <c r="B208" s="10">
        <v>0.249999999566171</v>
      </c>
      <c r="C208" s="11">
        <v>7344</v>
      </c>
      <c r="D208" s="11">
        <v>345119</v>
      </c>
      <c r="E208" s="11">
        <v>10832</v>
      </c>
      <c r="F208" s="11"/>
      <c r="G208" s="11"/>
      <c r="H208" s="11"/>
      <c r="I208" s="11"/>
      <c r="J208" s="11">
        <v>4046</v>
      </c>
      <c r="K208" s="11">
        <v>5119</v>
      </c>
      <c r="L208" s="11">
        <v>23019</v>
      </c>
      <c r="M208" s="11">
        <v>14796</v>
      </c>
      <c r="N208" s="11">
        <v>544020</v>
      </c>
      <c r="O208" s="11">
        <v>275093</v>
      </c>
      <c r="P208" s="11"/>
      <c r="Q208" s="11"/>
      <c r="R208" s="12">
        <v>49390</v>
      </c>
      <c r="S208" s="11">
        <v>30361031</v>
      </c>
      <c r="T208" s="11"/>
      <c r="U208" s="11">
        <v>149501</v>
      </c>
      <c r="V208" s="11">
        <v>251428</v>
      </c>
      <c r="W208" s="11">
        <v>283801</v>
      </c>
      <c r="X208" s="9">
        <v>67418</v>
      </c>
      <c r="Y208" s="9">
        <v>48484</v>
      </c>
      <c r="Z208" s="18">
        <v>6392</v>
      </c>
      <c r="AA208" s="18">
        <v>44133</v>
      </c>
      <c r="AB208" s="18">
        <v>96459</v>
      </c>
      <c r="AC208" s="18">
        <v>265840</v>
      </c>
      <c r="AD208" s="9">
        <v>350</v>
      </c>
      <c r="AE208" s="18">
        <v>7155</v>
      </c>
      <c r="AF208" s="18">
        <v>33687</v>
      </c>
      <c r="AG208" s="18">
        <v>150</v>
      </c>
      <c r="AH208" s="18"/>
      <c r="AI208" s="19">
        <v>1</v>
      </c>
      <c r="AJ208" s="18">
        <v>6313</v>
      </c>
      <c r="AK208" s="18">
        <v>2376</v>
      </c>
    </row>
    <row r="209" spans="1:37" ht="48.75" customHeight="1" thickBot="1" x14ac:dyDescent="0.3">
      <c r="A209" s="81"/>
      <c r="B209" s="13">
        <v>0.58333333289908795</v>
      </c>
      <c r="C209" s="14">
        <v>7375</v>
      </c>
      <c r="D209" s="14">
        <v>345386</v>
      </c>
      <c r="E209" s="14">
        <v>10835</v>
      </c>
      <c r="F209" s="14"/>
      <c r="G209" s="14"/>
      <c r="H209" s="14"/>
      <c r="I209" s="14"/>
      <c r="J209" s="14">
        <v>4047</v>
      </c>
      <c r="K209" s="14">
        <v>5120</v>
      </c>
      <c r="L209" s="14">
        <v>23037</v>
      </c>
      <c r="M209" s="14">
        <f>AVERAGE(M208,M210)</f>
        <v>14802</v>
      </c>
      <c r="N209" s="14">
        <v>822978</v>
      </c>
      <c r="O209" s="14">
        <v>275315</v>
      </c>
      <c r="P209" s="14"/>
      <c r="Q209" s="14"/>
      <c r="R209" s="15">
        <v>49410</v>
      </c>
      <c r="S209" s="14">
        <v>30430832</v>
      </c>
      <c r="T209" s="14"/>
      <c r="U209" s="70">
        <f>AVERAGE(U208,U210)</f>
        <v>149978.5</v>
      </c>
      <c r="V209" s="14">
        <v>251617</v>
      </c>
      <c r="W209" s="14">
        <v>283897</v>
      </c>
      <c r="X209" s="21">
        <v>67518</v>
      </c>
      <c r="Y209" s="21">
        <v>48565</v>
      </c>
      <c r="Z209" s="18">
        <v>6392</v>
      </c>
      <c r="AA209" s="18">
        <v>44133</v>
      </c>
      <c r="AB209" s="18">
        <v>96637</v>
      </c>
      <c r="AC209" s="18">
        <v>265931</v>
      </c>
      <c r="AD209" s="21">
        <v>350</v>
      </c>
      <c r="AE209" s="18">
        <v>7155</v>
      </c>
      <c r="AF209" s="18">
        <v>33687</v>
      </c>
      <c r="AG209" s="18">
        <v>150</v>
      </c>
      <c r="AH209" s="18"/>
      <c r="AI209" s="19">
        <v>1</v>
      </c>
      <c r="AJ209" s="18">
        <v>6313</v>
      </c>
      <c r="AK209" s="18">
        <v>2376</v>
      </c>
    </row>
    <row r="210" spans="1:37" ht="48.75" customHeight="1" thickBot="1" x14ac:dyDescent="0.3">
      <c r="A210" s="79">
        <v>46092</v>
      </c>
      <c r="B210" s="6">
        <v>0.91666666623211801</v>
      </c>
      <c r="C210" s="7">
        <v>7392</v>
      </c>
      <c r="D210" s="7">
        <v>345699</v>
      </c>
      <c r="E210" s="7">
        <v>10837</v>
      </c>
      <c r="F210" s="7"/>
      <c r="G210" s="7"/>
      <c r="H210" s="7"/>
      <c r="I210" s="7"/>
      <c r="J210" s="7">
        <v>4051</v>
      </c>
      <c r="K210" s="7">
        <v>5120</v>
      </c>
      <c r="L210" s="7">
        <v>23059</v>
      </c>
      <c r="M210" s="7">
        <v>14808</v>
      </c>
      <c r="N210" s="7">
        <v>1132909</v>
      </c>
      <c r="O210" s="7">
        <v>275563</v>
      </c>
      <c r="P210" s="7"/>
      <c r="Q210" s="7"/>
      <c r="R210" s="8">
        <v>49426</v>
      </c>
      <c r="S210" s="7">
        <v>30484653</v>
      </c>
      <c r="T210" s="7"/>
      <c r="U210" s="7">
        <v>150456</v>
      </c>
      <c r="V210" s="7">
        <v>251853</v>
      </c>
      <c r="W210" s="7">
        <v>284041</v>
      </c>
      <c r="X210" s="18">
        <v>67654</v>
      </c>
      <c r="Y210" s="18">
        <v>48675</v>
      </c>
      <c r="Z210" s="18">
        <v>6435</v>
      </c>
      <c r="AA210" s="18">
        <v>44174</v>
      </c>
      <c r="AB210" s="18">
        <v>96687</v>
      </c>
      <c r="AC210" s="18">
        <v>266030</v>
      </c>
      <c r="AD210" s="18">
        <v>351</v>
      </c>
      <c r="AE210" s="18">
        <v>7158</v>
      </c>
      <c r="AF210" s="18">
        <v>33687</v>
      </c>
      <c r="AG210" s="18">
        <v>150</v>
      </c>
      <c r="AH210" s="18"/>
      <c r="AI210" s="19">
        <v>1</v>
      </c>
      <c r="AJ210" s="18">
        <v>6335</v>
      </c>
      <c r="AK210" s="18">
        <v>2376</v>
      </c>
    </row>
    <row r="211" spans="1:37" ht="48.75" customHeight="1" thickBot="1" x14ac:dyDescent="0.3">
      <c r="A211" s="80"/>
      <c r="B211" s="10">
        <v>0.24999999956514801</v>
      </c>
      <c r="C211" s="11">
        <v>7409</v>
      </c>
      <c r="D211" s="11">
        <v>345965</v>
      </c>
      <c r="E211" s="11">
        <v>10841</v>
      </c>
      <c r="F211" s="11"/>
      <c r="G211" s="11"/>
      <c r="H211" s="11"/>
      <c r="I211" s="11"/>
      <c r="J211" s="11">
        <v>4062</v>
      </c>
      <c r="K211" s="11">
        <v>5121</v>
      </c>
      <c r="L211" s="11">
        <v>23080</v>
      </c>
      <c r="M211" s="68">
        <v>14817</v>
      </c>
      <c r="N211" s="11">
        <v>1422463</v>
      </c>
      <c r="O211" s="11">
        <v>275795</v>
      </c>
      <c r="P211" s="11"/>
      <c r="Q211" s="11"/>
      <c r="R211" s="73">
        <f>AVERAGE(R212,R210)</f>
        <v>49446.5</v>
      </c>
      <c r="S211" s="11">
        <v>30528539</v>
      </c>
      <c r="T211" s="11"/>
      <c r="U211" s="11">
        <v>150922</v>
      </c>
      <c r="V211" s="11">
        <v>252026</v>
      </c>
      <c r="W211" s="11">
        <v>284184</v>
      </c>
      <c r="X211" s="9">
        <v>67791</v>
      </c>
      <c r="Y211" s="9">
        <v>48790</v>
      </c>
      <c r="Z211" s="18">
        <v>6435</v>
      </c>
      <c r="AA211" s="18">
        <v>44174</v>
      </c>
      <c r="AB211" s="9">
        <v>96754</v>
      </c>
      <c r="AC211" s="9">
        <v>266117</v>
      </c>
      <c r="AD211" s="9">
        <v>352</v>
      </c>
      <c r="AE211" s="18">
        <v>7158</v>
      </c>
      <c r="AF211" s="18">
        <v>33687</v>
      </c>
      <c r="AG211" s="18">
        <v>150</v>
      </c>
      <c r="AH211" s="18"/>
      <c r="AI211" s="19">
        <v>1</v>
      </c>
      <c r="AJ211" s="18">
        <v>6335</v>
      </c>
      <c r="AK211" s="18">
        <v>2376</v>
      </c>
    </row>
    <row r="212" spans="1:37" ht="48.75" customHeight="1" thickBot="1" x14ac:dyDescent="0.3">
      <c r="A212" s="81"/>
      <c r="B212" s="13">
        <v>0.58333333289817801</v>
      </c>
      <c r="C212" s="14">
        <v>7440</v>
      </c>
      <c r="D212" s="14">
        <v>346253</v>
      </c>
      <c r="E212" s="14">
        <v>10843</v>
      </c>
      <c r="F212" s="14"/>
      <c r="G212" s="14"/>
      <c r="H212" s="14"/>
      <c r="I212" s="14"/>
      <c r="J212" s="14">
        <v>4065</v>
      </c>
      <c r="K212" s="14">
        <v>5121</v>
      </c>
      <c r="L212" s="14">
        <v>23099</v>
      </c>
      <c r="M212" s="14">
        <v>14821</v>
      </c>
      <c r="N212" s="14">
        <v>1708780</v>
      </c>
      <c r="O212" s="14">
        <v>276022</v>
      </c>
      <c r="P212" s="14"/>
      <c r="Q212" s="14"/>
      <c r="R212" s="15">
        <v>49467</v>
      </c>
      <c r="S212" s="14">
        <v>30588168</v>
      </c>
      <c r="T212" s="14"/>
      <c r="U212" s="14">
        <v>151377</v>
      </c>
      <c r="V212" s="14">
        <v>252164</v>
      </c>
      <c r="W212" s="14">
        <v>284305</v>
      </c>
      <c r="X212" s="21">
        <v>67927</v>
      </c>
      <c r="Y212" s="21">
        <v>48901</v>
      </c>
      <c r="Z212" s="18">
        <v>6435</v>
      </c>
      <c r="AA212" s="18">
        <v>44174</v>
      </c>
      <c r="AB212" s="21">
        <v>96943</v>
      </c>
      <c r="AC212" s="21">
        <v>266200</v>
      </c>
      <c r="AD212" s="21">
        <v>353</v>
      </c>
      <c r="AE212" s="18">
        <v>7158</v>
      </c>
      <c r="AF212" s="18">
        <v>33687</v>
      </c>
      <c r="AG212" s="18">
        <v>150</v>
      </c>
      <c r="AH212" s="18"/>
      <c r="AI212" s="19">
        <v>1</v>
      </c>
      <c r="AJ212" s="18">
        <v>6335</v>
      </c>
      <c r="AK212" s="18">
        <v>2376</v>
      </c>
    </row>
    <row r="213" spans="1:37" ht="48.75" customHeight="1" thickBot="1" x14ac:dyDescent="0.3">
      <c r="A213" s="79">
        <v>46093</v>
      </c>
      <c r="B213" s="6">
        <v>0.91666666623109405</v>
      </c>
      <c r="C213" s="7">
        <v>7453</v>
      </c>
      <c r="D213" s="7">
        <v>346523</v>
      </c>
      <c r="E213" s="7">
        <v>10846</v>
      </c>
      <c r="F213" s="7"/>
      <c r="G213" s="7"/>
      <c r="H213" s="7"/>
      <c r="I213" s="7"/>
      <c r="J213" s="7">
        <v>4067</v>
      </c>
      <c r="K213" s="7">
        <v>5121</v>
      </c>
      <c r="L213" s="7">
        <v>23120</v>
      </c>
      <c r="M213" s="7">
        <v>14829</v>
      </c>
      <c r="N213" s="7">
        <v>1955812</v>
      </c>
      <c r="O213" s="7">
        <v>276209</v>
      </c>
      <c r="P213" s="7"/>
      <c r="Q213" s="7"/>
      <c r="R213" s="8">
        <v>49485</v>
      </c>
      <c r="S213" s="7">
        <v>30613991</v>
      </c>
      <c r="T213" s="7"/>
      <c r="U213" s="7">
        <v>151844</v>
      </c>
      <c r="V213" s="7">
        <v>252340</v>
      </c>
      <c r="W213" s="7">
        <v>284488</v>
      </c>
      <c r="X213" s="18">
        <v>68012</v>
      </c>
      <c r="Y213" s="18">
        <v>48970</v>
      </c>
      <c r="Z213" s="18">
        <v>6479</v>
      </c>
      <c r="AA213" s="18">
        <v>44212</v>
      </c>
      <c r="AB213" s="18">
        <v>96993</v>
      </c>
      <c r="AC213" s="18">
        <v>266310</v>
      </c>
      <c r="AD213" s="18">
        <v>354</v>
      </c>
      <c r="AE213" s="18">
        <v>7162</v>
      </c>
      <c r="AF213" s="18">
        <v>33687</v>
      </c>
      <c r="AG213" s="18">
        <v>150</v>
      </c>
      <c r="AH213" s="18"/>
      <c r="AI213" s="19">
        <v>1</v>
      </c>
      <c r="AJ213" s="18">
        <v>6357</v>
      </c>
      <c r="AK213" s="18">
        <v>2376</v>
      </c>
    </row>
    <row r="214" spans="1:37" ht="48.75" customHeight="1" thickBot="1" x14ac:dyDescent="0.3">
      <c r="A214" s="80"/>
      <c r="B214" s="10">
        <v>0.249999999564125</v>
      </c>
      <c r="C214" s="11">
        <v>7482</v>
      </c>
      <c r="D214" s="11">
        <v>346765</v>
      </c>
      <c r="E214" s="11">
        <v>10849</v>
      </c>
      <c r="F214" s="11"/>
      <c r="G214" s="11"/>
      <c r="H214" s="11"/>
      <c r="I214" s="11"/>
      <c r="J214" s="11">
        <v>4071</v>
      </c>
      <c r="K214" s="11">
        <v>5121</v>
      </c>
      <c r="L214" s="11">
        <v>23142</v>
      </c>
      <c r="M214" s="11">
        <v>14836</v>
      </c>
      <c r="N214" s="11">
        <v>2240892</v>
      </c>
      <c r="O214" s="11">
        <v>276420</v>
      </c>
      <c r="P214" s="11"/>
      <c r="Q214" s="11"/>
      <c r="R214" s="12">
        <v>49501</v>
      </c>
      <c r="S214" s="11">
        <v>30677595</v>
      </c>
      <c r="T214" s="11"/>
      <c r="U214" s="11">
        <v>152258</v>
      </c>
      <c r="V214" s="11">
        <v>252517</v>
      </c>
      <c r="W214" s="11">
        <v>284624</v>
      </c>
      <c r="X214" s="9">
        <v>68147</v>
      </c>
      <c r="Y214" s="9">
        <v>49083</v>
      </c>
      <c r="Z214" s="18">
        <v>6479</v>
      </c>
      <c r="AA214" s="18">
        <v>44212</v>
      </c>
      <c r="AB214" s="9">
        <v>97154</v>
      </c>
      <c r="AC214" s="9">
        <v>266406</v>
      </c>
      <c r="AD214" s="9">
        <v>355</v>
      </c>
      <c r="AE214" s="18">
        <v>7162</v>
      </c>
      <c r="AF214" s="18">
        <v>33687</v>
      </c>
      <c r="AG214" s="18">
        <v>150</v>
      </c>
      <c r="AH214" s="18"/>
      <c r="AI214" s="19">
        <v>1</v>
      </c>
      <c r="AJ214" s="18">
        <v>6357</v>
      </c>
      <c r="AK214" s="18">
        <v>2376</v>
      </c>
    </row>
    <row r="215" spans="1:37" ht="48.75" customHeight="1" thickBot="1" x14ac:dyDescent="0.3">
      <c r="A215" s="81"/>
      <c r="B215" s="13">
        <v>0.58333333289715505</v>
      </c>
      <c r="C215" s="14">
        <v>7502</v>
      </c>
      <c r="D215" s="14">
        <v>347015</v>
      </c>
      <c r="E215" s="14">
        <v>10851</v>
      </c>
      <c r="F215" s="14"/>
      <c r="G215" s="14"/>
      <c r="H215" s="14"/>
      <c r="I215" s="14"/>
      <c r="J215" s="14">
        <v>4076</v>
      </c>
      <c r="K215" s="14">
        <v>5121</v>
      </c>
      <c r="L215" s="14">
        <v>23156</v>
      </c>
      <c r="M215" s="14">
        <v>14840</v>
      </c>
      <c r="N215" s="14">
        <v>2465820</v>
      </c>
      <c r="O215" s="14">
        <v>276588</v>
      </c>
      <c r="P215" s="14"/>
      <c r="Q215" s="14"/>
      <c r="R215" s="15">
        <v>49516</v>
      </c>
      <c r="S215" s="14">
        <v>30796766</v>
      </c>
      <c r="T215" s="14"/>
      <c r="U215" s="14">
        <v>152698</v>
      </c>
      <c r="V215" s="14">
        <v>252620</v>
      </c>
      <c r="W215" s="14">
        <v>284730</v>
      </c>
      <c r="X215" s="21">
        <v>68281</v>
      </c>
      <c r="Y215" s="21">
        <v>49195</v>
      </c>
      <c r="Z215" s="18">
        <v>6479</v>
      </c>
      <c r="AA215" s="18">
        <v>44212</v>
      </c>
      <c r="AB215" s="21">
        <v>97204</v>
      </c>
      <c r="AC215" s="21">
        <v>266496</v>
      </c>
      <c r="AD215" s="21">
        <v>356</v>
      </c>
      <c r="AE215" s="18">
        <v>7162</v>
      </c>
      <c r="AF215" s="18">
        <v>33687</v>
      </c>
      <c r="AG215" s="18">
        <v>150</v>
      </c>
      <c r="AH215" s="18"/>
      <c r="AI215" s="19">
        <v>1</v>
      </c>
      <c r="AJ215" s="18">
        <v>6357</v>
      </c>
      <c r="AK215" s="18">
        <v>2376</v>
      </c>
    </row>
    <row r="216" spans="1:37" ht="48.75" customHeight="1" thickBot="1" x14ac:dyDescent="0.3">
      <c r="A216" s="79">
        <v>46094</v>
      </c>
      <c r="B216" s="6">
        <v>0.916666666230185</v>
      </c>
      <c r="C216" s="7">
        <v>7538</v>
      </c>
      <c r="D216" s="7">
        <v>347325</v>
      </c>
      <c r="E216" s="7">
        <v>10854</v>
      </c>
      <c r="F216" s="7"/>
      <c r="G216" s="7"/>
      <c r="H216" s="7"/>
      <c r="I216" s="7"/>
      <c r="J216" s="7">
        <v>4082</v>
      </c>
      <c r="K216" s="7">
        <v>5121</v>
      </c>
      <c r="L216" s="7">
        <v>23177</v>
      </c>
      <c r="M216" s="7">
        <v>14847</v>
      </c>
      <c r="N216" s="7">
        <v>2747086</v>
      </c>
      <c r="O216" s="7">
        <v>276800</v>
      </c>
      <c r="P216" s="7"/>
      <c r="Q216" s="7"/>
      <c r="R216" s="8">
        <v>49533</v>
      </c>
      <c r="S216" s="7">
        <v>30854322</v>
      </c>
      <c r="T216" s="7"/>
      <c r="U216" s="7">
        <v>153236</v>
      </c>
      <c r="V216" s="7">
        <v>252819</v>
      </c>
      <c r="W216" s="7">
        <v>284879</v>
      </c>
      <c r="X216" s="18">
        <v>68395</v>
      </c>
      <c r="Y216" s="18">
        <v>49291</v>
      </c>
      <c r="Z216" s="18">
        <v>6521</v>
      </c>
      <c r="AA216" s="18">
        <v>44273</v>
      </c>
      <c r="AB216" s="18">
        <v>97393</v>
      </c>
      <c r="AC216" s="18">
        <v>266590</v>
      </c>
      <c r="AD216" s="18">
        <v>356</v>
      </c>
      <c r="AE216" s="18">
        <v>7169</v>
      </c>
      <c r="AF216" s="18">
        <v>33687</v>
      </c>
      <c r="AG216" s="18">
        <v>150</v>
      </c>
      <c r="AH216" s="18"/>
      <c r="AI216" s="19">
        <v>1</v>
      </c>
      <c r="AJ216" s="18">
        <v>6377</v>
      </c>
      <c r="AK216" s="18">
        <v>2376</v>
      </c>
    </row>
    <row r="217" spans="1:37" ht="48.75" customHeight="1" thickBot="1" x14ac:dyDescent="0.3">
      <c r="A217" s="80"/>
      <c r="B217" s="10">
        <v>0.24999999956310101</v>
      </c>
      <c r="C217" s="11">
        <v>7562</v>
      </c>
      <c r="D217" s="11">
        <v>347546</v>
      </c>
      <c r="E217" s="11">
        <v>10856</v>
      </c>
      <c r="F217" s="11"/>
      <c r="G217" s="11"/>
      <c r="H217" s="11"/>
      <c r="I217" s="11"/>
      <c r="J217" s="11">
        <v>4088</v>
      </c>
      <c r="K217" s="11">
        <v>5121</v>
      </c>
      <c r="L217" s="11">
        <v>23201</v>
      </c>
      <c r="M217" s="11">
        <v>14853</v>
      </c>
      <c r="N217" s="11">
        <v>2992059</v>
      </c>
      <c r="O217" s="11">
        <v>276982</v>
      </c>
      <c r="P217" s="11"/>
      <c r="Q217" s="11"/>
      <c r="R217" s="12">
        <v>49550</v>
      </c>
      <c r="S217" s="11">
        <v>30952913</v>
      </c>
      <c r="T217" s="11"/>
      <c r="U217" s="11">
        <v>153633</v>
      </c>
      <c r="V217" s="11">
        <v>253023</v>
      </c>
      <c r="W217" s="11">
        <v>285011</v>
      </c>
      <c r="X217" s="9">
        <v>68476</v>
      </c>
      <c r="Y217" s="9">
        <v>49358</v>
      </c>
      <c r="Z217" s="18">
        <v>6521</v>
      </c>
      <c r="AA217" s="18">
        <v>44273</v>
      </c>
      <c r="AB217" s="9">
        <v>97525</v>
      </c>
      <c r="AC217" s="9">
        <v>266700</v>
      </c>
      <c r="AD217" s="9">
        <v>357</v>
      </c>
      <c r="AE217" s="18">
        <v>7169</v>
      </c>
      <c r="AF217" s="18">
        <v>33687</v>
      </c>
      <c r="AG217" s="18">
        <v>150</v>
      </c>
      <c r="AH217" s="18"/>
      <c r="AI217" s="19">
        <v>1</v>
      </c>
      <c r="AJ217" s="18">
        <v>6377</v>
      </c>
      <c r="AK217" s="18">
        <v>2376</v>
      </c>
    </row>
    <row r="218" spans="1:37" ht="48.75" customHeight="1" thickBot="1" x14ac:dyDescent="0.3">
      <c r="A218" s="81"/>
      <c r="B218" s="13">
        <v>0.58333333289613198</v>
      </c>
      <c r="C218" s="14">
        <v>7582</v>
      </c>
      <c r="D218" s="14">
        <v>347746</v>
      </c>
      <c r="E218" s="14">
        <v>10857</v>
      </c>
      <c r="F218" s="14"/>
      <c r="G218" s="14"/>
      <c r="H218" s="14"/>
      <c r="I218" s="14"/>
      <c r="J218" s="14">
        <v>4091</v>
      </c>
      <c r="K218" s="14">
        <v>5121</v>
      </c>
      <c r="L218" s="14">
        <v>23217</v>
      </c>
      <c r="M218" s="14">
        <v>14857</v>
      </c>
      <c r="N218" s="14">
        <v>3176101</v>
      </c>
      <c r="O218" s="14">
        <v>277119</v>
      </c>
      <c r="P218" s="14"/>
      <c r="Q218" s="14"/>
      <c r="R218" s="15">
        <v>49564</v>
      </c>
      <c r="S218" s="14">
        <v>31000106</v>
      </c>
      <c r="T218" s="14"/>
      <c r="U218" s="14">
        <v>153848</v>
      </c>
      <c r="V218" s="14">
        <v>253119</v>
      </c>
      <c r="W218" s="14">
        <v>285048</v>
      </c>
      <c r="X218" s="21">
        <f>AVERAGE(X219,X217)</f>
        <v>68558</v>
      </c>
      <c r="Y218" s="21">
        <f>AVERAGE(Y219,Y217)</f>
        <v>49420</v>
      </c>
      <c r="Z218" s="18">
        <v>6521</v>
      </c>
      <c r="AA218" s="18">
        <v>44273</v>
      </c>
      <c r="AB218" s="21">
        <v>97677</v>
      </c>
      <c r="AC218" s="21">
        <v>266721</v>
      </c>
      <c r="AD218" s="21">
        <v>357</v>
      </c>
      <c r="AE218" s="18">
        <v>7169</v>
      </c>
      <c r="AF218" s="18">
        <v>33687</v>
      </c>
      <c r="AG218" s="18">
        <v>150</v>
      </c>
      <c r="AH218" s="18"/>
      <c r="AI218" s="19">
        <v>1</v>
      </c>
      <c r="AJ218" s="18">
        <v>6377</v>
      </c>
      <c r="AK218" s="18">
        <v>2376</v>
      </c>
    </row>
    <row r="219" spans="1:37" ht="48.75" customHeight="1" thickBot="1" x14ac:dyDescent="0.3">
      <c r="A219" s="79">
        <v>46095</v>
      </c>
      <c r="B219" s="6">
        <v>0.91666666622916204</v>
      </c>
      <c r="C219" s="7">
        <v>7612</v>
      </c>
      <c r="D219" s="7">
        <v>348015</v>
      </c>
      <c r="E219" s="7">
        <v>10859</v>
      </c>
      <c r="F219" s="7"/>
      <c r="G219" s="7"/>
      <c r="H219" s="7"/>
      <c r="I219" s="7"/>
      <c r="J219" s="7">
        <v>4093</v>
      </c>
      <c r="K219" s="7">
        <v>5121</v>
      </c>
      <c r="L219" s="7">
        <v>23239</v>
      </c>
      <c r="M219" s="7">
        <v>14864</v>
      </c>
      <c r="N219" s="7">
        <v>3461475</v>
      </c>
      <c r="O219" s="7">
        <v>277333</v>
      </c>
      <c r="P219" s="7"/>
      <c r="Q219" s="7"/>
      <c r="R219" s="8">
        <v>49581</v>
      </c>
      <c r="S219" s="7">
        <v>31055000</v>
      </c>
      <c r="T219" s="7"/>
      <c r="U219" s="7">
        <v>154462</v>
      </c>
      <c r="V219" s="7">
        <v>253331</v>
      </c>
      <c r="W219" s="7">
        <v>285198</v>
      </c>
      <c r="X219" s="18">
        <v>68640</v>
      </c>
      <c r="Y219" s="18">
        <v>49482</v>
      </c>
      <c r="Z219" s="18">
        <v>6563</v>
      </c>
      <c r="AA219" s="18">
        <v>44321</v>
      </c>
      <c r="AB219" s="18">
        <v>97847</v>
      </c>
      <c r="AC219" s="18">
        <v>266895</v>
      </c>
      <c r="AD219" s="18" t="s">
        <v>95</v>
      </c>
      <c r="AE219" s="18">
        <v>7175</v>
      </c>
      <c r="AF219" s="18">
        <v>33687</v>
      </c>
      <c r="AG219" s="18">
        <v>150</v>
      </c>
      <c r="AH219" s="18"/>
      <c r="AI219" s="19">
        <v>1</v>
      </c>
      <c r="AJ219" s="18">
        <v>6392</v>
      </c>
      <c r="AK219" s="18">
        <v>2376</v>
      </c>
    </row>
    <row r="220" spans="1:37" ht="48.75" customHeight="1" x14ac:dyDescent="0.25">
      <c r="A220" s="80"/>
      <c r="B220" s="10">
        <v>0.249999999562078</v>
      </c>
      <c r="C220" s="11">
        <v>7636</v>
      </c>
      <c r="D220" s="11">
        <v>348260</v>
      </c>
      <c r="E220" s="11">
        <v>10661</v>
      </c>
      <c r="F220" s="11"/>
      <c r="G220" s="11"/>
      <c r="H220" s="11"/>
      <c r="I220" s="11"/>
      <c r="J220" s="11">
        <v>4093</v>
      </c>
      <c r="K220" s="11">
        <v>5121</v>
      </c>
      <c r="L220" s="11">
        <v>23260</v>
      </c>
      <c r="M220" s="11">
        <v>14865</v>
      </c>
      <c r="N220" s="11">
        <v>3650182</v>
      </c>
      <c r="O220" s="11">
        <v>277474</v>
      </c>
      <c r="P220" s="11"/>
      <c r="Q220" s="11"/>
      <c r="R220" s="12">
        <v>49588</v>
      </c>
      <c r="S220" s="11">
        <v>31129740</v>
      </c>
      <c r="T220" s="11"/>
      <c r="U220" s="11">
        <v>154918</v>
      </c>
      <c r="V220" s="11">
        <v>253443</v>
      </c>
      <c r="W220" s="11">
        <v>285290</v>
      </c>
      <c r="X220" s="9">
        <v>68736</v>
      </c>
      <c r="Y220" s="9">
        <v>49555</v>
      </c>
      <c r="Z220" s="9"/>
      <c r="AA220" s="9"/>
      <c r="AB220" s="9">
        <v>97993</v>
      </c>
      <c r="AC220" s="9">
        <v>266996</v>
      </c>
      <c r="AD220" s="18" t="s">
        <v>95</v>
      </c>
      <c r="AE220" s="9"/>
      <c r="AF220" s="9">
        <v>33687</v>
      </c>
      <c r="AG220" s="9">
        <v>150</v>
      </c>
      <c r="AH220" s="9"/>
      <c r="AI220" s="20">
        <v>1</v>
      </c>
      <c r="AJ220" s="9"/>
      <c r="AK220" s="9">
        <v>2376</v>
      </c>
    </row>
    <row r="221" spans="1:37" ht="48.75" customHeight="1" thickBot="1" x14ac:dyDescent="0.3">
      <c r="A221" s="81"/>
      <c r="B221" s="13">
        <v>0.58333333289510803</v>
      </c>
      <c r="C221" s="14">
        <v>7687</v>
      </c>
      <c r="D221" s="14">
        <v>348709</v>
      </c>
      <c r="E221" s="14">
        <v>10864</v>
      </c>
      <c r="F221" s="14"/>
      <c r="G221" s="14"/>
      <c r="H221" s="14"/>
      <c r="I221" s="14"/>
      <c r="J221" s="14">
        <v>4103</v>
      </c>
      <c r="K221" s="14">
        <v>5122</v>
      </c>
      <c r="L221" s="14">
        <v>23294</v>
      </c>
      <c r="M221" s="14">
        <v>14894</v>
      </c>
      <c r="N221" s="14">
        <v>3650182</v>
      </c>
      <c r="O221" s="14">
        <v>277474</v>
      </c>
      <c r="P221" s="14"/>
      <c r="Q221" s="14"/>
      <c r="R221" s="15">
        <v>49632</v>
      </c>
      <c r="S221" s="14">
        <v>31238229</v>
      </c>
      <c r="T221" s="14"/>
      <c r="U221" s="14">
        <v>155640</v>
      </c>
      <c r="V221" s="14">
        <v>253481</v>
      </c>
      <c r="W221" s="14">
        <v>285310</v>
      </c>
      <c r="X221" s="21">
        <v>68826</v>
      </c>
      <c r="Y221" s="21">
        <v>49627</v>
      </c>
      <c r="Z221" s="21"/>
      <c r="AA221" s="21"/>
      <c r="AB221" s="21">
        <v>98327</v>
      </c>
      <c r="AC221" s="21">
        <v>267218</v>
      </c>
      <c r="AD221" s="21" t="s">
        <v>95</v>
      </c>
      <c r="AE221" s="21"/>
      <c r="AF221" s="21"/>
      <c r="AG221" s="21"/>
      <c r="AH221" s="21"/>
      <c r="AI221" s="22"/>
      <c r="AJ221" s="21"/>
      <c r="AK221" s="21"/>
    </row>
    <row r="222" spans="1:37" ht="48.75" customHeight="1" x14ac:dyDescent="0.25">
      <c r="A222" s="79">
        <v>46096</v>
      </c>
      <c r="B222" s="6">
        <v>0.91666666622813897</v>
      </c>
      <c r="C222" s="7">
        <v>7687</v>
      </c>
      <c r="D222" s="7">
        <v>348709</v>
      </c>
      <c r="E222" s="7">
        <v>10864</v>
      </c>
      <c r="F222" s="7"/>
      <c r="G222" s="7"/>
      <c r="H222" s="7"/>
      <c r="I222" s="7"/>
      <c r="J222" s="7">
        <v>4103</v>
      </c>
      <c r="K222" s="7">
        <v>5122</v>
      </c>
      <c r="L222" s="7">
        <v>23294</v>
      </c>
      <c r="M222" s="7">
        <v>14894</v>
      </c>
      <c r="N222" s="7">
        <v>3650182</v>
      </c>
      <c r="O222" s="7">
        <v>277474</v>
      </c>
      <c r="P222" s="7"/>
      <c r="Q222" s="7"/>
      <c r="R222" s="8">
        <v>49632</v>
      </c>
      <c r="S222" s="7">
        <v>31238229</v>
      </c>
      <c r="T222" s="7"/>
      <c r="U222" s="7">
        <v>155640</v>
      </c>
      <c r="V222" s="7">
        <v>253481</v>
      </c>
      <c r="W222" s="7">
        <v>285310</v>
      </c>
      <c r="X222" s="18">
        <v>68826</v>
      </c>
      <c r="Y222" s="18">
        <v>49627</v>
      </c>
      <c r="Z222" s="18"/>
      <c r="AA222" s="18"/>
      <c r="AB222" s="18">
        <v>98327</v>
      </c>
      <c r="AC222" s="18">
        <v>267218</v>
      </c>
      <c r="AD222" s="18" t="s">
        <v>95</v>
      </c>
      <c r="AE222" s="18"/>
      <c r="AF222" s="18"/>
      <c r="AG222" s="18"/>
      <c r="AH222" s="18"/>
      <c r="AI222" s="19"/>
      <c r="AJ222" s="18"/>
      <c r="AK222" s="18"/>
    </row>
    <row r="223" spans="1:37" ht="48.75" customHeight="1" x14ac:dyDescent="0.25">
      <c r="A223" s="80"/>
      <c r="B223" s="10">
        <v>0.249999999561169</v>
      </c>
      <c r="C223" s="11">
        <v>7687</v>
      </c>
      <c r="D223" s="11">
        <v>348709</v>
      </c>
      <c r="E223" s="11">
        <v>10864</v>
      </c>
      <c r="F223" s="11"/>
      <c r="G223" s="11"/>
      <c r="H223" s="11"/>
      <c r="I223" s="11"/>
      <c r="J223" s="11">
        <v>4103</v>
      </c>
      <c r="K223" s="11">
        <v>5122</v>
      </c>
      <c r="L223" s="11">
        <v>23294</v>
      </c>
      <c r="M223" s="11">
        <v>14894</v>
      </c>
      <c r="N223" s="11">
        <v>3650182</v>
      </c>
      <c r="O223" s="11">
        <v>277474</v>
      </c>
      <c r="P223" s="11"/>
      <c r="Q223" s="11"/>
      <c r="R223" s="12">
        <v>49632</v>
      </c>
      <c r="S223" s="11">
        <v>31238229</v>
      </c>
      <c r="T223" s="11"/>
      <c r="U223" s="11">
        <v>155640</v>
      </c>
      <c r="V223" s="11">
        <v>253481</v>
      </c>
      <c r="W223" s="11">
        <v>285310</v>
      </c>
      <c r="X223" s="9">
        <v>68826</v>
      </c>
      <c r="Y223" s="9">
        <v>49627</v>
      </c>
      <c r="Z223" s="9"/>
      <c r="AA223" s="9"/>
      <c r="AB223" s="9">
        <v>98327</v>
      </c>
      <c r="AC223" s="9">
        <v>267218</v>
      </c>
      <c r="AD223" s="9" t="s">
        <v>95</v>
      </c>
      <c r="AE223" s="9"/>
      <c r="AF223" s="9"/>
      <c r="AG223" s="9"/>
      <c r="AH223" s="9"/>
      <c r="AI223" s="20"/>
      <c r="AJ223" s="9"/>
      <c r="AK223" s="9"/>
    </row>
    <row r="224" spans="1:37" ht="48.75" customHeight="1" thickBot="1" x14ac:dyDescent="0.3">
      <c r="A224" s="81"/>
      <c r="B224" s="13">
        <v>0.58333333289408495</v>
      </c>
      <c r="C224" s="14">
        <v>7687</v>
      </c>
      <c r="D224" s="14">
        <v>348709</v>
      </c>
      <c r="E224" s="14">
        <v>10864</v>
      </c>
      <c r="F224" s="14"/>
      <c r="G224" s="14"/>
      <c r="H224" s="14"/>
      <c r="I224" s="14"/>
      <c r="J224" s="14">
        <v>4103</v>
      </c>
      <c r="K224" s="14">
        <v>5122</v>
      </c>
      <c r="L224" s="14">
        <v>23294</v>
      </c>
      <c r="M224" s="14">
        <v>14894</v>
      </c>
      <c r="N224" s="14">
        <v>3650182</v>
      </c>
      <c r="O224" s="14">
        <v>277474</v>
      </c>
      <c r="P224" s="14"/>
      <c r="Q224" s="14"/>
      <c r="R224" s="15">
        <v>49632</v>
      </c>
      <c r="S224" s="14">
        <v>31238229</v>
      </c>
      <c r="T224" s="14"/>
      <c r="U224" s="14">
        <v>155640</v>
      </c>
      <c r="V224" s="14">
        <v>253481</v>
      </c>
      <c r="W224" s="14">
        <v>285310</v>
      </c>
      <c r="X224" s="21">
        <v>68826</v>
      </c>
      <c r="Y224" s="21">
        <v>49627</v>
      </c>
      <c r="Z224" s="21"/>
      <c r="AA224" s="21"/>
      <c r="AB224" s="21">
        <v>98327</v>
      </c>
      <c r="AC224" s="21">
        <v>267218</v>
      </c>
      <c r="AD224" s="21" t="s">
        <v>95</v>
      </c>
      <c r="AE224" s="21"/>
      <c r="AF224" s="21"/>
      <c r="AG224" s="21"/>
      <c r="AH224" s="21"/>
      <c r="AI224" s="22"/>
      <c r="AJ224" s="21"/>
      <c r="AK224" s="21"/>
    </row>
    <row r="225" spans="1:37" ht="48.75" customHeight="1" x14ac:dyDescent="0.25">
      <c r="A225" s="79">
        <v>46097</v>
      </c>
      <c r="B225" s="6">
        <v>0.91666666622711501</v>
      </c>
      <c r="C225" s="7">
        <v>7687</v>
      </c>
      <c r="D225" s="7">
        <v>348709</v>
      </c>
      <c r="E225" s="7">
        <v>10864</v>
      </c>
      <c r="F225" s="7"/>
      <c r="G225" s="7"/>
      <c r="H225" s="7"/>
      <c r="I225" s="7"/>
      <c r="J225" s="7">
        <v>4103</v>
      </c>
      <c r="K225" s="7">
        <v>5122</v>
      </c>
      <c r="L225" s="7">
        <v>23294</v>
      </c>
      <c r="M225" s="7">
        <v>14894</v>
      </c>
      <c r="N225" s="7">
        <v>3650182</v>
      </c>
      <c r="O225" s="7">
        <v>277474</v>
      </c>
      <c r="P225" s="7"/>
      <c r="Q225" s="7"/>
      <c r="R225" s="8">
        <v>49632</v>
      </c>
      <c r="S225" s="7">
        <v>31238229</v>
      </c>
      <c r="T225" s="7"/>
      <c r="U225" s="7">
        <v>155640</v>
      </c>
      <c r="V225" s="7">
        <v>253481</v>
      </c>
      <c r="W225" s="7">
        <v>285310</v>
      </c>
      <c r="X225" s="18">
        <v>68826</v>
      </c>
      <c r="Y225" s="18">
        <v>49627</v>
      </c>
      <c r="Z225" s="18">
        <v>6563</v>
      </c>
      <c r="AA225" s="18">
        <v>44419</v>
      </c>
      <c r="AB225" s="18">
        <v>98327</v>
      </c>
      <c r="AC225" s="18">
        <v>267218</v>
      </c>
      <c r="AD225" s="18" t="s">
        <v>95</v>
      </c>
      <c r="AE225" s="18">
        <v>7175</v>
      </c>
      <c r="AF225" s="18">
        <v>33687</v>
      </c>
      <c r="AG225" s="18">
        <v>150</v>
      </c>
      <c r="AH225" s="18"/>
      <c r="AI225" s="19">
        <v>1</v>
      </c>
      <c r="AJ225" s="18">
        <v>6420</v>
      </c>
      <c r="AK225" s="18">
        <v>2376</v>
      </c>
    </row>
    <row r="226" spans="1:37" ht="48.75" customHeight="1" x14ac:dyDescent="0.25">
      <c r="A226" s="80"/>
      <c r="B226" s="10">
        <v>0.24999999956014601</v>
      </c>
      <c r="C226" s="11">
        <v>7703</v>
      </c>
      <c r="D226" s="11">
        <v>348931</v>
      </c>
      <c r="E226" s="11">
        <v>10867</v>
      </c>
      <c r="F226" s="11"/>
      <c r="G226" s="11"/>
      <c r="H226" s="11"/>
      <c r="I226" s="11"/>
      <c r="J226" s="11">
        <v>4107</v>
      </c>
      <c r="K226" s="11">
        <v>5122</v>
      </c>
      <c r="L226" s="11">
        <v>23315</v>
      </c>
      <c r="M226" s="11">
        <v>14903</v>
      </c>
      <c r="N226" s="72">
        <f>AVERAGE(N227,N225)</f>
        <v>3926692</v>
      </c>
      <c r="O226" s="72">
        <f>AVERAGE(O227,O225)</f>
        <v>277677.5</v>
      </c>
      <c r="P226" s="11"/>
      <c r="Q226" s="11"/>
      <c r="R226" s="12">
        <v>49651</v>
      </c>
      <c r="S226" s="11">
        <v>31292820</v>
      </c>
      <c r="T226" s="11"/>
      <c r="U226" s="11">
        <v>156015</v>
      </c>
      <c r="V226" s="11">
        <v>253645</v>
      </c>
      <c r="W226" s="11">
        <v>285480</v>
      </c>
      <c r="X226" s="9">
        <v>68905</v>
      </c>
      <c r="Y226" s="9">
        <v>49689</v>
      </c>
      <c r="Z226" s="9"/>
      <c r="AA226" s="9"/>
      <c r="AB226" s="9">
        <v>98474</v>
      </c>
      <c r="AC226" s="9">
        <v>267291</v>
      </c>
      <c r="AD226" s="9" t="s">
        <v>95</v>
      </c>
      <c r="AE226" s="9"/>
      <c r="AF226" s="9"/>
      <c r="AG226" s="9"/>
      <c r="AH226" s="9"/>
      <c r="AI226" s="20"/>
      <c r="AJ226" s="9"/>
      <c r="AK226" s="9"/>
    </row>
    <row r="227" spans="1:37" ht="48.75" customHeight="1" thickBot="1" x14ac:dyDescent="0.3">
      <c r="A227" s="81"/>
      <c r="B227" s="13">
        <v>0.58333333289317602</v>
      </c>
      <c r="C227" s="14">
        <v>7725</v>
      </c>
      <c r="D227" s="14">
        <v>349210</v>
      </c>
      <c r="E227" s="14">
        <v>10871</v>
      </c>
      <c r="F227" s="14"/>
      <c r="G227" s="14"/>
      <c r="H227" s="14"/>
      <c r="I227" s="14"/>
      <c r="J227" s="14">
        <v>4113</v>
      </c>
      <c r="K227" s="14">
        <v>5122</v>
      </c>
      <c r="L227" s="14">
        <v>23335</v>
      </c>
      <c r="M227" s="14">
        <v>14908</v>
      </c>
      <c r="N227" s="14">
        <v>4203202</v>
      </c>
      <c r="O227" s="14">
        <v>277881</v>
      </c>
      <c r="P227" s="14"/>
      <c r="Q227" s="14"/>
      <c r="R227" s="15">
        <v>49672</v>
      </c>
      <c r="S227" s="14">
        <v>31330196</v>
      </c>
      <c r="T227" s="14"/>
      <c r="U227" s="14">
        <v>156472</v>
      </c>
      <c r="V227" s="14">
        <v>253805</v>
      </c>
      <c r="W227" s="14">
        <v>285645</v>
      </c>
      <c r="X227" s="21">
        <v>69007</v>
      </c>
      <c r="Y227" s="21">
        <v>49768</v>
      </c>
      <c r="Z227" s="21"/>
      <c r="AA227" s="21"/>
      <c r="AB227" s="21">
        <v>98569</v>
      </c>
      <c r="AC227" s="21">
        <v>267427</v>
      </c>
      <c r="AD227" s="21" t="s">
        <v>95</v>
      </c>
      <c r="AE227" s="21"/>
      <c r="AF227" s="21"/>
      <c r="AG227" s="21"/>
      <c r="AH227" s="21"/>
      <c r="AI227" s="22"/>
      <c r="AJ227" s="21"/>
      <c r="AK227" s="21"/>
    </row>
    <row r="228" spans="1:37" ht="48.75" customHeight="1" x14ac:dyDescent="0.25">
      <c r="A228" s="79">
        <v>46098</v>
      </c>
      <c r="B228" s="6">
        <v>0.91666666622609205</v>
      </c>
      <c r="C228" s="7">
        <v>7760</v>
      </c>
      <c r="D228" s="7">
        <v>349469</v>
      </c>
      <c r="E228" s="7">
        <v>10872</v>
      </c>
      <c r="F228" s="7"/>
      <c r="G228" s="7"/>
      <c r="H228" s="7"/>
      <c r="I228" s="7"/>
      <c r="J228" s="7">
        <v>4115</v>
      </c>
      <c r="K228" s="7">
        <v>5122</v>
      </c>
      <c r="L228" s="7">
        <v>23357</v>
      </c>
      <c r="M228" s="7">
        <v>14912</v>
      </c>
      <c r="N228" s="7">
        <v>4507337</v>
      </c>
      <c r="O228" s="7">
        <v>278113</v>
      </c>
      <c r="P228" s="7"/>
      <c r="Q228" s="7"/>
      <c r="R228" s="8">
        <v>49687</v>
      </c>
      <c r="S228" s="7">
        <v>31381384</v>
      </c>
      <c r="T228" s="7"/>
      <c r="U228" s="7">
        <v>156933</v>
      </c>
      <c r="V228" s="7">
        <v>254010</v>
      </c>
      <c r="W228" s="7">
        <v>285868</v>
      </c>
      <c r="X228" s="18">
        <v>69095</v>
      </c>
      <c r="Y228" s="18">
        <v>49836</v>
      </c>
      <c r="Z228" s="18">
        <v>6577</v>
      </c>
      <c r="AA228" s="18">
        <v>44489</v>
      </c>
      <c r="AB228" s="18">
        <v>98767</v>
      </c>
      <c r="AC228" s="18">
        <v>267613</v>
      </c>
      <c r="AD228" s="18" t="s">
        <v>95</v>
      </c>
      <c r="AE228" s="18">
        <v>7179</v>
      </c>
      <c r="AF228" s="18">
        <v>33687</v>
      </c>
      <c r="AG228" s="18">
        <v>150</v>
      </c>
      <c r="AH228" s="18"/>
      <c r="AI228" s="19">
        <v>1</v>
      </c>
      <c r="AJ228" s="18">
        <v>6432</v>
      </c>
      <c r="AK228" s="18">
        <v>2376</v>
      </c>
    </row>
    <row r="229" spans="1:37" ht="48.75" customHeight="1" x14ac:dyDescent="0.25">
      <c r="A229" s="80"/>
      <c r="B229" s="10">
        <v>0.249999999559122</v>
      </c>
      <c r="C229" s="11">
        <v>7780</v>
      </c>
      <c r="D229" s="11">
        <v>349712</v>
      </c>
      <c r="E229" s="11">
        <v>10874</v>
      </c>
      <c r="F229" s="11"/>
      <c r="G229" s="11"/>
      <c r="H229" s="11"/>
      <c r="I229" s="11"/>
      <c r="J229" s="11">
        <v>4119</v>
      </c>
      <c r="K229" s="11">
        <v>5122</v>
      </c>
      <c r="L229" s="11">
        <v>23382</v>
      </c>
      <c r="M229" s="11">
        <v>14917</v>
      </c>
      <c r="N229" s="11">
        <v>4803167</v>
      </c>
      <c r="O229" s="11">
        <v>278336</v>
      </c>
      <c r="P229" s="11"/>
      <c r="Q229" s="11"/>
      <c r="R229" s="12">
        <v>49698</v>
      </c>
      <c r="S229" s="11">
        <v>31464622</v>
      </c>
      <c r="T229" s="11"/>
      <c r="U229" s="11">
        <v>157472</v>
      </c>
      <c r="V229" s="11">
        <v>254225</v>
      </c>
      <c r="W229" s="11">
        <v>286026</v>
      </c>
      <c r="X229" s="9">
        <v>69216</v>
      </c>
      <c r="Y229" s="9">
        <v>49928</v>
      </c>
      <c r="Z229" s="9"/>
      <c r="AA229" s="9"/>
      <c r="AB229" s="9">
        <v>98839</v>
      </c>
      <c r="AC229" s="9">
        <v>267810</v>
      </c>
      <c r="AD229" s="9" t="s">
        <v>95</v>
      </c>
      <c r="AE229" s="9"/>
      <c r="AF229" s="9"/>
      <c r="AG229" s="9"/>
      <c r="AH229" s="9"/>
      <c r="AI229" s="20"/>
      <c r="AJ229" s="9"/>
      <c r="AK229" s="9"/>
    </row>
    <row r="230" spans="1:37" ht="48.75" customHeight="1" thickBot="1" x14ac:dyDescent="0.3">
      <c r="A230" s="81"/>
      <c r="B230" s="13">
        <v>0.58333333289215294</v>
      </c>
      <c r="C230" s="14">
        <v>7815</v>
      </c>
      <c r="D230" s="14">
        <v>349946</v>
      </c>
      <c r="E230" s="14">
        <v>10875</v>
      </c>
      <c r="F230" s="14"/>
      <c r="G230" s="14"/>
      <c r="H230" s="14"/>
      <c r="I230" s="14"/>
      <c r="J230" s="14">
        <v>4126</v>
      </c>
      <c r="K230" s="14">
        <v>5123</v>
      </c>
      <c r="L230" s="14">
        <v>23401</v>
      </c>
      <c r="M230" s="14">
        <v>14919</v>
      </c>
      <c r="N230" s="14">
        <v>5143093</v>
      </c>
      <c r="O230" s="14">
        <v>278582</v>
      </c>
      <c r="P230" s="14"/>
      <c r="Q230" s="14"/>
      <c r="R230" s="15">
        <v>49717</v>
      </c>
      <c r="S230" s="14">
        <v>31541481</v>
      </c>
      <c r="T230" s="14"/>
      <c r="U230" s="14">
        <v>157960</v>
      </c>
      <c r="V230" s="14">
        <v>254399</v>
      </c>
      <c r="W230" s="14">
        <v>286202</v>
      </c>
      <c r="X230" s="21">
        <v>69335</v>
      </c>
      <c r="Y230" s="21">
        <v>50020</v>
      </c>
      <c r="Z230" s="21"/>
      <c r="AA230" s="21"/>
      <c r="AB230" s="21">
        <v>99025</v>
      </c>
      <c r="AC230" s="21">
        <v>267966</v>
      </c>
      <c r="AD230" s="21"/>
      <c r="AE230" s="21"/>
      <c r="AF230" s="21"/>
      <c r="AG230" s="21">
        <v>150</v>
      </c>
      <c r="AH230" s="21"/>
      <c r="AI230" s="22">
        <v>1</v>
      </c>
      <c r="AJ230" s="21"/>
      <c r="AK230" s="21">
        <v>2376</v>
      </c>
    </row>
    <row r="231" spans="1:37" ht="48.75" customHeight="1" x14ac:dyDescent="0.25">
      <c r="A231" s="79">
        <v>46099</v>
      </c>
      <c r="B231" s="6">
        <v>0.916666666225183</v>
      </c>
      <c r="C231" s="7">
        <v>7828</v>
      </c>
      <c r="D231" s="7">
        <v>350200</v>
      </c>
      <c r="E231" s="7">
        <v>10877</v>
      </c>
      <c r="F231" s="7"/>
      <c r="G231" s="7"/>
      <c r="H231" s="7"/>
      <c r="I231" s="7"/>
      <c r="J231" s="7">
        <v>4129</v>
      </c>
      <c r="K231" s="7">
        <v>5123</v>
      </c>
      <c r="L231" s="7">
        <v>23424</v>
      </c>
      <c r="M231" s="7">
        <v>14924</v>
      </c>
      <c r="N231" s="7">
        <v>5453651</v>
      </c>
      <c r="O231" s="7">
        <v>278819</v>
      </c>
      <c r="P231" s="7"/>
      <c r="Q231" s="7"/>
      <c r="R231" s="8">
        <v>49748</v>
      </c>
      <c r="S231" s="7">
        <v>31586775</v>
      </c>
      <c r="T231" s="7"/>
      <c r="U231" s="7">
        <v>158410</v>
      </c>
      <c r="V231" s="7">
        <v>254586</v>
      </c>
      <c r="W231" s="7">
        <v>286397</v>
      </c>
      <c r="X231" s="18">
        <v>69454</v>
      </c>
      <c r="Y231" s="18">
        <v>50113</v>
      </c>
      <c r="Z231" s="18">
        <v>6654</v>
      </c>
      <c r="AA231" s="18">
        <v>501113</v>
      </c>
      <c r="AB231" s="18">
        <v>99036</v>
      </c>
      <c r="AC231" s="18">
        <v>268150</v>
      </c>
      <c r="AD231" s="18" t="s">
        <v>95</v>
      </c>
      <c r="AE231" s="18">
        <v>7182</v>
      </c>
      <c r="AF231" s="18">
        <v>33687</v>
      </c>
      <c r="AG231" s="18">
        <v>150</v>
      </c>
      <c r="AH231" s="18"/>
      <c r="AI231" s="19">
        <v>1</v>
      </c>
      <c r="AJ231" s="18">
        <v>6464</v>
      </c>
      <c r="AK231" s="18">
        <v>2376</v>
      </c>
    </row>
    <row r="232" spans="1:37" ht="48.75" customHeight="1" x14ac:dyDescent="0.25">
      <c r="A232" s="80"/>
      <c r="B232" s="10">
        <v>0.24999999955809901</v>
      </c>
      <c r="C232" s="11">
        <v>7851</v>
      </c>
      <c r="D232" s="11">
        <v>350443</v>
      </c>
      <c r="E232" s="11">
        <v>10879</v>
      </c>
      <c r="F232" s="11"/>
      <c r="G232" s="11"/>
      <c r="H232" s="11"/>
      <c r="I232" s="11"/>
      <c r="J232" s="11">
        <v>4132</v>
      </c>
      <c r="K232" s="11">
        <v>5123</v>
      </c>
      <c r="L232" s="11">
        <v>23447</v>
      </c>
      <c r="M232" s="11">
        <v>14931</v>
      </c>
      <c r="N232" s="11">
        <v>5755395</v>
      </c>
      <c r="O232" s="11">
        <v>279045</v>
      </c>
      <c r="P232" s="11">
        <f>P231-P230</f>
        <v>0</v>
      </c>
      <c r="Q232" s="11">
        <f>Q231-Q230</f>
        <v>0</v>
      </c>
      <c r="R232" s="12">
        <v>49746</v>
      </c>
      <c r="S232" s="11">
        <v>31678203</v>
      </c>
      <c r="T232" s="11"/>
      <c r="U232" s="11">
        <v>158955</v>
      </c>
      <c r="V232" s="11">
        <v>254764</v>
      </c>
      <c r="W232" s="11">
        <v>286582</v>
      </c>
      <c r="X232" s="9">
        <v>69543</v>
      </c>
      <c r="Y232" s="9">
        <v>50177</v>
      </c>
      <c r="Z232" s="9"/>
      <c r="AA232" s="9"/>
      <c r="AB232" s="9">
        <v>99126</v>
      </c>
      <c r="AC232" s="9">
        <v>268344</v>
      </c>
      <c r="AD232" s="9"/>
      <c r="AE232" s="9"/>
      <c r="AF232" s="9"/>
      <c r="AG232" s="9"/>
      <c r="AH232" s="9"/>
      <c r="AI232" s="20"/>
      <c r="AJ232" s="9"/>
      <c r="AK232" s="9"/>
    </row>
    <row r="233" spans="1:37" ht="48.75" customHeight="1" thickBot="1" x14ac:dyDescent="0.3">
      <c r="A233" s="81"/>
      <c r="B233" s="13">
        <v>0.58333333289112899</v>
      </c>
      <c r="C233" s="14">
        <v>7888</v>
      </c>
      <c r="D233" s="14">
        <v>350678</v>
      </c>
      <c r="E233" s="14">
        <v>10882</v>
      </c>
      <c r="F233" s="14"/>
      <c r="G233" s="14"/>
      <c r="H233" s="14"/>
      <c r="I233" s="14"/>
      <c r="J233" s="14">
        <v>4141</v>
      </c>
      <c r="K233" s="14">
        <v>5137</v>
      </c>
      <c r="L233" s="14">
        <v>23468</v>
      </c>
      <c r="M233" s="14">
        <v>14936</v>
      </c>
      <c r="N233" s="14">
        <v>6022924</v>
      </c>
      <c r="O233" s="14">
        <v>279247</v>
      </c>
      <c r="P233" s="14"/>
      <c r="Q233" s="14"/>
      <c r="R233" s="15">
        <v>49760</v>
      </c>
      <c r="S233" s="14">
        <v>31744810</v>
      </c>
      <c r="T233" s="14"/>
      <c r="U233" s="14">
        <v>159345</v>
      </c>
      <c r="V233" s="14">
        <v>254936</v>
      </c>
      <c r="W233" s="14">
        <v>286755</v>
      </c>
      <c r="X233" s="21">
        <v>69641</v>
      </c>
      <c r="Y233" s="21">
        <v>50252</v>
      </c>
      <c r="Z233" s="21">
        <f>+V234-V231</f>
        <v>531</v>
      </c>
      <c r="AA233" s="21">
        <f>+W234-W231</f>
        <v>513</v>
      </c>
      <c r="AB233" s="21">
        <v>99338</v>
      </c>
      <c r="AC233" s="21">
        <v>268522</v>
      </c>
      <c r="AD233" s="21" t="s">
        <v>95</v>
      </c>
      <c r="AE233" s="21"/>
      <c r="AF233" s="21"/>
      <c r="AG233" s="21">
        <v>150</v>
      </c>
      <c r="AH233" s="21"/>
      <c r="AI233" s="22">
        <v>1</v>
      </c>
      <c r="AJ233" s="21"/>
      <c r="AK233" s="21">
        <v>2376</v>
      </c>
    </row>
    <row r="234" spans="1:37" ht="48.75" customHeight="1" x14ac:dyDescent="0.25">
      <c r="A234" s="79">
        <v>46100</v>
      </c>
      <c r="B234" s="6">
        <v>0.91666666622416004</v>
      </c>
      <c r="C234" s="7">
        <v>7906</v>
      </c>
      <c r="D234" s="7">
        <v>350954</v>
      </c>
      <c r="E234" s="7">
        <v>10886</v>
      </c>
      <c r="F234" s="7"/>
      <c r="G234" s="7"/>
      <c r="H234" s="7"/>
      <c r="I234" s="7"/>
      <c r="J234" s="7">
        <v>4145</v>
      </c>
      <c r="K234" s="7">
        <v>5142</v>
      </c>
      <c r="L234" s="7">
        <v>23489</v>
      </c>
      <c r="M234" s="7">
        <v>14943</v>
      </c>
      <c r="N234" s="7">
        <v>6344216</v>
      </c>
      <c r="O234" s="7">
        <v>279491</v>
      </c>
      <c r="P234" s="7"/>
      <c r="Q234" s="7"/>
      <c r="R234" s="8">
        <v>49774</v>
      </c>
      <c r="S234" s="7">
        <v>31796117</v>
      </c>
      <c r="T234" s="7"/>
      <c r="U234" s="7">
        <v>159764</v>
      </c>
      <c r="V234" s="7">
        <v>255117</v>
      </c>
      <c r="W234" s="7">
        <v>286910</v>
      </c>
      <c r="X234" s="18">
        <v>69714</v>
      </c>
      <c r="Y234" s="18">
        <v>50306</v>
      </c>
      <c r="Z234" s="18">
        <v>6746</v>
      </c>
      <c r="AA234" s="18">
        <v>501159</v>
      </c>
      <c r="AB234" s="18">
        <v>99430</v>
      </c>
      <c r="AC234" s="18">
        <v>268694</v>
      </c>
      <c r="AD234" s="18" t="s">
        <v>95</v>
      </c>
      <c r="AE234" s="18">
        <v>7184</v>
      </c>
      <c r="AF234" s="18">
        <v>33687</v>
      </c>
      <c r="AG234" s="18">
        <v>150</v>
      </c>
      <c r="AH234" s="18"/>
      <c r="AI234" s="19">
        <v>1</v>
      </c>
      <c r="AJ234" s="18">
        <v>6464</v>
      </c>
      <c r="AK234" s="18">
        <v>2376</v>
      </c>
    </row>
    <row r="235" spans="1:37" ht="48.75" customHeight="1" x14ac:dyDescent="0.25">
      <c r="A235" s="80"/>
      <c r="B235" s="10">
        <v>0.24999999955718999</v>
      </c>
      <c r="C235" s="11">
        <v>7944</v>
      </c>
      <c r="D235" s="11">
        <v>351222</v>
      </c>
      <c r="E235" s="11">
        <v>10888</v>
      </c>
      <c r="F235" s="11"/>
      <c r="G235" s="11"/>
      <c r="H235" s="11"/>
      <c r="I235" s="11"/>
      <c r="J235" s="11">
        <v>4149</v>
      </c>
      <c r="K235" s="11">
        <v>5147</v>
      </c>
      <c r="L235" s="11">
        <v>23514</v>
      </c>
      <c r="M235" s="11">
        <v>14950</v>
      </c>
      <c r="N235" s="11">
        <v>6981064</v>
      </c>
      <c r="O235" s="11">
        <v>279970</v>
      </c>
      <c r="P235" s="11"/>
      <c r="Q235" s="11"/>
      <c r="R235" s="12">
        <v>49789</v>
      </c>
      <c r="S235" s="11">
        <v>31871872</v>
      </c>
      <c r="T235" s="11"/>
      <c r="U235" s="11">
        <v>160296</v>
      </c>
      <c r="V235" s="11">
        <v>255333</v>
      </c>
      <c r="W235" s="11">
        <v>287096</v>
      </c>
      <c r="X235" s="9">
        <v>69774</v>
      </c>
      <c r="Y235" s="9">
        <v>50352</v>
      </c>
      <c r="Z235" s="9"/>
      <c r="AA235" s="9"/>
      <c r="AB235" s="9">
        <v>99642</v>
      </c>
      <c r="AC235" s="9">
        <v>268871</v>
      </c>
      <c r="AD235" s="9" t="s">
        <v>95</v>
      </c>
      <c r="AE235" s="9"/>
      <c r="AF235" s="9"/>
      <c r="AG235" s="9"/>
      <c r="AH235" s="9"/>
      <c r="AI235" s="20"/>
      <c r="AJ235" s="9"/>
      <c r="AK235" s="9"/>
    </row>
    <row r="236" spans="1:37" ht="48.75" customHeight="1" thickBot="1" x14ac:dyDescent="0.3">
      <c r="A236" s="81"/>
      <c r="B236" s="13">
        <v>0.58333333289010603</v>
      </c>
      <c r="C236" s="14">
        <v>7978</v>
      </c>
      <c r="D236" s="14">
        <v>351518</v>
      </c>
      <c r="E236" s="14">
        <v>10891</v>
      </c>
      <c r="F236" s="14"/>
      <c r="G236" s="14"/>
      <c r="H236" s="14"/>
      <c r="I236" s="14"/>
      <c r="J236" s="14">
        <v>4158</v>
      </c>
      <c r="K236" s="14">
        <v>5157</v>
      </c>
      <c r="L236" s="14">
        <v>23534</v>
      </c>
      <c r="M236" s="14">
        <v>14954</v>
      </c>
      <c r="N236" s="14">
        <v>6981064</v>
      </c>
      <c r="O236" s="14">
        <v>279970</v>
      </c>
      <c r="P236" s="14"/>
      <c r="Q236" s="14"/>
      <c r="R236" s="15">
        <v>49811</v>
      </c>
      <c r="S236" s="14">
        <v>31928441</v>
      </c>
      <c r="T236" s="14"/>
      <c r="U236" s="14">
        <v>160730</v>
      </c>
      <c r="V236" s="14">
        <v>255515</v>
      </c>
      <c r="W236" s="14">
        <v>287245</v>
      </c>
      <c r="X236" s="21">
        <v>69861</v>
      </c>
      <c r="Y236" s="21">
        <v>50418</v>
      </c>
      <c r="Z236" s="21"/>
      <c r="AA236" s="21"/>
      <c r="AB236" s="21">
        <v>99846</v>
      </c>
      <c r="AC236" s="21">
        <v>269028</v>
      </c>
      <c r="AD236" s="21" t="s">
        <v>95</v>
      </c>
      <c r="AE236" s="21"/>
      <c r="AF236" s="21"/>
      <c r="AG236" s="21">
        <v>150</v>
      </c>
      <c r="AH236" s="21"/>
      <c r="AI236" s="22">
        <v>1</v>
      </c>
      <c r="AJ236" s="21"/>
      <c r="AK236" s="21">
        <v>2376</v>
      </c>
    </row>
    <row r="237" spans="1:37" ht="48.75" customHeight="1" thickBot="1" x14ac:dyDescent="0.3">
      <c r="A237" s="79">
        <v>46101</v>
      </c>
      <c r="B237" s="6">
        <v>0.91666666622313597</v>
      </c>
      <c r="C237" s="7">
        <v>8012</v>
      </c>
      <c r="D237" s="7">
        <v>351828</v>
      </c>
      <c r="E237" s="7">
        <v>10894</v>
      </c>
      <c r="F237" s="7"/>
      <c r="G237" s="7"/>
      <c r="H237" s="7"/>
      <c r="I237" s="7"/>
      <c r="J237" s="7">
        <v>4158</v>
      </c>
      <c r="K237" s="7">
        <v>5157</v>
      </c>
      <c r="L237" s="7">
        <v>23558</v>
      </c>
      <c r="M237" s="7">
        <v>14960</v>
      </c>
      <c r="N237" s="7">
        <v>7283484</v>
      </c>
      <c r="O237" s="7">
        <v>280195</v>
      </c>
      <c r="P237" s="7"/>
      <c r="Q237" s="7"/>
      <c r="R237" s="8">
        <v>49823</v>
      </c>
      <c r="S237" s="7">
        <v>32005296</v>
      </c>
      <c r="T237" s="7"/>
      <c r="U237" s="7">
        <v>161267</v>
      </c>
      <c r="V237" s="7">
        <v>255712</v>
      </c>
      <c r="W237" s="7">
        <v>287400</v>
      </c>
      <c r="X237" s="18">
        <v>69895</v>
      </c>
      <c r="Y237" s="18">
        <v>50443</v>
      </c>
      <c r="Z237" s="18">
        <v>6795</v>
      </c>
      <c r="AA237" s="18">
        <v>44575</v>
      </c>
      <c r="AB237" s="18">
        <v>100022</v>
      </c>
      <c r="AC237" s="18">
        <v>269224</v>
      </c>
      <c r="AD237" s="21" t="s">
        <v>95</v>
      </c>
      <c r="AE237" s="18">
        <v>7185</v>
      </c>
      <c r="AF237" s="18">
        <v>33687</v>
      </c>
      <c r="AG237" s="18">
        <v>150</v>
      </c>
      <c r="AH237" s="18"/>
      <c r="AI237" s="19">
        <v>1</v>
      </c>
      <c r="AJ237" s="18">
        <v>6508</v>
      </c>
      <c r="AK237" s="18">
        <v>2376</v>
      </c>
    </row>
    <row r="238" spans="1:37" ht="48.75" customHeight="1" x14ac:dyDescent="0.25">
      <c r="A238" s="80"/>
      <c r="B238" s="10">
        <v>0.249999999556167</v>
      </c>
      <c r="C238" s="11">
        <v>8033</v>
      </c>
      <c r="D238" s="11">
        <v>352077</v>
      </c>
      <c r="E238" s="11">
        <v>10896</v>
      </c>
      <c r="F238" s="11"/>
      <c r="G238" s="11"/>
      <c r="H238" s="11"/>
      <c r="I238" s="11"/>
      <c r="J238" s="11">
        <v>4162</v>
      </c>
      <c r="K238" s="11">
        <v>5158</v>
      </c>
      <c r="L238" s="11">
        <v>23579</v>
      </c>
      <c r="M238" s="11">
        <v>14963</v>
      </c>
      <c r="N238" s="11">
        <v>7601391</v>
      </c>
      <c r="O238" s="11">
        <v>280432</v>
      </c>
      <c r="P238" s="11"/>
      <c r="Q238" s="11"/>
      <c r="R238" s="12">
        <v>49831</v>
      </c>
      <c r="S238" s="11">
        <v>32075625</v>
      </c>
      <c r="T238" s="11"/>
      <c r="U238" s="11">
        <v>161668</v>
      </c>
      <c r="V238" s="11">
        <v>255886</v>
      </c>
      <c r="W238" s="11">
        <v>287557</v>
      </c>
      <c r="X238" s="9">
        <f>X237+112</f>
        <v>70007</v>
      </c>
      <c r="Y238" s="9">
        <f>Y237+90</f>
        <v>50533</v>
      </c>
      <c r="Z238" s="9"/>
      <c r="AA238" s="9"/>
      <c r="AB238" s="9">
        <v>100096</v>
      </c>
      <c r="AC238" s="9">
        <v>269392</v>
      </c>
      <c r="AD238" s="9" t="s">
        <v>95</v>
      </c>
      <c r="AE238" s="9"/>
      <c r="AF238" s="9"/>
      <c r="AG238" s="9"/>
      <c r="AH238" s="9"/>
      <c r="AI238" s="20"/>
      <c r="AJ238" s="9"/>
      <c r="AK238" s="9"/>
    </row>
    <row r="239" spans="1:37" ht="48.75" customHeight="1" thickBot="1" x14ac:dyDescent="0.3">
      <c r="A239" s="81"/>
      <c r="B239" s="13">
        <v>0.58333333288908296</v>
      </c>
      <c r="C239" s="14">
        <v>8056</v>
      </c>
      <c r="D239" s="14">
        <v>352333</v>
      </c>
      <c r="E239" s="14">
        <v>10899</v>
      </c>
      <c r="F239" s="14"/>
      <c r="G239" s="14"/>
      <c r="H239" s="14"/>
      <c r="I239" s="14"/>
      <c r="J239" s="14">
        <v>4182</v>
      </c>
      <c r="K239" s="14">
        <v>5164</v>
      </c>
      <c r="L239" s="14">
        <v>23601</v>
      </c>
      <c r="M239" s="14">
        <v>14965</v>
      </c>
      <c r="N239" s="11">
        <v>7893393</v>
      </c>
      <c r="O239" s="11">
        <v>280650</v>
      </c>
      <c r="P239" s="14"/>
      <c r="Q239" s="14"/>
      <c r="R239" s="15">
        <v>49845</v>
      </c>
      <c r="S239" s="14">
        <v>32144595</v>
      </c>
      <c r="T239" s="14"/>
      <c r="U239" s="14">
        <v>162200</v>
      </c>
      <c r="V239" s="14">
        <v>256075</v>
      </c>
      <c r="W239" s="14">
        <v>287723</v>
      </c>
      <c r="X239" s="21">
        <v>70075</v>
      </c>
      <c r="Y239" s="21">
        <v>50586</v>
      </c>
      <c r="Z239" s="21"/>
      <c r="AA239" s="21"/>
      <c r="AB239" s="21">
        <v>100162</v>
      </c>
      <c r="AC239" s="21">
        <v>269573</v>
      </c>
      <c r="AD239" s="21" t="s">
        <v>95</v>
      </c>
      <c r="AE239" s="21"/>
      <c r="AF239" s="21"/>
      <c r="AG239" s="21"/>
      <c r="AH239" s="21"/>
      <c r="AI239" s="22"/>
      <c r="AJ239" s="21"/>
      <c r="AK239" s="21">
        <v>2376</v>
      </c>
    </row>
    <row r="240" spans="1:37" ht="48.75" customHeight="1" x14ac:dyDescent="0.25">
      <c r="A240" s="79">
        <v>46102</v>
      </c>
      <c r="B240" s="6">
        <v>0.91666666622211301</v>
      </c>
      <c r="C240" s="7">
        <v>8094</v>
      </c>
      <c r="D240" s="7">
        <v>352612</v>
      </c>
      <c r="E240" s="7">
        <v>10901</v>
      </c>
      <c r="F240" s="7"/>
      <c r="G240" s="7"/>
      <c r="H240" s="7"/>
      <c r="I240" s="7"/>
      <c r="J240" s="7">
        <v>4186</v>
      </c>
      <c r="K240" s="7">
        <v>5164</v>
      </c>
      <c r="L240" s="7">
        <v>23623</v>
      </c>
      <c r="M240" s="7">
        <v>14969</v>
      </c>
      <c r="N240" s="7">
        <v>8205686</v>
      </c>
      <c r="O240" s="7">
        <v>280882</v>
      </c>
      <c r="P240" s="7"/>
      <c r="Q240" s="7"/>
      <c r="R240" s="8">
        <v>49862</v>
      </c>
      <c r="S240" s="7">
        <v>32175219.219999999</v>
      </c>
      <c r="T240" s="7"/>
      <c r="U240" s="7">
        <v>162623</v>
      </c>
      <c r="V240" s="7">
        <v>256284</v>
      </c>
      <c r="W240" s="7">
        <v>287899</v>
      </c>
      <c r="X240" s="18">
        <v>70143</v>
      </c>
      <c r="Y240" s="18">
        <v>50636</v>
      </c>
      <c r="Z240" s="18"/>
      <c r="AA240" s="18"/>
      <c r="AB240" s="18">
        <v>100385</v>
      </c>
      <c r="AC240" s="18">
        <v>269753</v>
      </c>
      <c r="AD240" s="18"/>
      <c r="AE240" s="18"/>
      <c r="AF240" s="18"/>
      <c r="AG240" s="18"/>
      <c r="AH240" s="18"/>
      <c r="AI240" s="19"/>
      <c r="AJ240" s="18"/>
      <c r="AK240" s="18"/>
    </row>
    <row r="241" spans="1:37" ht="48.75" customHeight="1" thickBot="1" x14ac:dyDescent="0.3">
      <c r="A241" s="80"/>
      <c r="B241" s="10">
        <v>0.24999999955514299</v>
      </c>
      <c r="C241" s="11">
        <v>8108</v>
      </c>
      <c r="D241" s="11">
        <v>352862</v>
      </c>
      <c r="E241" s="11">
        <v>10904</v>
      </c>
      <c r="F241" s="11"/>
      <c r="G241" s="11"/>
      <c r="H241" s="11"/>
      <c r="I241" s="11"/>
      <c r="J241" s="11">
        <v>4192</v>
      </c>
      <c r="K241" s="11">
        <v>5164</v>
      </c>
      <c r="L241" s="11">
        <v>23645</v>
      </c>
      <c r="M241" s="11">
        <v>14973</v>
      </c>
      <c r="N241" s="11">
        <v>8490710</v>
      </c>
      <c r="O241" s="11">
        <v>281090</v>
      </c>
      <c r="P241" s="11"/>
      <c r="Q241" s="11"/>
      <c r="R241" s="12">
        <v>49876</v>
      </c>
      <c r="S241" s="11">
        <v>32241110</v>
      </c>
      <c r="T241" s="11"/>
      <c r="U241" s="11">
        <v>163073</v>
      </c>
      <c r="V241" s="11">
        <v>256461</v>
      </c>
      <c r="W241" s="11">
        <v>288030</v>
      </c>
      <c r="X241" s="9">
        <v>70223</v>
      </c>
      <c r="Y241" s="9">
        <v>50698</v>
      </c>
      <c r="Z241" s="9"/>
      <c r="AA241" s="9"/>
      <c r="AB241" s="9">
        <v>100410</v>
      </c>
      <c r="AC241" s="9">
        <v>269923</v>
      </c>
      <c r="AD241" s="21" t="s">
        <v>95</v>
      </c>
      <c r="AE241" s="9"/>
      <c r="AF241" s="9"/>
      <c r="AG241" s="9"/>
      <c r="AH241" s="9"/>
      <c r="AI241" s="20"/>
      <c r="AJ241" s="9"/>
      <c r="AK241" s="9"/>
    </row>
    <row r="242" spans="1:37" ht="48.75" customHeight="1" thickBot="1" x14ac:dyDescent="0.3">
      <c r="A242" s="81"/>
      <c r="B242" s="13">
        <v>0.58333333288817402</v>
      </c>
      <c r="C242" s="14">
        <v>8137</v>
      </c>
      <c r="D242" s="14">
        <v>353203</v>
      </c>
      <c r="E242" s="14">
        <v>10907</v>
      </c>
      <c r="F242" s="14"/>
      <c r="G242" s="14"/>
      <c r="H242" s="14"/>
      <c r="I242" s="14"/>
      <c r="J242" s="14">
        <v>4204</v>
      </c>
      <c r="K242" s="14">
        <v>5166</v>
      </c>
      <c r="L242" s="14">
        <v>23671</v>
      </c>
      <c r="M242" s="14">
        <v>14979</v>
      </c>
      <c r="N242" s="14">
        <v>8735923</v>
      </c>
      <c r="O242" s="14">
        <v>281269</v>
      </c>
      <c r="P242" s="14"/>
      <c r="Q242" s="14"/>
      <c r="R242" s="15">
        <v>49887</v>
      </c>
      <c r="S242" s="14">
        <v>32281644</v>
      </c>
      <c r="T242" s="14"/>
      <c r="U242" s="14">
        <v>163554</v>
      </c>
      <c r="V242" s="14">
        <v>256651</v>
      </c>
      <c r="W242" s="14">
        <v>288157</v>
      </c>
      <c r="X242" s="21">
        <v>70288</v>
      </c>
      <c r="Y242" s="21">
        <v>50745</v>
      </c>
      <c r="Z242" s="21"/>
      <c r="AA242" s="21"/>
      <c r="AB242" s="21">
        <v>100586</v>
      </c>
      <c r="AC242" s="21">
        <v>270112</v>
      </c>
      <c r="AD242" s="21"/>
      <c r="AE242" s="21"/>
      <c r="AF242" s="21"/>
      <c r="AG242" s="21">
        <v>150</v>
      </c>
      <c r="AH242" s="21"/>
      <c r="AI242" s="22">
        <v>1</v>
      </c>
      <c r="AJ242" s="21"/>
      <c r="AK242" s="21">
        <v>2376</v>
      </c>
    </row>
    <row r="243" spans="1:37" ht="48.75" customHeight="1" x14ac:dyDescent="0.25">
      <c r="A243" s="79">
        <v>46103</v>
      </c>
      <c r="B243" s="6">
        <v>0.91666666622109005</v>
      </c>
      <c r="C243" s="7">
        <v>8152</v>
      </c>
      <c r="D243" s="7">
        <v>353344</v>
      </c>
      <c r="E243" s="7">
        <v>10907</v>
      </c>
      <c r="F243" s="7"/>
      <c r="G243" s="7"/>
      <c r="H243" s="7"/>
      <c r="I243" s="7"/>
      <c r="J243" s="7">
        <v>4204</v>
      </c>
      <c r="K243" s="7">
        <v>5166</v>
      </c>
      <c r="L243" s="7">
        <v>23708</v>
      </c>
      <c r="M243" s="7">
        <v>14993</v>
      </c>
      <c r="N243" s="7">
        <v>8905574</v>
      </c>
      <c r="O243" s="7">
        <v>281509</v>
      </c>
      <c r="P243" s="7"/>
      <c r="Q243" s="7"/>
      <c r="R243" s="8">
        <v>49914</v>
      </c>
      <c r="S243" s="7">
        <v>32281742</v>
      </c>
      <c r="T243" s="7"/>
      <c r="U243" s="7">
        <v>163750</v>
      </c>
      <c r="V243" s="7">
        <v>256774</v>
      </c>
      <c r="W243" s="7">
        <v>288199</v>
      </c>
      <c r="X243" s="18">
        <v>70335</v>
      </c>
      <c r="Y243" s="18">
        <v>50778</v>
      </c>
      <c r="Z243" s="18"/>
      <c r="AA243" s="18"/>
      <c r="AB243" s="18">
        <v>100737</v>
      </c>
      <c r="AC243" s="18">
        <v>270189</v>
      </c>
      <c r="AD243" s="18"/>
      <c r="AE243" s="18"/>
      <c r="AF243" s="18"/>
      <c r="AG243" s="18"/>
      <c r="AH243" s="18"/>
      <c r="AI243" s="19"/>
      <c r="AJ243" s="18"/>
      <c r="AK243" s="18"/>
    </row>
    <row r="244" spans="1:37" ht="48.75" customHeight="1" x14ac:dyDescent="0.25">
      <c r="A244" s="80"/>
      <c r="B244" s="10">
        <v>0.24999999955412</v>
      </c>
      <c r="C244" s="11">
        <v>8152</v>
      </c>
      <c r="D244" s="11">
        <v>353344</v>
      </c>
      <c r="E244" s="11">
        <v>10907</v>
      </c>
      <c r="F244" s="11"/>
      <c r="G244" s="11"/>
      <c r="H244" s="11"/>
      <c r="I244" s="11"/>
      <c r="J244" s="11">
        <v>4204</v>
      </c>
      <c r="K244" s="11">
        <v>5166</v>
      </c>
      <c r="L244" s="11">
        <v>23708</v>
      </c>
      <c r="M244" s="11">
        <v>14993</v>
      </c>
      <c r="N244" s="11">
        <v>8905574</v>
      </c>
      <c r="O244" s="11">
        <v>281509</v>
      </c>
      <c r="P244" s="11"/>
      <c r="Q244" s="11"/>
      <c r="R244" s="12">
        <v>49914</v>
      </c>
      <c r="S244" s="11">
        <v>32281742</v>
      </c>
      <c r="T244" s="11"/>
      <c r="U244" s="11">
        <v>163750</v>
      </c>
      <c r="V244" s="11">
        <v>256774</v>
      </c>
      <c r="W244" s="11">
        <v>288199</v>
      </c>
      <c r="X244" s="9">
        <v>70335</v>
      </c>
      <c r="Y244" s="9">
        <v>50778</v>
      </c>
      <c r="Z244" s="9"/>
      <c r="AA244" s="9"/>
      <c r="AB244" s="9">
        <v>100737</v>
      </c>
      <c r="AC244" s="9">
        <v>270189</v>
      </c>
      <c r="AD244" s="9"/>
      <c r="AE244" s="9"/>
      <c r="AF244" s="9"/>
      <c r="AG244" s="9"/>
      <c r="AH244" s="9"/>
      <c r="AI244" s="20"/>
      <c r="AJ244" s="9"/>
      <c r="AK244" s="9"/>
    </row>
    <row r="245" spans="1:37" ht="48.75" customHeight="1" thickBot="1" x14ac:dyDescent="0.3">
      <c r="A245" s="81"/>
      <c r="B245" s="13">
        <v>0.58333333288714995</v>
      </c>
      <c r="C245" s="14">
        <v>8152</v>
      </c>
      <c r="D245" s="14">
        <v>353344</v>
      </c>
      <c r="E245" s="14">
        <v>10907</v>
      </c>
      <c r="F245" s="14"/>
      <c r="G245" s="14"/>
      <c r="H245" s="14"/>
      <c r="I245" s="14"/>
      <c r="J245" s="14">
        <v>4204</v>
      </c>
      <c r="K245" s="14">
        <v>5166</v>
      </c>
      <c r="L245" s="14">
        <v>23708</v>
      </c>
      <c r="M245" s="14">
        <v>14993</v>
      </c>
      <c r="N245" s="14">
        <v>8905574</v>
      </c>
      <c r="O245" s="14">
        <v>281509</v>
      </c>
      <c r="P245" s="14"/>
      <c r="Q245" s="14"/>
      <c r="R245" s="15">
        <v>49914</v>
      </c>
      <c r="S245" s="14">
        <v>32281742</v>
      </c>
      <c r="T245" s="14"/>
      <c r="U245" s="14">
        <v>163750</v>
      </c>
      <c r="V245" s="14">
        <v>256774</v>
      </c>
      <c r="W245" s="14">
        <v>288199</v>
      </c>
      <c r="X245" s="21">
        <v>70335</v>
      </c>
      <c r="Y245" s="21">
        <v>50778</v>
      </c>
      <c r="Z245" s="21"/>
      <c r="AA245" s="21"/>
      <c r="AB245" s="21">
        <v>100737</v>
      </c>
      <c r="AC245" s="21">
        <v>270189</v>
      </c>
      <c r="AD245" s="21"/>
      <c r="AE245" s="21"/>
      <c r="AF245" s="21"/>
      <c r="AG245" s="21"/>
      <c r="AH245" s="21"/>
      <c r="AI245" s="22"/>
      <c r="AJ245" s="21"/>
      <c r="AK245" s="21"/>
    </row>
    <row r="246" spans="1:37" ht="48.75" customHeight="1" x14ac:dyDescent="0.25">
      <c r="A246" s="79">
        <v>46104</v>
      </c>
      <c r="B246" s="6">
        <v>0.916666666220181</v>
      </c>
      <c r="C246" s="7">
        <v>8152</v>
      </c>
      <c r="D246" s="7">
        <v>353344</v>
      </c>
      <c r="E246" s="7">
        <v>10907</v>
      </c>
      <c r="F246" s="7"/>
      <c r="G246" s="7"/>
      <c r="H246" s="7"/>
      <c r="I246" s="7"/>
      <c r="J246" s="7">
        <v>4204</v>
      </c>
      <c r="K246" s="7">
        <v>5166</v>
      </c>
      <c r="L246" s="7">
        <v>23708</v>
      </c>
      <c r="M246" s="7">
        <v>14993</v>
      </c>
      <c r="N246" s="7">
        <v>8905574</v>
      </c>
      <c r="O246" s="7">
        <v>281509</v>
      </c>
      <c r="P246" s="7"/>
      <c r="Q246" s="7"/>
      <c r="R246" s="8">
        <v>49914</v>
      </c>
      <c r="S246" s="7">
        <v>32281742</v>
      </c>
      <c r="T246" s="7"/>
      <c r="U246" s="7">
        <v>163750</v>
      </c>
      <c r="V246" s="7">
        <v>256774</v>
      </c>
      <c r="W246" s="7">
        <v>288199</v>
      </c>
      <c r="X246" s="18">
        <v>70335</v>
      </c>
      <c r="Y246" s="18">
        <v>50778</v>
      </c>
      <c r="Z246" s="18"/>
      <c r="AA246" s="18"/>
      <c r="AB246" s="18">
        <v>100737</v>
      </c>
      <c r="AC246" s="18">
        <v>270189</v>
      </c>
      <c r="AD246" s="18"/>
      <c r="AE246" s="18"/>
      <c r="AF246" s="18"/>
      <c r="AG246" s="18"/>
      <c r="AH246" s="18"/>
      <c r="AI246" s="19"/>
      <c r="AJ246" s="18"/>
      <c r="AK246" s="18"/>
    </row>
    <row r="247" spans="1:37" ht="48.75" customHeight="1" x14ac:dyDescent="0.25">
      <c r="A247" s="80"/>
      <c r="B247" s="10">
        <v>0.24999999955309701</v>
      </c>
      <c r="C247" s="11">
        <v>8152</v>
      </c>
      <c r="D247" s="11">
        <v>353344</v>
      </c>
      <c r="E247" s="11">
        <v>10907</v>
      </c>
      <c r="F247" s="11"/>
      <c r="G247" s="11"/>
      <c r="H247" s="11"/>
      <c r="I247" s="11"/>
      <c r="J247" s="11">
        <v>4204</v>
      </c>
      <c r="K247" s="11">
        <v>5166</v>
      </c>
      <c r="L247" s="11">
        <v>23708</v>
      </c>
      <c r="M247" s="11">
        <v>14993</v>
      </c>
      <c r="N247" s="11">
        <v>8905574</v>
      </c>
      <c r="O247" s="11">
        <v>281509</v>
      </c>
      <c r="P247" s="11"/>
      <c r="Q247" s="11"/>
      <c r="R247" s="12">
        <v>49914</v>
      </c>
      <c r="S247" s="11">
        <v>32281742</v>
      </c>
      <c r="T247" s="11"/>
      <c r="U247" s="11">
        <v>163750</v>
      </c>
      <c r="V247" s="11">
        <v>256774</v>
      </c>
      <c r="W247" s="11">
        <v>288199</v>
      </c>
      <c r="X247" s="9">
        <v>70335</v>
      </c>
      <c r="Y247" s="9">
        <v>50778</v>
      </c>
      <c r="Z247" s="9"/>
      <c r="AA247" s="9"/>
      <c r="AB247" s="9">
        <v>100737</v>
      </c>
      <c r="AC247" s="9">
        <v>270189</v>
      </c>
      <c r="AD247" s="9"/>
      <c r="AE247" s="9"/>
      <c r="AF247" s="9"/>
      <c r="AG247" s="9"/>
      <c r="AH247" s="9"/>
      <c r="AI247" s="20"/>
      <c r="AJ247" s="9"/>
      <c r="AK247" s="9"/>
    </row>
    <row r="248" spans="1:37" ht="48.75" customHeight="1" thickBot="1" x14ac:dyDescent="0.3">
      <c r="A248" s="81"/>
      <c r="B248" s="13">
        <v>0.58333333288612699</v>
      </c>
      <c r="C248" s="14">
        <v>8162</v>
      </c>
      <c r="D248" s="14">
        <v>353613</v>
      </c>
      <c r="E248" s="14">
        <v>10909</v>
      </c>
      <c r="F248" s="14"/>
      <c r="G248" s="14"/>
      <c r="H248" s="14"/>
      <c r="I248" s="14"/>
      <c r="J248" s="14">
        <v>4269</v>
      </c>
      <c r="K248" s="14">
        <v>5166</v>
      </c>
      <c r="L248" s="14">
        <v>23731</v>
      </c>
      <c r="M248" s="14">
        <v>14998</v>
      </c>
      <c r="N248" s="14">
        <v>9075174</v>
      </c>
      <c r="O248" s="14">
        <v>281509</v>
      </c>
      <c r="P248" s="14"/>
      <c r="Q248" s="14"/>
      <c r="R248" s="14">
        <f>AVERAGE(R249,R247)</f>
        <v>49967</v>
      </c>
      <c r="S248" s="14">
        <f>AVERAGE(S249,S247)</f>
        <v>32281951.5</v>
      </c>
      <c r="T248" s="14"/>
      <c r="U248" s="14">
        <v>164006</v>
      </c>
      <c r="V248" s="14">
        <v>256960</v>
      </c>
      <c r="W248" s="14">
        <v>288373</v>
      </c>
      <c r="X248" s="21">
        <f>AVERAGE(X249,X247)</f>
        <v>70428.5</v>
      </c>
      <c r="Y248" s="21">
        <f>AVERAGE(Y249,Y247)</f>
        <v>50847.5</v>
      </c>
      <c r="Z248" s="21"/>
      <c r="AA248" s="21"/>
      <c r="AB248" s="21">
        <v>100737</v>
      </c>
      <c r="AC248" s="21">
        <v>270256</v>
      </c>
      <c r="AD248" s="21"/>
      <c r="AE248" s="21"/>
      <c r="AF248" s="21"/>
      <c r="AG248" s="21"/>
      <c r="AH248" s="21"/>
      <c r="AI248" s="22"/>
      <c r="AJ248" s="21"/>
      <c r="AK248" s="21"/>
    </row>
    <row r="249" spans="1:37" ht="48.75" customHeight="1" x14ac:dyDescent="0.25">
      <c r="A249" s="79">
        <v>46105</v>
      </c>
      <c r="B249" s="6">
        <v>0.91666666621915704</v>
      </c>
      <c r="C249" s="7">
        <v>8167</v>
      </c>
      <c r="D249" s="7">
        <v>353854</v>
      </c>
      <c r="E249" s="7">
        <v>10912</v>
      </c>
      <c r="F249" s="7"/>
      <c r="G249" s="7"/>
      <c r="H249" s="7"/>
      <c r="I249" s="7"/>
      <c r="J249" s="7">
        <v>4205</v>
      </c>
      <c r="K249" s="7">
        <v>5166</v>
      </c>
      <c r="L249" s="7">
        <v>23753</v>
      </c>
      <c r="M249" s="7">
        <v>15002</v>
      </c>
      <c r="N249" s="7">
        <v>9372392</v>
      </c>
      <c r="O249" s="7">
        <v>281723</v>
      </c>
      <c r="P249" s="7"/>
      <c r="Q249" s="7"/>
      <c r="R249" s="8">
        <v>50020</v>
      </c>
      <c r="S249" s="7">
        <v>32282161</v>
      </c>
      <c r="T249" s="7"/>
      <c r="U249" s="7">
        <v>164260</v>
      </c>
      <c r="V249" s="7">
        <v>257144</v>
      </c>
      <c r="W249" s="7">
        <v>288544</v>
      </c>
      <c r="X249" s="18">
        <v>70522</v>
      </c>
      <c r="Y249" s="18">
        <v>50917</v>
      </c>
      <c r="Z249" s="18">
        <v>6812</v>
      </c>
      <c r="AA249" s="18">
        <v>44736</v>
      </c>
      <c r="AB249" s="18">
        <v>100738</v>
      </c>
      <c r="AC249" s="18">
        <v>270325</v>
      </c>
      <c r="AD249" s="18" t="s">
        <v>95</v>
      </c>
      <c r="AE249" s="18">
        <v>7209</v>
      </c>
      <c r="AF249" s="18">
        <v>33687</v>
      </c>
      <c r="AG249" s="18">
        <v>150</v>
      </c>
      <c r="AH249" s="18"/>
      <c r="AI249" s="19">
        <v>1</v>
      </c>
      <c r="AJ249" s="18">
        <v>6571</v>
      </c>
      <c r="AK249" s="18">
        <v>2376</v>
      </c>
    </row>
    <row r="250" spans="1:37" ht="48.75" customHeight="1" x14ac:dyDescent="0.25">
      <c r="A250" s="80"/>
      <c r="B250" s="10">
        <v>0.24999999955218799</v>
      </c>
      <c r="C250" s="11">
        <v>8182</v>
      </c>
      <c r="D250" s="11">
        <v>354091</v>
      </c>
      <c r="E250" s="11">
        <v>10914</v>
      </c>
      <c r="F250" s="11"/>
      <c r="G250" s="11"/>
      <c r="H250" s="11"/>
      <c r="I250" s="11"/>
      <c r="J250" s="11">
        <v>4202</v>
      </c>
      <c r="K250" s="11">
        <v>5166</v>
      </c>
      <c r="L250" s="11">
        <v>23776</v>
      </c>
      <c r="M250" s="11">
        <v>15002</v>
      </c>
      <c r="N250" s="11">
        <v>9710574</v>
      </c>
      <c r="O250" s="11">
        <v>281980</v>
      </c>
      <c r="P250" s="11"/>
      <c r="Q250" s="11"/>
      <c r="R250" s="12">
        <v>50072</v>
      </c>
      <c r="S250" s="11">
        <v>32347223</v>
      </c>
      <c r="T250" s="11"/>
      <c r="U250" s="11">
        <v>164679</v>
      </c>
      <c r="V250" s="11">
        <v>257358</v>
      </c>
      <c r="W250" s="11">
        <v>288749</v>
      </c>
      <c r="X250" s="9">
        <v>70612</v>
      </c>
      <c r="Y250" s="9">
        <v>50991</v>
      </c>
      <c r="Z250" s="9"/>
      <c r="AA250" s="9"/>
      <c r="AB250" s="9">
        <v>100738</v>
      </c>
      <c r="AC250" s="9">
        <v>270532</v>
      </c>
      <c r="AD250" s="9"/>
      <c r="AE250" s="9"/>
      <c r="AF250" s="9"/>
      <c r="AG250" s="9"/>
      <c r="AH250" s="9"/>
      <c r="AI250" s="20"/>
      <c r="AJ250" s="9"/>
      <c r="AK250" s="9"/>
    </row>
    <row r="251" spans="1:37" ht="48.75" customHeight="1" thickBot="1" x14ac:dyDescent="0.3">
      <c r="A251" s="81"/>
      <c r="B251" s="13">
        <v>0.58333333288510403</v>
      </c>
      <c r="C251" s="14">
        <v>8218</v>
      </c>
      <c r="D251" s="14">
        <v>354333</v>
      </c>
      <c r="E251" s="14">
        <v>10916</v>
      </c>
      <c r="F251" s="14"/>
      <c r="G251" s="14"/>
      <c r="H251" s="14"/>
      <c r="I251" s="14"/>
      <c r="J251" s="14">
        <v>4208</v>
      </c>
      <c r="K251" s="14">
        <v>5167</v>
      </c>
      <c r="L251" s="14">
        <v>23797</v>
      </c>
      <c r="M251" s="14">
        <v>15012</v>
      </c>
      <c r="N251" s="14">
        <v>53303</v>
      </c>
      <c r="O251" s="14">
        <v>282247</v>
      </c>
      <c r="P251" s="14"/>
      <c r="Q251" s="14"/>
      <c r="R251" s="15">
        <v>50102</v>
      </c>
      <c r="S251" s="14">
        <v>32414953</v>
      </c>
      <c r="T251" s="14"/>
      <c r="U251" s="14">
        <v>165143</v>
      </c>
      <c r="V251" s="14">
        <v>257584</v>
      </c>
      <c r="W251" s="14">
        <v>288944</v>
      </c>
      <c r="X251" s="21">
        <v>70631</v>
      </c>
      <c r="Y251" s="21">
        <v>51004</v>
      </c>
      <c r="Z251" s="21"/>
      <c r="AA251" s="21"/>
      <c r="AB251" s="21">
        <v>100905</v>
      </c>
      <c r="AC251" s="21">
        <v>270715</v>
      </c>
      <c r="AD251" s="21" t="s">
        <v>95</v>
      </c>
      <c r="AE251" s="21"/>
      <c r="AF251" s="21"/>
      <c r="AG251" s="21"/>
      <c r="AH251" s="21"/>
      <c r="AI251" s="22"/>
      <c r="AJ251" s="21"/>
      <c r="AK251" s="21"/>
    </row>
    <row r="252" spans="1:37" ht="48.75" customHeight="1" x14ac:dyDescent="0.25">
      <c r="A252" s="79">
        <v>46106</v>
      </c>
      <c r="B252" s="6">
        <v>0.91666666621813397</v>
      </c>
      <c r="C252" s="7">
        <v>8250</v>
      </c>
      <c r="D252" s="7">
        <v>354618</v>
      </c>
      <c r="E252" s="7">
        <v>10918</v>
      </c>
      <c r="F252" s="7"/>
      <c r="G252" s="7"/>
      <c r="H252" s="7"/>
      <c r="I252" s="7"/>
      <c r="J252" s="7">
        <v>4209</v>
      </c>
      <c r="K252" s="7">
        <v>5167</v>
      </c>
      <c r="L252" s="7">
        <v>23820</v>
      </c>
      <c r="M252" s="7">
        <v>15020</v>
      </c>
      <c r="N252" s="7">
        <v>362314</v>
      </c>
      <c r="O252" s="7">
        <v>282498</v>
      </c>
      <c r="P252" s="7"/>
      <c r="Q252" s="7"/>
      <c r="R252" s="8">
        <v>50113</v>
      </c>
      <c r="S252" s="7">
        <v>32455230</v>
      </c>
      <c r="T252" s="7"/>
      <c r="U252" s="7">
        <v>165555</v>
      </c>
      <c r="V252" s="7">
        <v>257762</v>
      </c>
      <c r="W252" s="7">
        <v>289085</v>
      </c>
      <c r="X252" s="18">
        <v>70631</v>
      </c>
      <c r="Y252" s="18">
        <v>51004</v>
      </c>
      <c r="Z252" s="18">
        <v>6986</v>
      </c>
      <c r="AA252" s="18">
        <v>44798</v>
      </c>
      <c r="AB252" s="18">
        <v>101069</v>
      </c>
      <c r="AC252" s="18">
        <v>270894</v>
      </c>
      <c r="AD252" s="18" t="s">
        <v>95</v>
      </c>
      <c r="AE252" s="18">
        <v>7212</v>
      </c>
      <c r="AF252" s="18">
        <v>33687</v>
      </c>
      <c r="AG252" s="18">
        <v>150</v>
      </c>
      <c r="AH252" s="18"/>
      <c r="AI252" s="19">
        <v>1</v>
      </c>
      <c r="AJ252" s="18">
        <v>6593</v>
      </c>
      <c r="AK252" s="18">
        <v>2376</v>
      </c>
    </row>
    <row r="253" spans="1:37" ht="48.75" customHeight="1" x14ac:dyDescent="0.25">
      <c r="A253" s="80"/>
      <c r="B253" s="10">
        <v>0.249999999551164</v>
      </c>
      <c r="C253" s="11">
        <v>8272</v>
      </c>
      <c r="D253" s="11">
        <v>354845</v>
      </c>
      <c r="E253" s="11">
        <v>10921</v>
      </c>
      <c r="F253" s="11"/>
      <c r="G253" s="11"/>
      <c r="H253" s="11"/>
      <c r="I253" s="11"/>
      <c r="J253" s="11">
        <v>4212</v>
      </c>
      <c r="K253" s="11">
        <v>5170</v>
      </c>
      <c r="L253" s="11">
        <v>23843</v>
      </c>
      <c r="M253" s="11">
        <v>15027</v>
      </c>
      <c r="N253" s="11">
        <v>651744</v>
      </c>
      <c r="O253" s="11">
        <v>282735</v>
      </c>
      <c r="P253" s="11"/>
      <c r="Q253" s="11"/>
      <c r="R253" s="12">
        <v>50127</v>
      </c>
      <c r="S253" s="11">
        <v>32497245</v>
      </c>
      <c r="T253" s="11"/>
      <c r="U253" s="11">
        <v>165990</v>
      </c>
      <c r="V253" s="11">
        <v>257970</v>
      </c>
      <c r="W253" s="11">
        <v>289240</v>
      </c>
      <c r="X253" s="9">
        <v>70631</v>
      </c>
      <c r="Y253" s="9">
        <v>51004</v>
      </c>
      <c r="Z253" s="9"/>
      <c r="AA253" s="9"/>
      <c r="AB253" s="9">
        <v>101154</v>
      </c>
      <c r="AC253" s="9">
        <v>271075</v>
      </c>
      <c r="AD253" s="9"/>
      <c r="AE253" s="9"/>
      <c r="AF253" s="9"/>
      <c r="AG253" s="9"/>
      <c r="AH253" s="9"/>
      <c r="AI253" s="20"/>
      <c r="AJ253" s="9"/>
      <c r="AK253" s="9"/>
    </row>
    <row r="254" spans="1:37" ht="48.75" customHeight="1" thickBot="1" x14ac:dyDescent="0.3">
      <c r="A254" s="81"/>
      <c r="B254" s="13">
        <v>0.58333333288408096</v>
      </c>
      <c r="C254" s="14">
        <v>8294</v>
      </c>
      <c r="D254" s="14">
        <v>355108</v>
      </c>
      <c r="E254" s="14">
        <v>10922</v>
      </c>
      <c r="F254" s="14"/>
      <c r="G254" s="14"/>
      <c r="H254" s="14"/>
      <c r="I254" s="14"/>
      <c r="J254" s="14">
        <v>4213</v>
      </c>
      <c r="K254" s="14">
        <v>5170</v>
      </c>
      <c r="L254" s="14">
        <v>23865</v>
      </c>
      <c r="M254" s="14">
        <v>15032</v>
      </c>
      <c r="N254" s="14">
        <v>972039</v>
      </c>
      <c r="O254" s="14">
        <v>282966</v>
      </c>
      <c r="P254" s="14"/>
      <c r="Q254" s="14"/>
      <c r="R254" s="15">
        <v>50153</v>
      </c>
      <c r="S254" s="14">
        <v>32551195</v>
      </c>
      <c r="T254" s="14"/>
      <c r="U254" s="14">
        <v>166369</v>
      </c>
      <c r="V254" s="14">
        <v>258163</v>
      </c>
      <c r="W254" s="14">
        <v>289397</v>
      </c>
      <c r="X254" s="21">
        <v>70631</v>
      </c>
      <c r="Y254" s="21">
        <v>51004</v>
      </c>
      <c r="Z254" s="21"/>
      <c r="AA254" s="21"/>
      <c r="AB254" s="21">
        <v>101262</v>
      </c>
      <c r="AC254" s="21">
        <v>271264</v>
      </c>
      <c r="AD254" s="21"/>
      <c r="AE254" s="21"/>
      <c r="AF254" s="21"/>
      <c r="AG254" s="21"/>
      <c r="AH254" s="21"/>
      <c r="AI254" s="22"/>
      <c r="AJ254" s="21"/>
      <c r="AK254" s="21"/>
    </row>
    <row r="255" spans="1:37" ht="48.75" customHeight="1" x14ac:dyDescent="0.25">
      <c r="A255" s="79">
        <v>46107</v>
      </c>
      <c r="B255" s="6">
        <v>0.91666666621711101</v>
      </c>
      <c r="C255" s="7">
        <v>8329</v>
      </c>
      <c r="D255" s="7">
        <v>355382</v>
      </c>
      <c r="E255" s="7">
        <v>10923</v>
      </c>
      <c r="F255" s="7"/>
      <c r="G255" s="7"/>
      <c r="H255" s="7"/>
      <c r="I255" s="7"/>
      <c r="J255" s="7">
        <v>4214</v>
      </c>
      <c r="K255" s="7">
        <v>5171</v>
      </c>
      <c r="L255" s="7">
        <v>23886</v>
      </c>
      <c r="M255" s="7">
        <v>15037</v>
      </c>
      <c r="N255" s="7">
        <v>1298736</v>
      </c>
      <c r="O255" s="7">
        <v>283137</v>
      </c>
      <c r="P255" s="7"/>
      <c r="Q255" s="7"/>
      <c r="R255" s="8">
        <v>50162</v>
      </c>
      <c r="S255" s="7">
        <v>32612538</v>
      </c>
      <c r="T255" s="7"/>
      <c r="U255" s="7">
        <v>166842</v>
      </c>
      <c r="V255" s="7">
        <v>258300</v>
      </c>
      <c r="W255" s="7">
        <v>289535</v>
      </c>
      <c r="X255" s="18">
        <v>70631</v>
      </c>
      <c r="Y255" s="18">
        <v>51004</v>
      </c>
      <c r="Z255" s="18">
        <v>7034</v>
      </c>
      <c r="AA255" s="18">
        <v>44869</v>
      </c>
      <c r="AB255" s="18">
        <v>101471</v>
      </c>
      <c r="AC255" s="18">
        <v>271443</v>
      </c>
      <c r="AD255" s="18" t="s">
        <v>95</v>
      </c>
      <c r="AE255" s="18">
        <v>7216</v>
      </c>
      <c r="AF255" s="18">
        <v>33687</v>
      </c>
      <c r="AG255" s="18">
        <v>150</v>
      </c>
      <c r="AH255" s="18"/>
      <c r="AI255" s="19">
        <v>1</v>
      </c>
      <c r="AJ255" s="18">
        <v>6615</v>
      </c>
      <c r="AK255" s="18">
        <v>2376</v>
      </c>
    </row>
    <row r="256" spans="1:37" ht="48.75" customHeight="1" x14ac:dyDescent="0.25">
      <c r="A256" s="80"/>
      <c r="B256" s="10">
        <v>0.24999999955014099</v>
      </c>
      <c r="C256" s="11">
        <v>8370</v>
      </c>
      <c r="D256" s="11">
        <v>355589</v>
      </c>
      <c r="E256" s="11">
        <v>10924</v>
      </c>
      <c r="F256" s="11"/>
      <c r="G256" s="11"/>
      <c r="H256" s="11"/>
      <c r="I256" s="11"/>
      <c r="J256" s="11">
        <v>4215</v>
      </c>
      <c r="K256" s="11">
        <v>5171</v>
      </c>
      <c r="L256" s="11">
        <v>23910</v>
      </c>
      <c r="M256" s="11">
        <v>15041</v>
      </c>
      <c r="N256" s="11">
        <v>1609076</v>
      </c>
      <c r="O256" s="11">
        <v>283360</v>
      </c>
      <c r="P256" s="11"/>
      <c r="Q256" s="11"/>
      <c r="R256" s="12">
        <v>50174</v>
      </c>
      <c r="S256" s="11">
        <v>32671445</v>
      </c>
      <c r="T256" s="11"/>
      <c r="U256" s="11">
        <v>167249</v>
      </c>
      <c r="V256" s="11">
        <v>258478</v>
      </c>
      <c r="W256" s="11">
        <v>289704</v>
      </c>
      <c r="X256" s="9">
        <v>70631</v>
      </c>
      <c r="Y256" s="9">
        <v>51004</v>
      </c>
      <c r="Z256" s="9"/>
      <c r="AA256" s="9"/>
      <c r="AB256" s="9">
        <v>101716</v>
      </c>
      <c r="AC256" s="9">
        <v>271655</v>
      </c>
      <c r="AD256" s="9"/>
      <c r="AE256" s="9"/>
      <c r="AF256" s="9"/>
      <c r="AG256" s="9"/>
      <c r="AH256" s="9"/>
      <c r="AI256" s="20"/>
      <c r="AJ256" s="9"/>
      <c r="AK256" s="9"/>
    </row>
    <row r="257" spans="1:37" ht="48.75" customHeight="1" thickBot="1" x14ac:dyDescent="0.3">
      <c r="A257" s="81"/>
      <c r="B257" s="13">
        <v>0.58333333288317102</v>
      </c>
      <c r="C257" s="14">
        <v>8398</v>
      </c>
      <c r="D257" s="14">
        <v>355885</v>
      </c>
      <c r="E257" s="14">
        <v>10925</v>
      </c>
      <c r="F257" s="14"/>
      <c r="G257" s="14"/>
      <c r="H257" s="14"/>
      <c r="I257" s="14"/>
      <c r="J257" s="14">
        <v>4216</v>
      </c>
      <c r="K257" s="14">
        <v>5171</v>
      </c>
      <c r="L257" s="14">
        <v>23931</v>
      </c>
      <c r="M257" s="14">
        <v>15045</v>
      </c>
      <c r="N257" s="14">
        <v>1899802</v>
      </c>
      <c r="O257" s="14">
        <v>283548</v>
      </c>
      <c r="P257" s="14"/>
      <c r="Q257" s="14"/>
      <c r="R257" s="15">
        <v>50195</v>
      </c>
      <c r="S257" s="14">
        <v>32736976</v>
      </c>
      <c r="T257" s="14"/>
      <c r="U257" s="14">
        <v>167786</v>
      </c>
      <c r="V257" s="14">
        <v>258595</v>
      </c>
      <c r="W257" s="14">
        <v>289860</v>
      </c>
      <c r="X257" s="21">
        <v>70700</v>
      </c>
      <c r="Y257" s="21">
        <v>51056</v>
      </c>
      <c r="Z257" s="21"/>
      <c r="AA257" s="21"/>
      <c r="AB257" s="21">
        <v>101844</v>
      </c>
      <c r="AC257" s="21">
        <v>271885</v>
      </c>
      <c r="AD257" s="21"/>
      <c r="AE257" s="21"/>
      <c r="AF257" s="21"/>
      <c r="AG257" s="21"/>
      <c r="AH257" s="21"/>
      <c r="AI257" s="22"/>
      <c r="AJ257" s="21"/>
      <c r="AK257" s="21"/>
    </row>
    <row r="258" spans="1:37" ht="48.75" customHeight="1" x14ac:dyDescent="0.25">
      <c r="A258" s="79">
        <v>46108</v>
      </c>
      <c r="B258" s="6">
        <v>0.91666666621608806</v>
      </c>
      <c r="C258" s="7">
        <v>8436</v>
      </c>
      <c r="D258" s="7">
        <v>356173</v>
      </c>
      <c r="E258" s="7">
        <v>10927</v>
      </c>
      <c r="F258" s="7"/>
      <c r="G258" s="7"/>
      <c r="H258" s="7"/>
      <c r="I258" s="7"/>
      <c r="J258" s="7">
        <v>4217</v>
      </c>
      <c r="K258" s="7">
        <v>5171</v>
      </c>
      <c r="L258" s="7">
        <v>23951</v>
      </c>
      <c r="M258" s="7">
        <v>15049</v>
      </c>
      <c r="N258" s="7">
        <v>2172435</v>
      </c>
      <c r="O258" s="7">
        <v>283743</v>
      </c>
      <c r="P258" s="7"/>
      <c r="Q258" s="7"/>
      <c r="R258" s="8">
        <v>50205</v>
      </c>
      <c r="S258" s="7">
        <v>32795089</v>
      </c>
      <c r="T258" s="7"/>
      <c r="U258" s="7">
        <v>168225</v>
      </c>
      <c r="V258" s="7">
        <v>258734</v>
      </c>
      <c r="W258" s="7">
        <v>290043</v>
      </c>
      <c r="X258" s="18">
        <v>70779</v>
      </c>
      <c r="Y258" s="18">
        <v>51118</v>
      </c>
      <c r="Z258" s="18">
        <v>7080</v>
      </c>
      <c r="AA258" s="18">
        <v>44943</v>
      </c>
      <c r="AB258" s="18">
        <v>102051</v>
      </c>
      <c r="AC258" s="18">
        <v>272101</v>
      </c>
      <c r="AD258" s="18" t="s">
        <v>95</v>
      </c>
      <c r="AE258" s="18">
        <v>7217</v>
      </c>
      <c r="AF258" s="18">
        <v>33687</v>
      </c>
      <c r="AG258" s="18">
        <v>150</v>
      </c>
      <c r="AH258" s="18"/>
      <c r="AI258" s="19">
        <v>1</v>
      </c>
      <c r="AJ258" s="18">
        <v>6636</v>
      </c>
      <c r="AK258" s="18">
        <v>2376</v>
      </c>
    </row>
    <row r="259" spans="1:37" ht="48.75" customHeight="1" x14ac:dyDescent="0.25">
      <c r="A259" s="80"/>
      <c r="B259" s="10">
        <v>0.249999999549118</v>
      </c>
      <c r="C259" s="11">
        <v>8461</v>
      </c>
      <c r="D259" s="11">
        <v>356399</v>
      </c>
      <c r="E259" s="11">
        <v>10929</v>
      </c>
      <c r="F259" s="11"/>
      <c r="G259" s="11"/>
      <c r="H259" s="11"/>
      <c r="I259" s="11"/>
      <c r="J259" s="11">
        <v>4218</v>
      </c>
      <c r="K259" s="11">
        <v>5171</v>
      </c>
      <c r="L259" s="11">
        <v>23974</v>
      </c>
      <c r="M259" s="11">
        <v>15055</v>
      </c>
      <c r="N259" s="11">
        <v>2519879</v>
      </c>
      <c r="O259" s="11">
        <v>283999</v>
      </c>
      <c r="P259" s="11"/>
      <c r="Q259" s="11"/>
      <c r="R259" s="12">
        <f>AVERAGE(R260,R258)</f>
        <v>50223</v>
      </c>
      <c r="S259" s="11">
        <v>32855906</v>
      </c>
      <c r="T259" s="11"/>
      <c r="U259" s="11">
        <v>168688</v>
      </c>
      <c r="V259" s="11">
        <v>258896</v>
      </c>
      <c r="W259" s="11">
        <v>290262</v>
      </c>
      <c r="X259" s="9">
        <v>70835</v>
      </c>
      <c r="Y259" s="9">
        <v>51161</v>
      </c>
      <c r="Z259" s="9"/>
      <c r="AA259" s="9"/>
      <c r="AB259" s="9">
        <v>102173</v>
      </c>
      <c r="AC259" s="9">
        <v>272338</v>
      </c>
      <c r="AD259" s="9"/>
      <c r="AE259" s="9"/>
      <c r="AF259" s="9"/>
      <c r="AG259" s="9"/>
      <c r="AH259" s="9"/>
      <c r="AI259" s="20"/>
      <c r="AJ259" s="9"/>
      <c r="AK259" s="9"/>
    </row>
    <row r="260" spans="1:37" ht="48.75" customHeight="1" thickBot="1" x14ac:dyDescent="0.3">
      <c r="A260" s="81"/>
      <c r="B260" s="13">
        <v>0.58333333288214795</v>
      </c>
      <c r="C260" s="14">
        <v>8489</v>
      </c>
      <c r="D260" s="14">
        <v>356659</v>
      </c>
      <c r="E260" s="14">
        <v>10932</v>
      </c>
      <c r="F260" s="14"/>
      <c r="G260" s="14"/>
      <c r="H260" s="14"/>
      <c r="I260" s="14"/>
      <c r="J260" s="14">
        <v>4218</v>
      </c>
      <c r="K260" s="14">
        <v>5171</v>
      </c>
      <c r="L260" s="14">
        <v>23996</v>
      </c>
      <c r="M260" s="14">
        <v>15065</v>
      </c>
      <c r="N260" s="14">
        <v>2786659</v>
      </c>
      <c r="O260" s="14">
        <v>284196</v>
      </c>
      <c r="P260" s="14"/>
      <c r="Q260" s="14"/>
      <c r="R260" s="15">
        <v>50241</v>
      </c>
      <c r="S260" s="14">
        <v>32929644</v>
      </c>
      <c r="T260" s="14"/>
      <c r="U260" s="14">
        <v>169055</v>
      </c>
      <c r="V260" s="14">
        <v>258996</v>
      </c>
      <c r="W260" s="14">
        <v>290372</v>
      </c>
      <c r="X260" s="21">
        <v>70846</v>
      </c>
      <c r="Y260" s="21">
        <v>51171</v>
      </c>
      <c r="Z260" s="21"/>
      <c r="AA260" s="21"/>
      <c r="AB260" s="21">
        <v>102270</v>
      </c>
      <c r="AC260" s="21">
        <v>272565</v>
      </c>
      <c r="AD260" s="21">
        <v>358</v>
      </c>
      <c r="AE260" s="21"/>
      <c r="AF260" s="21"/>
      <c r="AG260" s="21"/>
      <c r="AH260" s="21"/>
      <c r="AI260" s="22"/>
      <c r="AJ260" s="21"/>
      <c r="AK260" s="21"/>
    </row>
    <row r="261" spans="1:37" ht="48.75" customHeight="1" x14ac:dyDescent="0.25">
      <c r="A261" s="79">
        <v>46109</v>
      </c>
      <c r="B261" s="6">
        <v>0.91666666621517801</v>
      </c>
      <c r="C261" s="7">
        <v>8516</v>
      </c>
      <c r="D261" s="7">
        <v>356923</v>
      </c>
      <c r="E261" s="7">
        <v>10934</v>
      </c>
      <c r="F261" s="7"/>
      <c r="G261" s="7"/>
      <c r="H261" s="7"/>
      <c r="I261" s="7"/>
      <c r="J261" s="7">
        <v>4218</v>
      </c>
      <c r="K261" s="7">
        <v>5171</v>
      </c>
      <c r="L261" s="7">
        <v>24016</v>
      </c>
      <c r="M261" s="7">
        <v>15068</v>
      </c>
      <c r="N261" s="7">
        <v>3014136</v>
      </c>
      <c r="O261" s="7">
        <v>284376</v>
      </c>
      <c r="P261" s="7"/>
      <c r="Q261" s="7"/>
      <c r="R261" s="8">
        <v>50248</v>
      </c>
      <c r="S261" s="7">
        <v>32970941</v>
      </c>
      <c r="T261" s="7"/>
      <c r="U261" s="7">
        <f>+U260+471</f>
        <v>169526</v>
      </c>
      <c r="V261" s="7">
        <v>259139</v>
      </c>
      <c r="W261" s="7">
        <v>290539</v>
      </c>
      <c r="X261" s="18">
        <v>70909</v>
      </c>
      <c r="Y261" s="18">
        <v>51217</v>
      </c>
      <c r="Z261" s="18">
        <v>7092</v>
      </c>
      <c r="AA261" s="18">
        <v>44999</v>
      </c>
      <c r="AB261" s="18">
        <v>102485</v>
      </c>
      <c r="AC261" s="18">
        <v>272792</v>
      </c>
      <c r="AD261" s="18"/>
      <c r="AE261" s="18">
        <v>7219</v>
      </c>
      <c r="AF261" s="18">
        <v>33687</v>
      </c>
      <c r="AG261" s="18">
        <v>150</v>
      </c>
      <c r="AH261" s="18"/>
      <c r="AI261" s="19">
        <v>1</v>
      </c>
      <c r="AJ261" s="18">
        <v>6658</v>
      </c>
      <c r="AK261" s="18">
        <v>2376</v>
      </c>
    </row>
    <row r="262" spans="1:37" ht="48.75" customHeight="1" x14ac:dyDescent="0.25">
      <c r="A262" s="80"/>
      <c r="B262" s="10">
        <v>0.24999999954809499</v>
      </c>
      <c r="C262" s="11">
        <v>8538</v>
      </c>
      <c r="D262" s="11">
        <v>357159</v>
      </c>
      <c r="E262" s="11">
        <v>10935</v>
      </c>
      <c r="F262" s="11"/>
      <c r="G262" s="11"/>
      <c r="H262" s="11"/>
      <c r="I262" s="11"/>
      <c r="J262" s="11">
        <v>4219</v>
      </c>
      <c r="K262" s="11">
        <v>5172</v>
      </c>
      <c r="L262" s="11">
        <v>24040</v>
      </c>
      <c r="M262" s="11">
        <v>15075</v>
      </c>
      <c r="N262" s="11">
        <v>3309244</v>
      </c>
      <c r="O262" s="11">
        <v>284599</v>
      </c>
      <c r="P262" s="11"/>
      <c r="Q262" s="11"/>
      <c r="R262" s="12">
        <v>50262</v>
      </c>
      <c r="S262" s="11">
        <v>33023141</v>
      </c>
      <c r="T262" s="11"/>
      <c r="U262" s="11">
        <f>+U263-471</f>
        <v>169997</v>
      </c>
      <c r="V262" s="11">
        <v>259273</v>
      </c>
      <c r="W262" s="11">
        <v>290693</v>
      </c>
      <c r="X262" s="9">
        <v>71002</v>
      </c>
      <c r="Y262" s="9">
        <v>51290</v>
      </c>
      <c r="Z262" s="9"/>
      <c r="AA262" s="9"/>
      <c r="AB262" s="9">
        <v>102569</v>
      </c>
      <c r="AC262" s="9">
        <v>273054</v>
      </c>
      <c r="AD262" s="9"/>
      <c r="AE262" s="9"/>
      <c r="AF262" s="9"/>
      <c r="AG262" s="9"/>
      <c r="AH262" s="9"/>
      <c r="AI262" s="20"/>
      <c r="AJ262" s="9"/>
      <c r="AK262" s="9"/>
    </row>
    <row r="263" spans="1:37" ht="48.75" customHeight="1" thickBot="1" x14ac:dyDescent="0.3">
      <c r="A263" s="81"/>
      <c r="B263" s="13">
        <v>0.58333333288112499</v>
      </c>
      <c r="C263" s="14">
        <v>8578</v>
      </c>
      <c r="D263" s="14">
        <v>357397</v>
      </c>
      <c r="E263" s="14">
        <v>10936</v>
      </c>
      <c r="F263" s="14"/>
      <c r="G263" s="14"/>
      <c r="H263" s="14"/>
      <c r="I263" s="14"/>
      <c r="J263" s="14">
        <v>4220</v>
      </c>
      <c r="K263" s="14">
        <v>5173</v>
      </c>
      <c r="L263" s="14">
        <v>24061</v>
      </c>
      <c r="M263" s="14">
        <v>15070</v>
      </c>
      <c r="N263" s="14">
        <v>3309244</v>
      </c>
      <c r="O263" s="14">
        <v>284599</v>
      </c>
      <c r="P263" s="14"/>
      <c r="Q263" s="14"/>
      <c r="R263" s="15">
        <v>50277</v>
      </c>
      <c r="S263" s="14">
        <v>33094426</v>
      </c>
      <c r="T263" s="14"/>
      <c r="U263" s="14">
        <v>170468</v>
      </c>
      <c r="V263" s="14">
        <v>259312</v>
      </c>
      <c r="W263" s="14">
        <v>290712</v>
      </c>
      <c r="X263" s="21">
        <v>71042</v>
      </c>
      <c r="Y263" s="21">
        <v>51319</v>
      </c>
      <c r="Z263" s="21"/>
      <c r="AA263" s="21"/>
      <c r="AB263" s="21">
        <v>102779</v>
      </c>
      <c r="AC263" s="21">
        <v>273281</v>
      </c>
      <c r="AD263" s="21"/>
      <c r="AE263" s="21"/>
      <c r="AF263" s="21"/>
      <c r="AG263" s="21"/>
      <c r="AH263" s="21"/>
      <c r="AI263" s="22"/>
      <c r="AJ263" s="21"/>
      <c r="AK263" s="21"/>
    </row>
    <row r="264" spans="1:37" ht="48.75" customHeight="1" x14ac:dyDescent="0.25">
      <c r="A264" s="79">
        <v>46110</v>
      </c>
      <c r="B264" s="6">
        <v>0.91666666621415505</v>
      </c>
      <c r="C264" s="7">
        <v>8609</v>
      </c>
      <c r="D264" s="7">
        <v>357624</v>
      </c>
      <c r="E264" s="7">
        <v>10937</v>
      </c>
      <c r="F264" s="7"/>
      <c r="G264" s="7"/>
      <c r="H264" s="7"/>
      <c r="I264" s="7"/>
      <c r="J264" s="7">
        <v>4220</v>
      </c>
      <c r="K264" s="7">
        <v>5174</v>
      </c>
      <c r="L264" s="7">
        <v>24083</v>
      </c>
      <c r="M264" s="7">
        <v>15088</v>
      </c>
      <c r="N264" s="7">
        <v>3382269</v>
      </c>
      <c r="O264" s="7">
        <v>284653</v>
      </c>
      <c r="P264" s="7"/>
      <c r="Q264" s="7"/>
      <c r="R264" s="8">
        <v>50293</v>
      </c>
      <c r="S264" s="7">
        <v>33119066</v>
      </c>
      <c r="T264" s="7"/>
      <c r="U264" s="7">
        <v>170868</v>
      </c>
      <c r="V264" s="7">
        <v>259328</v>
      </c>
      <c r="W264" s="7">
        <v>290726</v>
      </c>
      <c r="X264" s="18">
        <v>71108</v>
      </c>
      <c r="Y264" s="18">
        <v>51370</v>
      </c>
      <c r="Z264" s="18">
        <v>7180</v>
      </c>
      <c r="AA264" s="18">
        <v>45086</v>
      </c>
      <c r="AB264" s="18">
        <v>103007</v>
      </c>
      <c r="AC264" s="18">
        <v>273536</v>
      </c>
      <c r="AD264" s="18"/>
      <c r="AE264" s="18">
        <v>7225</v>
      </c>
      <c r="AF264" s="18">
        <v>33687</v>
      </c>
      <c r="AG264" s="18">
        <v>150</v>
      </c>
      <c r="AH264" s="18"/>
      <c r="AI264" s="19">
        <v>1</v>
      </c>
      <c r="AJ264" s="18">
        <v>6679</v>
      </c>
      <c r="AK264" s="18">
        <v>2376</v>
      </c>
    </row>
    <row r="265" spans="1:37" ht="48.75" customHeight="1" x14ac:dyDescent="0.25">
      <c r="A265" s="80"/>
      <c r="B265" s="10">
        <v>0.24999999954718499</v>
      </c>
      <c r="C265" s="11">
        <v>8637</v>
      </c>
      <c r="D265" s="11">
        <v>357815</v>
      </c>
      <c r="E265" s="11">
        <v>10939</v>
      </c>
      <c r="F265" s="11"/>
      <c r="G265" s="11"/>
      <c r="H265" s="11"/>
      <c r="I265" s="11"/>
      <c r="J265" s="11">
        <v>4220</v>
      </c>
      <c r="K265" s="11">
        <v>5178</v>
      </c>
      <c r="L265" s="11">
        <v>24169</v>
      </c>
      <c r="M265" s="11">
        <v>15091</v>
      </c>
      <c r="N265" s="11">
        <v>3382269</v>
      </c>
      <c r="O265" s="11">
        <v>284653</v>
      </c>
      <c r="P265" s="11"/>
      <c r="Q265" s="11"/>
      <c r="R265" s="12">
        <v>50332</v>
      </c>
      <c r="S265" s="11">
        <v>33119316</v>
      </c>
      <c r="T265" s="11"/>
      <c r="U265" s="11">
        <v>171148</v>
      </c>
      <c r="V265" s="11">
        <v>259328</v>
      </c>
      <c r="W265" s="11">
        <v>290726</v>
      </c>
      <c r="X265" s="9">
        <v>71249</v>
      </c>
      <c r="Y265" s="9">
        <v>51472</v>
      </c>
      <c r="Z265" s="9">
        <v>7229</v>
      </c>
      <c r="AA265" s="9">
        <v>45119</v>
      </c>
      <c r="AB265" s="9" t="s">
        <v>96</v>
      </c>
      <c r="AC265" s="9">
        <v>274416</v>
      </c>
      <c r="AD265" s="9"/>
      <c r="AE265" s="9"/>
      <c r="AF265" s="9"/>
      <c r="AG265" s="9"/>
      <c r="AH265" s="9"/>
      <c r="AI265" s="20"/>
      <c r="AJ265" s="9"/>
      <c r="AK265" s="9"/>
    </row>
    <row r="266" spans="1:37" ht="48.75" customHeight="1" thickBot="1" x14ac:dyDescent="0.3">
      <c r="A266" s="81"/>
      <c r="B266" s="13">
        <v>0.58333333288010203</v>
      </c>
      <c r="C266" s="14">
        <v>8637</v>
      </c>
      <c r="D266" s="14">
        <v>357815</v>
      </c>
      <c r="E266" s="14">
        <v>10939</v>
      </c>
      <c r="F266" s="14"/>
      <c r="G266" s="14"/>
      <c r="H266" s="14"/>
      <c r="I266" s="14"/>
      <c r="J266" s="14">
        <v>4220</v>
      </c>
      <c r="K266" s="14">
        <v>5178</v>
      </c>
      <c r="L266" s="14">
        <v>24169</v>
      </c>
      <c r="M266" s="14">
        <v>15091</v>
      </c>
      <c r="N266" s="14">
        <v>3382269</v>
      </c>
      <c r="O266" s="14">
        <v>284653</v>
      </c>
      <c r="P266" s="14"/>
      <c r="Q266" s="14"/>
      <c r="R266" s="15">
        <v>50332</v>
      </c>
      <c r="S266" s="14">
        <v>33119316</v>
      </c>
      <c r="T266" s="14"/>
      <c r="U266" s="14">
        <v>171148</v>
      </c>
      <c r="V266" s="14">
        <v>259328</v>
      </c>
      <c r="W266" s="14">
        <v>290726</v>
      </c>
      <c r="X266" s="21">
        <v>71249</v>
      </c>
      <c r="Y266" s="21">
        <v>51472</v>
      </c>
      <c r="Z266" s="21">
        <v>7229</v>
      </c>
      <c r="AA266" s="21">
        <v>45119</v>
      </c>
      <c r="AB266" s="21" t="s">
        <v>96</v>
      </c>
      <c r="AC266" s="21">
        <v>274416</v>
      </c>
      <c r="AD266" s="21"/>
      <c r="AE266" s="21"/>
      <c r="AF266" s="21"/>
      <c r="AG266" s="21"/>
      <c r="AH266" s="21"/>
      <c r="AI266" s="22"/>
      <c r="AJ266" s="21"/>
      <c r="AK266" s="21"/>
    </row>
    <row r="267" spans="1:37" ht="48.75" customHeight="1" thickBot="1" x14ac:dyDescent="0.3">
      <c r="A267" s="79">
        <v>46111</v>
      </c>
      <c r="B267" s="6">
        <v>0.91666666621313198</v>
      </c>
      <c r="C267" s="7">
        <v>8637</v>
      </c>
      <c r="D267" s="7">
        <v>357815</v>
      </c>
      <c r="E267" s="7">
        <v>10939</v>
      </c>
      <c r="F267" s="7"/>
      <c r="G267" s="7"/>
      <c r="H267" s="7"/>
      <c r="I267" s="7"/>
      <c r="J267" s="7">
        <v>4220</v>
      </c>
      <c r="K267" s="7">
        <v>5178</v>
      </c>
      <c r="L267" s="7">
        <v>24169</v>
      </c>
      <c r="M267" s="7">
        <v>15091</v>
      </c>
      <c r="N267" s="7">
        <v>3382269</v>
      </c>
      <c r="O267" s="7">
        <v>284653</v>
      </c>
      <c r="P267" s="7"/>
      <c r="Q267" s="7"/>
      <c r="R267" s="8">
        <v>50332</v>
      </c>
      <c r="S267" s="7">
        <v>33119316</v>
      </c>
      <c r="T267" s="7"/>
      <c r="U267" s="7">
        <v>171148</v>
      </c>
      <c r="V267" s="7">
        <v>259328</v>
      </c>
      <c r="W267" s="7">
        <v>290726</v>
      </c>
      <c r="X267" s="21">
        <v>71249</v>
      </c>
      <c r="Y267" s="21">
        <v>51472</v>
      </c>
      <c r="Z267" s="18">
        <v>7229</v>
      </c>
      <c r="AA267" s="18">
        <v>45119</v>
      </c>
      <c r="AB267" s="18" t="s">
        <v>96</v>
      </c>
      <c r="AC267" s="18">
        <v>274416</v>
      </c>
      <c r="AD267" s="18"/>
      <c r="AE267" s="18">
        <v>7229</v>
      </c>
      <c r="AF267" s="18">
        <v>33687</v>
      </c>
      <c r="AG267" s="18">
        <v>150</v>
      </c>
      <c r="AH267" s="18"/>
      <c r="AI267" s="19">
        <v>1</v>
      </c>
      <c r="AJ267" s="18">
        <v>6701</v>
      </c>
      <c r="AK267" s="18">
        <v>2376</v>
      </c>
    </row>
    <row r="268" spans="1:37" ht="48.75" customHeight="1" x14ac:dyDescent="0.25">
      <c r="A268" s="80"/>
      <c r="B268" s="10">
        <v>0.24999999954616201</v>
      </c>
      <c r="C268" s="11">
        <v>8637</v>
      </c>
      <c r="D268" s="11">
        <v>357815</v>
      </c>
      <c r="E268" s="11">
        <v>10939</v>
      </c>
      <c r="F268" s="11"/>
      <c r="G268" s="11"/>
      <c r="H268" s="11"/>
      <c r="I268" s="11"/>
      <c r="J268" s="11">
        <v>4222</v>
      </c>
      <c r="K268" s="11">
        <v>5178</v>
      </c>
      <c r="L268" s="11">
        <v>24169</v>
      </c>
      <c r="M268" s="11">
        <v>15097</v>
      </c>
      <c r="N268" s="11">
        <v>3382269</v>
      </c>
      <c r="O268" s="11">
        <v>284653</v>
      </c>
      <c r="P268" s="11"/>
      <c r="Q268" s="11"/>
      <c r="R268" s="12">
        <v>50332</v>
      </c>
      <c r="S268" s="11">
        <v>33119316</v>
      </c>
      <c r="T268" s="11"/>
      <c r="U268" s="11">
        <v>171148</v>
      </c>
      <c r="V268" s="11">
        <v>259328</v>
      </c>
      <c r="W268" s="11">
        <v>290726</v>
      </c>
      <c r="X268" s="9">
        <v>71249</v>
      </c>
      <c r="Y268" s="9">
        <v>51472</v>
      </c>
      <c r="Z268" s="9"/>
      <c r="AA268" s="9"/>
      <c r="AB268" s="9"/>
      <c r="AC268" s="9">
        <v>274417</v>
      </c>
      <c r="AD268" s="9"/>
      <c r="AE268" s="9"/>
      <c r="AF268" s="9"/>
      <c r="AG268" s="9"/>
      <c r="AH268" s="9"/>
      <c r="AI268" s="20"/>
      <c r="AJ268" s="9"/>
      <c r="AK268" s="9"/>
    </row>
    <row r="269" spans="1:37" ht="48.75" customHeight="1" thickBot="1" x14ac:dyDescent="0.3">
      <c r="A269" s="81"/>
      <c r="B269" s="13">
        <v>0.58333333287907896</v>
      </c>
      <c r="C269" s="14">
        <v>8638</v>
      </c>
      <c r="D269" s="14">
        <v>357825</v>
      </c>
      <c r="E269" s="14">
        <v>10939</v>
      </c>
      <c r="F269" s="14"/>
      <c r="G269" s="14"/>
      <c r="H269" s="14"/>
      <c r="I269" s="14"/>
      <c r="J269" s="14">
        <v>4222</v>
      </c>
      <c r="K269" s="14">
        <v>5178</v>
      </c>
      <c r="L269" s="14">
        <v>24187</v>
      </c>
      <c r="M269" s="14">
        <v>15097</v>
      </c>
      <c r="N269" s="14">
        <v>3382269</v>
      </c>
      <c r="O269" s="14">
        <v>284653</v>
      </c>
      <c r="P269" s="14"/>
      <c r="Q269" s="14"/>
      <c r="R269" s="15">
        <v>50340</v>
      </c>
      <c r="S269" s="14">
        <v>33119327</v>
      </c>
      <c r="T269" s="14"/>
      <c r="U269" s="14">
        <v>171161</v>
      </c>
      <c r="V269" s="14">
        <v>259328</v>
      </c>
      <c r="W269" s="14">
        <v>290726</v>
      </c>
      <c r="X269" s="21">
        <v>71306</v>
      </c>
      <c r="Y269" s="21">
        <v>51491</v>
      </c>
      <c r="Z269" s="21"/>
      <c r="AA269" s="21"/>
      <c r="AB269" s="21"/>
      <c r="AC269" s="21">
        <v>274895</v>
      </c>
      <c r="AD269" s="21"/>
      <c r="AE269" s="21"/>
      <c r="AF269" s="21"/>
      <c r="AG269" s="21"/>
      <c r="AH269" s="21"/>
      <c r="AI269" s="22"/>
      <c r="AJ269" s="21"/>
      <c r="AK269" s="21"/>
    </row>
    <row r="270" spans="1:37" ht="48.75" customHeight="1" x14ac:dyDescent="0.25">
      <c r="A270" s="79">
        <v>46112</v>
      </c>
      <c r="B270" s="6">
        <v>0.91666666621210902</v>
      </c>
      <c r="C270" s="7">
        <v>8638</v>
      </c>
      <c r="D270" s="7">
        <v>357825</v>
      </c>
      <c r="E270" s="7">
        <v>10939</v>
      </c>
      <c r="F270" s="7"/>
      <c r="G270" s="7"/>
      <c r="H270" s="7"/>
      <c r="I270" s="7"/>
      <c r="J270" s="7">
        <v>4222</v>
      </c>
      <c r="K270" s="7">
        <v>5178</v>
      </c>
      <c r="L270" s="7">
        <v>24187</v>
      </c>
      <c r="M270" s="7">
        <v>15097</v>
      </c>
      <c r="N270" s="7">
        <v>3382269</v>
      </c>
      <c r="O270" s="7">
        <v>284653</v>
      </c>
      <c r="P270" s="7"/>
      <c r="Q270" s="7"/>
      <c r="R270" s="8">
        <v>50340</v>
      </c>
      <c r="S270" s="7">
        <v>33119327</v>
      </c>
      <c r="T270" s="7"/>
      <c r="U270" s="7">
        <v>171161</v>
      </c>
      <c r="V270" s="7">
        <v>259328</v>
      </c>
      <c r="W270" s="7">
        <v>290726</v>
      </c>
      <c r="X270" s="18">
        <v>71383</v>
      </c>
      <c r="Y270" s="18">
        <v>51492</v>
      </c>
      <c r="Z270" s="18">
        <v>7257</v>
      </c>
      <c r="AA270" s="18">
        <v>45119</v>
      </c>
      <c r="AB270" s="18" t="s">
        <v>96</v>
      </c>
      <c r="AC270" s="18">
        <v>274895</v>
      </c>
      <c r="AD270" s="18"/>
      <c r="AE270" s="18">
        <v>7230</v>
      </c>
      <c r="AF270" s="18">
        <v>33687</v>
      </c>
      <c r="AG270" s="18">
        <v>150</v>
      </c>
      <c r="AH270" s="18"/>
      <c r="AI270" s="19">
        <v>1</v>
      </c>
      <c r="AJ270" s="18">
        <v>6713</v>
      </c>
      <c r="AK270" s="18">
        <v>2376</v>
      </c>
    </row>
    <row r="271" spans="1:37" ht="48.75" customHeight="1" x14ac:dyDescent="0.25">
      <c r="A271" s="80"/>
      <c r="B271" s="10">
        <v>0.24999999954513899</v>
      </c>
      <c r="C271" s="11">
        <v>8640</v>
      </c>
      <c r="D271" s="11">
        <v>357830</v>
      </c>
      <c r="E271" s="11">
        <v>10939</v>
      </c>
      <c r="F271" s="11"/>
      <c r="G271" s="11"/>
      <c r="H271" s="11"/>
      <c r="I271" s="11"/>
      <c r="J271" s="11">
        <v>4222</v>
      </c>
      <c r="K271" s="11">
        <v>5178</v>
      </c>
      <c r="L271" s="11">
        <v>24187</v>
      </c>
      <c r="M271" s="11">
        <v>15098</v>
      </c>
      <c r="N271" s="11">
        <v>3382269</v>
      </c>
      <c r="O271" s="11">
        <v>284653</v>
      </c>
      <c r="P271" s="11"/>
      <c r="Q271" s="11"/>
      <c r="R271" s="12">
        <v>50342</v>
      </c>
      <c r="S271" s="11">
        <v>33119337</v>
      </c>
      <c r="T271" s="11"/>
      <c r="U271" s="11">
        <v>171165</v>
      </c>
      <c r="V271" s="11">
        <v>259328</v>
      </c>
      <c r="W271" s="11">
        <v>290726</v>
      </c>
      <c r="X271" s="9">
        <v>71383</v>
      </c>
      <c r="Y271" s="9">
        <v>51492</v>
      </c>
      <c r="Z271" s="9"/>
      <c r="AA271" s="9"/>
      <c r="AB271" s="9">
        <v>103370</v>
      </c>
      <c r="AC271" s="9">
        <v>275099</v>
      </c>
      <c r="AD271" s="9">
        <v>358</v>
      </c>
      <c r="AE271" s="9"/>
      <c r="AF271" s="9"/>
      <c r="AG271" s="9">
        <v>150</v>
      </c>
      <c r="AH271" s="9"/>
      <c r="AI271" s="20">
        <v>1</v>
      </c>
      <c r="AJ271" s="9"/>
      <c r="AK271" s="9">
        <v>2376</v>
      </c>
    </row>
    <row r="272" spans="1:37" ht="48.75" customHeight="1" thickBot="1" x14ac:dyDescent="0.3">
      <c r="A272" s="81"/>
      <c r="B272" s="13">
        <v>0.58333333287816902</v>
      </c>
      <c r="C272" s="14">
        <v>8642</v>
      </c>
      <c r="D272" s="14">
        <v>357838</v>
      </c>
      <c r="E272" s="14">
        <v>10939</v>
      </c>
      <c r="F272" s="14"/>
      <c r="G272" s="14"/>
      <c r="H272" s="14"/>
      <c r="I272" s="14"/>
      <c r="J272" s="14">
        <v>4222</v>
      </c>
      <c r="K272" s="14">
        <v>5178</v>
      </c>
      <c r="L272" s="14">
        <v>24187</v>
      </c>
      <c r="M272" s="14">
        <v>15101</v>
      </c>
      <c r="N272" s="14">
        <v>3382269</v>
      </c>
      <c r="O272" s="14">
        <v>284653</v>
      </c>
      <c r="P272" s="14"/>
      <c r="Q272" s="14"/>
      <c r="R272" s="15">
        <v>50345</v>
      </c>
      <c r="S272" s="14">
        <v>33119345</v>
      </c>
      <c r="T272" s="14"/>
      <c r="U272" s="14">
        <v>171167</v>
      </c>
      <c r="V272" s="14">
        <v>259328</v>
      </c>
      <c r="W272" s="14">
        <v>290726</v>
      </c>
      <c r="X272" s="21">
        <v>71383</v>
      </c>
      <c r="Y272" s="21">
        <v>51492</v>
      </c>
      <c r="Z272" s="21"/>
      <c r="AA272" s="21"/>
      <c r="AB272" s="21">
        <v>103389</v>
      </c>
      <c r="AC272" s="21">
        <v>275677</v>
      </c>
      <c r="AD272" s="21">
        <v>358</v>
      </c>
      <c r="AE272" s="21"/>
      <c r="AF272" s="21"/>
      <c r="AG272" s="21"/>
      <c r="AH272" s="21"/>
      <c r="AI272" s="22"/>
      <c r="AJ272" s="21"/>
      <c r="AK272" s="21"/>
    </row>
    <row r="273" spans="1:37" ht="48.75" customHeight="1" x14ac:dyDescent="0.25">
      <c r="A273" s="79">
        <v>46113</v>
      </c>
      <c r="B273" s="6">
        <v>0.91666666621108595</v>
      </c>
      <c r="C273" s="7">
        <v>8642</v>
      </c>
      <c r="D273" s="7">
        <v>357838</v>
      </c>
      <c r="E273" s="7">
        <v>10939</v>
      </c>
      <c r="F273" s="7"/>
      <c r="G273" s="7"/>
      <c r="H273" s="7"/>
      <c r="I273" s="7"/>
      <c r="J273" s="7">
        <v>4222</v>
      </c>
      <c r="K273" s="7">
        <v>5178</v>
      </c>
      <c r="L273" s="7">
        <v>24187</v>
      </c>
      <c r="M273" s="7">
        <v>15101</v>
      </c>
      <c r="N273" s="7">
        <v>3382269</v>
      </c>
      <c r="O273" s="7">
        <v>284653</v>
      </c>
      <c r="P273" s="7"/>
      <c r="Q273" s="7"/>
      <c r="R273" s="8">
        <v>50345</v>
      </c>
      <c r="S273" s="7">
        <v>33119345</v>
      </c>
      <c r="T273" s="7"/>
      <c r="U273" s="7">
        <v>171167</v>
      </c>
      <c r="V273" s="7">
        <v>259328</v>
      </c>
      <c r="W273" s="7">
        <v>290726</v>
      </c>
      <c r="X273" s="18">
        <v>71383</v>
      </c>
      <c r="Y273" s="18">
        <v>51492</v>
      </c>
      <c r="Z273" s="18">
        <v>7315</v>
      </c>
      <c r="AA273" s="18"/>
      <c r="AB273" s="18">
        <v>103389</v>
      </c>
      <c r="AC273" s="18">
        <v>275677</v>
      </c>
      <c r="AD273" s="18">
        <v>358</v>
      </c>
      <c r="AE273" s="18"/>
      <c r="AF273" s="18"/>
      <c r="AG273" s="18"/>
      <c r="AH273" s="18"/>
      <c r="AI273" s="19"/>
      <c r="AJ273" s="18"/>
      <c r="AK273" s="18"/>
    </row>
    <row r="274" spans="1:37" ht="48.75" customHeight="1" x14ac:dyDescent="0.25">
      <c r="A274" s="80"/>
      <c r="B274" s="10">
        <v>0.249999999544116</v>
      </c>
      <c r="C274" s="11">
        <v>8642</v>
      </c>
      <c r="D274" s="11">
        <v>357838</v>
      </c>
      <c r="E274" s="11">
        <v>10939</v>
      </c>
      <c r="F274" s="11"/>
      <c r="G274" s="11"/>
      <c r="H274" s="11"/>
      <c r="I274" s="11"/>
      <c r="J274" s="11">
        <v>4222</v>
      </c>
      <c r="K274" s="11">
        <v>5178</v>
      </c>
      <c r="L274" s="11">
        <v>24187</v>
      </c>
      <c r="M274" s="11">
        <v>15101</v>
      </c>
      <c r="N274" s="11">
        <v>3382269</v>
      </c>
      <c r="O274" s="11">
        <v>284653</v>
      </c>
      <c r="P274" s="11"/>
      <c r="Q274" s="11"/>
      <c r="R274" s="12">
        <v>50345</v>
      </c>
      <c r="S274" s="11">
        <v>33119345</v>
      </c>
      <c r="T274" s="11"/>
      <c r="U274" s="11">
        <v>171167</v>
      </c>
      <c r="V274" s="11">
        <v>259328</v>
      </c>
      <c r="W274" s="11">
        <v>290726</v>
      </c>
      <c r="X274" s="9">
        <v>71383</v>
      </c>
      <c r="Y274" s="9">
        <v>51492</v>
      </c>
      <c r="Z274" s="9"/>
      <c r="AA274" s="9"/>
      <c r="AB274" s="9">
        <v>103389</v>
      </c>
      <c r="AC274" s="9">
        <v>275677</v>
      </c>
      <c r="AD274" s="9">
        <v>358</v>
      </c>
      <c r="AE274" s="9"/>
      <c r="AF274" s="9"/>
      <c r="AG274" s="9">
        <v>150</v>
      </c>
      <c r="AH274" s="9"/>
      <c r="AI274" s="20">
        <v>1</v>
      </c>
      <c r="AJ274" s="9"/>
      <c r="AK274" s="9">
        <v>2376</v>
      </c>
    </row>
    <row r="275" spans="1:37" ht="48.75" customHeight="1" thickBot="1" x14ac:dyDescent="0.3">
      <c r="A275" s="81"/>
      <c r="B275" s="13">
        <v>0.58333333287714595</v>
      </c>
      <c r="C275" s="14">
        <v>8644</v>
      </c>
      <c r="D275" s="14">
        <v>357854</v>
      </c>
      <c r="E275" s="14">
        <v>10939</v>
      </c>
      <c r="F275" s="14"/>
      <c r="G275" s="14"/>
      <c r="H275" s="14"/>
      <c r="I275" s="14"/>
      <c r="J275" s="14">
        <v>4222</v>
      </c>
      <c r="K275" s="14">
        <v>5178</v>
      </c>
      <c r="L275" s="14">
        <v>24187</v>
      </c>
      <c r="M275" s="14">
        <v>15001</v>
      </c>
      <c r="N275" s="14">
        <v>3382269</v>
      </c>
      <c r="O275" s="14">
        <v>284653</v>
      </c>
      <c r="P275" s="14"/>
      <c r="Q275" s="14"/>
      <c r="R275" s="15">
        <v>50351</v>
      </c>
      <c r="S275" s="14">
        <v>33184746</v>
      </c>
      <c r="T275" s="14"/>
      <c r="U275" s="14">
        <v>171288</v>
      </c>
      <c r="V275" s="14">
        <v>259328</v>
      </c>
      <c r="W275" s="14">
        <v>290726</v>
      </c>
      <c r="X275" s="21">
        <v>71436</v>
      </c>
      <c r="Y275" s="21">
        <v>51495</v>
      </c>
      <c r="Z275" s="21"/>
      <c r="AA275" s="21">
        <v>45120</v>
      </c>
      <c r="AB275" s="21">
        <v>103389</v>
      </c>
      <c r="AC275" s="21">
        <v>276074</v>
      </c>
      <c r="AD275" s="21">
        <v>358</v>
      </c>
      <c r="AE275" s="21">
        <v>7233</v>
      </c>
      <c r="AF275" s="21">
        <v>33687</v>
      </c>
      <c r="AG275" s="21">
        <v>150</v>
      </c>
      <c r="AH275" s="21"/>
      <c r="AI275" s="22">
        <v>1</v>
      </c>
      <c r="AJ275" s="21"/>
      <c r="AK275" s="21"/>
    </row>
    <row r="276" spans="1:37" ht="48.75" customHeight="1" x14ac:dyDescent="0.25">
      <c r="A276" s="79">
        <v>46114</v>
      </c>
      <c r="B276" s="6">
        <v>0.91666666621017601</v>
      </c>
      <c r="C276" s="7">
        <v>8644</v>
      </c>
      <c r="D276" s="7">
        <v>357854</v>
      </c>
      <c r="E276" s="7">
        <v>10939</v>
      </c>
      <c r="F276" s="7"/>
      <c r="G276" s="7"/>
      <c r="H276" s="7"/>
      <c r="I276" s="7"/>
      <c r="J276" s="7">
        <v>4222</v>
      </c>
      <c r="K276" s="7">
        <v>5178</v>
      </c>
      <c r="L276" s="7">
        <v>24187</v>
      </c>
      <c r="M276" s="7">
        <v>15001</v>
      </c>
      <c r="N276" s="7">
        <v>3382269</v>
      </c>
      <c r="O276" s="7">
        <v>284653</v>
      </c>
      <c r="P276" s="7"/>
      <c r="Q276" s="7"/>
      <c r="R276" s="8">
        <v>50351</v>
      </c>
      <c r="S276" s="7">
        <v>33184746</v>
      </c>
      <c r="T276" s="7"/>
      <c r="U276" s="7">
        <v>171288</v>
      </c>
      <c r="V276" s="7">
        <v>259328</v>
      </c>
      <c r="W276" s="7">
        <v>290726</v>
      </c>
      <c r="X276" s="18">
        <v>71436</v>
      </c>
      <c r="Y276" s="18">
        <v>51495</v>
      </c>
      <c r="Z276" s="18">
        <v>7328</v>
      </c>
      <c r="AA276" s="18">
        <v>45120</v>
      </c>
      <c r="AB276" s="18">
        <v>103389</v>
      </c>
      <c r="AC276" s="18">
        <v>276074</v>
      </c>
      <c r="AD276" s="18">
        <v>358</v>
      </c>
      <c r="AE276" s="18">
        <v>7233</v>
      </c>
      <c r="AF276" s="18">
        <v>33687</v>
      </c>
      <c r="AG276" s="18">
        <v>150</v>
      </c>
      <c r="AH276" s="18"/>
      <c r="AI276" s="19">
        <v>1</v>
      </c>
      <c r="AJ276" s="18"/>
      <c r="AK276" s="18"/>
    </row>
    <row r="277" spans="1:37" ht="48.75" customHeight="1" x14ac:dyDescent="0.25">
      <c r="A277" s="80"/>
      <c r="B277" s="10">
        <v>0.24999999954309299</v>
      </c>
      <c r="C277" s="11">
        <v>8644</v>
      </c>
      <c r="D277" s="11">
        <v>357854</v>
      </c>
      <c r="E277" s="11">
        <v>10939</v>
      </c>
      <c r="F277" s="11"/>
      <c r="G277" s="11"/>
      <c r="H277" s="11"/>
      <c r="I277" s="11"/>
      <c r="J277" s="11">
        <v>4222</v>
      </c>
      <c r="K277" s="11">
        <v>5178</v>
      </c>
      <c r="L277" s="11">
        <v>24187</v>
      </c>
      <c r="M277" s="11">
        <v>15001</v>
      </c>
      <c r="N277" s="11">
        <v>3382269</v>
      </c>
      <c r="O277" s="11">
        <v>284653</v>
      </c>
      <c r="P277" s="11"/>
      <c r="Q277" s="11"/>
      <c r="R277" s="12">
        <v>50351</v>
      </c>
      <c r="S277" s="11">
        <v>33184746</v>
      </c>
      <c r="T277" s="11"/>
      <c r="U277" s="11">
        <v>171288</v>
      </c>
      <c r="V277" s="11">
        <v>259328</v>
      </c>
      <c r="W277" s="11">
        <v>290726</v>
      </c>
      <c r="X277" s="9">
        <v>71436</v>
      </c>
      <c r="Y277" s="9">
        <v>51495</v>
      </c>
      <c r="Z277" s="9"/>
      <c r="AA277" s="9">
        <v>45120</v>
      </c>
      <c r="AB277" s="9">
        <v>103389</v>
      </c>
      <c r="AC277" s="9">
        <v>276074</v>
      </c>
      <c r="AD277" s="9">
        <v>358</v>
      </c>
      <c r="AE277" s="9">
        <v>7233</v>
      </c>
      <c r="AF277" s="9">
        <v>33687</v>
      </c>
      <c r="AG277" s="9">
        <v>150</v>
      </c>
      <c r="AH277" s="9"/>
      <c r="AI277" s="20">
        <v>1</v>
      </c>
      <c r="AJ277" s="9"/>
      <c r="AK277" s="9"/>
    </row>
    <row r="278" spans="1:37" ht="48.75" customHeight="1" thickBot="1" x14ac:dyDescent="0.3">
      <c r="A278" s="81"/>
      <c r="B278" s="13">
        <v>0.58333333287612299</v>
      </c>
      <c r="C278" s="14">
        <v>8644</v>
      </c>
      <c r="D278" s="14">
        <v>357854</v>
      </c>
      <c r="E278" s="14">
        <v>10939</v>
      </c>
      <c r="F278" s="14"/>
      <c r="G278" s="14"/>
      <c r="H278" s="14"/>
      <c r="I278" s="14"/>
      <c r="J278" s="14">
        <v>4222</v>
      </c>
      <c r="K278" s="14">
        <v>5178</v>
      </c>
      <c r="L278" s="14">
        <v>24187</v>
      </c>
      <c r="M278" s="14">
        <v>15001</v>
      </c>
      <c r="N278" s="14">
        <v>3382269</v>
      </c>
      <c r="O278" s="14">
        <v>284653</v>
      </c>
      <c r="P278" s="14"/>
      <c r="Q278" s="14"/>
      <c r="R278" s="15">
        <v>50351</v>
      </c>
      <c r="S278" s="14">
        <v>33184746</v>
      </c>
      <c r="T278" s="14"/>
      <c r="U278" s="14">
        <v>171288</v>
      </c>
      <c r="V278" s="14">
        <v>259328</v>
      </c>
      <c r="W278" s="14">
        <v>290726</v>
      </c>
      <c r="X278" s="21">
        <v>71436</v>
      </c>
      <c r="Y278" s="21">
        <v>51495</v>
      </c>
      <c r="Z278" s="21"/>
      <c r="AA278" s="21">
        <v>45120</v>
      </c>
      <c r="AB278" s="21">
        <v>103389</v>
      </c>
      <c r="AC278" s="21">
        <v>276074</v>
      </c>
      <c r="AD278" s="21">
        <v>358</v>
      </c>
      <c r="AE278" s="21">
        <v>7233</v>
      </c>
      <c r="AF278" s="21">
        <v>33687</v>
      </c>
      <c r="AG278" s="21">
        <v>150</v>
      </c>
      <c r="AH278" s="21"/>
      <c r="AI278" s="22">
        <v>1</v>
      </c>
      <c r="AJ278" s="21"/>
      <c r="AK278" s="21"/>
    </row>
    <row r="279" spans="1:37" ht="48.75" customHeight="1" x14ac:dyDescent="0.25">
      <c r="A279" s="79">
        <v>46115</v>
      </c>
      <c r="B279" s="6">
        <v>0.91666666620915305</v>
      </c>
      <c r="C279" s="7">
        <v>8644</v>
      </c>
      <c r="D279" s="7">
        <v>357854</v>
      </c>
      <c r="E279" s="7">
        <v>10939</v>
      </c>
      <c r="F279" s="7"/>
      <c r="G279" s="7"/>
      <c r="H279" s="7"/>
      <c r="I279" s="7"/>
      <c r="J279" s="7">
        <v>4222</v>
      </c>
      <c r="K279" s="7">
        <v>5178</v>
      </c>
      <c r="L279" s="7">
        <v>24187</v>
      </c>
      <c r="M279" s="7">
        <v>15001</v>
      </c>
      <c r="N279" s="7">
        <v>3382269</v>
      </c>
      <c r="O279" s="7">
        <v>284653</v>
      </c>
      <c r="P279" s="7"/>
      <c r="Q279" s="7"/>
      <c r="R279" s="8">
        <v>50351</v>
      </c>
      <c r="S279" s="7">
        <v>33184746</v>
      </c>
      <c r="T279" s="7"/>
      <c r="U279" s="7">
        <v>171288</v>
      </c>
      <c r="V279" s="7">
        <v>259328</v>
      </c>
      <c r="W279" s="7">
        <v>290726</v>
      </c>
      <c r="X279" s="18">
        <v>71436</v>
      </c>
      <c r="Y279" s="18">
        <v>51495</v>
      </c>
      <c r="Z279" s="18">
        <v>7333</v>
      </c>
      <c r="AA279" s="18">
        <v>45120</v>
      </c>
      <c r="AB279" s="18">
        <v>103389</v>
      </c>
      <c r="AC279" s="18">
        <v>276074</v>
      </c>
      <c r="AD279" s="18">
        <v>358</v>
      </c>
      <c r="AE279" s="18">
        <v>7233</v>
      </c>
      <c r="AF279" s="18">
        <v>33687</v>
      </c>
      <c r="AG279" s="18">
        <v>150</v>
      </c>
      <c r="AH279" s="18"/>
      <c r="AI279" s="19">
        <v>1</v>
      </c>
      <c r="AJ279" s="18"/>
      <c r="AK279" s="18"/>
    </row>
    <row r="280" spans="1:37" ht="48.75" customHeight="1" x14ac:dyDescent="0.25">
      <c r="A280" s="80"/>
      <c r="B280" s="10">
        <v>0.24999999954218299</v>
      </c>
      <c r="C280" s="11">
        <v>8644</v>
      </c>
      <c r="D280" s="11">
        <v>357854</v>
      </c>
      <c r="E280" s="11">
        <v>10939</v>
      </c>
      <c r="F280" s="11"/>
      <c r="G280" s="11"/>
      <c r="H280" s="11"/>
      <c r="I280" s="11"/>
      <c r="J280" s="11">
        <v>4222</v>
      </c>
      <c r="K280" s="11">
        <v>5178</v>
      </c>
      <c r="L280" s="11">
        <v>24187</v>
      </c>
      <c r="M280" s="11">
        <v>15001</v>
      </c>
      <c r="N280" s="11">
        <v>3382269</v>
      </c>
      <c r="O280" s="11">
        <v>284653</v>
      </c>
      <c r="P280" s="11"/>
      <c r="Q280" s="11"/>
      <c r="R280" s="12">
        <v>50351</v>
      </c>
      <c r="S280" s="11">
        <v>33184746</v>
      </c>
      <c r="T280" s="11"/>
      <c r="U280" s="11">
        <v>171288</v>
      </c>
      <c r="V280" s="11">
        <v>259328</v>
      </c>
      <c r="W280" s="11">
        <v>290726</v>
      </c>
      <c r="X280" s="9">
        <v>71436</v>
      </c>
      <c r="Y280" s="9">
        <v>51495</v>
      </c>
      <c r="Z280" s="9"/>
      <c r="AA280" s="9">
        <v>45120</v>
      </c>
      <c r="AB280" s="9">
        <v>103389</v>
      </c>
      <c r="AC280" s="9">
        <v>276074</v>
      </c>
      <c r="AD280" s="9">
        <v>358</v>
      </c>
      <c r="AE280" s="9">
        <v>7233</v>
      </c>
      <c r="AF280" s="9">
        <v>33687</v>
      </c>
      <c r="AG280" s="9">
        <v>150</v>
      </c>
      <c r="AH280" s="9"/>
      <c r="AI280" s="20">
        <v>1</v>
      </c>
      <c r="AJ280" s="9"/>
      <c r="AK280" s="9"/>
    </row>
    <row r="281" spans="1:37" ht="48.75" customHeight="1" thickBot="1" x14ac:dyDescent="0.3">
      <c r="A281" s="81"/>
      <c r="B281" s="13">
        <v>0.58333333287510003</v>
      </c>
      <c r="C281" s="14">
        <v>8644</v>
      </c>
      <c r="D281" s="14">
        <v>357854</v>
      </c>
      <c r="E281" s="14">
        <v>10939</v>
      </c>
      <c r="F281" s="14"/>
      <c r="G281" s="14"/>
      <c r="H281" s="14"/>
      <c r="I281" s="14"/>
      <c r="J281" s="14">
        <v>4222</v>
      </c>
      <c r="K281" s="14">
        <v>5178</v>
      </c>
      <c r="L281" s="14">
        <v>24187</v>
      </c>
      <c r="M281" s="14">
        <v>15001</v>
      </c>
      <c r="N281" s="14">
        <v>3382269</v>
      </c>
      <c r="O281" s="14">
        <v>284653</v>
      </c>
      <c r="P281" s="14"/>
      <c r="Q281" s="14"/>
      <c r="R281" s="15">
        <v>50351</v>
      </c>
      <c r="S281" s="14">
        <v>33184746</v>
      </c>
      <c r="T281" s="14"/>
      <c r="U281" s="14">
        <v>171288</v>
      </c>
      <c r="V281" s="14">
        <v>259328</v>
      </c>
      <c r="W281" s="14">
        <v>290726</v>
      </c>
      <c r="X281" s="21">
        <v>71436</v>
      </c>
      <c r="Y281" s="21">
        <v>51495</v>
      </c>
      <c r="Z281" s="21"/>
      <c r="AA281" s="21">
        <v>45120</v>
      </c>
      <c r="AB281" s="21">
        <v>103389</v>
      </c>
      <c r="AC281" s="21">
        <v>276074</v>
      </c>
      <c r="AD281" s="21">
        <v>358</v>
      </c>
      <c r="AE281" s="21">
        <v>7233</v>
      </c>
      <c r="AF281" s="21">
        <v>33687</v>
      </c>
      <c r="AG281" s="21">
        <v>150</v>
      </c>
      <c r="AH281" s="21"/>
      <c r="AI281" s="22">
        <v>1</v>
      </c>
      <c r="AJ281" s="21"/>
      <c r="AK281" s="21"/>
    </row>
    <row r="282" spans="1:37" ht="48.75" customHeight="1" x14ac:dyDescent="0.25">
      <c r="A282" s="79">
        <v>46116</v>
      </c>
      <c r="B282" s="6">
        <v>0.91666666620812998</v>
      </c>
      <c r="C282" s="7">
        <v>8644</v>
      </c>
      <c r="D282" s="7">
        <v>357854</v>
      </c>
      <c r="E282" s="7">
        <v>10939</v>
      </c>
      <c r="F282" s="7"/>
      <c r="G282" s="7"/>
      <c r="H282" s="7"/>
      <c r="I282" s="7"/>
      <c r="J282" s="7">
        <v>4222</v>
      </c>
      <c r="K282" s="7">
        <v>5178</v>
      </c>
      <c r="L282" s="7">
        <v>24187</v>
      </c>
      <c r="M282" s="7">
        <v>15001</v>
      </c>
      <c r="N282" s="7">
        <v>3382269</v>
      </c>
      <c r="O282" s="7">
        <v>284653</v>
      </c>
      <c r="P282" s="7"/>
      <c r="Q282" s="7"/>
      <c r="R282" s="8">
        <v>50351</v>
      </c>
      <c r="S282" s="7">
        <v>33184746</v>
      </c>
      <c r="T282" s="7"/>
      <c r="U282" s="7">
        <v>171288</v>
      </c>
      <c r="V282" s="7">
        <v>259328</v>
      </c>
      <c r="W282" s="7">
        <v>290726</v>
      </c>
      <c r="X282" s="18">
        <v>71436</v>
      </c>
      <c r="Y282" s="18">
        <v>51495</v>
      </c>
      <c r="Z282" s="18">
        <v>7341</v>
      </c>
      <c r="AA282" s="18">
        <v>45120</v>
      </c>
      <c r="AB282" s="18">
        <v>103389</v>
      </c>
      <c r="AC282" s="18">
        <v>276074</v>
      </c>
      <c r="AD282" s="18">
        <v>358</v>
      </c>
      <c r="AE282" s="18">
        <v>7233</v>
      </c>
      <c r="AF282" s="18">
        <v>33687</v>
      </c>
      <c r="AG282" s="18">
        <v>150</v>
      </c>
      <c r="AH282" s="18"/>
      <c r="AI282" s="19">
        <v>1</v>
      </c>
      <c r="AJ282" s="18"/>
      <c r="AK282" s="18"/>
    </row>
    <row r="283" spans="1:37" ht="48.75" customHeight="1" x14ac:dyDescent="0.25">
      <c r="A283" s="80"/>
      <c r="B283" s="10">
        <v>0.24999999954116001</v>
      </c>
      <c r="C283" s="11">
        <v>8644</v>
      </c>
      <c r="D283" s="11">
        <v>357854</v>
      </c>
      <c r="E283" s="11">
        <v>10939</v>
      </c>
      <c r="F283" s="11"/>
      <c r="G283" s="11"/>
      <c r="H283" s="11"/>
      <c r="I283" s="11"/>
      <c r="J283" s="11">
        <v>4222</v>
      </c>
      <c r="K283" s="11">
        <v>5178</v>
      </c>
      <c r="L283" s="11">
        <v>24187</v>
      </c>
      <c r="M283" s="11">
        <v>15001</v>
      </c>
      <c r="N283" s="11">
        <v>3382269</v>
      </c>
      <c r="O283" s="11">
        <v>284653</v>
      </c>
      <c r="P283" s="11"/>
      <c r="Q283" s="11"/>
      <c r="R283" s="12">
        <v>50351</v>
      </c>
      <c r="S283" s="11">
        <v>33184746</v>
      </c>
      <c r="T283" s="11"/>
      <c r="U283" s="11">
        <v>171288</v>
      </c>
      <c r="V283" s="11">
        <v>259328</v>
      </c>
      <c r="W283" s="11">
        <v>290726</v>
      </c>
      <c r="X283" s="9">
        <v>71436</v>
      </c>
      <c r="Y283" s="9">
        <v>51495</v>
      </c>
      <c r="Z283" s="9"/>
      <c r="AA283" s="9">
        <v>45120</v>
      </c>
      <c r="AB283" s="9">
        <v>103389</v>
      </c>
      <c r="AC283" s="9">
        <v>276074</v>
      </c>
      <c r="AD283" s="9">
        <v>358</v>
      </c>
      <c r="AE283" s="9">
        <v>7233</v>
      </c>
      <c r="AF283" s="9">
        <v>33687</v>
      </c>
      <c r="AG283" s="9">
        <v>150</v>
      </c>
      <c r="AH283" s="9"/>
      <c r="AI283" s="20">
        <v>1</v>
      </c>
      <c r="AJ283" s="9"/>
      <c r="AK283" s="9"/>
    </row>
    <row r="284" spans="1:37" ht="48.75" customHeight="1" thickBot="1" x14ac:dyDescent="0.3">
      <c r="A284" s="81"/>
      <c r="B284" s="13">
        <v>0.58333333287418998</v>
      </c>
      <c r="C284" s="14">
        <v>8644</v>
      </c>
      <c r="D284" s="14">
        <v>357854</v>
      </c>
      <c r="E284" s="14">
        <v>10939</v>
      </c>
      <c r="F284" s="14"/>
      <c r="G284" s="14"/>
      <c r="H284" s="14"/>
      <c r="I284" s="14"/>
      <c r="J284" s="14">
        <v>4222</v>
      </c>
      <c r="K284" s="14">
        <v>5178</v>
      </c>
      <c r="L284" s="14">
        <v>24187</v>
      </c>
      <c r="M284" s="14">
        <v>15001</v>
      </c>
      <c r="N284" s="14">
        <v>3382269</v>
      </c>
      <c r="O284" s="14">
        <v>284653</v>
      </c>
      <c r="P284" s="14"/>
      <c r="Q284" s="14"/>
      <c r="R284" s="15">
        <v>50351</v>
      </c>
      <c r="S284" s="14">
        <v>33184746</v>
      </c>
      <c r="T284" s="14"/>
      <c r="U284" s="14">
        <v>171288</v>
      </c>
      <c r="V284" s="14">
        <v>259328</v>
      </c>
      <c r="W284" s="14">
        <v>290726</v>
      </c>
      <c r="X284" s="21">
        <v>71436</v>
      </c>
      <c r="Y284" s="21">
        <v>51495</v>
      </c>
      <c r="Z284" s="21"/>
      <c r="AA284" s="21">
        <v>45120</v>
      </c>
      <c r="AB284" s="21">
        <v>103389</v>
      </c>
      <c r="AC284" s="21">
        <v>276074</v>
      </c>
      <c r="AD284" s="21">
        <v>358</v>
      </c>
      <c r="AE284" s="21">
        <v>7233</v>
      </c>
      <c r="AF284" s="21">
        <v>33687</v>
      </c>
      <c r="AG284" s="21">
        <v>150</v>
      </c>
      <c r="AH284" s="21"/>
      <c r="AI284" s="22">
        <v>1</v>
      </c>
      <c r="AJ284" s="21"/>
      <c r="AK284" s="21"/>
    </row>
    <row r="285" spans="1:37" ht="48.75" customHeight="1" x14ac:dyDescent="0.25">
      <c r="A285" s="79">
        <v>46117</v>
      </c>
      <c r="B285" s="6">
        <v>0.91666666620710702</v>
      </c>
      <c r="C285" s="7">
        <v>8644</v>
      </c>
      <c r="D285" s="7">
        <v>357854</v>
      </c>
      <c r="E285" s="7">
        <v>10939</v>
      </c>
      <c r="F285" s="7"/>
      <c r="G285" s="7"/>
      <c r="H285" s="7"/>
      <c r="I285" s="7"/>
      <c r="J285" s="7">
        <v>4222</v>
      </c>
      <c r="K285" s="7">
        <v>5178</v>
      </c>
      <c r="L285" s="7">
        <v>24187</v>
      </c>
      <c r="M285" s="7">
        <v>15001</v>
      </c>
      <c r="N285" s="7">
        <v>3382269</v>
      </c>
      <c r="O285" s="7">
        <v>284653</v>
      </c>
      <c r="P285" s="7"/>
      <c r="Q285" s="7"/>
      <c r="R285" s="8">
        <v>50351</v>
      </c>
      <c r="S285" s="7">
        <v>33184746</v>
      </c>
      <c r="T285" s="7"/>
      <c r="U285" s="7">
        <v>171288</v>
      </c>
      <c r="V285" s="7">
        <v>259328</v>
      </c>
      <c r="W285" s="7">
        <v>290726</v>
      </c>
      <c r="X285" s="18">
        <v>71436</v>
      </c>
      <c r="Y285" s="18">
        <v>51495</v>
      </c>
      <c r="Z285" s="18">
        <v>7351</v>
      </c>
      <c r="AA285" s="18">
        <v>45120</v>
      </c>
      <c r="AB285" s="18">
        <v>103389</v>
      </c>
      <c r="AC285" s="18">
        <v>276074</v>
      </c>
      <c r="AD285" s="18">
        <v>358</v>
      </c>
      <c r="AE285" s="18">
        <v>7233</v>
      </c>
      <c r="AF285" s="18">
        <v>33687</v>
      </c>
      <c r="AG285" s="18">
        <v>150</v>
      </c>
      <c r="AH285" s="18"/>
      <c r="AI285" s="19">
        <v>1</v>
      </c>
      <c r="AJ285" s="18"/>
      <c r="AK285" s="18"/>
    </row>
    <row r="286" spans="1:37" ht="48.75" customHeight="1" x14ac:dyDescent="0.25">
      <c r="A286" s="80"/>
      <c r="B286" s="10">
        <v>0.24999999954013699</v>
      </c>
      <c r="C286" s="11">
        <v>8644</v>
      </c>
      <c r="D286" s="11">
        <v>357854</v>
      </c>
      <c r="E286" s="11">
        <v>10939</v>
      </c>
      <c r="F286" s="11"/>
      <c r="G286" s="11"/>
      <c r="H286" s="11"/>
      <c r="I286" s="11"/>
      <c r="J286" s="11">
        <v>4222</v>
      </c>
      <c r="K286" s="11">
        <v>5178</v>
      </c>
      <c r="L286" s="11">
        <v>24187</v>
      </c>
      <c r="M286" s="11">
        <v>15001</v>
      </c>
      <c r="N286" s="11">
        <v>3382269</v>
      </c>
      <c r="O286" s="11">
        <v>284653</v>
      </c>
      <c r="P286" s="11"/>
      <c r="Q286" s="11"/>
      <c r="R286" s="12">
        <v>50351</v>
      </c>
      <c r="S286" s="11">
        <v>33184746</v>
      </c>
      <c r="T286" s="11"/>
      <c r="U286" s="11">
        <v>171288</v>
      </c>
      <c r="V286" s="11">
        <v>259328</v>
      </c>
      <c r="W286" s="11">
        <v>290726</v>
      </c>
      <c r="X286" s="9">
        <v>71436</v>
      </c>
      <c r="Y286" s="9">
        <v>51495</v>
      </c>
      <c r="Z286" s="9"/>
      <c r="AA286" s="9">
        <v>45120</v>
      </c>
      <c r="AB286" s="9">
        <v>103389</v>
      </c>
      <c r="AC286" s="9">
        <v>276074</v>
      </c>
      <c r="AD286" s="9">
        <v>358</v>
      </c>
      <c r="AE286" s="9">
        <v>7233</v>
      </c>
      <c r="AF286" s="9">
        <v>33687</v>
      </c>
      <c r="AG286" s="9">
        <v>150</v>
      </c>
      <c r="AH286" s="9"/>
      <c r="AI286" s="20">
        <v>1</v>
      </c>
      <c r="AJ286" s="9"/>
      <c r="AK286" s="9"/>
    </row>
    <row r="287" spans="1:37" ht="48.75" customHeight="1" thickBot="1" x14ac:dyDescent="0.3">
      <c r="A287" s="81"/>
      <c r="B287" s="13">
        <v>0.58333333287316702</v>
      </c>
      <c r="C287" s="14">
        <v>8644</v>
      </c>
      <c r="D287" s="14">
        <v>357854</v>
      </c>
      <c r="E287" s="14">
        <v>10939</v>
      </c>
      <c r="F287" s="14"/>
      <c r="G287" s="14"/>
      <c r="H287" s="14"/>
      <c r="I287" s="14"/>
      <c r="J287" s="14">
        <v>4222</v>
      </c>
      <c r="K287" s="14">
        <v>5178</v>
      </c>
      <c r="L287" s="14">
        <v>24187</v>
      </c>
      <c r="M287" s="14">
        <v>15001</v>
      </c>
      <c r="N287" s="14">
        <v>3382269</v>
      </c>
      <c r="O287" s="14">
        <v>284653</v>
      </c>
      <c r="P287" s="14"/>
      <c r="Q287" s="14"/>
      <c r="R287" s="15">
        <v>50351</v>
      </c>
      <c r="S287" s="14">
        <v>33184746</v>
      </c>
      <c r="T287" s="14"/>
      <c r="U287" s="14">
        <v>171288</v>
      </c>
      <c r="V287" s="14">
        <v>259328</v>
      </c>
      <c r="W287" s="14">
        <v>290726</v>
      </c>
      <c r="X287" s="21">
        <v>71436</v>
      </c>
      <c r="Y287" s="21">
        <v>51495</v>
      </c>
      <c r="Z287" s="21"/>
      <c r="AA287" s="21">
        <v>45120</v>
      </c>
      <c r="AB287" s="21">
        <v>103389</v>
      </c>
      <c r="AC287" s="21">
        <v>276074</v>
      </c>
      <c r="AD287" s="21">
        <v>358</v>
      </c>
      <c r="AE287" s="21">
        <v>7233</v>
      </c>
      <c r="AF287" s="21">
        <v>33687</v>
      </c>
      <c r="AG287" s="21">
        <v>150</v>
      </c>
      <c r="AH287" s="21"/>
      <c r="AI287" s="22">
        <v>1</v>
      </c>
      <c r="AJ287" s="21"/>
      <c r="AK287" s="21"/>
    </row>
    <row r="288" spans="1:37" ht="48.75" customHeight="1" x14ac:dyDescent="0.25">
      <c r="A288" s="79">
        <v>46118</v>
      </c>
      <c r="B288" s="6">
        <v>0.91666666620608295</v>
      </c>
      <c r="C288" s="7">
        <v>8644</v>
      </c>
      <c r="D288" s="7">
        <v>357854</v>
      </c>
      <c r="E288" s="7">
        <v>10939</v>
      </c>
      <c r="F288" s="7"/>
      <c r="G288" s="7"/>
      <c r="H288" s="7"/>
      <c r="I288" s="7"/>
      <c r="J288" s="7">
        <v>4222</v>
      </c>
      <c r="K288" s="7">
        <v>5178</v>
      </c>
      <c r="L288" s="7">
        <v>24187</v>
      </c>
      <c r="M288" s="7">
        <v>15001</v>
      </c>
      <c r="N288" s="7">
        <v>3382269</v>
      </c>
      <c r="O288" s="7">
        <v>284653</v>
      </c>
      <c r="P288" s="7"/>
      <c r="Q288" s="7"/>
      <c r="R288" s="8">
        <v>50351</v>
      </c>
      <c r="S288" s="7">
        <v>33184746</v>
      </c>
      <c r="T288" s="7"/>
      <c r="U288" s="7">
        <v>171288</v>
      </c>
      <c r="V288" s="7">
        <v>259328</v>
      </c>
      <c r="W288" s="7">
        <v>290726</v>
      </c>
      <c r="X288" s="18">
        <v>71436</v>
      </c>
      <c r="Y288" s="18">
        <v>51495</v>
      </c>
      <c r="Z288" s="18">
        <v>7363</v>
      </c>
      <c r="AA288" s="18">
        <v>45120</v>
      </c>
      <c r="AB288" s="18">
        <v>103389</v>
      </c>
      <c r="AC288" s="18">
        <v>276074</v>
      </c>
      <c r="AD288" s="18">
        <v>358</v>
      </c>
      <c r="AE288" s="18">
        <v>7233</v>
      </c>
      <c r="AF288" s="18">
        <v>33687</v>
      </c>
      <c r="AG288" s="18">
        <v>150</v>
      </c>
      <c r="AH288" s="18"/>
      <c r="AI288" s="19">
        <v>1</v>
      </c>
      <c r="AJ288" s="18">
        <v>6722</v>
      </c>
      <c r="AK288" s="18">
        <v>2376</v>
      </c>
    </row>
    <row r="289" spans="1:39" ht="48.75" customHeight="1" x14ac:dyDescent="0.25">
      <c r="A289" s="80"/>
      <c r="B289" s="10">
        <v>0.249999999539114</v>
      </c>
      <c r="C289" s="11">
        <v>8644</v>
      </c>
      <c r="D289" s="11">
        <v>358131</v>
      </c>
      <c r="E289" s="11">
        <v>10940</v>
      </c>
      <c r="F289" s="11"/>
      <c r="G289" s="11"/>
      <c r="H289" s="11"/>
      <c r="I289" s="11"/>
      <c r="J289" s="11">
        <v>4224</v>
      </c>
      <c r="K289" s="11">
        <v>5178</v>
      </c>
      <c r="L289" s="11">
        <v>24190</v>
      </c>
      <c r="M289" s="11">
        <v>15005</v>
      </c>
      <c r="N289" s="11">
        <v>3382269</v>
      </c>
      <c r="O289" s="11">
        <v>284653</v>
      </c>
      <c r="P289" s="11"/>
      <c r="Q289" s="11"/>
      <c r="R289" s="12">
        <v>50364</v>
      </c>
      <c r="S289" s="11">
        <v>33202835</v>
      </c>
      <c r="T289" s="11"/>
      <c r="U289" s="11">
        <v>171615</v>
      </c>
      <c r="V289" s="11">
        <v>259328</v>
      </c>
      <c r="W289" s="11">
        <v>290726</v>
      </c>
      <c r="X289" s="9">
        <v>71436</v>
      </c>
      <c r="Y289" s="9">
        <v>51495</v>
      </c>
      <c r="Z289" s="9"/>
      <c r="AA289" s="9"/>
      <c r="AB289" s="9">
        <v>103431</v>
      </c>
      <c r="AC289" s="9">
        <v>276089</v>
      </c>
      <c r="AD289" s="9" t="s">
        <v>97</v>
      </c>
      <c r="AE289" s="9"/>
      <c r="AF289" s="9"/>
      <c r="AG289" s="9"/>
      <c r="AH289" s="9"/>
      <c r="AI289" s="20"/>
      <c r="AJ289" s="9"/>
      <c r="AK289" s="9"/>
    </row>
    <row r="290" spans="1:39" ht="48.75" customHeight="1" thickBot="1" x14ac:dyDescent="0.3">
      <c r="A290" s="81"/>
      <c r="B290" s="13">
        <v>0.58333333287214395</v>
      </c>
      <c r="C290" s="14">
        <v>8708</v>
      </c>
      <c r="D290" s="14">
        <v>358372</v>
      </c>
      <c r="E290" s="14">
        <v>10940</v>
      </c>
      <c r="F290" s="14"/>
      <c r="G290" s="14"/>
      <c r="H290" s="14"/>
      <c r="I290" s="14"/>
      <c r="J290" s="14">
        <v>4224</v>
      </c>
      <c r="K290" s="14">
        <v>5179</v>
      </c>
      <c r="L290" s="14">
        <v>24216</v>
      </c>
      <c r="M290" s="14">
        <v>15015</v>
      </c>
      <c r="N290" s="14">
        <v>3485205</v>
      </c>
      <c r="O290" s="14">
        <v>284726</v>
      </c>
      <c r="P290" s="14"/>
      <c r="Q290" s="14"/>
      <c r="R290" s="15">
        <v>50401</v>
      </c>
      <c r="S290" s="14">
        <v>33255327</v>
      </c>
      <c r="T290" s="14"/>
      <c r="U290" s="14">
        <v>172123</v>
      </c>
      <c r="V290" s="14">
        <v>259418</v>
      </c>
      <c r="W290" s="14">
        <v>290855</v>
      </c>
      <c r="X290" s="21">
        <v>71520</v>
      </c>
      <c r="Y290" s="21">
        <v>51551</v>
      </c>
      <c r="Z290" s="21"/>
      <c r="AA290" s="21"/>
      <c r="AB290" s="21">
        <v>103677</v>
      </c>
      <c r="AC290" s="21">
        <v>276247</v>
      </c>
      <c r="AD290" s="21" t="s">
        <v>97</v>
      </c>
      <c r="AE290" s="21"/>
      <c r="AF290" s="21"/>
      <c r="AG290" s="21"/>
      <c r="AH290" s="21"/>
      <c r="AI290" s="22"/>
      <c r="AJ290" s="21"/>
      <c r="AK290" s="21"/>
    </row>
    <row r="291" spans="1:39" ht="48.75" customHeight="1" x14ac:dyDescent="0.25">
      <c r="A291" s="79">
        <v>46119</v>
      </c>
      <c r="B291" s="6">
        <v>0.91666666620517401</v>
      </c>
      <c r="C291" s="7">
        <v>8736</v>
      </c>
      <c r="D291" s="7">
        <v>358616</v>
      </c>
      <c r="E291" s="7">
        <v>10941</v>
      </c>
      <c r="F291" s="7"/>
      <c r="G291" s="7"/>
      <c r="H291" s="7"/>
      <c r="I291" s="7"/>
      <c r="J291" s="7">
        <v>4224</v>
      </c>
      <c r="K291" s="7">
        <v>5179</v>
      </c>
      <c r="L291" s="7">
        <v>24235</v>
      </c>
      <c r="M291" s="7">
        <v>15026</v>
      </c>
      <c r="N291" s="7">
        <v>3770843</v>
      </c>
      <c r="O291" s="7">
        <v>284943</v>
      </c>
      <c r="P291" s="7"/>
      <c r="Q291" s="7"/>
      <c r="R291" s="8">
        <v>50420</v>
      </c>
      <c r="S291" s="7">
        <v>33287530</v>
      </c>
      <c r="T291" s="7"/>
      <c r="U291" s="7">
        <v>172565</v>
      </c>
      <c r="V291" s="7">
        <v>259568</v>
      </c>
      <c r="W291" s="7">
        <v>291017</v>
      </c>
      <c r="X291" s="18">
        <v>71594</v>
      </c>
      <c r="Y291" s="18">
        <v>51607</v>
      </c>
      <c r="Z291" s="18">
        <v>7370</v>
      </c>
      <c r="AA291" s="18">
        <v>45178</v>
      </c>
      <c r="AB291" s="18">
        <v>103789</v>
      </c>
      <c r="AC291" s="18">
        <v>276398</v>
      </c>
      <c r="AD291" s="18" t="s">
        <v>97</v>
      </c>
      <c r="AE291" s="18">
        <v>7236</v>
      </c>
      <c r="AF291" s="18">
        <v>33687</v>
      </c>
      <c r="AG291" s="18">
        <v>150</v>
      </c>
      <c r="AH291" s="18"/>
      <c r="AI291" s="19">
        <v>1</v>
      </c>
      <c r="AJ291" s="18">
        <v>6728</v>
      </c>
      <c r="AK291" s="18">
        <v>2376</v>
      </c>
    </row>
    <row r="292" spans="1:39" ht="48.75" customHeight="1" x14ac:dyDescent="0.25">
      <c r="A292" s="80"/>
      <c r="B292" s="10">
        <v>0.24999999953808999</v>
      </c>
      <c r="C292" s="11">
        <v>8767</v>
      </c>
      <c r="D292" s="11">
        <v>358874</v>
      </c>
      <c r="E292" s="11">
        <v>10941</v>
      </c>
      <c r="F292" s="11"/>
      <c r="G292" s="11"/>
      <c r="H292" s="11"/>
      <c r="I292" s="11"/>
      <c r="J292" s="11">
        <v>4225</v>
      </c>
      <c r="K292" s="11">
        <v>5179</v>
      </c>
      <c r="L292" s="11">
        <v>24262</v>
      </c>
      <c r="M292" s="11">
        <v>15029</v>
      </c>
      <c r="N292" s="11">
        <v>4110316</v>
      </c>
      <c r="O292" s="11">
        <v>285202</v>
      </c>
      <c r="P292" s="11"/>
      <c r="Q292" s="11"/>
      <c r="R292" s="12">
        <v>50443</v>
      </c>
      <c r="S292" s="11">
        <v>33349361</v>
      </c>
      <c r="T292" s="11"/>
      <c r="U292" s="11">
        <v>173008</v>
      </c>
      <c r="V292" s="11">
        <v>259773</v>
      </c>
      <c r="W292" s="11">
        <v>291223</v>
      </c>
      <c r="X292" s="9">
        <v>71685</v>
      </c>
      <c r="Y292" s="9">
        <v>51678</v>
      </c>
      <c r="Z292" s="9"/>
      <c r="AA292" s="9"/>
      <c r="AB292" s="9">
        <v>103926</v>
      </c>
      <c r="AC292" s="9">
        <v>276585</v>
      </c>
      <c r="AD292" s="9" t="s">
        <v>97</v>
      </c>
      <c r="AE292" s="9"/>
      <c r="AF292" s="9"/>
      <c r="AG292" s="9"/>
      <c r="AH292" s="9"/>
      <c r="AI292" s="20"/>
      <c r="AJ292" s="9"/>
      <c r="AK292" s="9"/>
    </row>
    <row r="293" spans="1:39" ht="48.75" customHeight="1" thickBot="1" x14ac:dyDescent="0.3">
      <c r="A293" s="81"/>
      <c r="B293" s="13">
        <v>0.58333333287112099</v>
      </c>
      <c r="C293" s="14">
        <v>8794</v>
      </c>
      <c r="D293" s="14">
        <v>359105</v>
      </c>
      <c r="E293" s="14">
        <v>10943</v>
      </c>
      <c r="F293" s="14"/>
      <c r="G293" s="14"/>
      <c r="H293" s="14"/>
      <c r="I293" s="14"/>
      <c r="J293" s="14">
        <v>4227</v>
      </c>
      <c r="K293" s="14">
        <v>5180</v>
      </c>
      <c r="L293" s="14">
        <v>24285</v>
      </c>
      <c r="M293" s="14">
        <v>15045</v>
      </c>
      <c r="N293" s="14">
        <v>4448952</v>
      </c>
      <c r="O293" s="14">
        <v>285458</v>
      </c>
      <c r="P293" s="14"/>
      <c r="Q293" s="14"/>
      <c r="R293" s="15">
        <v>50474</v>
      </c>
      <c r="S293" s="14">
        <v>33398375</v>
      </c>
      <c r="T293" s="14"/>
      <c r="U293" s="14">
        <v>173560</v>
      </c>
      <c r="V293" s="14">
        <v>259953</v>
      </c>
      <c r="W293" s="14">
        <v>291385</v>
      </c>
      <c r="X293" s="21">
        <v>71760</v>
      </c>
      <c r="Y293" s="21">
        <v>51738</v>
      </c>
      <c r="Z293" s="21"/>
      <c r="AA293" s="21"/>
      <c r="AB293" s="21">
        <v>104530</v>
      </c>
      <c r="AC293" s="21">
        <v>276764</v>
      </c>
      <c r="AD293" s="21" t="s">
        <v>97</v>
      </c>
      <c r="AE293" s="21"/>
      <c r="AF293" s="21"/>
      <c r="AG293" s="21"/>
      <c r="AH293" s="21"/>
      <c r="AI293" s="22"/>
      <c r="AJ293" s="21"/>
      <c r="AK293" s="21"/>
    </row>
    <row r="294" spans="1:39" ht="48.75" customHeight="1" x14ac:dyDescent="0.25">
      <c r="A294" s="79">
        <v>46120</v>
      </c>
      <c r="B294" s="6">
        <v>0.91666666620415105</v>
      </c>
      <c r="C294" s="7">
        <v>8829</v>
      </c>
      <c r="D294" s="7">
        <v>359332</v>
      </c>
      <c r="E294" s="7">
        <v>10945</v>
      </c>
      <c r="F294" s="7"/>
      <c r="G294" s="7"/>
      <c r="H294" s="7"/>
      <c r="I294" s="7"/>
      <c r="J294" s="7">
        <v>4225</v>
      </c>
      <c r="K294" s="7">
        <v>5180</v>
      </c>
      <c r="L294" s="7">
        <v>24305</v>
      </c>
      <c r="M294" s="7">
        <v>15059</v>
      </c>
      <c r="N294" s="7">
        <v>4754441</v>
      </c>
      <c r="O294" s="7">
        <v>285687</v>
      </c>
      <c r="P294" s="7"/>
      <c r="Q294" s="7"/>
      <c r="R294" s="8">
        <v>50497</v>
      </c>
      <c r="S294" s="7">
        <v>33464671</v>
      </c>
      <c r="T294" s="7"/>
      <c r="U294" s="7">
        <v>173959</v>
      </c>
      <c r="V294" s="7">
        <v>260126</v>
      </c>
      <c r="W294" s="7">
        <v>291526</v>
      </c>
      <c r="X294" s="18">
        <v>71845</v>
      </c>
      <c r="Y294" s="18">
        <v>51800</v>
      </c>
      <c r="Z294" s="18">
        <v>7400</v>
      </c>
      <c r="AA294" s="18">
        <v>45233</v>
      </c>
      <c r="AB294" s="18">
        <v>104241</v>
      </c>
      <c r="AC294" s="18">
        <v>276873</v>
      </c>
      <c r="AD294" s="18" t="s">
        <v>97</v>
      </c>
      <c r="AE294" s="18">
        <v>7239</v>
      </c>
      <c r="AF294" s="18">
        <v>33687</v>
      </c>
      <c r="AG294" s="18">
        <v>150</v>
      </c>
      <c r="AH294" s="18"/>
      <c r="AI294" s="19">
        <v>1</v>
      </c>
      <c r="AJ294" s="18">
        <v>6750</v>
      </c>
      <c r="AK294" s="18">
        <v>2376</v>
      </c>
      <c r="AM294" t="s">
        <v>98</v>
      </c>
    </row>
    <row r="295" spans="1:39" ht="48.75" customHeight="1" x14ac:dyDescent="0.25">
      <c r="A295" s="80"/>
      <c r="B295" s="10">
        <v>0.24999999953718099</v>
      </c>
      <c r="C295" s="11">
        <v>8857</v>
      </c>
      <c r="D295" s="11">
        <v>359610</v>
      </c>
      <c r="E295" s="11">
        <v>10947</v>
      </c>
      <c r="F295" s="11"/>
      <c r="G295" s="11"/>
      <c r="H295" s="11"/>
      <c r="I295" s="11"/>
      <c r="J295" s="11">
        <v>4228</v>
      </c>
      <c r="K295" s="11">
        <v>5180</v>
      </c>
      <c r="L295" s="11">
        <v>24328</v>
      </c>
      <c r="M295" s="11">
        <v>15075</v>
      </c>
      <c r="N295" s="11">
        <v>5050535</v>
      </c>
      <c r="O295" s="11">
        <v>285905</v>
      </c>
      <c r="P295" s="11"/>
      <c r="Q295" s="11"/>
      <c r="R295" s="12">
        <v>50524</v>
      </c>
      <c r="S295" s="11">
        <v>33528856</v>
      </c>
      <c r="T295" s="11"/>
      <c r="U295" s="11">
        <v>174478</v>
      </c>
      <c r="V295" s="11">
        <v>260325</v>
      </c>
      <c r="W295" s="11">
        <v>291685</v>
      </c>
      <c r="X295" s="9">
        <v>71932</v>
      </c>
      <c r="Y295" s="9">
        <v>51870</v>
      </c>
      <c r="Z295" s="9"/>
      <c r="AA295" s="9"/>
      <c r="AB295" s="9">
        <v>104371</v>
      </c>
      <c r="AC295" s="9">
        <v>276888</v>
      </c>
      <c r="AD295" s="9"/>
      <c r="AE295" s="9"/>
      <c r="AF295" s="9"/>
      <c r="AG295" s="9"/>
      <c r="AH295" s="9"/>
      <c r="AI295" s="20"/>
      <c r="AJ295" s="9"/>
      <c r="AK295" s="9"/>
    </row>
    <row r="296" spans="1:39" ht="48.75" customHeight="1" thickBot="1" x14ac:dyDescent="0.3">
      <c r="A296" s="81"/>
      <c r="B296" s="13">
        <v>0.58333333287009703</v>
      </c>
      <c r="C296" s="14">
        <v>8877</v>
      </c>
      <c r="D296" s="14">
        <v>359880</v>
      </c>
      <c r="E296" s="14">
        <v>10947</v>
      </c>
      <c r="F296" s="14"/>
      <c r="G296" s="14"/>
      <c r="H296" s="14"/>
      <c r="I296" s="14"/>
      <c r="J296" s="14">
        <v>4228</v>
      </c>
      <c r="K296" s="14">
        <v>5183</v>
      </c>
      <c r="L296" s="14">
        <v>24351</v>
      </c>
      <c r="M296" s="14">
        <v>15085</v>
      </c>
      <c r="N296" s="14">
        <v>5377340</v>
      </c>
      <c r="O296" s="14">
        <v>286149</v>
      </c>
      <c r="P296" s="14"/>
      <c r="Q296" s="14"/>
      <c r="R296" s="15">
        <v>50551</v>
      </c>
      <c r="S296" s="14">
        <v>33602276</v>
      </c>
      <c r="T296" s="14"/>
      <c r="U296" s="14">
        <v>175011</v>
      </c>
      <c r="V296" s="14">
        <v>260529</v>
      </c>
      <c r="W296" s="14">
        <v>291845</v>
      </c>
      <c r="X296" s="21">
        <v>72031</v>
      </c>
      <c r="Y296" s="21">
        <v>51943</v>
      </c>
      <c r="Z296" s="21"/>
      <c r="AA296" s="21"/>
      <c r="AB296" s="21">
        <v>104409</v>
      </c>
      <c r="AC296" s="21">
        <v>276904</v>
      </c>
      <c r="AD296" s="21"/>
      <c r="AE296" s="21"/>
      <c r="AF296" s="21"/>
      <c r="AG296" s="21"/>
      <c r="AH296" s="21"/>
      <c r="AI296" s="22"/>
      <c r="AJ296" s="21"/>
      <c r="AK296" s="21"/>
    </row>
    <row r="297" spans="1:39" ht="48.75" customHeight="1" x14ac:dyDescent="0.25">
      <c r="A297" s="79">
        <v>46121</v>
      </c>
      <c r="B297" s="6">
        <v>0.91666666620312798</v>
      </c>
      <c r="C297" s="7">
        <v>8907</v>
      </c>
      <c r="D297" s="7">
        <v>360157</v>
      </c>
      <c r="E297" s="7">
        <v>10949</v>
      </c>
      <c r="F297" s="7"/>
      <c r="G297" s="7"/>
      <c r="H297" s="7"/>
      <c r="I297" s="7"/>
      <c r="J297" s="7">
        <v>4229</v>
      </c>
      <c r="K297" s="7">
        <v>5193</v>
      </c>
      <c r="L297" s="7">
        <v>24373</v>
      </c>
      <c r="M297" s="7">
        <v>15091</v>
      </c>
      <c r="N297" s="7">
        <v>5647284</v>
      </c>
      <c r="O297" s="7">
        <v>286351</v>
      </c>
      <c r="P297" s="7"/>
      <c r="Q297" s="7"/>
      <c r="R297" s="8">
        <v>50560</v>
      </c>
      <c r="S297" s="7">
        <v>33676154</v>
      </c>
      <c r="T297" s="7"/>
      <c r="U297" s="7">
        <v>175525</v>
      </c>
      <c r="V297" s="7">
        <v>260735</v>
      </c>
      <c r="W297" s="7">
        <v>292009</v>
      </c>
      <c r="X297" s="7">
        <v>72110</v>
      </c>
      <c r="Y297" s="7">
        <v>51998</v>
      </c>
      <c r="Z297" s="7">
        <v>7448</v>
      </c>
      <c r="AA297" s="7">
        <v>45285</v>
      </c>
      <c r="AB297" s="7">
        <v>104548</v>
      </c>
      <c r="AC297" s="7">
        <v>276926</v>
      </c>
      <c r="AD297" s="18"/>
      <c r="AE297" s="18">
        <v>7241</v>
      </c>
      <c r="AF297" s="18">
        <v>33687</v>
      </c>
      <c r="AG297" s="18">
        <v>150</v>
      </c>
      <c r="AH297" s="18"/>
      <c r="AI297" s="19">
        <v>1</v>
      </c>
      <c r="AJ297" s="18">
        <v>6771</v>
      </c>
      <c r="AK297" s="18">
        <v>2376</v>
      </c>
    </row>
    <row r="298" spans="1:39" ht="48.75" customHeight="1" x14ac:dyDescent="0.25">
      <c r="A298" s="80"/>
      <c r="B298" s="10">
        <v>0.24999999953615801</v>
      </c>
      <c r="C298" s="11">
        <v>8949</v>
      </c>
      <c r="D298" s="11">
        <v>360426</v>
      </c>
      <c r="E298" s="11">
        <v>10950</v>
      </c>
      <c r="F298" s="11"/>
      <c r="G298" s="11"/>
      <c r="H298" s="11"/>
      <c r="I298" s="11"/>
      <c r="J298" s="11">
        <v>4229</v>
      </c>
      <c r="K298" s="11">
        <v>5194</v>
      </c>
      <c r="L298" s="11">
        <v>24397</v>
      </c>
      <c r="M298" s="11">
        <v>15097</v>
      </c>
      <c r="N298" s="11">
        <v>5927258</v>
      </c>
      <c r="O298" s="11">
        <v>286558</v>
      </c>
      <c r="P298" s="11"/>
      <c r="Q298" s="11"/>
      <c r="R298" s="12">
        <v>50573</v>
      </c>
      <c r="S298" s="11">
        <v>33762109</v>
      </c>
      <c r="T298" s="11"/>
      <c r="U298" s="11">
        <v>176062</v>
      </c>
      <c r="V298" s="11">
        <v>260390</v>
      </c>
      <c r="W298" s="11">
        <v>292114</v>
      </c>
      <c r="X298" s="9">
        <v>72185</v>
      </c>
      <c r="Y298" s="9">
        <v>52055</v>
      </c>
      <c r="Z298" s="9"/>
      <c r="AA298" s="9"/>
      <c r="AB298" s="9">
        <v>104778</v>
      </c>
      <c r="AC298" s="9">
        <v>276942</v>
      </c>
      <c r="AD298" s="9"/>
      <c r="AE298" s="9"/>
      <c r="AF298" s="9"/>
      <c r="AG298" s="9"/>
      <c r="AH298" s="9"/>
      <c r="AI298" s="20"/>
      <c r="AJ298" s="9"/>
      <c r="AK298" s="9"/>
    </row>
    <row r="299" spans="1:39" ht="48.75" customHeight="1" thickBot="1" x14ac:dyDescent="0.3">
      <c r="A299" s="81"/>
      <c r="B299" s="13">
        <v>0.58333333286918798</v>
      </c>
      <c r="C299" s="14">
        <v>8990</v>
      </c>
      <c r="D299" s="14">
        <v>360728</v>
      </c>
      <c r="E299" s="14">
        <v>10951</v>
      </c>
      <c r="F299" s="14"/>
      <c r="G299" s="14"/>
      <c r="H299" s="14"/>
      <c r="I299" s="14"/>
      <c r="J299" s="14">
        <v>4230</v>
      </c>
      <c r="K299" s="14">
        <v>5198</v>
      </c>
      <c r="L299" s="14">
        <v>24418</v>
      </c>
      <c r="M299" s="14">
        <v>15101</v>
      </c>
      <c r="N299" s="14">
        <v>6218841</v>
      </c>
      <c r="O299" s="14">
        <v>286794</v>
      </c>
      <c r="P299" s="14"/>
      <c r="Q299" s="14"/>
      <c r="R299" s="15">
        <v>50607</v>
      </c>
      <c r="S299" s="14">
        <v>33828783</v>
      </c>
      <c r="T299" s="14"/>
      <c r="U299" s="14">
        <v>176599</v>
      </c>
      <c r="V299" s="14">
        <v>261065</v>
      </c>
      <c r="W299" s="14">
        <v>292221</v>
      </c>
      <c r="X299" s="21">
        <v>72290</v>
      </c>
      <c r="Y299" s="21">
        <v>52131</v>
      </c>
      <c r="Z299" s="21"/>
      <c r="AA299" s="21"/>
      <c r="AB299" s="21">
        <v>104984</v>
      </c>
      <c r="AC299" s="21">
        <v>277008</v>
      </c>
      <c r="AD299" s="21"/>
      <c r="AE299" s="21"/>
      <c r="AF299" s="21"/>
      <c r="AG299" s="21"/>
      <c r="AH299" s="21"/>
      <c r="AI299" s="22"/>
      <c r="AJ299" s="21"/>
      <c r="AK299" s="21"/>
    </row>
    <row r="300" spans="1:39" ht="48.75" customHeight="1" x14ac:dyDescent="0.25">
      <c r="A300" s="79">
        <v>46122</v>
      </c>
      <c r="B300" s="6">
        <v>0.91666666620210402</v>
      </c>
      <c r="C300" s="7">
        <v>9034</v>
      </c>
      <c r="D300" s="7">
        <v>361052</v>
      </c>
      <c r="E300" s="7">
        <v>10953</v>
      </c>
      <c r="F300" s="7"/>
      <c r="G300" s="7"/>
      <c r="H300" s="7"/>
      <c r="I300" s="7"/>
      <c r="J300" s="7">
        <v>4230</v>
      </c>
      <c r="K300" s="7">
        <v>5198</v>
      </c>
      <c r="L300" s="7">
        <v>24441</v>
      </c>
      <c r="M300" s="7">
        <v>15115</v>
      </c>
      <c r="N300" s="7">
        <v>6472350</v>
      </c>
      <c r="O300" s="7">
        <v>286997</v>
      </c>
      <c r="P300" s="7"/>
      <c r="Q300" s="7"/>
      <c r="R300" s="8">
        <v>50622</v>
      </c>
      <c r="S300" s="7">
        <v>33885713</v>
      </c>
      <c r="T300" s="7"/>
      <c r="U300" s="7">
        <v>177188</v>
      </c>
      <c r="V300" s="7">
        <v>261231</v>
      </c>
      <c r="W300" s="7">
        <v>292371</v>
      </c>
      <c r="X300" s="18">
        <v>72374</v>
      </c>
      <c r="Y300" s="18">
        <v>52193</v>
      </c>
      <c r="Z300" s="18">
        <v>7459</v>
      </c>
      <c r="AA300" s="18">
        <v>45369</v>
      </c>
      <c r="AB300" s="18">
        <v>105205</v>
      </c>
      <c r="AC300" s="18">
        <v>277167</v>
      </c>
      <c r="AD300" s="18"/>
      <c r="AE300" s="18">
        <v>7245</v>
      </c>
      <c r="AF300" s="18">
        <v>33687</v>
      </c>
      <c r="AG300" s="18">
        <v>150</v>
      </c>
      <c r="AH300" s="18"/>
      <c r="AI300" s="19">
        <v>1</v>
      </c>
      <c r="AJ300" s="18">
        <v>6778</v>
      </c>
      <c r="AK300" s="18">
        <v>2376</v>
      </c>
    </row>
    <row r="301" spans="1:39" ht="48.75" customHeight="1" x14ac:dyDescent="0.25">
      <c r="A301" s="80"/>
      <c r="B301" s="10">
        <v>0.24999999953513499</v>
      </c>
      <c r="C301" s="11">
        <v>9068</v>
      </c>
      <c r="D301" s="11">
        <v>361252</v>
      </c>
      <c r="E301" s="11">
        <v>10954</v>
      </c>
      <c r="F301" s="11"/>
      <c r="G301" s="11"/>
      <c r="H301" s="11"/>
      <c r="I301" s="11"/>
      <c r="J301" s="11">
        <v>4231</v>
      </c>
      <c r="K301" s="11">
        <v>5198</v>
      </c>
      <c r="L301" s="11">
        <v>24464</v>
      </c>
      <c r="M301" s="11">
        <v>15126</v>
      </c>
      <c r="N301" s="11">
        <v>6721574</v>
      </c>
      <c r="O301" s="11">
        <v>287195</v>
      </c>
      <c r="P301" s="11"/>
      <c r="Q301" s="11"/>
      <c r="R301" s="12">
        <v>50639</v>
      </c>
      <c r="S301" s="11">
        <v>33927304</v>
      </c>
      <c r="T301" s="11"/>
      <c r="U301" s="11">
        <v>177635</v>
      </c>
      <c r="V301" s="11">
        <v>261408</v>
      </c>
      <c r="W301" s="11">
        <v>292503</v>
      </c>
      <c r="X301" s="9">
        <v>72406</v>
      </c>
      <c r="Y301" s="9">
        <v>52218</v>
      </c>
      <c r="Z301" s="9"/>
      <c r="AA301" s="9"/>
      <c r="AB301" s="9">
        <v>105431</v>
      </c>
      <c r="AC301" s="9">
        <v>277299</v>
      </c>
      <c r="AD301" s="9"/>
      <c r="AE301" s="9"/>
      <c r="AF301" s="9"/>
      <c r="AG301" s="9"/>
      <c r="AH301" s="9"/>
      <c r="AI301" s="20"/>
      <c r="AJ301" s="9"/>
      <c r="AK301" s="9"/>
    </row>
    <row r="302" spans="1:39" ht="48.75" customHeight="1" thickBot="1" x14ac:dyDescent="0.3">
      <c r="A302" s="81"/>
      <c r="B302" s="13">
        <v>0.58333333286816502</v>
      </c>
      <c r="C302" s="14">
        <v>9097</v>
      </c>
      <c r="D302" s="14">
        <v>361504</v>
      </c>
      <c r="E302" s="14">
        <v>10954</v>
      </c>
      <c r="F302" s="14"/>
      <c r="G302" s="14"/>
      <c r="H302" s="14"/>
      <c r="I302" s="14"/>
      <c r="J302" s="14">
        <v>4232</v>
      </c>
      <c r="K302" s="14">
        <v>5199</v>
      </c>
      <c r="L302" s="14">
        <v>24487</v>
      </c>
      <c r="M302" s="14">
        <v>15134</v>
      </c>
      <c r="N302" s="14">
        <v>7039829</v>
      </c>
      <c r="O302" s="14">
        <v>287450</v>
      </c>
      <c r="P302" s="14"/>
      <c r="Q302" s="14"/>
      <c r="R302" s="15">
        <v>50675</v>
      </c>
      <c r="S302" s="14">
        <v>33985904</v>
      </c>
      <c r="T302" s="14"/>
      <c r="U302" s="14">
        <v>178208</v>
      </c>
      <c r="V302" s="14">
        <v>261614</v>
      </c>
      <c r="W302" s="14">
        <v>292667</v>
      </c>
      <c r="X302" s="21">
        <v>72495</v>
      </c>
      <c r="Y302" s="21">
        <v>52288</v>
      </c>
      <c r="Z302" s="21"/>
      <c r="AA302" s="21"/>
      <c r="AB302" s="21">
        <v>105544</v>
      </c>
      <c r="AC302" s="21">
        <v>277430</v>
      </c>
      <c r="AD302" s="21"/>
      <c r="AE302" s="21"/>
      <c r="AF302" s="21"/>
      <c r="AG302" s="21"/>
      <c r="AH302" s="21"/>
      <c r="AI302" s="22"/>
      <c r="AJ302" s="21"/>
      <c r="AK302" s="21"/>
    </row>
    <row r="303" spans="1:39" ht="48.75" customHeight="1" x14ac:dyDescent="0.25">
      <c r="A303" s="79">
        <v>46123</v>
      </c>
      <c r="B303" s="6">
        <v>0.91666666620108095</v>
      </c>
      <c r="C303" s="7">
        <v>9137</v>
      </c>
      <c r="D303" s="7">
        <v>361819</v>
      </c>
      <c r="E303" s="7">
        <v>10957</v>
      </c>
      <c r="F303" s="7"/>
      <c r="G303" s="7"/>
      <c r="H303" s="7"/>
      <c r="I303" s="7"/>
      <c r="J303" s="7">
        <v>4233</v>
      </c>
      <c r="K303" s="7">
        <v>5200</v>
      </c>
      <c r="L303" s="7">
        <v>24511</v>
      </c>
      <c r="M303" s="7">
        <v>15143</v>
      </c>
      <c r="N303" s="7">
        <v>7336270</v>
      </c>
      <c r="O303" s="7">
        <v>287686</v>
      </c>
      <c r="P303" s="7"/>
      <c r="Q303" s="7"/>
      <c r="R303" s="8">
        <v>50690</v>
      </c>
      <c r="S303" s="7">
        <v>34058582</v>
      </c>
      <c r="T303" s="7"/>
      <c r="U303" s="7">
        <v>178730</v>
      </c>
      <c r="V303" s="7">
        <v>261827</v>
      </c>
      <c r="W303" s="7">
        <v>292831</v>
      </c>
      <c r="X303" s="18">
        <v>72591</v>
      </c>
      <c r="Y303" s="18">
        <v>52365</v>
      </c>
      <c r="Z303" s="18">
        <v>7464</v>
      </c>
      <c r="AA303" s="18">
        <v>45400</v>
      </c>
      <c r="AB303" s="18">
        <v>105762</v>
      </c>
      <c r="AC303" s="18">
        <v>277539</v>
      </c>
      <c r="AD303" s="18" t="s">
        <v>97</v>
      </c>
      <c r="AE303" s="18">
        <v>7248</v>
      </c>
      <c r="AF303" s="18">
        <v>33687</v>
      </c>
      <c r="AG303" s="18">
        <v>150</v>
      </c>
      <c r="AH303" s="18"/>
      <c r="AI303" s="19">
        <v>1</v>
      </c>
      <c r="AJ303" s="18">
        <v>6780</v>
      </c>
      <c r="AK303" s="18">
        <v>2376</v>
      </c>
    </row>
    <row r="304" spans="1:39" ht="48.75" customHeight="1" x14ac:dyDescent="0.25">
      <c r="A304" s="80"/>
      <c r="B304" s="10">
        <v>0.24999999953411101</v>
      </c>
      <c r="C304" s="11">
        <v>9165</v>
      </c>
      <c r="D304" s="11">
        <v>362014</v>
      </c>
      <c r="E304" s="11">
        <v>10958</v>
      </c>
      <c r="F304" s="11"/>
      <c r="G304" s="11"/>
      <c r="H304" s="11"/>
      <c r="I304" s="11"/>
      <c r="J304" s="11">
        <v>4233</v>
      </c>
      <c r="K304" s="11">
        <v>5200</v>
      </c>
      <c r="L304" s="11">
        <v>24535</v>
      </c>
      <c r="M304" s="11">
        <v>15152</v>
      </c>
      <c r="N304" s="11">
        <v>7644063</v>
      </c>
      <c r="O304" s="11">
        <v>287926</v>
      </c>
      <c r="P304" s="11"/>
      <c r="Q304" s="11"/>
      <c r="R304" s="12">
        <v>50707</v>
      </c>
      <c r="S304" s="11">
        <v>34113221</v>
      </c>
      <c r="T304" s="11"/>
      <c r="U304" s="11">
        <v>179152</v>
      </c>
      <c r="V304" s="11">
        <v>262004</v>
      </c>
      <c r="W304" s="11">
        <v>292975</v>
      </c>
      <c r="X304" s="9">
        <v>72649</v>
      </c>
      <c r="Y304" s="9">
        <v>52408</v>
      </c>
      <c r="Z304" s="9"/>
      <c r="AA304" s="9"/>
      <c r="AB304" s="9">
        <v>105919</v>
      </c>
      <c r="AC304" s="9">
        <v>277651</v>
      </c>
      <c r="AD304" s="9"/>
      <c r="AE304" s="9"/>
      <c r="AF304" s="9"/>
      <c r="AG304" s="9"/>
      <c r="AH304" s="9"/>
      <c r="AI304" s="20"/>
      <c r="AJ304" s="9"/>
      <c r="AK304" s="9"/>
    </row>
    <row r="305" spans="1:37" ht="48.75" customHeight="1" thickBot="1" x14ac:dyDescent="0.3">
      <c r="A305" s="81"/>
      <c r="B305" s="13">
        <v>0.58333333286714195</v>
      </c>
      <c r="C305" s="14">
        <v>9186</v>
      </c>
      <c r="D305" s="14">
        <v>362258</v>
      </c>
      <c r="E305" s="14">
        <v>10959</v>
      </c>
      <c r="F305" s="14"/>
      <c r="G305" s="14"/>
      <c r="H305" s="14"/>
      <c r="I305" s="14"/>
      <c r="J305" s="14">
        <v>4234</v>
      </c>
      <c r="K305" s="14">
        <v>5200</v>
      </c>
      <c r="L305" s="14">
        <v>24556</v>
      </c>
      <c r="M305" s="14">
        <v>15164</v>
      </c>
      <c r="N305" s="14">
        <v>7740603</v>
      </c>
      <c r="O305" s="14">
        <v>288005</v>
      </c>
      <c r="P305" s="14"/>
      <c r="Q305" s="14"/>
      <c r="R305" s="15">
        <v>50754</v>
      </c>
      <c r="S305" s="14">
        <v>34180921</v>
      </c>
      <c r="T305" s="14"/>
      <c r="U305" s="14">
        <v>179612</v>
      </c>
      <c r="V305" s="14">
        <v>262104</v>
      </c>
      <c r="W305" s="14">
        <v>293060</v>
      </c>
      <c r="X305" s="21">
        <v>72739</v>
      </c>
      <c r="Y305" s="21">
        <v>52478</v>
      </c>
      <c r="Z305" s="21"/>
      <c r="AA305" s="21"/>
      <c r="AB305" s="21">
        <v>106000</v>
      </c>
      <c r="AC305" s="21">
        <v>277765</v>
      </c>
      <c r="AD305" s="21"/>
      <c r="AE305" s="21"/>
      <c r="AF305" s="21"/>
      <c r="AG305" s="21"/>
      <c r="AH305" s="21"/>
      <c r="AI305" s="22"/>
      <c r="AJ305" s="21"/>
      <c r="AK305" s="21"/>
    </row>
    <row r="306" spans="1:37" ht="48.75" customHeight="1" x14ac:dyDescent="0.25">
      <c r="A306" s="79">
        <v>46124</v>
      </c>
      <c r="B306" s="6">
        <v>0.91666666620017201</v>
      </c>
      <c r="C306" s="7">
        <v>9217</v>
      </c>
      <c r="D306" s="7">
        <v>362425</v>
      </c>
      <c r="E306" s="7">
        <v>10959</v>
      </c>
      <c r="F306" s="7"/>
      <c r="G306" s="7"/>
      <c r="H306" s="7"/>
      <c r="I306" s="7"/>
      <c r="J306" s="7">
        <v>4234</v>
      </c>
      <c r="K306" s="7">
        <v>5201</v>
      </c>
      <c r="L306" s="7">
        <v>24650</v>
      </c>
      <c r="M306" s="7">
        <v>15164</v>
      </c>
      <c r="N306" s="7">
        <v>7740603</v>
      </c>
      <c r="O306" s="7">
        <v>288005</v>
      </c>
      <c r="P306" s="7"/>
      <c r="Q306" s="7"/>
      <c r="R306" s="8">
        <v>50773</v>
      </c>
      <c r="S306" s="7">
        <v>34195361</v>
      </c>
      <c r="T306" s="7"/>
      <c r="U306" s="7">
        <v>179816</v>
      </c>
      <c r="V306" s="7">
        <v>262104</v>
      </c>
      <c r="W306" s="7">
        <v>293068</v>
      </c>
      <c r="X306" s="18">
        <v>72739</v>
      </c>
      <c r="Y306" s="18">
        <v>52478</v>
      </c>
      <c r="Z306" s="18">
        <v>7639</v>
      </c>
      <c r="AA306" s="18">
        <v>45520</v>
      </c>
      <c r="AB306" s="18">
        <v>106206</v>
      </c>
      <c r="AC306" s="18">
        <v>277928</v>
      </c>
      <c r="AD306" s="18">
        <v>0</v>
      </c>
      <c r="AE306" s="18">
        <v>7266</v>
      </c>
      <c r="AF306" s="18">
        <v>33687</v>
      </c>
      <c r="AG306" s="18">
        <v>150</v>
      </c>
      <c r="AH306" s="18"/>
      <c r="AI306" s="19">
        <v>1</v>
      </c>
      <c r="AJ306" s="18">
        <v>6855</v>
      </c>
      <c r="AK306" s="18">
        <v>2376</v>
      </c>
    </row>
    <row r="307" spans="1:37" ht="48.75" customHeight="1" x14ac:dyDescent="0.25">
      <c r="A307" s="80"/>
      <c r="B307" s="10">
        <v>0.24999999953308799</v>
      </c>
      <c r="C307" s="11">
        <v>9217</v>
      </c>
      <c r="D307" s="11">
        <v>362425</v>
      </c>
      <c r="E307" s="11">
        <v>10959</v>
      </c>
      <c r="F307" s="11"/>
      <c r="G307" s="11"/>
      <c r="H307" s="11"/>
      <c r="I307" s="11"/>
      <c r="J307" s="11">
        <v>4234</v>
      </c>
      <c r="K307" s="11">
        <v>5201</v>
      </c>
      <c r="L307" s="11">
        <v>24650</v>
      </c>
      <c r="M307" s="11">
        <v>15164</v>
      </c>
      <c r="N307" s="11">
        <v>7740603</v>
      </c>
      <c r="O307" s="11">
        <v>288005</v>
      </c>
      <c r="P307" s="11"/>
      <c r="Q307" s="11"/>
      <c r="R307" s="12">
        <v>50773</v>
      </c>
      <c r="S307" s="11">
        <v>34195361</v>
      </c>
      <c r="T307" s="11"/>
      <c r="U307" s="11">
        <v>179816</v>
      </c>
      <c r="V307" s="11">
        <v>262104</v>
      </c>
      <c r="W307" s="11">
        <v>293068</v>
      </c>
      <c r="X307" s="9">
        <v>72739</v>
      </c>
      <c r="Y307" s="9">
        <v>52478</v>
      </c>
      <c r="Z307" s="9">
        <v>7639</v>
      </c>
      <c r="AA307" s="9">
        <v>45520</v>
      </c>
      <c r="AB307" s="9">
        <v>106206</v>
      </c>
      <c r="AC307" s="9">
        <v>277928</v>
      </c>
      <c r="AD307" s="9">
        <v>0</v>
      </c>
      <c r="AE307" s="9">
        <v>7266</v>
      </c>
      <c r="AF307" s="9">
        <v>33687</v>
      </c>
      <c r="AG307" s="9">
        <v>150</v>
      </c>
      <c r="AH307" s="9"/>
      <c r="AI307" s="20">
        <v>1</v>
      </c>
      <c r="AJ307" s="9">
        <v>6855</v>
      </c>
      <c r="AK307" s="9">
        <v>2376</v>
      </c>
    </row>
    <row r="308" spans="1:37" ht="48.75" customHeight="1" thickBot="1" x14ac:dyDescent="0.3">
      <c r="A308" s="81"/>
      <c r="B308" s="13">
        <v>0.58333333286611799</v>
      </c>
      <c r="C308" s="14">
        <v>9217</v>
      </c>
      <c r="D308" s="14">
        <v>362425</v>
      </c>
      <c r="E308" s="14">
        <v>10959</v>
      </c>
      <c r="F308" s="14"/>
      <c r="G308" s="14"/>
      <c r="H308" s="14"/>
      <c r="I308" s="14"/>
      <c r="J308" s="14">
        <v>4234</v>
      </c>
      <c r="K308" s="14">
        <v>5201</v>
      </c>
      <c r="L308" s="14">
        <v>24650</v>
      </c>
      <c r="M308" s="14">
        <v>15164</v>
      </c>
      <c r="N308" s="14">
        <v>7740603</v>
      </c>
      <c r="O308" s="14">
        <v>288005</v>
      </c>
      <c r="P308" s="14"/>
      <c r="Q308" s="14"/>
      <c r="R308" s="15">
        <v>50773</v>
      </c>
      <c r="S308" s="14">
        <v>34195361</v>
      </c>
      <c r="T308" s="14"/>
      <c r="U308" s="14">
        <v>179816</v>
      </c>
      <c r="V308" s="14">
        <v>262104</v>
      </c>
      <c r="W308" s="14">
        <v>293068</v>
      </c>
      <c r="X308" s="21">
        <v>72739</v>
      </c>
      <c r="Y308" s="21">
        <v>52478</v>
      </c>
      <c r="Z308" s="21">
        <v>7639</v>
      </c>
      <c r="AA308" s="21">
        <v>45520</v>
      </c>
      <c r="AB308" s="21">
        <v>106206</v>
      </c>
      <c r="AC308" s="21">
        <v>277928</v>
      </c>
      <c r="AD308" s="21">
        <v>0</v>
      </c>
      <c r="AE308" s="21">
        <v>7266</v>
      </c>
      <c r="AF308" s="21">
        <v>33687</v>
      </c>
      <c r="AG308" s="21">
        <v>150</v>
      </c>
      <c r="AH308" s="21"/>
      <c r="AI308" s="22">
        <v>1</v>
      </c>
      <c r="AJ308" s="21">
        <v>6855</v>
      </c>
      <c r="AK308" s="21">
        <v>2376</v>
      </c>
    </row>
    <row r="309" spans="1:37" ht="48.75" customHeight="1" x14ac:dyDescent="0.25">
      <c r="A309" s="79">
        <v>46125</v>
      </c>
      <c r="B309" s="6">
        <v>0.91666666619914805</v>
      </c>
      <c r="C309" s="7">
        <v>9217</v>
      </c>
      <c r="D309" s="7">
        <v>362425</v>
      </c>
      <c r="E309" s="7">
        <v>10959</v>
      </c>
      <c r="F309" s="7"/>
      <c r="G309" s="7"/>
      <c r="H309" s="7"/>
      <c r="I309" s="7"/>
      <c r="J309" s="7">
        <v>4234</v>
      </c>
      <c r="K309" s="7">
        <v>5201</v>
      </c>
      <c r="L309" s="7">
        <v>24650</v>
      </c>
      <c r="M309" s="7">
        <v>15164</v>
      </c>
      <c r="N309" s="7">
        <v>7740603</v>
      </c>
      <c r="O309" s="7">
        <v>288005</v>
      </c>
      <c r="P309" s="7"/>
      <c r="Q309" s="7"/>
      <c r="R309" s="8">
        <v>50773</v>
      </c>
      <c r="S309" s="7">
        <v>34195361</v>
      </c>
      <c r="T309" s="7"/>
      <c r="U309" s="7">
        <v>179816</v>
      </c>
      <c r="V309" s="7">
        <v>262104</v>
      </c>
      <c r="W309" s="7">
        <v>293068</v>
      </c>
      <c r="X309" s="18">
        <v>72739</v>
      </c>
      <c r="Y309" s="18">
        <v>52478</v>
      </c>
      <c r="Z309" s="18">
        <v>7639</v>
      </c>
      <c r="AA309" s="18">
        <v>45520</v>
      </c>
      <c r="AB309" s="18">
        <v>106206</v>
      </c>
      <c r="AC309" s="18">
        <v>277928</v>
      </c>
      <c r="AD309" s="18">
        <v>0</v>
      </c>
      <c r="AE309" s="18">
        <v>7266</v>
      </c>
      <c r="AF309" s="18">
        <v>33687</v>
      </c>
      <c r="AG309" s="18">
        <v>150</v>
      </c>
      <c r="AH309" s="18"/>
      <c r="AI309" s="19">
        <v>1</v>
      </c>
      <c r="AJ309" s="18">
        <v>6855</v>
      </c>
      <c r="AK309" s="18">
        <v>2376</v>
      </c>
    </row>
    <row r="310" spans="1:37" ht="48.75" customHeight="1" x14ac:dyDescent="0.25">
      <c r="A310" s="80"/>
      <c r="B310" s="10">
        <v>0.249999999532179</v>
      </c>
      <c r="C310" s="11">
        <v>9255</v>
      </c>
      <c r="D310" s="11">
        <v>362692</v>
      </c>
      <c r="E310" s="11">
        <v>10959</v>
      </c>
      <c r="F310" s="11"/>
      <c r="G310" s="11"/>
      <c r="H310" s="11"/>
      <c r="I310" s="11"/>
      <c r="J310" s="11">
        <v>4235</v>
      </c>
      <c r="K310" s="11">
        <v>5201</v>
      </c>
      <c r="L310" s="11">
        <v>24674</v>
      </c>
      <c r="M310" s="11">
        <v>15174</v>
      </c>
      <c r="N310" s="11">
        <v>7740603</v>
      </c>
      <c r="O310" s="11">
        <v>288005</v>
      </c>
      <c r="P310" s="11"/>
      <c r="Q310" s="11"/>
      <c r="R310" s="12">
        <v>50796</v>
      </c>
      <c r="S310" s="11">
        <v>34243102</v>
      </c>
      <c r="T310" s="11"/>
      <c r="U310" s="11">
        <v>180271</v>
      </c>
      <c r="V310" s="11">
        <v>262283</v>
      </c>
      <c r="W310" s="11">
        <v>293277</v>
      </c>
      <c r="X310" s="9">
        <v>72818</v>
      </c>
      <c r="Y310" s="9">
        <v>52534</v>
      </c>
      <c r="Z310" s="9">
        <v>7639</v>
      </c>
      <c r="AA310" s="9">
        <v>45520</v>
      </c>
      <c r="AB310" s="9">
        <v>106430</v>
      </c>
      <c r="AC310" s="9">
        <v>278077</v>
      </c>
      <c r="AD310" s="9">
        <v>0</v>
      </c>
      <c r="AE310" s="9">
        <v>7266</v>
      </c>
      <c r="AF310" s="9">
        <v>33687</v>
      </c>
      <c r="AG310" s="9">
        <v>150</v>
      </c>
      <c r="AH310" s="9"/>
      <c r="AI310" s="20">
        <v>1</v>
      </c>
      <c r="AJ310" s="9">
        <v>6855</v>
      </c>
      <c r="AK310" s="9">
        <v>2376</v>
      </c>
    </row>
    <row r="311" spans="1:37" ht="48.75" customHeight="1" thickBot="1" x14ac:dyDescent="0.3">
      <c r="A311" s="81"/>
      <c r="B311" s="13">
        <v>0.58333333286509503</v>
      </c>
      <c r="C311" s="75">
        <v>9302</v>
      </c>
      <c r="D311" s="75">
        <v>362926</v>
      </c>
      <c r="E311" s="75">
        <v>10960</v>
      </c>
      <c r="F311" s="74"/>
      <c r="G311" s="74"/>
      <c r="H311" s="74"/>
      <c r="I311" s="74"/>
      <c r="J311" s="75">
        <v>4236</v>
      </c>
      <c r="K311" s="75">
        <v>5201</v>
      </c>
      <c r="L311" s="75">
        <v>24697</v>
      </c>
      <c r="M311" s="75">
        <v>15183</v>
      </c>
      <c r="N311" s="11">
        <v>7740603</v>
      </c>
      <c r="O311" s="11">
        <v>288005</v>
      </c>
      <c r="P311" s="14"/>
      <c r="Q311" s="14"/>
      <c r="R311" s="15">
        <v>50842</v>
      </c>
      <c r="S311" s="14">
        <v>34329661</v>
      </c>
      <c r="T311" s="14"/>
      <c r="U311" s="14">
        <v>180760</v>
      </c>
      <c r="V311" s="14">
        <v>262423</v>
      </c>
      <c r="W311" s="14">
        <v>293540</v>
      </c>
      <c r="X311" s="21">
        <v>73052</v>
      </c>
      <c r="Y311" s="21">
        <v>52565</v>
      </c>
      <c r="Z311" s="9">
        <v>7639</v>
      </c>
      <c r="AA311" s="9">
        <v>45520</v>
      </c>
      <c r="AB311" s="21">
        <v>106644</v>
      </c>
      <c r="AC311" s="21">
        <v>278224</v>
      </c>
      <c r="AD311" s="21">
        <v>0</v>
      </c>
      <c r="AE311" s="21">
        <v>7266</v>
      </c>
      <c r="AF311" s="21">
        <v>33687</v>
      </c>
      <c r="AG311" s="21">
        <v>150</v>
      </c>
      <c r="AH311" s="21"/>
      <c r="AI311" s="22">
        <v>1</v>
      </c>
      <c r="AJ311" s="21">
        <v>6855</v>
      </c>
      <c r="AK311" s="21">
        <v>2376</v>
      </c>
    </row>
    <row r="312" spans="1:37" ht="48.75" customHeight="1" thickBot="1" x14ac:dyDescent="0.3">
      <c r="A312" s="79">
        <v>46126</v>
      </c>
      <c r="B312" s="6">
        <v>0.91666666619812498</v>
      </c>
      <c r="C312" s="7">
        <v>9343</v>
      </c>
      <c r="D312" s="7">
        <v>363220</v>
      </c>
      <c r="E312" s="7">
        <v>10961</v>
      </c>
      <c r="F312" s="7"/>
      <c r="G312" s="7"/>
      <c r="H312" s="7"/>
      <c r="I312" s="7"/>
      <c r="J312" s="7">
        <v>4237</v>
      </c>
      <c r="K312" s="7">
        <v>5201</v>
      </c>
      <c r="L312" s="7">
        <v>24722</v>
      </c>
      <c r="M312" s="7">
        <v>15192</v>
      </c>
      <c r="N312" s="11">
        <v>8142766</v>
      </c>
      <c r="O312" s="7">
        <v>288307</v>
      </c>
      <c r="P312" s="7"/>
      <c r="Q312" s="7"/>
      <c r="R312" s="8">
        <v>50863</v>
      </c>
      <c r="S312" s="7">
        <v>34399723</v>
      </c>
      <c r="T312" s="7"/>
      <c r="U312" s="7">
        <v>181245</v>
      </c>
      <c r="V312" s="7">
        <v>262594</v>
      </c>
      <c r="W312" s="7">
        <v>293775</v>
      </c>
      <c r="X312" s="18">
        <v>73490</v>
      </c>
      <c r="Y312" s="18">
        <v>52610</v>
      </c>
      <c r="Z312" s="18">
        <v>7688</v>
      </c>
      <c r="AA312" s="18">
        <v>45605</v>
      </c>
      <c r="AB312" s="18">
        <v>106852</v>
      </c>
      <c r="AC312" s="18">
        <v>278384</v>
      </c>
      <c r="AD312" s="18">
        <v>0</v>
      </c>
      <c r="AE312" s="18">
        <v>7270</v>
      </c>
      <c r="AF312" s="18">
        <v>33687</v>
      </c>
      <c r="AG312" s="18">
        <v>150</v>
      </c>
      <c r="AH312" s="18"/>
      <c r="AI312" s="19">
        <v>1</v>
      </c>
      <c r="AJ312" s="18">
        <v>6877</v>
      </c>
      <c r="AK312" s="18">
        <v>2376</v>
      </c>
    </row>
    <row r="313" spans="1:37" ht="48.75" customHeight="1" thickBot="1" x14ac:dyDescent="0.3">
      <c r="A313" s="80"/>
      <c r="B313" s="10">
        <v>0.24999999953115501</v>
      </c>
      <c r="C313" s="11">
        <v>9376</v>
      </c>
      <c r="D313" s="11">
        <v>363452</v>
      </c>
      <c r="E313" s="11">
        <v>10962</v>
      </c>
      <c r="F313" s="11"/>
      <c r="G313" s="11"/>
      <c r="H313" s="11"/>
      <c r="I313" s="11"/>
      <c r="J313" s="11">
        <v>4238</v>
      </c>
      <c r="K313" s="11">
        <v>5201</v>
      </c>
      <c r="L313" s="11">
        <v>24745</v>
      </c>
      <c r="M313" s="11">
        <v>15204</v>
      </c>
      <c r="N313" s="11">
        <v>8459768</v>
      </c>
      <c r="O313" s="11">
        <v>288544</v>
      </c>
      <c r="P313" s="11"/>
      <c r="Q313" s="11"/>
      <c r="R313" s="12">
        <v>50887</v>
      </c>
      <c r="S313" s="11">
        <v>34488671</v>
      </c>
      <c r="T313" s="11"/>
      <c r="U313" s="11">
        <v>181710</v>
      </c>
      <c r="V313" s="11">
        <v>262766</v>
      </c>
      <c r="W313" s="11">
        <v>293955</v>
      </c>
      <c r="X313" s="9">
        <v>73948</v>
      </c>
      <c r="Y313" s="9">
        <v>52653</v>
      </c>
      <c r="Z313" s="18">
        <v>7688</v>
      </c>
      <c r="AA313" s="18">
        <v>45605</v>
      </c>
      <c r="AB313" s="9">
        <v>107020</v>
      </c>
      <c r="AC313" s="9">
        <v>278528</v>
      </c>
      <c r="AD313" s="18">
        <v>0</v>
      </c>
      <c r="AE313" s="18">
        <v>7270</v>
      </c>
      <c r="AF313" s="18">
        <v>33687</v>
      </c>
      <c r="AG313" s="18">
        <v>150</v>
      </c>
      <c r="AH313" s="18"/>
      <c r="AI313" s="19">
        <v>1</v>
      </c>
      <c r="AJ313" s="18">
        <v>6877</v>
      </c>
      <c r="AK313" s="18">
        <v>2376</v>
      </c>
    </row>
    <row r="314" spans="1:37" ht="48.75" customHeight="1" thickBot="1" x14ac:dyDescent="0.3">
      <c r="A314" s="81"/>
      <c r="B314" s="13">
        <v>0.58333333286418598</v>
      </c>
      <c r="C314" s="14">
        <v>9403</v>
      </c>
      <c r="D314" s="14">
        <v>363722</v>
      </c>
      <c r="E314" s="14">
        <v>10965</v>
      </c>
      <c r="F314" s="14"/>
      <c r="G314" s="14"/>
      <c r="H314" s="14"/>
      <c r="I314" s="14"/>
      <c r="J314" s="14">
        <v>4239</v>
      </c>
      <c r="K314" s="14">
        <v>5201</v>
      </c>
      <c r="L314" s="14">
        <v>24766</v>
      </c>
      <c r="M314" s="14">
        <v>15215</v>
      </c>
      <c r="N314" s="14">
        <v>8710350</v>
      </c>
      <c r="O314" s="14">
        <v>288730</v>
      </c>
      <c r="P314" s="14"/>
      <c r="Q314" s="14"/>
      <c r="R314" s="15">
        <v>50911</v>
      </c>
      <c r="S314" s="14">
        <v>34543182</v>
      </c>
      <c r="T314" s="14"/>
      <c r="U314" s="14">
        <v>182228</v>
      </c>
      <c r="V314" s="14">
        <v>262927</v>
      </c>
      <c r="W314" s="14">
        <v>294049</v>
      </c>
      <c r="X314" s="21">
        <v>74452</v>
      </c>
      <c r="Y314" s="21">
        <v>52695</v>
      </c>
      <c r="Z314" s="18">
        <v>7688</v>
      </c>
      <c r="AA314" s="18">
        <v>45605</v>
      </c>
      <c r="AB314" s="21">
        <v>107172</v>
      </c>
      <c r="AC314" s="21">
        <v>278660</v>
      </c>
      <c r="AD314" s="18">
        <v>0</v>
      </c>
      <c r="AE314" s="18">
        <v>7270</v>
      </c>
      <c r="AF314" s="18">
        <v>33687</v>
      </c>
      <c r="AG314" s="18">
        <v>150</v>
      </c>
      <c r="AH314" s="18"/>
      <c r="AI314" s="19">
        <v>1</v>
      </c>
      <c r="AJ314" s="18">
        <v>6877</v>
      </c>
      <c r="AK314" s="18">
        <v>2376</v>
      </c>
    </row>
    <row r="315" spans="1:37" ht="48.75" customHeight="1" x14ac:dyDescent="0.25">
      <c r="A315" s="79">
        <v>46127</v>
      </c>
      <c r="B315" s="6">
        <v>0.91666666619710202</v>
      </c>
      <c r="C315" s="7">
        <v>9422</v>
      </c>
      <c r="D315" s="7">
        <v>363925</v>
      </c>
      <c r="E315" s="7">
        <v>10965</v>
      </c>
      <c r="F315" s="7"/>
      <c r="G315" s="7"/>
      <c r="H315" s="7"/>
      <c r="I315" s="7"/>
      <c r="J315" s="7">
        <v>4239</v>
      </c>
      <c r="K315" s="7">
        <v>5201</v>
      </c>
      <c r="L315" s="7">
        <v>24793</v>
      </c>
      <c r="M315" s="7">
        <v>15232</v>
      </c>
      <c r="N315" s="7">
        <v>9040687</v>
      </c>
      <c r="O315" s="7">
        <f>+O316-263</f>
        <v>289001</v>
      </c>
      <c r="P315" s="7"/>
      <c r="Q315" s="7"/>
      <c r="R315" s="8">
        <v>50942</v>
      </c>
      <c r="S315" s="7">
        <v>34608470</v>
      </c>
      <c r="T315" s="7"/>
      <c r="U315" s="7">
        <v>182552</v>
      </c>
      <c r="V315" s="7">
        <v>263127</v>
      </c>
      <c r="W315" s="7">
        <v>294313</v>
      </c>
      <c r="X315" s="18">
        <v>74889</v>
      </c>
      <c r="Y315" s="18">
        <v>52729</v>
      </c>
      <c r="Z315" s="18">
        <v>7737</v>
      </c>
      <c r="AA315" s="18">
        <v>45670</v>
      </c>
      <c r="AB315" s="18">
        <v>107269</v>
      </c>
      <c r="AC315" s="18">
        <v>278824</v>
      </c>
      <c r="AD315" s="18">
        <v>0</v>
      </c>
      <c r="AE315" s="18">
        <v>7276</v>
      </c>
      <c r="AF315" s="18">
        <v>33687</v>
      </c>
      <c r="AG315" s="18">
        <v>150</v>
      </c>
      <c r="AH315" s="18"/>
      <c r="AI315" s="19">
        <v>1</v>
      </c>
      <c r="AJ315" s="18">
        <v>6896</v>
      </c>
      <c r="AK315" s="18">
        <v>2376</v>
      </c>
    </row>
    <row r="316" spans="1:37" ht="48.75" customHeight="1" x14ac:dyDescent="0.25">
      <c r="A316" s="80"/>
      <c r="B316" s="10">
        <v>0.24999999953013199</v>
      </c>
      <c r="C316" s="11">
        <v>9433</v>
      </c>
      <c r="D316" s="11">
        <v>364099</v>
      </c>
      <c r="E316" s="11">
        <v>10966</v>
      </c>
      <c r="F316" s="11"/>
      <c r="G316" s="11"/>
      <c r="H316" s="11"/>
      <c r="I316" s="11"/>
      <c r="J316" s="11">
        <v>4240</v>
      </c>
      <c r="K316" s="11">
        <v>5002</v>
      </c>
      <c r="L316" s="11">
        <v>24818</v>
      </c>
      <c r="M316" s="11">
        <v>15244</v>
      </c>
      <c r="N316" s="11">
        <v>9374572</v>
      </c>
      <c r="O316" s="11">
        <v>289264</v>
      </c>
      <c r="P316" s="11"/>
      <c r="Q316" s="11"/>
      <c r="R316" s="12">
        <v>50966</v>
      </c>
      <c r="S316" s="11">
        <v>34678515</v>
      </c>
      <c r="T316" s="11"/>
      <c r="U316" s="11">
        <v>182903</v>
      </c>
      <c r="V316" s="11">
        <v>263302</v>
      </c>
      <c r="W316" s="11">
        <v>294559</v>
      </c>
      <c r="X316" s="9">
        <v>75229</v>
      </c>
      <c r="Y316" s="9">
        <v>52765</v>
      </c>
      <c r="Z316" s="9"/>
      <c r="AA316" s="9"/>
      <c r="AB316" s="9">
        <v>107305</v>
      </c>
      <c r="AC316" s="9">
        <v>278969</v>
      </c>
      <c r="AD316" s="9">
        <v>0</v>
      </c>
      <c r="AE316" s="9"/>
      <c r="AF316" s="9"/>
      <c r="AG316" s="9">
        <v>150</v>
      </c>
      <c r="AH316" s="9"/>
      <c r="AI316" s="20">
        <v>1</v>
      </c>
      <c r="AJ316" s="9"/>
      <c r="AK316" s="9">
        <v>2376</v>
      </c>
    </row>
    <row r="317" spans="1:37" ht="48.75" customHeight="1" thickBot="1" x14ac:dyDescent="0.3">
      <c r="A317" s="81"/>
      <c r="B317" s="13">
        <v>0.58333333286316202</v>
      </c>
      <c r="C317" s="14">
        <v>9443</v>
      </c>
      <c r="D317" s="14">
        <v>364303</v>
      </c>
      <c r="E317" s="14">
        <v>10966</v>
      </c>
      <c r="F317" s="14"/>
      <c r="G317" s="14"/>
      <c r="H317" s="14"/>
      <c r="I317" s="14"/>
      <c r="J317" s="14">
        <v>4241</v>
      </c>
      <c r="K317" s="14">
        <v>5201</v>
      </c>
      <c r="L317" s="14">
        <v>24841</v>
      </c>
      <c r="M317" s="14">
        <v>15257</v>
      </c>
      <c r="N317" s="14">
        <v>9733656</v>
      </c>
      <c r="O317" s="14">
        <v>289515</v>
      </c>
      <c r="P317" s="14"/>
      <c r="Q317" s="14"/>
      <c r="R317" s="15">
        <v>51014</v>
      </c>
      <c r="S317" s="14">
        <v>34761031</v>
      </c>
      <c r="T317" s="14"/>
      <c r="U317" s="14">
        <v>183329</v>
      </c>
      <c r="V317" s="14">
        <v>263472</v>
      </c>
      <c r="W317" s="14">
        <v>294775</v>
      </c>
      <c r="X317" s="21">
        <v>75568</v>
      </c>
      <c r="Y317" s="21">
        <v>52789</v>
      </c>
      <c r="Z317" s="21">
        <v>7737</v>
      </c>
      <c r="AA317" s="21">
        <v>45670</v>
      </c>
      <c r="AB317" s="21">
        <f>AVERAGE(AB318,AB316)</f>
        <v>107424.5</v>
      </c>
      <c r="AC317" s="21">
        <v>279111</v>
      </c>
      <c r="AD317" s="21">
        <v>0</v>
      </c>
      <c r="AE317" s="21">
        <v>7276</v>
      </c>
      <c r="AF317" s="21">
        <v>33687</v>
      </c>
      <c r="AG317" s="21">
        <v>150</v>
      </c>
      <c r="AH317" s="21"/>
      <c r="AI317" s="22">
        <v>1</v>
      </c>
      <c r="AJ317" s="21"/>
      <c r="AK317" s="21"/>
    </row>
    <row r="318" spans="1:37" ht="48.75" customHeight="1" x14ac:dyDescent="0.25">
      <c r="A318" s="79">
        <v>46128</v>
      </c>
      <c r="B318" s="6">
        <v>0.91666666619607895</v>
      </c>
      <c r="C318" s="7">
        <v>9459</v>
      </c>
      <c r="D318" s="7">
        <v>364545</v>
      </c>
      <c r="E318" s="7">
        <v>10967</v>
      </c>
      <c r="F318" s="7"/>
      <c r="G318" s="7"/>
      <c r="H318" s="7"/>
      <c r="I318" s="7"/>
      <c r="J318" s="7">
        <v>4241</v>
      </c>
      <c r="K318" s="7">
        <v>5202</v>
      </c>
      <c r="L318" s="7">
        <v>24865</v>
      </c>
      <c r="M318" s="7">
        <v>15268</v>
      </c>
      <c r="N318" s="7">
        <v>9984894</v>
      </c>
      <c r="O318" s="7">
        <v>289715</v>
      </c>
      <c r="P318" s="7"/>
      <c r="Q318" s="7"/>
      <c r="R318" s="8">
        <v>51036</v>
      </c>
      <c r="S318" s="7">
        <v>34834852</v>
      </c>
      <c r="T318" s="7"/>
      <c r="U318" s="7">
        <v>183773</v>
      </c>
      <c r="V318" s="7">
        <v>263616</v>
      </c>
      <c r="W318" s="7">
        <v>294937</v>
      </c>
      <c r="X318" s="18">
        <v>76288</v>
      </c>
      <c r="Y318" s="18">
        <v>52813</v>
      </c>
      <c r="Z318" s="18">
        <v>7785</v>
      </c>
      <c r="AA318" s="18">
        <v>45736</v>
      </c>
      <c r="AB318" s="18">
        <v>107544</v>
      </c>
      <c r="AC318" s="18">
        <v>279258</v>
      </c>
      <c r="AD318" s="18">
        <v>0</v>
      </c>
      <c r="AE318" s="18">
        <v>7280</v>
      </c>
      <c r="AF318" s="18">
        <v>33687</v>
      </c>
      <c r="AG318" s="18">
        <v>150</v>
      </c>
      <c r="AH318" s="18"/>
      <c r="AI318" s="19">
        <v>1</v>
      </c>
      <c r="AJ318" s="18">
        <v>6919</v>
      </c>
      <c r="AK318" s="18">
        <v>2376</v>
      </c>
    </row>
    <row r="319" spans="1:37" ht="48.75" customHeight="1" x14ac:dyDescent="0.25">
      <c r="A319" s="80"/>
      <c r="B319" s="10">
        <v>0.24999999952910901</v>
      </c>
      <c r="C319" s="11">
        <v>9497</v>
      </c>
      <c r="D319" s="11">
        <v>364797</v>
      </c>
      <c r="E319" s="11">
        <v>10966</v>
      </c>
      <c r="F319" s="11"/>
      <c r="G319" s="11"/>
      <c r="H319" s="11"/>
      <c r="I319" s="11"/>
      <c r="J319" s="11">
        <v>4242</v>
      </c>
      <c r="K319" s="11">
        <v>5202</v>
      </c>
      <c r="L319" s="11">
        <v>24890</v>
      </c>
      <c r="M319" s="11">
        <v>15278</v>
      </c>
      <c r="N319" s="11">
        <v>355583</v>
      </c>
      <c r="O319" s="11">
        <v>289997</v>
      </c>
      <c r="P319" s="11"/>
      <c r="Q319" s="11"/>
      <c r="R319" s="12">
        <v>51055</v>
      </c>
      <c r="S319" s="11">
        <v>34912277</v>
      </c>
      <c r="T319" s="11"/>
      <c r="U319" s="11">
        <v>184264</v>
      </c>
      <c r="V319" s="11">
        <v>263795</v>
      </c>
      <c r="W319" s="11">
        <v>295170</v>
      </c>
      <c r="X319" s="9">
        <v>77018</v>
      </c>
      <c r="Y319" s="9">
        <v>52856</v>
      </c>
      <c r="Z319" s="9">
        <v>7785</v>
      </c>
      <c r="AA319" s="9">
        <v>45736</v>
      </c>
      <c r="AB319" s="9">
        <v>107634</v>
      </c>
      <c r="AC319" s="9">
        <v>279408</v>
      </c>
      <c r="AD319" s="9">
        <v>0</v>
      </c>
      <c r="AE319" s="9">
        <v>7280</v>
      </c>
      <c r="AF319" s="9">
        <v>33687</v>
      </c>
      <c r="AG319" s="9">
        <v>150</v>
      </c>
      <c r="AH319" s="9"/>
      <c r="AI319" s="20">
        <v>1</v>
      </c>
      <c r="AJ319" s="9">
        <v>6919</v>
      </c>
      <c r="AK319" s="9">
        <v>2376</v>
      </c>
    </row>
    <row r="320" spans="1:37" ht="48.75" customHeight="1" thickBot="1" x14ac:dyDescent="0.3">
      <c r="A320" s="81"/>
      <c r="B320" s="13">
        <v>0.58333333286213895</v>
      </c>
      <c r="C320" s="14">
        <v>9523</v>
      </c>
      <c r="D320" s="14">
        <v>365015</v>
      </c>
      <c r="E320" s="14">
        <v>10969</v>
      </c>
      <c r="F320" s="14"/>
      <c r="G320" s="14"/>
      <c r="H320" s="14"/>
      <c r="I320" s="14"/>
      <c r="J320" s="14">
        <v>4243</v>
      </c>
      <c r="K320" s="14">
        <v>5202</v>
      </c>
      <c r="L320" s="14">
        <v>24911</v>
      </c>
      <c r="M320" s="14">
        <v>15288</v>
      </c>
      <c r="N320" s="14">
        <v>658034</v>
      </c>
      <c r="O320" s="14">
        <v>290255</v>
      </c>
      <c r="P320" s="14"/>
      <c r="Q320" s="14"/>
      <c r="R320" s="15">
        <v>51094</v>
      </c>
      <c r="S320" s="14">
        <v>34975688</v>
      </c>
      <c r="T320" s="14"/>
      <c r="U320" s="14">
        <v>184670</v>
      </c>
      <c r="V320" s="14">
        <v>263949</v>
      </c>
      <c r="W320" s="14">
        <v>295328</v>
      </c>
      <c r="X320" s="21">
        <v>77821</v>
      </c>
      <c r="Y320" s="21">
        <v>52901</v>
      </c>
      <c r="Z320" s="21">
        <v>7785</v>
      </c>
      <c r="AA320" s="21">
        <v>45736</v>
      </c>
      <c r="AB320" s="21">
        <v>107792</v>
      </c>
      <c r="AC320" s="21">
        <v>279539</v>
      </c>
      <c r="AD320" s="21">
        <v>0</v>
      </c>
      <c r="AE320" s="21">
        <v>7280</v>
      </c>
      <c r="AF320" s="21">
        <v>33687</v>
      </c>
      <c r="AG320" s="21">
        <v>150</v>
      </c>
      <c r="AH320" s="21"/>
      <c r="AI320" s="22">
        <v>1</v>
      </c>
      <c r="AJ320" s="21">
        <v>6919</v>
      </c>
      <c r="AK320" s="21">
        <v>2376</v>
      </c>
    </row>
    <row r="321" spans="1:37" ht="48.75" customHeight="1" x14ac:dyDescent="0.25">
      <c r="A321" s="79">
        <v>46129</v>
      </c>
      <c r="B321" s="6">
        <v>0.91666666619516901</v>
      </c>
      <c r="C321" s="7">
        <v>9536</v>
      </c>
      <c r="D321" s="7">
        <v>365283</v>
      </c>
      <c r="E321" s="7">
        <v>10970</v>
      </c>
      <c r="F321" s="7"/>
      <c r="G321" s="7"/>
      <c r="H321" s="7"/>
      <c r="I321" s="7"/>
      <c r="J321" s="7">
        <v>4243</v>
      </c>
      <c r="K321" s="7">
        <v>5202</v>
      </c>
      <c r="L321" s="7">
        <v>24937</v>
      </c>
      <c r="M321" s="7">
        <v>15298</v>
      </c>
      <c r="N321" s="7">
        <v>973159</v>
      </c>
      <c r="O321" s="7">
        <v>290495</v>
      </c>
      <c r="P321" s="7"/>
      <c r="Q321" s="7"/>
      <c r="R321" s="8">
        <v>51114</v>
      </c>
      <c r="S321" s="7">
        <v>35047020</v>
      </c>
      <c r="T321" s="7"/>
      <c r="U321" s="7">
        <v>185198</v>
      </c>
      <c r="V321" s="7">
        <v>264141</v>
      </c>
      <c r="W321" s="7">
        <v>295524</v>
      </c>
      <c r="X321" s="18">
        <f>AVERAGE(X322,X320)</f>
        <v>78681</v>
      </c>
      <c r="Y321" s="18">
        <v>52942</v>
      </c>
      <c r="Z321" s="18">
        <v>7812</v>
      </c>
      <c r="AA321" s="18">
        <v>45784</v>
      </c>
      <c r="AB321" s="18">
        <v>107798</v>
      </c>
      <c r="AC321" s="18">
        <v>279693</v>
      </c>
      <c r="AD321" s="18">
        <v>0</v>
      </c>
      <c r="AE321" s="18">
        <v>7283</v>
      </c>
      <c r="AF321" s="18">
        <v>33687</v>
      </c>
      <c r="AG321" s="18">
        <v>150</v>
      </c>
      <c r="AH321" s="18"/>
      <c r="AI321" s="19">
        <v>1</v>
      </c>
      <c r="AJ321" s="18">
        <v>6923</v>
      </c>
      <c r="AK321" s="18">
        <v>2376</v>
      </c>
    </row>
    <row r="322" spans="1:37" ht="48.75" customHeight="1" x14ac:dyDescent="0.25">
      <c r="A322" s="80"/>
      <c r="B322" s="10">
        <v>0.24999999952808599</v>
      </c>
      <c r="C322" s="11">
        <v>9573</v>
      </c>
      <c r="D322" s="11">
        <v>365580</v>
      </c>
      <c r="E322" s="11">
        <v>10972</v>
      </c>
      <c r="F322" s="11"/>
      <c r="G322" s="11"/>
      <c r="H322" s="11"/>
      <c r="I322" s="11"/>
      <c r="J322" s="11">
        <v>4246</v>
      </c>
      <c r="K322" s="11">
        <v>5202</v>
      </c>
      <c r="L322" s="11">
        <v>24962</v>
      </c>
      <c r="M322" s="11">
        <v>15308</v>
      </c>
      <c r="N322" s="11">
        <v>1240579</v>
      </c>
      <c r="O322" s="11">
        <v>290631</v>
      </c>
      <c r="P322" s="11"/>
      <c r="Q322" s="11"/>
      <c r="R322" s="12">
        <v>51135</v>
      </c>
      <c r="S322" s="11">
        <v>35102243</v>
      </c>
      <c r="T322" s="11"/>
      <c r="U322" s="11">
        <v>185714</v>
      </c>
      <c r="V322" s="11">
        <v>264317</v>
      </c>
      <c r="W322" s="11">
        <v>295626</v>
      </c>
      <c r="X322" s="9">
        <v>79541</v>
      </c>
      <c r="Y322" s="9">
        <v>52980</v>
      </c>
      <c r="Z322" s="9">
        <v>7812</v>
      </c>
      <c r="AA322" s="9">
        <v>45784</v>
      </c>
      <c r="AB322" s="9">
        <v>108027</v>
      </c>
      <c r="AC322" s="9">
        <v>279885</v>
      </c>
      <c r="AD322" s="9">
        <v>0</v>
      </c>
      <c r="AE322" s="9">
        <v>7283</v>
      </c>
      <c r="AF322" s="9">
        <v>33687</v>
      </c>
      <c r="AG322" s="9">
        <v>150</v>
      </c>
      <c r="AH322" s="9"/>
      <c r="AI322" s="20">
        <v>1</v>
      </c>
      <c r="AJ322" s="9">
        <v>6923</v>
      </c>
      <c r="AK322" s="9">
        <v>2376</v>
      </c>
    </row>
    <row r="323" spans="1:37" ht="48.75" customHeight="1" thickBot="1" x14ac:dyDescent="0.3">
      <c r="A323" s="81"/>
      <c r="B323" s="13">
        <v>0.58333333286111599</v>
      </c>
      <c r="C323" s="14">
        <v>9614</v>
      </c>
      <c r="D323" s="14">
        <v>365864</v>
      </c>
      <c r="E323" s="14">
        <v>10973</v>
      </c>
      <c r="F323" s="14"/>
      <c r="G323" s="14"/>
      <c r="H323" s="14"/>
      <c r="I323" s="14"/>
      <c r="J323" s="14">
        <v>4247</v>
      </c>
      <c r="K323" s="14">
        <v>5202</v>
      </c>
      <c r="L323" s="14">
        <v>24985</v>
      </c>
      <c r="M323" s="14">
        <v>15320</v>
      </c>
      <c r="N323" s="14">
        <v>1417266</v>
      </c>
      <c r="O323" s="14">
        <v>290753</v>
      </c>
      <c r="P323" s="14"/>
      <c r="Q323" s="14"/>
      <c r="R323" s="15">
        <v>51166</v>
      </c>
      <c r="S323" s="14">
        <v>35174682</v>
      </c>
      <c r="T323" s="14"/>
      <c r="U323" s="14">
        <v>186137</v>
      </c>
      <c r="V323" s="14">
        <v>264489</v>
      </c>
      <c r="W323" s="14">
        <v>295742</v>
      </c>
      <c r="X323" s="21">
        <v>80338</v>
      </c>
      <c r="Y323" s="21">
        <v>53004</v>
      </c>
      <c r="Z323" s="21">
        <v>7812</v>
      </c>
      <c r="AA323" s="21">
        <v>45784</v>
      </c>
      <c r="AB323" s="21">
        <v>108247</v>
      </c>
      <c r="AC323" s="21">
        <v>280000</v>
      </c>
      <c r="AD323" s="21">
        <v>0</v>
      </c>
      <c r="AE323" s="21">
        <v>7283</v>
      </c>
      <c r="AF323" s="21">
        <v>33687</v>
      </c>
      <c r="AG323" s="21">
        <v>150</v>
      </c>
      <c r="AH323" s="21"/>
      <c r="AI323" s="22">
        <v>1</v>
      </c>
      <c r="AJ323" s="21">
        <v>6923</v>
      </c>
      <c r="AK323" s="21">
        <v>2376</v>
      </c>
    </row>
    <row r="324" spans="1:37" ht="48.75" customHeight="1" x14ac:dyDescent="0.25">
      <c r="A324" s="79">
        <v>46130</v>
      </c>
      <c r="B324" s="6">
        <v>0.91666666619414605</v>
      </c>
      <c r="C324" s="7">
        <v>9644</v>
      </c>
      <c r="D324" s="7">
        <v>366103</v>
      </c>
      <c r="E324" s="7">
        <v>10974</v>
      </c>
      <c r="F324" s="7"/>
      <c r="G324" s="7"/>
      <c r="H324" s="7"/>
      <c r="I324" s="7"/>
      <c r="J324" s="7">
        <v>4248</v>
      </c>
      <c r="K324" s="7">
        <v>5202</v>
      </c>
      <c r="L324" s="7">
        <v>25008</v>
      </c>
      <c r="M324" s="7">
        <v>15320</v>
      </c>
      <c r="N324" s="7">
        <v>1728524</v>
      </c>
      <c r="O324" s="7">
        <v>290989</v>
      </c>
      <c r="P324" s="7"/>
      <c r="Q324" s="7"/>
      <c r="R324" s="8">
        <v>51229</v>
      </c>
      <c r="S324" s="7">
        <v>35224979</v>
      </c>
      <c r="T324" s="7"/>
      <c r="U324" s="7">
        <v>186559</v>
      </c>
      <c r="V324" s="7">
        <v>264671</v>
      </c>
      <c r="W324" s="7">
        <v>295924</v>
      </c>
      <c r="X324" s="18">
        <v>81218</v>
      </c>
      <c r="Y324" s="18">
        <v>53031</v>
      </c>
      <c r="Z324" s="18">
        <v>7882</v>
      </c>
      <c r="AA324" s="18">
        <v>45854</v>
      </c>
      <c r="AB324" s="18">
        <v>108441</v>
      </c>
      <c r="AC324" s="18">
        <v>280073</v>
      </c>
      <c r="AD324" s="18">
        <v>0</v>
      </c>
      <c r="AE324" s="18">
        <v>7287</v>
      </c>
      <c r="AF324" s="18">
        <v>33687</v>
      </c>
      <c r="AG324" s="18">
        <v>150</v>
      </c>
      <c r="AH324" s="18"/>
      <c r="AI324" s="19">
        <v>1</v>
      </c>
      <c r="AJ324" s="18">
        <v>6961</v>
      </c>
      <c r="AK324" s="18">
        <v>2376</v>
      </c>
    </row>
    <row r="325" spans="1:37" ht="48.75" customHeight="1" x14ac:dyDescent="0.25">
      <c r="A325" s="80"/>
      <c r="B325" s="10">
        <v>0.249999999527176</v>
      </c>
      <c r="C325" s="11">
        <v>9667</v>
      </c>
      <c r="D325" s="11">
        <v>366331</v>
      </c>
      <c r="E325" s="11">
        <v>10978</v>
      </c>
      <c r="F325" s="11"/>
      <c r="G325" s="11"/>
      <c r="H325" s="11"/>
      <c r="I325" s="11"/>
      <c r="J325" s="11">
        <v>4248</v>
      </c>
      <c r="K325" s="11">
        <v>5206</v>
      </c>
      <c r="L325" s="11">
        <v>25034</v>
      </c>
      <c r="M325" s="11">
        <v>15330</v>
      </c>
      <c r="N325" s="11">
        <v>2031474</v>
      </c>
      <c r="O325" s="11">
        <v>291216</v>
      </c>
      <c r="P325" s="11"/>
      <c r="Q325" s="11"/>
      <c r="R325" s="12">
        <v>51273</v>
      </c>
      <c r="S325" s="11">
        <v>35291160</v>
      </c>
      <c r="T325" s="11"/>
      <c r="U325" s="11">
        <v>186996</v>
      </c>
      <c r="V325" s="11">
        <v>264816</v>
      </c>
      <c r="W325" s="11">
        <v>296072</v>
      </c>
      <c r="X325" s="9">
        <v>82015</v>
      </c>
      <c r="Y325" s="9">
        <v>53048</v>
      </c>
      <c r="Z325" s="9">
        <v>7882</v>
      </c>
      <c r="AA325" s="9">
        <v>45854</v>
      </c>
      <c r="AB325" s="9">
        <v>108621</v>
      </c>
      <c r="AC325" s="9">
        <v>280182</v>
      </c>
      <c r="AD325" s="9">
        <v>0</v>
      </c>
      <c r="AE325" s="9">
        <v>7287</v>
      </c>
      <c r="AF325" s="9">
        <v>33687</v>
      </c>
      <c r="AG325" s="9">
        <v>150</v>
      </c>
      <c r="AH325" s="9"/>
      <c r="AI325" s="20">
        <v>1</v>
      </c>
      <c r="AJ325" s="9">
        <v>6961</v>
      </c>
      <c r="AK325" s="9">
        <v>2376</v>
      </c>
    </row>
    <row r="326" spans="1:37" ht="48.75" customHeight="1" thickBot="1" x14ac:dyDescent="0.3">
      <c r="A326" s="81"/>
      <c r="B326" s="13">
        <v>0.58333333286009303</v>
      </c>
      <c r="C326" s="14">
        <v>9696</v>
      </c>
      <c r="D326" s="14">
        <v>366531</v>
      </c>
      <c r="E326" s="14">
        <v>10978</v>
      </c>
      <c r="F326" s="14"/>
      <c r="G326" s="14"/>
      <c r="H326" s="14"/>
      <c r="I326" s="14"/>
      <c r="J326" s="14">
        <v>4249</v>
      </c>
      <c r="K326" s="14">
        <v>5208</v>
      </c>
      <c r="L326" s="14">
        <v>25054</v>
      </c>
      <c r="M326" s="14">
        <v>15342</v>
      </c>
      <c r="N326" s="14">
        <v>2187874</v>
      </c>
      <c r="O326" s="14">
        <v>291333</v>
      </c>
      <c r="P326" s="14"/>
      <c r="Q326" s="14"/>
      <c r="R326" s="15">
        <v>51312</v>
      </c>
      <c r="S326" s="14">
        <v>35344114</v>
      </c>
      <c r="T326" s="14"/>
      <c r="U326" s="14">
        <f>AVERAGE(U327,U325)</f>
        <v>187396.5</v>
      </c>
      <c r="V326" s="14">
        <f t="shared" ref="V326:W326" si="0">AVERAGE(V327,V325)</f>
        <v>264943</v>
      </c>
      <c r="W326" s="14">
        <f t="shared" si="0"/>
        <v>296200.5</v>
      </c>
      <c r="X326" s="21">
        <v>82853</v>
      </c>
      <c r="Y326" s="21">
        <v>53073</v>
      </c>
      <c r="Z326" s="21">
        <v>7882</v>
      </c>
      <c r="AA326" s="21">
        <v>45854</v>
      </c>
      <c r="AB326" s="14">
        <f t="shared" ref="AB326" si="1">AVERAGE(AB327,AB325)</f>
        <v>108848</v>
      </c>
      <c r="AC326" s="14">
        <f t="shared" ref="AC326" si="2">AVERAGE(AC327,AC325)</f>
        <v>280301.5</v>
      </c>
      <c r="AD326" s="21">
        <v>0</v>
      </c>
      <c r="AE326" s="21">
        <v>7287</v>
      </c>
      <c r="AF326" s="21">
        <v>33687</v>
      </c>
      <c r="AG326" s="21">
        <v>150</v>
      </c>
      <c r="AH326" s="21"/>
      <c r="AI326" s="22">
        <v>1</v>
      </c>
      <c r="AJ326" s="21">
        <v>6961</v>
      </c>
      <c r="AK326" s="21">
        <v>2376</v>
      </c>
    </row>
    <row r="327" spans="1:37" ht="48.75" customHeight="1" x14ac:dyDescent="0.25">
      <c r="A327" s="79">
        <v>46131</v>
      </c>
      <c r="B327" s="6">
        <v>0.91666666619312298</v>
      </c>
      <c r="C327" s="11">
        <v>9734</v>
      </c>
      <c r="D327" s="11">
        <v>366675</v>
      </c>
      <c r="E327" s="11">
        <v>10978</v>
      </c>
      <c r="F327" s="11"/>
      <c r="G327" s="11"/>
      <c r="H327" s="11"/>
      <c r="I327" s="11"/>
      <c r="J327" s="11">
        <v>4252</v>
      </c>
      <c r="K327" s="11">
        <v>5217</v>
      </c>
      <c r="L327" s="11">
        <v>25094</v>
      </c>
      <c r="M327" s="11">
        <v>15363</v>
      </c>
      <c r="N327" s="11">
        <v>2416733</v>
      </c>
      <c r="O327" s="11">
        <v>291504</v>
      </c>
      <c r="P327" s="11"/>
      <c r="Q327" s="11"/>
      <c r="R327" s="12">
        <v>51384</v>
      </c>
      <c r="S327" s="11">
        <v>35388312</v>
      </c>
      <c r="T327" s="11"/>
      <c r="U327" s="11">
        <v>187797</v>
      </c>
      <c r="V327" s="11">
        <v>265070</v>
      </c>
      <c r="W327" s="11">
        <v>296329</v>
      </c>
      <c r="X327" s="18">
        <v>86635</v>
      </c>
      <c r="Y327" s="18">
        <v>53091</v>
      </c>
      <c r="Z327" s="18">
        <v>7297</v>
      </c>
      <c r="AA327" s="18">
        <v>45934</v>
      </c>
      <c r="AB327" s="18">
        <v>109075</v>
      </c>
      <c r="AC327" s="18">
        <v>280421</v>
      </c>
      <c r="AD327" s="18">
        <v>0</v>
      </c>
      <c r="AE327" s="18">
        <v>7290</v>
      </c>
      <c r="AF327" s="18">
        <v>33687</v>
      </c>
      <c r="AG327" s="18">
        <v>150</v>
      </c>
      <c r="AH327" s="18"/>
      <c r="AI327" s="19">
        <v>1</v>
      </c>
      <c r="AJ327" s="18">
        <v>6980</v>
      </c>
      <c r="AK327" s="18">
        <v>2376</v>
      </c>
    </row>
    <row r="328" spans="1:37" ht="48.75" customHeight="1" x14ac:dyDescent="0.25">
      <c r="A328" s="80"/>
      <c r="B328" s="10">
        <v>0.24999999952615301</v>
      </c>
      <c r="C328" s="11">
        <v>9734</v>
      </c>
      <c r="D328" s="11">
        <v>366675</v>
      </c>
      <c r="E328" s="11">
        <v>10978</v>
      </c>
      <c r="F328" s="11"/>
      <c r="G328" s="11"/>
      <c r="H328" s="11"/>
      <c r="I328" s="11"/>
      <c r="J328" s="11">
        <v>4252</v>
      </c>
      <c r="K328" s="11">
        <v>5217</v>
      </c>
      <c r="L328" s="11">
        <v>25094</v>
      </c>
      <c r="M328" s="11">
        <v>15363</v>
      </c>
      <c r="N328" s="11">
        <v>2416733</v>
      </c>
      <c r="O328" s="11">
        <v>291504</v>
      </c>
      <c r="P328" s="11"/>
      <c r="Q328" s="11"/>
      <c r="R328" s="12">
        <v>51384</v>
      </c>
      <c r="S328" s="11">
        <v>35388312</v>
      </c>
      <c r="T328" s="11"/>
      <c r="U328" s="11">
        <v>187797</v>
      </c>
      <c r="V328" s="11">
        <v>265070</v>
      </c>
      <c r="W328" s="11">
        <v>296329</v>
      </c>
      <c r="X328" s="9">
        <v>86635</v>
      </c>
      <c r="Y328" s="9">
        <v>53091</v>
      </c>
      <c r="Z328" s="9">
        <v>7297</v>
      </c>
      <c r="AA328" s="9">
        <v>45934</v>
      </c>
      <c r="AB328" s="9">
        <v>109075</v>
      </c>
      <c r="AC328" s="9">
        <v>280421</v>
      </c>
      <c r="AD328" s="9"/>
      <c r="AE328" s="9"/>
      <c r="AF328" s="9"/>
      <c r="AG328" s="9"/>
      <c r="AH328" s="9"/>
      <c r="AI328" s="20"/>
      <c r="AJ328" s="9"/>
      <c r="AK328" s="9"/>
    </row>
    <row r="329" spans="1:37" ht="48.75" customHeight="1" thickBot="1" x14ac:dyDescent="0.3">
      <c r="A329" s="81"/>
      <c r="B329" s="13">
        <v>0.58333333285918298</v>
      </c>
      <c r="C329" s="14">
        <v>9734</v>
      </c>
      <c r="D329" s="14">
        <v>366675</v>
      </c>
      <c r="E329" s="14">
        <v>10978</v>
      </c>
      <c r="F329" s="14"/>
      <c r="G329" s="14"/>
      <c r="H329" s="14"/>
      <c r="I329" s="14"/>
      <c r="J329" s="14">
        <v>4252</v>
      </c>
      <c r="K329" s="14">
        <v>5217</v>
      </c>
      <c r="L329" s="14">
        <v>25094</v>
      </c>
      <c r="M329" s="14">
        <v>15363</v>
      </c>
      <c r="N329" s="14">
        <v>2416733</v>
      </c>
      <c r="O329" s="14">
        <v>291504</v>
      </c>
      <c r="P329" s="14"/>
      <c r="Q329" s="14"/>
      <c r="R329" s="15">
        <v>51384</v>
      </c>
      <c r="S329" s="14">
        <v>35388312</v>
      </c>
      <c r="T329" s="14"/>
      <c r="U329" s="14">
        <v>187797</v>
      </c>
      <c r="V329" s="14">
        <v>265070</v>
      </c>
      <c r="W329" s="14">
        <v>296329</v>
      </c>
      <c r="X329" s="21">
        <v>86635</v>
      </c>
      <c r="Y329" s="21">
        <v>53091</v>
      </c>
      <c r="Z329" s="21">
        <v>7297</v>
      </c>
      <c r="AA329" s="21">
        <v>45934</v>
      </c>
      <c r="AB329" s="21">
        <v>109075</v>
      </c>
      <c r="AC329" s="21">
        <v>280421</v>
      </c>
      <c r="AD329" s="21"/>
      <c r="AE329" s="21"/>
      <c r="AF329" s="21"/>
      <c r="AG329" s="21"/>
      <c r="AH329" s="21"/>
      <c r="AI329" s="22"/>
      <c r="AJ329" s="21"/>
      <c r="AK329" s="21"/>
    </row>
    <row r="330" spans="1:37" ht="48.75" customHeight="1" x14ac:dyDescent="0.25">
      <c r="A330" s="79">
        <v>46132</v>
      </c>
      <c r="B330" s="6">
        <v>0.91666666619210002</v>
      </c>
      <c r="C330" s="7">
        <v>9734</v>
      </c>
      <c r="D330" s="7">
        <v>366675</v>
      </c>
      <c r="E330" s="7">
        <v>10978</v>
      </c>
      <c r="F330" s="7"/>
      <c r="G330" s="7"/>
      <c r="H330" s="7"/>
      <c r="I330" s="7"/>
      <c r="J330" s="7">
        <v>4252</v>
      </c>
      <c r="K330" s="7">
        <v>5217</v>
      </c>
      <c r="L330" s="7">
        <v>25094</v>
      </c>
      <c r="M330" s="7">
        <v>15363</v>
      </c>
      <c r="N330" s="7">
        <v>2416733</v>
      </c>
      <c r="O330" s="7">
        <v>291504</v>
      </c>
      <c r="P330" s="7"/>
      <c r="Q330" s="7"/>
      <c r="R330" s="8">
        <v>51384</v>
      </c>
      <c r="S330" s="7">
        <v>35388312</v>
      </c>
      <c r="T330" s="7"/>
      <c r="U330" s="7">
        <v>187797</v>
      </c>
      <c r="V330" s="7">
        <v>265070</v>
      </c>
      <c r="W330" s="7">
        <v>296329</v>
      </c>
      <c r="X330" s="18">
        <v>86635</v>
      </c>
      <c r="Y330" s="18">
        <v>53091</v>
      </c>
      <c r="Z330" s="18">
        <v>7297</v>
      </c>
      <c r="AA330" s="18">
        <v>45934</v>
      </c>
      <c r="AB330" s="18">
        <v>109075</v>
      </c>
      <c r="AC330" s="18">
        <v>280421</v>
      </c>
      <c r="AD330" s="18">
        <v>0</v>
      </c>
      <c r="AE330" s="18">
        <v>7297</v>
      </c>
      <c r="AF330" s="18">
        <v>33687</v>
      </c>
      <c r="AG330" s="18">
        <v>150</v>
      </c>
      <c r="AH330" s="18"/>
      <c r="AI330" s="19">
        <v>1</v>
      </c>
      <c r="AJ330" s="18">
        <v>6986</v>
      </c>
      <c r="AK330" s="18">
        <v>2376</v>
      </c>
    </row>
    <row r="331" spans="1:37" ht="48.75" customHeight="1" x14ac:dyDescent="0.25">
      <c r="A331" s="80"/>
      <c r="B331" s="10">
        <v>0.24999999952513</v>
      </c>
      <c r="C331" s="11">
        <v>9756</v>
      </c>
      <c r="D331" s="11">
        <v>366931</v>
      </c>
      <c r="E331" s="11">
        <v>10979</v>
      </c>
      <c r="F331" s="11"/>
      <c r="G331" s="11"/>
      <c r="H331" s="11"/>
      <c r="I331" s="11"/>
      <c r="J331" s="11">
        <v>4252</v>
      </c>
      <c r="K331" s="11">
        <v>5223</v>
      </c>
      <c r="L331" s="11">
        <v>25122</v>
      </c>
      <c r="M331" s="11">
        <v>15371</v>
      </c>
      <c r="N331" s="11">
        <v>2629196</v>
      </c>
      <c r="O331" s="11">
        <v>291663</v>
      </c>
      <c r="P331" s="11"/>
      <c r="Q331" s="11"/>
      <c r="R331" s="12">
        <v>51443</v>
      </c>
      <c r="S331" s="11">
        <v>35438047</v>
      </c>
      <c r="T331" s="11"/>
      <c r="U331" s="11">
        <v>188195</v>
      </c>
      <c r="V331" s="11">
        <v>265234</v>
      </c>
      <c r="W331" s="11">
        <v>296520</v>
      </c>
      <c r="X331" s="9">
        <v>86635</v>
      </c>
      <c r="Y331" s="9">
        <v>53091</v>
      </c>
      <c r="Z331" s="9">
        <v>7297</v>
      </c>
      <c r="AA331" s="9">
        <v>45934</v>
      </c>
      <c r="AB331" s="9">
        <v>109219</v>
      </c>
      <c r="AC331" s="9">
        <v>280564</v>
      </c>
      <c r="AD331" s="9">
        <v>0</v>
      </c>
      <c r="AE331" s="9">
        <v>7297</v>
      </c>
      <c r="AF331" s="9">
        <v>33687</v>
      </c>
      <c r="AG331" s="9">
        <v>150</v>
      </c>
      <c r="AH331" s="9"/>
      <c r="AI331" s="20">
        <v>1</v>
      </c>
      <c r="AJ331" s="9">
        <v>6986</v>
      </c>
      <c r="AK331" s="9">
        <v>2376</v>
      </c>
    </row>
    <row r="332" spans="1:37" ht="48.75" customHeight="1" thickBot="1" x14ac:dyDescent="0.3">
      <c r="A332" s="81"/>
      <c r="B332" s="13">
        <v>0.58333333285816003</v>
      </c>
      <c r="C332" s="14">
        <v>9785</v>
      </c>
      <c r="D332" s="14">
        <v>367195</v>
      </c>
      <c r="E332" s="14">
        <v>10981</v>
      </c>
      <c r="F332" s="14"/>
      <c r="G332" s="14"/>
      <c r="H332" s="14"/>
      <c r="I332" s="14"/>
      <c r="J332" s="14">
        <v>4253</v>
      </c>
      <c r="K332" s="14">
        <v>5225</v>
      </c>
      <c r="L332" s="14">
        <v>25144</v>
      </c>
      <c r="M332" s="14">
        <v>15383</v>
      </c>
      <c r="N332" s="14">
        <v>2950878</v>
      </c>
      <c r="O332" s="14">
        <v>291884</v>
      </c>
      <c r="P332" s="14"/>
      <c r="Q332" s="14"/>
      <c r="R332" s="15">
        <v>51488</v>
      </c>
      <c r="S332" s="25">
        <v>35475434</v>
      </c>
      <c r="T332" s="14"/>
      <c r="U332" s="14">
        <v>188685</v>
      </c>
      <c r="V332" s="14">
        <v>265370</v>
      </c>
      <c r="W332" s="14">
        <v>296699</v>
      </c>
      <c r="X332" s="21">
        <v>83517</v>
      </c>
      <c r="Y332" s="21">
        <v>53091</v>
      </c>
      <c r="Z332" s="21">
        <v>7297</v>
      </c>
      <c r="AA332" s="21">
        <v>45934</v>
      </c>
      <c r="AB332" s="21">
        <v>109411</v>
      </c>
      <c r="AC332" s="21">
        <v>280655</v>
      </c>
      <c r="AD332" s="21">
        <v>0</v>
      </c>
      <c r="AE332" s="21">
        <v>7297</v>
      </c>
      <c r="AF332" s="21">
        <v>33687</v>
      </c>
      <c r="AG332" s="21">
        <v>150</v>
      </c>
      <c r="AH332" s="21"/>
      <c r="AI332" s="22">
        <v>1</v>
      </c>
      <c r="AJ332" s="21">
        <v>6986</v>
      </c>
      <c r="AK332" s="21">
        <v>2376</v>
      </c>
    </row>
    <row r="333" spans="1:37" ht="48.75" customHeight="1" thickBot="1" x14ac:dyDescent="0.3">
      <c r="A333" s="79">
        <v>46133</v>
      </c>
      <c r="B333" s="6">
        <v>0.91666666619118997</v>
      </c>
      <c r="C333" s="7">
        <v>9818</v>
      </c>
      <c r="D333" s="7">
        <v>367495</v>
      </c>
      <c r="E333" s="7">
        <v>10983</v>
      </c>
      <c r="F333" s="7"/>
      <c r="G333" s="7"/>
      <c r="H333" s="7"/>
      <c r="I333" s="7"/>
      <c r="J333" s="7">
        <v>4254</v>
      </c>
      <c r="K333" s="7">
        <v>5225</v>
      </c>
      <c r="L333" s="7">
        <v>25166</v>
      </c>
      <c r="M333" s="7">
        <v>15383</v>
      </c>
      <c r="N333" s="7">
        <v>3246080</v>
      </c>
      <c r="O333" s="7">
        <v>292049</v>
      </c>
      <c r="P333" s="7"/>
      <c r="Q333" s="7"/>
      <c r="R333" s="8">
        <v>51520</v>
      </c>
      <c r="S333" s="7">
        <v>35518763</v>
      </c>
      <c r="T333" s="7"/>
      <c r="U333" s="7">
        <v>189222</v>
      </c>
      <c r="V333" s="7">
        <v>265461</v>
      </c>
      <c r="W333" s="7">
        <v>296872</v>
      </c>
      <c r="X333" s="18">
        <v>84288</v>
      </c>
      <c r="Y333" s="18">
        <v>53120</v>
      </c>
      <c r="Z333" s="18">
        <v>8001</v>
      </c>
      <c r="AA333" s="18">
        <v>46003</v>
      </c>
      <c r="AB333" s="18">
        <v>109607</v>
      </c>
      <c r="AC333" s="18">
        <v>280796</v>
      </c>
      <c r="AD333" s="18">
        <v>0</v>
      </c>
      <c r="AE333" s="18">
        <v>7302</v>
      </c>
      <c r="AF333" s="18">
        <v>33687</v>
      </c>
      <c r="AG333" s="18">
        <v>150</v>
      </c>
      <c r="AH333" s="18"/>
      <c r="AI333" s="19">
        <v>1</v>
      </c>
      <c r="AJ333" s="18">
        <v>7002</v>
      </c>
      <c r="AK333" s="18">
        <v>2376</v>
      </c>
    </row>
    <row r="334" spans="1:37" ht="48.75" customHeight="1" thickBot="1" x14ac:dyDescent="0.3">
      <c r="A334" s="80"/>
      <c r="B334" s="10">
        <v>0.24999999952410701</v>
      </c>
      <c r="C334" s="11">
        <v>9862</v>
      </c>
      <c r="D334" s="11">
        <v>367713</v>
      </c>
      <c r="E334" s="11">
        <v>10984</v>
      </c>
      <c r="F334" s="11"/>
      <c r="G334" s="11"/>
      <c r="H334" s="11"/>
      <c r="I334" s="11"/>
      <c r="J334" s="11">
        <v>4255</v>
      </c>
      <c r="K334" s="11">
        <v>5225</v>
      </c>
      <c r="L334" s="11">
        <v>25190</v>
      </c>
      <c r="M334" s="11">
        <v>15398</v>
      </c>
      <c r="N334" s="11">
        <v>3541224</v>
      </c>
      <c r="O334" s="11">
        <v>292279</v>
      </c>
      <c r="P334" s="11"/>
      <c r="Q334" s="11"/>
      <c r="R334" s="12">
        <v>51563</v>
      </c>
      <c r="S334" s="11">
        <v>35626790</v>
      </c>
      <c r="T334" s="11"/>
      <c r="U334" s="11">
        <v>189597</v>
      </c>
      <c r="V334" s="11">
        <v>265675</v>
      </c>
      <c r="W334" s="11">
        <v>297096</v>
      </c>
      <c r="X334" s="9">
        <v>87494</v>
      </c>
      <c r="Y334" s="9">
        <v>53140</v>
      </c>
      <c r="Z334" s="18">
        <v>8001</v>
      </c>
      <c r="AA334" s="18">
        <v>46003</v>
      </c>
      <c r="AB334" s="9">
        <v>109835</v>
      </c>
      <c r="AC334" s="9">
        <v>280916</v>
      </c>
      <c r="AD334" s="9">
        <v>0</v>
      </c>
      <c r="AE334" s="18">
        <v>7302</v>
      </c>
      <c r="AF334" s="18">
        <v>33687</v>
      </c>
      <c r="AG334" s="18">
        <v>150</v>
      </c>
      <c r="AH334" s="18"/>
      <c r="AI334" s="19">
        <v>1</v>
      </c>
      <c r="AJ334" s="18">
        <v>7002</v>
      </c>
      <c r="AK334" s="18">
        <v>2376</v>
      </c>
    </row>
    <row r="335" spans="1:37" ht="48.75" customHeight="1" thickBot="1" x14ac:dyDescent="0.3">
      <c r="A335" s="81"/>
      <c r="B335" s="13">
        <v>0.58333333285713695</v>
      </c>
      <c r="C335" s="14">
        <v>9891</v>
      </c>
      <c r="D335" s="14">
        <v>367958</v>
      </c>
      <c r="E335" s="14">
        <v>10986</v>
      </c>
      <c r="F335" s="14"/>
      <c r="G335" s="14"/>
      <c r="H335" s="14"/>
      <c r="I335" s="14"/>
      <c r="J335" s="14">
        <v>4256</v>
      </c>
      <c r="K335" s="14">
        <v>5226</v>
      </c>
      <c r="L335" s="14">
        <v>25211</v>
      </c>
      <c r="M335" s="14">
        <v>15407</v>
      </c>
      <c r="N335" s="14">
        <v>3855042</v>
      </c>
      <c r="O335" s="14">
        <v>292524</v>
      </c>
      <c r="P335" s="14"/>
      <c r="Q335" s="14"/>
      <c r="R335" s="15">
        <v>51605</v>
      </c>
      <c r="S335" s="14">
        <v>35697640</v>
      </c>
      <c r="T335" s="14"/>
      <c r="U335" s="14">
        <f>AVERAGE(U336,U334)</f>
        <v>190037.5</v>
      </c>
      <c r="V335" s="14">
        <v>265835</v>
      </c>
      <c r="W335" s="14">
        <v>297285</v>
      </c>
      <c r="X335" s="21">
        <v>88266</v>
      </c>
      <c r="Y335" s="21">
        <v>53168</v>
      </c>
      <c r="Z335" s="18">
        <v>8001</v>
      </c>
      <c r="AA335" s="18">
        <v>46003</v>
      </c>
      <c r="AB335" s="21">
        <v>110018</v>
      </c>
      <c r="AC335" s="21">
        <v>281019</v>
      </c>
      <c r="AD335" s="21"/>
      <c r="AE335" s="18">
        <v>7302</v>
      </c>
      <c r="AF335" s="18">
        <v>33687</v>
      </c>
      <c r="AG335" s="18">
        <v>150</v>
      </c>
      <c r="AH335" s="18"/>
      <c r="AI335" s="19">
        <v>1</v>
      </c>
      <c r="AJ335" s="18">
        <v>7002</v>
      </c>
      <c r="AK335" s="18">
        <v>2376</v>
      </c>
    </row>
    <row r="336" spans="1:37" ht="48.75" customHeight="1" thickBot="1" x14ac:dyDescent="0.3">
      <c r="A336" s="79">
        <v>46134</v>
      </c>
      <c r="B336" s="6">
        <v>0.91666666619016701</v>
      </c>
      <c r="C336" s="7">
        <v>9917</v>
      </c>
      <c r="D336" s="7">
        <v>368218</v>
      </c>
      <c r="E336" s="7">
        <v>10988</v>
      </c>
      <c r="F336" s="7"/>
      <c r="G336" s="7"/>
      <c r="H336" s="7"/>
      <c r="I336" s="7"/>
      <c r="J336" s="7">
        <v>4257</v>
      </c>
      <c r="K336" s="7">
        <v>5226</v>
      </c>
      <c r="L336" s="7">
        <v>25239</v>
      </c>
      <c r="M336" s="7">
        <v>15420</v>
      </c>
      <c r="N336" s="7">
        <v>4155455</v>
      </c>
      <c r="O336" s="7">
        <v>292757</v>
      </c>
      <c r="P336" s="7"/>
      <c r="Q336" s="7"/>
      <c r="R336" s="8">
        <v>51632</v>
      </c>
      <c r="S336" s="7">
        <v>35794984</v>
      </c>
      <c r="T336" s="7"/>
      <c r="U336" s="7">
        <v>190478</v>
      </c>
      <c r="V336" s="7">
        <v>266054</v>
      </c>
      <c r="W336" s="7">
        <v>297497</v>
      </c>
      <c r="X336" s="18">
        <v>89035</v>
      </c>
      <c r="Y336" s="18">
        <v>53203</v>
      </c>
      <c r="Z336" s="18">
        <v>8050</v>
      </c>
      <c r="AA336" s="18">
        <v>46888</v>
      </c>
      <c r="AB336" s="18">
        <v>110125</v>
      </c>
      <c r="AC336" s="18">
        <v>281106</v>
      </c>
      <c r="AD336" s="18">
        <v>0</v>
      </c>
      <c r="AE336" s="18">
        <v>7307</v>
      </c>
      <c r="AF336" s="18">
        <v>33687</v>
      </c>
      <c r="AG336" s="18">
        <v>150</v>
      </c>
      <c r="AH336" s="18"/>
      <c r="AI336" s="19">
        <v>1</v>
      </c>
      <c r="AJ336" s="18">
        <v>7024</v>
      </c>
      <c r="AK336" s="18">
        <v>2376</v>
      </c>
    </row>
    <row r="337" spans="1:37" ht="48.75" customHeight="1" thickBot="1" x14ac:dyDescent="0.3">
      <c r="A337" s="80"/>
      <c r="B337" s="10">
        <v>0.24999999952308399</v>
      </c>
      <c r="C337" s="11">
        <v>9953</v>
      </c>
      <c r="D337" s="11">
        <v>368480</v>
      </c>
      <c r="E337" s="11">
        <v>10989</v>
      </c>
      <c r="F337" s="11"/>
      <c r="G337" s="11"/>
      <c r="H337" s="11"/>
      <c r="I337" s="11"/>
      <c r="J337" s="11">
        <v>4258</v>
      </c>
      <c r="K337" s="11">
        <v>5226</v>
      </c>
      <c r="L337" s="11">
        <v>25263</v>
      </c>
      <c r="M337" s="11">
        <v>15428</v>
      </c>
      <c r="N337" s="11">
        <v>4416179</v>
      </c>
      <c r="O337" s="11">
        <v>292957</v>
      </c>
      <c r="P337" s="11"/>
      <c r="Q337" s="11"/>
      <c r="R337" s="12">
        <v>51651</v>
      </c>
      <c r="S337" s="11">
        <v>35875060</v>
      </c>
      <c r="T337" s="11"/>
      <c r="U337" s="11">
        <v>191013</v>
      </c>
      <c r="V337" s="11">
        <v>266282</v>
      </c>
      <c r="W337" s="11">
        <v>297689</v>
      </c>
      <c r="X337" s="9">
        <v>89892</v>
      </c>
      <c r="Y337" s="9">
        <v>53242</v>
      </c>
      <c r="Z337" s="18">
        <v>8050</v>
      </c>
      <c r="AA337" s="18">
        <v>46888</v>
      </c>
      <c r="AB337" s="9">
        <v>110345</v>
      </c>
      <c r="AC337" s="9">
        <v>281122</v>
      </c>
      <c r="AD337" s="18">
        <v>0</v>
      </c>
      <c r="AE337" s="18">
        <v>7307</v>
      </c>
      <c r="AF337" s="18">
        <v>33687</v>
      </c>
      <c r="AG337" s="18">
        <v>150</v>
      </c>
      <c r="AH337" s="18"/>
      <c r="AI337" s="19">
        <v>1</v>
      </c>
      <c r="AJ337" s="18">
        <v>7024</v>
      </c>
      <c r="AK337" s="18">
        <v>2376</v>
      </c>
    </row>
    <row r="338" spans="1:37" ht="48.75" customHeight="1" thickBot="1" x14ac:dyDescent="0.3">
      <c r="A338" s="81"/>
      <c r="B338" s="13">
        <v>0.583333332856114</v>
      </c>
      <c r="C338" s="14">
        <v>9979</v>
      </c>
      <c r="D338" s="14">
        <v>368696</v>
      </c>
      <c r="E338" s="14">
        <v>10990</v>
      </c>
      <c r="F338" s="14"/>
      <c r="G338" s="14"/>
      <c r="H338" s="14"/>
      <c r="I338" s="14"/>
      <c r="J338" s="14">
        <v>4258</v>
      </c>
      <c r="K338" s="14">
        <v>2526</v>
      </c>
      <c r="L338" s="14">
        <v>25286</v>
      </c>
      <c r="M338" s="14">
        <v>15437</v>
      </c>
      <c r="N338" s="14">
        <v>4721065</v>
      </c>
      <c r="O338" s="14">
        <v>293192</v>
      </c>
      <c r="P338" s="14"/>
      <c r="Q338" s="14"/>
      <c r="R338" s="15">
        <v>51686</v>
      </c>
      <c r="S338" s="14">
        <v>35934617</v>
      </c>
      <c r="T338" s="14"/>
      <c r="U338" s="14">
        <v>191500</v>
      </c>
      <c r="V338" s="14">
        <v>266437</v>
      </c>
      <c r="W338" s="14">
        <v>297877</v>
      </c>
      <c r="X338" s="21">
        <f>AVERAGE(X339,X337)</f>
        <v>90752</v>
      </c>
      <c r="Y338" s="21">
        <f>AVERAGE(Y339,Y337)</f>
        <v>53267</v>
      </c>
      <c r="Z338" s="18">
        <v>8050</v>
      </c>
      <c r="AA338" s="18">
        <v>46888</v>
      </c>
      <c r="AB338" s="21">
        <v>110480</v>
      </c>
      <c r="AC338" s="21">
        <v>281328</v>
      </c>
      <c r="AD338" s="18">
        <v>0</v>
      </c>
      <c r="AE338" s="18">
        <v>7307</v>
      </c>
      <c r="AF338" s="18">
        <v>33687</v>
      </c>
      <c r="AG338" s="18">
        <v>150</v>
      </c>
      <c r="AH338" s="18"/>
      <c r="AI338" s="19">
        <v>1</v>
      </c>
      <c r="AJ338" s="18">
        <v>7024</v>
      </c>
      <c r="AK338" s="18">
        <v>2376</v>
      </c>
    </row>
    <row r="339" spans="1:37" ht="48.75" customHeight="1" thickBot="1" x14ac:dyDescent="0.3">
      <c r="A339" s="79">
        <v>46135</v>
      </c>
      <c r="B339" s="6">
        <v>0.91666666618914405</v>
      </c>
      <c r="C339" s="7">
        <v>10010</v>
      </c>
      <c r="D339" s="7">
        <v>369009</v>
      </c>
      <c r="E339" s="7">
        <v>10992</v>
      </c>
      <c r="F339" s="7"/>
      <c r="G339" s="7"/>
      <c r="H339" s="7"/>
      <c r="I339" s="7"/>
      <c r="J339" s="7">
        <v>4259</v>
      </c>
      <c r="K339" s="7">
        <v>5226</v>
      </c>
      <c r="L339" s="7">
        <v>25311</v>
      </c>
      <c r="M339" s="7">
        <v>15447</v>
      </c>
      <c r="N339" s="7">
        <v>5028149</v>
      </c>
      <c r="O339" s="7">
        <v>293429</v>
      </c>
      <c r="P339" s="7"/>
      <c r="Q339" s="7"/>
      <c r="R339" s="8">
        <v>51705</v>
      </c>
      <c r="S339" s="7">
        <v>36041137</v>
      </c>
      <c r="T339" s="7"/>
      <c r="U339" s="7">
        <v>191985</v>
      </c>
      <c r="V339" s="7">
        <v>266592</v>
      </c>
      <c r="W339" s="7">
        <v>298063</v>
      </c>
      <c r="X339" s="18">
        <v>91612</v>
      </c>
      <c r="Y339" s="18">
        <v>53292</v>
      </c>
      <c r="Z339" s="18">
        <v>8099</v>
      </c>
      <c r="AA339" s="18">
        <v>46156</v>
      </c>
      <c r="AB339" s="18">
        <v>110711</v>
      </c>
      <c r="AC339" s="18">
        <v>281471</v>
      </c>
      <c r="AD339" s="18">
        <v>0</v>
      </c>
      <c r="AE339" s="18">
        <v>7311</v>
      </c>
      <c r="AF339" s="18">
        <v>33687</v>
      </c>
      <c r="AG339" s="18">
        <v>150</v>
      </c>
      <c r="AH339" s="18"/>
      <c r="AI339" s="19">
        <v>1</v>
      </c>
      <c r="AJ339" s="18">
        <v>7045</v>
      </c>
      <c r="AK339" s="18">
        <v>2376</v>
      </c>
    </row>
    <row r="340" spans="1:37" ht="48.75" customHeight="1" thickBot="1" x14ac:dyDescent="0.3">
      <c r="A340" s="80"/>
      <c r="B340" s="10">
        <v>0.249999999522174</v>
      </c>
      <c r="C340" s="11">
        <v>10046</v>
      </c>
      <c r="D340" s="11">
        <v>369294</v>
      </c>
      <c r="E340" s="11">
        <v>10993</v>
      </c>
      <c r="F340" s="11"/>
      <c r="G340" s="11"/>
      <c r="H340" s="11"/>
      <c r="I340" s="11"/>
      <c r="J340" s="11">
        <v>4260</v>
      </c>
      <c r="K340" s="11">
        <v>5226</v>
      </c>
      <c r="L340" s="11">
        <v>25336</v>
      </c>
      <c r="M340" s="11">
        <v>15457</v>
      </c>
      <c r="N340" s="11">
        <v>5281601</v>
      </c>
      <c r="O340" s="11">
        <v>293621</v>
      </c>
      <c r="P340" s="11"/>
      <c r="Q340" s="11"/>
      <c r="R340" s="12">
        <v>51726</v>
      </c>
      <c r="S340" s="11">
        <v>36114983</v>
      </c>
      <c r="T340" s="11"/>
      <c r="U340" s="11">
        <v>192484</v>
      </c>
      <c r="V340" s="11">
        <v>266799</v>
      </c>
      <c r="W340" s="11">
        <v>298266</v>
      </c>
      <c r="X340" s="9">
        <v>92425</v>
      </c>
      <c r="Y340" s="9">
        <v>53330</v>
      </c>
      <c r="Z340" s="18">
        <v>8099</v>
      </c>
      <c r="AA340" s="18">
        <v>46156</v>
      </c>
      <c r="AB340" s="9">
        <v>110937</v>
      </c>
      <c r="AC340" s="9">
        <v>281700</v>
      </c>
      <c r="AD340" s="18">
        <v>0</v>
      </c>
      <c r="AE340" s="18">
        <v>7311</v>
      </c>
      <c r="AF340" s="18">
        <v>33687</v>
      </c>
      <c r="AG340" s="18">
        <v>150</v>
      </c>
      <c r="AH340" s="18"/>
      <c r="AI340" s="19">
        <v>1</v>
      </c>
      <c r="AJ340" s="18">
        <v>7045</v>
      </c>
      <c r="AK340" s="18">
        <v>2376</v>
      </c>
    </row>
    <row r="341" spans="1:37" ht="48.75" customHeight="1" thickBot="1" x14ac:dyDescent="0.3">
      <c r="A341" s="81"/>
      <c r="B341" s="13">
        <v>0.58333333285509104</v>
      </c>
      <c r="C341" s="14">
        <v>10070</v>
      </c>
      <c r="D341" s="14">
        <v>369537</v>
      </c>
      <c r="E341" s="14">
        <v>10995</v>
      </c>
      <c r="F341" s="14"/>
      <c r="G341" s="14"/>
      <c r="H341" s="14"/>
      <c r="I341" s="14"/>
      <c r="J341" s="14">
        <v>4261</v>
      </c>
      <c r="K341" s="14">
        <v>5226</v>
      </c>
      <c r="L341" s="14">
        <v>25359</v>
      </c>
      <c r="M341" s="14">
        <v>15468</v>
      </c>
      <c r="N341" s="14">
        <v>5577127</v>
      </c>
      <c r="O341" s="14">
        <v>293846</v>
      </c>
      <c r="P341" s="14">
        <f t="shared" ref="P341:Q341" si="3">P340-P339</f>
        <v>0</v>
      </c>
      <c r="Q341" s="14">
        <f t="shared" si="3"/>
        <v>0</v>
      </c>
      <c r="R341" s="15">
        <v>51765</v>
      </c>
      <c r="S341" s="14">
        <v>36151900</v>
      </c>
      <c r="T341" s="14"/>
      <c r="U341" s="14">
        <v>192871</v>
      </c>
      <c r="V341" s="14">
        <v>266975</v>
      </c>
      <c r="W341" s="14">
        <v>298414</v>
      </c>
      <c r="X341" s="21">
        <v>93115</v>
      </c>
      <c r="Y341" s="21">
        <v>53357</v>
      </c>
      <c r="Z341" s="18">
        <v>8099</v>
      </c>
      <c r="AA341" s="18">
        <v>46156</v>
      </c>
      <c r="AB341" s="21">
        <v>111086</v>
      </c>
      <c r="AC341" s="21">
        <v>281806</v>
      </c>
      <c r="AD341" s="18">
        <v>0</v>
      </c>
      <c r="AE341" s="18">
        <v>7311</v>
      </c>
      <c r="AF341" s="18">
        <v>33687</v>
      </c>
      <c r="AG341" s="18">
        <v>150</v>
      </c>
      <c r="AH341" s="18"/>
      <c r="AI341" s="19">
        <v>1</v>
      </c>
      <c r="AJ341" s="18">
        <v>7045</v>
      </c>
      <c r="AK341" s="18">
        <v>2376</v>
      </c>
    </row>
    <row r="342" spans="1:37" ht="48.75" customHeight="1" thickBot="1" x14ac:dyDescent="0.3">
      <c r="A342" s="79">
        <v>46136</v>
      </c>
      <c r="B342" s="6">
        <v>0.91666666618812098</v>
      </c>
      <c r="C342" s="7">
        <v>10097</v>
      </c>
      <c r="D342" s="7">
        <v>369760</v>
      </c>
      <c r="E342" s="7">
        <v>10997</v>
      </c>
      <c r="F342" s="7"/>
      <c r="G342" s="7"/>
      <c r="H342" s="7"/>
      <c r="I342" s="7"/>
      <c r="J342" s="7">
        <v>4261</v>
      </c>
      <c r="K342" s="7">
        <v>5226</v>
      </c>
      <c r="L342" s="7">
        <v>25384</v>
      </c>
      <c r="M342" s="7">
        <v>15479</v>
      </c>
      <c r="N342" s="7">
        <v>5867704</v>
      </c>
      <c r="O342" s="7">
        <v>294068</v>
      </c>
      <c r="P342" s="7"/>
      <c r="Q342" s="7"/>
      <c r="R342" s="8">
        <v>51781</v>
      </c>
      <c r="S342" s="7">
        <v>36273334</v>
      </c>
      <c r="T342" s="7"/>
      <c r="U342" s="7">
        <v>193314</v>
      </c>
      <c r="V342" s="7">
        <v>267153</v>
      </c>
      <c r="W342" s="7">
        <v>298561</v>
      </c>
      <c r="X342" s="18">
        <v>93950</v>
      </c>
      <c r="Y342" s="18">
        <v>53403</v>
      </c>
      <c r="Z342" s="18">
        <v>8147</v>
      </c>
      <c r="AA342" s="18">
        <v>46205</v>
      </c>
      <c r="AB342" s="18">
        <v>111221</v>
      </c>
      <c r="AC342" s="18">
        <v>281906</v>
      </c>
      <c r="AD342" s="18">
        <v>0</v>
      </c>
      <c r="AE342" s="18">
        <v>7314</v>
      </c>
      <c r="AF342" s="18">
        <v>33687</v>
      </c>
      <c r="AG342" s="18">
        <v>150</v>
      </c>
      <c r="AH342" s="18"/>
      <c r="AI342" s="19">
        <v>1</v>
      </c>
      <c r="AJ342" s="18">
        <v>7066</v>
      </c>
      <c r="AK342" s="18">
        <v>2376</v>
      </c>
    </row>
    <row r="343" spans="1:37" ht="48.75" customHeight="1" thickBot="1" x14ac:dyDescent="0.3">
      <c r="A343" s="80"/>
      <c r="B343" s="10">
        <v>0.24999999952115101</v>
      </c>
      <c r="C343" s="11">
        <v>10108</v>
      </c>
      <c r="D343" s="11">
        <v>369992</v>
      </c>
      <c r="E343" s="11">
        <v>11000</v>
      </c>
      <c r="F343" s="11"/>
      <c r="G343" s="11"/>
      <c r="H343" s="11"/>
      <c r="I343" s="11"/>
      <c r="J343" s="11">
        <v>4261</v>
      </c>
      <c r="K343" s="11">
        <v>5226</v>
      </c>
      <c r="L343" s="11">
        <v>25409</v>
      </c>
      <c r="M343" s="11">
        <v>15485</v>
      </c>
      <c r="N343" s="11">
        <v>6148920</v>
      </c>
      <c r="O343" s="11">
        <v>294281</v>
      </c>
      <c r="P343" s="11"/>
      <c r="Q343" s="11"/>
      <c r="R343" s="12">
        <v>51804</v>
      </c>
      <c r="S343" s="11">
        <v>36334786</v>
      </c>
      <c r="T343" s="11"/>
      <c r="U343" s="11">
        <v>193758</v>
      </c>
      <c r="V343" s="11">
        <v>267327</v>
      </c>
      <c r="W343" s="11">
        <v>298706</v>
      </c>
      <c r="X343" s="9">
        <v>94801</v>
      </c>
      <c r="Y343" s="9">
        <v>53437</v>
      </c>
      <c r="Z343" s="18">
        <v>8147</v>
      </c>
      <c r="AA343" s="18">
        <v>46205</v>
      </c>
      <c r="AB343" s="9">
        <v>111357</v>
      </c>
      <c r="AC343" s="9">
        <v>281989</v>
      </c>
      <c r="AD343" s="9">
        <v>0</v>
      </c>
      <c r="AE343" s="18">
        <v>7314</v>
      </c>
      <c r="AF343" s="18">
        <v>33687</v>
      </c>
      <c r="AG343" s="18">
        <v>150</v>
      </c>
      <c r="AH343" s="18"/>
      <c r="AI343" s="19">
        <v>1</v>
      </c>
      <c r="AJ343" s="18">
        <v>7066</v>
      </c>
      <c r="AK343" s="18">
        <v>2376</v>
      </c>
    </row>
    <row r="344" spans="1:37" ht="48.75" customHeight="1" thickBot="1" x14ac:dyDescent="0.3">
      <c r="A344" s="81"/>
      <c r="B344" s="13">
        <v>0.58333333285418099</v>
      </c>
      <c r="C344" s="14">
        <v>10139</v>
      </c>
      <c r="D344" s="14">
        <v>370198</v>
      </c>
      <c r="E344" s="14">
        <v>11001</v>
      </c>
      <c r="F344" s="14"/>
      <c r="G344" s="14"/>
      <c r="H344" s="14"/>
      <c r="I344" s="14"/>
      <c r="J344" s="14">
        <v>4265</v>
      </c>
      <c r="K344" s="14">
        <v>5226</v>
      </c>
      <c r="L344" s="14">
        <v>25431</v>
      </c>
      <c r="M344" s="14">
        <v>15494</v>
      </c>
      <c r="N344" s="14">
        <v>6434042</v>
      </c>
      <c r="O344" s="14">
        <v>294497</v>
      </c>
      <c r="P344" s="14"/>
      <c r="Q344" s="14"/>
      <c r="R344" s="15">
        <v>51848</v>
      </c>
      <c r="S344" s="14">
        <v>36402460</v>
      </c>
      <c r="T344" s="14"/>
      <c r="U344" s="14">
        <v>194132</v>
      </c>
      <c r="V344" s="14">
        <v>267485</v>
      </c>
      <c r="W344" s="14">
        <v>298835</v>
      </c>
      <c r="X344" s="21">
        <v>95342</v>
      </c>
      <c r="Y344" s="21">
        <v>53458</v>
      </c>
      <c r="Z344" s="18">
        <v>8147</v>
      </c>
      <c r="AA344" s="18">
        <v>46205</v>
      </c>
      <c r="AB344" s="21">
        <v>111549</v>
      </c>
      <c r="AC344" s="21">
        <v>282067</v>
      </c>
      <c r="AD344" s="21">
        <v>0</v>
      </c>
      <c r="AE344" s="18">
        <v>7314</v>
      </c>
      <c r="AF344" s="18">
        <v>33687</v>
      </c>
      <c r="AG344" s="18">
        <v>150</v>
      </c>
      <c r="AH344" s="18"/>
      <c r="AI344" s="19">
        <v>1</v>
      </c>
      <c r="AJ344" s="18">
        <v>7066</v>
      </c>
      <c r="AK344" s="18">
        <v>2376</v>
      </c>
    </row>
    <row r="345" spans="1:37" ht="48.75" customHeight="1" x14ac:dyDescent="0.25">
      <c r="A345" s="79">
        <v>46137</v>
      </c>
      <c r="B345" s="6">
        <v>0.91666666618709802</v>
      </c>
      <c r="C345" s="7">
        <v>10169</v>
      </c>
      <c r="D345" s="7">
        <v>370428</v>
      </c>
      <c r="E345" s="7">
        <v>11002</v>
      </c>
      <c r="F345" s="7"/>
      <c r="G345" s="7"/>
      <c r="H345" s="7"/>
      <c r="I345" s="7"/>
      <c r="J345" s="7">
        <v>4265</v>
      </c>
      <c r="K345" s="7">
        <v>5226</v>
      </c>
      <c r="L345" s="7">
        <v>25457</v>
      </c>
      <c r="M345" s="7">
        <v>15505</v>
      </c>
      <c r="N345" s="7">
        <v>6693258</v>
      </c>
      <c r="O345" s="7">
        <v>294686</v>
      </c>
      <c r="P345" s="7"/>
      <c r="Q345" s="7"/>
      <c r="R345" s="8">
        <v>51871</v>
      </c>
      <c r="S345" s="7">
        <v>36466069</v>
      </c>
      <c r="T345" s="7"/>
      <c r="U345" s="7">
        <v>194602</v>
      </c>
      <c r="V345" s="7">
        <v>267640</v>
      </c>
      <c r="W345" s="7">
        <v>298945</v>
      </c>
      <c r="X345" s="18">
        <v>96208</v>
      </c>
      <c r="Y345" s="18">
        <v>53481</v>
      </c>
      <c r="Z345" s="18"/>
      <c r="AA345" s="18"/>
      <c r="AB345" s="18">
        <v>111720</v>
      </c>
      <c r="AC345" s="18">
        <v>282198</v>
      </c>
      <c r="AD345" s="18">
        <v>0</v>
      </c>
      <c r="AE345" s="18"/>
      <c r="AF345" s="18"/>
      <c r="AG345" s="18"/>
      <c r="AH345" s="18"/>
      <c r="AI345" s="19"/>
      <c r="AJ345" s="18"/>
      <c r="AK345" s="18"/>
    </row>
    <row r="346" spans="1:37" ht="48.75" customHeight="1" x14ac:dyDescent="0.25">
      <c r="A346" s="80"/>
      <c r="B346" s="10">
        <v>0.249999999520128</v>
      </c>
      <c r="C346" s="11">
        <v>10205</v>
      </c>
      <c r="D346" s="11">
        <v>370687</v>
      </c>
      <c r="E346" s="11">
        <v>11004</v>
      </c>
      <c r="F346" s="11"/>
      <c r="G346" s="11"/>
      <c r="H346" s="11"/>
      <c r="I346" s="11"/>
      <c r="J346" s="11">
        <v>4265</v>
      </c>
      <c r="K346" s="11">
        <v>5226</v>
      </c>
      <c r="L346" s="11">
        <v>25482</v>
      </c>
      <c r="M346" s="11">
        <v>15513</v>
      </c>
      <c r="N346" s="11">
        <v>7088106</v>
      </c>
      <c r="O346" s="11">
        <v>294981</v>
      </c>
      <c r="P346" s="11"/>
      <c r="Q346" s="11"/>
      <c r="R346" s="12">
        <v>51888</v>
      </c>
      <c r="S346" s="11">
        <v>36575130</v>
      </c>
      <c r="T346" s="11"/>
      <c r="U346" s="11">
        <v>195084</v>
      </c>
      <c r="V346" s="11">
        <v>267758</v>
      </c>
      <c r="W346" s="11">
        <v>299043</v>
      </c>
      <c r="X346" s="9">
        <v>97067</v>
      </c>
      <c r="Y346" s="9">
        <v>53520</v>
      </c>
      <c r="Z346" s="9"/>
      <c r="AA346" s="9"/>
      <c r="AB346" s="9">
        <v>111917</v>
      </c>
      <c r="AC346" s="9">
        <v>282318</v>
      </c>
      <c r="AD346" s="9"/>
      <c r="AE346" s="9"/>
      <c r="AF346" s="9"/>
      <c r="AG346" s="9"/>
      <c r="AH346" s="9"/>
      <c r="AI346" s="20"/>
      <c r="AJ346" s="9"/>
      <c r="AK346" s="9"/>
    </row>
    <row r="347" spans="1:37" ht="48.75" customHeight="1" thickBot="1" x14ac:dyDescent="0.3">
      <c r="A347" s="81"/>
      <c r="B347" s="13">
        <v>0.58333333285315803</v>
      </c>
      <c r="C347" s="14">
        <v>10231</v>
      </c>
      <c r="D347" s="14">
        <v>370780</v>
      </c>
      <c r="E347" s="14">
        <v>11006</v>
      </c>
      <c r="F347" s="14"/>
      <c r="G347" s="14"/>
      <c r="H347" s="14"/>
      <c r="I347" s="14"/>
      <c r="J347" s="14">
        <v>4267</v>
      </c>
      <c r="K347" s="14">
        <v>5227</v>
      </c>
      <c r="L347" s="14">
        <v>25493</v>
      </c>
      <c r="M347" s="14">
        <v>15516</v>
      </c>
      <c r="N347" s="14">
        <v>7315840</v>
      </c>
      <c r="O347" s="14">
        <v>295151</v>
      </c>
      <c r="P347" s="14"/>
      <c r="Q347" s="14"/>
      <c r="R347" s="15">
        <v>51890</v>
      </c>
      <c r="S347" s="14">
        <v>36657920</v>
      </c>
      <c r="T347" s="14"/>
      <c r="U347" s="14">
        <v>195220</v>
      </c>
      <c r="V347" s="14">
        <v>267790</v>
      </c>
      <c r="W347" s="14">
        <v>299225</v>
      </c>
      <c r="X347" s="21">
        <v>98531</v>
      </c>
      <c r="Y347" s="21">
        <v>53567</v>
      </c>
      <c r="Z347" s="21"/>
      <c r="AA347" s="21"/>
      <c r="AB347" s="21">
        <f>AVERAGE(AB348,AB346)</f>
        <v>112051.5</v>
      </c>
      <c r="AC347" s="21">
        <f>AVERAGE(AC348,AC346)</f>
        <v>282401</v>
      </c>
      <c r="AD347" s="21"/>
      <c r="AE347" s="21"/>
      <c r="AF347" s="21"/>
      <c r="AG347" s="21"/>
      <c r="AH347" s="21"/>
      <c r="AI347" s="22"/>
      <c r="AJ347" s="21"/>
      <c r="AK347" s="21"/>
    </row>
    <row r="348" spans="1:37" ht="48.75" customHeight="1" x14ac:dyDescent="0.25">
      <c r="A348" s="79">
        <v>46138</v>
      </c>
      <c r="B348" s="6">
        <v>0.91666666618618797</v>
      </c>
      <c r="C348" s="7">
        <v>10250</v>
      </c>
      <c r="D348" s="7">
        <v>371170</v>
      </c>
      <c r="E348" s="7">
        <v>11005</v>
      </c>
      <c r="F348" s="7"/>
      <c r="G348" s="7"/>
      <c r="H348" s="7"/>
      <c r="I348" s="7"/>
      <c r="J348" s="7">
        <v>4267</v>
      </c>
      <c r="K348" s="7">
        <v>5227</v>
      </c>
      <c r="L348" s="7">
        <v>25542</v>
      </c>
      <c r="M348" s="7">
        <v>15520</v>
      </c>
      <c r="N348" s="7">
        <v>7315840</v>
      </c>
      <c r="O348" s="7">
        <v>295151</v>
      </c>
      <c r="P348" s="7"/>
      <c r="Q348" s="7"/>
      <c r="R348" s="8">
        <v>51926</v>
      </c>
      <c r="S348" s="7">
        <v>36658490</v>
      </c>
      <c r="T348" s="7"/>
      <c r="U348" s="7">
        <v>195779</v>
      </c>
      <c r="V348" s="7">
        <v>268002</v>
      </c>
      <c r="W348" s="7">
        <v>299270</v>
      </c>
      <c r="X348" s="18">
        <v>98531</v>
      </c>
      <c r="Y348" s="18">
        <v>53567</v>
      </c>
      <c r="Z348" s="18"/>
      <c r="AA348" s="18"/>
      <c r="AB348" s="18">
        <v>112186</v>
      </c>
      <c r="AC348" s="18">
        <v>282484</v>
      </c>
      <c r="AD348" s="18"/>
      <c r="AE348" s="18"/>
      <c r="AF348" s="18"/>
      <c r="AG348" s="18"/>
      <c r="AH348" s="18"/>
      <c r="AI348" s="19"/>
      <c r="AJ348" s="18"/>
      <c r="AK348" s="18"/>
    </row>
    <row r="349" spans="1:37" ht="48.75" customHeight="1" x14ac:dyDescent="0.25">
      <c r="A349" s="80"/>
      <c r="B349" s="10">
        <v>0.24999999951910501</v>
      </c>
      <c r="C349" s="11">
        <v>10250</v>
      </c>
      <c r="D349" s="11">
        <v>371170</v>
      </c>
      <c r="E349" s="11">
        <v>11005</v>
      </c>
      <c r="F349" s="11"/>
      <c r="G349" s="11"/>
      <c r="H349" s="11"/>
      <c r="I349" s="11"/>
      <c r="J349" s="11">
        <v>4267</v>
      </c>
      <c r="K349" s="11">
        <v>5227</v>
      </c>
      <c r="L349" s="11">
        <v>25542</v>
      </c>
      <c r="M349" s="11">
        <v>15520</v>
      </c>
      <c r="N349" s="11">
        <v>7315840</v>
      </c>
      <c r="O349" s="11">
        <v>295151</v>
      </c>
      <c r="P349" s="11"/>
      <c r="Q349" s="11"/>
      <c r="R349" s="12">
        <v>51926</v>
      </c>
      <c r="S349" s="11">
        <v>36658490</v>
      </c>
      <c r="T349" s="11"/>
      <c r="U349" s="11">
        <v>195779</v>
      </c>
      <c r="V349" s="11">
        <v>268002</v>
      </c>
      <c r="W349" s="11">
        <v>299270</v>
      </c>
      <c r="X349" s="9">
        <v>98531</v>
      </c>
      <c r="Y349" s="9">
        <v>53567</v>
      </c>
      <c r="Z349" s="9"/>
      <c r="AA349" s="9"/>
      <c r="AB349" s="9">
        <v>112186</v>
      </c>
      <c r="AC349" s="9">
        <v>282484</v>
      </c>
      <c r="AD349" s="9"/>
      <c r="AE349" s="9"/>
      <c r="AF349" s="9"/>
      <c r="AG349" s="9"/>
      <c r="AH349" s="9"/>
      <c r="AI349" s="20"/>
      <c r="AJ349" s="9"/>
      <c r="AK349" s="9"/>
    </row>
    <row r="350" spans="1:37" ht="48.75" customHeight="1" thickBot="1" x14ac:dyDescent="0.3">
      <c r="A350" s="81"/>
      <c r="B350" s="13">
        <v>0.58333333285213496</v>
      </c>
      <c r="C350" s="14">
        <v>10259</v>
      </c>
      <c r="D350" s="14">
        <v>371422</v>
      </c>
      <c r="E350" s="14">
        <v>11006</v>
      </c>
      <c r="F350" s="14"/>
      <c r="G350" s="14"/>
      <c r="H350" s="14"/>
      <c r="I350" s="14"/>
      <c r="J350" s="14">
        <v>4267</v>
      </c>
      <c r="K350" s="14">
        <v>5227</v>
      </c>
      <c r="L350" s="14">
        <v>25565</v>
      </c>
      <c r="M350" s="14">
        <v>15526</v>
      </c>
      <c r="N350" s="14">
        <v>7315840</v>
      </c>
      <c r="O350" s="14">
        <v>295151</v>
      </c>
      <c r="P350" s="14"/>
      <c r="Q350" s="14"/>
      <c r="R350" s="15">
        <v>51936</v>
      </c>
      <c r="S350" s="14">
        <v>36658496</v>
      </c>
      <c r="T350" s="14"/>
      <c r="U350" s="14">
        <v>196004</v>
      </c>
      <c r="V350" s="14">
        <v>268017</v>
      </c>
      <c r="W350" s="14">
        <v>299284</v>
      </c>
      <c r="X350" s="21">
        <v>99103</v>
      </c>
      <c r="Y350" s="21">
        <v>53575</v>
      </c>
      <c r="Z350" s="21"/>
      <c r="AA350" s="21"/>
      <c r="AB350" s="21">
        <v>112273</v>
      </c>
      <c r="AC350" s="21">
        <v>282589</v>
      </c>
      <c r="AD350" s="21"/>
      <c r="AE350" s="21"/>
      <c r="AF350" s="21"/>
      <c r="AG350" s="21"/>
      <c r="AH350" s="21"/>
      <c r="AI350" s="22"/>
      <c r="AJ350" s="21"/>
      <c r="AK350" s="21"/>
    </row>
    <row r="351" spans="1:37" ht="48.75" customHeight="1" x14ac:dyDescent="0.25">
      <c r="A351" s="79">
        <v>46139</v>
      </c>
      <c r="B351" s="6">
        <v>0.91666666618516501</v>
      </c>
      <c r="C351" s="7">
        <v>10287</v>
      </c>
      <c r="D351" s="7">
        <v>371745</v>
      </c>
      <c r="E351" s="7">
        <v>11009</v>
      </c>
      <c r="F351" s="7"/>
      <c r="G351" s="7"/>
      <c r="H351" s="7"/>
      <c r="I351" s="7"/>
      <c r="J351" s="7">
        <v>4267</v>
      </c>
      <c r="K351" s="7">
        <v>5227</v>
      </c>
      <c r="L351" s="7">
        <v>25587</v>
      </c>
      <c r="M351" s="7">
        <v>15533</v>
      </c>
      <c r="N351" s="7">
        <v>7441573</v>
      </c>
      <c r="O351" s="7">
        <v>295247</v>
      </c>
      <c r="P351" s="7"/>
      <c r="Q351" s="7"/>
      <c r="R351" s="8">
        <v>51954</v>
      </c>
      <c r="S351" s="7">
        <v>36658624</v>
      </c>
      <c r="T351" s="7"/>
      <c r="U351" s="7">
        <v>196360</v>
      </c>
      <c r="V351" s="7">
        <v>268117</v>
      </c>
      <c r="W351" s="7">
        <v>299370</v>
      </c>
      <c r="X351" s="18">
        <v>99103</v>
      </c>
      <c r="Y351" s="18">
        <v>53575</v>
      </c>
      <c r="Z351" s="18">
        <v>8154</v>
      </c>
      <c r="AA351" s="18">
        <v>46344</v>
      </c>
      <c r="AB351" s="18">
        <v>112486</v>
      </c>
      <c r="AC351" s="18">
        <v>282703</v>
      </c>
      <c r="AD351" s="18" t="s">
        <v>95</v>
      </c>
      <c r="AE351" s="18">
        <v>7325</v>
      </c>
      <c r="AF351" s="18">
        <v>33687</v>
      </c>
      <c r="AG351" s="18">
        <v>150</v>
      </c>
      <c r="AH351" s="18"/>
      <c r="AI351" s="19">
        <v>1</v>
      </c>
      <c r="AJ351" s="18">
        <v>7127</v>
      </c>
      <c r="AK351" s="18">
        <v>2376</v>
      </c>
    </row>
    <row r="352" spans="1:37" ht="48.75" customHeight="1" x14ac:dyDescent="0.25">
      <c r="A352" s="80"/>
      <c r="B352" s="10">
        <v>0.249999999518081</v>
      </c>
      <c r="C352" s="11">
        <v>10322</v>
      </c>
      <c r="D352" s="11">
        <v>372095</v>
      </c>
      <c r="E352" s="11">
        <v>11011</v>
      </c>
      <c r="F352" s="11"/>
      <c r="G352" s="11"/>
      <c r="H352" s="11"/>
      <c r="I352" s="11"/>
      <c r="J352" s="11">
        <v>4267</v>
      </c>
      <c r="K352" s="11">
        <v>5227</v>
      </c>
      <c r="L352" s="11">
        <v>25612</v>
      </c>
      <c r="M352" s="11">
        <v>15541</v>
      </c>
      <c r="N352" s="11">
        <v>7758836</v>
      </c>
      <c r="O352" s="11">
        <v>295500</v>
      </c>
      <c r="P352" s="11"/>
      <c r="Q352" s="11"/>
      <c r="R352" s="12">
        <v>51973</v>
      </c>
      <c r="S352" s="11">
        <v>36709020</v>
      </c>
      <c r="T352" s="11"/>
      <c r="U352" s="11">
        <v>196813</v>
      </c>
      <c r="V352" s="11">
        <v>268335</v>
      </c>
      <c r="W352" s="11">
        <v>299549</v>
      </c>
      <c r="X352" s="9">
        <v>100228</v>
      </c>
      <c r="Y352" s="9">
        <v>53631</v>
      </c>
      <c r="Z352" s="9"/>
      <c r="AA352" s="9"/>
      <c r="AB352" s="9">
        <v>112715</v>
      </c>
      <c r="AC352" s="9">
        <v>282837</v>
      </c>
      <c r="AD352" s="9"/>
      <c r="AE352" s="9"/>
      <c r="AF352" s="9"/>
      <c r="AG352" s="9"/>
      <c r="AH352" s="9"/>
      <c r="AI352" s="20"/>
      <c r="AJ352" s="9"/>
      <c r="AK352" s="9"/>
    </row>
    <row r="353" spans="1:37" ht="48.75" customHeight="1" thickBot="1" x14ac:dyDescent="0.3">
      <c r="A353" s="81"/>
      <c r="B353" s="13">
        <v>0.583333332851112</v>
      </c>
      <c r="C353" s="14">
        <v>10345</v>
      </c>
      <c r="D353" s="14">
        <v>372377</v>
      </c>
      <c r="E353" s="14">
        <v>11012</v>
      </c>
      <c r="F353" s="14"/>
      <c r="G353" s="14"/>
      <c r="H353" s="14"/>
      <c r="I353" s="14"/>
      <c r="J353" s="14">
        <v>4269</v>
      </c>
      <c r="K353" s="14">
        <v>5227</v>
      </c>
      <c r="L353" s="14">
        <v>25636</v>
      </c>
      <c r="M353" s="14">
        <v>15551</v>
      </c>
      <c r="N353" s="14">
        <v>8077347</v>
      </c>
      <c r="O353" s="14">
        <v>295755</v>
      </c>
      <c r="P353" s="14"/>
      <c r="Q353" s="14"/>
      <c r="R353" s="15">
        <v>51996</v>
      </c>
      <c r="S353" s="14">
        <v>36772970</v>
      </c>
      <c r="T353" s="14"/>
      <c r="U353" s="14">
        <v>197325</v>
      </c>
      <c r="V353" s="14">
        <v>268493</v>
      </c>
      <c r="W353" s="14">
        <v>299716</v>
      </c>
      <c r="X353" s="21">
        <v>101117</v>
      </c>
      <c r="Y353" s="21">
        <v>53677</v>
      </c>
      <c r="Z353" s="21"/>
      <c r="AA353" s="21"/>
      <c r="AB353" s="21">
        <v>112911</v>
      </c>
      <c r="AC353" s="21">
        <v>282961</v>
      </c>
      <c r="AD353" s="21"/>
      <c r="AE353" s="21"/>
      <c r="AF353" s="21"/>
      <c r="AG353" s="21"/>
      <c r="AH353" s="21"/>
      <c r="AI353" s="22"/>
      <c r="AJ353" s="21"/>
      <c r="AK353" s="21"/>
    </row>
    <row r="354" spans="1:37" ht="48.75" customHeight="1" x14ac:dyDescent="0.25">
      <c r="A354" s="79">
        <v>46140</v>
      </c>
      <c r="B354" s="6">
        <v>0.91666666618414205</v>
      </c>
      <c r="C354" s="7">
        <v>10379</v>
      </c>
      <c r="D354" s="7">
        <v>372711</v>
      </c>
      <c r="E354" s="7">
        <v>11014</v>
      </c>
      <c r="F354" s="7"/>
      <c r="G354" s="7"/>
      <c r="H354" s="7"/>
      <c r="I354" s="7"/>
      <c r="J354" s="7">
        <v>4269</v>
      </c>
      <c r="K354" s="7">
        <v>5227</v>
      </c>
      <c r="L354" s="7">
        <v>25660</v>
      </c>
      <c r="M354" s="7">
        <v>15560</v>
      </c>
      <c r="N354" s="7">
        <v>8382518</v>
      </c>
      <c r="O354" s="7">
        <v>295992</v>
      </c>
      <c r="P354" s="7"/>
      <c r="Q354" s="7"/>
      <c r="R354" s="8">
        <v>52018</v>
      </c>
      <c r="S354" s="7">
        <v>36846904</v>
      </c>
      <c r="T354" s="7"/>
      <c r="U354" s="7">
        <v>197839</v>
      </c>
      <c r="V354" s="7">
        <v>268671</v>
      </c>
      <c r="W354" s="7">
        <v>299881</v>
      </c>
      <c r="X354" s="18">
        <v>101968</v>
      </c>
      <c r="Y354" s="18">
        <v>53712</v>
      </c>
      <c r="Z354" s="18">
        <v>8220</v>
      </c>
      <c r="AA354" s="18">
        <v>46418</v>
      </c>
      <c r="AB354" s="18">
        <v>113072</v>
      </c>
      <c r="AC354" s="18">
        <v>283063</v>
      </c>
      <c r="AD354" s="18"/>
      <c r="AE354" s="18">
        <v>7328</v>
      </c>
      <c r="AF354" s="18">
        <v>33687</v>
      </c>
      <c r="AG354" s="18">
        <v>150</v>
      </c>
      <c r="AH354" s="18"/>
      <c r="AI354" s="19">
        <v>1</v>
      </c>
      <c r="AJ354" s="18">
        <v>7142</v>
      </c>
      <c r="AK354" s="18">
        <v>2376</v>
      </c>
    </row>
    <row r="355" spans="1:37" ht="48.75" customHeight="1" x14ac:dyDescent="0.25">
      <c r="A355" s="80"/>
      <c r="B355" s="10">
        <v>0.249999999517172</v>
      </c>
      <c r="C355" s="11">
        <v>10415</v>
      </c>
      <c r="D355" s="11">
        <v>373023</v>
      </c>
      <c r="E355" s="11">
        <v>11016</v>
      </c>
      <c r="F355" s="11"/>
      <c r="G355" s="11"/>
      <c r="H355" s="11"/>
      <c r="I355" s="11"/>
      <c r="J355" s="11">
        <v>4270</v>
      </c>
      <c r="K355" s="11">
        <v>5227</v>
      </c>
      <c r="L355" s="11">
        <v>25685</v>
      </c>
      <c r="M355" s="11">
        <v>15567</v>
      </c>
      <c r="N355" s="11">
        <v>8675616</v>
      </c>
      <c r="O355" s="11">
        <v>296202</v>
      </c>
      <c r="P355" s="11"/>
      <c r="Q355" s="11"/>
      <c r="R355" s="12">
        <v>52039</v>
      </c>
      <c r="S355" s="11">
        <v>36910486</v>
      </c>
      <c r="T355" s="11"/>
      <c r="U355" s="11">
        <v>198392</v>
      </c>
      <c r="V355" s="11">
        <v>268892</v>
      </c>
      <c r="W355" s="11">
        <v>300050</v>
      </c>
      <c r="X355" s="9">
        <v>102855</v>
      </c>
      <c r="Y355" s="9">
        <v>53751</v>
      </c>
      <c r="Z355" s="9"/>
      <c r="AA355" s="9"/>
      <c r="AB355" s="9">
        <v>113225</v>
      </c>
      <c r="AC355" s="9">
        <v>283192</v>
      </c>
      <c r="AD355" s="9">
        <v>0</v>
      </c>
      <c r="AE355" s="9"/>
      <c r="AF355" s="9"/>
      <c r="AG355" s="9"/>
      <c r="AH355" s="9"/>
      <c r="AI355" s="20"/>
      <c r="AJ355" s="9"/>
      <c r="AK355" s="9"/>
    </row>
    <row r="356" spans="1:37" ht="48.75" customHeight="1" thickBot="1" x14ac:dyDescent="0.3">
      <c r="A356" s="81"/>
      <c r="B356" s="13">
        <v>0.58333333285008804</v>
      </c>
      <c r="C356" s="14">
        <v>10450</v>
      </c>
      <c r="D356" s="14">
        <v>373297</v>
      </c>
      <c r="E356" s="14">
        <v>11017</v>
      </c>
      <c r="F356" s="14"/>
      <c r="G356" s="14"/>
      <c r="H356" s="14"/>
      <c r="I356" s="14"/>
      <c r="J356" s="14">
        <v>4271</v>
      </c>
      <c r="K356" s="14">
        <v>5227</v>
      </c>
      <c r="L356" s="14">
        <v>25708</v>
      </c>
      <c r="M356" s="14">
        <v>15586</v>
      </c>
      <c r="N356" s="14">
        <v>8990258</v>
      </c>
      <c r="O356" s="14">
        <v>296446</v>
      </c>
      <c r="P356" s="14"/>
      <c r="Q356" s="14"/>
      <c r="R356" s="15">
        <v>52091</v>
      </c>
      <c r="S356" s="14">
        <v>36991515</v>
      </c>
      <c r="T356" s="14"/>
      <c r="U356" s="14">
        <v>198889</v>
      </c>
      <c r="V356" s="14">
        <v>269051</v>
      </c>
      <c r="W356" s="14">
        <v>300209</v>
      </c>
      <c r="X356" s="21">
        <f>AVERAGE(X357,X355)</f>
        <v>103698</v>
      </c>
      <c r="Y356" s="21">
        <f>AVERAGE(Y357,Y355)</f>
        <v>53780</v>
      </c>
      <c r="Z356" s="76"/>
      <c r="AA356" s="21"/>
      <c r="AB356" s="21">
        <v>113517</v>
      </c>
      <c r="AC356" s="21">
        <v>283301</v>
      </c>
      <c r="AD356" s="21">
        <v>0</v>
      </c>
      <c r="AE356" s="21"/>
      <c r="AF356" s="21"/>
      <c r="AG356" s="21"/>
      <c r="AH356" s="21"/>
      <c r="AI356" s="22"/>
      <c r="AJ356" s="21"/>
      <c r="AK356" s="21"/>
    </row>
    <row r="357" spans="1:37" ht="48.75" customHeight="1" x14ac:dyDescent="0.25">
      <c r="A357" s="79">
        <v>46141</v>
      </c>
      <c r="B357" s="6">
        <v>0.91666666618311898</v>
      </c>
      <c r="C357" s="7">
        <v>10477</v>
      </c>
      <c r="D357" s="7">
        <v>373558</v>
      </c>
      <c r="E357" s="7">
        <v>11018</v>
      </c>
      <c r="F357" s="7"/>
      <c r="G357" s="7"/>
      <c r="H357" s="7"/>
      <c r="I357" s="7"/>
      <c r="J357" s="7">
        <v>4272</v>
      </c>
      <c r="K357" s="7">
        <v>5227</v>
      </c>
      <c r="L357" s="7">
        <v>25730</v>
      </c>
      <c r="M357" s="7">
        <v>15594</v>
      </c>
      <c r="N357" s="7">
        <v>9322850</v>
      </c>
      <c r="O357" s="7">
        <v>296665</v>
      </c>
      <c r="P357" s="7"/>
      <c r="Q357" s="7"/>
      <c r="R357" s="8">
        <v>52109</v>
      </c>
      <c r="S357" s="7">
        <v>37073465</v>
      </c>
      <c r="T357" s="7"/>
      <c r="U357" s="7">
        <v>199328</v>
      </c>
      <c r="V357" s="7">
        <v>269207</v>
      </c>
      <c r="W357" s="7">
        <v>300357</v>
      </c>
      <c r="X357" s="18">
        <v>104541</v>
      </c>
      <c r="Y357" s="18">
        <v>53809</v>
      </c>
      <c r="Z357" s="18">
        <v>8290</v>
      </c>
      <c r="AA357" s="18">
        <v>46503</v>
      </c>
      <c r="AB357" s="18">
        <v>113689</v>
      </c>
      <c r="AC357" s="18">
        <v>283409</v>
      </c>
      <c r="AD357" s="18">
        <v>37</v>
      </c>
      <c r="AE357" s="18">
        <v>7330</v>
      </c>
      <c r="AF357" s="18">
        <v>33687</v>
      </c>
      <c r="AG357" s="18">
        <v>150</v>
      </c>
      <c r="AH357" s="18"/>
      <c r="AI357" s="19">
        <v>1</v>
      </c>
      <c r="AJ357" s="18">
        <v>7162</v>
      </c>
      <c r="AK357" s="18">
        <v>2376</v>
      </c>
    </row>
    <row r="358" spans="1:37" ht="48.75" customHeight="1" x14ac:dyDescent="0.25">
      <c r="A358" s="80"/>
      <c r="B358" s="10">
        <v>0.24999999951614901</v>
      </c>
      <c r="C358" s="11">
        <v>10515</v>
      </c>
      <c r="D358" s="11">
        <v>373794</v>
      </c>
      <c r="E358" s="11">
        <v>11019</v>
      </c>
      <c r="F358" s="11"/>
      <c r="G358" s="11"/>
      <c r="H358" s="11"/>
      <c r="I358" s="11"/>
      <c r="J358" s="11">
        <v>4274</v>
      </c>
      <c r="K358" s="11">
        <v>5227</v>
      </c>
      <c r="L358" s="11">
        <v>25754</v>
      </c>
      <c r="M358" s="11">
        <v>15604</v>
      </c>
      <c r="N358" s="11">
        <v>9683001</v>
      </c>
      <c r="O358" s="11">
        <v>296876</v>
      </c>
      <c r="P358" s="11"/>
      <c r="Q358" s="11"/>
      <c r="R358" s="12">
        <v>52132</v>
      </c>
      <c r="S358" s="11">
        <v>37150086</v>
      </c>
      <c r="T358" s="11"/>
      <c r="U358" s="11">
        <v>199774</v>
      </c>
      <c r="V358" s="11">
        <v>269371</v>
      </c>
      <c r="W358" s="11">
        <v>300514</v>
      </c>
      <c r="X358" s="9">
        <v>105372</v>
      </c>
      <c r="Y358" s="9">
        <v>53831</v>
      </c>
      <c r="Z358" s="9"/>
      <c r="AA358" s="9"/>
      <c r="AB358" s="9">
        <v>113914</v>
      </c>
      <c r="AC358" s="9">
        <v>283518</v>
      </c>
      <c r="AD358" s="9">
        <v>81</v>
      </c>
      <c r="AE358" s="9"/>
      <c r="AF358" s="9"/>
      <c r="AG358" s="9"/>
      <c r="AH358" s="9"/>
      <c r="AI358" s="20"/>
      <c r="AJ358" s="9"/>
      <c r="AK358" s="9"/>
    </row>
    <row r="359" spans="1:37" ht="48.75" customHeight="1" thickBot="1" x14ac:dyDescent="0.3">
      <c r="A359" s="81"/>
      <c r="B359" s="13">
        <v>0.58333333284917899</v>
      </c>
      <c r="C359" s="14">
        <v>10552</v>
      </c>
      <c r="D359" s="14">
        <v>374031</v>
      </c>
      <c r="E359" s="14">
        <v>11020</v>
      </c>
      <c r="F359" s="14"/>
      <c r="G359" s="14"/>
      <c r="H359" s="14"/>
      <c r="I359" s="14"/>
      <c r="J359" s="14">
        <v>4274</v>
      </c>
      <c r="K359" s="14">
        <v>5227</v>
      </c>
      <c r="L359" s="14">
        <v>25779</v>
      </c>
      <c r="M359" s="14">
        <v>15613</v>
      </c>
      <c r="N359" s="14">
        <v>46695</v>
      </c>
      <c r="O359" s="14">
        <v>297120</v>
      </c>
      <c r="P359" s="14"/>
      <c r="Q359" s="14"/>
      <c r="R359" s="15">
        <v>52152</v>
      </c>
      <c r="S359" s="14">
        <v>37226708</v>
      </c>
      <c r="T359" s="14"/>
      <c r="U359" s="14">
        <v>200224</v>
      </c>
      <c r="V359" s="14">
        <v>269536</v>
      </c>
      <c r="W359" s="14">
        <v>300672</v>
      </c>
      <c r="X359" s="21">
        <v>106204</v>
      </c>
      <c r="Y359" s="21">
        <v>53850</v>
      </c>
      <c r="Z359" s="21"/>
      <c r="AA359" s="21"/>
      <c r="AB359" s="21">
        <v>114138</v>
      </c>
      <c r="AC359" s="21">
        <v>283626</v>
      </c>
      <c r="AD359" s="21">
        <v>122</v>
      </c>
      <c r="AE359" s="21"/>
      <c r="AF359" s="21"/>
      <c r="AG359" s="21"/>
      <c r="AH359" s="21"/>
      <c r="AI359" s="22"/>
      <c r="AJ359" s="21"/>
      <c r="AK359" s="21"/>
    </row>
    <row r="360" spans="1:37" ht="48.75" customHeight="1" x14ac:dyDescent="0.25">
      <c r="A360" s="79">
        <v>46142</v>
      </c>
      <c r="B360" s="6">
        <v>0.91666666618209502</v>
      </c>
      <c r="C360" s="7">
        <v>10572</v>
      </c>
      <c r="D360" s="7">
        <v>374312</v>
      </c>
      <c r="E360" s="7">
        <v>11022</v>
      </c>
      <c r="F360" s="7"/>
      <c r="G360" s="7"/>
      <c r="H360" s="7"/>
      <c r="I360" s="7"/>
      <c r="J360" s="7">
        <v>4275</v>
      </c>
      <c r="K360" s="7">
        <v>5227</v>
      </c>
      <c r="L360" s="7">
        <v>25802</v>
      </c>
      <c r="M360" s="7">
        <v>15625</v>
      </c>
      <c r="N360" s="7">
        <v>368360</v>
      </c>
      <c r="O360" s="7">
        <v>297358</v>
      </c>
      <c r="P360" s="7"/>
      <c r="Q360" s="7"/>
      <c r="R360" s="7">
        <v>52201</v>
      </c>
      <c r="S360" s="7">
        <v>37280440</v>
      </c>
      <c r="T360" s="7"/>
      <c r="U360" s="7">
        <v>200740</v>
      </c>
      <c r="V360" s="7">
        <v>269756</v>
      </c>
      <c r="W360" s="7">
        <v>300804</v>
      </c>
      <c r="X360" s="18">
        <v>106749</v>
      </c>
      <c r="Y360" s="18">
        <v>53890</v>
      </c>
      <c r="Z360" s="7">
        <v>8324</v>
      </c>
      <c r="AA360" s="7">
        <v>46589</v>
      </c>
      <c r="AB360" s="7">
        <v>114240</v>
      </c>
      <c r="AC360" s="7">
        <v>283748</v>
      </c>
      <c r="AD360" s="7">
        <v>164</v>
      </c>
      <c r="AE360" s="7">
        <v>7334</v>
      </c>
      <c r="AF360" s="7">
        <v>33687</v>
      </c>
      <c r="AG360" s="7">
        <v>150</v>
      </c>
      <c r="AH360" s="7"/>
      <c r="AI360" s="7">
        <v>1</v>
      </c>
      <c r="AJ360" s="7">
        <v>7174</v>
      </c>
      <c r="AK360" s="7">
        <v>2376</v>
      </c>
    </row>
    <row r="361" spans="1:37" ht="48.75" customHeight="1" x14ac:dyDescent="0.25">
      <c r="A361" s="80"/>
      <c r="B361" s="10">
        <v>0.249999999515126</v>
      </c>
      <c r="C361" s="11">
        <v>10615</v>
      </c>
      <c r="D361" s="11">
        <v>374558</v>
      </c>
      <c r="E361" s="11">
        <v>11022</v>
      </c>
      <c r="F361" s="11"/>
      <c r="G361" s="11"/>
      <c r="H361" s="11"/>
      <c r="I361" s="11"/>
      <c r="J361" s="11">
        <v>4276</v>
      </c>
      <c r="K361" s="11">
        <v>5227</v>
      </c>
      <c r="L361" s="11">
        <v>25528</v>
      </c>
      <c r="M361" s="11">
        <v>15635</v>
      </c>
      <c r="N361" s="11">
        <v>666028</v>
      </c>
      <c r="O361" s="11">
        <v>297575</v>
      </c>
      <c r="P361" s="11"/>
      <c r="Q361" s="11"/>
      <c r="R361" s="11">
        <v>52224</v>
      </c>
      <c r="S361" s="11">
        <v>37340737</v>
      </c>
      <c r="T361" s="11"/>
      <c r="U361" s="11">
        <v>201178</v>
      </c>
      <c r="V361" s="11">
        <v>269955</v>
      </c>
      <c r="W361" s="11">
        <v>300946</v>
      </c>
      <c r="X361" s="9">
        <v>106787</v>
      </c>
      <c r="Y361" s="9">
        <v>53922</v>
      </c>
      <c r="Z361" s="11"/>
      <c r="AA361" s="11"/>
      <c r="AB361" s="11">
        <v>114468</v>
      </c>
      <c r="AC361" s="11">
        <v>283847</v>
      </c>
      <c r="AD361" s="11">
        <f>164+41</f>
        <v>205</v>
      </c>
      <c r="AE361" s="11"/>
      <c r="AF361" s="11"/>
      <c r="AG361" s="11"/>
      <c r="AH361" s="11"/>
      <c r="AI361" s="11"/>
      <c r="AJ361" s="11"/>
      <c r="AK361" s="11"/>
    </row>
    <row r="362" spans="1:37" ht="48.75" customHeight="1" thickBot="1" x14ac:dyDescent="0.3">
      <c r="A362" s="81"/>
      <c r="B362" s="13">
        <v>0.58333333284815603</v>
      </c>
      <c r="C362" s="14">
        <v>10650</v>
      </c>
      <c r="D362" s="14">
        <v>374792</v>
      </c>
      <c r="E362" s="14">
        <v>11024</v>
      </c>
      <c r="F362" s="14"/>
      <c r="G362" s="14"/>
      <c r="H362" s="14"/>
      <c r="I362" s="14"/>
      <c r="J362" s="14">
        <v>4276</v>
      </c>
      <c r="K362" s="14">
        <v>5227</v>
      </c>
      <c r="L362" s="14">
        <v>25848</v>
      </c>
      <c r="M362" s="14">
        <v>15646</v>
      </c>
      <c r="N362" s="14">
        <v>895236</v>
      </c>
      <c r="O362" s="14">
        <v>297741</v>
      </c>
      <c r="P362" s="14"/>
      <c r="Q362" s="14"/>
      <c r="R362" s="15">
        <v>52271</v>
      </c>
      <c r="S362" s="14">
        <v>37396143</v>
      </c>
      <c r="T362" s="14"/>
      <c r="U362" s="14">
        <v>201640</v>
      </c>
      <c r="V362" s="14">
        <v>270070</v>
      </c>
      <c r="W362" s="14">
        <v>301024</v>
      </c>
      <c r="X362" s="21">
        <v>106839</v>
      </c>
      <c r="Y362" s="21">
        <v>53965</v>
      </c>
      <c r="Z362" s="21"/>
      <c r="AA362" s="21"/>
      <c r="AB362" s="21">
        <v>114665</v>
      </c>
      <c r="AC362" s="21">
        <v>283934</v>
      </c>
      <c r="AD362" s="21">
        <v>238</v>
      </c>
      <c r="AE362" s="21"/>
      <c r="AF362" s="21"/>
      <c r="AG362" s="21"/>
      <c r="AH362" s="21"/>
      <c r="AI362" s="22"/>
      <c r="AJ362" s="21"/>
      <c r="AK362" s="21"/>
    </row>
    <row r="363" spans="1:37" ht="48.75" customHeight="1" thickBot="1" x14ac:dyDescent="0.3">
      <c r="A363" s="79">
        <v>46143</v>
      </c>
      <c r="B363" s="6">
        <v>0.91666666618118597</v>
      </c>
      <c r="C363" s="7">
        <v>10675</v>
      </c>
      <c r="D363" s="7">
        <v>375034</v>
      </c>
      <c r="E363" s="7">
        <v>11025</v>
      </c>
      <c r="F363" s="7"/>
      <c r="G363" s="7"/>
      <c r="H363" s="7"/>
      <c r="I363" s="7"/>
      <c r="J363" s="7">
        <v>4277</v>
      </c>
      <c r="K363" s="7">
        <v>5227</v>
      </c>
      <c r="L363" s="7">
        <v>25876</v>
      </c>
      <c r="M363" s="7">
        <v>15660</v>
      </c>
      <c r="N363" s="7">
        <v>1077421</v>
      </c>
      <c r="O363" s="7">
        <v>297882</v>
      </c>
      <c r="P363" s="7"/>
      <c r="Q363" s="7"/>
      <c r="R363" s="8">
        <v>52302</v>
      </c>
      <c r="S363" s="7">
        <v>37405568</v>
      </c>
      <c r="T363" s="7"/>
      <c r="U363" s="7">
        <v>201950</v>
      </c>
      <c r="V363" s="7">
        <v>270183</v>
      </c>
      <c r="W363" s="7">
        <v>301128</v>
      </c>
      <c r="X363" s="18">
        <v>106865</v>
      </c>
      <c r="Y363" s="18">
        <v>53986</v>
      </c>
      <c r="Z363" s="18">
        <v>8483</v>
      </c>
      <c r="AA363" s="18">
        <v>46652</v>
      </c>
      <c r="AB363" s="18">
        <v>114830</v>
      </c>
      <c r="AC363" s="18">
        <v>284002</v>
      </c>
      <c r="AD363" s="18">
        <v>260</v>
      </c>
      <c r="AE363" s="18">
        <v>7341</v>
      </c>
      <c r="AF363" s="18">
        <v>33687</v>
      </c>
      <c r="AG363" s="18">
        <v>150</v>
      </c>
      <c r="AH363" s="18"/>
      <c r="AI363" s="19">
        <v>1</v>
      </c>
      <c r="AJ363" s="18">
        <v>7204</v>
      </c>
      <c r="AK363" s="18">
        <v>2376</v>
      </c>
    </row>
    <row r="364" spans="1:37" ht="48.75" customHeight="1" thickBot="1" x14ac:dyDescent="0.3">
      <c r="A364" s="80"/>
      <c r="B364" s="10">
        <v>0.24999999951410201</v>
      </c>
      <c r="C364" s="7">
        <v>10682</v>
      </c>
      <c r="D364" s="7">
        <v>375215</v>
      </c>
      <c r="E364" s="7">
        <v>11026</v>
      </c>
      <c r="F364" s="7"/>
      <c r="G364" s="7"/>
      <c r="H364" s="7"/>
      <c r="I364" s="7"/>
      <c r="J364" s="7">
        <v>4277</v>
      </c>
      <c r="K364" s="7">
        <v>5227</v>
      </c>
      <c r="L364" s="7">
        <v>25894</v>
      </c>
      <c r="M364" s="7">
        <v>15627</v>
      </c>
      <c r="N364" s="7">
        <v>1250795</v>
      </c>
      <c r="O364" s="7">
        <v>298021</v>
      </c>
      <c r="P364" s="7"/>
      <c r="Q364" s="7"/>
      <c r="R364" s="8">
        <v>52336</v>
      </c>
      <c r="S364" s="7" t="s">
        <v>99</v>
      </c>
      <c r="T364" s="7"/>
      <c r="U364" s="7">
        <v>202149</v>
      </c>
      <c r="V364" s="7">
        <v>270292</v>
      </c>
      <c r="W364" s="7">
        <v>301228</v>
      </c>
      <c r="X364" s="18">
        <v>106892</v>
      </c>
      <c r="Y364" s="18">
        <v>54006</v>
      </c>
      <c r="Z364" s="18">
        <v>8528</v>
      </c>
      <c r="AA364" s="18">
        <v>46591</v>
      </c>
      <c r="AB364" s="18">
        <v>114950</v>
      </c>
      <c r="AC364" s="18">
        <v>284449</v>
      </c>
      <c r="AD364" s="18">
        <v>295</v>
      </c>
      <c r="AE364" s="18">
        <v>7343</v>
      </c>
      <c r="AF364" s="18">
        <v>33687</v>
      </c>
      <c r="AG364" s="18">
        <v>150</v>
      </c>
      <c r="AH364" s="18"/>
      <c r="AI364" s="19">
        <v>1</v>
      </c>
      <c r="AJ364" s="18">
        <v>7210</v>
      </c>
      <c r="AK364" s="18">
        <v>2376</v>
      </c>
    </row>
    <row r="365" spans="1:37" ht="48.75" customHeight="1" thickBot="1" x14ac:dyDescent="0.3">
      <c r="A365" s="81"/>
      <c r="B365" s="13">
        <v>0.58333333284713296</v>
      </c>
      <c r="C365" s="7">
        <v>10682</v>
      </c>
      <c r="D365" s="7">
        <v>375215</v>
      </c>
      <c r="E365" s="7">
        <v>11026</v>
      </c>
      <c r="F365" s="7"/>
      <c r="G365" s="7"/>
      <c r="H365" s="7"/>
      <c r="I365" s="7"/>
      <c r="J365" s="7">
        <v>4277</v>
      </c>
      <c r="K365" s="7">
        <v>5227</v>
      </c>
      <c r="L365" s="7">
        <v>25894</v>
      </c>
      <c r="M365" s="7">
        <v>15627</v>
      </c>
      <c r="N365" s="7">
        <v>1250795</v>
      </c>
      <c r="O365" s="7">
        <v>298021</v>
      </c>
      <c r="P365" s="7"/>
      <c r="Q365" s="7"/>
      <c r="R365" s="8">
        <v>52336</v>
      </c>
      <c r="S365" s="7" t="s">
        <v>99</v>
      </c>
      <c r="T365" s="7"/>
      <c r="U365" s="7">
        <v>202149</v>
      </c>
      <c r="V365" s="7">
        <v>270292</v>
      </c>
      <c r="W365" s="7">
        <v>301228</v>
      </c>
      <c r="X365" s="18">
        <v>106892</v>
      </c>
      <c r="Y365" s="18">
        <v>54006</v>
      </c>
      <c r="Z365" s="18">
        <v>8528</v>
      </c>
      <c r="AA365" s="18">
        <v>46591</v>
      </c>
      <c r="AB365" s="18">
        <v>114950</v>
      </c>
      <c r="AC365" s="18">
        <v>284449</v>
      </c>
      <c r="AD365" s="18">
        <v>295</v>
      </c>
      <c r="AE365" s="18">
        <v>7343</v>
      </c>
      <c r="AF365" s="18">
        <v>33687</v>
      </c>
      <c r="AG365" s="18">
        <v>150</v>
      </c>
      <c r="AH365" s="18"/>
      <c r="AI365" s="19">
        <v>1</v>
      </c>
      <c r="AJ365" s="18">
        <v>7210</v>
      </c>
      <c r="AK365" s="18">
        <v>2376</v>
      </c>
    </row>
    <row r="366" spans="1:37" ht="48.75" customHeight="1" thickBot="1" x14ac:dyDescent="0.3">
      <c r="A366" s="79">
        <v>46144</v>
      </c>
      <c r="B366" s="6">
        <v>0.91666666618016301</v>
      </c>
      <c r="C366" s="7">
        <v>10682</v>
      </c>
      <c r="D366" s="7">
        <v>375215</v>
      </c>
      <c r="E366" s="7">
        <v>11026</v>
      </c>
      <c r="F366" s="7"/>
      <c r="G366" s="7"/>
      <c r="H366" s="7"/>
      <c r="I366" s="7"/>
      <c r="J366" s="7">
        <v>4277</v>
      </c>
      <c r="K366" s="7">
        <v>5227</v>
      </c>
      <c r="L366" s="7">
        <v>25894</v>
      </c>
      <c r="M366" s="7">
        <v>15627</v>
      </c>
      <c r="N366" s="7">
        <v>1250795</v>
      </c>
      <c r="O366" s="7">
        <v>298021</v>
      </c>
      <c r="P366" s="7"/>
      <c r="Q366" s="7"/>
      <c r="R366" s="8">
        <v>52336</v>
      </c>
      <c r="S366" s="7" t="s">
        <v>99</v>
      </c>
      <c r="T366" s="7"/>
      <c r="U366" s="7">
        <v>202149</v>
      </c>
      <c r="V366" s="7">
        <v>270292</v>
      </c>
      <c r="W366" s="7">
        <v>301228</v>
      </c>
      <c r="X366" s="18">
        <v>106892</v>
      </c>
      <c r="Y366" s="18">
        <v>54006</v>
      </c>
      <c r="Z366" s="18">
        <v>8528</v>
      </c>
      <c r="AA366" s="18">
        <v>46591</v>
      </c>
      <c r="AB366" s="18">
        <v>114950</v>
      </c>
      <c r="AC366" s="18">
        <v>284449</v>
      </c>
      <c r="AD366" s="18">
        <v>295</v>
      </c>
      <c r="AE366" s="18">
        <v>7343</v>
      </c>
      <c r="AF366" s="18">
        <v>33687</v>
      </c>
      <c r="AG366" s="18">
        <v>150</v>
      </c>
      <c r="AH366" s="18"/>
      <c r="AI366" s="19">
        <v>1</v>
      </c>
      <c r="AJ366" s="18">
        <v>7210</v>
      </c>
      <c r="AK366" s="18">
        <v>2376</v>
      </c>
    </row>
    <row r="367" spans="1:37" ht="48.75" customHeight="1" thickBot="1" x14ac:dyDescent="0.3">
      <c r="A367" s="80"/>
      <c r="B367" s="10">
        <v>0.249999999513079</v>
      </c>
      <c r="C367" s="7">
        <v>10682</v>
      </c>
      <c r="D367" s="7">
        <v>375215</v>
      </c>
      <c r="E367" s="7">
        <v>11026</v>
      </c>
      <c r="F367" s="7"/>
      <c r="G367" s="7"/>
      <c r="H367" s="7"/>
      <c r="I367" s="7"/>
      <c r="J367" s="7">
        <v>4277</v>
      </c>
      <c r="K367" s="7">
        <v>5227</v>
      </c>
      <c r="L367" s="7">
        <v>25894</v>
      </c>
      <c r="M367" s="7">
        <v>15627</v>
      </c>
      <c r="N367" s="7">
        <v>1250795</v>
      </c>
      <c r="O367" s="7">
        <v>298021</v>
      </c>
      <c r="P367" s="7"/>
      <c r="Q367" s="7"/>
      <c r="R367" s="8">
        <v>52336</v>
      </c>
      <c r="S367" s="7" t="s">
        <v>99</v>
      </c>
      <c r="T367" s="7"/>
      <c r="U367" s="7">
        <v>202149</v>
      </c>
      <c r="V367" s="7">
        <v>270292</v>
      </c>
      <c r="W367" s="7">
        <v>301228</v>
      </c>
      <c r="X367" s="18">
        <v>106892</v>
      </c>
      <c r="Y367" s="18">
        <v>54006</v>
      </c>
      <c r="Z367" s="18">
        <v>8528</v>
      </c>
      <c r="AA367" s="18">
        <v>46591</v>
      </c>
      <c r="AB367" s="18">
        <v>114950</v>
      </c>
      <c r="AC367" s="18">
        <v>284449</v>
      </c>
      <c r="AD367" s="18">
        <v>295</v>
      </c>
      <c r="AE367" s="18">
        <v>7343</v>
      </c>
      <c r="AF367" s="18">
        <v>33687</v>
      </c>
      <c r="AG367" s="18">
        <v>150</v>
      </c>
      <c r="AH367" s="18"/>
      <c r="AI367" s="19">
        <v>1</v>
      </c>
      <c r="AJ367" s="18">
        <v>7210</v>
      </c>
      <c r="AK367" s="18">
        <v>2376</v>
      </c>
    </row>
    <row r="368" spans="1:37" ht="48.75" customHeight="1" thickBot="1" x14ac:dyDescent="0.3">
      <c r="A368" s="81"/>
      <c r="B368" s="13">
        <v>0.583333332846109</v>
      </c>
      <c r="C368" s="7">
        <v>10682</v>
      </c>
      <c r="D368" s="7">
        <v>375215</v>
      </c>
      <c r="E368" s="7">
        <v>11026</v>
      </c>
      <c r="F368" s="7"/>
      <c r="G368" s="7"/>
      <c r="H368" s="7"/>
      <c r="I368" s="7"/>
      <c r="J368" s="7">
        <v>4277</v>
      </c>
      <c r="K368" s="7">
        <v>5227</v>
      </c>
      <c r="L368" s="7">
        <v>25894</v>
      </c>
      <c r="M368" s="7">
        <v>15627</v>
      </c>
      <c r="N368" s="7">
        <v>1250795</v>
      </c>
      <c r="O368" s="7">
        <v>298021</v>
      </c>
      <c r="P368" s="7"/>
      <c r="Q368" s="7"/>
      <c r="R368" s="8">
        <v>52336</v>
      </c>
      <c r="S368" s="7" t="s">
        <v>99</v>
      </c>
      <c r="T368" s="7"/>
      <c r="U368" s="7">
        <v>202149</v>
      </c>
      <c r="V368" s="7">
        <v>270292</v>
      </c>
      <c r="W368" s="7">
        <v>301228</v>
      </c>
      <c r="X368" s="18">
        <v>106892</v>
      </c>
      <c r="Y368" s="18">
        <v>54006</v>
      </c>
      <c r="Z368" s="18">
        <v>8528</v>
      </c>
      <c r="AA368" s="18">
        <v>46591</v>
      </c>
      <c r="AB368" s="18">
        <v>114950</v>
      </c>
      <c r="AC368" s="18">
        <v>284449</v>
      </c>
      <c r="AD368" s="18">
        <v>295</v>
      </c>
      <c r="AE368" s="18">
        <v>7343</v>
      </c>
      <c r="AF368" s="18">
        <v>33687</v>
      </c>
      <c r="AG368" s="18">
        <v>150</v>
      </c>
      <c r="AH368" s="18"/>
      <c r="AI368" s="19">
        <v>1</v>
      </c>
      <c r="AJ368" s="18">
        <v>7210</v>
      </c>
      <c r="AK368" s="18">
        <v>2376</v>
      </c>
    </row>
    <row r="369" spans="1:37" ht="48.75" customHeight="1" thickBot="1" x14ac:dyDescent="0.3">
      <c r="A369" s="79">
        <v>46145</v>
      </c>
      <c r="B369" s="6">
        <v>0.91666666617914005</v>
      </c>
      <c r="C369" s="7">
        <v>10682</v>
      </c>
      <c r="D369" s="7">
        <v>375215</v>
      </c>
      <c r="E369" s="7">
        <v>11026</v>
      </c>
      <c r="F369" s="7"/>
      <c r="G369" s="7"/>
      <c r="H369" s="7"/>
      <c r="I369" s="7"/>
      <c r="J369" s="7">
        <v>4277</v>
      </c>
      <c r="K369" s="7">
        <v>5227</v>
      </c>
      <c r="L369" s="7">
        <v>25894</v>
      </c>
      <c r="M369" s="7">
        <v>15627</v>
      </c>
      <c r="N369" s="7">
        <v>1250795</v>
      </c>
      <c r="O369" s="7">
        <v>298021</v>
      </c>
      <c r="P369" s="7"/>
      <c r="Q369" s="7"/>
      <c r="R369" s="8">
        <v>52336</v>
      </c>
      <c r="S369" s="7" t="s">
        <v>99</v>
      </c>
      <c r="T369" s="7"/>
      <c r="U369" s="7">
        <v>202149</v>
      </c>
      <c r="V369" s="7">
        <v>270292</v>
      </c>
      <c r="W369" s="7">
        <v>301228</v>
      </c>
      <c r="X369" s="18">
        <v>106892</v>
      </c>
      <c r="Y369" s="18">
        <v>54006</v>
      </c>
      <c r="Z369" s="18">
        <v>8528</v>
      </c>
      <c r="AA369" s="18">
        <v>46591</v>
      </c>
      <c r="AB369" s="18">
        <v>114950</v>
      </c>
      <c r="AC369" s="18">
        <v>284449</v>
      </c>
      <c r="AD369" s="18">
        <v>295</v>
      </c>
      <c r="AE369" s="18">
        <v>7343</v>
      </c>
      <c r="AF369" s="18">
        <v>33687</v>
      </c>
      <c r="AG369" s="18">
        <v>150</v>
      </c>
      <c r="AH369" s="18"/>
      <c r="AI369" s="19">
        <v>1</v>
      </c>
      <c r="AJ369" s="18">
        <v>7210</v>
      </c>
      <c r="AK369" s="18">
        <v>2376</v>
      </c>
    </row>
    <row r="370" spans="1:37" ht="48.75" customHeight="1" thickBot="1" x14ac:dyDescent="0.3">
      <c r="A370" s="80"/>
      <c r="B370" s="10">
        <v>0.24999999951217</v>
      </c>
      <c r="C370" s="7">
        <v>10682</v>
      </c>
      <c r="D370" s="7">
        <v>375215</v>
      </c>
      <c r="E370" s="7">
        <v>11026</v>
      </c>
      <c r="F370" s="7"/>
      <c r="G370" s="7"/>
      <c r="H370" s="7"/>
      <c r="I370" s="7"/>
      <c r="J370" s="7">
        <v>4277</v>
      </c>
      <c r="K370" s="7">
        <v>5227</v>
      </c>
      <c r="L370" s="7">
        <v>25894</v>
      </c>
      <c r="M370" s="7">
        <v>15627</v>
      </c>
      <c r="N370" s="7">
        <v>1250795</v>
      </c>
      <c r="O370" s="7">
        <v>298021</v>
      </c>
      <c r="P370" s="7"/>
      <c r="Q370" s="7"/>
      <c r="R370" s="8">
        <v>52336</v>
      </c>
      <c r="S370" s="7" t="s">
        <v>99</v>
      </c>
      <c r="T370" s="7"/>
      <c r="U370" s="7">
        <v>202149</v>
      </c>
      <c r="V370" s="7">
        <v>270292</v>
      </c>
      <c r="W370" s="7">
        <v>301228</v>
      </c>
      <c r="X370" s="18">
        <v>106892</v>
      </c>
      <c r="Y370" s="18">
        <v>54006</v>
      </c>
      <c r="Z370" s="18">
        <v>8528</v>
      </c>
      <c r="AA370" s="18">
        <v>46591</v>
      </c>
      <c r="AB370" s="18">
        <v>114950</v>
      </c>
      <c r="AC370" s="18">
        <v>284449</v>
      </c>
      <c r="AD370" s="18">
        <v>295</v>
      </c>
      <c r="AE370" s="18">
        <v>7343</v>
      </c>
      <c r="AF370" s="18">
        <v>33687</v>
      </c>
      <c r="AG370" s="18">
        <v>150</v>
      </c>
      <c r="AH370" s="18"/>
      <c r="AI370" s="19">
        <v>1</v>
      </c>
      <c r="AJ370" s="18">
        <v>7210</v>
      </c>
      <c r="AK370" s="18">
        <v>2376</v>
      </c>
    </row>
    <row r="371" spans="1:37" ht="48.75" customHeight="1" thickBot="1" x14ac:dyDescent="0.3">
      <c r="A371" s="81"/>
      <c r="B371" s="13">
        <v>0.58333333284508604</v>
      </c>
      <c r="C371" s="7">
        <v>10682</v>
      </c>
      <c r="D371" s="7">
        <v>375215</v>
      </c>
      <c r="E371" s="7">
        <v>11026</v>
      </c>
      <c r="F371" s="7"/>
      <c r="G371" s="7"/>
      <c r="H371" s="7"/>
      <c r="I371" s="7"/>
      <c r="J371" s="7">
        <v>4277</v>
      </c>
      <c r="K371" s="7">
        <v>5227</v>
      </c>
      <c r="L371" s="7">
        <v>25894</v>
      </c>
      <c r="M371" s="7">
        <v>15627</v>
      </c>
      <c r="N371" s="7">
        <v>1250795</v>
      </c>
      <c r="O371" s="7">
        <v>298021</v>
      </c>
      <c r="P371" s="7"/>
      <c r="Q371" s="7"/>
      <c r="R371" s="8">
        <v>52336</v>
      </c>
      <c r="S371" s="7" t="s">
        <v>99</v>
      </c>
      <c r="T371" s="7"/>
      <c r="U371" s="7">
        <v>202149</v>
      </c>
      <c r="V371" s="7">
        <v>270292</v>
      </c>
      <c r="W371" s="7">
        <v>301228</v>
      </c>
      <c r="X371" s="18">
        <v>106892</v>
      </c>
      <c r="Y371" s="18">
        <v>54006</v>
      </c>
      <c r="Z371" s="18">
        <v>8528</v>
      </c>
      <c r="AA371" s="18">
        <v>46591</v>
      </c>
      <c r="AB371" s="18">
        <v>114950</v>
      </c>
      <c r="AC371" s="18">
        <v>284449</v>
      </c>
      <c r="AD371" s="18">
        <v>295</v>
      </c>
      <c r="AE371" s="18">
        <v>7343</v>
      </c>
      <c r="AF371" s="18">
        <v>33687</v>
      </c>
      <c r="AG371" s="18">
        <v>150</v>
      </c>
      <c r="AH371" s="18"/>
      <c r="AI371" s="19">
        <v>1</v>
      </c>
      <c r="AJ371" s="18">
        <v>7210</v>
      </c>
      <c r="AK371" s="18">
        <v>2376</v>
      </c>
    </row>
    <row r="372" spans="1:37" ht="48.75" customHeight="1" x14ac:dyDescent="0.25">
      <c r="A372" s="79">
        <v>46146</v>
      </c>
      <c r="B372" s="6">
        <v>0.91666666617811599</v>
      </c>
      <c r="C372" s="7">
        <v>10682</v>
      </c>
      <c r="D372" s="7">
        <v>375215</v>
      </c>
      <c r="E372" s="7">
        <v>11026</v>
      </c>
      <c r="F372" s="7"/>
      <c r="G372" s="7"/>
      <c r="H372" s="7"/>
      <c r="I372" s="7"/>
      <c r="J372" s="7">
        <v>4277</v>
      </c>
      <c r="K372" s="7">
        <v>5227</v>
      </c>
      <c r="L372" s="7">
        <v>25894</v>
      </c>
      <c r="M372" s="7">
        <v>15627</v>
      </c>
      <c r="N372" s="7">
        <v>1250795</v>
      </c>
      <c r="O372" s="7">
        <v>298021</v>
      </c>
      <c r="P372" s="7"/>
      <c r="Q372" s="7"/>
      <c r="R372" s="8">
        <v>52336</v>
      </c>
      <c r="S372" s="7" t="s">
        <v>99</v>
      </c>
      <c r="T372" s="7"/>
      <c r="U372" s="7">
        <v>202149</v>
      </c>
      <c r="V372" s="7">
        <v>270292</v>
      </c>
      <c r="W372" s="7">
        <v>301228</v>
      </c>
      <c r="X372" s="18">
        <v>106892</v>
      </c>
      <c r="Y372" s="18">
        <v>54006</v>
      </c>
      <c r="Z372" s="18">
        <v>8528</v>
      </c>
      <c r="AA372" s="18">
        <v>46591</v>
      </c>
      <c r="AB372" s="18">
        <v>114950</v>
      </c>
      <c r="AC372" s="18">
        <v>284449</v>
      </c>
      <c r="AD372" s="18">
        <v>295</v>
      </c>
      <c r="AE372" s="18">
        <v>7343</v>
      </c>
      <c r="AF372" s="18">
        <v>33687</v>
      </c>
      <c r="AG372" s="18">
        <v>150</v>
      </c>
      <c r="AH372" s="18"/>
      <c r="AI372" s="19">
        <v>1</v>
      </c>
      <c r="AJ372" s="18">
        <v>7210</v>
      </c>
      <c r="AK372" s="18">
        <v>2376</v>
      </c>
    </row>
    <row r="373" spans="1:37" ht="48.75" customHeight="1" x14ac:dyDescent="0.25">
      <c r="A373" s="80"/>
      <c r="B373" s="10">
        <v>0.24999999951114699</v>
      </c>
      <c r="C373" s="11">
        <v>10709</v>
      </c>
      <c r="D373" s="11">
        <v>375466</v>
      </c>
      <c r="E373" s="11">
        <v>11028</v>
      </c>
      <c r="F373" s="11"/>
      <c r="G373" s="11"/>
      <c r="H373" s="11"/>
      <c r="I373" s="11"/>
      <c r="J373" s="11">
        <v>4277</v>
      </c>
      <c r="K373" s="11">
        <v>5230</v>
      </c>
      <c r="L373" s="11">
        <v>25895</v>
      </c>
      <c r="M373" s="11">
        <v>15632</v>
      </c>
      <c r="N373" s="11">
        <v>1327059</v>
      </c>
      <c r="O373" s="11">
        <v>298076</v>
      </c>
      <c r="P373" s="11"/>
      <c r="Q373" s="11"/>
      <c r="R373" s="12"/>
      <c r="S373" s="11" t="s">
        <v>99</v>
      </c>
      <c r="T373" s="11"/>
      <c r="U373" s="11">
        <v>202520</v>
      </c>
      <c r="V373" s="11">
        <v>270340</v>
      </c>
      <c r="W373" s="11">
        <v>301288</v>
      </c>
      <c r="X373" s="9">
        <v>106959</v>
      </c>
      <c r="Y373" s="9">
        <v>54037</v>
      </c>
      <c r="Z373" s="9"/>
      <c r="AA373" s="9"/>
      <c r="AB373" s="9">
        <v>115175</v>
      </c>
      <c r="AC373" s="9"/>
      <c r="AD373" s="9">
        <v>342</v>
      </c>
      <c r="AE373" s="9"/>
      <c r="AF373" s="9"/>
      <c r="AG373" s="9"/>
      <c r="AH373" s="9"/>
      <c r="AI373" s="20"/>
      <c r="AJ373" s="9"/>
      <c r="AK373" s="9"/>
    </row>
    <row r="374" spans="1:37" ht="48.75" customHeight="1" thickBot="1" x14ac:dyDescent="0.3">
      <c r="A374" s="81"/>
      <c r="B374" s="13">
        <v>0.58333333284417699</v>
      </c>
      <c r="C374" s="14">
        <v>10742</v>
      </c>
      <c r="D374" s="14">
        <v>375757</v>
      </c>
      <c r="E374" s="14">
        <v>11028</v>
      </c>
      <c r="F374" s="14"/>
      <c r="G374" s="14"/>
      <c r="H374" s="14"/>
      <c r="I374" s="14"/>
      <c r="J374" s="14">
        <v>4277</v>
      </c>
      <c r="K374" s="14">
        <v>5238</v>
      </c>
      <c r="L374" s="14">
        <v>25913</v>
      </c>
      <c r="M374" s="14">
        <v>15644</v>
      </c>
      <c r="N374" s="14">
        <v>1575603</v>
      </c>
      <c r="O374" s="14">
        <v>298269</v>
      </c>
      <c r="P374" s="14"/>
      <c r="Q374" s="14"/>
      <c r="R374" s="15">
        <v>52375</v>
      </c>
      <c r="S374" s="14"/>
      <c r="T374" s="14"/>
      <c r="U374" s="14">
        <v>203018</v>
      </c>
      <c r="V374" s="14">
        <v>270486</v>
      </c>
      <c r="W374" s="14">
        <v>301413</v>
      </c>
      <c r="X374" s="21">
        <v>107053</v>
      </c>
      <c r="Y374" s="21">
        <v>54093</v>
      </c>
      <c r="Z374" s="21"/>
      <c r="AA374" s="21"/>
      <c r="AB374" s="21"/>
      <c r="AC374" s="21">
        <f>AC378-AC375</f>
        <v>683</v>
      </c>
      <c r="AD374" s="21"/>
      <c r="AE374" s="21"/>
      <c r="AF374" s="21"/>
      <c r="AG374" s="21"/>
      <c r="AH374" s="21"/>
      <c r="AI374" s="22"/>
      <c r="AJ374" s="21"/>
      <c r="AK374" s="21"/>
    </row>
    <row r="375" spans="1:37" ht="48.75" customHeight="1" x14ac:dyDescent="0.25">
      <c r="A375" s="79">
        <v>46147</v>
      </c>
      <c r="B375" s="6">
        <v>0.91666666617709303</v>
      </c>
      <c r="C375" s="7">
        <v>10774</v>
      </c>
      <c r="D375" s="7">
        <v>376052</v>
      </c>
      <c r="E375" s="7">
        <v>11030</v>
      </c>
      <c r="F375" s="7"/>
      <c r="G375" s="7"/>
      <c r="H375" s="7"/>
      <c r="I375" s="7"/>
      <c r="J375" s="7">
        <v>4277</v>
      </c>
      <c r="K375" s="7">
        <v>5241</v>
      </c>
      <c r="L375" s="7">
        <v>25940</v>
      </c>
      <c r="M375" s="7">
        <v>15657</v>
      </c>
      <c r="N375" s="7">
        <v>1750524</v>
      </c>
      <c r="O375" s="7">
        <v>298399</v>
      </c>
      <c r="P375" s="7"/>
      <c r="Q375" s="7"/>
      <c r="R375" s="8">
        <v>52403</v>
      </c>
      <c r="S375" s="7" t="s">
        <v>99</v>
      </c>
      <c r="T375" s="7"/>
      <c r="U375" s="7">
        <v>203539</v>
      </c>
      <c r="V375" s="7">
        <v>270622</v>
      </c>
      <c r="W375" s="7">
        <v>301507</v>
      </c>
      <c r="X375" s="18">
        <v>107149</v>
      </c>
      <c r="Y375" s="18">
        <v>54130</v>
      </c>
      <c r="Z375" s="18">
        <v>8556</v>
      </c>
      <c r="AA375" s="18">
        <v>46696</v>
      </c>
      <c r="AB375" s="18">
        <v>115591</v>
      </c>
      <c r="AC375" s="18">
        <v>284925</v>
      </c>
      <c r="AD375" s="18">
        <v>343</v>
      </c>
      <c r="AE375" s="18">
        <v>7355</v>
      </c>
      <c r="AF375" s="18">
        <v>33687</v>
      </c>
      <c r="AG375" s="18">
        <v>150</v>
      </c>
      <c r="AH375" s="18"/>
      <c r="AI375" s="19">
        <v>1</v>
      </c>
      <c r="AJ375" s="18">
        <v>7222</v>
      </c>
      <c r="AK375" s="18">
        <v>2376</v>
      </c>
    </row>
    <row r="376" spans="1:37" ht="48.75" customHeight="1" x14ac:dyDescent="0.25">
      <c r="A376" s="80"/>
      <c r="B376" s="10">
        <v>0.249999999510123</v>
      </c>
      <c r="C376" s="11">
        <v>10802</v>
      </c>
      <c r="D376" s="11">
        <v>376269</v>
      </c>
      <c r="E376" s="11">
        <v>11033</v>
      </c>
      <c r="F376" s="11"/>
      <c r="G376" s="11"/>
      <c r="H376" s="11"/>
      <c r="I376" s="11"/>
      <c r="J376" s="11">
        <v>4277</v>
      </c>
      <c r="K376" s="11">
        <v>5245</v>
      </c>
      <c r="L376" s="11">
        <v>25964</v>
      </c>
      <c r="M376" s="11">
        <v>15668</v>
      </c>
      <c r="N376" s="11">
        <v>1971393</v>
      </c>
      <c r="O376" s="11">
        <v>298574</v>
      </c>
      <c r="P376" s="11"/>
      <c r="Q376" s="11"/>
      <c r="R376" s="12">
        <v>52424</v>
      </c>
      <c r="S376" s="11" t="s">
        <v>99</v>
      </c>
      <c r="T376" s="11"/>
      <c r="U376" s="11">
        <v>203958</v>
      </c>
      <c r="V376" s="11">
        <v>270771</v>
      </c>
      <c r="W376" s="11">
        <v>301617</v>
      </c>
      <c r="X376" s="9">
        <v>107207</v>
      </c>
      <c r="Y376" s="9">
        <v>54165</v>
      </c>
      <c r="Z376" s="9"/>
      <c r="AA376" s="9"/>
      <c r="AB376" s="9">
        <v>115816</v>
      </c>
      <c r="AC376" s="9">
        <v>285149</v>
      </c>
      <c r="AD376" s="9"/>
      <c r="AE376" s="9"/>
      <c r="AF376" s="9"/>
      <c r="AG376" s="9"/>
      <c r="AH376" s="9"/>
      <c r="AI376" s="20"/>
      <c r="AJ376" s="9"/>
      <c r="AK376" s="9"/>
    </row>
    <row r="377" spans="1:37" ht="48.75" customHeight="1" thickBot="1" x14ac:dyDescent="0.3">
      <c r="A377" s="81"/>
      <c r="B377" s="13">
        <v>0.58333333284315403</v>
      </c>
      <c r="C377" s="14">
        <v>10839</v>
      </c>
      <c r="D377" s="14">
        <v>376605</v>
      </c>
      <c r="E377" s="14">
        <v>11036</v>
      </c>
      <c r="F377" s="14"/>
      <c r="G377" s="14"/>
      <c r="H377" s="14"/>
      <c r="I377" s="14"/>
      <c r="J377" s="14">
        <v>4277</v>
      </c>
      <c r="K377" s="14">
        <v>5262</v>
      </c>
      <c r="L377" s="14">
        <v>25989</v>
      </c>
      <c r="M377" s="14">
        <v>15682</v>
      </c>
      <c r="N377" s="14">
        <v>2229361</v>
      </c>
      <c r="O377" s="14">
        <v>298772</v>
      </c>
      <c r="P377" s="14"/>
      <c r="Q377" s="14"/>
      <c r="R377" s="15">
        <v>52469</v>
      </c>
      <c r="S377" s="11" t="s">
        <v>99</v>
      </c>
      <c r="T377" s="14"/>
      <c r="U377" s="14">
        <v>204577</v>
      </c>
      <c r="V377" s="14">
        <v>270928</v>
      </c>
      <c r="W377" s="14">
        <v>301754</v>
      </c>
      <c r="X377" s="21">
        <v>107268</v>
      </c>
      <c r="Y377" s="21">
        <v>54221</v>
      </c>
      <c r="Z377" s="21"/>
      <c r="AA377" s="21"/>
      <c r="AB377" s="21">
        <v>116054</v>
      </c>
      <c r="AC377" s="21">
        <v>285395</v>
      </c>
      <c r="AD377" s="21">
        <v>344</v>
      </c>
      <c r="AE377" s="21"/>
      <c r="AF377" s="21"/>
      <c r="AG377" s="21"/>
      <c r="AH377" s="21"/>
      <c r="AI377" s="22"/>
      <c r="AJ377" s="21"/>
      <c r="AK377" s="21"/>
    </row>
    <row r="378" spans="1:37" ht="48.75" customHeight="1" thickBot="1" x14ac:dyDescent="0.3">
      <c r="A378" s="79">
        <v>46148</v>
      </c>
      <c r="B378" s="6">
        <v>0.91666666617618398</v>
      </c>
      <c r="C378" s="7">
        <v>10870</v>
      </c>
      <c r="D378" s="7">
        <v>376864</v>
      </c>
      <c r="E378" s="7">
        <v>11039</v>
      </c>
      <c r="F378" s="7"/>
      <c r="G378" s="7"/>
      <c r="H378" s="7"/>
      <c r="I378" s="7"/>
      <c r="J378" s="7">
        <v>4279</v>
      </c>
      <c r="K378" s="7">
        <v>5263</v>
      </c>
      <c r="L378" s="7">
        <v>26012</v>
      </c>
      <c r="M378" s="7">
        <v>15693</v>
      </c>
      <c r="N378" s="7">
        <v>2486055</v>
      </c>
      <c r="O378" s="7">
        <v>298972</v>
      </c>
      <c r="P378" s="7"/>
      <c r="Q378" s="7"/>
      <c r="R378" s="8">
        <v>52491</v>
      </c>
      <c r="S378" s="7" t="s">
        <v>99</v>
      </c>
      <c r="T378" s="7"/>
      <c r="U378" s="7">
        <v>205068</v>
      </c>
      <c r="V378" s="7">
        <v>271085</v>
      </c>
      <c r="W378" s="7">
        <v>301884</v>
      </c>
      <c r="X378" s="18">
        <v>107310</v>
      </c>
      <c r="Y378" s="18">
        <v>54262</v>
      </c>
      <c r="Z378" s="18">
        <v>8604</v>
      </c>
      <c r="AA378" s="18">
        <v>46782</v>
      </c>
      <c r="AB378" s="18">
        <v>116259</v>
      </c>
      <c r="AC378" s="18">
        <v>285608</v>
      </c>
      <c r="AD378" s="18">
        <v>365</v>
      </c>
      <c r="AE378" s="18">
        <v>7377</v>
      </c>
      <c r="AF378" s="18">
        <v>33687</v>
      </c>
      <c r="AG378" s="18">
        <v>150</v>
      </c>
      <c r="AH378" s="18"/>
      <c r="AI378" s="19">
        <v>1</v>
      </c>
      <c r="AJ378" s="18">
        <v>7243</v>
      </c>
      <c r="AK378" s="18">
        <v>2376</v>
      </c>
    </row>
    <row r="379" spans="1:37" ht="48.75" customHeight="1" thickBot="1" x14ac:dyDescent="0.3">
      <c r="A379" s="80"/>
      <c r="B379" s="10">
        <v>0.24999999950910001</v>
      </c>
      <c r="C379" s="11">
        <v>10902</v>
      </c>
      <c r="D379" s="11">
        <v>377133</v>
      </c>
      <c r="E379" s="11">
        <v>11041</v>
      </c>
      <c r="F379" s="11"/>
      <c r="G379" s="11"/>
      <c r="H379" s="11"/>
      <c r="I379" s="11"/>
      <c r="J379" s="11">
        <v>4280</v>
      </c>
      <c r="K379" s="11">
        <v>5263</v>
      </c>
      <c r="L379" s="11">
        <v>26036</v>
      </c>
      <c r="M379" s="11">
        <v>15704</v>
      </c>
      <c r="N379" s="11">
        <v>2788002</v>
      </c>
      <c r="O379" s="11">
        <v>299207</v>
      </c>
      <c r="P379" s="11"/>
      <c r="Q379" s="11"/>
      <c r="R379" s="12">
        <v>52514</v>
      </c>
      <c r="S379" s="7" t="s">
        <v>99</v>
      </c>
      <c r="T379" s="11"/>
      <c r="U379" s="11">
        <v>205574</v>
      </c>
      <c r="V379" s="11">
        <v>271248</v>
      </c>
      <c r="W379" s="11">
        <v>302039</v>
      </c>
      <c r="X379" s="9">
        <v>107364</v>
      </c>
      <c r="Y379" s="9">
        <v>54308</v>
      </c>
      <c r="Z379" s="9"/>
      <c r="AA379" s="9"/>
      <c r="AB379" s="9">
        <v>116476</v>
      </c>
      <c r="AC379" s="9">
        <v>285831</v>
      </c>
      <c r="AD379" s="9">
        <v>378</v>
      </c>
      <c r="AE379" s="9"/>
      <c r="AF379" s="9"/>
      <c r="AG379" s="9"/>
      <c r="AH379" s="9"/>
      <c r="AI379" s="20"/>
      <c r="AJ379" s="9"/>
      <c r="AK379" s="9"/>
    </row>
    <row r="380" spans="1:37" ht="48.75" customHeight="1" thickBot="1" x14ac:dyDescent="0.3">
      <c r="A380" s="81"/>
      <c r="B380" s="13">
        <v>0.58333333284212996</v>
      </c>
      <c r="C380" s="14">
        <v>10933</v>
      </c>
      <c r="D380" s="14">
        <v>377472</v>
      </c>
      <c r="E380" s="14">
        <v>11045</v>
      </c>
      <c r="F380" s="14"/>
      <c r="G380" s="14"/>
      <c r="H380" s="14"/>
      <c r="I380" s="14"/>
      <c r="J380" s="14">
        <v>4281</v>
      </c>
      <c r="K380" s="14">
        <v>5263</v>
      </c>
      <c r="L380" s="14">
        <v>26063</v>
      </c>
      <c r="M380" s="14">
        <v>15711</v>
      </c>
      <c r="N380" s="14">
        <v>3017475</v>
      </c>
      <c r="O380" s="14">
        <v>299368</v>
      </c>
      <c r="P380" s="14"/>
      <c r="Q380" s="14"/>
      <c r="R380" s="15">
        <v>52554</v>
      </c>
      <c r="S380" s="7" t="s">
        <v>99</v>
      </c>
      <c r="T380" s="14"/>
      <c r="U380" s="14">
        <v>206087</v>
      </c>
      <c r="V380" s="14">
        <v>271396</v>
      </c>
      <c r="W380" s="14">
        <v>302156</v>
      </c>
      <c r="X380" s="21">
        <v>107409</v>
      </c>
      <c r="Y380" s="21">
        <v>54350</v>
      </c>
      <c r="Z380" s="21"/>
      <c r="AA380" s="21"/>
      <c r="AB380" s="21">
        <v>116668</v>
      </c>
      <c r="AC380" s="21">
        <v>286069</v>
      </c>
      <c r="AD380" s="21">
        <v>397</v>
      </c>
      <c r="AE380" s="21"/>
      <c r="AF380" s="21"/>
      <c r="AG380" s="21"/>
      <c r="AH380" s="21"/>
      <c r="AI380" s="22"/>
      <c r="AJ380" s="21"/>
      <c r="AK380" s="21"/>
    </row>
    <row r="381" spans="1:37" ht="48.75" customHeight="1" thickBot="1" x14ac:dyDescent="0.3">
      <c r="A381" s="79">
        <v>46149</v>
      </c>
      <c r="B381" s="6">
        <v>0.91666666617516102</v>
      </c>
      <c r="C381" s="7">
        <v>10959</v>
      </c>
      <c r="D381" s="7">
        <v>377709</v>
      </c>
      <c r="E381" s="7">
        <v>11047</v>
      </c>
      <c r="F381" s="7"/>
      <c r="G381" s="7"/>
      <c r="H381" s="7"/>
      <c r="I381" s="7"/>
      <c r="J381" s="7">
        <v>4281</v>
      </c>
      <c r="K381" s="7">
        <v>5264</v>
      </c>
      <c r="L381" s="7">
        <v>26084</v>
      </c>
      <c r="M381" s="7">
        <v>15727</v>
      </c>
      <c r="N381" s="7">
        <v>3272253</v>
      </c>
      <c r="O381" s="7">
        <v>299558</v>
      </c>
      <c r="P381" s="7"/>
      <c r="Q381" s="7"/>
      <c r="R381" s="8">
        <v>52574</v>
      </c>
      <c r="S381" s="7" t="s">
        <v>99</v>
      </c>
      <c r="T381" s="7"/>
      <c r="U381" s="7">
        <v>206526</v>
      </c>
      <c r="V381" s="7">
        <v>271522</v>
      </c>
      <c r="W381" s="7">
        <v>302257</v>
      </c>
      <c r="X381" s="18">
        <v>107448</v>
      </c>
      <c r="Y381" s="18">
        <v>54386</v>
      </c>
      <c r="Z381" s="18">
        <v>8652</v>
      </c>
      <c r="AA381" s="18">
        <v>46861</v>
      </c>
      <c r="AB381" s="18">
        <v>116861</v>
      </c>
      <c r="AC381" s="18">
        <v>286174</v>
      </c>
      <c r="AD381" s="18">
        <v>418</v>
      </c>
      <c r="AE381" s="18">
        <v>7381</v>
      </c>
      <c r="AF381" s="18">
        <v>33687</v>
      </c>
      <c r="AG381" s="18">
        <v>150</v>
      </c>
      <c r="AH381" s="18"/>
      <c r="AI381" s="19">
        <v>1</v>
      </c>
      <c r="AJ381" s="18">
        <v>7253</v>
      </c>
      <c r="AK381" s="18">
        <v>2376</v>
      </c>
    </row>
    <row r="382" spans="1:37" ht="48.75" customHeight="1" thickBot="1" x14ac:dyDescent="0.3">
      <c r="A382" s="80"/>
      <c r="B382" s="10">
        <v>0.24999999950819099</v>
      </c>
      <c r="C382" s="11">
        <v>10989</v>
      </c>
      <c r="D382" s="11">
        <v>377988</v>
      </c>
      <c r="E382" s="11">
        <v>11049</v>
      </c>
      <c r="F382" s="11"/>
      <c r="G382" s="11"/>
      <c r="H382" s="11"/>
      <c r="I382" s="11"/>
      <c r="J382" s="11">
        <v>4282</v>
      </c>
      <c r="K382" s="11">
        <v>5264</v>
      </c>
      <c r="L382" s="11">
        <v>26108</v>
      </c>
      <c r="M382" s="11">
        <v>15734</v>
      </c>
      <c r="N382" s="11">
        <v>3539211</v>
      </c>
      <c r="O382" s="11">
        <v>299765</v>
      </c>
      <c r="P382" s="11"/>
      <c r="Q382" s="11"/>
      <c r="R382" s="12">
        <v>52591</v>
      </c>
      <c r="S382" s="7" t="s">
        <v>99</v>
      </c>
      <c r="T382" s="11"/>
      <c r="U382" s="11">
        <v>207059</v>
      </c>
      <c r="V382" s="11">
        <v>271707</v>
      </c>
      <c r="W382" s="11">
        <v>302395</v>
      </c>
      <c r="X382" s="9">
        <v>107497</v>
      </c>
      <c r="Y382" s="9">
        <v>54433</v>
      </c>
      <c r="Z382" s="9"/>
      <c r="AA382" s="9"/>
      <c r="AB382" s="9">
        <v>117076</v>
      </c>
      <c r="AC382" s="9">
        <v>286294</v>
      </c>
      <c r="AD382" s="9">
        <v>454</v>
      </c>
      <c r="AE382" s="9"/>
      <c r="AF382" s="9"/>
      <c r="AG382" s="9"/>
      <c r="AH382" s="9"/>
      <c r="AI382" s="20"/>
      <c r="AJ382" s="9"/>
      <c r="AK382" s="9"/>
    </row>
    <row r="383" spans="1:37" ht="48.75" customHeight="1" thickBot="1" x14ac:dyDescent="0.3">
      <c r="A383" s="81"/>
      <c r="B383" s="13">
        <v>0.583333332841107</v>
      </c>
      <c r="C383" s="14">
        <v>11019</v>
      </c>
      <c r="D383" s="14">
        <v>378259</v>
      </c>
      <c r="E383" s="14">
        <v>11051</v>
      </c>
      <c r="F383" s="14"/>
      <c r="G383" s="14"/>
      <c r="H383" s="14"/>
      <c r="I383" s="14"/>
      <c r="J383" s="14">
        <v>4282</v>
      </c>
      <c r="K383" s="14">
        <v>5272</v>
      </c>
      <c r="L383" s="14">
        <v>26130</v>
      </c>
      <c r="M383" s="14">
        <v>15747</v>
      </c>
      <c r="N383" s="14">
        <v>3808735</v>
      </c>
      <c r="O383" s="14">
        <v>299965</v>
      </c>
      <c r="P383" s="14"/>
      <c r="Q383" s="14"/>
      <c r="R383" s="15">
        <v>52625</v>
      </c>
      <c r="S383" s="7" t="s">
        <v>99</v>
      </c>
      <c r="T383" s="14"/>
      <c r="U383" s="14">
        <v>207696</v>
      </c>
      <c r="V383" s="14">
        <v>271872</v>
      </c>
      <c r="W383" s="14">
        <v>302511</v>
      </c>
      <c r="X383" s="21">
        <v>107515</v>
      </c>
      <c r="Y383" s="21">
        <v>54451</v>
      </c>
      <c r="Z383" s="21"/>
      <c r="AA383" s="21"/>
      <c r="AB383" s="21">
        <v>117272</v>
      </c>
      <c r="AC383" s="21">
        <v>286371</v>
      </c>
      <c r="AD383" s="21">
        <v>455</v>
      </c>
      <c r="AE383" s="21"/>
      <c r="AF383" s="21"/>
      <c r="AG383" s="21"/>
      <c r="AH383" s="21"/>
      <c r="AI383" s="22"/>
      <c r="AJ383" s="21"/>
      <c r="AK383" s="21"/>
    </row>
    <row r="384" spans="1:37" ht="48.75" customHeight="1" thickBot="1" x14ac:dyDescent="0.3">
      <c r="A384" s="79">
        <v>46150</v>
      </c>
      <c r="B384" s="6">
        <v>0.91666666617368397</v>
      </c>
      <c r="C384" s="7">
        <v>11053</v>
      </c>
      <c r="D384" s="7">
        <v>378525</v>
      </c>
      <c r="E384" s="7">
        <v>11053</v>
      </c>
      <c r="F384" s="7"/>
      <c r="G384" s="7"/>
      <c r="H384" s="7"/>
      <c r="I384" s="7"/>
      <c r="J384" s="7">
        <v>4282</v>
      </c>
      <c r="K384" s="7">
        <v>5274</v>
      </c>
      <c r="L384" s="7">
        <v>26155</v>
      </c>
      <c r="M384" s="7">
        <v>15753</v>
      </c>
      <c r="N384" s="7">
        <v>4052669</v>
      </c>
      <c r="O384" s="7">
        <v>300134</v>
      </c>
      <c r="P384" s="7"/>
      <c r="Q384" s="7"/>
      <c r="R384" s="8">
        <v>52647</v>
      </c>
      <c r="S384" s="7" t="s">
        <v>99</v>
      </c>
      <c r="T384" s="7"/>
      <c r="U384" s="7">
        <v>208080</v>
      </c>
      <c r="V384" s="7">
        <v>272072</v>
      </c>
      <c r="W384" s="7">
        <v>302622</v>
      </c>
      <c r="X384" s="18">
        <f>AVERAGE(X385,X383)</f>
        <v>107571.5</v>
      </c>
      <c r="Y384" s="18">
        <f>AVERAGE(Y385,Y383)</f>
        <v>54498.5</v>
      </c>
      <c r="Z384" s="18"/>
      <c r="AA384" s="18"/>
      <c r="AB384" s="18">
        <v>117493</v>
      </c>
      <c r="AC384" s="18">
        <v>286475</v>
      </c>
      <c r="AD384" s="18">
        <v>475</v>
      </c>
      <c r="AE384" s="18"/>
      <c r="AF384" s="18"/>
      <c r="AG384" s="18"/>
      <c r="AH384" s="18"/>
      <c r="AI384" s="19"/>
      <c r="AJ384" s="18"/>
      <c r="AK384" s="18"/>
    </row>
    <row r="385" spans="1:37" ht="48.75" customHeight="1" thickBot="1" x14ac:dyDescent="0.3">
      <c r="A385" s="80"/>
      <c r="B385" s="10">
        <v>0.24999999950659399</v>
      </c>
      <c r="C385" s="11">
        <v>11087</v>
      </c>
      <c r="D385" s="11">
        <v>378736</v>
      </c>
      <c r="E385" s="11">
        <v>11087</v>
      </c>
      <c r="F385" s="11"/>
      <c r="G385" s="11"/>
      <c r="H385" s="11"/>
      <c r="I385" s="11"/>
      <c r="J385" s="11">
        <v>4282</v>
      </c>
      <c r="K385" s="11">
        <v>5274</v>
      </c>
      <c r="L385" s="11">
        <v>26180</v>
      </c>
      <c r="M385" s="11">
        <v>15760</v>
      </c>
      <c r="N385" s="11">
        <v>4357611</v>
      </c>
      <c r="O385" s="11">
        <v>300359</v>
      </c>
      <c r="P385" s="11"/>
      <c r="Q385" s="11"/>
      <c r="R385" s="12">
        <v>52680</v>
      </c>
      <c r="S385" s="7" t="s">
        <v>99</v>
      </c>
      <c r="T385" s="11"/>
      <c r="U385" s="11">
        <v>208550</v>
      </c>
      <c r="V385" s="11">
        <v>272250</v>
      </c>
      <c r="W385" s="11">
        <v>302720</v>
      </c>
      <c r="X385" s="9">
        <v>107628</v>
      </c>
      <c r="Y385" s="9">
        <v>54546</v>
      </c>
      <c r="Z385" s="9"/>
      <c r="AA385" s="9"/>
      <c r="AB385" s="9">
        <v>117620</v>
      </c>
      <c r="AC385" s="9">
        <v>286616</v>
      </c>
      <c r="AD385" s="9">
        <v>548</v>
      </c>
      <c r="AE385" s="9"/>
      <c r="AF385" s="9"/>
      <c r="AG385" s="9"/>
      <c r="AH385" s="9"/>
      <c r="AI385" s="20"/>
      <c r="AJ385" s="9"/>
      <c r="AK385" s="9"/>
    </row>
    <row r="386" spans="1:37" ht="48.75" customHeight="1" thickBot="1" x14ac:dyDescent="0.3">
      <c r="A386" s="81"/>
      <c r="B386" s="13">
        <v>0.58333333283951405</v>
      </c>
      <c r="C386" s="14">
        <v>11058</v>
      </c>
      <c r="D386" s="14">
        <v>379052</v>
      </c>
      <c r="E386" s="14">
        <v>11118</v>
      </c>
      <c r="F386" s="14"/>
      <c r="G386" s="14"/>
      <c r="H386" s="14"/>
      <c r="I386" s="14"/>
      <c r="J386" s="14">
        <v>4284</v>
      </c>
      <c r="K386" s="14">
        <v>5274</v>
      </c>
      <c r="L386" s="14">
        <v>26203</v>
      </c>
      <c r="M386" s="14">
        <v>15776</v>
      </c>
      <c r="N386" s="14">
        <v>4571615</v>
      </c>
      <c r="O386" s="14">
        <v>300520</v>
      </c>
      <c r="P386" s="14"/>
      <c r="Q386" s="14"/>
      <c r="R386" s="15">
        <v>52715</v>
      </c>
      <c r="S386" s="7" t="s">
        <v>99</v>
      </c>
      <c r="T386" s="14"/>
      <c r="U386" s="14">
        <v>209113</v>
      </c>
      <c r="V386" s="14">
        <v>272419</v>
      </c>
      <c r="W386" s="14">
        <v>302829</v>
      </c>
      <c r="X386" s="21">
        <v>107679</v>
      </c>
      <c r="Y386" s="21">
        <v>54579</v>
      </c>
      <c r="Z386" s="21"/>
      <c r="AA386" s="21"/>
      <c r="AB386" s="21">
        <v>117916</v>
      </c>
      <c r="AC386" s="21">
        <v>286728</v>
      </c>
      <c r="AD386" s="21">
        <v>550</v>
      </c>
      <c r="AE386" s="21"/>
      <c r="AF386" s="21"/>
      <c r="AG386" s="21"/>
      <c r="AH386" s="21"/>
      <c r="AI386" s="22"/>
      <c r="AJ386" s="21"/>
      <c r="AK386" s="21"/>
    </row>
    <row r="387" spans="1:37" ht="48.75" customHeight="1" thickBot="1" x14ac:dyDescent="0.3">
      <c r="A387" s="79">
        <v>46151</v>
      </c>
      <c r="B387" s="6">
        <v>0.91666666617242398</v>
      </c>
      <c r="C387" s="7">
        <v>11060</v>
      </c>
      <c r="D387" s="7">
        <v>379279</v>
      </c>
      <c r="E387" s="7">
        <v>11152</v>
      </c>
      <c r="F387" s="7"/>
      <c r="G387" s="7"/>
      <c r="H387" s="7"/>
      <c r="I387" s="7"/>
      <c r="J387" s="7">
        <v>4285</v>
      </c>
      <c r="K387" s="7">
        <v>5274</v>
      </c>
      <c r="L387" s="7">
        <v>26226</v>
      </c>
      <c r="M387" s="7">
        <v>15785</v>
      </c>
      <c r="N387" s="7">
        <v>4842858</v>
      </c>
      <c r="O387" s="7">
        <v>300737</v>
      </c>
      <c r="P387" s="7"/>
      <c r="Q387" s="7"/>
      <c r="R387" s="8">
        <v>52735</v>
      </c>
      <c r="S387" s="7" t="s">
        <v>99</v>
      </c>
      <c r="T387" s="7"/>
      <c r="U387" s="7">
        <v>209541</v>
      </c>
      <c r="V387" s="7">
        <v>272607</v>
      </c>
      <c r="W387" s="7">
        <v>302935</v>
      </c>
      <c r="X387" s="18">
        <v>107734</v>
      </c>
      <c r="Y387" s="18">
        <v>54600</v>
      </c>
      <c r="Z387" s="18"/>
      <c r="AA387" s="18"/>
      <c r="AB387" s="18">
        <v>118088</v>
      </c>
      <c r="AC387" s="18">
        <v>286845</v>
      </c>
      <c r="AD387" s="18">
        <v>553</v>
      </c>
      <c r="AE387" s="18"/>
      <c r="AF387" s="18"/>
      <c r="AG387" s="18"/>
      <c r="AH387" s="18"/>
      <c r="AI387" s="19"/>
      <c r="AJ387" s="18"/>
      <c r="AK387" s="18"/>
    </row>
    <row r="388" spans="1:37" ht="48.75" customHeight="1" thickBot="1" x14ac:dyDescent="0.3">
      <c r="A388" s="80"/>
      <c r="B388" s="10">
        <v>0.24999999950534399</v>
      </c>
      <c r="C388" s="11">
        <v>11062</v>
      </c>
      <c r="D388" s="11">
        <v>379440</v>
      </c>
      <c r="E388" s="11">
        <v>11180</v>
      </c>
      <c r="F388" s="11"/>
      <c r="G388" s="11"/>
      <c r="H388" s="11"/>
      <c r="I388" s="11"/>
      <c r="J388" s="11">
        <v>4285</v>
      </c>
      <c r="K388" s="11">
        <v>5274</v>
      </c>
      <c r="L388" s="11">
        <v>26251</v>
      </c>
      <c r="M388" s="11">
        <v>15798</v>
      </c>
      <c r="N388" s="11">
        <v>5132418</v>
      </c>
      <c r="O388" s="11">
        <v>300956</v>
      </c>
      <c r="P388" s="11"/>
      <c r="Q388" s="11"/>
      <c r="R388" s="12">
        <v>52759</v>
      </c>
      <c r="S388" s="7" t="s">
        <v>99</v>
      </c>
      <c r="T388" s="11"/>
      <c r="U388" s="11">
        <v>209919</v>
      </c>
      <c r="V388" s="11">
        <v>272769</v>
      </c>
      <c r="W388" s="11">
        <v>303028</v>
      </c>
      <c r="X388" s="9">
        <v>107825</v>
      </c>
      <c r="Y388" s="9">
        <v>54635</v>
      </c>
      <c r="Z388" s="9"/>
      <c r="AA388" s="9"/>
      <c r="AB388" s="9">
        <v>118269</v>
      </c>
      <c r="AC388" s="9">
        <v>286976</v>
      </c>
      <c r="AD388" s="9"/>
      <c r="AE388" s="9"/>
      <c r="AF388" s="9"/>
      <c r="AG388" s="9"/>
      <c r="AH388" s="9"/>
      <c r="AI388" s="20"/>
      <c r="AJ388" s="9"/>
      <c r="AK388" s="9"/>
    </row>
    <row r="389" spans="1:37" ht="48.75" customHeight="1" thickBot="1" x14ac:dyDescent="0.3">
      <c r="A389" s="81"/>
      <c r="B389" s="13">
        <v>0.58333333283826405</v>
      </c>
      <c r="C389" s="14">
        <f>AVERAGE(C390,C388)</f>
        <v>11063</v>
      </c>
      <c r="D389" s="14">
        <f t="shared" ref="D389:R389" si="4">AVERAGE(D390,D388)</f>
        <v>379668.5</v>
      </c>
      <c r="E389" s="14">
        <f t="shared" si="4"/>
        <v>11207</v>
      </c>
      <c r="F389" s="14" t="e">
        <f t="shared" si="4"/>
        <v>#DIV/0!</v>
      </c>
      <c r="G389" s="14" t="e">
        <f t="shared" si="4"/>
        <v>#DIV/0!</v>
      </c>
      <c r="H389" s="14" t="e">
        <f t="shared" si="4"/>
        <v>#DIV/0!</v>
      </c>
      <c r="I389" s="14" t="e">
        <f t="shared" si="4"/>
        <v>#DIV/0!</v>
      </c>
      <c r="J389" s="14">
        <f t="shared" si="4"/>
        <v>4286</v>
      </c>
      <c r="K389" s="14">
        <f t="shared" si="4"/>
        <v>5274</v>
      </c>
      <c r="L389" s="14">
        <f t="shared" si="4"/>
        <v>26275</v>
      </c>
      <c r="M389" s="14">
        <f t="shared" si="4"/>
        <v>15800</v>
      </c>
      <c r="N389" s="14">
        <f t="shared" si="4"/>
        <v>5288696</v>
      </c>
      <c r="O389" s="14">
        <f t="shared" si="4"/>
        <v>301065</v>
      </c>
      <c r="P389" s="14" t="e">
        <f t="shared" si="4"/>
        <v>#DIV/0!</v>
      </c>
      <c r="Q389" s="14" t="e">
        <f t="shared" si="4"/>
        <v>#DIV/0!</v>
      </c>
      <c r="R389" s="15">
        <f t="shared" si="4"/>
        <v>52782</v>
      </c>
      <c r="S389" s="7" t="s">
        <v>99</v>
      </c>
      <c r="T389" s="14"/>
      <c r="U389" s="14">
        <f>AVERAGE(U390,U388)</f>
        <v>210275</v>
      </c>
      <c r="V389" s="14">
        <f t="shared" ref="V389:W389" si="5">AVERAGE(V390,V388)</f>
        <v>272900</v>
      </c>
      <c r="W389" s="14">
        <f t="shared" si="5"/>
        <v>303112</v>
      </c>
      <c r="X389" s="21">
        <v>107911</v>
      </c>
      <c r="Y389" s="21">
        <v>54646</v>
      </c>
      <c r="Z389" s="21"/>
      <c r="AA389" s="21"/>
      <c r="AB389" s="14">
        <f t="shared" ref="AB389" si="6">AVERAGE(AB390,AB388)</f>
        <v>118493</v>
      </c>
      <c r="AC389" s="14">
        <f t="shared" ref="AC389" si="7">AVERAGE(AC390,AC388)</f>
        <v>287100</v>
      </c>
      <c r="AD389" s="21"/>
      <c r="AE389" s="21"/>
      <c r="AF389" s="21"/>
      <c r="AG389" s="21"/>
      <c r="AH389" s="21"/>
      <c r="AI389" s="22"/>
      <c r="AJ389" s="21"/>
      <c r="AK389" s="21"/>
    </row>
    <row r="390" spans="1:37" ht="48.75" customHeight="1" x14ac:dyDescent="0.25">
      <c r="A390" s="79">
        <v>46152</v>
      </c>
      <c r="B390" s="6">
        <v>0.91666666617117398</v>
      </c>
      <c r="C390" s="7">
        <v>11064</v>
      </c>
      <c r="D390" s="7">
        <v>379897</v>
      </c>
      <c r="E390" s="7">
        <v>11234</v>
      </c>
      <c r="F390" s="7"/>
      <c r="G390" s="7"/>
      <c r="H390" s="7"/>
      <c r="I390" s="7"/>
      <c r="J390" s="7">
        <v>4287</v>
      </c>
      <c r="K390" s="7">
        <v>5274</v>
      </c>
      <c r="L390" s="7">
        <v>26299</v>
      </c>
      <c r="M390" s="7">
        <v>15802</v>
      </c>
      <c r="N390" s="7">
        <v>5444974</v>
      </c>
      <c r="O390" s="7">
        <v>301174</v>
      </c>
      <c r="P390" s="7"/>
      <c r="Q390" s="7"/>
      <c r="R390" s="8">
        <v>52805</v>
      </c>
      <c r="S390" s="7" t="s">
        <v>99</v>
      </c>
      <c r="T390" s="7"/>
      <c r="U390" s="7">
        <v>210631</v>
      </c>
      <c r="V390" s="7">
        <v>273031</v>
      </c>
      <c r="W390" s="7">
        <v>303196</v>
      </c>
      <c r="X390" s="18">
        <v>107941</v>
      </c>
      <c r="Y390" s="18">
        <v>54679</v>
      </c>
      <c r="Z390" s="18">
        <v>8819</v>
      </c>
      <c r="AA390" s="18">
        <v>47065</v>
      </c>
      <c r="AB390" s="18">
        <v>118717</v>
      </c>
      <c r="AC390" s="18">
        <v>287224</v>
      </c>
      <c r="AD390" s="18"/>
      <c r="AE390" s="18">
        <v>7403</v>
      </c>
      <c r="AF390" s="18">
        <v>33687</v>
      </c>
      <c r="AG390" s="18">
        <v>150</v>
      </c>
      <c r="AH390" s="18"/>
      <c r="AI390" s="19">
        <v>1</v>
      </c>
      <c r="AJ390" s="18">
        <v>7308</v>
      </c>
      <c r="AK390" s="18">
        <v>2376</v>
      </c>
    </row>
    <row r="391" spans="1:37" ht="48.75" customHeight="1" x14ac:dyDescent="0.25">
      <c r="A391" s="80"/>
      <c r="B391" s="10">
        <v>0.24999999950409399</v>
      </c>
      <c r="C391" s="11">
        <v>11064</v>
      </c>
      <c r="D391" s="11">
        <v>379897</v>
      </c>
      <c r="E391" s="11">
        <v>11234</v>
      </c>
      <c r="F391" s="11"/>
      <c r="G391" s="11"/>
      <c r="H391" s="11"/>
      <c r="I391" s="11"/>
      <c r="J391" s="11">
        <v>4287</v>
      </c>
      <c r="K391" s="11">
        <v>5274</v>
      </c>
      <c r="L391" s="11">
        <v>26299</v>
      </c>
      <c r="M391" s="11">
        <v>15802</v>
      </c>
      <c r="N391" s="11">
        <v>5444974</v>
      </c>
      <c r="O391" s="11">
        <v>301174</v>
      </c>
      <c r="P391" s="11"/>
      <c r="Q391" s="11"/>
      <c r="R391" s="12">
        <v>52805</v>
      </c>
      <c r="S391" s="11" t="s">
        <v>99</v>
      </c>
      <c r="T391" s="11"/>
      <c r="U391" s="11">
        <v>210631</v>
      </c>
      <c r="V391" s="11">
        <v>273031</v>
      </c>
      <c r="W391" s="11">
        <v>303196</v>
      </c>
      <c r="X391" s="9">
        <v>107941</v>
      </c>
      <c r="Y391" s="9">
        <v>54679</v>
      </c>
      <c r="Z391" s="9">
        <v>8819</v>
      </c>
      <c r="AA391" s="9">
        <v>47065</v>
      </c>
      <c r="AB391" s="9">
        <v>118717</v>
      </c>
      <c r="AC391" s="9">
        <v>287224</v>
      </c>
      <c r="AD391" s="9"/>
      <c r="AE391" s="9">
        <v>7403</v>
      </c>
      <c r="AF391" s="9">
        <v>33687</v>
      </c>
      <c r="AG391" s="9">
        <v>150</v>
      </c>
      <c r="AH391" s="9"/>
      <c r="AI391" s="20">
        <v>1</v>
      </c>
      <c r="AJ391" s="9">
        <v>7308</v>
      </c>
      <c r="AK391" s="9">
        <v>2376</v>
      </c>
    </row>
    <row r="392" spans="1:37" ht="48.75" customHeight="1" thickBot="1" x14ac:dyDescent="0.3">
      <c r="A392" s="81"/>
      <c r="B392" s="13">
        <v>0.58333333283700395</v>
      </c>
      <c r="C392" s="14">
        <v>11064</v>
      </c>
      <c r="D392" s="14">
        <v>379897</v>
      </c>
      <c r="E392" s="14">
        <v>11234</v>
      </c>
      <c r="F392" s="14"/>
      <c r="G392" s="14"/>
      <c r="H392" s="14"/>
      <c r="I392" s="14"/>
      <c r="J392" s="14">
        <v>4287</v>
      </c>
      <c r="K392" s="14">
        <v>5274</v>
      </c>
      <c r="L392" s="14">
        <v>26299</v>
      </c>
      <c r="M392" s="14">
        <v>15802</v>
      </c>
      <c r="N392" s="14">
        <v>5444974</v>
      </c>
      <c r="O392" s="14">
        <v>301174</v>
      </c>
      <c r="P392" s="14"/>
      <c r="Q392" s="14"/>
      <c r="R392" s="15">
        <v>52805</v>
      </c>
      <c r="S392" s="14" t="s">
        <v>99</v>
      </c>
      <c r="T392" s="14"/>
      <c r="U392" s="14">
        <v>210631</v>
      </c>
      <c r="V392" s="14">
        <v>273031</v>
      </c>
      <c r="W392" s="14">
        <v>303196</v>
      </c>
      <c r="X392" s="21">
        <v>107941</v>
      </c>
      <c r="Y392" s="21">
        <v>54679</v>
      </c>
      <c r="Z392" s="21">
        <v>8819</v>
      </c>
      <c r="AA392" s="21">
        <v>47065</v>
      </c>
      <c r="AB392" s="21">
        <v>118717</v>
      </c>
      <c r="AC392" s="21">
        <v>287224</v>
      </c>
      <c r="AD392" s="21"/>
      <c r="AE392" s="21">
        <v>7403</v>
      </c>
      <c r="AF392" s="21">
        <v>33687</v>
      </c>
      <c r="AG392" s="21">
        <v>150</v>
      </c>
      <c r="AH392" s="21"/>
      <c r="AI392" s="22">
        <v>1</v>
      </c>
      <c r="AJ392" s="21">
        <v>7308</v>
      </c>
      <c r="AK392" s="21">
        <v>2376</v>
      </c>
    </row>
    <row r="393" spans="1:37" ht="48.75" customHeight="1" x14ac:dyDescent="0.25">
      <c r="A393" s="79">
        <v>46153</v>
      </c>
      <c r="B393" s="6">
        <v>0.91666666616988302</v>
      </c>
      <c r="C393" s="7">
        <v>11064</v>
      </c>
      <c r="D393" s="7">
        <v>379897</v>
      </c>
      <c r="E393" s="7">
        <v>11234</v>
      </c>
      <c r="F393" s="7"/>
      <c r="G393" s="7"/>
      <c r="H393" s="7"/>
      <c r="I393" s="7"/>
      <c r="J393" s="7">
        <v>4287</v>
      </c>
      <c r="K393" s="7">
        <v>5274</v>
      </c>
      <c r="L393" s="7">
        <v>26299</v>
      </c>
      <c r="M393" s="7">
        <v>15802</v>
      </c>
      <c r="N393" s="7">
        <v>5444974</v>
      </c>
      <c r="O393" s="7">
        <v>301174</v>
      </c>
      <c r="P393" s="7"/>
      <c r="Q393" s="7"/>
      <c r="R393" s="8">
        <v>52805</v>
      </c>
      <c r="S393" s="7" t="s">
        <v>99</v>
      </c>
      <c r="T393" s="7"/>
      <c r="U393" s="7">
        <v>210631</v>
      </c>
      <c r="V393" s="7">
        <v>273031</v>
      </c>
      <c r="W393" s="7">
        <v>303196</v>
      </c>
      <c r="X393" s="18">
        <v>107941</v>
      </c>
      <c r="Y393" s="18">
        <v>54679</v>
      </c>
      <c r="Z393" s="18">
        <v>8819</v>
      </c>
      <c r="AA393" s="18">
        <v>47065</v>
      </c>
      <c r="AB393" s="18">
        <v>118717</v>
      </c>
      <c r="AC393" s="18">
        <v>287224</v>
      </c>
      <c r="AD393" s="18"/>
      <c r="AE393" s="18">
        <v>7403</v>
      </c>
      <c r="AF393" s="18">
        <v>33687</v>
      </c>
      <c r="AG393" s="18">
        <v>150</v>
      </c>
      <c r="AH393" s="18"/>
      <c r="AI393" s="19">
        <v>1</v>
      </c>
      <c r="AJ393" s="18">
        <v>7308</v>
      </c>
      <c r="AK393" s="18">
        <v>2376</v>
      </c>
    </row>
    <row r="394" spans="1:37" ht="48.75" customHeight="1" x14ac:dyDescent="0.25">
      <c r="A394" s="80"/>
      <c r="B394" s="10">
        <v>0.24999999950288301</v>
      </c>
      <c r="C394" s="11">
        <v>11262</v>
      </c>
      <c r="D394" s="11">
        <v>380176</v>
      </c>
      <c r="E394" s="11">
        <v>11062</v>
      </c>
      <c r="F394" s="11"/>
      <c r="G394" s="11"/>
      <c r="H394" s="11"/>
      <c r="I394" s="11"/>
      <c r="J394" s="11">
        <v>4287</v>
      </c>
      <c r="K394" s="11">
        <v>5274</v>
      </c>
      <c r="L394" s="11">
        <v>26324</v>
      </c>
      <c r="M394" s="11">
        <v>15808</v>
      </c>
      <c r="N394" s="11">
        <v>5444974</v>
      </c>
      <c r="O394" s="11">
        <v>301174</v>
      </c>
      <c r="P394" s="11"/>
      <c r="Q394" s="11"/>
      <c r="R394" s="12">
        <v>52842</v>
      </c>
      <c r="S394" s="11" t="s">
        <v>99</v>
      </c>
      <c r="T394" s="11"/>
      <c r="U394" s="11">
        <v>211073</v>
      </c>
      <c r="V394" s="11">
        <v>273031</v>
      </c>
      <c r="W394" s="11">
        <v>303196</v>
      </c>
      <c r="X394" s="9">
        <v>107987</v>
      </c>
      <c r="Y394" s="9">
        <v>54709</v>
      </c>
      <c r="Z394" s="9"/>
      <c r="AA394" s="9"/>
      <c r="AB394" s="9">
        <v>118935</v>
      </c>
      <c r="AC394" s="9">
        <v>287344</v>
      </c>
      <c r="AD394" s="9">
        <v>7695</v>
      </c>
      <c r="AE394" s="9"/>
      <c r="AF394" s="9"/>
      <c r="AG394" s="9"/>
      <c r="AH394" s="9"/>
      <c r="AI394" s="20"/>
      <c r="AJ394" s="9"/>
      <c r="AK394" s="9"/>
    </row>
    <row r="395" spans="1:37" ht="48.75" customHeight="1" thickBot="1" x14ac:dyDescent="0.3">
      <c r="A395" s="81"/>
      <c r="B395" s="13">
        <v>0.58333333283578304</v>
      </c>
      <c r="C395" s="14">
        <v>11293</v>
      </c>
      <c r="D395" s="14">
        <v>380420</v>
      </c>
      <c r="E395" s="14">
        <v>11068</v>
      </c>
      <c r="F395" s="14"/>
      <c r="G395" s="14"/>
      <c r="H395" s="14"/>
      <c r="I395" s="14"/>
      <c r="J395" s="14">
        <v>4288</v>
      </c>
      <c r="K395" s="14">
        <v>5274</v>
      </c>
      <c r="L395" s="14">
        <v>26347</v>
      </c>
      <c r="M395" s="14">
        <v>15819</v>
      </c>
      <c r="N395" s="14">
        <v>5757773</v>
      </c>
      <c r="O395" s="14">
        <v>301400</v>
      </c>
      <c r="P395" s="14"/>
      <c r="Q395" s="14"/>
      <c r="R395" s="15">
        <v>52864</v>
      </c>
      <c r="S395" s="14" t="s">
        <v>101</v>
      </c>
      <c r="T395" s="14"/>
      <c r="U395" s="14">
        <v>211489</v>
      </c>
      <c r="V395" s="14">
        <v>273191</v>
      </c>
      <c r="W395" s="14">
        <v>303323</v>
      </c>
      <c r="X395" s="21">
        <v>108065</v>
      </c>
      <c r="Y395" s="21">
        <v>54775</v>
      </c>
      <c r="Z395" s="21">
        <v>87</v>
      </c>
      <c r="AA395" s="21"/>
      <c r="AB395" s="21">
        <v>119124</v>
      </c>
      <c r="AC395" s="21">
        <v>287439</v>
      </c>
      <c r="AD395" s="21">
        <v>9611</v>
      </c>
      <c r="AE395" s="21"/>
      <c r="AF395" s="21"/>
      <c r="AG395" s="21"/>
      <c r="AH395" s="21"/>
      <c r="AI395" s="22"/>
      <c r="AJ395" s="21"/>
      <c r="AK395" s="21"/>
    </row>
    <row r="396" spans="1:37" ht="48.75" customHeight="1" x14ac:dyDescent="0.25">
      <c r="A396" s="79">
        <v>46154</v>
      </c>
      <c r="B396" s="6">
        <v>0.91666666616868397</v>
      </c>
      <c r="C396" s="7">
        <v>11317</v>
      </c>
      <c r="D396" s="7">
        <v>380694</v>
      </c>
      <c r="E396" s="7">
        <v>11070</v>
      </c>
      <c r="F396" s="7"/>
      <c r="G396" s="7"/>
      <c r="H396" s="7"/>
      <c r="I396" s="7"/>
      <c r="J396" s="7">
        <v>4288</v>
      </c>
      <c r="K396" s="7">
        <v>5281</v>
      </c>
      <c r="L396" s="7">
        <v>26376</v>
      </c>
      <c r="M396" s="7">
        <v>15830</v>
      </c>
      <c r="N396" s="7">
        <v>6050126</v>
      </c>
      <c r="O396" s="7">
        <v>301610</v>
      </c>
      <c r="P396" s="7"/>
      <c r="Q396" s="7"/>
      <c r="R396" s="8">
        <v>52886</v>
      </c>
      <c r="S396" s="7" t="s">
        <v>99</v>
      </c>
      <c r="T396" s="7"/>
      <c r="U396" s="7">
        <v>212009</v>
      </c>
      <c r="V396" s="7">
        <v>273398</v>
      </c>
      <c r="W396" s="7">
        <v>303480</v>
      </c>
      <c r="X396" s="18">
        <v>108122</v>
      </c>
      <c r="Y396" s="18">
        <v>54822</v>
      </c>
      <c r="Z396" s="18">
        <v>8867</v>
      </c>
      <c r="AA396" s="18"/>
      <c r="AB396" s="18">
        <v>119243</v>
      </c>
      <c r="AC396" s="18">
        <v>287564</v>
      </c>
      <c r="AD396" s="18"/>
      <c r="AE396" s="18">
        <v>7404</v>
      </c>
      <c r="AF396" s="18">
        <v>33687</v>
      </c>
      <c r="AG396" s="18">
        <v>150</v>
      </c>
      <c r="AH396" s="18"/>
      <c r="AI396" s="19">
        <v>1</v>
      </c>
      <c r="AJ396" s="18">
        <v>7329</v>
      </c>
      <c r="AK396" s="18">
        <v>2376</v>
      </c>
    </row>
    <row r="397" spans="1:37" ht="48.75" customHeight="1" x14ac:dyDescent="0.25">
      <c r="A397" s="80"/>
      <c r="B397" s="10">
        <v>0.249999999501584</v>
      </c>
      <c r="C397" s="11">
        <v>11337</v>
      </c>
      <c r="D397" s="11">
        <v>380935</v>
      </c>
      <c r="E397" s="11">
        <v>11072</v>
      </c>
      <c r="F397" s="11"/>
      <c r="G397" s="11"/>
      <c r="H397" s="11"/>
      <c r="I397" s="11"/>
      <c r="J397" s="11">
        <v>4289</v>
      </c>
      <c r="K397" s="11">
        <v>5284</v>
      </c>
      <c r="L397" s="11">
        <v>26403</v>
      </c>
      <c r="M397" s="11">
        <v>15841</v>
      </c>
      <c r="N397" s="11">
        <v>6309302</v>
      </c>
      <c r="O397" s="11">
        <v>301795</v>
      </c>
      <c r="P397" s="11"/>
      <c r="Q397" s="11"/>
      <c r="R397" s="12">
        <v>52925</v>
      </c>
      <c r="S397" s="11" t="s">
        <v>99</v>
      </c>
      <c r="T397" s="11"/>
      <c r="U397" s="11">
        <v>212520</v>
      </c>
      <c r="V397" s="11">
        <v>273588</v>
      </c>
      <c r="W397" s="11">
        <v>303623</v>
      </c>
      <c r="X397" s="9">
        <v>108176</v>
      </c>
      <c r="Y397" s="9">
        <v>54864</v>
      </c>
      <c r="Z397" s="9"/>
      <c r="AA397" s="9"/>
      <c r="AB397" s="9">
        <v>119354</v>
      </c>
      <c r="AC397" s="9">
        <v>287687</v>
      </c>
      <c r="AD397" s="9"/>
      <c r="AE397" s="9"/>
      <c r="AF397" s="9"/>
      <c r="AG397" s="9"/>
      <c r="AH397" s="9"/>
      <c r="AI397" s="20"/>
      <c r="AJ397" s="9"/>
      <c r="AK397" s="9"/>
    </row>
    <row r="398" spans="1:37" ht="48.75" customHeight="1" thickBot="1" x14ac:dyDescent="0.3">
      <c r="A398" s="81"/>
      <c r="B398" s="13">
        <v>0.58333333283448296</v>
      </c>
      <c r="C398" s="14">
        <v>11354</v>
      </c>
      <c r="D398" s="14">
        <v>381160</v>
      </c>
      <c r="E398" s="14">
        <v>11074</v>
      </c>
      <c r="F398" s="14"/>
      <c r="G398" s="14"/>
      <c r="H398" s="14"/>
      <c r="I398" s="14"/>
      <c r="J398" s="14">
        <v>4289</v>
      </c>
      <c r="K398" s="14">
        <v>5288</v>
      </c>
      <c r="L398" s="14">
        <v>26430</v>
      </c>
      <c r="M398" s="14">
        <v>15852</v>
      </c>
      <c r="N398" s="14">
        <v>6603406</v>
      </c>
      <c r="O398" s="14">
        <v>302003</v>
      </c>
      <c r="P398" s="14"/>
      <c r="Q398" s="14"/>
      <c r="R398" s="15">
        <v>52947</v>
      </c>
      <c r="S398" s="14" t="s">
        <v>101</v>
      </c>
      <c r="T398" s="14"/>
      <c r="U398" s="14">
        <v>212818</v>
      </c>
      <c r="V398" s="14">
        <v>273772</v>
      </c>
      <c r="W398" s="14">
        <v>303733</v>
      </c>
      <c r="X398" s="9">
        <v>108223</v>
      </c>
      <c r="Y398" s="9">
        <v>54899</v>
      </c>
      <c r="Z398" s="21"/>
      <c r="AA398" s="21"/>
      <c r="AB398" s="21">
        <v>119483</v>
      </c>
      <c r="AC398" s="21">
        <v>287792</v>
      </c>
      <c r="AD398" s="21"/>
      <c r="AE398" s="21"/>
      <c r="AF398" s="21"/>
      <c r="AG398" s="21"/>
      <c r="AH398" s="21"/>
      <c r="AI398" s="22"/>
      <c r="AJ398" s="21"/>
      <c r="AK398" s="21"/>
    </row>
    <row r="399" spans="1:37" ht="48.75" customHeight="1" x14ac:dyDescent="0.25">
      <c r="A399" s="79">
        <v>46155</v>
      </c>
      <c r="B399" s="6">
        <v>0.91666666616738401</v>
      </c>
      <c r="C399" s="7">
        <v>11384</v>
      </c>
      <c r="D399" s="7">
        <v>381407</v>
      </c>
      <c r="E399" s="7">
        <v>11076</v>
      </c>
      <c r="F399" s="7"/>
      <c r="G399" s="7"/>
      <c r="H399" s="7"/>
      <c r="I399" s="7"/>
      <c r="J399" s="7">
        <v>4290</v>
      </c>
      <c r="K399" s="7">
        <v>5288</v>
      </c>
      <c r="L399" s="7">
        <v>26457</v>
      </c>
      <c r="M399" s="7">
        <v>15861</v>
      </c>
      <c r="N399" s="7">
        <v>6857793</v>
      </c>
      <c r="O399" s="7">
        <v>302186</v>
      </c>
      <c r="P399" s="7"/>
      <c r="Q399" s="7"/>
      <c r="R399" s="8">
        <v>52965</v>
      </c>
      <c r="S399" s="7" t="s">
        <v>99</v>
      </c>
      <c r="T399" s="7">
        <v>4482</v>
      </c>
      <c r="U399" s="7">
        <v>213422</v>
      </c>
      <c r="V399" s="7">
        <v>273937</v>
      </c>
      <c r="W399" s="7">
        <v>303819</v>
      </c>
      <c r="X399" s="18">
        <v>108259</v>
      </c>
      <c r="Y399" s="18">
        <v>54925</v>
      </c>
      <c r="Z399" s="18">
        <v>8914</v>
      </c>
      <c r="AA399" s="18">
        <v>47211</v>
      </c>
      <c r="AB399" s="18">
        <v>119675</v>
      </c>
      <c r="AC399" s="18">
        <v>287949</v>
      </c>
      <c r="AD399" s="18"/>
      <c r="AE399" s="18">
        <v>7405</v>
      </c>
      <c r="AF399" s="18">
        <v>33687</v>
      </c>
      <c r="AG399" s="18">
        <v>150</v>
      </c>
      <c r="AH399" s="18"/>
      <c r="AI399" s="19">
        <v>1</v>
      </c>
      <c r="AJ399" s="18">
        <v>7350</v>
      </c>
      <c r="AK399" s="18">
        <v>2376</v>
      </c>
    </row>
    <row r="400" spans="1:37" ht="48.75" customHeight="1" x14ac:dyDescent="0.25">
      <c r="A400" s="80"/>
      <c r="B400" s="10">
        <v>0.24999999950038401</v>
      </c>
      <c r="C400" s="11">
        <v>11418</v>
      </c>
      <c r="D400" s="11">
        <v>381718</v>
      </c>
      <c r="E400" s="11">
        <v>11078</v>
      </c>
      <c r="F400" s="11"/>
      <c r="G400" s="11"/>
      <c r="H400" s="11"/>
      <c r="I400" s="11"/>
      <c r="J400" s="11">
        <v>5291</v>
      </c>
      <c r="K400" s="11">
        <v>5288</v>
      </c>
      <c r="L400" s="11">
        <v>26486</v>
      </c>
      <c r="M400" s="11">
        <v>15871</v>
      </c>
      <c r="N400" s="11">
        <v>7128561</v>
      </c>
      <c r="O400" s="11">
        <v>302385</v>
      </c>
      <c r="P400" s="11"/>
      <c r="Q400" s="11"/>
      <c r="R400" s="12">
        <v>53000</v>
      </c>
      <c r="S400" s="11" t="s">
        <v>99</v>
      </c>
      <c r="T400" s="11">
        <v>5200</v>
      </c>
      <c r="U400" s="11">
        <v>214028</v>
      </c>
      <c r="V400" s="11">
        <v>274128</v>
      </c>
      <c r="W400" s="11">
        <v>303945</v>
      </c>
      <c r="X400" s="9">
        <v>108259</v>
      </c>
      <c r="Y400" s="9">
        <v>54925</v>
      </c>
      <c r="Z400" s="9"/>
      <c r="AA400" s="9"/>
      <c r="AB400" s="9">
        <v>119876</v>
      </c>
      <c r="AC400" s="9">
        <v>288074</v>
      </c>
      <c r="AD400" s="9"/>
      <c r="AE400" s="9"/>
      <c r="AF400" s="9"/>
      <c r="AG400" s="9"/>
      <c r="AH400" s="9"/>
      <c r="AI400" s="20"/>
      <c r="AJ400" s="9"/>
      <c r="AK400" s="9"/>
    </row>
    <row r="401" spans="1:37" ht="48.75" customHeight="1" thickBot="1" x14ac:dyDescent="0.3">
      <c r="A401" s="81"/>
      <c r="B401" s="13">
        <v>0.58333333283328404</v>
      </c>
      <c r="C401" s="14">
        <v>11441</v>
      </c>
      <c r="D401" s="14">
        <v>381930</v>
      </c>
      <c r="E401" s="14">
        <v>11079</v>
      </c>
      <c r="F401" s="14"/>
      <c r="G401" s="14"/>
      <c r="H401" s="14"/>
      <c r="I401" s="14"/>
      <c r="J401" s="14">
        <v>5291</v>
      </c>
      <c r="K401" s="14">
        <v>5289</v>
      </c>
      <c r="L401" s="14">
        <v>26506</v>
      </c>
      <c r="M401" s="14">
        <v>15881</v>
      </c>
      <c r="N401" s="14">
        <v>7375816</v>
      </c>
      <c r="O401" s="14">
        <v>302566</v>
      </c>
      <c r="P401" s="14"/>
      <c r="Q401" s="14"/>
      <c r="R401" s="15">
        <v>53018</v>
      </c>
      <c r="S401" s="14" t="s">
        <v>101</v>
      </c>
      <c r="T401" s="14">
        <v>5670</v>
      </c>
      <c r="U401" s="14">
        <v>214406</v>
      </c>
      <c r="V401" s="14">
        <v>274272</v>
      </c>
      <c r="W401" s="14">
        <v>304026</v>
      </c>
      <c r="X401" s="21">
        <v>108367</v>
      </c>
      <c r="Y401" s="21">
        <v>54996</v>
      </c>
      <c r="Z401" s="21"/>
      <c r="AA401" s="21"/>
      <c r="AB401" s="21">
        <v>120000</v>
      </c>
      <c r="AC401" s="21">
        <v>288170</v>
      </c>
      <c r="AD401" s="21"/>
      <c r="AE401" s="21"/>
      <c r="AF401" s="21"/>
      <c r="AG401" s="21"/>
      <c r="AH401" s="21"/>
      <c r="AI401" s="22"/>
      <c r="AJ401" s="21"/>
      <c r="AK401" s="21"/>
    </row>
    <row r="402" spans="1:37" ht="48.75" customHeight="1" x14ac:dyDescent="0.25">
      <c r="A402" s="79">
        <v>46156</v>
      </c>
      <c r="B402" s="6">
        <v>0.91666666616618298</v>
      </c>
      <c r="C402" s="7">
        <v>11477</v>
      </c>
      <c r="D402" s="7">
        <v>382208</v>
      </c>
      <c r="E402" s="7">
        <v>11082</v>
      </c>
      <c r="F402" s="7"/>
      <c r="G402" s="7"/>
      <c r="H402" s="7"/>
      <c r="I402" s="7"/>
      <c r="J402" s="7">
        <v>4292</v>
      </c>
      <c r="K402" s="7">
        <v>5289</v>
      </c>
      <c r="L402" s="7">
        <v>26534</v>
      </c>
      <c r="M402" s="7">
        <v>15891</v>
      </c>
      <c r="N402" s="7">
        <v>7615845</v>
      </c>
      <c r="O402" s="7">
        <v>302742</v>
      </c>
      <c r="P402" s="7"/>
      <c r="Q402" s="7"/>
      <c r="R402" s="8">
        <v>53040</v>
      </c>
      <c r="S402" s="7" t="s">
        <v>99</v>
      </c>
      <c r="T402" s="7">
        <v>6072</v>
      </c>
      <c r="U402" s="7">
        <v>214917</v>
      </c>
      <c r="V402" s="7">
        <v>274432</v>
      </c>
      <c r="W402" s="7">
        <v>304117</v>
      </c>
      <c r="X402" s="18">
        <v>108447</v>
      </c>
      <c r="Y402" s="18">
        <v>55030</v>
      </c>
      <c r="Z402" s="18">
        <v>8960</v>
      </c>
      <c r="AA402" s="18">
        <v>47290</v>
      </c>
      <c r="AB402" s="18">
        <v>120225</v>
      </c>
      <c r="AC402" s="18">
        <v>288315</v>
      </c>
      <c r="AD402" s="18"/>
      <c r="AE402" s="18">
        <v>7407</v>
      </c>
      <c r="AF402" s="18">
        <v>33687</v>
      </c>
      <c r="AG402" s="18">
        <v>150</v>
      </c>
      <c r="AH402" s="18"/>
      <c r="AI402" s="19">
        <v>1</v>
      </c>
      <c r="AJ402" s="18">
        <v>7371</v>
      </c>
      <c r="AK402" s="18">
        <v>2376</v>
      </c>
    </row>
    <row r="403" spans="1:37" ht="48.75" customHeight="1" x14ac:dyDescent="0.25">
      <c r="A403" s="80"/>
      <c r="B403" s="10">
        <v>0.249999999499085</v>
      </c>
      <c r="C403" s="11">
        <v>11510</v>
      </c>
      <c r="D403" s="11">
        <v>382480</v>
      </c>
      <c r="E403" s="11">
        <v>11085</v>
      </c>
      <c r="F403" s="11"/>
      <c r="G403" s="11"/>
      <c r="H403" s="11"/>
      <c r="I403" s="11"/>
      <c r="J403" s="11">
        <v>4293</v>
      </c>
      <c r="K403" s="11">
        <v>5290</v>
      </c>
      <c r="L403" s="11">
        <v>26559</v>
      </c>
      <c r="M403" s="11">
        <v>15903</v>
      </c>
      <c r="N403" s="11">
        <v>7850607</v>
      </c>
      <c r="O403" s="11">
        <v>302915</v>
      </c>
      <c r="P403" s="11"/>
      <c r="Q403" s="11"/>
      <c r="R403" s="12">
        <v>53072</v>
      </c>
      <c r="S403" s="11" t="s">
        <v>99</v>
      </c>
      <c r="T403" s="11">
        <v>6589</v>
      </c>
      <c r="U403" s="11">
        <v>215398</v>
      </c>
      <c r="V403" s="11">
        <v>274606</v>
      </c>
      <c r="W403" s="11">
        <v>304218</v>
      </c>
      <c r="X403" s="9">
        <v>108525</v>
      </c>
      <c r="Y403" s="9">
        <v>55055</v>
      </c>
      <c r="Z403" s="9"/>
      <c r="AA403" s="9"/>
      <c r="AB403" s="9">
        <v>120419</v>
      </c>
      <c r="AC403" s="9">
        <v>288425</v>
      </c>
      <c r="AD403" s="9"/>
      <c r="AE403" s="9"/>
      <c r="AF403" s="9"/>
      <c r="AG403" s="9"/>
      <c r="AH403" s="9"/>
      <c r="AI403" s="20"/>
      <c r="AJ403" s="9"/>
      <c r="AK403" s="9"/>
    </row>
    <row r="404" spans="1:37" ht="48.75" customHeight="1" thickBot="1" x14ac:dyDescent="0.3">
      <c r="A404" s="81"/>
      <c r="B404" s="13">
        <v>0.58333333283198396</v>
      </c>
      <c r="C404" s="14">
        <v>11533</v>
      </c>
      <c r="D404" s="14">
        <v>382733</v>
      </c>
      <c r="E404" s="14">
        <v>11087</v>
      </c>
      <c r="F404" s="14"/>
      <c r="G404" s="14"/>
      <c r="H404" s="14"/>
      <c r="I404" s="14"/>
      <c r="J404" s="14">
        <v>4294</v>
      </c>
      <c r="K404" s="14">
        <v>5290</v>
      </c>
      <c r="L404" s="14">
        <v>26684</v>
      </c>
      <c r="M404" s="14">
        <v>15915</v>
      </c>
      <c r="N404" s="14">
        <v>8156042</v>
      </c>
      <c r="O404" s="14">
        <v>303139</v>
      </c>
      <c r="P404" s="14"/>
      <c r="Q404" s="14"/>
      <c r="R404" s="15">
        <v>53095</v>
      </c>
      <c r="S404" s="14" t="s">
        <v>101</v>
      </c>
      <c r="T404" s="14">
        <v>7214</v>
      </c>
      <c r="U404" s="14">
        <v>215793</v>
      </c>
      <c r="V404" s="14">
        <v>274820</v>
      </c>
      <c r="W404" s="14">
        <v>304337</v>
      </c>
      <c r="X404" s="21">
        <v>108587</v>
      </c>
      <c r="Y404" s="21">
        <v>55085</v>
      </c>
      <c r="Z404" s="21"/>
      <c r="AA404" s="21"/>
      <c r="AB404" s="21">
        <v>120578</v>
      </c>
      <c r="AC404" s="21">
        <v>288518</v>
      </c>
      <c r="AD404" s="21"/>
      <c r="AE404" s="21"/>
      <c r="AF404" s="21"/>
      <c r="AG404" s="21"/>
      <c r="AH404" s="21"/>
      <c r="AI404" s="22"/>
      <c r="AJ404" s="21"/>
      <c r="AK404" s="21"/>
    </row>
    <row r="405" spans="1:37" ht="48.75" customHeight="1" x14ac:dyDescent="0.25">
      <c r="A405" s="79">
        <v>46157</v>
      </c>
      <c r="B405" s="6">
        <v>0.91666666616488301</v>
      </c>
      <c r="C405" s="7">
        <v>11563</v>
      </c>
      <c r="D405" s="7">
        <v>383010</v>
      </c>
      <c r="E405" s="7">
        <v>11089</v>
      </c>
      <c r="F405" s="7"/>
      <c r="G405" s="7"/>
      <c r="H405" s="7"/>
      <c r="I405" s="7"/>
      <c r="J405" s="7">
        <v>4295</v>
      </c>
      <c r="K405" s="7">
        <v>5290</v>
      </c>
      <c r="L405" s="7">
        <v>26607</v>
      </c>
      <c r="M405" s="7">
        <v>15926</v>
      </c>
      <c r="N405" s="7">
        <v>8456266</v>
      </c>
      <c r="O405" s="7">
        <v>303359</v>
      </c>
      <c r="P405" s="7"/>
      <c r="Q405" s="7"/>
      <c r="R405" s="8">
        <v>53117</v>
      </c>
      <c r="S405" s="7" t="s">
        <v>99</v>
      </c>
      <c r="T405" s="7">
        <v>7642</v>
      </c>
      <c r="U405" s="7">
        <v>216292</v>
      </c>
      <c r="V405" s="7">
        <v>275015</v>
      </c>
      <c r="W405" s="7">
        <v>304448</v>
      </c>
      <c r="X405" s="18">
        <v>108622</v>
      </c>
      <c r="Y405" s="18">
        <v>55124</v>
      </c>
      <c r="Z405" s="18">
        <v>9007</v>
      </c>
      <c r="AA405" s="18">
        <v>47369</v>
      </c>
      <c r="AB405" s="18"/>
      <c r="AC405" s="18"/>
      <c r="AD405" s="18"/>
      <c r="AE405" s="18">
        <v>7410</v>
      </c>
      <c r="AF405" s="18">
        <v>33687</v>
      </c>
      <c r="AG405" s="18">
        <v>150</v>
      </c>
      <c r="AH405" s="18"/>
      <c r="AI405" s="19">
        <v>1</v>
      </c>
      <c r="AJ405" s="18">
        <v>7391</v>
      </c>
      <c r="AK405" s="18">
        <v>2376</v>
      </c>
    </row>
    <row r="406" spans="1:37" ht="48.75" customHeight="1" x14ac:dyDescent="0.25">
      <c r="A406" s="80"/>
      <c r="B406" s="10">
        <v>0.24999999949778501</v>
      </c>
      <c r="C406" s="11">
        <v>11584</v>
      </c>
      <c r="D406" s="11">
        <v>383204</v>
      </c>
      <c r="E406" s="11">
        <v>11090</v>
      </c>
      <c r="F406" s="11"/>
      <c r="G406" s="11"/>
      <c r="H406" s="11"/>
      <c r="I406" s="11"/>
      <c r="J406" s="11">
        <v>4296</v>
      </c>
      <c r="K406" s="11">
        <v>5290</v>
      </c>
      <c r="L406" s="11">
        <v>26632</v>
      </c>
      <c r="M406" s="11">
        <v>15938</v>
      </c>
      <c r="N406" s="11">
        <v>8654630</v>
      </c>
      <c r="O406" s="11">
        <v>303501</v>
      </c>
      <c r="P406" s="11"/>
      <c r="Q406" s="11"/>
      <c r="R406" s="12">
        <v>53147</v>
      </c>
      <c r="S406" s="11" t="s">
        <v>99</v>
      </c>
      <c r="T406" s="11">
        <v>8000</v>
      </c>
      <c r="U406" s="11">
        <v>216715</v>
      </c>
      <c r="V406" s="11">
        <v>275175</v>
      </c>
      <c r="W406" s="11">
        <v>304535</v>
      </c>
      <c r="X406" s="9">
        <v>108665</v>
      </c>
      <c r="Y406" s="9">
        <v>55164</v>
      </c>
      <c r="Z406" s="9"/>
      <c r="AA406" s="9"/>
      <c r="AB406" s="9">
        <v>120890</v>
      </c>
      <c r="AC406" s="9">
        <v>288743</v>
      </c>
      <c r="AD406" s="9"/>
      <c r="AE406" s="9"/>
      <c r="AF406" s="9"/>
      <c r="AG406" s="9"/>
      <c r="AH406" s="9"/>
      <c r="AI406" s="20"/>
      <c r="AJ406" s="9"/>
      <c r="AK406" s="9"/>
    </row>
    <row r="407" spans="1:37" ht="48.75" customHeight="1" thickBot="1" x14ac:dyDescent="0.3">
      <c r="A407" s="81"/>
      <c r="B407" s="13">
        <v>0.58333333283078304</v>
      </c>
      <c r="C407" s="14">
        <v>11604</v>
      </c>
      <c r="D407" s="14">
        <v>383451</v>
      </c>
      <c r="E407" s="14">
        <v>11091</v>
      </c>
      <c r="F407" s="14"/>
      <c r="G407" s="14"/>
      <c r="H407" s="14"/>
      <c r="I407" s="14"/>
      <c r="J407" s="14">
        <v>4296</v>
      </c>
      <c r="K407" s="14">
        <v>5291</v>
      </c>
      <c r="L407" s="14">
        <v>26656</v>
      </c>
      <c r="M407" s="14">
        <v>15949</v>
      </c>
      <c r="N407" s="14">
        <v>8938763</v>
      </c>
      <c r="O407" s="14">
        <v>303708</v>
      </c>
      <c r="P407" s="14">
        <v>0</v>
      </c>
      <c r="Q407" s="14">
        <v>0</v>
      </c>
      <c r="R407" s="15">
        <v>53165</v>
      </c>
      <c r="S407" s="14" t="s">
        <v>101</v>
      </c>
      <c r="T407" s="14">
        <v>7642</v>
      </c>
      <c r="U407" s="14">
        <v>217130</v>
      </c>
      <c r="V407" s="14">
        <v>275372</v>
      </c>
      <c r="W407" s="14">
        <v>304641</v>
      </c>
      <c r="X407" s="21">
        <v>108705</v>
      </c>
      <c r="Y407" s="21">
        <v>55201</v>
      </c>
      <c r="Z407" s="21"/>
      <c r="AA407" s="21"/>
      <c r="AB407" s="21">
        <v>121001</v>
      </c>
      <c r="AC407" s="21">
        <v>288845</v>
      </c>
      <c r="AD407" s="21"/>
      <c r="AE407" s="21"/>
      <c r="AF407" s="21"/>
      <c r="AG407" s="21"/>
      <c r="AH407" s="21"/>
      <c r="AI407" s="22"/>
      <c r="AJ407" s="21"/>
      <c r="AK407" s="21"/>
    </row>
    <row r="408" spans="1:37" ht="48.75" customHeight="1" x14ac:dyDescent="0.25">
      <c r="A408" s="79">
        <v>46158</v>
      </c>
      <c r="B408" s="6">
        <v>0.91666666616368497</v>
      </c>
      <c r="C408" s="7">
        <v>11632</v>
      </c>
      <c r="D408" s="7">
        <v>383659</v>
      </c>
      <c r="E408" s="7">
        <v>11092</v>
      </c>
      <c r="F408" s="7"/>
      <c r="G408" s="7"/>
      <c r="H408" s="7"/>
      <c r="I408" s="7"/>
      <c r="J408" s="7">
        <v>4296</v>
      </c>
      <c r="K408" s="7">
        <v>5292</v>
      </c>
      <c r="L408" s="7">
        <v>26679</v>
      </c>
      <c r="M408" s="7">
        <v>15957</v>
      </c>
      <c r="N408" s="7">
        <v>9192902</v>
      </c>
      <c r="O408" s="7">
        <v>303889</v>
      </c>
      <c r="P408" s="7"/>
      <c r="Q408" s="7"/>
      <c r="R408" s="8">
        <v>53182</v>
      </c>
      <c r="S408" s="7" t="s">
        <v>99</v>
      </c>
      <c r="T408" s="7">
        <v>8833</v>
      </c>
      <c r="U408" s="7">
        <v>217567</v>
      </c>
      <c r="V408" s="7">
        <v>275551</v>
      </c>
      <c r="W408" s="7">
        <v>304743</v>
      </c>
      <c r="X408" s="18">
        <v>108713</v>
      </c>
      <c r="Y408" s="18">
        <v>55207</v>
      </c>
      <c r="Z408" s="18">
        <v>9055</v>
      </c>
      <c r="AA408" s="18">
        <v>47442</v>
      </c>
      <c r="AB408" s="18">
        <v>121190</v>
      </c>
      <c r="AC408" s="18">
        <v>288953</v>
      </c>
      <c r="AD408" s="18"/>
      <c r="AE408" s="18">
        <v>7413</v>
      </c>
      <c r="AF408" s="18">
        <v>33687</v>
      </c>
      <c r="AG408" s="18">
        <v>150</v>
      </c>
      <c r="AH408" s="18"/>
      <c r="AI408" s="19">
        <v>1</v>
      </c>
      <c r="AJ408" s="18">
        <v>7400</v>
      </c>
      <c r="AK408" s="18">
        <v>2376</v>
      </c>
    </row>
    <row r="409" spans="1:37" ht="48.75" customHeight="1" x14ac:dyDescent="0.25">
      <c r="A409" s="80"/>
      <c r="B409" s="10">
        <v>0.249999999496584</v>
      </c>
      <c r="C409" s="11">
        <v>11664</v>
      </c>
      <c r="D409" s="11">
        <v>383888</v>
      </c>
      <c r="E409" s="11">
        <v>11095</v>
      </c>
      <c r="F409" s="11"/>
      <c r="G409" s="11"/>
      <c r="H409" s="11"/>
      <c r="I409" s="11"/>
      <c r="J409" s="11">
        <v>4297</v>
      </c>
      <c r="K409" s="11">
        <v>5292</v>
      </c>
      <c r="L409" s="11">
        <v>26703</v>
      </c>
      <c r="M409" s="11">
        <v>15968</v>
      </c>
      <c r="N409" s="11">
        <v>9476465</v>
      </c>
      <c r="O409" s="11">
        <v>304042</v>
      </c>
      <c r="P409" s="11"/>
      <c r="Q409" s="11"/>
      <c r="R409" s="12">
        <v>53220</v>
      </c>
      <c r="S409" s="11" t="s">
        <v>99</v>
      </c>
      <c r="T409" s="11">
        <v>9409</v>
      </c>
      <c r="U409" s="11">
        <v>218107</v>
      </c>
      <c r="V409" s="11">
        <v>275750</v>
      </c>
      <c r="W409" s="11">
        <v>304842</v>
      </c>
      <c r="X409" s="9"/>
      <c r="Y409" s="9"/>
      <c r="Z409" s="9"/>
      <c r="AA409" s="9"/>
      <c r="AB409" s="9">
        <v>121355</v>
      </c>
      <c r="AC409" s="9">
        <v>289053</v>
      </c>
      <c r="AD409" s="9"/>
      <c r="AE409" s="9"/>
      <c r="AF409" s="9"/>
      <c r="AG409" s="9"/>
      <c r="AH409" s="9"/>
      <c r="AI409" s="20"/>
      <c r="AJ409" s="9"/>
      <c r="AK409" s="9"/>
    </row>
    <row r="410" spans="1:37" ht="48.75" customHeight="1" thickBot="1" x14ac:dyDescent="0.3">
      <c r="A410" s="81"/>
      <c r="B410" s="13">
        <v>0.58333333282948296</v>
      </c>
      <c r="C410" s="14">
        <v>11707</v>
      </c>
      <c r="D410" s="14">
        <v>384137</v>
      </c>
      <c r="E410" s="14">
        <v>11097</v>
      </c>
      <c r="F410" s="14"/>
      <c r="G410" s="14"/>
      <c r="H410" s="14"/>
      <c r="I410" s="14"/>
      <c r="J410" s="14">
        <v>4297</v>
      </c>
      <c r="K410" s="14">
        <v>5292</v>
      </c>
      <c r="L410" s="14">
        <v>26733</v>
      </c>
      <c r="M410" s="14">
        <v>15981</v>
      </c>
      <c r="N410" s="14">
        <v>9747014</v>
      </c>
      <c r="O410" s="14">
        <v>304240</v>
      </c>
      <c r="P410" s="14"/>
      <c r="Q410" s="14"/>
      <c r="R410" s="15">
        <v>53244</v>
      </c>
      <c r="S410" s="14" t="s">
        <v>101</v>
      </c>
      <c r="T410" s="14">
        <v>9878</v>
      </c>
      <c r="U410" s="14">
        <v>218613</v>
      </c>
      <c r="V410" s="14">
        <v>275078</v>
      </c>
      <c r="W410" s="14">
        <v>304954</v>
      </c>
      <c r="X410" s="21"/>
      <c r="Y410" s="21"/>
      <c r="Z410" s="21"/>
      <c r="AA410" s="21"/>
      <c r="AB410" s="21">
        <v>121519</v>
      </c>
      <c r="AC410" s="21">
        <v>289165</v>
      </c>
      <c r="AD410" s="21"/>
      <c r="AE410" s="21"/>
      <c r="AF410" s="21"/>
      <c r="AG410" s="21"/>
      <c r="AH410" s="21"/>
      <c r="AI410" s="22"/>
      <c r="AJ410" s="21"/>
      <c r="AK410" s="21"/>
    </row>
    <row r="411" spans="1:37" ht="48.75" customHeight="1" x14ac:dyDescent="0.25">
      <c r="A411" s="79">
        <v>46159</v>
      </c>
      <c r="B411" s="6">
        <v>0.91666666616238501</v>
      </c>
      <c r="C411" s="7">
        <v>11709</v>
      </c>
      <c r="D411" s="7">
        <v>384144</v>
      </c>
      <c r="E411" s="7">
        <v>11097</v>
      </c>
      <c r="F411" s="7"/>
      <c r="G411" s="7"/>
      <c r="H411" s="7"/>
      <c r="I411" s="7"/>
      <c r="J411" s="7">
        <v>4297</v>
      </c>
      <c r="K411" s="7">
        <v>5292</v>
      </c>
      <c r="L411" s="7">
        <v>26746</v>
      </c>
      <c r="M411" s="7">
        <v>15985</v>
      </c>
      <c r="N411" s="7">
        <v>9910763</v>
      </c>
      <c r="O411" s="7">
        <v>304358</v>
      </c>
      <c r="P411" s="7"/>
      <c r="Q411" s="7"/>
      <c r="R411" s="8">
        <v>53255</v>
      </c>
      <c r="S411" s="7" t="s">
        <v>99</v>
      </c>
      <c r="T411" s="7">
        <v>9959</v>
      </c>
      <c r="U411" s="7">
        <v>218651</v>
      </c>
      <c r="V411" s="7">
        <v>276054</v>
      </c>
      <c r="W411" s="7">
        <v>304999</v>
      </c>
      <c r="X411" s="18"/>
      <c r="Y411" s="18"/>
      <c r="Z411" s="18"/>
      <c r="AA411" s="18"/>
      <c r="AB411" s="18">
        <v>121614</v>
      </c>
      <c r="AC411" s="78" t="s">
        <v>102</v>
      </c>
      <c r="AD411" s="18"/>
      <c r="AE411" s="18"/>
      <c r="AF411" s="18"/>
      <c r="AG411" s="18"/>
      <c r="AH411" s="18"/>
      <c r="AI411" s="19"/>
      <c r="AJ411" s="18"/>
      <c r="AK411" s="18"/>
    </row>
    <row r="412" spans="1:37" ht="48.75" customHeight="1" x14ac:dyDescent="0.25">
      <c r="A412" s="80"/>
      <c r="B412" s="10">
        <v>0.24999999949528401</v>
      </c>
      <c r="C412" s="11">
        <v>11709</v>
      </c>
      <c r="D412" s="11">
        <v>384144</v>
      </c>
      <c r="E412" s="11">
        <v>11097</v>
      </c>
      <c r="F412" s="11"/>
      <c r="G412" s="11"/>
      <c r="H412" s="11"/>
      <c r="I412" s="11"/>
      <c r="J412" s="11">
        <v>4297</v>
      </c>
      <c r="K412" s="11">
        <v>5292</v>
      </c>
      <c r="L412" s="11">
        <v>26746</v>
      </c>
      <c r="M412" s="11">
        <v>15985</v>
      </c>
      <c r="N412" s="11">
        <v>9910763</v>
      </c>
      <c r="O412" s="11">
        <v>304358</v>
      </c>
      <c r="P412" s="11"/>
      <c r="Q412" s="11"/>
      <c r="R412" s="12">
        <v>53255</v>
      </c>
      <c r="S412" s="11" t="s">
        <v>99</v>
      </c>
      <c r="T412" s="11">
        <v>9959</v>
      </c>
      <c r="U412" s="11">
        <v>218651</v>
      </c>
      <c r="V412" s="11">
        <v>276054</v>
      </c>
      <c r="W412" s="11">
        <v>304999</v>
      </c>
      <c r="X412" s="9"/>
      <c r="Y412" s="9"/>
      <c r="Z412" s="9"/>
      <c r="AA412" s="9"/>
      <c r="AB412" s="9">
        <v>121614</v>
      </c>
      <c r="AC412" s="9" t="s">
        <v>102</v>
      </c>
      <c r="AD412" s="9"/>
      <c r="AE412" s="9"/>
      <c r="AF412" s="9"/>
      <c r="AG412" s="9"/>
      <c r="AH412" s="9"/>
      <c r="AI412" s="20"/>
      <c r="AJ412" s="9"/>
      <c r="AK412" s="9"/>
    </row>
    <row r="413" spans="1:37" ht="48.75" customHeight="1" thickBot="1" x14ac:dyDescent="0.3">
      <c r="A413" s="81"/>
      <c r="B413" s="13">
        <v>0.58333333282828503</v>
      </c>
      <c r="C413" s="14">
        <v>11709</v>
      </c>
      <c r="D413" s="14">
        <v>384144</v>
      </c>
      <c r="E413" s="14">
        <v>11097</v>
      </c>
      <c r="F413" s="14"/>
      <c r="G413" s="14"/>
      <c r="H413" s="14"/>
      <c r="I413" s="14"/>
      <c r="J413" s="14">
        <v>4297</v>
      </c>
      <c r="K413" s="14">
        <v>5292</v>
      </c>
      <c r="L413" s="14">
        <v>26746</v>
      </c>
      <c r="M413" s="14">
        <v>15985</v>
      </c>
      <c r="N413" s="14">
        <v>9910763</v>
      </c>
      <c r="O413" s="14">
        <v>304358</v>
      </c>
      <c r="P413" s="14"/>
      <c r="Q413" s="14"/>
      <c r="R413" s="15">
        <v>53255</v>
      </c>
      <c r="S413" s="14" t="s">
        <v>101</v>
      </c>
      <c r="T413" s="14">
        <v>9959</v>
      </c>
      <c r="U413" s="14">
        <v>218651</v>
      </c>
      <c r="V413" s="14">
        <v>276054</v>
      </c>
      <c r="W413" s="14">
        <v>304999</v>
      </c>
      <c r="X413" s="21"/>
      <c r="Y413" s="21"/>
      <c r="Z413" s="21"/>
      <c r="AA413" s="21"/>
      <c r="AB413" s="21">
        <v>121614</v>
      </c>
      <c r="AC413" s="21" t="s">
        <v>102</v>
      </c>
      <c r="AD413" s="21"/>
      <c r="AE413" s="21"/>
      <c r="AF413" s="21"/>
      <c r="AG413" s="21"/>
      <c r="AH413" s="21"/>
      <c r="AI413" s="22"/>
      <c r="AJ413" s="21"/>
      <c r="AK413" s="21"/>
    </row>
    <row r="414" spans="1:37" ht="48.75" customHeight="1" x14ac:dyDescent="0.25">
      <c r="A414" s="79">
        <v>46160</v>
      </c>
      <c r="B414" s="6">
        <v>0.91666666616118397</v>
      </c>
      <c r="C414" s="7">
        <v>11709</v>
      </c>
      <c r="D414" s="7">
        <v>384144</v>
      </c>
      <c r="E414" s="7">
        <v>11097</v>
      </c>
      <c r="F414" s="7"/>
      <c r="G414" s="7"/>
      <c r="H414" s="7"/>
      <c r="I414" s="7"/>
      <c r="J414" s="7">
        <v>4297</v>
      </c>
      <c r="K414" s="7">
        <v>5292</v>
      </c>
      <c r="L414" s="7">
        <v>26746</v>
      </c>
      <c r="M414" s="7">
        <v>15985</v>
      </c>
      <c r="N414" s="7">
        <v>9910763</v>
      </c>
      <c r="O414" s="7">
        <v>304358</v>
      </c>
      <c r="P414" s="7"/>
      <c r="Q414" s="7"/>
      <c r="R414" s="8">
        <v>53255</v>
      </c>
      <c r="S414" s="7" t="s">
        <v>99</v>
      </c>
      <c r="T414" s="7">
        <v>9959</v>
      </c>
      <c r="U414" s="7">
        <v>218651</v>
      </c>
      <c r="V414" s="7">
        <v>276054</v>
      </c>
      <c r="W414" s="7">
        <v>304999</v>
      </c>
      <c r="X414" s="18">
        <v>0</v>
      </c>
      <c r="Y414" s="18">
        <v>0</v>
      </c>
      <c r="Z414" s="18"/>
      <c r="AA414" s="18"/>
      <c r="AB414" s="18">
        <v>121614</v>
      </c>
      <c r="AC414" s="18" t="s">
        <v>102</v>
      </c>
      <c r="AD414" s="18"/>
      <c r="AE414" s="18"/>
      <c r="AF414" s="18"/>
      <c r="AG414" s="18"/>
      <c r="AH414" s="18"/>
      <c r="AI414" s="19"/>
      <c r="AJ414" s="18"/>
      <c r="AK414" s="18"/>
    </row>
    <row r="415" spans="1:37" ht="48.75" customHeight="1" x14ac:dyDescent="0.25">
      <c r="A415" s="80"/>
      <c r="B415" s="10">
        <v>0.249999999494083</v>
      </c>
      <c r="C415" s="11">
        <v>11709</v>
      </c>
      <c r="D415" s="11">
        <v>384144</v>
      </c>
      <c r="E415" s="11">
        <v>11097</v>
      </c>
      <c r="F415" s="11"/>
      <c r="G415" s="11"/>
      <c r="H415" s="11"/>
      <c r="I415" s="11"/>
      <c r="J415" s="11">
        <v>4297</v>
      </c>
      <c r="K415" s="11">
        <v>5292</v>
      </c>
      <c r="L415" s="11">
        <v>26746</v>
      </c>
      <c r="M415" s="11">
        <v>15985</v>
      </c>
      <c r="N415" s="11">
        <v>9910763</v>
      </c>
      <c r="O415" s="11">
        <v>304358</v>
      </c>
      <c r="P415" s="11"/>
      <c r="Q415" s="11"/>
      <c r="R415" s="12">
        <v>53255</v>
      </c>
      <c r="S415" s="11" t="s">
        <v>99</v>
      </c>
      <c r="T415" s="11">
        <v>9959</v>
      </c>
      <c r="U415" s="11">
        <v>218651</v>
      </c>
      <c r="V415" s="11">
        <v>276054</v>
      </c>
      <c r="W415" s="11">
        <v>304999</v>
      </c>
      <c r="X415" s="9">
        <v>0</v>
      </c>
      <c r="Y415" s="9">
        <v>0</v>
      </c>
      <c r="Z415" s="9"/>
      <c r="AA415" s="9"/>
      <c r="AB415" s="9">
        <v>121614</v>
      </c>
      <c r="AC415" s="9" t="s">
        <v>102</v>
      </c>
      <c r="AD415" s="9"/>
      <c r="AE415" s="9"/>
      <c r="AF415" s="9"/>
      <c r="AG415" s="9"/>
      <c r="AH415" s="9"/>
      <c r="AI415" s="20"/>
      <c r="AJ415" s="9"/>
      <c r="AK415" s="9"/>
    </row>
    <row r="416" spans="1:37" ht="48.75" customHeight="1" thickBot="1" x14ac:dyDescent="0.3">
      <c r="A416" s="81"/>
      <c r="B416" s="13">
        <v>0.58333333282698496</v>
      </c>
      <c r="C416" s="14">
        <v>11718</v>
      </c>
      <c r="D416" s="14">
        <v>384145</v>
      </c>
      <c r="E416" s="14">
        <v>11097</v>
      </c>
      <c r="F416" s="14"/>
      <c r="G416" s="14"/>
      <c r="H416" s="14"/>
      <c r="I416" s="14"/>
      <c r="J416" s="14">
        <v>4297</v>
      </c>
      <c r="K416" s="14">
        <v>5292</v>
      </c>
      <c r="L416" s="14">
        <v>26770</v>
      </c>
      <c r="M416" s="14">
        <v>15989</v>
      </c>
      <c r="N416" s="14">
        <v>35753</v>
      </c>
      <c r="O416" s="14">
        <v>304451</v>
      </c>
      <c r="P416" s="14"/>
      <c r="Q416" s="14"/>
      <c r="R416" s="15">
        <v>53269</v>
      </c>
      <c r="S416" s="14" t="s">
        <v>101</v>
      </c>
      <c r="T416" s="14">
        <v>10207</v>
      </c>
      <c r="U416" s="14">
        <v>218857</v>
      </c>
      <c r="V416" s="14">
        <v>276163</v>
      </c>
      <c r="W416" s="14">
        <v>305057</v>
      </c>
      <c r="X416" s="21">
        <v>0</v>
      </c>
      <c r="Y416" s="21">
        <v>0</v>
      </c>
      <c r="Z416" s="21"/>
      <c r="AA416" s="21"/>
      <c r="AB416" s="21">
        <v>121640</v>
      </c>
      <c r="AC416" s="21" t="s">
        <v>102</v>
      </c>
      <c r="AD416" s="21"/>
      <c r="AE416" s="21"/>
      <c r="AF416" s="21"/>
      <c r="AG416" s="21"/>
      <c r="AH416" s="21"/>
      <c r="AI416" s="22"/>
      <c r="AJ416" s="21"/>
      <c r="AK416" s="21"/>
    </row>
    <row r="417" spans="1:37" ht="48.75" customHeight="1" x14ac:dyDescent="0.25">
      <c r="A417" s="79">
        <v>46161</v>
      </c>
      <c r="B417" s="6">
        <v>0.91666666615988401</v>
      </c>
      <c r="C417" s="7">
        <v>11731</v>
      </c>
      <c r="D417" s="7">
        <v>384154</v>
      </c>
      <c r="E417" s="7">
        <v>11097</v>
      </c>
      <c r="F417" s="7"/>
      <c r="G417" s="7"/>
      <c r="H417" s="7"/>
      <c r="I417" s="7"/>
      <c r="J417" s="7">
        <v>4298</v>
      </c>
      <c r="K417" s="7">
        <v>5292</v>
      </c>
      <c r="L417" s="7">
        <v>26794</v>
      </c>
      <c r="M417" s="7">
        <v>15992</v>
      </c>
      <c r="N417" s="7">
        <v>179608</v>
      </c>
      <c r="O417" s="7">
        <v>304560</v>
      </c>
      <c r="P417" s="7"/>
      <c r="Q417" s="7"/>
      <c r="R417" s="8">
        <v>53279</v>
      </c>
      <c r="S417" s="7" t="s">
        <v>99</v>
      </c>
      <c r="T417" s="7">
        <v>10586</v>
      </c>
      <c r="U417" s="7">
        <v>219079</v>
      </c>
      <c r="V417" s="7">
        <v>276280</v>
      </c>
      <c r="W417" s="7">
        <v>305114</v>
      </c>
      <c r="X417" s="18">
        <v>69</v>
      </c>
      <c r="Y417" s="18">
        <v>47</v>
      </c>
      <c r="Z417" s="18">
        <v>9151</v>
      </c>
      <c r="AA417" s="18">
        <v>47528</v>
      </c>
      <c r="AB417" s="18">
        <v>121701</v>
      </c>
      <c r="AC417" s="18" t="s">
        <v>102</v>
      </c>
      <c r="AD417" s="18"/>
      <c r="AE417" s="18">
        <v>7419</v>
      </c>
      <c r="AF417" s="18">
        <v>33687</v>
      </c>
      <c r="AG417" s="18">
        <v>150</v>
      </c>
      <c r="AH417" s="18"/>
      <c r="AI417" s="19">
        <v>1</v>
      </c>
      <c r="AJ417" s="18">
        <v>7400</v>
      </c>
      <c r="AK417" s="18">
        <v>2376</v>
      </c>
    </row>
    <row r="418" spans="1:37" ht="48.75" customHeight="1" x14ac:dyDescent="0.25">
      <c r="A418" s="80"/>
      <c r="B418" s="10">
        <v>0.24999999949278301</v>
      </c>
      <c r="C418" s="11">
        <v>11748</v>
      </c>
      <c r="D418" s="11">
        <v>384391</v>
      </c>
      <c r="E418" s="11">
        <v>11099</v>
      </c>
      <c r="F418" s="11"/>
      <c r="G418" s="11"/>
      <c r="H418" s="11"/>
      <c r="I418" s="11"/>
      <c r="J418" s="11">
        <v>4298</v>
      </c>
      <c r="K418" s="11">
        <v>5296</v>
      </c>
      <c r="L418" s="11">
        <v>26818</v>
      </c>
      <c r="M418" s="11">
        <v>15997</v>
      </c>
      <c r="N418" s="11">
        <v>471613</v>
      </c>
      <c r="O418" s="11">
        <v>304782</v>
      </c>
      <c r="P418" s="11"/>
      <c r="Q418" s="11"/>
      <c r="R418" s="12">
        <v>53294</v>
      </c>
      <c r="S418" s="11" t="s">
        <v>99</v>
      </c>
      <c r="T418" s="11">
        <v>10773</v>
      </c>
      <c r="U418" s="11">
        <v>219505</v>
      </c>
      <c r="V418" s="11">
        <v>276535</v>
      </c>
      <c r="W418" s="11">
        <v>305238</v>
      </c>
      <c r="X418" s="9">
        <v>91</v>
      </c>
      <c r="Y418" s="9">
        <v>62</v>
      </c>
      <c r="Z418" s="9"/>
      <c r="AA418" s="9"/>
      <c r="AB418" s="9">
        <v>121738</v>
      </c>
      <c r="AC418" s="9" t="s">
        <v>102</v>
      </c>
      <c r="AD418" s="9"/>
      <c r="AE418" s="9"/>
      <c r="AF418" s="9"/>
      <c r="AG418" s="9"/>
      <c r="AH418" s="9"/>
      <c r="AI418" s="20"/>
      <c r="AJ418" s="9"/>
      <c r="AK418" s="9"/>
    </row>
    <row r="419" spans="1:37" ht="48.75" customHeight="1" thickBot="1" x14ac:dyDescent="0.3">
      <c r="A419" s="81"/>
      <c r="B419" s="13">
        <v>0.58333333282578403</v>
      </c>
      <c r="C419" s="14">
        <v>11764</v>
      </c>
      <c r="D419" s="14">
        <v>384577</v>
      </c>
      <c r="E419" s="14">
        <v>11100</v>
      </c>
      <c r="F419" s="14"/>
      <c r="G419" s="14"/>
      <c r="H419" s="14"/>
      <c r="I419" s="14"/>
      <c r="J419" s="14">
        <v>4798</v>
      </c>
      <c r="K419" s="14">
        <v>5296</v>
      </c>
      <c r="L419" s="14">
        <v>26840</v>
      </c>
      <c r="M419" s="14">
        <v>16001</v>
      </c>
      <c r="N419" s="14">
        <v>777967</v>
      </c>
      <c r="O419" s="14">
        <v>305017</v>
      </c>
      <c r="P419" s="14"/>
      <c r="Q419" s="14"/>
      <c r="R419" s="15">
        <v>53321</v>
      </c>
      <c r="S419" s="14" t="s">
        <v>101</v>
      </c>
      <c r="T419" s="15" t="s">
        <v>103</v>
      </c>
      <c r="U419" s="14">
        <v>219897</v>
      </c>
      <c r="V419" s="14">
        <v>276746</v>
      </c>
      <c r="W419" s="14">
        <v>305318</v>
      </c>
      <c r="X419" s="21">
        <v>156</v>
      </c>
      <c r="Y419" s="21">
        <v>125</v>
      </c>
      <c r="Z419" s="21"/>
      <c r="AA419" s="21"/>
      <c r="AB419" s="21">
        <v>121768</v>
      </c>
      <c r="AC419" s="21" t="s">
        <v>102</v>
      </c>
      <c r="AD419" s="21">
        <v>30</v>
      </c>
      <c r="AE419" s="21"/>
      <c r="AF419" s="21"/>
      <c r="AG419" s="21"/>
      <c r="AH419" s="21"/>
      <c r="AI419" s="22"/>
      <c r="AJ419" s="21"/>
      <c r="AK419" s="21"/>
    </row>
    <row r="420" spans="1:37" ht="48.75" customHeight="1" x14ac:dyDescent="0.25">
      <c r="A420" s="79">
        <v>46162</v>
      </c>
      <c r="B420" s="6">
        <v>0.91666666615868297</v>
      </c>
      <c r="C420" s="7">
        <v>11799</v>
      </c>
      <c r="D420" s="7">
        <v>384840</v>
      </c>
      <c r="E420" s="7">
        <v>11101</v>
      </c>
      <c r="F420" s="7"/>
      <c r="G420" s="7"/>
      <c r="H420" s="7"/>
      <c r="I420" s="7"/>
      <c r="J420" s="7">
        <v>4299</v>
      </c>
      <c r="K420" s="7">
        <v>5300</v>
      </c>
      <c r="L420" s="7">
        <v>26865</v>
      </c>
      <c r="M420" s="7">
        <v>16004</v>
      </c>
      <c r="N420" s="7">
        <v>1069049</v>
      </c>
      <c r="O420" s="7">
        <v>305239</v>
      </c>
      <c r="P420" s="7"/>
      <c r="Q420" s="7"/>
      <c r="R420" s="8">
        <v>53331</v>
      </c>
      <c r="S420" s="7" t="s">
        <v>99</v>
      </c>
      <c r="T420" s="8" t="s">
        <v>103</v>
      </c>
      <c r="U420" s="7">
        <v>220460</v>
      </c>
      <c r="V420" s="7">
        <v>276982</v>
      </c>
      <c r="W420" s="7">
        <v>305405</v>
      </c>
      <c r="X420" s="18">
        <v>204</v>
      </c>
      <c r="Y420" s="18">
        <v>167</v>
      </c>
      <c r="Z420" s="18">
        <v>9184</v>
      </c>
      <c r="AA420" s="18">
        <v>47612</v>
      </c>
      <c r="AB420" s="18">
        <v>121947</v>
      </c>
      <c r="AC420" s="18" t="s">
        <v>102</v>
      </c>
      <c r="AD420" s="18">
        <v>80</v>
      </c>
      <c r="AE420" s="18">
        <v>7424</v>
      </c>
      <c r="AF420" s="18">
        <v>33687</v>
      </c>
      <c r="AG420" s="18">
        <v>150</v>
      </c>
      <c r="AH420" s="18"/>
      <c r="AI420" s="19">
        <v>1</v>
      </c>
      <c r="AJ420" s="18">
        <v>7400</v>
      </c>
      <c r="AK420" s="18">
        <v>2376</v>
      </c>
    </row>
    <row r="421" spans="1:37" ht="48.75" customHeight="1" x14ac:dyDescent="0.25">
      <c r="A421" s="80"/>
      <c r="B421" s="10">
        <v>0.249999999491585</v>
      </c>
      <c r="C421" s="11">
        <v>11835</v>
      </c>
      <c r="D421" s="11">
        <v>385112</v>
      </c>
      <c r="E421" s="11">
        <v>11102</v>
      </c>
      <c r="F421" s="11"/>
      <c r="G421" s="11"/>
      <c r="H421" s="11"/>
      <c r="I421" s="11"/>
      <c r="J421" s="11">
        <v>4299</v>
      </c>
      <c r="K421" s="11">
        <v>5311</v>
      </c>
      <c r="L421" s="11">
        <v>26891</v>
      </c>
      <c r="M421" s="11">
        <v>16009</v>
      </c>
      <c r="N421" s="11">
        <v>1362087</v>
      </c>
      <c r="O421" s="11">
        <v>305462</v>
      </c>
      <c r="P421" s="11"/>
      <c r="Q421" s="11"/>
      <c r="R421" s="12">
        <v>53344</v>
      </c>
      <c r="S421" s="11" t="s">
        <v>99</v>
      </c>
      <c r="T421" s="12" t="s">
        <v>103</v>
      </c>
      <c r="U421" s="11">
        <v>220987</v>
      </c>
      <c r="V421" s="11">
        <v>277216</v>
      </c>
      <c r="W421" s="11">
        <v>305545</v>
      </c>
      <c r="X421" s="9">
        <v>270</v>
      </c>
      <c r="Y421" s="9">
        <v>232</v>
      </c>
      <c r="Z421" s="9"/>
      <c r="AA421" s="9"/>
      <c r="AB421" s="9">
        <v>122125</v>
      </c>
      <c r="AC421" s="9" t="s">
        <v>102</v>
      </c>
      <c r="AD421" s="9">
        <v>122</v>
      </c>
      <c r="AE421" s="9"/>
      <c r="AF421" s="9"/>
      <c r="AG421" s="9"/>
      <c r="AH421" s="9"/>
      <c r="AI421" s="20"/>
      <c r="AJ421" s="9"/>
      <c r="AK421" s="9"/>
    </row>
    <row r="422" spans="1:37" ht="48.75" customHeight="1" thickBot="1" x14ac:dyDescent="0.3">
      <c r="A422" s="81"/>
      <c r="B422" s="13">
        <v>0.58333333282448396</v>
      </c>
      <c r="C422" s="14">
        <v>11854</v>
      </c>
      <c r="D422" s="14">
        <v>385306</v>
      </c>
      <c r="E422" s="14">
        <v>11102</v>
      </c>
      <c r="F422" s="14"/>
      <c r="G422" s="14"/>
      <c r="H422" s="14"/>
      <c r="I422" s="14"/>
      <c r="J422" s="14">
        <v>4299</v>
      </c>
      <c r="K422" s="14">
        <v>5311</v>
      </c>
      <c r="L422" s="14">
        <v>26912</v>
      </c>
      <c r="M422" s="14">
        <v>16014</v>
      </c>
      <c r="N422" s="14">
        <v>1600387</v>
      </c>
      <c r="O422" s="14">
        <v>305641</v>
      </c>
      <c r="P422" s="14"/>
      <c r="Q422" s="14"/>
      <c r="R422" s="15">
        <v>53367</v>
      </c>
      <c r="S422" s="11" t="s">
        <v>99</v>
      </c>
      <c r="T422" s="15"/>
      <c r="U422" s="14">
        <v>221432</v>
      </c>
      <c r="V422" s="14">
        <v>277313</v>
      </c>
      <c r="W422" s="14">
        <v>305642</v>
      </c>
      <c r="X422" s="21">
        <v>327</v>
      </c>
      <c r="Y422" s="21">
        <v>285</v>
      </c>
      <c r="Z422" s="21"/>
      <c r="AA422" s="21"/>
      <c r="AB422" s="21">
        <v>122221</v>
      </c>
      <c r="AC422" s="9" t="s">
        <v>102</v>
      </c>
      <c r="AD422" s="21">
        <v>156</v>
      </c>
      <c r="AE422" s="21"/>
      <c r="AF422" s="21"/>
      <c r="AG422" s="21"/>
      <c r="AH422" s="21"/>
      <c r="AI422" s="22"/>
      <c r="AJ422" s="21"/>
      <c r="AK422" s="21"/>
    </row>
    <row r="423" spans="1:37" ht="48.75" customHeight="1" x14ac:dyDescent="0.25">
      <c r="A423" s="79">
        <v>46163</v>
      </c>
      <c r="B423" s="6">
        <v>0.91666666615738301</v>
      </c>
      <c r="C423" s="7">
        <v>11888</v>
      </c>
      <c r="D423" s="7">
        <v>385493</v>
      </c>
      <c r="E423" s="7">
        <v>11104</v>
      </c>
      <c r="F423" s="7"/>
      <c r="G423" s="7"/>
      <c r="H423" s="7"/>
      <c r="I423" s="7"/>
      <c r="J423" s="7">
        <v>4300</v>
      </c>
      <c r="K423" s="7">
        <v>5311</v>
      </c>
      <c r="L423" s="7">
        <v>26937</v>
      </c>
      <c r="M423" s="7">
        <v>16018</v>
      </c>
      <c r="N423" s="7">
        <v>1788021</v>
      </c>
      <c r="O423" s="7">
        <v>305765</v>
      </c>
      <c r="P423" s="7"/>
      <c r="Q423" s="7"/>
      <c r="R423" s="8">
        <v>53377</v>
      </c>
      <c r="S423" s="11" t="s">
        <v>99</v>
      </c>
      <c r="T423" s="7"/>
      <c r="U423" s="7">
        <v>221884</v>
      </c>
      <c r="V423" s="7">
        <v>277404</v>
      </c>
      <c r="W423" s="7">
        <v>305722</v>
      </c>
      <c r="X423" s="18">
        <v>384</v>
      </c>
      <c r="Y423" s="18">
        <v>342</v>
      </c>
      <c r="Z423" s="18">
        <v>9218</v>
      </c>
      <c r="AA423" s="18">
        <v>47694</v>
      </c>
      <c r="AB423" s="18">
        <v>122388</v>
      </c>
      <c r="AC423" s="9" t="s">
        <v>102</v>
      </c>
      <c r="AD423" s="18">
        <v>175</v>
      </c>
      <c r="AE423" s="18">
        <v>7425</v>
      </c>
      <c r="AF423" s="18">
        <v>33687</v>
      </c>
      <c r="AG423" s="18">
        <v>150</v>
      </c>
      <c r="AH423" s="18"/>
      <c r="AI423" s="19">
        <v>1</v>
      </c>
      <c r="AJ423" s="18">
        <v>7400</v>
      </c>
      <c r="AK423" s="18">
        <v>2376</v>
      </c>
    </row>
    <row r="424" spans="1:37" ht="48.75" customHeight="1" x14ac:dyDescent="0.25">
      <c r="A424" s="80"/>
      <c r="B424" s="10">
        <v>0.24999999949028501</v>
      </c>
      <c r="C424" s="11">
        <v>11914</v>
      </c>
      <c r="D424" s="11">
        <v>385666</v>
      </c>
      <c r="E424" s="11">
        <v>11105</v>
      </c>
      <c r="F424" s="11"/>
      <c r="G424" s="11"/>
      <c r="H424" s="11"/>
      <c r="I424" s="11"/>
      <c r="J424" s="11">
        <v>4301</v>
      </c>
      <c r="K424" s="11">
        <v>5312</v>
      </c>
      <c r="L424" s="11">
        <v>26963</v>
      </c>
      <c r="M424" s="11">
        <v>16025</v>
      </c>
      <c r="N424" s="11">
        <v>1967851</v>
      </c>
      <c r="O424" s="11">
        <v>305864</v>
      </c>
      <c r="P424" s="11"/>
      <c r="Q424" s="11"/>
      <c r="R424" s="12">
        <v>53394</v>
      </c>
      <c r="S424" s="11" t="s">
        <v>99</v>
      </c>
      <c r="T424" s="11"/>
      <c r="U424" s="11">
        <v>222319</v>
      </c>
      <c r="V424" s="11">
        <v>277533</v>
      </c>
      <c r="W424" s="11">
        <v>305842</v>
      </c>
      <c r="X424" s="9"/>
      <c r="Y424" s="9"/>
      <c r="Z424" s="9"/>
      <c r="AA424" s="9"/>
      <c r="AB424" s="9">
        <v>122519</v>
      </c>
      <c r="AC424" s="9" t="s">
        <v>102</v>
      </c>
      <c r="AD424" s="9">
        <v>210</v>
      </c>
      <c r="AE424" s="9"/>
      <c r="AF424" s="9"/>
      <c r="AG424" s="9"/>
      <c r="AH424" s="9"/>
      <c r="AI424" s="20"/>
      <c r="AJ424" s="9"/>
      <c r="AK424" s="9"/>
    </row>
    <row r="425" spans="1:37" ht="48.75" customHeight="1" thickBot="1" x14ac:dyDescent="0.3">
      <c r="A425" s="81"/>
      <c r="B425" s="13">
        <v>0.58333333282328304</v>
      </c>
      <c r="C425" s="14">
        <v>11932</v>
      </c>
      <c r="D425" s="14">
        <v>385805</v>
      </c>
      <c r="E425" s="14">
        <v>11106</v>
      </c>
      <c r="F425" s="14"/>
      <c r="G425" s="14"/>
      <c r="H425" s="14"/>
      <c r="I425" s="14"/>
      <c r="J425" s="14">
        <v>4301</v>
      </c>
      <c r="K425" s="14">
        <v>5312</v>
      </c>
      <c r="L425" s="14">
        <v>26984</v>
      </c>
      <c r="M425" s="14">
        <v>16034</v>
      </c>
      <c r="N425" s="14">
        <v>2294869</v>
      </c>
      <c r="O425" s="14">
        <v>306064</v>
      </c>
      <c r="P425" s="14"/>
      <c r="Q425" s="14"/>
      <c r="R425" s="15">
        <v>53425</v>
      </c>
      <c r="S425" s="14"/>
      <c r="T425" s="14"/>
      <c r="U425" s="14">
        <v>222704</v>
      </c>
      <c r="V425" s="14">
        <v>277653</v>
      </c>
      <c r="W425" s="14">
        <v>305932</v>
      </c>
      <c r="X425" s="21"/>
      <c r="Y425" s="21"/>
      <c r="Z425" s="21"/>
      <c r="AA425" s="21"/>
      <c r="AB425" s="21">
        <v>122577</v>
      </c>
      <c r="AC425" s="21"/>
      <c r="AD425" s="21"/>
      <c r="AE425" s="21"/>
      <c r="AF425" s="21"/>
      <c r="AG425" s="21"/>
      <c r="AH425" s="21"/>
      <c r="AI425" s="22"/>
      <c r="AJ425" s="21"/>
      <c r="AK425" s="21"/>
    </row>
    <row r="426" spans="1:37" ht="48.75" customHeight="1" thickBot="1" x14ac:dyDescent="0.3">
      <c r="A426" s="79">
        <v>46164</v>
      </c>
      <c r="B426" s="6">
        <v>0.91666666615618198</v>
      </c>
      <c r="C426" s="7">
        <v>11961</v>
      </c>
      <c r="D426" s="7">
        <v>386040</v>
      </c>
      <c r="E426" s="7">
        <v>11107</v>
      </c>
      <c r="F426" s="7"/>
      <c r="G426" s="7"/>
      <c r="H426" s="7"/>
      <c r="I426" s="7"/>
      <c r="J426" s="7">
        <v>4303</v>
      </c>
      <c r="K426" s="7">
        <v>5312</v>
      </c>
      <c r="L426" s="7">
        <v>27008</v>
      </c>
      <c r="M426" s="7">
        <v>16045</v>
      </c>
      <c r="N426" s="7">
        <v>2512189</v>
      </c>
      <c r="O426" s="7">
        <v>306226</v>
      </c>
      <c r="P426" s="7"/>
      <c r="Q426" s="7"/>
      <c r="R426" s="8">
        <v>53441</v>
      </c>
      <c r="S426" s="7"/>
      <c r="T426" s="7"/>
      <c r="U426" s="7">
        <v>223151</v>
      </c>
      <c r="V426" s="7">
        <v>277786</v>
      </c>
      <c r="W426" s="7">
        <v>306048</v>
      </c>
      <c r="X426" s="18">
        <v>99</v>
      </c>
      <c r="Y426" s="18">
        <v>75</v>
      </c>
      <c r="Z426" s="18">
        <v>9278</v>
      </c>
      <c r="AA426" s="18">
        <v>47734</v>
      </c>
      <c r="AB426" s="18">
        <v>122687</v>
      </c>
      <c r="AC426" s="18" t="s">
        <v>104</v>
      </c>
      <c r="AD426" s="18">
        <v>308</v>
      </c>
      <c r="AE426" s="18">
        <v>7427</v>
      </c>
      <c r="AF426" s="18">
        <v>33687</v>
      </c>
      <c r="AG426" s="18">
        <v>150</v>
      </c>
      <c r="AH426" s="18"/>
      <c r="AI426" s="19">
        <v>1</v>
      </c>
      <c r="AJ426" s="18">
        <v>7400</v>
      </c>
      <c r="AK426" s="18">
        <v>2376</v>
      </c>
    </row>
    <row r="427" spans="1:37" ht="48.75" customHeight="1" x14ac:dyDescent="0.25">
      <c r="A427" s="80"/>
      <c r="B427" s="10">
        <v>0.249999999489084</v>
      </c>
      <c r="C427" s="11">
        <v>11990</v>
      </c>
      <c r="D427" s="11">
        <v>386294</v>
      </c>
      <c r="E427" s="11">
        <v>11108</v>
      </c>
      <c r="F427" s="11"/>
      <c r="G427" s="11"/>
      <c r="H427" s="11"/>
      <c r="I427" s="11"/>
      <c r="J427" s="11">
        <v>4304</v>
      </c>
      <c r="K427" s="11">
        <v>5312</v>
      </c>
      <c r="L427" s="11">
        <v>27034</v>
      </c>
      <c r="M427" s="11">
        <v>16057</v>
      </c>
      <c r="N427" s="11">
        <v>2742038</v>
      </c>
      <c r="O427" s="11">
        <v>306401</v>
      </c>
      <c r="P427" s="11"/>
      <c r="Q427" s="11"/>
      <c r="R427" s="12">
        <v>53472</v>
      </c>
      <c r="S427" s="11" t="s">
        <v>99</v>
      </c>
      <c r="T427" s="11"/>
      <c r="U427" s="11">
        <v>223604</v>
      </c>
      <c r="V427" s="11">
        <v>278001</v>
      </c>
      <c r="W427" s="11">
        <v>306207</v>
      </c>
      <c r="X427" s="9">
        <v>99</v>
      </c>
      <c r="Y427" s="9">
        <v>75</v>
      </c>
      <c r="Z427" s="9"/>
      <c r="AA427" s="9"/>
      <c r="AB427" s="9"/>
      <c r="AC427" s="18" t="s">
        <v>104</v>
      </c>
      <c r="AD427" s="9">
        <v>361</v>
      </c>
      <c r="AE427" s="9"/>
      <c r="AF427" s="9"/>
      <c r="AG427" s="9"/>
      <c r="AH427" s="9"/>
      <c r="AI427" s="20"/>
      <c r="AJ427" s="9"/>
      <c r="AK427" s="9"/>
    </row>
    <row r="428" spans="1:37" ht="48.75" customHeight="1" thickBot="1" x14ac:dyDescent="0.3">
      <c r="A428" s="81"/>
      <c r="B428" s="13">
        <v>0.58333333282198696</v>
      </c>
      <c r="C428" s="14">
        <v>12003</v>
      </c>
      <c r="D428" s="14">
        <v>386460</v>
      </c>
      <c r="E428" s="14">
        <v>11109</v>
      </c>
      <c r="F428" s="14"/>
      <c r="G428" s="14"/>
      <c r="H428" s="14"/>
      <c r="I428" s="14"/>
      <c r="J428" s="14">
        <v>4305</v>
      </c>
      <c r="K428" s="14">
        <v>5312</v>
      </c>
      <c r="L428" s="14">
        <v>27057</v>
      </c>
      <c r="M428" s="14">
        <v>16065</v>
      </c>
      <c r="N428" s="14">
        <v>3043901</v>
      </c>
      <c r="O428" s="14">
        <v>306629</v>
      </c>
      <c r="P428" s="14"/>
      <c r="Q428" s="14"/>
      <c r="R428" s="15">
        <v>53512</v>
      </c>
      <c r="S428" s="14" t="s">
        <v>99</v>
      </c>
      <c r="T428" s="14" t="s">
        <v>99</v>
      </c>
      <c r="U428" s="14">
        <v>224095</v>
      </c>
      <c r="V428" s="14">
        <v>278143</v>
      </c>
      <c r="W428" s="14">
        <v>306328</v>
      </c>
      <c r="X428" s="21">
        <v>99</v>
      </c>
      <c r="Y428" s="21">
        <v>75</v>
      </c>
      <c r="Z428" s="21"/>
      <c r="AA428" s="21"/>
      <c r="AB428" s="21">
        <v>122824</v>
      </c>
      <c r="AC428" s="21" t="s">
        <v>104</v>
      </c>
      <c r="AD428" s="21">
        <v>414</v>
      </c>
      <c r="AE428" s="21"/>
      <c r="AF428" s="21"/>
      <c r="AG428" s="21"/>
      <c r="AH428" s="21"/>
      <c r="AI428" s="22"/>
      <c r="AJ428" s="21"/>
      <c r="AK428" s="21"/>
    </row>
    <row r="429" spans="1:37" ht="48.75" customHeight="1" thickBot="1" x14ac:dyDescent="0.3">
      <c r="A429" s="79">
        <v>46165</v>
      </c>
      <c r="B429" s="6">
        <v>0.91666666615488201</v>
      </c>
      <c r="C429" s="7">
        <v>12046</v>
      </c>
      <c r="D429" s="7">
        <v>386747</v>
      </c>
      <c r="E429" s="7">
        <v>11111</v>
      </c>
      <c r="F429" s="7"/>
      <c r="G429" s="7"/>
      <c r="H429" s="7"/>
      <c r="I429" s="7"/>
      <c r="J429" s="7">
        <v>4306</v>
      </c>
      <c r="K429" s="7">
        <v>5312</v>
      </c>
      <c r="L429" s="7">
        <v>27081</v>
      </c>
      <c r="M429" s="7">
        <v>16070</v>
      </c>
      <c r="N429" s="7">
        <v>3216387</v>
      </c>
      <c r="O429" s="7">
        <v>306759</v>
      </c>
      <c r="P429" s="7"/>
      <c r="Q429" s="7"/>
      <c r="R429" s="8">
        <v>53552</v>
      </c>
      <c r="S429" s="7" t="s">
        <v>99</v>
      </c>
      <c r="T429" s="7"/>
      <c r="U429" s="7">
        <v>224592</v>
      </c>
      <c r="V429" s="7">
        <v>278290</v>
      </c>
      <c r="W429" s="7">
        <v>306452</v>
      </c>
      <c r="X429" s="18">
        <v>99</v>
      </c>
      <c r="Y429" s="18">
        <v>75</v>
      </c>
      <c r="Z429" s="18">
        <v>9349</v>
      </c>
      <c r="AA429" s="18">
        <v>47792</v>
      </c>
      <c r="AB429" s="18">
        <v>122886</v>
      </c>
      <c r="AC429" s="18" t="s">
        <v>104</v>
      </c>
      <c r="AD429" s="18">
        <v>464</v>
      </c>
      <c r="AE429" s="18">
        <v>7427</v>
      </c>
      <c r="AF429" s="18">
        <v>33687</v>
      </c>
      <c r="AG429" s="18">
        <v>150</v>
      </c>
      <c r="AH429" s="18"/>
      <c r="AI429" s="19">
        <v>1</v>
      </c>
      <c r="AJ429" s="18">
        <v>7400</v>
      </c>
      <c r="AK429" s="18">
        <v>2376</v>
      </c>
    </row>
    <row r="430" spans="1:37" ht="48.75" customHeight="1" x14ac:dyDescent="0.25">
      <c r="A430" s="80"/>
      <c r="B430" s="10">
        <v>0.24999999948778401</v>
      </c>
      <c r="C430" s="11">
        <v>12078</v>
      </c>
      <c r="D430" s="11">
        <v>386983</v>
      </c>
      <c r="E430" s="11">
        <v>11113</v>
      </c>
      <c r="F430" s="11"/>
      <c r="G430" s="11"/>
      <c r="H430" s="11"/>
      <c r="I430" s="11"/>
      <c r="J430" s="11">
        <v>4306</v>
      </c>
      <c r="K430" s="11">
        <v>5312</v>
      </c>
      <c r="L430" s="11">
        <v>27105</v>
      </c>
      <c r="M430" s="11">
        <v>16088</v>
      </c>
      <c r="N430" s="11">
        <v>3493147</v>
      </c>
      <c r="O430" s="11">
        <v>306970</v>
      </c>
      <c r="P430" s="11"/>
      <c r="Q430" s="11"/>
      <c r="R430" s="12">
        <v>53581</v>
      </c>
      <c r="S430" s="11" t="s">
        <v>99</v>
      </c>
      <c r="T430" s="12"/>
      <c r="U430" s="11">
        <v>225074</v>
      </c>
      <c r="V430" s="11">
        <v>278446</v>
      </c>
      <c r="W430" s="11">
        <v>306584</v>
      </c>
      <c r="X430" s="18">
        <v>99</v>
      </c>
      <c r="Y430" s="9">
        <v>75</v>
      </c>
      <c r="Z430" s="9"/>
      <c r="AA430" s="9"/>
      <c r="AB430" s="9">
        <v>122937</v>
      </c>
      <c r="AC430" s="18" t="s">
        <v>104</v>
      </c>
      <c r="AD430" s="9">
        <v>514</v>
      </c>
      <c r="AE430" s="9"/>
      <c r="AF430" s="9"/>
      <c r="AG430" s="9"/>
      <c r="AH430" s="9"/>
      <c r="AI430" s="20"/>
      <c r="AJ430" s="9"/>
      <c r="AK430" s="9"/>
    </row>
    <row r="431" spans="1:37" ht="48.75" customHeight="1" thickBot="1" x14ac:dyDescent="0.3">
      <c r="A431" s="81"/>
      <c r="B431" s="13">
        <v>0.58333333282078603</v>
      </c>
      <c r="C431" s="14">
        <v>12113</v>
      </c>
      <c r="D431" s="14">
        <v>387259</v>
      </c>
      <c r="E431" s="14">
        <v>11115</v>
      </c>
      <c r="F431" s="14"/>
      <c r="G431" s="14"/>
      <c r="H431" s="14"/>
      <c r="I431" s="14"/>
      <c r="J431" s="14">
        <v>4306</v>
      </c>
      <c r="K431" s="14">
        <v>5312</v>
      </c>
      <c r="L431" s="14">
        <v>27141</v>
      </c>
      <c r="M431" s="14">
        <v>16111</v>
      </c>
      <c r="N431" s="14">
        <v>3770791</v>
      </c>
      <c r="O431" s="14">
        <v>307179</v>
      </c>
      <c r="P431" s="14"/>
      <c r="Q431" s="14"/>
      <c r="R431" s="15">
        <v>53634</v>
      </c>
      <c r="S431" s="14" t="s">
        <v>99</v>
      </c>
      <c r="T431" s="14" t="s">
        <v>99</v>
      </c>
      <c r="U431" s="14">
        <v>225641</v>
      </c>
      <c r="V431" s="14">
        <v>278599</v>
      </c>
      <c r="W431" s="14">
        <v>306717</v>
      </c>
      <c r="X431" s="21">
        <v>99</v>
      </c>
      <c r="Y431" s="21">
        <v>75</v>
      </c>
      <c r="Z431" s="21"/>
      <c r="AA431" s="21"/>
      <c r="AB431" s="21">
        <v>122987</v>
      </c>
      <c r="AC431" s="21" t="s">
        <v>104</v>
      </c>
      <c r="AD431" s="21">
        <v>539</v>
      </c>
      <c r="AE431" s="21"/>
      <c r="AF431" s="21"/>
      <c r="AG431" s="21"/>
      <c r="AH431" s="21"/>
      <c r="AI431" s="22"/>
      <c r="AJ431" s="21"/>
      <c r="AK431" s="21"/>
    </row>
    <row r="432" spans="1:37" ht="48.75" customHeight="1" x14ac:dyDescent="0.25">
      <c r="A432" s="79">
        <v>46166</v>
      </c>
      <c r="B432" s="6">
        <v>0.91666666615368098</v>
      </c>
      <c r="C432" s="7">
        <v>12129</v>
      </c>
      <c r="D432" s="7">
        <f>+D431+57</f>
        <v>387316</v>
      </c>
      <c r="E432" s="7">
        <v>11115</v>
      </c>
      <c r="F432" s="7"/>
      <c r="G432" s="7"/>
      <c r="H432" s="7"/>
      <c r="I432" s="7"/>
      <c r="J432" s="7">
        <v>4307</v>
      </c>
      <c r="K432" s="7">
        <v>5312</v>
      </c>
      <c r="L432" s="7">
        <v>27148</v>
      </c>
      <c r="M432" s="7">
        <v>16111</v>
      </c>
      <c r="N432" s="7">
        <v>3818031</v>
      </c>
      <c r="O432" s="7">
        <v>307214</v>
      </c>
      <c r="P432" s="7"/>
      <c r="Q432" s="7"/>
      <c r="R432" s="8">
        <v>53639</v>
      </c>
      <c r="S432" s="7" t="s">
        <v>99</v>
      </c>
      <c r="T432" s="7" t="s">
        <v>99</v>
      </c>
      <c r="U432" s="7">
        <v>225698</v>
      </c>
      <c r="V432" s="7">
        <v>278599</v>
      </c>
      <c r="W432" s="7">
        <v>306717</v>
      </c>
      <c r="X432" s="18">
        <v>99</v>
      </c>
      <c r="Y432" s="18">
        <v>75</v>
      </c>
      <c r="Z432" s="18">
        <v>9418</v>
      </c>
      <c r="AA432" s="18"/>
      <c r="AB432" s="18">
        <v>122990</v>
      </c>
      <c r="AC432" s="18" t="s">
        <v>104</v>
      </c>
      <c r="AD432" s="18">
        <v>555</v>
      </c>
      <c r="AE432" s="18">
        <v>7434</v>
      </c>
      <c r="AF432" s="18">
        <v>33687</v>
      </c>
      <c r="AG432" s="18">
        <v>150</v>
      </c>
      <c r="AH432" s="18"/>
      <c r="AI432" s="19">
        <v>1</v>
      </c>
      <c r="AJ432" s="18">
        <v>7400</v>
      </c>
      <c r="AK432" s="18">
        <v>2376</v>
      </c>
    </row>
    <row r="433" spans="1:37" ht="48.75" customHeight="1" x14ac:dyDescent="0.25">
      <c r="A433" s="80"/>
      <c r="B433" s="10">
        <v>0.249999999486583</v>
      </c>
      <c r="C433" s="11">
        <v>12129</v>
      </c>
      <c r="D433" s="11">
        <v>387316</v>
      </c>
      <c r="E433" s="11">
        <v>11115</v>
      </c>
      <c r="F433" s="11"/>
      <c r="G433" s="11"/>
      <c r="H433" s="11"/>
      <c r="I433" s="11"/>
      <c r="J433" s="11">
        <v>4307</v>
      </c>
      <c r="K433" s="11">
        <v>5312</v>
      </c>
      <c r="L433" s="11">
        <v>27148</v>
      </c>
      <c r="M433" s="11">
        <v>16111</v>
      </c>
      <c r="N433" s="11">
        <v>3818031</v>
      </c>
      <c r="O433" s="11">
        <v>307214</v>
      </c>
      <c r="P433" s="11"/>
      <c r="Q433" s="11"/>
      <c r="R433" s="12">
        <v>53639</v>
      </c>
      <c r="S433" s="11" t="s">
        <v>99</v>
      </c>
      <c r="T433" s="11" t="s">
        <v>99</v>
      </c>
      <c r="U433" s="11">
        <v>225698</v>
      </c>
      <c r="V433" s="11">
        <v>278599</v>
      </c>
      <c r="W433" s="11">
        <v>306717</v>
      </c>
      <c r="X433" s="9">
        <v>99</v>
      </c>
      <c r="Y433" s="9">
        <v>75</v>
      </c>
      <c r="Z433" s="9">
        <v>9418</v>
      </c>
      <c r="AA433" s="9"/>
      <c r="AB433" s="9">
        <v>122990</v>
      </c>
      <c r="AC433" s="9" t="s">
        <v>104</v>
      </c>
      <c r="AD433" s="9">
        <v>555</v>
      </c>
      <c r="AE433" s="9">
        <v>7434</v>
      </c>
      <c r="AF433" s="9">
        <v>33687</v>
      </c>
      <c r="AG433" s="9">
        <v>150</v>
      </c>
      <c r="AH433" s="9"/>
      <c r="AI433" s="20">
        <v>1</v>
      </c>
      <c r="AJ433" s="9">
        <v>7400</v>
      </c>
      <c r="AK433" s="9">
        <v>2376</v>
      </c>
    </row>
    <row r="434" spans="1:37" ht="48.75" customHeight="1" thickBot="1" x14ac:dyDescent="0.3">
      <c r="A434" s="81"/>
      <c r="B434" s="13">
        <v>0.58333333281948496</v>
      </c>
      <c r="C434" s="14">
        <v>12129</v>
      </c>
      <c r="D434" s="14">
        <v>387316</v>
      </c>
      <c r="E434" s="14">
        <v>11115</v>
      </c>
      <c r="F434" s="14"/>
      <c r="G434" s="14"/>
      <c r="H434" s="14"/>
      <c r="I434" s="14"/>
      <c r="J434" s="14">
        <v>4307</v>
      </c>
      <c r="K434" s="14">
        <v>5312</v>
      </c>
      <c r="L434" s="14">
        <v>27148</v>
      </c>
      <c r="M434" s="14">
        <v>16111</v>
      </c>
      <c r="N434" s="14">
        <v>3818031</v>
      </c>
      <c r="O434" s="14">
        <v>307214</v>
      </c>
      <c r="P434" s="14"/>
      <c r="Q434" s="14"/>
      <c r="R434" s="15">
        <v>53639</v>
      </c>
      <c r="S434" s="14" t="s">
        <v>99</v>
      </c>
      <c r="T434" s="14" t="s">
        <v>99</v>
      </c>
      <c r="U434" s="14">
        <v>225698</v>
      </c>
      <c r="V434" s="14">
        <v>278599</v>
      </c>
      <c r="W434" s="14">
        <v>306717</v>
      </c>
      <c r="X434" s="21">
        <v>99</v>
      </c>
      <c r="Y434" s="21">
        <v>75</v>
      </c>
      <c r="Z434" s="21">
        <v>9418</v>
      </c>
      <c r="AA434" s="21"/>
      <c r="AB434" s="21">
        <v>122990</v>
      </c>
      <c r="AC434" s="21" t="s">
        <v>104</v>
      </c>
      <c r="AD434" s="21">
        <v>555</v>
      </c>
      <c r="AE434" s="21">
        <v>7434</v>
      </c>
      <c r="AF434" s="21">
        <v>33687</v>
      </c>
      <c r="AG434" s="21">
        <v>150</v>
      </c>
      <c r="AH434" s="21"/>
      <c r="AI434" s="22">
        <v>1</v>
      </c>
      <c r="AJ434" s="21">
        <v>7400</v>
      </c>
      <c r="AK434" s="21">
        <v>2376</v>
      </c>
    </row>
    <row r="435" spans="1:37" ht="48.75" customHeight="1" x14ac:dyDescent="0.25">
      <c r="A435" s="79">
        <v>46167</v>
      </c>
      <c r="B435" s="6">
        <v>0.91666666615238102</v>
      </c>
      <c r="C435" s="7">
        <v>12129</v>
      </c>
      <c r="D435" s="7">
        <v>387316</v>
      </c>
      <c r="E435" s="7">
        <v>11115</v>
      </c>
      <c r="F435" s="7"/>
      <c r="G435" s="7"/>
      <c r="H435" s="7"/>
      <c r="I435" s="7"/>
      <c r="J435" s="7">
        <v>4307</v>
      </c>
      <c r="K435" s="7">
        <v>5312</v>
      </c>
      <c r="L435" s="7">
        <v>27148</v>
      </c>
      <c r="M435" s="7">
        <v>16111</v>
      </c>
      <c r="N435" s="7">
        <v>3818031</v>
      </c>
      <c r="O435" s="7">
        <v>307214</v>
      </c>
      <c r="P435" s="7"/>
      <c r="Q435" s="7"/>
      <c r="R435" s="8">
        <v>53639</v>
      </c>
      <c r="S435" s="11" t="s">
        <v>99</v>
      </c>
      <c r="T435" s="7" t="s">
        <v>99</v>
      </c>
      <c r="U435" s="7">
        <v>225698</v>
      </c>
      <c r="V435" s="7">
        <v>278599</v>
      </c>
      <c r="W435" s="7">
        <v>306717</v>
      </c>
      <c r="X435" s="18">
        <v>99</v>
      </c>
      <c r="Y435" s="9">
        <v>75</v>
      </c>
      <c r="Z435" s="18">
        <v>9418</v>
      </c>
      <c r="AA435" s="18"/>
      <c r="AB435" s="18">
        <v>122990</v>
      </c>
      <c r="AC435" s="18" t="s">
        <v>104</v>
      </c>
      <c r="AD435" s="18">
        <v>555</v>
      </c>
      <c r="AE435" s="18">
        <v>7434</v>
      </c>
      <c r="AF435" s="18">
        <v>33687</v>
      </c>
      <c r="AG435" s="18">
        <v>150</v>
      </c>
      <c r="AH435" s="18"/>
      <c r="AI435" s="19">
        <v>1</v>
      </c>
      <c r="AJ435" s="18">
        <v>7400</v>
      </c>
      <c r="AK435" s="18">
        <v>2376</v>
      </c>
    </row>
    <row r="436" spans="1:37" ht="48.75" customHeight="1" x14ac:dyDescent="0.25">
      <c r="A436" s="80"/>
      <c r="B436" s="10">
        <v>0.24999999948528301</v>
      </c>
      <c r="C436" s="11">
        <v>12158</v>
      </c>
      <c r="D436" s="11">
        <v>387640</v>
      </c>
      <c r="E436" s="11">
        <v>11117</v>
      </c>
      <c r="F436" s="11"/>
      <c r="G436" s="11"/>
      <c r="H436" s="11"/>
      <c r="I436" s="11"/>
      <c r="J436" s="11">
        <v>4307</v>
      </c>
      <c r="K436" s="11">
        <v>5312</v>
      </c>
      <c r="L436" s="11">
        <v>27171</v>
      </c>
      <c r="M436" s="11">
        <v>16113</v>
      </c>
      <c r="N436" s="11">
        <v>3818031</v>
      </c>
      <c r="O436" s="11">
        <v>307214</v>
      </c>
      <c r="P436" s="11"/>
      <c r="Q436" s="11"/>
      <c r="R436" s="12">
        <v>53653</v>
      </c>
      <c r="S436" s="11" t="s">
        <v>99</v>
      </c>
      <c r="T436" s="11" t="s">
        <v>99</v>
      </c>
      <c r="U436" s="11">
        <v>226037</v>
      </c>
      <c r="V436" s="11">
        <v>278599</v>
      </c>
      <c r="W436" s="11">
        <v>306717</v>
      </c>
      <c r="X436" s="9">
        <v>99</v>
      </c>
      <c r="Y436" s="9">
        <v>75</v>
      </c>
      <c r="Z436" s="9"/>
      <c r="AA436" s="9"/>
      <c r="AB436" s="9">
        <v>123050</v>
      </c>
      <c r="AC436" s="9" t="s">
        <v>104</v>
      </c>
      <c r="AD436" s="9">
        <v>627</v>
      </c>
      <c r="AE436" s="9"/>
      <c r="AF436" s="9"/>
      <c r="AG436" s="9"/>
      <c r="AH436" s="9"/>
      <c r="AI436" s="20"/>
      <c r="AJ436" s="9"/>
      <c r="AK436" s="9"/>
    </row>
    <row r="437" spans="1:37" ht="48.75" customHeight="1" thickBot="1" x14ac:dyDescent="0.3">
      <c r="A437" s="81"/>
      <c r="B437" s="13">
        <v>0.583333332818185</v>
      </c>
      <c r="C437" s="14">
        <v>12204</v>
      </c>
      <c r="D437" s="14">
        <v>387869</v>
      </c>
      <c r="E437" s="14">
        <v>11110</v>
      </c>
      <c r="F437" s="14"/>
      <c r="G437" s="14"/>
      <c r="H437" s="14"/>
      <c r="I437" s="14"/>
      <c r="J437" s="14">
        <v>4307</v>
      </c>
      <c r="K437" s="14">
        <v>5312</v>
      </c>
      <c r="L437" s="14">
        <v>27195</v>
      </c>
      <c r="M437" s="14">
        <v>16120</v>
      </c>
      <c r="N437" s="14">
        <v>3984017</v>
      </c>
      <c r="O437" s="14">
        <v>307326</v>
      </c>
      <c r="P437" s="14"/>
      <c r="Q437" s="14"/>
      <c r="R437" s="15">
        <v>53687</v>
      </c>
      <c r="S437" s="14" t="s">
        <v>101</v>
      </c>
      <c r="T437" s="14" t="s">
        <v>99</v>
      </c>
      <c r="U437" s="14">
        <v>226489</v>
      </c>
      <c r="V437" s="14">
        <v>278812</v>
      </c>
      <c r="W437" s="14">
        <v>306919</v>
      </c>
      <c r="X437" s="21">
        <v>99</v>
      </c>
      <c r="Y437" s="21">
        <v>75</v>
      </c>
      <c r="Z437" s="21"/>
      <c r="AA437" s="21"/>
      <c r="AB437" s="21">
        <v>123164</v>
      </c>
      <c r="AC437" s="21" t="s">
        <v>104</v>
      </c>
      <c r="AD437" s="21">
        <v>643</v>
      </c>
      <c r="AE437" s="21"/>
      <c r="AF437" s="21"/>
      <c r="AG437" s="21"/>
      <c r="AH437" s="21"/>
      <c r="AI437" s="22"/>
      <c r="AJ437" s="21"/>
      <c r="AK437" s="21"/>
    </row>
    <row r="438" spans="1:37" ht="48.75" customHeight="1" x14ac:dyDescent="0.25">
      <c r="A438" s="79">
        <v>46168</v>
      </c>
      <c r="B438" s="6">
        <v>0.91666666615118697</v>
      </c>
      <c r="C438" s="7">
        <v>12239</v>
      </c>
      <c r="D438" s="7">
        <v>388118</v>
      </c>
      <c r="E438" s="7">
        <v>11119</v>
      </c>
      <c r="F438" s="7"/>
      <c r="G438" s="7"/>
      <c r="H438" s="7"/>
      <c r="I438" s="7"/>
      <c r="J438" s="7">
        <v>4308</v>
      </c>
      <c r="K438" s="7">
        <v>5312</v>
      </c>
      <c r="L438" s="7">
        <v>27218</v>
      </c>
      <c r="M438" s="7">
        <v>16129</v>
      </c>
      <c r="N438" s="7">
        <v>4207356</v>
      </c>
      <c r="O438" s="7">
        <v>307487</v>
      </c>
      <c r="P438" s="7"/>
      <c r="Q438" s="7"/>
      <c r="R438" s="8">
        <v>53704</v>
      </c>
      <c r="S438" s="7" t="s">
        <v>101</v>
      </c>
      <c r="T438" s="7" t="s">
        <v>99</v>
      </c>
      <c r="U438" s="7">
        <v>226983</v>
      </c>
      <c r="V438" s="7">
        <v>278928</v>
      </c>
      <c r="W438" s="7">
        <v>307001</v>
      </c>
      <c r="X438" s="18">
        <v>99</v>
      </c>
      <c r="Y438" s="18">
        <v>75</v>
      </c>
      <c r="Z438" s="18">
        <v>9466</v>
      </c>
      <c r="AA438" s="18">
        <v>47995</v>
      </c>
      <c r="AB438" s="18">
        <v>123155</v>
      </c>
      <c r="AC438" s="18" t="s">
        <v>104</v>
      </c>
      <c r="AD438" s="18">
        <v>671</v>
      </c>
      <c r="AE438" s="18">
        <v>7434</v>
      </c>
      <c r="AF438" s="18">
        <v>33687</v>
      </c>
      <c r="AG438" s="18">
        <v>150</v>
      </c>
      <c r="AH438" s="18"/>
      <c r="AI438" s="19">
        <v>1</v>
      </c>
      <c r="AJ438" s="18">
        <v>7400</v>
      </c>
      <c r="AK438" s="18">
        <v>2376</v>
      </c>
    </row>
    <row r="439" spans="1:37" ht="48.75" customHeight="1" x14ac:dyDescent="0.25">
      <c r="A439" s="80"/>
      <c r="B439" s="10">
        <v>0.249999999484082</v>
      </c>
      <c r="C439" s="11">
        <v>12257</v>
      </c>
      <c r="D439" s="11">
        <v>388383</v>
      </c>
      <c r="E439" s="11">
        <v>11120</v>
      </c>
      <c r="F439" s="11"/>
      <c r="G439" s="11"/>
      <c r="H439" s="11"/>
      <c r="I439" s="11"/>
      <c r="J439" s="11">
        <v>4308</v>
      </c>
      <c r="K439" s="11">
        <v>5312</v>
      </c>
      <c r="L439" s="11">
        <v>27241</v>
      </c>
      <c r="M439" s="11">
        <v>16137</v>
      </c>
      <c r="N439" s="11">
        <v>4584811</v>
      </c>
      <c r="O439" s="11">
        <v>307779</v>
      </c>
      <c r="P439" s="11"/>
      <c r="Q439" s="11"/>
      <c r="R439" s="12">
        <v>53720</v>
      </c>
      <c r="S439" s="11" t="s">
        <v>101</v>
      </c>
      <c r="T439" s="11" t="s">
        <v>99</v>
      </c>
      <c r="U439" s="11">
        <v>227415</v>
      </c>
      <c r="V439" s="11">
        <v>279121</v>
      </c>
      <c r="W439" s="11">
        <v>307217</v>
      </c>
      <c r="X439" s="9">
        <v>99</v>
      </c>
      <c r="Y439" s="9">
        <v>75</v>
      </c>
      <c r="Z439" s="9">
        <v>9466</v>
      </c>
      <c r="AA439" s="9">
        <v>47995</v>
      </c>
      <c r="AB439" s="9">
        <v>123186</v>
      </c>
      <c r="AC439" s="9" t="s">
        <v>104</v>
      </c>
      <c r="AD439" s="9">
        <v>709</v>
      </c>
      <c r="AE439" s="9">
        <v>7434</v>
      </c>
      <c r="AF439" s="9">
        <v>33687</v>
      </c>
      <c r="AG439" s="9">
        <v>150</v>
      </c>
      <c r="AH439" s="9"/>
      <c r="AI439" s="20">
        <v>1</v>
      </c>
      <c r="AJ439" s="9">
        <v>7400</v>
      </c>
      <c r="AK439" s="9">
        <v>2376</v>
      </c>
    </row>
    <row r="440" spans="1:37" ht="48.75" customHeight="1" thickBot="1" x14ac:dyDescent="0.3">
      <c r="A440" s="81"/>
      <c r="B440" s="13">
        <v>0.58333333281698396</v>
      </c>
      <c r="C440" s="14">
        <v>12287</v>
      </c>
      <c r="D440" s="14">
        <v>388660</v>
      </c>
      <c r="E440" s="14">
        <v>11121</v>
      </c>
      <c r="F440" s="14"/>
      <c r="G440" s="14"/>
      <c r="H440" s="14"/>
      <c r="I440" s="14"/>
      <c r="J440" s="14">
        <v>4309</v>
      </c>
      <c r="K440" s="14">
        <v>5313</v>
      </c>
      <c r="L440" s="14">
        <v>27263</v>
      </c>
      <c r="M440" s="14">
        <v>16149</v>
      </c>
      <c r="N440" s="14">
        <v>4927446</v>
      </c>
      <c r="O440" s="14">
        <v>308042</v>
      </c>
      <c r="P440" s="14"/>
      <c r="Q440" s="14"/>
      <c r="R440" s="15">
        <v>53752</v>
      </c>
      <c r="S440" s="11" t="s">
        <v>101</v>
      </c>
      <c r="T440" s="11" t="s">
        <v>99</v>
      </c>
      <c r="U440" s="14">
        <v>227845</v>
      </c>
      <c r="V440" s="14">
        <v>279333</v>
      </c>
      <c r="W440" s="14">
        <v>307512</v>
      </c>
      <c r="X440" s="21">
        <v>99</v>
      </c>
      <c r="Y440" s="21">
        <v>75</v>
      </c>
      <c r="Z440" s="21">
        <v>9466</v>
      </c>
      <c r="AA440" s="21">
        <v>47995</v>
      </c>
      <c r="AB440" s="21">
        <v>123222</v>
      </c>
      <c r="AC440" s="21" t="s">
        <v>104</v>
      </c>
      <c r="AD440" s="21">
        <v>733</v>
      </c>
      <c r="AE440" s="21">
        <v>7434</v>
      </c>
      <c r="AF440" s="21">
        <v>33687</v>
      </c>
      <c r="AG440" s="21">
        <v>150</v>
      </c>
      <c r="AH440" s="21"/>
      <c r="AI440" s="22">
        <v>1</v>
      </c>
      <c r="AJ440" s="21">
        <v>7400</v>
      </c>
      <c r="AK440" s="21">
        <v>2376</v>
      </c>
    </row>
    <row r="441" spans="1:37" ht="48.75" customHeight="1" x14ac:dyDescent="0.25">
      <c r="A441" s="79">
        <v>46169</v>
      </c>
      <c r="B441" s="6">
        <v>0.91666666614988701</v>
      </c>
      <c r="C441" s="7">
        <v>12292</v>
      </c>
      <c r="D441" s="7">
        <v>388943</v>
      </c>
      <c r="E441" s="7">
        <v>11122</v>
      </c>
      <c r="F441" s="7"/>
      <c r="G441" s="7"/>
      <c r="H441" s="7"/>
      <c r="I441" s="7"/>
      <c r="J441" s="7">
        <v>4309</v>
      </c>
      <c r="K441" s="7">
        <v>5313</v>
      </c>
      <c r="L441" s="7">
        <v>27288</v>
      </c>
      <c r="M441" s="7">
        <v>16159</v>
      </c>
      <c r="N441" s="7">
        <v>5285922</v>
      </c>
      <c r="O441" s="7">
        <v>308318</v>
      </c>
      <c r="P441" s="7"/>
      <c r="Q441" s="7"/>
      <c r="R441" s="8">
        <v>53775</v>
      </c>
      <c r="S441" s="7" t="s">
        <v>101</v>
      </c>
      <c r="T441" s="7" t="s">
        <v>99</v>
      </c>
      <c r="U441" s="7">
        <v>228299</v>
      </c>
      <c r="V441" s="7">
        <v>279440</v>
      </c>
      <c r="W441" s="7">
        <v>307600</v>
      </c>
      <c r="X441" s="18">
        <v>169</v>
      </c>
      <c r="Y441" s="18">
        <v>131</v>
      </c>
      <c r="Z441" s="18">
        <v>9512</v>
      </c>
      <c r="AA441" s="18">
        <v>48069</v>
      </c>
      <c r="AB441" s="18">
        <v>123224</v>
      </c>
      <c r="AC441" s="18" t="s">
        <v>104</v>
      </c>
      <c r="AD441" s="18">
        <v>745</v>
      </c>
      <c r="AE441" s="18">
        <v>7436</v>
      </c>
      <c r="AF441" s="18">
        <v>33687</v>
      </c>
      <c r="AG441" s="18">
        <v>150</v>
      </c>
      <c r="AH441" s="18"/>
      <c r="AI441" s="19">
        <v>1</v>
      </c>
      <c r="AJ441" s="18">
        <v>7400</v>
      </c>
      <c r="AK441" s="18">
        <v>2376</v>
      </c>
    </row>
    <row r="442" spans="1:37" ht="48.75" customHeight="1" x14ac:dyDescent="0.25">
      <c r="A442" s="80"/>
      <c r="B442" s="10">
        <v>0.24999999948278201</v>
      </c>
      <c r="C442" s="11">
        <v>12308</v>
      </c>
      <c r="D442" s="11">
        <v>389222</v>
      </c>
      <c r="E442" s="11">
        <v>11126</v>
      </c>
      <c r="F442" s="11"/>
      <c r="G442" s="11"/>
      <c r="H442" s="11"/>
      <c r="I442" s="11"/>
      <c r="J442" s="11">
        <v>4309</v>
      </c>
      <c r="K442" s="11">
        <v>5313</v>
      </c>
      <c r="L442" s="11">
        <v>27313</v>
      </c>
      <c r="M442" s="11">
        <v>16172</v>
      </c>
      <c r="N442" s="11">
        <v>5638227</v>
      </c>
      <c r="O442" s="11">
        <v>308588</v>
      </c>
      <c r="P442" s="11"/>
      <c r="Q442" s="11"/>
      <c r="R442" s="12">
        <v>53801</v>
      </c>
      <c r="S442" s="11" t="s">
        <v>101</v>
      </c>
      <c r="T442" s="11" t="s">
        <v>99</v>
      </c>
      <c r="U442" s="11">
        <v>228834</v>
      </c>
      <c r="V442" s="11">
        <v>279643</v>
      </c>
      <c r="W442" s="11">
        <v>307794</v>
      </c>
      <c r="X442" s="9">
        <v>216</v>
      </c>
      <c r="Y442" s="9">
        <v>165</v>
      </c>
      <c r="Z442" s="9">
        <v>9512</v>
      </c>
      <c r="AA442" s="9">
        <v>48069</v>
      </c>
      <c r="AB442" s="9">
        <v>123245</v>
      </c>
      <c r="AC442" s="9" t="s">
        <v>104</v>
      </c>
      <c r="AD442" s="9">
        <v>773</v>
      </c>
      <c r="AE442" s="9">
        <v>7436</v>
      </c>
      <c r="AF442" s="9">
        <v>33687</v>
      </c>
      <c r="AG442" s="9">
        <v>150</v>
      </c>
      <c r="AH442" s="9"/>
      <c r="AI442" s="20">
        <v>1</v>
      </c>
      <c r="AJ442" s="9">
        <v>7400</v>
      </c>
      <c r="AK442" s="9">
        <v>2376</v>
      </c>
    </row>
    <row r="443" spans="1:37" ht="48.75" customHeight="1" thickBot="1" x14ac:dyDescent="0.3">
      <c r="A443" s="81"/>
      <c r="B443" s="13">
        <v>0.583333332815684</v>
      </c>
      <c r="C443" s="14">
        <v>12324</v>
      </c>
      <c r="D443" s="14">
        <v>389483</v>
      </c>
      <c r="E443" s="14">
        <v>11126</v>
      </c>
      <c r="F443" s="14"/>
      <c r="G443" s="14"/>
      <c r="H443" s="14"/>
      <c r="I443" s="14"/>
      <c r="J443" s="14">
        <v>4310</v>
      </c>
      <c r="K443" s="14">
        <v>5317</v>
      </c>
      <c r="L443" s="14">
        <v>27333</v>
      </c>
      <c r="M443" s="14">
        <v>16179</v>
      </c>
      <c r="N443" s="14">
        <v>5942233</v>
      </c>
      <c r="O443" s="14">
        <v>308823</v>
      </c>
      <c r="P443" s="14"/>
      <c r="Q443" s="14"/>
      <c r="R443" s="15">
        <v>53829</v>
      </c>
      <c r="S443" s="11" t="s">
        <v>101</v>
      </c>
      <c r="T443" s="11" t="s">
        <v>101</v>
      </c>
      <c r="U443" s="14">
        <v>229323</v>
      </c>
      <c r="V443" s="14">
        <v>279778</v>
      </c>
      <c r="W443" s="14">
        <v>307926</v>
      </c>
      <c r="X443" s="21">
        <v>280</v>
      </c>
      <c r="Y443" s="21">
        <v>217</v>
      </c>
      <c r="Z443" s="21">
        <v>9512</v>
      </c>
      <c r="AA443" s="21">
        <v>48069</v>
      </c>
      <c r="AB443" s="21">
        <v>123254</v>
      </c>
      <c r="AC443" s="21" t="s">
        <v>104</v>
      </c>
      <c r="AD443" s="21">
        <v>797</v>
      </c>
      <c r="AE443" s="21">
        <v>7436</v>
      </c>
      <c r="AF443" s="21">
        <v>33687</v>
      </c>
      <c r="AG443" s="21">
        <v>150</v>
      </c>
      <c r="AH443" s="21"/>
      <c r="AI443" s="22">
        <v>1</v>
      </c>
      <c r="AJ443" s="21">
        <v>7400</v>
      </c>
      <c r="AK443" s="21">
        <v>2376</v>
      </c>
    </row>
    <row r="444" spans="1:37" ht="48.75" customHeight="1" x14ac:dyDescent="0.25">
      <c r="A444" s="79">
        <v>46170</v>
      </c>
      <c r="B444" s="6">
        <v>0.91666666614868597</v>
      </c>
      <c r="C444" s="7">
        <v>12358</v>
      </c>
      <c r="D444" s="7">
        <v>389779</v>
      </c>
      <c r="E444" s="7">
        <v>11129</v>
      </c>
      <c r="F444" s="7"/>
      <c r="G444" s="7"/>
      <c r="H444" s="7"/>
      <c r="I444" s="7"/>
      <c r="J444" s="7">
        <v>4311</v>
      </c>
      <c r="K444" s="7">
        <v>5323</v>
      </c>
      <c r="L444" s="7">
        <v>27358</v>
      </c>
      <c r="M444" s="7">
        <v>16190</v>
      </c>
      <c r="N444" s="7">
        <v>6210750</v>
      </c>
      <c r="O444" s="7">
        <v>308992</v>
      </c>
      <c r="P444" s="7"/>
      <c r="Q444" s="7"/>
      <c r="R444" s="8">
        <v>53851</v>
      </c>
      <c r="S444" s="7" t="s">
        <v>99</v>
      </c>
      <c r="T444" s="7" t="s">
        <v>99</v>
      </c>
      <c r="U444" s="7">
        <v>229810</v>
      </c>
      <c r="V444" s="7">
        <v>279913</v>
      </c>
      <c r="W444" s="7">
        <v>308056</v>
      </c>
      <c r="X444" s="18">
        <v>404</v>
      </c>
      <c r="Y444" s="18">
        <v>336</v>
      </c>
      <c r="Z444" s="18">
        <v>9559</v>
      </c>
      <c r="AA444" s="18">
        <v>48123</v>
      </c>
      <c r="AB444" s="18">
        <v>123287</v>
      </c>
      <c r="AC444" s="18" t="s">
        <v>105</v>
      </c>
      <c r="AD444" s="18">
        <v>816</v>
      </c>
      <c r="AE444" s="18">
        <v>7439</v>
      </c>
      <c r="AF444" s="18">
        <v>33687</v>
      </c>
      <c r="AG444" s="18">
        <v>150</v>
      </c>
      <c r="AH444" s="18"/>
      <c r="AI444" s="19">
        <v>1</v>
      </c>
      <c r="AJ444" s="18">
        <v>7400</v>
      </c>
      <c r="AK444" s="18">
        <v>2376</v>
      </c>
    </row>
    <row r="445" spans="1:37" ht="48.75" customHeight="1" x14ac:dyDescent="0.25">
      <c r="A445" s="80"/>
      <c r="B445" s="10">
        <v>0.249999999481581</v>
      </c>
      <c r="C445" s="11">
        <v>12376</v>
      </c>
      <c r="D445" s="11">
        <v>390086</v>
      </c>
      <c r="E445" s="11">
        <v>11132</v>
      </c>
      <c r="F445" s="11"/>
      <c r="G445" s="11"/>
      <c r="H445" s="11"/>
      <c r="I445" s="11"/>
      <c r="J445" s="11">
        <v>4311</v>
      </c>
      <c r="K445" s="11">
        <v>5329</v>
      </c>
      <c r="L445" s="11">
        <v>27382</v>
      </c>
      <c r="M445" s="11">
        <v>16200</v>
      </c>
      <c r="N445" s="11">
        <v>6540563</v>
      </c>
      <c r="O445" s="11">
        <v>309242</v>
      </c>
      <c r="P445" s="11"/>
      <c r="Q445" s="11"/>
      <c r="R445" s="12">
        <v>53874</v>
      </c>
      <c r="S445" s="11" t="s">
        <v>101</v>
      </c>
      <c r="T445" s="11" t="s">
        <v>101</v>
      </c>
      <c r="U445" s="11">
        <v>230372</v>
      </c>
      <c r="V445" s="11">
        <v>280083</v>
      </c>
      <c r="W445" s="11">
        <v>308249</v>
      </c>
      <c r="X445" s="9">
        <v>541</v>
      </c>
      <c r="Y445" s="9">
        <v>466</v>
      </c>
      <c r="Z445" s="9">
        <v>9559</v>
      </c>
      <c r="AA445" s="9">
        <v>48123</v>
      </c>
      <c r="AB445" s="9">
        <v>123297</v>
      </c>
      <c r="AC445" s="9" t="s">
        <v>105</v>
      </c>
      <c r="AD445" s="9">
        <v>879</v>
      </c>
      <c r="AE445" s="9">
        <v>7439</v>
      </c>
      <c r="AF445" s="9">
        <v>33687</v>
      </c>
      <c r="AG445" s="9">
        <v>150</v>
      </c>
      <c r="AH445" s="9"/>
      <c r="AI445" s="20">
        <v>1</v>
      </c>
      <c r="AJ445" s="9">
        <v>7400</v>
      </c>
      <c r="AK445" s="9">
        <v>2376</v>
      </c>
    </row>
    <row r="446" spans="1:37" ht="48.75" customHeight="1" thickBot="1" x14ac:dyDescent="0.3">
      <c r="A446" s="81"/>
      <c r="B446" s="13">
        <v>0.58333333281448296</v>
      </c>
      <c r="C446" s="14">
        <v>12402</v>
      </c>
      <c r="D446" s="14">
        <v>390348</v>
      </c>
      <c r="E446" s="14">
        <v>11135</v>
      </c>
      <c r="F446" s="14"/>
      <c r="G446" s="14"/>
      <c r="H446" s="14"/>
      <c r="I446" s="14"/>
      <c r="J446" s="14">
        <v>4312</v>
      </c>
      <c r="K446" s="14">
        <v>5334</v>
      </c>
      <c r="L446" s="14">
        <v>27402</v>
      </c>
      <c r="M446" s="14">
        <v>16211</v>
      </c>
      <c r="N446" s="14">
        <v>6891721</v>
      </c>
      <c r="O446" s="14">
        <v>309508</v>
      </c>
      <c r="P446" s="14"/>
      <c r="Q446" s="14"/>
      <c r="R446" s="15">
        <v>53904</v>
      </c>
      <c r="S446" s="14" t="s">
        <v>99</v>
      </c>
      <c r="T446" s="14" t="s">
        <v>99</v>
      </c>
      <c r="U446" s="14">
        <v>230828</v>
      </c>
      <c r="V446" s="14">
        <v>280213</v>
      </c>
      <c r="W446" s="14">
        <v>308393</v>
      </c>
      <c r="X446" s="21">
        <v>637</v>
      </c>
      <c r="Y446" s="21">
        <v>530</v>
      </c>
      <c r="Z446" s="21">
        <v>9559</v>
      </c>
      <c r="AA446" s="21">
        <v>48123</v>
      </c>
      <c r="AB446" s="21">
        <v>123314</v>
      </c>
      <c r="AC446" s="21" t="s">
        <v>105</v>
      </c>
      <c r="AD446" s="21">
        <v>901</v>
      </c>
      <c r="AE446" s="21">
        <v>7439</v>
      </c>
      <c r="AF446" s="21">
        <v>33687</v>
      </c>
      <c r="AG446" s="21">
        <v>150</v>
      </c>
      <c r="AH446" s="21"/>
      <c r="AI446" s="22">
        <v>1</v>
      </c>
      <c r="AJ446" s="21">
        <v>7400</v>
      </c>
      <c r="AK446" s="21">
        <v>2376</v>
      </c>
    </row>
    <row r="447" spans="1:37" ht="48.75" customHeight="1" thickBot="1" x14ac:dyDescent="0.3">
      <c r="A447" s="79">
        <v>46171</v>
      </c>
      <c r="B447" s="6">
        <v>0.91666666614738501</v>
      </c>
      <c r="C447" s="7">
        <v>12422</v>
      </c>
      <c r="D447" s="7">
        <v>390658</v>
      </c>
      <c r="E447" s="7">
        <v>11137</v>
      </c>
      <c r="F447" s="7"/>
      <c r="G447" s="7"/>
      <c r="H447" s="7"/>
      <c r="I447" s="7"/>
      <c r="J447" s="7">
        <v>4312</v>
      </c>
      <c r="K447" s="7">
        <v>5341</v>
      </c>
      <c r="L447" s="7">
        <v>27429</v>
      </c>
      <c r="M447" s="7">
        <v>16224</v>
      </c>
      <c r="N447" s="7">
        <v>7171059</v>
      </c>
      <c r="O447" s="7">
        <v>309725</v>
      </c>
      <c r="P447" s="7"/>
      <c r="Q447" s="7"/>
      <c r="R447" s="8">
        <v>53933</v>
      </c>
      <c r="S447" s="7" t="s">
        <v>99</v>
      </c>
      <c r="T447" s="7" t="s">
        <v>99</v>
      </c>
      <c r="U447" s="7">
        <v>231371</v>
      </c>
      <c r="V447" s="7">
        <v>280399</v>
      </c>
      <c r="W447" s="7">
        <v>308585</v>
      </c>
      <c r="X447" s="18">
        <v>698</v>
      </c>
      <c r="Y447" s="18">
        <v>596</v>
      </c>
      <c r="Z447" s="18">
        <v>9606</v>
      </c>
      <c r="AA447" s="18">
        <v>48209</v>
      </c>
      <c r="AB447" s="18">
        <v>123320</v>
      </c>
      <c r="AC447" s="18" t="s">
        <v>105</v>
      </c>
      <c r="AD447" s="18">
        <v>935</v>
      </c>
      <c r="AE447" s="18">
        <v>7443</v>
      </c>
      <c r="AF447" s="18">
        <v>33687</v>
      </c>
      <c r="AG447" s="18">
        <v>150</v>
      </c>
      <c r="AH447" s="18"/>
      <c r="AI447" s="19">
        <v>1</v>
      </c>
      <c r="AJ447" s="18">
        <v>7400</v>
      </c>
      <c r="AK447" s="18">
        <v>2376</v>
      </c>
    </row>
    <row r="448" spans="1:37" ht="48.75" customHeight="1" thickBot="1" x14ac:dyDescent="0.3">
      <c r="A448" s="80"/>
      <c r="B448" s="10">
        <v>0.24999999948028101</v>
      </c>
      <c r="C448" s="11">
        <v>12442</v>
      </c>
      <c r="D448" s="11">
        <v>390933</v>
      </c>
      <c r="E448" s="11">
        <v>11140</v>
      </c>
      <c r="F448" s="11"/>
      <c r="G448" s="11"/>
      <c r="H448" s="11"/>
      <c r="I448" s="11"/>
      <c r="J448" s="11">
        <v>4312</v>
      </c>
      <c r="K448" s="11">
        <v>5388</v>
      </c>
      <c r="L448" s="11">
        <v>27444</v>
      </c>
      <c r="M448" s="11">
        <v>16234</v>
      </c>
      <c r="N448" s="11">
        <v>7518705</v>
      </c>
      <c r="O448" s="11">
        <v>309993</v>
      </c>
      <c r="P448" s="11"/>
      <c r="Q448" s="11"/>
      <c r="R448" s="12">
        <v>53953</v>
      </c>
      <c r="S448" s="7" t="s">
        <v>99</v>
      </c>
      <c r="T448" s="7" t="s">
        <v>99</v>
      </c>
      <c r="U448" s="11">
        <v>231934</v>
      </c>
      <c r="V448" s="11">
        <v>280583</v>
      </c>
      <c r="W448" s="11">
        <v>308774</v>
      </c>
      <c r="X448" s="9">
        <v>811</v>
      </c>
      <c r="Y448" s="9">
        <v>699</v>
      </c>
      <c r="Z448" s="9">
        <v>9606</v>
      </c>
      <c r="AA448" s="9">
        <v>48209</v>
      </c>
      <c r="AB448" s="9">
        <v>123336</v>
      </c>
      <c r="AC448" s="9" t="s">
        <v>105</v>
      </c>
      <c r="AD448" s="9">
        <v>996</v>
      </c>
      <c r="AE448" s="9">
        <v>7443</v>
      </c>
      <c r="AF448" s="9">
        <v>33687</v>
      </c>
      <c r="AG448" s="9">
        <v>150</v>
      </c>
      <c r="AH448" s="9"/>
      <c r="AI448" s="20">
        <v>1</v>
      </c>
      <c r="AJ448" s="9">
        <v>7400</v>
      </c>
      <c r="AK448" s="9">
        <v>2376</v>
      </c>
    </row>
    <row r="449" spans="1:37" ht="48.75" customHeight="1" thickBot="1" x14ac:dyDescent="0.3">
      <c r="A449" s="81"/>
      <c r="B449" s="13">
        <v>0.583333332813183</v>
      </c>
      <c r="C449" s="14">
        <v>12471</v>
      </c>
      <c r="D449" s="14">
        <v>391225</v>
      </c>
      <c r="E449" s="14">
        <v>11142</v>
      </c>
      <c r="F449" s="14"/>
      <c r="G449" s="14"/>
      <c r="H449" s="14"/>
      <c r="I449" s="14"/>
      <c r="J449" s="14">
        <v>4312</v>
      </c>
      <c r="K449" s="14">
        <v>5388</v>
      </c>
      <c r="L449" s="14">
        <v>27467</v>
      </c>
      <c r="M449" s="14">
        <v>16245</v>
      </c>
      <c r="N449" s="14">
        <v>7866447</v>
      </c>
      <c r="O449" s="14">
        <v>310258</v>
      </c>
      <c r="P449" s="14"/>
      <c r="Q449" s="14"/>
      <c r="R449" s="15">
        <v>53976</v>
      </c>
      <c r="S449" s="7" t="s">
        <v>99</v>
      </c>
      <c r="T449" s="7" t="s">
        <v>99</v>
      </c>
      <c r="U449" s="14">
        <v>232602</v>
      </c>
      <c r="V449" s="14">
        <v>280765</v>
      </c>
      <c r="W449" s="14">
        <v>308945</v>
      </c>
      <c r="X449" s="21">
        <v>896</v>
      </c>
      <c r="Y449" s="21">
        <v>780</v>
      </c>
      <c r="Z449" s="21">
        <v>9606</v>
      </c>
      <c r="AA449" s="21">
        <v>48209</v>
      </c>
      <c r="AB449" s="21">
        <v>123354</v>
      </c>
      <c r="AC449" s="21" t="s">
        <v>105</v>
      </c>
      <c r="AD449" s="21">
        <v>1061</v>
      </c>
      <c r="AE449" s="21">
        <v>7443</v>
      </c>
      <c r="AF449" s="21">
        <v>33687</v>
      </c>
      <c r="AG449" s="21">
        <v>150</v>
      </c>
      <c r="AH449" s="21"/>
      <c r="AI449" s="22">
        <v>1</v>
      </c>
      <c r="AJ449" s="21">
        <v>7400</v>
      </c>
      <c r="AK449" s="21">
        <v>2376</v>
      </c>
    </row>
    <row r="450" spans="1:37" ht="48.75" customHeight="1" thickBot="1" x14ac:dyDescent="0.3">
      <c r="A450" s="79">
        <v>46172</v>
      </c>
      <c r="B450" s="6">
        <v>0.91666666614618497</v>
      </c>
      <c r="C450" s="7">
        <v>12492</v>
      </c>
      <c r="D450" s="7">
        <v>391520</v>
      </c>
      <c r="E450" s="7">
        <v>11144</v>
      </c>
      <c r="F450" s="7"/>
      <c r="G450" s="7"/>
      <c r="H450" s="7"/>
      <c r="I450" s="7"/>
      <c r="J450" s="7">
        <v>4312</v>
      </c>
      <c r="K450" s="7">
        <v>5388</v>
      </c>
      <c r="L450" s="7">
        <v>27485</v>
      </c>
      <c r="M450" s="7">
        <v>16257</v>
      </c>
      <c r="N450" s="7">
        <v>8066460</v>
      </c>
      <c r="O450" s="7">
        <v>310409</v>
      </c>
      <c r="P450" s="7"/>
      <c r="Q450" s="7"/>
      <c r="R450" s="8">
        <v>53999</v>
      </c>
      <c r="S450" s="7" t="s">
        <v>99</v>
      </c>
      <c r="T450" s="7" t="s">
        <v>99</v>
      </c>
      <c r="U450" s="7">
        <v>233026</v>
      </c>
      <c r="V450" s="7">
        <v>280888</v>
      </c>
      <c r="W450" s="7">
        <v>309066</v>
      </c>
      <c r="X450" s="18">
        <v>982</v>
      </c>
      <c r="Y450" s="18">
        <v>861</v>
      </c>
      <c r="Z450" s="18">
        <v>9645</v>
      </c>
      <c r="AA450" s="18">
        <v>48269</v>
      </c>
      <c r="AB450" s="18">
        <v>123362</v>
      </c>
      <c r="AC450" s="18" t="s">
        <v>105</v>
      </c>
      <c r="AD450" s="18">
        <v>1083</v>
      </c>
      <c r="AE450" s="18">
        <v>7445</v>
      </c>
      <c r="AF450" s="18">
        <v>33687</v>
      </c>
      <c r="AG450" s="18">
        <v>150</v>
      </c>
      <c r="AH450" s="18"/>
      <c r="AI450" s="19">
        <v>1</v>
      </c>
      <c r="AJ450" s="18">
        <v>7400</v>
      </c>
      <c r="AK450" s="18">
        <v>2376</v>
      </c>
    </row>
    <row r="451" spans="1:37" ht="48.75" customHeight="1" x14ac:dyDescent="0.25">
      <c r="A451" s="80"/>
      <c r="B451" s="10">
        <v>0.24999999947908699</v>
      </c>
      <c r="C451" s="11">
        <v>12512</v>
      </c>
      <c r="D451" s="11">
        <v>391791</v>
      </c>
      <c r="E451" s="11">
        <v>11146</v>
      </c>
      <c r="F451" s="11"/>
      <c r="G451" s="11"/>
      <c r="H451" s="11"/>
      <c r="I451" s="11"/>
      <c r="J451" s="11">
        <v>4312</v>
      </c>
      <c r="K451" s="11">
        <v>5388</v>
      </c>
      <c r="L451" s="11">
        <v>27510</v>
      </c>
      <c r="M451" s="11">
        <v>16272</v>
      </c>
      <c r="N451" s="11">
        <v>8546389</v>
      </c>
      <c r="O451" s="11">
        <v>310698</v>
      </c>
      <c r="P451" s="11"/>
      <c r="Q451" s="11"/>
      <c r="R451" s="12">
        <v>54029</v>
      </c>
      <c r="S451" s="7" t="s">
        <v>99</v>
      </c>
      <c r="T451" s="7" t="s">
        <v>99</v>
      </c>
      <c r="U451" s="11">
        <v>233492</v>
      </c>
      <c r="V451" s="11">
        <v>280996</v>
      </c>
      <c r="W451" s="11">
        <v>309163</v>
      </c>
      <c r="X451" s="9">
        <v>1195</v>
      </c>
      <c r="Y451" s="77">
        <v>1062</v>
      </c>
      <c r="Z451" s="9">
        <v>9645</v>
      </c>
      <c r="AA451" s="9">
        <v>48269</v>
      </c>
      <c r="AB451" s="9">
        <v>123371</v>
      </c>
      <c r="AC451" s="9" t="s">
        <v>105</v>
      </c>
      <c r="AD451" s="9">
        <v>1120</v>
      </c>
      <c r="AE451" s="9">
        <v>7445</v>
      </c>
      <c r="AF451" s="9">
        <v>33687</v>
      </c>
      <c r="AG451" s="9">
        <v>150</v>
      </c>
      <c r="AH451" s="9"/>
      <c r="AI451" s="20">
        <v>1</v>
      </c>
      <c r="AJ451" s="9">
        <v>7400</v>
      </c>
      <c r="AK451" s="9">
        <v>2376</v>
      </c>
    </row>
    <row r="452" spans="1:37" ht="48.75" customHeight="1" thickBot="1" x14ac:dyDescent="0.3">
      <c r="A452" s="81"/>
      <c r="B452" s="13">
        <v>0.58333333281198196</v>
      </c>
      <c r="C452" s="14">
        <v>12538</v>
      </c>
      <c r="D452" s="14">
        <v>392168</v>
      </c>
      <c r="E452" s="14">
        <v>11149</v>
      </c>
      <c r="F452" s="14"/>
      <c r="G452" s="14"/>
      <c r="H452" s="14"/>
      <c r="I452" s="14"/>
      <c r="J452" s="14">
        <v>4313</v>
      </c>
      <c r="K452" s="14">
        <v>5388</v>
      </c>
      <c r="L452" s="14">
        <v>27533</v>
      </c>
      <c r="M452" s="14">
        <v>16284</v>
      </c>
      <c r="N452" s="14">
        <v>8734937</v>
      </c>
      <c r="O452" s="14">
        <v>310847</v>
      </c>
      <c r="P452" s="14"/>
      <c r="Q452" s="14"/>
      <c r="R452" s="15">
        <v>54064</v>
      </c>
      <c r="S452" s="11" t="s">
        <v>101</v>
      </c>
      <c r="T452" s="11" t="s">
        <v>101</v>
      </c>
      <c r="U452" s="14">
        <v>233988</v>
      </c>
      <c r="V452" s="14">
        <v>281132</v>
      </c>
      <c r="W452" s="14">
        <v>309292</v>
      </c>
      <c r="X452" s="21">
        <v>1293</v>
      </c>
      <c r="Y452" s="21">
        <v>1152</v>
      </c>
      <c r="Z452" s="21">
        <v>9645</v>
      </c>
      <c r="AA452" s="21">
        <v>48269</v>
      </c>
      <c r="AB452" s="21">
        <v>123387</v>
      </c>
      <c r="AC452" s="21" t="s">
        <v>105</v>
      </c>
      <c r="AD452" s="21">
        <v>1061</v>
      </c>
      <c r="AE452" s="21">
        <v>7445</v>
      </c>
      <c r="AF452" s="21">
        <v>33687</v>
      </c>
      <c r="AG452" s="21">
        <v>150</v>
      </c>
      <c r="AH452" s="21"/>
      <c r="AI452" s="22">
        <v>1</v>
      </c>
      <c r="AJ452" s="21">
        <v>7400</v>
      </c>
      <c r="AK452" s="21">
        <v>2376</v>
      </c>
    </row>
    <row r="453" spans="1:37" ht="48.75" customHeight="1" thickBot="1" x14ac:dyDescent="0.3">
      <c r="A453" s="79">
        <v>46173</v>
      </c>
      <c r="B453" s="6">
        <v>0.91666666614488401</v>
      </c>
      <c r="C453" s="7">
        <v>12542</v>
      </c>
      <c r="D453" s="7">
        <v>392367</v>
      </c>
      <c r="E453" s="7">
        <v>11151</v>
      </c>
      <c r="F453" s="7"/>
      <c r="G453" s="7"/>
      <c r="H453" s="7"/>
      <c r="I453" s="7"/>
      <c r="J453" s="7">
        <v>4313</v>
      </c>
      <c r="K453" s="7">
        <v>5388</v>
      </c>
      <c r="L453" s="7">
        <v>27553</v>
      </c>
      <c r="M453" s="7">
        <v>16289</v>
      </c>
      <c r="N453" s="14">
        <v>8734937</v>
      </c>
      <c r="O453" s="14">
        <v>310847</v>
      </c>
      <c r="P453" s="7"/>
      <c r="Q453" s="7"/>
      <c r="R453" s="8">
        <v>54075</v>
      </c>
      <c r="S453" s="7" t="s">
        <v>99</v>
      </c>
      <c r="T453" s="7" t="s">
        <v>99</v>
      </c>
      <c r="U453" s="7">
        <v>234256</v>
      </c>
      <c r="V453" s="7">
        <v>281206</v>
      </c>
      <c r="W453" s="7">
        <v>309369</v>
      </c>
      <c r="X453" s="18">
        <v>1348</v>
      </c>
      <c r="Y453" s="18">
        <v>1202</v>
      </c>
      <c r="Z453" s="18">
        <v>9691</v>
      </c>
      <c r="AA453" s="18">
        <v>48305</v>
      </c>
      <c r="AB453" s="18">
        <v>123387</v>
      </c>
      <c r="AC453" s="21" t="s">
        <v>105</v>
      </c>
      <c r="AD453" s="18">
        <v>1131</v>
      </c>
      <c r="AE453" s="18">
        <v>7445</v>
      </c>
      <c r="AF453" s="21">
        <v>33687</v>
      </c>
      <c r="AG453" s="18">
        <v>150</v>
      </c>
      <c r="AH453" s="18"/>
      <c r="AI453" s="19">
        <v>1</v>
      </c>
      <c r="AJ453" s="18">
        <v>7400</v>
      </c>
      <c r="AK453" s="18">
        <v>2376</v>
      </c>
    </row>
    <row r="454" spans="1:37" ht="48.75" customHeight="1" x14ac:dyDescent="0.25">
      <c r="A454" s="80"/>
      <c r="B454" s="10">
        <v>0.249999999477787</v>
      </c>
      <c r="C454" s="11">
        <v>12547</v>
      </c>
      <c r="D454" s="11">
        <v>392541</v>
      </c>
      <c r="E454" s="11">
        <v>11154</v>
      </c>
      <c r="F454" s="11"/>
      <c r="G454" s="11"/>
      <c r="H454" s="11"/>
      <c r="I454" s="11"/>
      <c r="J454" s="11">
        <v>4313</v>
      </c>
      <c r="K454" s="11">
        <v>5388</v>
      </c>
      <c r="L454" s="11">
        <v>27558</v>
      </c>
      <c r="M454" s="11">
        <v>16277</v>
      </c>
      <c r="N454" s="11">
        <v>8734937</v>
      </c>
      <c r="O454" s="11">
        <v>310847</v>
      </c>
      <c r="P454" s="11"/>
      <c r="Q454" s="11"/>
      <c r="R454" s="12">
        <v>54075</v>
      </c>
      <c r="S454" s="11" t="s">
        <v>99</v>
      </c>
      <c r="T454" s="11" t="s">
        <v>99</v>
      </c>
      <c r="U454" s="11">
        <v>234462</v>
      </c>
      <c r="V454" s="11">
        <v>281252</v>
      </c>
      <c r="W454" s="11">
        <v>309424</v>
      </c>
      <c r="X454" s="9">
        <v>1348</v>
      </c>
      <c r="Y454" s="9">
        <v>1202</v>
      </c>
      <c r="Z454" s="9">
        <v>9704</v>
      </c>
      <c r="AA454" s="9">
        <v>48311</v>
      </c>
      <c r="AB454" s="9">
        <v>123390</v>
      </c>
      <c r="AC454" s="9" t="s">
        <v>105</v>
      </c>
      <c r="AD454" s="9">
        <v>1142</v>
      </c>
      <c r="AE454" s="9">
        <v>7453</v>
      </c>
      <c r="AF454" s="9">
        <v>33687</v>
      </c>
      <c r="AG454" s="9">
        <v>150</v>
      </c>
      <c r="AH454" s="9"/>
      <c r="AI454" s="20">
        <v>1</v>
      </c>
      <c r="AJ454" s="9">
        <v>7400</v>
      </c>
      <c r="AK454" s="9">
        <v>2376</v>
      </c>
    </row>
    <row r="455" spans="1:37" ht="48.75" customHeight="1" thickBot="1" x14ac:dyDescent="0.3">
      <c r="A455" s="81"/>
      <c r="B455" s="13">
        <v>0.583333332810682</v>
      </c>
      <c r="C455" s="14">
        <v>12547</v>
      </c>
      <c r="D455" s="14">
        <v>392541</v>
      </c>
      <c r="E455" s="14">
        <v>11154</v>
      </c>
      <c r="F455" s="14"/>
      <c r="G455" s="14"/>
      <c r="H455" s="14"/>
      <c r="I455" s="14"/>
      <c r="J455" s="14">
        <v>4313</v>
      </c>
      <c r="K455" s="14">
        <v>5388</v>
      </c>
      <c r="L455" s="14">
        <v>27558</v>
      </c>
      <c r="M455" s="14">
        <v>16277</v>
      </c>
      <c r="N455" s="14">
        <v>8734937</v>
      </c>
      <c r="O455" s="14">
        <v>310847</v>
      </c>
      <c r="P455" s="14"/>
      <c r="Q455" s="14"/>
      <c r="R455" s="15">
        <v>54075</v>
      </c>
      <c r="S455" s="14" t="s">
        <v>99</v>
      </c>
      <c r="T455" s="14" t="s">
        <v>99</v>
      </c>
      <c r="U455" s="14">
        <v>234462</v>
      </c>
      <c r="V455" s="14">
        <v>281252</v>
      </c>
      <c r="W455" s="14">
        <v>309424</v>
      </c>
      <c r="X455" s="21">
        <v>1348</v>
      </c>
      <c r="Y455" s="21">
        <v>1202</v>
      </c>
      <c r="Z455" s="21">
        <v>9704</v>
      </c>
      <c r="AA455" s="21">
        <v>48311</v>
      </c>
      <c r="AB455" s="21">
        <v>123390</v>
      </c>
      <c r="AC455" s="21" t="s">
        <v>105</v>
      </c>
      <c r="AD455" s="21">
        <v>1142</v>
      </c>
      <c r="AE455" s="21">
        <v>7453</v>
      </c>
      <c r="AF455" s="21">
        <v>33687</v>
      </c>
      <c r="AG455" s="21">
        <v>150</v>
      </c>
      <c r="AH455" s="21"/>
      <c r="AI455" s="22">
        <v>1</v>
      </c>
      <c r="AJ455" s="21">
        <v>7400</v>
      </c>
      <c r="AK455" s="21">
        <v>2376</v>
      </c>
    </row>
    <row r="456" spans="1:37" ht="48.75" customHeight="1" x14ac:dyDescent="0.25">
      <c r="A456" s="79">
        <v>46174</v>
      </c>
      <c r="B456" s="6">
        <v>0.91666666614368397</v>
      </c>
      <c r="C456" s="7">
        <v>12547</v>
      </c>
      <c r="D456" s="7">
        <v>392541</v>
      </c>
      <c r="E456" s="7">
        <v>11154</v>
      </c>
      <c r="F456" s="7"/>
      <c r="G456" s="7"/>
      <c r="H456" s="7"/>
      <c r="I456" s="7"/>
      <c r="J456" s="7">
        <v>4313</v>
      </c>
      <c r="K456" s="7">
        <v>5388</v>
      </c>
      <c r="L456" s="7">
        <v>27558</v>
      </c>
      <c r="M456" s="7">
        <v>16277</v>
      </c>
      <c r="N456" s="7">
        <v>8734937</v>
      </c>
      <c r="O456" s="7">
        <v>310847</v>
      </c>
      <c r="P456" s="7"/>
      <c r="Q456" s="7"/>
      <c r="R456" s="8">
        <v>54075</v>
      </c>
      <c r="S456" s="7" t="s">
        <v>99</v>
      </c>
      <c r="T456" s="7" t="s">
        <v>99</v>
      </c>
      <c r="U456" s="7">
        <v>234462</v>
      </c>
      <c r="V456" s="7">
        <v>281252</v>
      </c>
      <c r="W456" s="7">
        <v>309424</v>
      </c>
      <c r="X456" s="18">
        <v>1348</v>
      </c>
      <c r="Y456" s="18">
        <v>1202</v>
      </c>
      <c r="Z456" s="18">
        <v>9704</v>
      </c>
      <c r="AA456" s="18">
        <v>48311</v>
      </c>
      <c r="AB456" s="18">
        <v>123390</v>
      </c>
      <c r="AC456" s="18" t="s">
        <v>105</v>
      </c>
      <c r="AD456" s="18">
        <v>1142</v>
      </c>
      <c r="AE456" s="18">
        <v>7453</v>
      </c>
      <c r="AF456" s="18">
        <v>33687</v>
      </c>
      <c r="AG456" s="18">
        <v>150</v>
      </c>
      <c r="AH456" s="18"/>
      <c r="AI456" s="19">
        <v>1</v>
      </c>
      <c r="AJ456" s="18">
        <v>7400</v>
      </c>
      <c r="AK456" s="18">
        <v>2376</v>
      </c>
    </row>
    <row r="457" spans="1:37" ht="48.75" customHeight="1" x14ac:dyDescent="0.25">
      <c r="A457" s="80"/>
      <c r="B457" s="10">
        <v>0.24999999947658599</v>
      </c>
      <c r="C457" s="11">
        <v>12578</v>
      </c>
      <c r="D457" s="11">
        <v>392859</v>
      </c>
      <c r="E457" s="11">
        <v>11155</v>
      </c>
      <c r="F457" s="11"/>
      <c r="G457" s="11"/>
      <c r="H457" s="11"/>
      <c r="I457" s="11"/>
      <c r="J457" s="11">
        <v>4314</v>
      </c>
      <c r="K457" s="11">
        <v>5388</v>
      </c>
      <c r="L457" s="11">
        <v>27581</v>
      </c>
      <c r="M457" s="11">
        <v>16283</v>
      </c>
      <c r="N457" s="11">
        <v>8830152</v>
      </c>
      <c r="O457" s="11">
        <v>310920</v>
      </c>
      <c r="P457" s="11"/>
      <c r="Q457" s="11"/>
      <c r="R457" s="12">
        <v>54090</v>
      </c>
      <c r="S457" s="11" t="s">
        <v>99</v>
      </c>
      <c r="T457" s="11" t="s">
        <v>99</v>
      </c>
      <c r="U457" s="11">
        <v>234924</v>
      </c>
      <c r="V457" s="11">
        <v>281320</v>
      </c>
      <c r="W457" s="11">
        <v>309503</v>
      </c>
      <c r="X457" s="9">
        <v>1471</v>
      </c>
      <c r="Y457" s="9">
        <v>1318</v>
      </c>
      <c r="Z457" s="9">
        <v>9704</v>
      </c>
      <c r="AA457" s="9">
        <v>48311</v>
      </c>
      <c r="AB457" s="9">
        <v>123414</v>
      </c>
      <c r="AC457" s="9" t="s">
        <v>105</v>
      </c>
      <c r="AD457" s="9">
        <v>1165</v>
      </c>
      <c r="AE457" s="9">
        <v>7453</v>
      </c>
      <c r="AF457" s="9">
        <v>33687</v>
      </c>
      <c r="AG457" s="9">
        <v>150</v>
      </c>
      <c r="AH457" s="9"/>
      <c r="AI457" s="20">
        <v>1</v>
      </c>
      <c r="AJ457" s="9">
        <v>7400</v>
      </c>
      <c r="AK457" s="9">
        <v>2376</v>
      </c>
    </row>
    <row r="458" spans="1:37" ht="48.75" customHeight="1" thickBot="1" x14ac:dyDescent="0.3">
      <c r="A458" s="81"/>
      <c r="B458" s="13">
        <v>0.58333333280948096</v>
      </c>
      <c r="C458" s="14">
        <v>12591</v>
      </c>
      <c r="D458" s="14">
        <v>393136</v>
      </c>
      <c r="E458" s="14">
        <v>11157</v>
      </c>
      <c r="F458" s="14"/>
      <c r="G458" s="14"/>
      <c r="H458" s="14"/>
      <c r="I458" s="14"/>
      <c r="J458" s="14">
        <v>4314</v>
      </c>
      <c r="K458" s="14">
        <v>5394</v>
      </c>
      <c r="L458" s="14">
        <v>27602</v>
      </c>
      <c r="M458" s="14">
        <v>16287</v>
      </c>
      <c r="N458" s="14">
        <v>9144529</v>
      </c>
      <c r="O458" s="14">
        <v>311168</v>
      </c>
      <c r="P458" s="14"/>
      <c r="Q458" s="14"/>
      <c r="R458" s="15">
        <v>54118</v>
      </c>
      <c r="S458" s="14" t="s">
        <v>99</v>
      </c>
      <c r="T458" s="14" t="s">
        <v>99</v>
      </c>
      <c r="U458" s="14">
        <v>235420</v>
      </c>
      <c r="V458" s="14">
        <v>281493</v>
      </c>
      <c r="W458" s="14">
        <v>309658</v>
      </c>
      <c r="X458" s="21">
        <v>1594</v>
      </c>
      <c r="Y458" s="21">
        <v>1426</v>
      </c>
      <c r="Z458" s="21">
        <v>9704</v>
      </c>
      <c r="AA458" s="21">
        <v>48311</v>
      </c>
      <c r="AB458" s="21">
        <v>123415</v>
      </c>
      <c r="AC458" s="21" t="s">
        <v>105</v>
      </c>
      <c r="AD458" s="21">
        <v>1210</v>
      </c>
      <c r="AE458" s="21">
        <v>7453</v>
      </c>
      <c r="AF458" s="21">
        <v>33687</v>
      </c>
      <c r="AG458" s="21">
        <v>150</v>
      </c>
      <c r="AH458" s="21"/>
      <c r="AI458" s="22">
        <v>1</v>
      </c>
      <c r="AJ458" s="21">
        <v>7400</v>
      </c>
      <c r="AK458" s="21">
        <v>2376</v>
      </c>
    </row>
    <row r="459" spans="1:37" ht="48.75" customHeight="1" thickBot="1" x14ac:dyDescent="0.3">
      <c r="A459" s="79">
        <v>46175</v>
      </c>
      <c r="B459" s="6">
        <v>0.91666666614238301</v>
      </c>
      <c r="C459" s="7">
        <v>12606</v>
      </c>
      <c r="D459" s="7">
        <v>393416</v>
      </c>
      <c r="E459" s="7">
        <v>11159</v>
      </c>
      <c r="F459" s="7"/>
      <c r="G459" s="7"/>
      <c r="H459" s="7"/>
      <c r="I459" s="7"/>
      <c r="J459" s="7">
        <v>4315</v>
      </c>
      <c r="K459" s="7">
        <v>5395</v>
      </c>
      <c r="L459" s="7">
        <v>27627</v>
      </c>
      <c r="M459" s="7">
        <v>16300</v>
      </c>
      <c r="N459" s="7">
        <v>9501985</v>
      </c>
      <c r="O459" s="7">
        <v>311454</v>
      </c>
      <c r="P459" s="7"/>
      <c r="Q459" s="7"/>
      <c r="R459" s="8">
        <v>54147</v>
      </c>
      <c r="S459" s="7" t="s">
        <v>99</v>
      </c>
      <c r="T459" s="7" t="s">
        <v>99</v>
      </c>
      <c r="U459" s="7">
        <v>235896</v>
      </c>
      <c r="V459" s="7">
        <v>281711</v>
      </c>
      <c r="W459" s="7">
        <v>309799</v>
      </c>
      <c r="X459" s="18">
        <v>1688</v>
      </c>
      <c r="Y459" s="18">
        <v>1518</v>
      </c>
      <c r="Z459" s="18">
        <v>9751</v>
      </c>
      <c r="AA459" s="18">
        <v>48380</v>
      </c>
      <c r="AB459" s="18">
        <v>123420</v>
      </c>
      <c r="AC459" s="18" t="s">
        <v>105</v>
      </c>
      <c r="AD459" s="18">
        <v>1243</v>
      </c>
      <c r="AE459" s="18">
        <v>7458</v>
      </c>
      <c r="AF459" s="18">
        <v>33687</v>
      </c>
      <c r="AG459" s="18">
        <v>150</v>
      </c>
      <c r="AH459" s="18"/>
      <c r="AI459" s="19">
        <v>1</v>
      </c>
      <c r="AJ459" s="18">
        <v>7400</v>
      </c>
      <c r="AK459" s="18">
        <v>2376</v>
      </c>
    </row>
    <row r="460" spans="1:37" ht="48.75" customHeight="1" x14ac:dyDescent="0.25">
      <c r="A460" s="80"/>
      <c r="B460" s="10">
        <v>0.24999999947528601</v>
      </c>
      <c r="C460" s="11">
        <v>12631</v>
      </c>
      <c r="D460" s="11">
        <v>393726</v>
      </c>
      <c r="E460" s="11">
        <v>11162</v>
      </c>
      <c r="F460" s="11"/>
      <c r="G460" s="11"/>
      <c r="H460" s="11"/>
      <c r="I460" s="11"/>
      <c r="J460" s="11">
        <v>4316</v>
      </c>
      <c r="K460" s="11">
        <v>5395</v>
      </c>
      <c r="L460" s="11">
        <v>27652</v>
      </c>
      <c r="M460" s="11">
        <v>16313</v>
      </c>
      <c r="N460" s="11">
        <v>9814559</v>
      </c>
      <c r="O460" s="11">
        <v>311701</v>
      </c>
      <c r="P460" s="11"/>
      <c r="Q460" s="11"/>
      <c r="R460" s="12">
        <v>54172</v>
      </c>
      <c r="S460" s="7" t="s">
        <v>99</v>
      </c>
      <c r="T460" s="7" t="s">
        <v>99</v>
      </c>
      <c r="U460" s="11">
        <v>236387</v>
      </c>
      <c r="V460" s="11">
        <v>281906</v>
      </c>
      <c r="W460" s="11">
        <v>309939</v>
      </c>
      <c r="X460" s="9">
        <v>1781</v>
      </c>
      <c r="Y460" s="9">
        <v>1600</v>
      </c>
      <c r="Z460" s="9">
        <v>9751</v>
      </c>
      <c r="AA460" s="9">
        <v>48380</v>
      </c>
      <c r="AB460" s="9">
        <v>123425</v>
      </c>
      <c r="AC460" s="18" t="s">
        <v>105</v>
      </c>
      <c r="AD460" s="9">
        <v>1271</v>
      </c>
      <c r="AE460" s="9">
        <v>7458</v>
      </c>
      <c r="AF460" s="9">
        <v>33687</v>
      </c>
      <c r="AG460" s="9">
        <v>150</v>
      </c>
      <c r="AH460" s="9"/>
      <c r="AI460" s="20">
        <v>1</v>
      </c>
      <c r="AJ460" s="9">
        <v>7400</v>
      </c>
      <c r="AK460" s="9">
        <v>2376</v>
      </c>
    </row>
    <row r="461" spans="1:37" ht="48.75" customHeight="1" thickBot="1" x14ac:dyDescent="0.3">
      <c r="A461" s="81"/>
      <c r="B461" s="13">
        <v>0.583333332808181</v>
      </c>
      <c r="C461" s="14">
        <v>12644</v>
      </c>
      <c r="D461" s="14">
        <v>393959</v>
      </c>
      <c r="E461" s="14">
        <v>11163</v>
      </c>
      <c r="F461" s="14"/>
      <c r="G461" s="14"/>
      <c r="H461" s="14"/>
      <c r="I461" s="14"/>
      <c r="J461" s="14">
        <v>4316</v>
      </c>
      <c r="K461" s="14">
        <v>5397</v>
      </c>
      <c r="L461" s="14">
        <v>27669</v>
      </c>
      <c r="M461" s="14">
        <v>16323</v>
      </c>
      <c r="N461" s="14">
        <v>145449</v>
      </c>
      <c r="O461" s="14">
        <v>311962</v>
      </c>
      <c r="P461" s="14"/>
      <c r="Q461" s="14"/>
      <c r="R461" s="15">
        <v>54217</v>
      </c>
      <c r="S461" s="14" t="s">
        <v>99</v>
      </c>
      <c r="T461" s="14" t="s">
        <v>99</v>
      </c>
      <c r="U461" s="14">
        <v>236853</v>
      </c>
      <c r="V461" s="14">
        <v>282096</v>
      </c>
      <c r="W461" s="14">
        <v>310062</v>
      </c>
      <c r="X461" s="21">
        <v>1893</v>
      </c>
      <c r="Y461" s="21">
        <v>1706</v>
      </c>
      <c r="Z461" s="21">
        <v>9751</v>
      </c>
      <c r="AA461" s="21">
        <v>48380</v>
      </c>
      <c r="AB461" s="21">
        <v>123433</v>
      </c>
      <c r="AC461" s="21" t="s">
        <v>106</v>
      </c>
      <c r="AD461" s="21">
        <v>1296</v>
      </c>
      <c r="AE461" s="21">
        <v>7458</v>
      </c>
      <c r="AF461" s="21">
        <v>33687</v>
      </c>
      <c r="AG461" s="21">
        <v>150</v>
      </c>
      <c r="AH461" s="21"/>
      <c r="AI461" s="22">
        <v>1</v>
      </c>
      <c r="AJ461" s="21">
        <v>7400</v>
      </c>
      <c r="AK461" s="21">
        <v>2376</v>
      </c>
    </row>
    <row r="462" spans="1:37" ht="48.75" customHeight="1" x14ac:dyDescent="0.25">
      <c r="A462" s="79">
        <v>46176</v>
      </c>
      <c r="B462" s="6">
        <v>0.91666666614108305</v>
      </c>
      <c r="C462" s="7">
        <v>12656</v>
      </c>
      <c r="D462" s="7">
        <v>394229</v>
      </c>
      <c r="E462" s="7">
        <v>11164</v>
      </c>
      <c r="F462" s="7"/>
      <c r="G462" s="7"/>
      <c r="H462" s="7"/>
      <c r="I462" s="7"/>
      <c r="J462" s="7">
        <v>4316</v>
      </c>
      <c r="K462" s="7">
        <v>5398</v>
      </c>
      <c r="L462" s="7">
        <v>27693</v>
      </c>
      <c r="M462" s="7">
        <v>16333</v>
      </c>
      <c r="N462" s="7">
        <v>354235</v>
      </c>
      <c r="O462" s="7">
        <v>312126</v>
      </c>
      <c r="P462" s="7"/>
      <c r="Q462" s="7"/>
      <c r="R462" s="8">
        <v>54241</v>
      </c>
      <c r="S462" s="7" t="s">
        <v>99</v>
      </c>
      <c r="T462" s="7" t="s">
        <v>99</v>
      </c>
      <c r="U462" s="7">
        <v>237306</v>
      </c>
      <c r="V462" s="7">
        <v>282248</v>
      </c>
      <c r="W462" s="7">
        <v>310161</v>
      </c>
      <c r="X462" s="18">
        <v>2010</v>
      </c>
      <c r="Y462" s="18">
        <v>1821</v>
      </c>
      <c r="Z462" s="18">
        <v>9796</v>
      </c>
      <c r="AA462" s="18">
        <v>48425</v>
      </c>
      <c r="AB462" s="18">
        <v>123437</v>
      </c>
      <c r="AC462" s="18" t="s">
        <v>105</v>
      </c>
      <c r="AD462" s="18">
        <v>1343</v>
      </c>
      <c r="AE462" s="18">
        <v>7461</v>
      </c>
      <c r="AF462" s="18">
        <v>33687</v>
      </c>
      <c r="AG462" s="18">
        <v>150</v>
      </c>
      <c r="AH462" s="18"/>
      <c r="AI462" s="19">
        <v>1</v>
      </c>
      <c r="AJ462" s="18">
        <v>7400</v>
      </c>
      <c r="AK462" s="18">
        <v>2376</v>
      </c>
    </row>
    <row r="463" spans="1:37" ht="48.75" customHeight="1" x14ac:dyDescent="0.25">
      <c r="A463" s="80"/>
      <c r="B463" s="10">
        <v>0.24999999947408499</v>
      </c>
      <c r="C463" s="11">
        <v>12682</v>
      </c>
      <c r="D463" s="11">
        <v>394487</v>
      </c>
      <c r="E463" s="11">
        <v>11164</v>
      </c>
      <c r="F463" s="11"/>
      <c r="G463" s="11"/>
      <c r="H463" s="11"/>
      <c r="I463" s="11"/>
      <c r="J463" s="11">
        <v>4317</v>
      </c>
      <c r="K463" s="11">
        <v>5398</v>
      </c>
      <c r="L463" s="11">
        <v>27717</v>
      </c>
      <c r="M463" s="11">
        <v>16345</v>
      </c>
      <c r="N463" s="11">
        <v>658261</v>
      </c>
      <c r="O463" s="11">
        <v>312364</v>
      </c>
      <c r="P463" s="11"/>
      <c r="Q463" s="11"/>
      <c r="R463" s="12">
        <v>54265</v>
      </c>
      <c r="S463" s="11" t="s">
        <v>99</v>
      </c>
      <c r="T463" s="11" t="s">
        <v>99</v>
      </c>
      <c r="U463" s="11">
        <v>237690</v>
      </c>
      <c r="V463" s="11">
        <v>282429</v>
      </c>
      <c r="W463" s="11">
        <v>310283</v>
      </c>
      <c r="X463" s="9">
        <v>2117</v>
      </c>
      <c r="Y463" s="9">
        <v>1921</v>
      </c>
      <c r="Z463" s="9">
        <v>9796</v>
      </c>
      <c r="AA463" s="9">
        <v>48425</v>
      </c>
      <c r="AB463" s="9">
        <v>123454</v>
      </c>
      <c r="AC463" s="9" t="s">
        <v>105</v>
      </c>
      <c r="AD463" s="9">
        <v>1378</v>
      </c>
      <c r="AE463" s="9">
        <v>7461</v>
      </c>
      <c r="AF463" s="9">
        <v>33687</v>
      </c>
      <c r="AG463" s="9">
        <v>150</v>
      </c>
      <c r="AH463" s="9"/>
      <c r="AI463" s="20">
        <v>1</v>
      </c>
      <c r="AJ463" s="9">
        <v>7400</v>
      </c>
      <c r="AK463" s="9">
        <v>2376</v>
      </c>
    </row>
    <row r="464" spans="1:37" ht="48.75" customHeight="1" thickBot="1" x14ac:dyDescent="0.3">
      <c r="A464" s="81"/>
      <c r="B464" s="13">
        <v>0.58333333280698696</v>
      </c>
      <c r="C464" s="14">
        <v>12691</v>
      </c>
      <c r="D464" s="14">
        <v>394743</v>
      </c>
      <c r="E464" s="14">
        <v>11165</v>
      </c>
      <c r="F464" s="14"/>
      <c r="G464" s="14"/>
      <c r="H464" s="14"/>
      <c r="I464" s="14"/>
      <c r="J464" s="14">
        <v>4317</v>
      </c>
      <c r="K464" s="14">
        <v>5398</v>
      </c>
      <c r="L464" s="14">
        <v>27738</v>
      </c>
      <c r="M464" s="14">
        <v>16349</v>
      </c>
      <c r="N464" s="14">
        <v>854441</v>
      </c>
      <c r="O464" s="14">
        <v>312517</v>
      </c>
      <c r="P464" s="14"/>
      <c r="Q464" s="14"/>
      <c r="R464" s="15">
        <v>54295</v>
      </c>
      <c r="S464" s="14" t="s">
        <v>99</v>
      </c>
      <c r="T464" s="14" t="s">
        <v>99</v>
      </c>
      <c r="U464" s="14">
        <v>238102</v>
      </c>
      <c r="V464" s="14">
        <v>282541</v>
      </c>
      <c r="W464" s="14">
        <v>310353</v>
      </c>
      <c r="X464" s="21">
        <v>2238</v>
      </c>
      <c r="Y464" s="21">
        <v>2035</v>
      </c>
      <c r="Z464" s="21">
        <v>9796</v>
      </c>
      <c r="AA464" s="21">
        <v>48425</v>
      </c>
      <c r="AB464" s="21">
        <v>123456</v>
      </c>
      <c r="AC464" s="21" t="s">
        <v>105</v>
      </c>
      <c r="AD464" s="21">
        <v>1396</v>
      </c>
      <c r="AE464" s="21">
        <v>7461</v>
      </c>
      <c r="AF464" s="21">
        <v>33687</v>
      </c>
      <c r="AG464" s="21">
        <v>150</v>
      </c>
      <c r="AH464" s="21"/>
      <c r="AI464" s="22">
        <v>1</v>
      </c>
      <c r="AJ464" s="21">
        <v>7400</v>
      </c>
      <c r="AK464" s="21">
        <v>2376</v>
      </c>
    </row>
    <row r="465" spans="1:37" ht="48.75" customHeight="1" x14ac:dyDescent="0.25">
      <c r="A465" s="79">
        <v>46177</v>
      </c>
      <c r="B465" s="6">
        <v>0.91666666613988201</v>
      </c>
      <c r="C465" s="7">
        <v>12720</v>
      </c>
      <c r="D465" s="7">
        <v>395058</v>
      </c>
      <c r="E465" s="7">
        <v>11171</v>
      </c>
      <c r="F465" s="7"/>
      <c r="G465" s="7"/>
      <c r="H465" s="7"/>
      <c r="I465" s="7"/>
      <c r="J465" s="7">
        <v>4317</v>
      </c>
      <c r="K465" s="7">
        <v>5398</v>
      </c>
      <c r="L465" s="7">
        <v>27763</v>
      </c>
      <c r="M465" s="7">
        <v>16355</v>
      </c>
      <c r="N465" s="7">
        <v>1150715</v>
      </c>
      <c r="O465" s="7">
        <v>312749</v>
      </c>
      <c r="P465" s="7"/>
      <c r="Q465" s="7"/>
      <c r="R465" s="8">
        <v>54322</v>
      </c>
      <c r="S465" s="7" t="s">
        <v>99</v>
      </c>
      <c r="T465" s="7" t="s">
        <v>99</v>
      </c>
      <c r="U465" s="7">
        <v>238606</v>
      </c>
      <c r="V465" s="7">
        <v>282765</v>
      </c>
      <c r="W465" s="7">
        <v>310469</v>
      </c>
      <c r="X465" s="18">
        <v>2338</v>
      </c>
      <c r="Y465" s="18">
        <v>2129</v>
      </c>
      <c r="Z465" s="18">
        <v>9848</v>
      </c>
      <c r="AA465" s="18">
        <v>48485</v>
      </c>
      <c r="AB465" s="18">
        <v>123468</v>
      </c>
      <c r="AC465" s="18" t="s">
        <v>105</v>
      </c>
      <c r="AD465" s="18">
        <v>1440</v>
      </c>
      <c r="AE465" s="18">
        <v>7465</v>
      </c>
      <c r="AF465" s="18">
        <v>33687</v>
      </c>
      <c r="AG465" s="18">
        <v>150</v>
      </c>
      <c r="AH465" s="18"/>
      <c r="AI465" s="19">
        <v>1</v>
      </c>
      <c r="AJ465" s="18">
        <v>7400</v>
      </c>
      <c r="AK465" s="18">
        <v>2367</v>
      </c>
    </row>
    <row r="466" spans="1:37" ht="48.75" customHeight="1" x14ac:dyDescent="0.25">
      <c r="A466" s="80"/>
      <c r="B466" s="10">
        <v>0.24999999947278401</v>
      </c>
      <c r="C466" s="11">
        <v>12738</v>
      </c>
      <c r="D466" s="11">
        <v>395327</v>
      </c>
      <c r="E466" s="11">
        <v>11173</v>
      </c>
      <c r="F466" s="11"/>
      <c r="G466" s="11"/>
      <c r="H466" s="11"/>
      <c r="I466" s="11"/>
      <c r="J466" s="11">
        <v>4318</v>
      </c>
      <c r="K466" s="11">
        <v>5399</v>
      </c>
      <c r="L466" s="11">
        <v>27788</v>
      </c>
      <c r="M466" s="11">
        <v>16359</v>
      </c>
      <c r="N466" s="11">
        <v>1445536</v>
      </c>
      <c r="O466" s="11">
        <v>312977</v>
      </c>
      <c r="P466" s="11"/>
      <c r="Q466" s="11"/>
      <c r="R466" s="12">
        <v>54340</v>
      </c>
      <c r="S466" s="11" t="s">
        <v>99</v>
      </c>
      <c r="T466" s="11" t="s">
        <v>99</v>
      </c>
      <c r="U466" s="11">
        <v>239121</v>
      </c>
      <c r="V466" s="11">
        <v>282952</v>
      </c>
      <c r="W466" s="11">
        <v>310599</v>
      </c>
      <c r="X466" s="9">
        <v>2435</v>
      </c>
      <c r="Y466" s="9">
        <v>2220</v>
      </c>
      <c r="Z466" s="9">
        <v>9848</v>
      </c>
      <c r="AA466" s="9">
        <v>48485</v>
      </c>
      <c r="AB466" s="9">
        <v>123479</v>
      </c>
      <c r="AC466" s="9" t="s">
        <v>105</v>
      </c>
      <c r="AD466" s="9">
        <v>1479</v>
      </c>
      <c r="AE466" s="9">
        <v>7465</v>
      </c>
      <c r="AF466" s="9">
        <v>33687</v>
      </c>
      <c r="AG466" s="9">
        <v>150</v>
      </c>
      <c r="AH466" s="9"/>
      <c r="AI466" s="20">
        <v>1</v>
      </c>
      <c r="AJ466" s="9">
        <v>7400</v>
      </c>
      <c r="AK466" s="9">
        <v>2367</v>
      </c>
    </row>
    <row r="467" spans="1:37" ht="48.75" customHeight="1" thickBot="1" x14ac:dyDescent="0.3">
      <c r="A467" s="81"/>
      <c r="B467" s="13">
        <v>0.583333332805687</v>
      </c>
      <c r="C467" s="14">
        <v>12745</v>
      </c>
      <c r="D467" s="14">
        <v>395527</v>
      </c>
      <c r="E467" s="14">
        <v>11174</v>
      </c>
      <c r="F467" s="14"/>
      <c r="G467" s="14"/>
      <c r="H467" s="14"/>
      <c r="I467" s="14"/>
      <c r="J467" s="14">
        <v>4320</v>
      </c>
      <c r="K467" s="14">
        <v>5399</v>
      </c>
      <c r="L467" s="14">
        <v>27810</v>
      </c>
      <c r="M467" s="14">
        <v>16364</v>
      </c>
      <c r="N467" s="14">
        <v>1741711</v>
      </c>
      <c r="O467" s="14">
        <v>313206</v>
      </c>
      <c r="P467" s="14"/>
      <c r="Q467" s="14"/>
      <c r="R467" s="15">
        <v>54368</v>
      </c>
      <c r="S467" s="14" t="s">
        <v>99</v>
      </c>
      <c r="T467" s="14" t="s">
        <v>99</v>
      </c>
      <c r="U467" s="14">
        <v>239558</v>
      </c>
      <c r="V467" s="14">
        <v>283119</v>
      </c>
      <c r="W467" s="14">
        <v>310726</v>
      </c>
      <c r="X467" s="21">
        <v>2529</v>
      </c>
      <c r="Y467" s="21">
        <v>2310</v>
      </c>
      <c r="Z467" s="21">
        <v>9848</v>
      </c>
      <c r="AA467" s="21">
        <v>48485</v>
      </c>
      <c r="AB467" s="21">
        <v>123478</v>
      </c>
      <c r="AC467" s="21" t="s">
        <v>105</v>
      </c>
      <c r="AD467" s="21">
        <v>1522</v>
      </c>
      <c r="AE467" s="21">
        <v>7465</v>
      </c>
      <c r="AF467" s="21">
        <v>33687</v>
      </c>
      <c r="AG467" s="21">
        <v>150</v>
      </c>
      <c r="AH467" s="21"/>
      <c r="AI467" s="22">
        <v>1</v>
      </c>
      <c r="AJ467" s="21">
        <v>7400</v>
      </c>
      <c r="AK467" s="21">
        <v>2367</v>
      </c>
    </row>
    <row r="468" spans="1:37" ht="48.75" customHeight="1" thickBot="1" x14ac:dyDescent="0.3">
      <c r="A468" s="79">
        <v>46178</v>
      </c>
      <c r="B468" s="6">
        <v>0.91666666613858205</v>
      </c>
      <c r="C468" s="7">
        <v>12764</v>
      </c>
      <c r="D468" s="7">
        <v>395714</v>
      </c>
      <c r="E468" s="7">
        <v>11175</v>
      </c>
      <c r="F468" s="7"/>
      <c r="G468" s="7"/>
      <c r="H468" s="7"/>
      <c r="I468" s="7"/>
      <c r="J468" s="7">
        <v>4320</v>
      </c>
      <c r="K468" s="7">
        <v>5399</v>
      </c>
      <c r="L468" s="7">
        <v>27835</v>
      </c>
      <c r="M468" s="7">
        <v>16367</v>
      </c>
      <c r="N468" s="7">
        <v>2056960</v>
      </c>
      <c r="O468" s="7">
        <v>313449</v>
      </c>
      <c r="P468" s="7"/>
      <c r="Q468" s="7"/>
      <c r="R468" s="8">
        <v>54381</v>
      </c>
      <c r="S468" s="7" t="s">
        <v>99</v>
      </c>
      <c r="T468" s="7" t="s">
        <v>99</v>
      </c>
      <c r="U468" s="7">
        <v>240040</v>
      </c>
      <c r="V468" s="7">
        <v>283281</v>
      </c>
      <c r="W468" s="7">
        <v>310861</v>
      </c>
      <c r="X468" s="18">
        <v>2662</v>
      </c>
      <c r="Y468" s="18">
        <v>2437</v>
      </c>
      <c r="Z468" s="18">
        <v>9889</v>
      </c>
      <c r="AA468" s="18">
        <v>48525</v>
      </c>
      <c r="AB468" s="18">
        <v>123485</v>
      </c>
      <c r="AC468" s="18" t="s">
        <v>105</v>
      </c>
      <c r="AD468" s="18">
        <v>1595</v>
      </c>
      <c r="AE468" s="18">
        <v>7467</v>
      </c>
      <c r="AF468" s="18">
        <v>33687</v>
      </c>
      <c r="AG468" s="18">
        <v>150</v>
      </c>
      <c r="AH468" s="18"/>
      <c r="AI468" s="19">
        <v>1</v>
      </c>
      <c r="AJ468" s="18">
        <v>7400</v>
      </c>
      <c r="AK468" s="18">
        <v>2367</v>
      </c>
    </row>
    <row r="469" spans="1:37" ht="48.75" customHeight="1" x14ac:dyDescent="0.25">
      <c r="A469" s="80"/>
      <c r="B469" s="10">
        <v>0.24999999947158399</v>
      </c>
      <c r="C469" s="11">
        <v>12796</v>
      </c>
      <c r="D469" s="11">
        <v>395995</v>
      </c>
      <c r="E469" s="11">
        <v>11176</v>
      </c>
      <c r="F469" s="11"/>
      <c r="G469" s="11"/>
      <c r="H469" s="11"/>
      <c r="I469" s="11"/>
      <c r="J469" s="11">
        <v>4321</v>
      </c>
      <c r="K469" s="11">
        <v>5399</v>
      </c>
      <c r="L469" s="11">
        <v>27859</v>
      </c>
      <c r="M469" s="11">
        <v>16378</v>
      </c>
      <c r="N469" s="11">
        <v>2281569</v>
      </c>
      <c r="O469" s="11">
        <v>313621</v>
      </c>
      <c r="P469" s="11"/>
      <c r="Q469" s="11"/>
      <c r="R469" s="12">
        <v>54407</v>
      </c>
      <c r="S469" s="11" t="s">
        <v>99</v>
      </c>
      <c r="T469" s="11" t="s">
        <v>99</v>
      </c>
      <c r="U469" s="11">
        <v>240606</v>
      </c>
      <c r="V469" s="11">
        <v>283424</v>
      </c>
      <c r="W469" s="11">
        <v>310978</v>
      </c>
      <c r="X469" s="9">
        <v>2761</v>
      </c>
      <c r="Y469" s="9">
        <v>2529</v>
      </c>
      <c r="Z469" s="9">
        <v>9889</v>
      </c>
      <c r="AA469" s="9">
        <v>48485</v>
      </c>
      <c r="AB469" s="9">
        <v>123498</v>
      </c>
      <c r="AC469" s="18" t="s">
        <v>105</v>
      </c>
      <c r="AD469" s="9">
        <v>1615</v>
      </c>
      <c r="AE469" s="9">
        <v>7467</v>
      </c>
      <c r="AF469" s="9">
        <v>33687</v>
      </c>
      <c r="AG469" s="9">
        <v>150</v>
      </c>
      <c r="AH469" s="9"/>
      <c r="AI469" s="20">
        <v>1</v>
      </c>
      <c r="AJ469" s="9">
        <v>7400</v>
      </c>
      <c r="AK469" s="9">
        <v>2367</v>
      </c>
    </row>
    <row r="470" spans="1:37" ht="48.75" customHeight="1" thickBot="1" x14ac:dyDescent="0.3">
      <c r="A470" s="81"/>
      <c r="B470" s="13">
        <v>0.58333333280448596</v>
      </c>
      <c r="C470" s="14">
        <v>123603</v>
      </c>
      <c r="D470" s="14">
        <v>396209</v>
      </c>
      <c r="E470" s="14">
        <v>11177</v>
      </c>
      <c r="F470" s="14"/>
      <c r="G470" s="14"/>
      <c r="H470" s="14"/>
      <c r="I470" s="14"/>
      <c r="J470" s="14">
        <v>4322</v>
      </c>
      <c r="K470" s="14">
        <v>5399</v>
      </c>
      <c r="L470" s="14">
        <v>27881</v>
      </c>
      <c r="M470" s="14">
        <v>16389</v>
      </c>
      <c r="N470" s="14">
        <v>2565592</v>
      </c>
      <c r="O470" s="14">
        <v>313835</v>
      </c>
      <c r="P470" s="14"/>
      <c r="Q470" s="14"/>
      <c r="R470" s="15">
        <v>54445</v>
      </c>
      <c r="S470" s="14" t="s">
        <v>99</v>
      </c>
      <c r="T470" s="14" t="s">
        <v>99</v>
      </c>
      <c r="U470" s="14">
        <v>241013</v>
      </c>
      <c r="V470" s="14">
        <v>283583</v>
      </c>
      <c r="W470" s="14">
        <v>311110</v>
      </c>
      <c r="X470" s="21">
        <v>2863</v>
      </c>
      <c r="Y470" s="21">
        <v>2625</v>
      </c>
      <c r="Z470" s="21">
        <v>9889</v>
      </c>
      <c r="AA470" s="21">
        <v>48485</v>
      </c>
      <c r="AB470" s="21">
        <v>123503</v>
      </c>
      <c r="AC470" s="21" t="s">
        <v>105</v>
      </c>
      <c r="AD470" s="21">
        <v>1662</v>
      </c>
      <c r="AE470" s="21">
        <v>7467</v>
      </c>
      <c r="AF470" s="21">
        <v>33687</v>
      </c>
      <c r="AG470" s="21">
        <v>150</v>
      </c>
      <c r="AH470" s="21"/>
      <c r="AI470" s="22">
        <v>1</v>
      </c>
      <c r="AJ470" s="21">
        <v>7400</v>
      </c>
      <c r="AK470" s="21">
        <v>2367</v>
      </c>
    </row>
    <row r="471" spans="1:37" ht="48.75" customHeight="1" thickBot="1" x14ac:dyDescent="0.3">
      <c r="A471" s="79">
        <v>46179</v>
      </c>
      <c r="B471" s="6">
        <v>0.91666666613738101</v>
      </c>
      <c r="C471" s="7">
        <v>12832</v>
      </c>
      <c r="D471" s="7">
        <v>396445</v>
      </c>
      <c r="E471" s="7">
        <v>11178</v>
      </c>
      <c r="F471" s="7"/>
      <c r="G471" s="7"/>
      <c r="H471" s="7"/>
      <c r="I471" s="7"/>
      <c r="J471" s="7">
        <v>4323</v>
      </c>
      <c r="K471" s="7">
        <v>5399</v>
      </c>
      <c r="L471" s="7">
        <v>27907</v>
      </c>
      <c r="M471" s="7">
        <v>16401</v>
      </c>
      <c r="N471" s="7">
        <v>2853811</v>
      </c>
      <c r="O471" s="7">
        <v>314052</v>
      </c>
      <c r="P471" s="7"/>
      <c r="Q471" s="7"/>
      <c r="R471" s="8">
        <v>54480</v>
      </c>
      <c r="S471" s="7" t="s">
        <v>99</v>
      </c>
      <c r="T471" s="7" t="s">
        <v>99</v>
      </c>
      <c r="U471" s="7">
        <v>241418</v>
      </c>
      <c r="V471" s="7">
        <v>283738</v>
      </c>
      <c r="W471" s="7">
        <v>311260</v>
      </c>
      <c r="X471" s="18">
        <v>2980</v>
      </c>
      <c r="Y471" s="18">
        <v>2735</v>
      </c>
      <c r="Z471" s="18">
        <v>9936</v>
      </c>
      <c r="AA471" s="18">
        <v>48591</v>
      </c>
      <c r="AB471" s="18">
        <v>123508</v>
      </c>
      <c r="AC471" s="18" t="s">
        <v>105</v>
      </c>
      <c r="AD471" s="18">
        <v>1691</v>
      </c>
      <c r="AE471" s="18">
        <v>7470</v>
      </c>
      <c r="AF471" s="18">
        <v>33687</v>
      </c>
      <c r="AG471" s="18">
        <v>150</v>
      </c>
      <c r="AH471" s="18"/>
      <c r="AI471" s="19">
        <v>1</v>
      </c>
      <c r="AJ471" s="18">
        <v>7400</v>
      </c>
      <c r="AK471" s="18">
        <v>2367</v>
      </c>
    </row>
    <row r="472" spans="1:37" ht="48.75" customHeight="1" thickBot="1" x14ac:dyDescent="0.3">
      <c r="A472" s="80"/>
      <c r="B472" s="10">
        <v>0.24999999947028301</v>
      </c>
      <c r="C472" s="11">
        <v>12858</v>
      </c>
      <c r="D472" s="11">
        <v>396682</v>
      </c>
      <c r="E472" s="11">
        <v>11179</v>
      </c>
      <c r="F472" s="11"/>
      <c r="G472" s="11"/>
      <c r="H472" s="11"/>
      <c r="I472" s="11"/>
      <c r="J472" s="11">
        <v>4323</v>
      </c>
      <c r="K472" s="11">
        <v>5399</v>
      </c>
      <c r="L472" s="11">
        <v>27931</v>
      </c>
      <c r="M472" s="11">
        <v>16412</v>
      </c>
      <c r="N472" s="11">
        <v>3102201</v>
      </c>
      <c r="O472" s="11">
        <v>314239</v>
      </c>
      <c r="P472" s="11"/>
      <c r="Q472" s="11"/>
      <c r="R472" s="12">
        <v>54513</v>
      </c>
      <c r="S472" s="7" t="s">
        <v>99</v>
      </c>
      <c r="T472" s="7" t="s">
        <v>99</v>
      </c>
      <c r="U472" s="11">
        <v>241883</v>
      </c>
      <c r="V472" s="11">
        <v>283851</v>
      </c>
      <c r="W472" s="11">
        <v>311364</v>
      </c>
      <c r="X472" s="9">
        <v>3074</v>
      </c>
      <c r="Y472" s="9">
        <v>2821</v>
      </c>
      <c r="Z472" s="9"/>
      <c r="AA472" s="9"/>
      <c r="AB472" s="9">
        <v>123517</v>
      </c>
      <c r="AC472" s="18" t="s">
        <v>105</v>
      </c>
      <c r="AD472" s="9">
        <v>1727</v>
      </c>
      <c r="AE472" s="9"/>
      <c r="AF472" s="9"/>
      <c r="AG472" s="9">
        <v>150</v>
      </c>
      <c r="AH472" s="9"/>
      <c r="AI472" s="20"/>
      <c r="AJ472" s="9"/>
      <c r="AK472" s="9"/>
    </row>
    <row r="473" spans="1:37" ht="48.75" customHeight="1" thickBot="1" x14ac:dyDescent="0.3">
      <c r="A473" s="81"/>
      <c r="B473" s="13">
        <v>0.583333332803186</v>
      </c>
      <c r="C473" s="14">
        <v>12864</v>
      </c>
      <c r="D473" s="14">
        <v>396856</v>
      </c>
      <c r="E473" s="14">
        <v>11180</v>
      </c>
      <c r="F473" s="14"/>
      <c r="G473" s="14"/>
      <c r="H473" s="14"/>
      <c r="I473" s="14"/>
      <c r="J473" s="14">
        <v>4323</v>
      </c>
      <c r="K473" s="14">
        <v>5399</v>
      </c>
      <c r="L473" s="14">
        <v>27948</v>
      </c>
      <c r="M473" s="14">
        <v>16418</v>
      </c>
      <c r="N473" s="14">
        <v>3199238</v>
      </c>
      <c r="O473" s="14">
        <v>314311</v>
      </c>
      <c r="P473" s="14"/>
      <c r="Q473" s="14"/>
      <c r="R473" s="15">
        <v>54534</v>
      </c>
      <c r="S473" s="7" t="s">
        <v>99</v>
      </c>
      <c r="T473" s="7" t="s">
        <v>99</v>
      </c>
      <c r="U473" s="14">
        <v>242165</v>
      </c>
      <c r="V473" s="14">
        <v>283949</v>
      </c>
      <c r="W473" s="14">
        <v>311442</v>
      </c>
      <c r="X473" s="21">
        <v>3074</v>
      </c>
      <c r="Y473" s="21">
        <v>2821</v>
      </c>
      <c r="Z473" s="21"/>
      <c r="AA473" s="21"/>
      <c r="AB473" s="21">
        <v>123523</v>
      </c>
      <c r="AC473" s="21" t="s">
        <v>105</v>
      </c>
      <c r="AD473" s="21">
        <v>1747</v>
      </c>
      <c r="AE473" s="21">
        <v>1771</v>
      </c>
      <c r="AF473" s="21">
        <v>33867</v>
      </c>
      <c r="AG473" s="21">
        <v>150</v>
      </c>
      <c r="AH473" s="21"/>
      <c r="AI473" s="22">
        <v>1</v>
      </c>
      <c r="AJ473" s="21">
        <v>7400</v>
      </c>
      <c r="AK473" s="21">
        <v>2367</v>
      </c>
    </row>
    <row r="474" spans="1:37" ht="48.75" customHeight="1" x14ac:dyDescent="0.25">
      <c r="A474" s="79">
        <v>46180</v>
      </c>
      <c r="B474" s="6">
        <v>0.91666666613608105</v>
      </c>
      <c r="C474" s="7">
        <v>12866</v>
      </c>
      <c r="D474" s="7">
        <v>396994</v>
      </c>
      <c r="E474" s="7">
        <v>11182</v>
      </c>
      <c r="F474" s="7"/>
      <c r="G474" s="7"/>
      <c r="H474" s="7"/>
      <c r="I474" s="7"/>
      <c r="J474" s="7">
        <v>4323</v>
      </c>
      <c r="K474" s="7">
        <v>5400</v>
      </c>
      <c r="L474" s="7">
        <v>27964</v>
      </c>
      <c r="M474" s="7">
        <v>16425</v>
      </c>
      <c r="N474" s="7">
        <v>3413753</v>
      </c>
      <c r="O474" s="7">
        <v>314463</v>
      </c>
      <c r="P474" s="7"/>
      <c r="Q474" s="7"/>
      <c r="R474" s="8">
        <v>54552</v>
      </c>
      <c r="S474" s="7" t="s">
        <v>99</v>
      </c>
      <c r="T474" s="7" t="s">
        <v>99</v>
      </c>
      <c r="U474" s="7">
        <v>242436</v>
      </c>
      <c r="V474" s="7">
        <v>284064</v>
      </c>
      <c r="W474" s="7">
        <v>311534</v>
      </c>
      <c r="X474" s="18">
        <v>3238</v>
      </c>
      <c r="Y474" s="18">
        <v>2974</v>
      </c>
      <c r="Z474" s="18">
        <v>9989</v>
      </c>
      <c r="AA474" s="18">
        <v>48631</v>
      </c>
      <c r="AB474" s="18">
        <v>123514</v>
      </c>
      <c r="AC474" s="18" t="s">
        <v>107</v>
      </c>
      <c r="AD474" s="18">
        <v>1774</v>
      </c>
      <c r="AE474" s="18">
        <v>7480</v>
      </c>
      <c r="AF474" s="18">
        <v>33867</v>
      </c>
      <c r="AG474" s="18">
        <v>150</v>
      </c>
      <c r="AH474" s="18"/>
      <c r="AI474" s="19">
        <v>1</v>
      </c>
      <c r="AJ474" s="18">
        <v>7400</v>
      </c>
      <c r="AK474" s="18">
        <v>2367</v>
      </c>
    </row>
    <row r="475" spans="1:37" ht="48.75" customHeight="1" x14ac:dyDescent="0.25">
      <c r="A475" s="80"/>
      <c r="B475" s="10">
        <v>0.249999999469082</v>
      </c>
      <c r="C475" s="11">
        <v>12866</v>
      </c>
      <c r="D475" s="11">
        <v>396994</v>
      </c>
      <c r="E475" s="11">
        <v>11182</v>
      </c>
      <c r="F475" s="11"/>
      <c r="G475" s="11"/>
      <c r="H475" s="11"/>
      <c r="I475" s="11"/>
      <c r="J475" s="11">
        <v>4323</v>
      </c>
      <c r="K475" s="11">
        <v>5400</v>
      </c>
      <c r="L475" s="11">
        <v>27964</v>
      </c>
      <c r="M475" s="11">
        <v>16425</v>
      </c>
      <c r="N475" s="11">
        <v>3413753</v>
      </c>
      <c r="O475" s="11">
        <v>314463</v>
      </c>
      <c r="P475" s="11"/>
      <c r="Q475" s="11"/>
      <c r="R475" s="12">
        <v>54552</v>
      </c>
      <c r="S475" s="11" t="s">
        <v>99</v>
      </c>
      <c r="T475" s="11" t="s">
        <v>99</v>
      </c>
      <c r="U475" s="11">
        <v>242436</v>
      </c>
      <c r="V475" s="11">
        <v>284064</v>
      </c>
      <c r="W475" s="11">
        <v>311534</v>
      </c>
      <c r="X475" s="9">
        <v>3238</v>
      </c>
      <c r="Y475" s="9">
        <v>2974</v>
      </c>
      <c r="Z475" s="9">
        <v>9989</v>
      </c>
      <c r="AA475" s="9">
        <v>48631</v>
      </c>
      <c r="AB475" s="9">
        <v>123514</v>
      </c>
      <c r="AC475" s="9" t="s">
        <v>107</v>
      </c>
      <c r="AD475" s="9">
        <v>1774</v>
      </c>
      <c r="AE475" s="9">
        <v>7480</v>
      </c>
      <c r="AF475" s="9">
        <v>33867</v>
      </c>
      <c r="AG475" s="9">
        <v>150</v>
      </c>
      <c r="AH475" s="9"/>
      <c r="AI475" s="20">
        <v>1</v>
      </c>
      <c r="AJ475" s="9">
        <v>7400</v>
      </c>
      <c r="AK475" s="9">
        <v>2367</v>
      </c>
    </row>
    <row r="476" spans="1:37" ht="48.75" customHeight="1" thickBot="1" x14ac:dyDescent="0.3">
      <c r="A476" s="81"/>
      <c r="B476" s="13">
        <v>0.58333333280198496</v>
      </c>
      <c r="C476" s="14">
        <v>12866</v>
      </c>
      <c r="D476" s="14">
        <v>396994</v>
      </c>
      <c r="E476" s="14">
        <v>11182</v>
      </c>
      <c r="F476" s="14"/>
      <c r="G476" s="14"/>
      <c r="H476" s="14"/>
      <c r="I476" s="14"/>
      <c r="J476" s="14">
        <v>4323</v>
      </c>
      <c r="K476" s="14">
        <v>5400</v>
      </c>
      <c r="L476" s="14">
        <v>27964</v>
      </c>
      <c r="M476" s="14">
        <v>16425</v>
      </c>
      <c r="N476" s="14">
        <v>3413753</v>
      </c>
      <c r="O476" s="14">
        <v>314463</v>
      </c>
      <c r="P476" s="14"/>
      <c r="Q476" s="14"/>
      <c r="R476" s="15">
        <v>54552</v>
      </c>
      <c r="S476" s="14" t="s">
        <v>99</v>
      </c>
      <c r="T476" s="14" t="s">
        <v>99</v>
      </c>
      <c r="U476" s="14">
        <v>242436</v>
      </c>
      <c r="V476" s="14">
        <v>284064</v>
      </c>
      <c r="W476" s="14">
        <v>311534</v>
      </c>
      <c r="X476" s="21">
        <v>3238</v>
      </c>
      <c r="Y476" s="21">
        <v>2974</v>
      </c>
      <c r="Z476" s="21">
        <v>9989</v>
      </c>
      <c r="AA476" s="21">
        <v>48631</v>
      </c>
      <c r="AB476" s="21">
        <v>123514</v>
      </c>
      <c r="AC476" s="21" t="s">
        <v>107</v>
      </c>
      <c r="AD476" s="21">
        <v>1774</v>
      </c>
      <c r="AE476" s="21">
        <v>7480</v>
      </c>
      <c r="AF476" s="21">
        <v>33867</v>
      </c>
      <c r="AG476" s="21">
        <v>150</v>
      </c>
      <c r="AH476" s="21"/>
      <c r="AI476" s="22">
        <v>1</v>
      </c>
      <c r="AJ476" s="21">
        <v>7400</v>
      </c>
      <c r="AK476" s="21">
        <v>2367</v>
      </c>
    </row>
    <row r="477" spans="1:37" ht="48.75" customHeight="1" x14ac:dyDescent="0.25">
      <c r="A477" s="79">
        <v>46181</v>
      </c>
      <c r="B477" s="6">
        <v>0.91666666613488701</v>
      </c>
      <c r="C477" s="7">
        <v>12866</v>
      </c>
      <c r="D477" s="7">
        <v>396994</v>
      </c>
      <c r="E477" s="7">
        <v>11182</v>
      </c>
      <c r="F477" s="7"/>
      <c r="G477" s="7"/>
      <c r="H477" s="7"/>
      <c r="I477" s="7"/>
      <c r="J477" s="7">
        <v>4323</v>
      </c>
      <c r="K477" s="7">
        <v>5400</v>
      </c>
      <c r="L477" s="7">
        <v>27964</v>
      </c>
      <c r="M477" s="7">
        <v>16425</v>
      </c>
      <c r="N477" s="7">
        <v>3413753</v>
      </c>
      <c r="O477" s="7">
        <v>314463</v>
      </c>
      <c r="P477" s="7"/>
      <c r="Q477" s="7"/>
      <c r="R477" s="8">
        <v>54552</v>
      </c>
      <c r="S477" s="7" t="s">
        <v>99</v>
      </c>
      <c r="T477" s="7" t="s">
        <v>99</v>
      </c>
      <c r="U477" s="7">
        <v>242436</v>
      </c>
      <c r="V477" s="7">
        <v>284064</v>
      </c>
      <c r="W477" s="7">
        <v>311534</v>
      </c>
      <c r="X477" s="18">
        <v>3238</v>
      </c>
      <c r="Y477" s="18">
        <v>2974</v>
      </c>
      <c r="Z477" s="18">
        <v>9989</v>
      </c>
      <c r="AA477" s="18">
        <v>48631</v>
      </c>
      <c r="AB477" s="18">
        <v>123514</v>
      </c>
      <c r="AC477" s="18" t="s">
        <v>107</v>
      </c>
      <c r="AD477" s="18">
        <v>1774</v>
      </c>
      <c r="AE477" s="18">
        <v>7480</v>
      </c>
      <c r="AF477" s="18">
        <v>33867</v>
      </c>
      <c r="AG477" s="18">
        <v>150</v>
      </c>
      <c r="AH477" s="18"/>
      <c r="AI477" s="19">
        <v>1</v>
      </c>
      <c r="AJ477" s="18">
        <v>7400</v>
      </c>
      <c r="AK477" s="18">
        <v>2367</v>
      </c>
    </row>
    <row r="478" spans="1:37" ht="48.75" customHeight="1" x14ac:dyDescent="0.25">
      <c r="A478" s="80"/>
      <c r="B478" s="10">
        <v>0.249999999467789</v>
      </c>
      <c r="C478" s="11">
        <v>12866</v>
      </c>
      <c r="D478" s="11">
        <v>396994</v>
      </c>
      <c r="E478" s="11">
        <v>11182</v>
      </c>
      <c r="F478" s="11"/>
      <c r="G478" s="11"/>
      <c r="H478" s="11"/>
      <c r="I478" s="11"/>
      <c r="J478" s="11">
        <v>4323</v>
      </c>
      <c r="K478" s="11">
        <v>5400</v>
      </c>
      <c r="L478" s="11">
        <v>27964</v>
      </c>
      <c r="M478" s="11">
        <v>16425</v>
      </c>
      <c r="N478" s="11">
        <v>3413753</v>
      </c>
      <c r="O478" s="11">
        <v>314463</v>
      </c>
      <c r="P478" s="11"/>
      <c r="Q478" s="11"/>
      <c r="R478" s="12">
        <v>54552</v>
      </c>
      <c r="S478" s="11" t="s">
        <v>99</v>
      </c>
      <c r="T478" s="11" t="s">
        <v>99</v>
      </c>
      <c r="U478" s="11">
        <v>242436</v>
      </c>
      <c r="V478" s="11">
        <v>284064</v>
      </c>
      <c r="W478" s="11">
        <v>311534</v>
      </c>
      <c r="X478" s="9">
        <v>3238</v>
      </c>
      <c r="Y478" s="9">
        <v>2974</v>
      </c>
      <c r="Z478" s="9">
        <v>9989</v>
      </c>
      <c r="AA478" s="9">
        <v>48631</v>
      </c>
      <c r="AB478" s="9">
        <v>123514</v>
      </c>
      <c r="AC478" s="9" t="s">
        <v>107</v>
      </c>
      <c r="AD478" s="9">
        <v>1774</v>
      </c>
      <c r="AE478" s="9">
        <v>7480</v>
      </c>
      <c r="AF478" s="9">
        <v>33867</v>
      </c>
      <c r="AG478" s="9">
        <v>150</v>
      </c>
      <c r="AH478" s="9"/>
      <c r="AI478" s="20">
        <v>1</v>
      </c>
      <c r="AJ478" s="9">
        <v>7400</v>
      </c>
      <c r="AK478" s="9">
        <v>2367</v>
      </c>
    </row>
    <row r="479" spans="1:37" ht="48.75" customHeight="1" thickBot="1" x14ac:dyDescent="0.3">
      <c r="A479" s="81"/>
      <c r="B479" s="13">
        <v>0.58333333280067701</v>
      </c>
      <c r="C479" s="14">
        <v>12866</v>
      </c>
      <c r="D479" s="14">
        <v>396994</v>
      </c>
      <c r="E479" s="14">
        <v>11182</v>
      </c>
      <c r="F479" s="14"/>
      <c r="G479" s="14"/>
      <c r="H479" s="14"/>
      <c r="I479" s="14"/>
      <c r="J479" s="14">
        <v>4323</v>
      </c>
      <c r="K479" s="14">
        <v>5400</v>
      </c>
      <c r="L479" s="14">
        <v>27964</v>
      </c>
      <c r="M479" s="14">
        <v>16425</v>
      </c>
      <c r="N479" s="14">
        <v>3413753</v>
      </c>
      <c r="O479" s="14">
        <v>314463</v>
      </c>
      <c r="P479" s="14"/>
      <c r="Q479" s="14"/>
      <c r="R479" s="15">
        <v>54552</v>
      </c>
      <c r="S479" s="14" t="s">
        <v>99</v>
      </c>
      <c r="T479" s="14" t="s">
        <v>99</v>
      </c>
      <c r="U479" s="14">
        <v>242436</v>
      </c>
      <c r="V479" s="14">
        <v>284064</v>
      </c>
      <c r="W479" s="14">
        <v>311534</v>
      </c>
      <c r="X479" s="21">
        <v>3238</v>
      </c>
      <c r="Y479" s="21">
        <v>2974</v>
      </c>
      <c r="Z479" s="21">
        <v>9989</v>
      </c>
      <c r="AA479" s="21">
        <v>48631</v>
      </c>
      <c r="AB479" s="21">
        <v>123514</v>
      </c>
      <c r="AC479" s="21" t="s">
        <v>107</v>
      </c>
      <c r="AD479" s="21">
        <v>1774</v>
      </c>
      <c r="AE479" s="21">
        <v>7480</v>
      </c>
      <c r="AF479" s="21">
        <v>33867</v>
      </c>
      <c r="AG479" s="21">
        <v>150</v>
      </c>
      <c r="AH479" s="21"/>
      <c r="AI479" s="22">
        <v>1</v>
      </c>
      <c r="AJ479" s="21">
        <v>7400</v>
      </c>
      <c r="AK479" s="21">
        <v>2367</v>
      </c>
    </row>
    <row r="480" spans="1:37" ht="48.75" customHeight="1" x14ac:dyDescent="0.25">
      <c r="A480" s="79">
        <v>46182</v>
      </c>
      <c r="B480" s="6">
        <v>0.91666666613358005</v>
      </c>
      <c r="C480" s="7">
        <v>12866</v>
      </c>
      <c r="D480" s="7">
        <v>396994</v>
      </c>
      <c r="E480" s="7">
        <v>11182</v>
      </c>
      <c r="F480" s="7"/>
      <c r="G480" s="7"/>
      <c r="H480" s="7"/>
      <c r="I480" s="7"/>
      <c r="J480" s="7">
        <v>4323</v>
      </c>
      <c r="K480" s="7">
        <v>5400</v>
      </c>
      <c r="L480" s="7">
        <v>27964</v>
      </c>
      <c r="M480" s="7">
        <v>16425</v>
      </c>
      <c r="N480" s="7">
        <v>3413753</v>
      </c>
      <c r="O480" s="7">
        <v>314463</v>
      </c>
      <c r="P480" s="7"/>
      <c r="Q480" s="7"/>
      <c r="R480" s="8">
        <v>54552</v>
      </c>
      <c r="S480" s="7" t="s">
        <v>99</v>
      </c>
      <c r="T480" s="7" t="s">
        <v>99</v>
      </c>
      <c r="U480" s="7">
        <v>242436</v>
      </c>
      <c r="V480" s="7">
        <v>284064</v>
      </c>
      <c r="W480" s="7">
        <v>311534</v>
      </c>
      <c r="X480" s="18">
        <v>3238</v>
      </c>
      <c r="Y480" s="18">
        <v>2974</v>
      </c>
      <c r="Z480" s="18">
        <v>9989</v>
      </c>
      <c r="AA480" s="18">
        <v>48631</v>
      </c>
      <c r="AB480" s="18">
        <v>123514</v>
      </c>
      <c r="AC480" s="18" t="s">
        <v>107</v>
      </c>
      <c r="AD480" s="18">
        <v>1774</v>
      </c>
      <c r="AE480" s="18">
        <v>7480</v>
      </c>
      <c r="AF480" s="18">
        <v>33867</v>
      </c>
      <c r="AG480" s="18">
        <v>150</v>
      </c>
      <c r="AH480" s="18"/>
      <c r="AI480" s="19">
        <v>1</v>
      </c>
      <c r="AJ480" s="18">
        <v>7400</v>
      </c>
      <c r="AK480" s="18">
        <v>2367</v>
      </c>
    </row>
    <row r="481" spans="1:37" ht="48.75" customHeight="1" x14ac:dyDescent="0.25">
      <c r="A481" s="80"/>
      <c r="B481" s="10">
        <v>0.249999999466581</v>
      </c>
      <c r="C481" s="11">
        <v>12879</v>
      </c>
      <c r="D481" s="11">
        <v>397251</v>
      </c>
      <c r="E481" s="11">
        <v>11185</v>
      </c>
      <c r="F481" s="11"/>
      <c r="G481" s="11"/>
      <c r="H481" s="11"/>
      <c r="I481" s="11"/>
      <c r="J481" s="11">
        <v>4324</v>
      </c>
      <c r="K481" s="11">
        <v>5400</v>
      </c>
      <c r="L481" s="11">
        <v>27989</v>
      </c>
      <c r="M481" s="11">
        <v>16429</v>
      </c>
      <c r="N481" s="11">
        <v>3676559</v>
      </c>
      <c r="O481" s="11">
        <v>314668</v>
      </c>
      <c r="P481" s="11"/>
      <c r="Q481" s="11"/>
      <c r="R481" s="12">
        <v>54569</v>
      </c>
      <c r="S481" s="11" t="s">
        <v>99</v>
      </c>
      <c r="T481" s="11" t="s">
        <v>99</v>
      </c>
      <c r="U481" s="11">
        <v>242771</v>
      </c>
      <c r="V481" s="11">
        <v>284259</v>
      </c>
      <c r="W481" s="11">
        <v>311677</v>
      </c>
      <c r="X481" s="9">
        <v>3301</v>
      </c>
      <c r="Y481" s="9">
        <v>3027</v>
      </c>
      <c r="Z481" s="9"/>
      <c r="AA481" s="9"/>
      <c r="AB481" s="9">
        <v>123520</v>
      </c>
      <c r="AC481" s="9" t="s">
        <v>107</v>
      </c>
      <c r="AD481" s="9">
        <v>1806</v>
      </c>
      <c r="AE481" s="9"/>
      <c r="AF481" s="9"/>
      <c r="AG481" s="9"/>
      <c r="AH481" s="9"/>
      <c r="AI481" s="20"/>
      <c r="AJ481" s="9"/>
      <c r="AK481" s="9"/>
    </row>
    <row r="482" spans="1:37" ht="48.75" customHeight="1" thickBot="1" x14ac:dyDescent="0.3">
      <c r="A482" s="81"/>
      <c r="B482" s="13">
        <v>0.58333333279948396</v>
      </c>
      <c r="C482" s="14">
        <v>12891</v>
      </c>
      <c r="D482" s="14">
        <v>397530</v>
      </c>
      <c r="E482" s="14">
        <v>11188</v>
      </c>
      <c r="F482" s="14"/>
      <c r="G482" s="14"/>
      <c r="H482" s="14"/>
      <c r="I482" s="14"/>
      <c r="J482" s="14">
        <v>4325</v>
      </c>
      <c r="K482" s="14">
        <v>5400</v>
      </c>
      <c r="L482" s="14">
        <v>28011</v>
      </c>
      <c r="M482" s="14">
        <v>16432</v>
      </c>
      <c r="N482" s="14">
        <v>3989878</v>
      </c>
      <c r="O482" s="14">
        <v>314919</v>
      </c>
      <c r="P482" s="14"/>
      <c r="Q482" s="14"/>
      <c r="R482" s="15">
        <v>54602</v>
      </c>
      <c r="S482" s="14" t="s">
        <v>99</v>
      </c>
      <c r="T482" s="14" t="s">
        <v>101</v>
      </c>
      <c r="U482" s="14">
        <v>243224</v>
      </c>
      <c r="V482" s="14">
        <v>284419</v>
      </c>
      <c r="W482" s="14">
        <v>311810</v>
      </c>
      <c r="X482" s="21">
        <v>3392</v>
      </c>
      <c r="Y482" s="21">
        <v>3103</v>
      </c>
      <c r="Z482" s="21"/>
      <c r="AA482" s="21"/>
      <c r="AB482" s="21">
        <v>123520</v>
      </c>
      <c r="AC482" s="21" t="s">
        <v>107</v>
      </c>
      <c r="AD482" s="21">
        <v>1872</v>
      </c>
      <c r="AE482" s="21"/>
      <c r="AF482" s="21"/>
      <c r="AG482" s="21"/>
      <c r="AH482" s="21"/>
      <c r="AI482" s="22"/>
      <c r="AJ482" s="21"/>
      <c r="AK482" s="21"/>
    </row>
    <row r="483" spans="1:37" ht="48.75" customHeight="1" thickBot="1" x14ac:dyDescent="0.3">
      <c r="A483" s="79">
        <v>46183</v>
      </c>
      <c r="B483" s="6">
        <v>0.91666666613238601</v>
      </c>
      <c r="C483" s="7">
        <v>12920</v>
      </c>
      <c r="D483" s="7">
        <v>397837</v>
      </c>
      <c r="E483" s="7">
        <v>11191</v>
      </c>
      <c r="F483" s="7"/>
      <c r="G483" s="7"/>
      <c r="H483" s="7"/>
      <c r="I483" s="7"/>
      <c r="J483" s="7">
        <v>4326</v>
      </c>
      <c r="K483" s="7">
        <v>5401</v>
      </c>
      <c r="L483" s="7">
        <v>28033</v>
      </c>
      <c r="M483" s="7">
        <v>16436</v>
      </c>
      <c r="N483" s="7">
        <v>4258666</v>
      </c>
      <c r="O483" s="7">
        <v>315135</v>
      </c>
      <c r="P483" s="7"/>
      <c r="Q483" s="7"/>
      <c r="R483" s="8">
        <v>54639</v>
      </c>
      <c r="S483" s="14" t="s">
        <v>99</v>
      </c>
      <c r="T483" s="14" t="s">
        <v>101</v>
      </c>
      <c r="U483" s="7">
        <v>243832</v>
      </c>
      <c r="V483" s="7">
        <v>284562</v>
      </c>
      <c r="W483" s="7">
        <v>311934</v>
      </c>
      <c r="X483" s="18">
        <v>3519</v>
      </c>
      <c r="Y483" s="18">
        <v>3222</v>
      </c>
      <c r="Z483" s="18">
        <v>9994</v>
      </c>
      <c r="AA483" s="18">
        <v>48712</v>
      </c>
      <c r="AB483" s="18">
        <v>123521</v>
      </c>
      <c r="AC483" s="18" t="s">
        <v>107</v>
      </c>
      <c r="AD483" s="18">
        <v>1877</v>
      </c>
      <c r="AE483" s="18">
        <v>7484</v>
      </c>
      <c r="AF483" s="18">
        <v>33867</v>
      </c>
      <c r="AG483" s="18">
        <v>150</v>
      </c>
      <c r="AH483" s="18"/>
      <c r="AI483" s="19">
        <v>1</v>
      </c>
      <c r="AJ483" s="18">
        <v>7400</v>
      </c>
      <c r="AK483" s="18">
        <v>2367</v>
      </c>
    </row>
    <row r="484" spans="1:37" ht="48.75" customHeight="1" x14ac:dyDescent="0.25">
      <c r="A484" s="80"/>
      <c r="B484" s="10">
        <v>0.249999999465288</v>
      </c>
      <c r="C484" s="11">
        <v>12934</v>
      </c>
      <c r="D484" s="11">
        <v>398058</v>
      </c>
      <c r="E484" s="11">
        <v>11194</v>
      </c>
      <c r="F484" s="11"/>
      <c r="G484" s="11"/>
      <c r="H484" s="11"/>
      <c r="I484" s="11"/>
      <c r="J484" s="11">
        <v>4327</v>
      </c>
      <c r="K484" s="11">
        <v>5401</v>
      </c>
      <c r="L484" s="11">
        <v>28057</v>
      </c>
      <c r="M484" s="11">
        <v>16438</v>
      </c>
      <c r="N484" s="11">
        <v>4503649</v>
      </c>
      <c r="O484" s="11">
        <v>315342</v>
      </c>
      <c r="P484" s="11"/>
      <c r="Q484" s="11"/>
      <c r="R484" s="12">
        <v>54697</v>
      </c>
      <c r="S484" s="11" t="s">
        <v>99</v>
      </c>
      <c r="T484" s="11" t="s">
        <v>101</v>
      </c>
      <c r="U484" s="11">
        <v>244322</v>
      </c>
      <c r="V484" s="11">
        <v>284712</v>
      </c>
      <c r="W484" s="11">
        <v>312089</v>
      </c>
      <c r="X484" s="9">
        <v>3636</v>
      </c>
      <c r="Y484" s="9">
        <v>3332</v>
      </c>
      <c r="Z484" s="9"/>
      <c r="AA484" s="9"/>
      <c r="AB484" s="9">
        <v>123521</v>
      </c>
      <c r="AC484" s="9" t="s">
        <v>107</v>
      </c>
      <c r="AD484" s="9">
        <v>1926</v>
      </c>
      <c r="AE484" s="9"/>
      <c r="AF484" s="9"/>
      <c r="AG484" s="9"/>
      <c r="AH484" s="9"/>
      <c r="AI484" s="20"/>
      <c r="AJ484" s="9"/>
      <c r="AK484" s="9"/>
    </row>
    <row r="485" spans="1:37" ht="48.75" customHeight="1" thickBot="1" x14ac:dyDescent="0.3">
      <c r="A485" s="81"/>
      <c r="B485" s="13">
        <v>0.58333333279819</v>
      </c>
      <c r="C485" s="14">
        <v>12964</v>
      </c>
      <c r="D485" s="14">
        <v>398303</v>
      </c>
      <c r="E485" s="14">
        <v>11196</v>
      </c>
      <c r="F485" s="14"/>
      <c r="G485" s="14"/>
      <c r="H485" s="14"/>
      <c r="I485" s="14"/>
      <c r="J485" s="14">
        <v>4328</v>
      </c>
      <c r="K485" s="14">
        <v>5401</v>
      </c>
      <c r="L485" s="14">
        <v>28077</v>
      </c>
      <c r="M485" s="14">
        <v>16443</v>
      </c>
      <c r="N485" s="14">
        <v>4771380</v>
      </c>
      <c r="O485" s="14">
        <v>315547</v>
      </c>
      <c r="P485" s="14"/>
      <c r="Q485" s="14"/>
      <c r="R485" s="15">
        <v>54756</v>
      </c>
      <c r="S485" s="11" t="s">
        <v>101</v>
      </c>
      <c r="T485" s="11" t="s">
        <v>101</v>
      </c>
      <c r="U485" s="14">
        <v>244828</v>
      </c>
      <c r="V485" s="14">
        <v>284838</v>
      </c>
      <c r="W485" s="14">
        <v>312218</v>
      </c>
      <c r="X485" s="21">
        <v>3751</v>
      </c>
      <c r="Y485" s="21">
        <v>3440</v>
      </c>
      <c r="Z485" s="21"/>
      <c r="AA485" s="21"/>
      <c r="AB485" s="21">
        <v>123522</v>
      </c>
      <c r="AC485" s="9" t="s">
        <v>107</v>
      </c>
      <c r="AD485" s="21">
        <v>2008</v>
      </c>
      <c r="AE485" s="21"/>
      <c r="AF485" s="21"/>
      <c r="AG485" s="21"/>
      <c r="AH485" s="21"/>
      <c r="AI485" s="22"/>
      <c r="AJ485" s="21"/>
      <c r="AK485" s="21"/>
    </row>
    <row r="486" spans="1:37" ht="48.75" customHeight="1" x14ac:dyDescent="0.25">
      <c r="A486" s="79">
        <v>46184</v>
      </c>
      <c r="B486" s="6">
        <v>0.91666666613109604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8"/>
      <c r="S486" s="7"/>
      <c r="T486" s="7"/>
      <c r="U486" s="7"/>
      <c r="V486" s="7"/>
      <c r="W486" s="7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9"/>
      <c r="AJ486" s="18"/>
      <c r="AK486" s="18"/>
    </row>
    <row r="487" spans="1:37" ht="48.75" customHeight="1" x14ac:dyDescent="0.25">
      <c r="A487" s="80"/>
      <c r="B487" s="10">
        <v>0.24999999946399601</v>
      </c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2"/>
      <c r="S487" s="11"/>
      <c r="T487" s="11"/>
      <c r="U487" s="11"/>
      <c r="V487" s="11"/>
      <c r="W487" s="11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20"/>
      <c r="AJ487" s="9"/>
      <c r="AK487" s="9"/>
    </row>
    <row r="488" spans="1:37" ht="48.75" customHeight="1" thickBot="1" x14ac:dyDescent="0.3">
      <c r="A488" s="81"/>
      <c r="B488" s="13">
        <v>0.58333333279689603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5"/>
      <c r="S488" s="14"/>
      <c r="T488" s="14"/>
      <c r="U488" s="14"/>
      <c r="V488" s="14"/>
      <c r="W488" s="14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2"/>
      <c r="AJ488" s="21"/>
      <c r="AK488" s="21"/>
    </row>
    <row r="489" spans="1:37" ht="48.75" customHeight="1" x14ac:dyDescent="0.25">
      <c r="A489" s="79">
        <v>46185</v>
      </c>
      <c r="B489" s="6">
        <v>0.91666666612979597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8"/>
      <c r="S489" s="7"/>
      <c r="T489" s="7"/>
      <c r="U489" s="7"/>
      <c r="V489" s="7"/>
      <c r="W489" s="7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9"/>
      <c r="AJ489" s="18"/>
      <c r="AK489" s="18"/>
    </row>
    <row r="490" spans="1:37" ht="48.75" customHeight="1" x14ac:dyDescent="0.25">
      <c r="A490" s="80"/>
      <c r="B490" s="10">
        <v>0.24999999946269599</v>
      </c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2"/>
      <c r="S490" s="11"/>
      <c r="T490" s="11"/>
      <c r="U490" s="11"/>
      <c r="V490" s="11"/>
      <c r="W490" s="11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20"/>
      <c r="AJ490" s="9"/>
      <c r="AK490" s="9"/>
    </row>
    <row r="491" spans="1:37" ht="48.75" customHeight="1" thickBot="1" x14ac:dyDescent="0.3">
      <c r="A491" s="81"/>
      <c r="B491" s="13">
        <v>0.58333333279560595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5"/>
      <c r="S491" s="14"/>
      <c r="T491" s="14"/>
      <c r="U491" s="14"/>
      <c r="V491" s="14"/>
      <c r="W491" s="14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2"/>
      <c r="AJ491" s="21"/>
      <c r="AK491" s="21"/>
    </row>
    <row r="492" spans="1:37" ht="48.75" customHeight="1" x14ac:dyDescent="0.25">
      <c r="A492" s="79">
        <v>46186</v>
      </c>
      <c r="B492" s="6">
        <v>0.916666666128506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8"/>
      <c r="S492" s="7"/>
      <c r="T492" s="7"/>
      <c r="U492" s="7"/>
      <c r="V492" s="7"/>
      <c r="W492" s="7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9"/>
      <c r="AJ492" s="18"/>
      <c r="AK492" s="18"/>
    </row>
    <row r="493" spans="1:37" ht="48.75" customHeight="1" x14ac:dyDescent="0.25">
      <c r="A493" s="80"/>
      <c r="B493" s="10">
        <v>0.249999999461406</v>
      </c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2"/>
      <c r="S493" s="11"/>
      <c r="T493" s="11"/>
      <c r="U493" s="11"/>
      <c r="V493" s="11"/>
      <c r="W493" s="11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20"/>
      <c r="AJ493" s="9"/>
      <c r="AK493" s="9"/>
    </row>
    <row r="494" spans="1:37" ht="48.75" customHeight="1" thickBot="1" x14ac:dyDescent="0.3">
      <c r="A494" s="81"/>
      <c r="B494" s="13">
        <v>0.58333333279430599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5"/>
      <c r="S494" s="14"/>
      <c r="T494" s="14"/>
      <c r="U494" s="14"/>
      <c r="V494" s="14"/>
      <c r="W494" s="14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2"/>
      <c r="AJ494" s="21"/>
      <c r="AK494" s="21"/>
    </row>
    <row r="495" spans="1:37" ht="48.75" customHeight="1" x14ac:dyDescent="0.25">
      <c r="A495" s="79">
        <v>46187</v>
      </c>
      <c r="B495" s="6">
        <v>0.91666666612720604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8"/>
      <c r="S495" s="7"/>
      <c r="T495" s="7"/>
      <c r="U495" s="7"/>
      <c r="V495" s="7"/>
      <c r="W495" s="7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9"/>
      <c r="AJ495" s="18"/>
      <c r="AK495" s="18"/>
    </row>
    <row r="496" spans="1:37" ht="48.75" customHeight="1" x14ac:dyDescent="0.25">
      <c r="A496" s="80"/>
      <c r="B496" s="10">
        <v>0.249999999460115</v>
      </c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2"/>
      <c r="S496" s="11"/>
      <c r="T496" s="11"/>
      <c r="U496" s="11"/>
      <c r="V496" s="11"/>
      <c r="W496" s="11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20"/>
      <c r="AJ496" s="9"/>
      <c r="AK496" s="9"/>
    </row>
    <row r="497" spans="1:37" ht="48.75" customHeight="1" thickBot="1" x14ac:dyDescent="0.3">
      <c r="A497" s="81"/>
      <c r="B497" s="13">
        <v>0.58333333279301602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5"/>
      <c r="S497" s="14"/>
      <c r="T497" s="14"/>
      <c r="U497" s="14"/>
      <c r="V497" s="14"/>
      <c r="W497" s="14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2"/>
      <c r="AJ497" s="21"/>
      <c r="AK497" s="21"/>
    </row>
    <row r="498" spans="1:37" ht="48.75" customHeight="1" x14ac:dyDescent="0.25">
      <c r="A498" s="79">
        <v>46188</v>
      </c>
      <c r="B498" s="6">
        <v>0.91666666612588599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8"/>
      <c r="S498" s="7"/>
      <c r="T498" s="7"/>
      <c r="U498" s="7"/>
      <c r="V498" s="7"/>
      <c r="W498" s="7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9"/>
      <c r="AJ498" s="18"/>
      <c r="AK498" s="18"/>
    </row>
    <row r="499" spans="1:37" ht="48.75" customHeight="1" x14ac:dyDescent="0.25">
      <c r="A499" s="80"/>
      <c r="B499" s="10">
        <v>0.24999999945878701</v>
      </c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2"/>
      <c r="S499" s="11"/>
      <c r="T499" s="11"/>
      <c r="U499" s="11"/>
      <c r="V499" s="11"/>
      <c r="W499" s="11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20"/>
      <c r="AJ499" s="9"/>
      <c r="AK499" s="9"/>
    </row>
    <row r="500" spans="1:37" ht="48.75" customHeight="1" thickBot="1" x14ac:dyDescent="0.3">
      <c r="A500" s="81"/>
      <c r="B500" s="13">
        <v>0.58333333279168498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5"/>
      <c r="S500" s="14"/>
      <c r="T500" s="14"/>
      <c r="U500" s="14"/>
      <c r="V500" s="14"/>
      <c r="W500" s="14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2"/>
      <c r="AJ500" s="21"/>
      <c r="AK500" s="21"/>
    </row>
    <row r="501" spans="1:37" ht="48.75" customHeight="1" x14ac:dyDescent="0.25">
      <c r="A501" s="79">
        <v>46189</v>
      </c>
      <c r="B501" s="6">
        <v>0.91666666612458603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8"/>
      <c r="S501" s="7"/>
      <c r="T501" s="7"/>
      <c r="U501" s="7"/>
      <c r="V501" s="7"/>
      <c r="W501" s="7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9"/>
      <c r="AJ501" s="18"/>
      <c r="AK501" s="18"/>
    </row>
    <row r="502" spans="1:37" ht="48.75" customHeight="1" x14ac:dyDescent="0.25">
      <c r="A502" s="80"/>
      <c r="B502" s="10">
        <v>0.24999999945748599</v>
      </c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2"/>
      <c r="S502" s="11"/>
      <c r="T502" s="11"/>
      <c r="U502" s="11"/>
      <c r="V502" s="11"/>
      <c r="W502" s="11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20"/>
      <c r="AJ502" s="9"/>
      <c r="AK502" s="9"/>
    </row>
    <row r="503" spans="1:37" ht="48.75" customHeight="1" thickBot="1" x14ac:dyDescent="0.3">
      <c r="A503" s="81"/>
      <c r="B503" s="13">
        <v>0.58333333279038502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5"/>
      <c r="S503" s="14"/>
      <c r="T503" s="14"/>
      <c r="U503" s="14"/>
      <c r="V503" s="14"/>
      <c r="W503" s="14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2"/>
      <c r="AJ503" s="21"/>
      <c r="AK503" s="21"/>
    </row>
    <row r="504" spans="1:37" ht="48.75" customHeight="1" x14ac:dyDescent="0.25">
      <c r="A504" s="79">
        <v>46190</v>
      </c>
      <c r="B504" s="6">
        <v>0.91666666612328596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8"/>
      <c r="S504" s="7"/>
      <c r="T504" s="7"/>
      <c r="U504" s="7"/>
      <c r="V504" s="7"/>
      <c r="W504" s="7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9"/>
      <c r="AJ504" s="18"/>
      <c r="AK504" s="18"/>
    </row>
    <row r="505" spans="1:37" ht="48.75" customHeight="1" x14ac:dyDescent="0.25">
      <c r="A505" s="80"/>
      <c r="B505" s="10">
        <v>0.24999999945618601</v>
      </c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2"/>
      <c r="S505" s="11"/>
      <c r="T505" s="11"/>
      <c r="U505" s="11"/>
      <c r="V505" s="11"/>
      <c r="W505" s="11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20"/>
      <c r="AJ505" s="9"/>
      <c r="AK505" s="9"/>
    </row>
    <row r="506" spans="1:37" ht="48.75" customHeight="1" thickBot="1" x14ac:dyDescent="0.3">
      <c r="A506" s="81"/>
      <c r="B506" s="13">
        <v>0.58333333278908694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5"/>
      <c r="S506" s="14"/>
      <c r="T506" s="14"/>
      <c r="U506" s="14"/>
      <c r="V506" s="14"/>
      <c r="W506" s="14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2"/>
      <c r="AJ506" s="21"/>
      <c r="AK506" s="21"/>
    </row>
    <row r="507" spans="1:37" ht="48.75" customHeight="1" x14ac:dyDescent="0.25">
      <c r="A507" s="79">
        <v>46191</v>
      </c>
      <c r="B507" s="6">
        <v>0.91666666612198699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8"/>
      <c r="S507" s="7"/>
      <c r="T507" s="7"/>
      <c r="U507" s="7"/>
      <c r="V507" s="7"/>
      <c r="W507" s="7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9"/>
      <c r="AJ507" s="18"/>
      <c r="AK507" s="18"/>
    </row>
    <row r="508" spans="1:37" ht="48.75" customHeight="1" x14ac:dyDescent="0.25">
      <c r="A508" s="80"/>
      <c r="B508" s="10">
        <v>0.24999999945488599</v>
      </c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2"/>
      <c r="S508" s="11"/>
      <c r="T508" s="11"/>
      <c r="U508" s="11"/>
      <c r="V508" s="11"/>
      <c r="W508" s="11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20"/>
      <c r="AJ508" s="9"/>
      <c r="AK508" s="9"/>
    </row>
    <row r="509" spans="1:37" ht="48.75" customHeight="1" thickBot="1" x14ac:dyDescent="0.3">
      <c r="A509" s="81"/>
      <c r="B509" s="13">
        <v>0.58333333278788801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5"/>
      <c r="S509" s="14"/>
      <c r="T509" s="14"/>
      <c r="U509" s="14"/>
      <c r="V509" s="14"/>
      <c r="W509" s="14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2"/>
      <c r="AJ509" s="21"/>
      <c r="AK509" s="21"/>
    </row>
    <row r="510" spans="1:37" ht="48.75" customHeight="1" x14ac:dyDescent="0.25">
      <c r="A510" s="79">
        <v>46192</v>
      </c>
      <c r="B510" s="6">
        <v>0.91666666612078596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8"/>
      <c r="S510" s="7"/>
      <c r="T510" s="7"/>
      <c r="U510" s="7"/>
      <c r="V510" s="7"/>
      <c r="W510" s="7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9"/>
      <c r="AJ510" s="18"/>
      <c r="AK510" s="18"/>
    </row>
    <row r="511" spans="1:37" ht="48.75" customHeight="1" x14ac:dyDescent="0.25">
      <c r="A511" s="80"/>
      <c r="B511" s="10">
        <v>0.24999999945368501</v>
      </c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2"/>
      <c r="S511" s="11"/>
      <c r="T511" s="11"/>
      <c r="U511" s="11"/>
      <c r="V511" s="11"/>
      <c r="W511" s="11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20"/>
      <c r="AJ511" s="9"/>
      <c r="AK511" s="9"/>
    </row>
    <row r="512" spans="1:37" ht="48.75" customHeight="1" thickBot="1" x14ac:dyDescent="0.3">
      <c r="A512" s="81"/>
      <c r="B512" s="13">
        <v>0.58333333278658706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5"/>
      <c r="S512" s="14"/>
      <c r="T512" s="14"/>
      <c r="U512" s="14"/>
      <c r="V512" s="14"/>
      <c r="W512" s="14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2"/>
      <c r="AJ512" s="21"/>
      <c r="AK512" s="21"/>
    </row>
    <row r="513" spans="1:37" ht="48.75" customHeight="1" x14ac:dyDescent="0.25">
      <c r="A513" s="79">
        <v>46193</v>
      </c>
      <c r="B513" s="6">
        <v>0.916666666119486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8"/>
      <c r="S513" s="7"/>
      <c r="T513" s="7"/>
      <c r="U513" s="7"/>
      <c r="V513" s="7"/>
      <c r="W513" s="7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9"/>
      <c r="AJ513" s="18"/>
      <c r="AK513" s="18"/>
    </row>
    <row r="514" spans="1:37" ht="48.75" customHeight="1" x14ac:dyDescent="0.25">
      <c r="A514" s="80"/>
      <c r="B514" s="10">
        <v>0.24999999945238499</v>
      </c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2"/>
      <c r="S514" s="11"/>
      <c r="T514" s="11"/>
      <c r="U514" s="11"/>
      <c r="V514" s="11"/>
      <c r="W514" s="11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20"/>
      <c r="AJ514" s="9"/>
      <c r="AK514" s="9"/>
    </row>
    <row r="515" spans="1:37" ht="48.75" customHeight="1" thickBot="1" x14ac:dyDescent="0.3">
      <c r="A515" s="81"/>
      <c r="B515" s="13">
        <v>0.58333333278528698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5"/>
      <c r="S515" s="14"/>
      <c r="T515" s="14"/>
      <c r="U515" s="14"/>
      <c r="V515" s="14"/>
      <c r="W515" s="14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2"/>
      <c r="AJ515" s="21"/>
      <c r="AK515" s="21"/>
    </row>
    <row r="516" spans="1:37" ht="48.75" customHeight="1" x14ac:dyDescent="0.25">
      <c r="A516" s="79">
        <v>46194</v>
      </c>
      <c r="B516" s="6">
        <v>0.91666666611818604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8"/>
      <c r="S516" s="7"/>
      <c r="T516" s="7"/>
      <c r="U516" s="7"/>
      <c r="V516" s="7"/>
      <c r="W516" s="7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9"/>
      <c r="AJ516" s="18"/>
      <c r="AK516" s="18"/>
    </row>
    <row r="517" spans="1:37" ht="48.75" customHeight="1" x14ac:dyDescent="0.25">
      <c r="A517" s="80"/>
      <c r="B517" s="10">
        <v>0.249999999451084</v>
      </c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2"/>
      <c r="S517" s="11"/>
      <c r="T517" s="11"/>
      <c r="U517" s="11"/>
      <c r="V517" s="11"/>
      <c r="W517" s="11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20"/>
      <c r="AJ517" s="9"/>
      <c r="AK517" s="9"/>
    </row>
    <row r="518" spans="1:37" ht="48.75" customHeight="1" thickBot="1" x14ac:dyDescent="0.3">
      <c r="A518" s="81"/>
      <c r="B518" s="13">
        <v>0.58333333278398702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5"/>
      <c r="S518" s="14"/>
      <c r="T518" s="14"/>
      <c r="U518" s="14"/>
      <c r="V518" s="14"/>
      <c r="W518" s="14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2"/>
      <c r="AJ518" s="21"/>
      <c r="AK518" s="21"/>
    </row>
    <row r="519" spans="1:37" ht="48.75" customHeight="1" x14ac:dyDescent="0.25">
      <c r="A519" s="79">
        <v>46195</v>
      </c>
      <c r="B519" s="6">
        <v>0.91666666611688497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8"/>
      <c r="S519" s="7"/>
      <c r="T519" s="7"/>
      <c r="U519" s="7"/>
      <c r="V519" s="7"/>
      <c r="W519" s="7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9"/>
      <c r="AJ519" s="18"/>
      <c r="AK519" s="18"/>
    </row>
    <row r="520" spans="1:37" ht="48.75" customHeight="1" x14ac:dyDescent="0.25">
      <c r="A520" s="80"/>
      <c r="B520" s="10">
        <v>0.24999999944978399</v>
      </c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2"/>
      <c r="S520" s="11"/>
      <c r="T520" s="11"/>
      <c r="U520" s="11"/>
      <c r="V520" s="11"/>
      <c r="W520" s="11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20"/>
      <c r="AJ520" s="9"/>
      <c r="AK520" s="9"/>
    </row>
    <row r="521" spans="1:37" ht="48.75" customHeight="1" thickBot="1" x14ac:dyDescent="0.3">
      <c r="A521" s="81"/>
      <c r="B521" s="13">
        <v>0.58333333278268595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5"/>
      <c r="S521" s="14"/>
      <c r="T521" s="14"/>
      <c r="U521" s="14"/>
      <c r="V521" s="14"/>
      <c r="W521" s="14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2"/>
      <c r="AJ521" s="21"/>
      <c r="AK521" s="21"/>
    </row>
    <row r="522" spans="1:37" ht="48.75" customHeight="1" x14ac:dyDescent="0.25">
      <c r="A522" s="79">
        <v>46196</v>
      </c>
      <c r="B522" s="6">
        <v>0.916666666115585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8"/>
      <c r="S522" s="7"/>
      <c r="T522" s="7"/>
      <c r="U522" s="7"/>
      <c r="V522" s="7"/>
      <c r="W522" s="7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9"/>
      <c r="AJ522" s="18"/>
      <c r="AK522" s="18"/>
    </row>
    <row r="523" spans="1:37" ht="48.75" customHeight="1" x14ac:dyDescent="0.25">
      <c r="A523" s="80"/>
      <c r="B523" s="10">
        <v>0.249999999448487</v>
      </c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2"/>
      <c r="S523" s="11"/>
      <c r="T523" s="11"/>
      <c r="U523" s="11"/>
      <c r="V523" s="11"/>
      <c r="W523" s="11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20"/>
      <c r="AJ523" s="9"/>
      <c r="AK523" s="9"/>
    </row>
    <row r="524" spans="1:37" ht="48.75" customHeight="1" thickBot="1" x14ac:dyDescent="0.3">
      <c r="A524" s="81"/>
      <c r="B524" s="13">
        <v>0.58333333278138599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5"/>
      <c r="S524" s="14"/>
      <c r="T524" s="14"/>
      <c r="U524" s="14"/>
      <c r="V524" s="14"/>
      <c r="W524" s="14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2"/>
      <c r="AJ524" s="21"/>
      <c r="AK524" s="21"/>
    </row>
    <row r="525" spans="1:37" ht="48.75" customHeight="1" x14ac:dyDescent="0.25">
      <c r="A525" s="79">
        <v>46197</v>
      </c>
      <c r="B525" s="6">
        <v>0.91666666611428504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8"/>
      <c r="S525" s="7"/>
      <c r="T525" s="7"/>
      <c r="U525" s="7"/>
      <c r="V525" s="7"/>
      <c r="W525" s="7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9"/>
      <c r="AJ525" s="18"/>
      <c r="AK525" s="18"/>
    </row>
    <row r="526" spans="1:37" ht="48.75" customHeight="1" x14ac:dyDescent="0.25">
      <c r="A526" s="80"/>
      <c r="B526" s="10">
        <v>0.24999999944718701</v>
      </c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2"/>
      <c r="S526" s="11"/>
      <c r="T526" s="11"/>
      <c r="U526" s="11"/>
      <c r="V526" s="11"/>
      <c r="W526" s="11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20"/>
      <c r="AJ526" s="9"/>
      <c r="AK526" s="9"/>
    </row>
    <row r="527" spans="1:37" ht="48.75" customHeight="1" thickBot="1" x14ac:dyDescent="0.3">
      <c r="A527" s="81"/>
      <c r="B527" s="13">
        <v>0.58333333278008603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5"/>
      <c r="S527" s="14"/>
      <c r="T527" s="14"/>
      <c r="U527" s="14"/>
      <c r="V527" s="14"/>
      <c r="W527" s="14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2"/>
      <c r="AJ527" s="21"/>
      <c r="AK527" s="21"/>
    </row>
    <row r="528" spans="1:37" ht="48.75" customHeight="1" x14ac:dyDescent="0.25">
      <c r="A528" s="79">
        <v>46198</v>
      </c>
      <c r="B528" s="6">
        <v>0.91666666611298497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8"/>
      <c r="S528" s="7"/>
      <c r="T528" s="7"/>
      <c r="U528" s="7"/>
      <c r="V528" s="7"/>
      <c r="W528" s="7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9"/>
      <c r="AJ528" s="18"/>
      <c r="AK528" s="18"/>
    </row>
    <row r="529" spans="1:37" ht="48.75" customHeight="1" x14ac:dyDescent="0.25">
      <c r="A529" s="80"/>
      <c r="B529" s="10">
        <v>0.24999999944588699</v>
      </c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2"/>
      <c r="S529" s="11"/>
      <c r="T529" s="11"/>
      <c r="U529" s="11"/>
      <c r="V529" s="11"/>
      <c r="W529" s="11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20"/>
      <c r="AJ529" s="9"/>
      <c r="AK529" s="9"/>
    </row>
    <row r="530" spans="1:37" ht="48.75" customHeight="1" thickBot="1" x14ac:dyDescent="0.3">
      <c r="A530" s="81"/>
      <c r="B530" s="13">
        <v>0.58333333277878596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5"/>
      <c r="S530" s="14"/>
      <c r="T530" s="14"/>
      <c r="U530" s="14"/>
      <c r="V530" s="14"/>
      <c r="W530" s="14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2"/>
      <c r="AJ530" s="21"/>
      <c r="AK530" s="21"/>
    </row>
    <row r="531" spans="1:37" ht="48.75" customHeight="1" x14ac:dyDescent="0.25">
      <c r="A531" s="79">
        <v>46199</v>
      </c>
      <c r="B531" s="6">
        <v>0.91666666611168801</v>
      </c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8"/>
      <c r="S531" s="7"/>
      <c r="T531" s="7"/>
      <c r="U531" s="7"/>
      <c r="V531" s="7"/>
      <c r="W531" s="7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9"/>
      <c r="AJ531" s="18"/>
      <c r="AK531" s="18"/>
    </row>
    <row r="532" spans="1:37" ht="48.75" customHeight="1" x14ac:dyDescent="0.25">
      <c r="A532" s="80"/>
      <c r="B532" s="10">
        <v>0.24999999944458301</v>
      </c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2"/>
      <c r="S532" s="11"/>
      <c r="T532" s="11"/>
      <c r="U532" s="11"/>
      <c r="V532" s="11"/>
      <c r="W532" s="11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20"/>
      <c r="AJ532" s="9"/>
      <c r="AK532" s="9"/>
    </row>
    <row r="533" spans="1:37" ht="48.75" customHeight="1" thickBot="1" x14ac:dyDescent="0.3">
      <c r="A533" s="81"/>
      <c r="B533" s="13">
        <v>0.583333332777485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5"/>
      <c r="S533" s="14"/>
      <c r="T533" s="14"/>
      <c r="U533" s="14"/>
      <c r="V533" s="14"/>
      <c r="W533" s="14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2"/>
      <c r="AJ533" s="21"/>
      <c r="AK533" s="21"/>
    </row>
    <row r="534" spans="1:37" ht="48.75" customHeight="1" x14ac:dyDescent="0.25">
      <c r="A534" s="79">
        <v>46200</v>
      </c>
      <c r="B534" s="6">
        <v>0.91666666611038705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8"/>
      <c r="S534" s="7"/>
      <c r="T534" s="7"/>
      <c r="U534" s="7"/>
      <c r="V534" s="7"/>
      <c r="W534" s="7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9"/>
      <c r="AJ534" s="18"/>
      <c r="AK534" s="18"/>
    </row>
    <row r="535" spans="1:37" ht="48.75" customHeight="1" x14ac:dyDescent="0.25">
      <c r="A535" s="80"/>
      <c r="B535" s="10">
        <v>0.24999999944328299</v>
      </c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2"/>
      <c r="S535" s="11"/>
      <c r="T535" s="11"/>
      <c r="U535" s="11"/>
      <c r="V535" s="11"/>
      <c r="W535" s="11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20"/>
      <c r="AJ535" s="9"/>
      <c r="AK535" s="9"/>
    </row>
    <row r="536" spans="1:37" ht="48.75" customHeight="1" thickBot="1" x14ac:dyDescent="0.3">
      <c r="A536" s="81"/>
      <c r="B536" s="13">
        <v>0.58333333277618504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5"/>
      <c r="S536" s="14"/>
      <c r="T536" s="14"/>
      <c r="U536" s="14"/>
      <c r="V536" s="14"/>
      <c r="W536" s="14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2"/>
      <c r="AJ536" s="21"/>
      <c r="AK536" s="21"/>
    </row>
    <row r="537" spans="1:37" ht="48.75" customHeight="1" x14ac:dyDescent="0.25">
      <c r="A537" s="79">
        <v>46201</v>
      </c>
      <c r="B537" s="6">
        <v>0.91666666610908698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8"/>
      <c r="S537" s="7"/>
      <c r="T537" s="7"/>
      <c r="U537" s="7"/>
      <c r="V537" s="7"/>
      <c r="W537" s="7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9"/>
      <c r="AJ537" s="18"/>
      <c r="AK537" s="18"/>
    </row>
    <row r="538" spans="1:37" ht="48.75" customHeight="1" x14ac:dyDescent="0.25">
      <c r="A538" s="80"/>
      <c r="B538" s="10">
        <v>0.24999999944198201</v>
      </c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2"/>
      <c r="S538" s="11"/>
      <c r="T538" s="11"/>
      <c r="U538" s="11"/>
      <c r="V538" s="11"/>
      <c r="W538" s="11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20"/>
      <c r="AJ538" s="9"/>
      <c r="AK538" s="9"/>
    </row>
    <row r="539" spans="1:37" ht="48.75" customHeight="1" thickBot="1" x14ac:dyDescent="0.3">
      <c r="A539" s="81"/>
      <c r="B539" s="13">
        <v>0.58333333277488497</v>
      </c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5"/>
      <c r="S539" s="14"/>
      <c r="T539" s="14"/>
      <c r="U539" s="14"/>
      <c r="V539" s="14"/>
      <c r="W539" s="14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2"/>
      <c r="AJ539" s="21"/>
      <c r="AK539" s="21"/>
    </row>
    <row r="540" spans="1:37" ht="48.75" customHeight="1" x14ac:dyDescent="0.25">
      <c r="A540" s="79">
        <v>46202</v>
      </c>
      <c r="B540" s="6">
        <v>0.91666666610778702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8"/>
      <c r="S540" s="7"/>
      <c r="T540" s="7"/>
      <c r="U540" s="7"/>
      <c r="V540" s="7"/>
      <c r="W540" s="7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9"/>
      <c r="AJ540" s="18"/>
      <c r="AK540" s="18"/>
    </row>
    <row r="541" spans="1:37" ht="48.75" customHeight="1" x14ac:dyDescent="0.25">
      <c r="A541" s="80"/>
      <c r="B541" s="10">
        <v>0.24999999944068901</v>
      </c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2"/>
      <c r="S541" s="11"/>
      <c r="T541" s="11"/>
      <c r="U541" s="11"/>
      <c r="V541" s="11"/>
      <c r="W541" s="11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20"/>
      <c r="AJ541" s="9"/>
      <c r="AK541" s="9"/>
    </row>
    <row r="542" spans="1:37" ht="48.75" customHeight="1" thickBot="1" x14ac:dyDescent="0.3">
      <c r="A542" s="81"/>
      <c r="B542" s="13">
        <v>0.58333333277358401</v>
      </c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5"/>
      <c r="S542" s="14"/>
      <c r="T542" s="14"/>
      <c r="U542" s="14"/>
      <c r="V542" s="14"/>
      <c r="W542" s="14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2"/>
      <c r="AJ542" s="21"/>
      <c r="AK542" s="21"/>
    </row>
    <row r="543" spans="1:37" ht="48.75" customHeight="1" x14ac:dyDescent="0.25">
      <c r="A543" s="79">
        <v>46203</v>
      </c>
      <c r="B543" s="6">
        <v>0.91666666610648695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8"/>
      <c r="S543" s="7"/>
      <c r="T543" s="7"/>
      <c r="U543" s="7"/>
      <c r="V543" s="7"/>
      <c r="W543" s="7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9"/>
      <c r="AJ543" s="18"/>
      <c r="AK543" s="18"/>
    </row>
    <row r="544" spans="1:37" ht="48.75" customHeight="1" x14ac:dyDescent="0.25">
      <c r="A544" s="80"/>
      <c r="B544" s="10">
        <v>0.249999999439389</v>
      </c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2"/>
      <c r="S544" s="11"/>
      <c r="T544" s="11"/>
      <c r="U544" s="11"/>
      <c r="V544" s="11"/>
      <c r="W544" s="11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20"/>
      <c r="AJ544" s="9"/>
      <c r="AK544" s="9"/>
    </row>
    <row r="545" spans="1:37" ht="48.75" customHeight="1" thickBot="1" x14ac:dyDescent="0.3">
      <c r="A545" s="81"/>
      <c r="B545" s="13">
        <v>0.58333333277228405</v>
      </c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5"/>
      <c r="S545" s="14"/>
      <c r="T545" s="14"/>
      <c r="U545" s="14"/>
      <c r="V545" s="14"/>
      <c r="W545" s="14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2"/>
      <c r="AJ545" s="21"/>
      <c r="AK545" s="21"/>
    </row>
    <row r="546" spans="1:37" ht="48.75" customHeight="1" x14ac:dyDescent="0.25">
      <c r="A546" s="79">
        <v>46204</v>
      </c>
      <c r="B546" s="6">
        <v>0.91666666610518599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8"/>
      <c r="S546" s="7"/>
      <c r="T546" s="7"/>
      <c r="U546" s="7"/>
      <c r="V546" s="7"/>
      <c r="W546" s="7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9"/>
      <c r="AJ546" s="18"/>
      <c r="AK546" s="18"/>
    </row>
    <row r="547" spans="1:37" ht="48.75" customHeight="1" x14ac:dyDescent="0.25">
      <c r="A547" s="80"/>
      <c r="B547" s="10">
        <v>0.24999999943808901</v>
      </c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2"/>
      <c r="S547" s="11"/>
      <c r="T547" s="11"/>
      <c r="U547" s="11"/>
      <c r="V547" s="11"/>
      <c r="W547" s="11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20"/>
      <c r="AJ547" s="9"/>
      <c r="AK547" s="9"/>
    </row>
    <row r="548" spans="1:37" ht="48.75" customHeight="1" thickBot="1" x14ac:dyDescent="0.3">
      <c r="A548" s="81"/>
      <c r="B548" s="13">
        <v>0.58333333277098398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5"/>
      <c r="S548" s="14"/>
      <c r="T548" s="14"/>
      <c r="U548" s="14"/>
      <c r="V548" s="14"/>
      <c r="W548" s="14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2"/>
      <c r="AJ548" s="21"/>
      <c r="AK548" s="21"/>
    </row>
    <row r="549" spans="1:37" ht="48.75" customHeight="1" x14ac:dyDescent="0.25">
      <c r="A549" s="79">
        <v>46205</v>
      </c>
      <c r="B549" s="6">
        <v>0.91666666610388603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8"/>
      <c r="S549" s="7"/>
      <c r="T549" s="7"/>
      <c r="U549" s="7"/>
      <c r="V549" s="7"/>
      <c r="W549" s="7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9"/>
      <c r="AJ549" s="18"/>
      <c r="AK549" s="18"/>
    </row>
    <row r="550" spans="1:37" ht="48.75" customHeight="1" x14ac:dyDescent="0.25">
      <c r="A550" s="80"/>
      <c r="B550" s="10">
        <v>0.249999999436788</v>
      </c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2"/>
      <c r="S550" s="11"/>
      <c r="T550" s="11"/>
      <c r="U550" s="11"/>
      <c r="V550" s="11"/>
      <c r="W550" s="11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20"/>
      <c r="AJ550" s="9"/>
      <c r="AK550" s="9"/>
    </row>
    <row r="551" spans="1:37" ht="48.75" customHeight="1" thickBot="1" x14ac:dyDescent="0.3">
      <c r="A551" s="81"/>
      <c r="B551" s="13">
        <v>0.58333333276968302</v>
      </c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5"/>
      <c r="S551" s="14"/>
      <c r="T551" s="14"/>
      <c r="U551" s="14"/>
      <c r="V551" s="14"/>
      <c r="W551" s="14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2"/>
      <c r="AJ551" s="21"/>
      <c r="AK551" s="21"/>
    </row>
    <row r="552" spans="1:37" ht="48.75" customHeight="1" x14ac:dyDescent="0.25">
      <c r="A552" s="79">
        <v>46206</v>
      </c>
      <c r="B552" s="6">
        <v>0.91666666610258596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8"/>
      <c r="S552" s="7"/>
      <c r="T552" s="7"/>
      <c r="U552" s="7"/>
      <c r="V552" s="7"/>
      <c r="W552" s="7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9"/>
      <c r="AJ552" s="18"/>
      <c r="AK552" s="18"/>
    </row>
    <row r="553" spans="1:37" ht="48.75" customHeight="1" x14ac:dyDescent="0.25">
      <c r="A553" s="80"/>
      <c r="B553" s="10">
        <v>0.24999999943548801</v>
      </c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2"/>
      <c r="S553" s="11"/>
      <c r="T553" s="11"/>
      <c r="U553" s="11"/>
      <c r="V553" s="11"/>
      <c r="W553" s="11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20"/>
      <c r="AJ553" s="9"/>
      <c r="AK553" s="9"/>
    </row>
    <row r="554" spans="1:37" ht="48.75" customHeight="1" thickBot="1" x14ac:dyDescent="0.3">
      <c r="A554" s="81"/>
      <c r="B554" s="13">
        <v>0.58333333276838295</v>
      </c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5"/>
      <c r="S554" s="14"/>
      <c r="T554" s="14"/>
      <c r="U554" s="14"/>
      <c r="V554" s="14"/>
      <c r="W554" s="14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2"/>
      <c r="AJ554" s="21"/>
      <c r="AK554" s="21"/>
    </row>
    <row r="555" spans="1:37" ht="48.75" customHeight="1" x14ac:dyDescent="0.25">
      <c r="A555" s="79">
        <v>46207</v>
      </c>
      <c r="B555" s="6">
        <v>0.916666666101285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8"/>
      <c r="S555" s="7"/>
      <c r="T555" s="7"/>
      <c r="U555" s="7"/>
      <c r="V555" s="7"/>
      <c r="W555" s="7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9"/>
      <c r="AJ555" s="18"/>
      <c r="AK555" s="18"/>
    </row>
    <row r="556" spans="1:37" ht="48.75" customHeight="1" x14ac:dyDescent="0.25">
      <c r="A556" s="80"/>
      <c r="B556" s="10">
        <v>0.249999999434287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2"/>
      <c r="S556" s="11"/>
      <c r="T556" s="11"/>
      <c r="U556" s="11"/>
      <c r="V556" s="11"/>
      <c r="W556" s="11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20"/>
      <c r="AJ556" s="9"/>
      <c r="AK556" s="9"/>
    </row>
    <row r="557" spans="1:37" ht="48.75" customHeight="1" thickBot="1" x14ac:dyDescent="0.3">
      <c r="A557" s="81"/>
      <c r="B557" s="13">
        <v>0.58333333276718202</v>
      </c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5"/>
      <c r="S557" s="14"/>
      <c r="T557" s="14"/>
      <c r="U557" s="14"/>
      <c r="V557" s="14"/>
      <c r="W557" s="14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2"/>
      <c r="AJ557" s="21"/>
      <c r="AK557" s="21"/>
    </row>
    <row r="558" spans="1:37" ht="48.75" customHeight="1" x14ac:dyDescent="0.25">
      <c r="A558" s="79">
        <v>46208</v>
      </c>
      <c r="B558" s="6">
        <v>0.91666666610008496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8"/>
      <c r="S558" s="7"/>
      <c r="T558" s="7"/>
      <c r="U558" s="7"/>
      <c r="V558" s="7"/>
      <c r="W558" s="7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9"/>
      <c r="AJ558" s="18"/>
      <c r="AK558" s="18"/>
    </row>
    <row r="559" spans="1:37" ht="48.75" customHeight="1" x14ac:dyDescent="0.25">
      <c r="A559" s="80"/>
      <c r="B559" s="10">
        <v>0.24999999943298701</v>
      </c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2"/>
      <c r="S559" s="11"/>
      <c r="T559" s="11"/>
      <c r="U559" s="11"/>
      <c r="V559" s="11"/>
      <c r="W559" s="11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20"/>
      <c r="AJ559" s="9"/>
      <c r="AK559" s="9"/>
    </row>
    <row r="560" spans="1:37" ht="48.75" customHeight="1" thickBot="1" x14ac:dyDescent="0.3">
      <c r="A560" s="81"/>
      <c r="B560" s="13">
        <v>0.58333333276588895</v>
      </c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5"/>
      <c r="S560" s="14"/>
      <c r="T560" s="14"/>
      <c r="U560" s="14"/>
      <c r="V560" s="14"/>
      <c r="W560" s="14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2"/>
      <c r="AJ560" s="21"/>
      <c r="AK560" s="21"/>
    </row>
    <row r="561" spans="1:37" ht="48.75" customHeight="1" x14ac:dyDescent="0.25">
      <c r="A561" s="79">
        <v>46209</v>
      </c>
      <c r="B561" s="6">
        <v>0.916666666098784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8"/>
      <c r="S561" s="7"/>
      <c r="T561" s="7"/>
      <c r="U561" s="7"/>
      <c r="V561" s="7"/>
      <c r="W561" s="7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9"/>
      <c r="AJ561" s="18"/>
      <c r="AK561" s="18"/>
    </row>
    <row r="562" spans="1:37" ht="48.75" customHeight="1" x14ac:dyDescent="0.25">
      <c r="A562" s="80"/>
      <c r="B562" s="10">
        <v>0.24999999943168699</v>
      </c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2"/>
      <c r="S562" s="11"/>
      <c r="T562" s="11"/>
      <c r="U562" s="11"/>
      <c r="V562" s="11"/>
      <c r="W562" s="11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20"/>
      <c r="AJ562" s="9"/>
      <c r="AK562" s="9"/>
    </row>
    <row r="563" spans="1:37" ht="48.75" customHeight="1" thickBot="1" x14ac:dyDescent="0.3">
      <c r="A563" s="81"/>
      <c r="B563" s="13">
        <v>0.58333333276458899</v>
      </c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5"/>
      <c r="S563" s="14"/>
      <c r="T563" s="14"/>
      <c r="U563" s="14"/>
      <c r="V563" s="14"/>
      <c r="W563" s="14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2"/>
      <c r="AJ563" s="21"/>
      <c r="AK563" s="21"/>
    </row>
    <row r="564" spans="1:37" ht="48.75" customHeight="1" x14ac:dyDescent="0.25">
      <c r="A564" s="79">
        <v>46210</v>
      </c>
      <c r="B564" s="6">
        <v>0.91666666609748404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8"/>
      <c r="S564" s="7"/>
      <c r="T564" s="7"/>
      <c r="U564" s="7"/>
      <c r="V564" s="7"/>
      <c r="W564" s="7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9"/>
      <c r="AJ564" s="18"/>
      <c r="AK564" s="18"/>
    </row>
    <row r="565" spans="1:37" ht="48.75" customHeight="1" x14ac:dyDescent="0.25">
      <c r="A565" s="80"/>
      <c r="B565" s="10">
        <v>0.24999999943038601</v>
      </c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2"/>
      <c r="S565" s="11"/>
      <c r="T565" s="11"/>
      <c r="U565" s="11"/>
      <c r="V565" s="11"/>
      <c r="W565" s="11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20"/>
      <c r="AJ565" s="9"/>
      <c r="AK565" s="9"/>
    </row>
    <row r="566" spans="1:37" ht="48.75" customHeight="1" thickBot="1" x14ac:dyDescent="0.3">
      <c r="A566" s="81"/>
      <c r="B566" s="13">
        <v>0.58333333276328903</v>
      </c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5"/>
      <c r="S566" s="14"/>
      <c r="T566" s="14"/>
      <c r="U566" s="14"/>
      <c r="V566" s="14"/>
      <c r="W566" s="14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2"/>
      <c r="AJ566" s="21"/>
      <c r="AK566" s="21"/>
    </row>
    <row r="567" spans="1:37" ht="48.75" customHeight="1" x14ac:dyDescent="0.25">
      <c r="A567" s="79">
        <v>46211</v>
      </c>
      <c r="B567" s="6">
        <v>0.91666666609618397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8"/>
      <c r="S567" s="7"/>
      <c r="T567" s="7"/>
      <c r="U567" s="7"/>
      <c r="V567" s="7"/>
      <c r="W567" s="7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9"/>
      <c r="AJ567" s="18"/>
      <c r="AK567" s="18"/>
    </row>
    <row r="568" spans="1:37" ht="48.75" customHeight="1" x14ac:dyDescent="0.25">
      <c r="A568" s="80"/>
      <c r="B568" s="10">
        <v>0.24999999942908599</v>
      </c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2"/>
      <c r="S568" s="11"/>
      <c r="T568" s="11"/>
      <c r="U568" s="11"/>
      <c r="V568" s="11"/>
      <c r="W568" s="11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20"/>
      <c r="AJ568" s="9"/>
      <c r="AK568" s="9"/>
    </row>
    <row r="569" spans="1:37" ht="48.75" customHeight="1" thickBot="1" x14ac:dyDescent="0.3">
      <c r="A569" s="81"/>
      <c r="B569" s="13">
        <v>0.58333333276198795</v>
      </c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5"/>
      <c r="S569" s="14"/>
      <c r="T569" s="14"/>
      <c r="U569" s="14"/>
      <c r="V569" s="14"/>
      <c r="W569" s="14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2"/>
      <c r="AJ569" s="21"/>
      <c r="AK569" s="21"/>
    </row>
    <row r="570" spans="1:37" ht="48.75" customHeight="1" x14ac:dyDescent="0.25">
      <c r="A570" s="79">
        <v>46212</v>
      </c>
      <c r="B570" s="6">
        <v>0.91666666609488301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8"/>
      <c r="S570" s="7"/>
      <c r="T570" s="7"/>
      <c r="U570" s="7"/>
      <c r="V570" s="7"/>
      <c r="W570" s="7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9"/>
      <c r="AJ570" s="18"/>
      <c r="AK570" s="18"/>
    </row>
    <row r="571" spans="1:37" ht="48.75" customHeight="1" x14ac:dyDescent="0.25">
      <c r="A571" s="80"/>
      <c r="B571" s="10">
        <v>0.249999999427786</v>
      </c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2"/>
      <c r="S571" s="11"/>
      <c r="T571" s="11"/>
      <c r="U571" s="11"/>
      <c r="V571" s="11"/>
      <c r="W571" s="11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20"/>
      <c r="AJ571" s="9"/>
      <c r="AK571" s="9"/>
    </row>
    <row r="572" spans="1:37" ht="48.75" customHeight="1" thickBot="1" x14ac:dyDescent="0.3">
      <c r="A572" s="81"/>
      <c r="B572" s="13">
        <v>0.58333333276068799</v>
      </c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5"/>
      <c r="S572" s="14"/>
      <c r="T572" s="14"/>
      <c r="U572" s="14"/>
      <c r="V572" s="14"/>
      <c r="W572" s="14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2"/>
      <c r="AJ572" s="21"/>
      <c r="AK572" s="21"/>
    </row>
    <row r="573" spans="1:37" ht="48.75" customHeight="1" x14ac:dyDescent="0.25">
      <c r="A573" s="79">
        <v>46213</v>
      </c>
      <c r="B573" s="6">
        <v>0.91666666609358305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8"/>
      <c r="S573" s="7"/>
      <c r="T573" s="7"/>
      <c r="U573" s="7"/>
      <c r="V573" s="7"/>
      <c r="W573" s="7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9"/>
      <c r="AJ573" s="18"/>
      <c r="AK573" s="18"/>
    </row>
    <row r="574" spans="1:37" ht="48.75" customHeight="1" x14ac:dyDescent="0.25">
      <c r="A574" s="80"/>
      <c r="B574" s="10">
        <v>0.24999999942648499</v>
      </c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2"/>
      <c r="S574" s="11"/>
      <c r="T574" s="11"/>
      <c r="U574" s="11"/>
      <c r="V574" s="11"/>
      <c r="W574" s="11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20"/>
      <c r="AJ574" s="9"/>
      <c r="AK574" s="9"/>
    </row>
    <row r="575" spans="1:37" ht="48.75" customHeight="1" thickBot="1" x14ac:dyDescent="0.3">
      <c r="A575" s="81"/>
      <c r="B575" s="13">
        <v>0.58333333275938803</v>
      </c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5"/>
      <c r="S575" s="14"/>
      <c r="T575" s="14"/>
      <c r="U575" s="14"/>
      <c r="V575" s="14"/>
      <c r="W575" s="14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2"/>
      <c r="AJ575" s="21"/>
      <c r="AK575" s="21"/>
    </row>
    <row r="576" spans="1:37" ht="48.75" customHeight="1" x14ac:dyDescent="0.25">
      <c r="A576" s="79">
        <v>46214</v>
      </c>
      <c r="B576" s="6">
        <v>0.91666666609228298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8"/>
      <c r="S576" s="7"/>
      <c r="T576" s="7"/>
      <c r="U576" s="7"/>
      <c r="V576" s="7"/>
      <c r="W576" s="7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9"/>
      <c r="AJ576" s="18"/>
      <c r="AK576" s="18"/>
    </row>
    <row r="577" spans="1:37" ht="48.75" customHeight="1" x14ac:dyDescent="0.25">
      <c r="A577" s="80"/>
      <c r="B577" s="10">
        <v>0.249999999425185</v>
      </c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2"/>
      <c r="S577" s="11"/>
      <c r="T577" s="11"/>
      <c r="U577" s="11"/>
      <c r="V577" s="11"/>
      <c r="W577" s="11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20"/>
      <c r="AJ577" s="9"/>
      <c r="AK577" s="9"/>
    </row>
    <row r="578" spans="1:37" ht="48.75" customHeight="1" thickBot="1" x14ac:dyDescent="0.3">
      <c r="A578" s="81"/>
      <c r="B578" s="13">
        <v>0.58333333275808696</v>
      </c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5"/>
      <c r="S578" s="14"/>
      <c r="T578" s="14"/>
      <c r="U578" s="14"/>
      <c r="V578" s="14"/>
      <c r="W578" s="14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2"/>
      <c r="AJ578" s="21"/>
      <c r="AK578" s="21"/>
    </row>
    <row r="579" spans="1:37" ht="48.75" customHeight="1" x14ac:dyDescent="0.25">
      <c r="A579" s="79">
        <v>46215</v>
      </c>
      <c r="B579" s="6">
        <v>0.91666666609099001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8"/>
      <c r="S579" s="7"/>
      <c r="T579" s="7"/>
      <c r="U579" s="7"/>
      <c r="V579" s="7"/>
      <c r="W579" s="7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9"/>
      <c r="AJ579" s="18"/>
      <c r="AK579" s="18"/>
    </row>
    <row r="580" spans="1:37" ht="48.75" customHeight="1" x14ac:dyDescent="0.25">
      <c r="A580" s="80"/>
      <c r="B580" s="10">
        <v>0.24999999942389201</v>
      </c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2"/>
      <c r="S580" s="11"/>
      <c r="T580" s="11"/>
      <c r="U580" s="11"/>
      <c r="V580" s="11"/>
      <c r="W580" s="11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20"/>
      <c r="AJ580" s="9"/>
      <c r="AK580" s="9"/>
    </row>
    <row r="581" spans="1:37" ht="48.75" customHeight="1" thickBot="1" x14ac:dyDescent="0.3">
      <c r="A581" s="81"/>
      <c r="B581" s="13">
        <v>0.58333333275678001</v>
      </c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5"/>
      <c r="S581" s="14"/>
      <c r="T581" s="14"/>
      <c r="U581" s="14"/>
      <c r="V581" s="14"/>
      <c r="W581" s="14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2"/>
      <c r="AJ581" s="21"/>
      <c r="AK581" s="21"/>
    </row>
    <row r="582" spans="1:37" ht="48.75" customHeight="1" x14ac:dyDescent="0.25">
      <c r="A582" s="79">
        <v>46216</v>
      </c>
      <c r="B582" s="6">
        <v>0.91666666608968195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8"/>
      <c r="S582" s="7"/>
      <c r="T582" s="7"/>
      <c r="U582" s="7"/>
      <c r="V582" s="7"/>
      <c r="W582" s="7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9"/>
      <c r="AJ582" s="18"/>
      <c r="AK582" s="18"/>
    </row>
    <row r="583" spans="1:37" ht="48.75" customHeight="1" x14ac:dyDescent="0.25">
      <c r="A583" s="80"/>
      <c r="B583" s="10">
        <v>0.249999999422585</v>
      </c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2"/>
      <c r="S583" s="11"/>
      <c r="T583" s="11"/>
      <c r="U583" s="11"/>
      <c r="V583" s="11"/>
      <c r="W583" s="11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20"/>
      <c r="AJ583" s="9"/>
      <c r="AK583" s="9"/>
    </row>
    <row r="584" spans="1:37" ht="48.75" customHeight="1" thickBot="1" x14ac:dyDescent="0.3">
      <c r="A584" s="81"/>
      <c r="B584" s="13">
        <v>0.58333333275548704</v>
      </c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5"/>
      <c r="S584" s="14"/>
      <c r="T584" s="14"/>
      <c r="U584" s="14"/>
      <c r="V584" s="14"/>
      <c r="W584" s="14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2"/>
      <c r="AJ584" s="21"/>
      <c r="AK584" s="21"/>
    </row>
    <row r="585" spans="1:37" ht="48.75" customHeight="1" x14ac:dyDescent="0.25">
      <c r="A585" s="79">
        <v>46217</v>
      </c>
      <c r="B585" s="6">
        <v>0.91666666608838898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8"/>
      <c r="S585" s="7"/>
      <c r="T585" s="7"/>
      <c r="U585" s="7"/>
      <c r="V585" s="7"/>
      <c r="W585" s="7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9"/>
      <c r="AJ585" s="18"/>
      <c r="AK585" s="18"/>
    </row>
    <row r="586" spans="1:37" ht="48.75" customHeight="1" x14ac:dyDescent="0.25">
      <c r="A586" s="80"/>
      <c r="B586" s="10">
        <v>0.249999999421291</v>
      </c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2"/>
      <c r="S586" s="11"/>
      <c r="T586" s="11"/>
      <c r="U586" s="11"/>
      <c r="V586" s="11"/>
      <c r="W586" s="11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20"/>
      <c r="AJ586" s="9"/>
      <c r="AK586" s="9"/>
    </row>
    <row r="587" spans="1:37" ht="48.75" customHeight="1" thickBot="1" x14ac:dyDescent="0.3">
      <c r="A587" s="81"/>
      <c r="B587" s="13">
        <v>0.58333333275417898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5"/>
      <c r="S587" s="14"/>
      <c r="T587" s="14"/>
      <c r="U587" s="14"/>
      <c r="V587" s="14"/>
      <c r="W587" s="14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2"/>
      <c r="AJ587" s="21"/>
      <c r="AK587" s="21"/>
    </row>
    <row r="588" spans="1:37" ht="48.75" customHeight="1" x14ac:dyDescent="0.25">
      <c r="A588" s="79">
        <v>46218</v>
      </c>
      <c r="B588" s="6">
        <v>0.91666666608708203</v>
      </c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8"/>
      <c r="S588" s="7"/>
      <c r="T588" s="7"/>
      <c r="U588" s="7"/>
      <c r="V588" s="7"/>
      <c r="W588" s="7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9"/>
      <c r="AJ588" s="18"/>
      <c r="AK588" s="18"/>
    </row>
    <row r="589" spans="1:37" ht="48.75" customHeight="1" x14ac:dyDescent="0.25">
      <c r="A589" s="80"/>
      <c r="B589" s="10">
        <v>0.24999999941998399</v>
      </c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2"/>
      <c r="S589" s="11"/>
      <c r="T589" s="11"/>
      <c r="U589" s="11"/>
      <c r="V589" s="11"/>
      <c r="W589" s="11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20"/>
      <c r="AJ589" s="9"/>
      <c r="AK589" s="9"/>
    </row>
    <row r="590" spans="1:37" ht="48.75" customHeight="1" thickBot="1" x14ac:dyDescent="0.3">
      <c r="A590" s="81"/>
      <c r="B590" s="13">
        <v>0.58333333275288601</v>
      </c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5"/>
      <c r="S590" s="14"/>
      <c r="T590" s="14"/>
      <c r="U590" s="14"/>
      <c r="V590" s="14"/>
      <c r="W590" s="14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2"/>
      <c r="AJ590" s="21"/>
      <c r="AK590" s="21"/>
    </row>
    <row r="591" spans="1:37" ht="48.75" customHeight="1" x14ac:dyDescent="0.25">
      <c r="A591" s="79">
        <v>46219</v>
      </c>
      <c r="B591" s="6">
        <v>0.91666666608578895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8"/>
      <c r="S591" s="7"/>
      <c r="T591" s="7"/>
      <c r="U591" s="7"/>
      <c r="V591" s="7"/>
      <c r="W591" s="7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9"/>
      <c r="AJ591" s="18"/>
      <c r="AK591" s="18"/>
    </row>
    <row r="592" spans="1:37" ht="48.75" customHeight="1" x14ac:dyDescent="0.25">
      <c r="A592" s="80"/>
      <c r="B592" s="10">
        <v>0.249999999418691</v>
      </c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2"/>
      <c r="S592" s="11"/>
      <c r="T592" s="11"/>
      <c r="U592" s="11"/>
      <c r="V592" s="11"/>
      <c r="W592" s="11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20"/>
      <c r="AJ592" s="9"/>
      <c r="AK592" s="9"/>
    </row>
    <row r="593" spans="1:37" ht="48.75" customHeight="1" thickBot="1" x14ac:dyDescent="0.3">
      <c r="A593" s="81"/>
      <c r="B593" s="13">
        <v>0.58333333275157895</v>
      </c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5"/>
      <c r="S593" s="14"/>
      <c r="T593" s="14"/>
      <c r="U593" s="14"/>
      <c r="V593" s="14"/>
      <c r="W593" s="14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2"/>
      <c r="AJ593" s="21"/>
      <c r="AK593" s="21"/>
    </row>
    <row r="594" spans="1:37" ht="48.75" customHeight="1" x14ac:dyDescent="0.25">
      <c r="A594" s="79">
        <v>46220</v>
      </c>
      <c r="B594" s="6">
        <v>0.916666666084481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8"/>
      <c r="S594" s="7"/>
      <c r="T594" s="7"/>
      <c r="U594" s="7"/>
      <c r="V594" s="7"/>
      <c r="W594" s="7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9"/>
      <c r="AJ594" s="18"/>
      <c r="AK594" s="18"/>
    </row>
    <row r="595" spans="1:37" ht="48.75" customHeight="1" x14ac:dyDescent="0.25">
      <c r="A595" s="80"/>
      <c r="B595" s="10">
        <v>0.24999999941738299</v>
      </c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2"/>
      <c r="S595" s="11"/>
      <c r="T595" s="11"/>
      <c r="U595" s="11"/>
      <c r="V595" s="11"/>
      <c r="W595" s="11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20"/>
      <c r="AJ595" s="9"/>
      <c r="AK595" s="9"/>
    </row>
    <row r="596" spans="1:37" ht="48.75" customHeight="1" thickBot="1" x14ac:dyDescent="0.3">
      <c r="A596" s="81"/>
      <c r="B596" s="13">
        <v>0.58333333275028598</v>
      </c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5"/>
      <c r="S596" s="14"/>
      <c r="T596" s="14"/>
      <c r="U596" s="14"/>
      <c r="V596" s="14"/>
      <c r="W596" s="14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2"/>
      <c r="AJ596" s="21"/>
      <c r="AK596" s="21"/>
    </row>
    <row r="597" spans="1:37" ht="48.75" customHeight="1" x14ac:dyDescent="0.25">
      <c r="A597" s="79">
        <v>46221</v>
      </c>
      <c r="B597" s="6">
        <v>0.91666666608318803</v>
      </c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8"/>
      <c r="S597" s="7"/>
      <c r="T597" s="7"/>
      <c r="U597" s="7"/>
      <c r="V597" s="7"/>
      <c r="W597" s="7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9"/>
      <c r="AJ597" s="18"/>
      <c r="AK597" s="18"/>
    </row>
    <row r="598" spans="1:37" ht="48.75" customHeight="1" x14ac:dyDescent="0.25">
      <c r="A598" s="80"/>
      <c r="B598" s="10">
        <v>0.24999999941609</v>
      </c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2"/>
      <c r="S598" s="11"/>
      <c r="T598" s="11"/>
      <c r="U598" s="11"/>
      <c r="V598" s="11"/>
      <c r="W598" s="11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20"/>
      <c r="AJ598" s="9"/>
      <c r="AK598" s="9"/>
    </row>
    <row r="599" spans="1:37" ht="48.75" customHeight="1" thickBot="1" x14ac:dyDescent="0.3">
      <c r="A599" s="81"/>
      <c r="B599" s="13">
        <v>0.58333333274899202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5"/>
      <c r="S599" s="14"/>
      <c r="T599" s="14"/>
      <c r="U599" s="14"/>
      <c r="V599" s="14"/>
      <c r="W599" s="14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2"/>
      <c r="AJ599" s="21"/>
      <c r="AK599" s="21"/>
    </row>
    <row r="600" spans="1:37" ht="48.75" customHeight="1" x14ac:dyDescent="0.25">
      <c r="A600" s="79">
        <v>46222</v>
      </c>
      <c r="B600" s="6">
        <v>0.91666666608188097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8"/>
      <c r="S600" s="7"/>
      <c r="T600" s="7"/>
      <c r="U600" s="7"/>
      <c r="V600" s="7"/>
      <c r="W600" s="7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9"/>
      <c r="AJ600" s="18"/>
      <c r="AK600" s="18"/>
    </row>
    <row r="601" spans="1:37" ht="48.75" customHeight="1" x14ac:dyDescent="0.25">
      <c r="A601" s="80"/>
      <c r="B601" s="10">
        <v>0.24999999941478299</v>
      </c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2"/>
      <c r="S601" s="11"/>
      <c r="T601" s="11"/>
      <c r="U601" s="11"/>
      <c r="V601" s="11"/>
      <c r="W601" s="11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20"/>
      <c r="AJ601" s="9"/>
      <c r="AK601" s="9"/>
    </row>
    <row r="602" spans="1:37" ht="48.75" customHeight="1" thickBot="1" x14ac:dyDescent="0.3">
      <c r="A602" s="81"/>
      <c r="B602" s="13">
        <v>0.58333333274768495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5"/>
      <c r="S602" s="14"/>
      <c r="T602" s="14"/>
      <c r="U602" s="14"/>
      <c r="V602" s="14"/>
      <c r="W602" s="14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2"/>
      <c r="AJ602" s="21"/>
      <c r="AK602" s="21"/>
    </row>
    <row r="603" spans="1:37" ht="48.75" customHeight="1" x14ac:dyDescent="0.25">
      <c r="A603" s="79">
        <v>46223</v>
      </c>
      <c r="B603" s="6">
        <v>0.916666666080587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8"/>
      <c r="S603" s="7"/>
      <c r="T603" s="7"/>
      <c r="U603" s="7"/>
      <c r="V603" s="7"/>
      <c r="W603" s="7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9"/>
      <c r="AJ603" s="18"/>
      <c r="AK603" s="18"/>
    </row>
    <row r="604" spans="1:37" ht="48.75" customHeight="1" x14ac:dyDescent="0.25">
      <c r="A604" s="80"/>
      <c r="B604" s="10">
        <v>0.24999999941348999</v>
      </c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2"/>
      <c r="S604" s="11"/>
      <c r="T604" s="11"/>
      <c r="U604" s="11"/>
      <c r="V604" s="11"/>
      <c r="W604" s="11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20"/>
      <c r="AJ604" s="9"/>
      <c r="AK604" s="9"/>
    </row>
    <row r="605" spans="1:37" ht="48.75" customHeight="1" thickBot="1" x14ac:dyDescent="0.3">
      <c r="A605" s="81"/>
      <c r="B605" s="13">
        <v>0.58333333274639199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5"/>
      <c r="S605" s="14"/>
      <c r="T605" s="14"/>
      <c r="U605" s="14"/>
      <c r="V605" s="14"/>
      <c r="W605" s="14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2"/>
      <c r="AJ605" s="21"/>
      <c r="AK605" s="21"/>
    </row>
    <row r="606" spans="1:37" ht="48.75" customHeight="1" x14ac:dyDescent="0.25">
      <c r="A606" s="79">
        <v>46224</v>
      </c>
      <c r="B606" s="6">
        <v>0.91666666607937897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8"/>
      <c r="S606" s="7"/>
      <c r="T606" s="7"/>
      <c r="U606" s="7"/>
      <c r="V606" s="7"/>
      <c r="W606" s="7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9"/>
      <c r="AJ606" s="18"/>
      <c r="AK606" s="18"/>
    </row>
    <row r="607" spans="1:37" ht="48.75" customHeight="1" x14ac:dyDescent="0.25">
      <c r="A607" s="80"/>
      <c r="B607" s="10">
        <v>0.24999999941228199</v>
      </c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2"/>
      <c r="S607" s="11"/>
      <c r="T607" s="11"/>
      <c r="U607" s="11"/>
      <c r="V607" s="11"/>
      <c r="W607" s="11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20"/>
      <c r="AJ607" s="9"/>
      <c r="AK607" s="9"/>
    </row>
    <row r="608" spans="1:37" ht="48.75" customHeight="1" thickBot="1" x14ac:dyDescent="0.3">
      <c r="A608" s="81"/>
      <c r="B608" s="13">
        <v>0.58333333274518395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5"/>
      <c r="S608" s="14"/>
      <c r="T608" s="14"/>
      <c r="U608" s="14"/>
      <c r="V608" s="14"/>
      <c r="W608" s="14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2"/>
      <c r="AJ608" s="21"/>
      <c r="AK608" s="21"/>
    </row>
    <row r="609" spans="1:37" ht="48.75" customHeight="1" x14ac:dyDescent="0.25">
      <c r="A609" s="79">
        <v>46225</v>
      </c>
      <c r="B609" s="6">
        <v>0.916666666078086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8"/>
      <c r="S609" s="7"/>
      <c r="T609" s="7"/>
      <c r="U609" s="7"/>
      <c r="V609" s="7"/>
      <c r="W609" s="7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9"/>
      <c r="AJ609" s="18"/>
      <c r="AK609" s="18"/>
    </row>
    <row r="610" spans="1:37" ht="48.75" customHeight="1" x14ac:dyDescent="0.25">
      <c r="A610" s="80"/>
      <c r="B610" s="10">
        <v>0.24999999941098799</v>
      </c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2"/>
      <c r="S610" s="11"/>
      <c r="T610" s="11"/>
      <c r="U610" s="11"/>
      <c r="V610" s="11"/>
      <c r="W610" s="11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20"/>
      <c r="AJ610" s="9"/>
      <c r="AK610" s="9"/>
    </row>
    <row r="611" spans="1:37" ht="48.75" customHeight="1" thickBot="1" x14ac:dyDescent="0.3">
      <c r="A611" s="81"/>
      <c r="B611" s="13">
        <v>0.58333333274389099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5"/>
      <c r="S611" s="14"/>
      <c r="T611" s="14"/>
      <c r="U611" s="14"/>
      <c r="V611" s="14"/>
      <c r="W611" s="14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2"/>
      <c r="AJ611" s="21"/>
      <c r="AK611" s="21"/>
    </row>
    <row r="612" spans="1:37" ht="48.75" customHeight="1" x14ac:dyDescent="0.25">
      <c r="A612" s="79">
        <v>46226</v>
      </c>
      <c r="B612" s="6">
        <v>0.91666666607677905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8"/>
      <c r="S612" s="7"/>
      <c r="T612" s="7"/>
      <c r="U612" s="7"/>
      <c r="V612" s="7"/>
      <c r="W612" s="7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9"/>
      <c r="AJ612" s="18"/>
      <c r="AK612" s="18"/>
    </row>
    <row r="613" spans="1:37" ht="48.75" customHeight="1" x14ac:dyDescent="0.25">
      <c r="A613" s="80"/>
      <c r="B613" s="10">
        <v>0.24999999940968101</v>
      </c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2"/>
      <c r="S613" s="11"/>
      <c r="T613" s="11"/>
      <c r="U613" s="11"/>
      <c r="V613" s="11"/>
      <c r="W613" s="11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20"/>
      <c r="AJ613" s="9"/>
      <c r="AK613" s="9"/>
    </row>
    <row r="614" spans="1:37" ht="48.75" customHeight="1" thickBot="1" x14ac:dyDescent="0.3">
      <c r="A614" s="81"/>
      <c r="B614" s="13">
        <v>0.58333333274258303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5"/>
      <c r="S614" s="14"/>
      <c r="T614" s="14"/>
      <c r="U614" s="14"/>
      <c r="V614" s="14"/>
      <c r="W614" s="14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2"/>
      <c r="AJ614" s="21"/>
      <c r="AK614" s="21"/>
    </row>
    <row r="615" spans="1:37" ht="48.75" customHeight="1" x14ac:dyDescent="0.25">
      <c r="A615" s="79">
        <v>46227</v>
      </c>
      <c r="B615" s="6">
        <v>0.91666666607548597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8"/>
      <c r="S615" s="7"/>
      <c r="T615" s="7"/>
      <c r="U615" s="7"/>
      <c r="V615" s="7"/>
      <c r="W615" s="7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9"/>
      <c r="AJ615" s="18"/>
      <c r="AK615" s="18"/>
    </row>
    <row r="616" spans="1:37" ht="48.75" customHeight="1" x14ac:dyDescent="0.25">
      <c r="A616" s="80"/>
      <c r="B616" s="10">
        <v>0.24999999940838799</v>
      </c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2"/>
      <c r="S616" s="11"/>
      <c r="T616" s="11"/>
      <c r="U616" s="11"/>
      <c r="V616" s="11"/>
      <c r="W616" s="11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20"/>
      <c r="AJ616" s="9"/>
      <c r="AK616" s="9"/>
    </row>
    <row r="617" spans="1:37" ht="48.75" customHeight="1" thickBot="1" x14ac:dyDescent="0.3">
      <c r="A617" s="81"/>
      <c r="B617" s="13">
        <v>0.58333333274128996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5"/>
      <c r="S617" s="14"/>
      <c r="T617" s="14"/>
      <c r="U617" s="14"/>
      <c r="V617" s="14"/>
      <c r="W617" s="14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2"/>
      <c r="AJ617" s="21"/>
      <c r="AK617" s="21"/>
    </row>
    <row r="618" spans="1:37" ht="48.75" customHeight="1" x14ac:dyDescent="0.25">
      <c r="A618" s="79">
        <v>46228</v>
      </c>
      <c r="B618" s="6">
        <v>0.916666666074192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8"/>
      <c r="S618" s="7"/>
      <c r="T618" s="7"/>
      <c r="U618" s="7"/>
      <c r="V618" s="7"/>
      <c r="W618" s="7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9"/>
      <c r="AJ618" s="18"/>
      <c r="AK618" s="18"/>
    </row>
    <row r="619" spans="1:37" ht="48.75" customHeight="1" x14ac:dyDescent="0.25">
      <c r="A619" s="80"/>
      <c r="B619" s="10">
        <v>0.24999999940708101</v>
      </c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2"/>
      <c r="S619" s="11"/>
      <c r="T619" s="11"/>
      <c r="U619" s="11"/>
      <c r="V619" s="11"/>
      <c r="W619" s="11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20"/>
      <c r="AJ619" s="9"/>
      <c r="AK619" s="9"/>
    </row>
    <row r="620" spans="1:37" ht="48.75" customHeight="1" thickBot="1" x14ac:dyDescent="0.3">
      <c r="A620" s="81"/>
      <c r="B620" s="13">
        <v>0.583333332739983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5"/>
      <c r="S620" s="14"/>
      <c r="T620" s="14"/>
      <c r="U620" s="14"/>
      <c r="V620" s="14"/>
      <c r="W620" s="14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2"/>
      <c r="AJ620" s="21"/>
      <c r="AK620" s="21"/>
    </row>
    <row r="621" spans="1:37" ht="48.75" customHeight="1" x14ac:dyDescent="0.25">
      <c r="A621" s="79">
        <v>46229</v>
      </c>
      <c r="B621" s="6">
        <v>0.91666666607288505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8"/>
      <c r="S621" s="7"/>
      <c r="T621" s="7"/>
      <c r="U621" s="7"/>
      <c r="V621" s="7"/>
      <c r="W621" s="7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9"/>
      <c r="AJ621" s="18"/>
      <c r="AK621" s="18"/>
    </row>
    <row r="622" spans="1:37" ht="48.75" customHeight="1" x14ac:dyDescent="0.25">
      <c r="A622" s="80"/>
      <c r="B622" s="10">
        <v>0.24999999940578699</v>
      </c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2"/>
      <c r="S622" s="11"/>
      <c r="T622" s="11"/>
      <c r="U622" s="11"/>
      <c r="V622" s="11"/>
      <c r="W622" s="11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20"/>
      <c r="AJ622" s="9"/>
      <c r="AK622" s="9"/>
    </row>
    <row r="623" spans="1:37" ht="48.75" customHeight="1" thickBot="1" x14ac:dyDescent="0.3">
      <c r="A623" s="81"/>
      <c r="B623" s="13">
        <v>0.58333333273869004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5"/>
      <c r="S623" s="14"/>
      <c r="T623" s="14"/>
      <c r="U623" s="14"/>
      <c r="V623" s="14"/>
      <c r="W623" s="14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2"/>
      <c r="AJ623" s="21"/>
      <c r="AK623" s="21"/>
    </row>
    <row r="624" spans="1:37" ht="48.75" customHeight="1" x14ac:dyDescent="0.25">
      <c r="A624" s="79">
        <v>46230</v>
      </c>
      <c r="B624" s="6">
        <v>0.91666666607159197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8"/>
      <c r="S624" s="7"/>
      <c r="T624" s="7"/>
      <c r="U624" s="7"/>
      <c r="V624" s="7"/>
      <c r="W624" s="7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9"/>
      <c r="AJ624" s="18"/>
      <c r="AK624" s="18"/>
    </row>
    <row r="625" spans="1:37" ht="48.75" customHeight="1" x14ac:dyDescent="0.25">
      <c r="A625" s="80"/>
      <c r="B625" s="10">
        <v>0.24999999940448001</v>
      </c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2"/>
      <c r="S625" s="11"/>
      <c r="T625" s="11"/>
      <c r="U625" s="11"/>
      <c r="V625" s="11"/>
      <c r="W625" s="11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20"/>
      <c r="AJ625" s="9"/>
      <c r="AK625" s="9"/>
    </row>
    <row r="626" spans="1:37" ht="48.75" customHeight="1" thickBot="1" x14ac:dyDescent="0.3">
      <c r="A626" s="81"/>
      <c r="B626" s="13">
        <v>0.58333333273738197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5"/>
      <c r="S626" s="14"/>
      <c r="T626" s="14"/>
      <c r="U626" s="14"/>
      <c r="V626" s="14"/>
      <c r="W626" s="14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2"/>
      <c r="AJ626" s="21"/>
      <c r="AK626" s="21"/>
    </row>
    <row r="627" spans="1:37" ht="48.75" customHeight="1" x14ac:dyDescent="0.25">
      <c r="A627" s="79">
        <v>46231</v>
      </c>
      <c r="B627" s="6">
        <v>0.91666666607028402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8"/>
      <c r="S627" s="7"/>
      <c r="T627" s="7"/>
      <c r="U627" s="7"/>
      <c r="V627" s="7"/>
      <c r="W627" s="7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9"/>
      <c r="AJ627" s="18"/>
      <c r="AK627" s="18"/>
    </row>
    <row r="628" spans="1:37" ht="48.75" customHeight="1" x14ac:dyDescent="0.25">
      <c r="A628" s="80"/>
      <c r="B628" s="10">
        <v>0.24999999940318701</v>
      </c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2"/>
      <c r="S628" s="11"/>
      <c r="T628" s="11"/>
      <c r="U628" s="11"/>
      <c r="V628" s="11"/>
      <c r="W628" s="11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20"/>
      <c r="AJ628" s="9"/>
      <c r="AK628" s="9"/>
    </row>
    <row r="629" spans="1:37" ht="48.75" customHeight="1" thickBot="1" x14ac:dyDescent="0.3">
      <c r="A629" s="81"/>
      <c r="B629" s="13">
        <v>0.58333333273608901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5"/>
      <c r="S629" s="14"/>
      <c r="T629" s="14"/>
      <c r="U629" s="14"/>
      <c r="V629" s="14"/>
      <c r="W629" s="14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2"/>
      <c r="AJ629" s="21"/>
      <c r="AK629" s="21"/>
    </row>
    <row r="630" spans="1:37" ht="48.75" customHeight="1" x14ac:dyDescent="0.25">
      <c r="A630" s="79">
        <v>46232</v>
      </c>
      <c r="B630" s="6">
        <v>0.91666666606899405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8"/>
      <c r="S630" s="7"/>
      <c r="T630" s="7"/>
      <c r="U630" s="7"/>
      <c r="V630" s="7"/>
      <c r="W630" s="7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9"/>
      <c r="AJ630" s="18"/>
      <c r="AK630" s="18"/>
    </row>
    <row r="631" spans="1:37" ht="48.75" customHeight="1" x14ac:dyDescent="0.25">
      <c r="A631" s="80"/>
      <c r="B631" s="10">
        <v>0.24999999940189399</v>
      </c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2"/>
      <c r="S631" s="11"/>
      <c r="T631" s="11"/>
      <c r="U631" s="11"/>
      <c r="V631" s="11"/>
      <c r="W631" s="11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20"/>
      <c r="AJ631" s="9"/>
      <c r="AK631" s="9"/>
    </row>
    <row r="632" spans="1:37" ht="48.75" customHeight="1" thickBot="1" x14ac:dyDescent="0.3">
      <c r="A632" s="81"/>
      <c r="B632" s="13">
        <v>0.58333333273479404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5"/>
      <c r="S632" s="14"/>
      <c r="T632" s="14"/>
      <c r="U632" s="14"/>
      <c r="V632" s="14"/>
      <c r="W632" s="14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2"/>
      <c r="AJ632" s="21"/>
      <c r="AK632" s="21"/>
    </row>
    <row r="633" spans="1:37" ht="48.75" customHeight="1" x14ac:dyDescent="0.25">
      <c r="A633" s="79">
        <v>46233</v>
      </c>
      <c r="B633" s="6">
        <v>0.91666666606770397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8"/>
      <c r="S633" s="7"/>
      <c r="T633" s="7"/>
      <c r="U633" s="7"/>
      <c r="V633" s="7"/>
      <c r="W633" s="7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9"/>
      <c r="AJ633" s="18"/>
      <c r="AK633" s="18"/>
    </row>
    <row r="634" spans="1:37" ht="48.75" customHeight="1" x14ac:dyDescent="0.25">
      <c r="A634" s="80"/>
      <c r="B634" s="10">
        <v>0.24999999940060399</v>
      </c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2"/>
      <c r="S634" s="11"/>
      <c r="T634" s="11"/>
      <c r="U634" s="11"/>
      <c r="V634" s="11"/>
      <c r="W634" s="11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20"/>
      <c r="AJ634" s="9"/>
      <c r="AK634" s="9"/>
    </row>
    <row r="635" spans="1:37" ht="48.75" customHeight="1" thickBot="1" x14ac:dyDescent="0.3">
      <c r="A635" s="81"/>
      <c r="B635" s="13">
        <v>0.58333333273350396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5"/>
      <c r="S635" s="14"/>
      <c r="T635" s="14"/>
      <c r="U635" s="14"/>
      <c r="V635" s="14"/>
      <c r="W635" s="14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2"/>
      <c r="AJ635" s="21"/>
      <c r="AK635" s="21"/>
    </row>
    <row r="636" spans="1:37" ht="48.75" customHeight="1" x14ac:dyDescent="0.25">
      <c r="A636" s="79">
        <v>46234</v>
      </c>
      <c r="B636" s="6">
        <v>0.916666666066414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8"/>
      <c r="S636" s="7"/>
      <c r="T636" s="7"/>
      <c r="U636" s="7"/>
      <c r="V636" s="7"/>
      <c r="W636" s="7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9"/>
      <c r="AJ636" s="18"/>
      <c r="AK636" s="18"/>
    </row>
    <row r="637" spans="1:37" ht="48.75" customHeight="1" x14ac:dyDescent="0.25">
      <c r="A637" s="80"/>
      <c r="B637" s="10">
        <v>0.249999999399314</v>
      </c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2"/>
      <c r="S637" s="11"/>
      <c r="T637" s="11"/>
      <c r="U637" s="11"/>
      <c r="V637" s="11"/>
      <c r="W637" s="11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20"/>
      <c r="AJ637" s="9"/>
      <c r="AK637" s="9"/>
    </row>
    <row r="638" spans="1:37" ht="48.75" customHeight="1" thickBot="1" x14ac:dyDescent="0.3">
      <c r="A638" s="81"/>
      <c r="B638" s="13">
        <v>0.58333333273221499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5"/>
      <c r="S638" s="14"/>
      <c r="T638" s="14"/>
      <c r="U638" s="14"/>
      <c r="V638" s="14"/>
      <c r="W638" s="14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2"/>
      <c r="AJ638" s="21"/>
      <c r="AK638" s="21"/>
    </row>
    <row r="639" spans="1:37" ht="48.75" customHeight="1" x14ac:dyDescent="0.25">
      <c r="A639" s="79">
        <v>46235</v>
      </c>
      <c r="B639" s="6">
        <v>0.91666666606511504</v>
      </c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8"/>
      <c r="S639" s="7"/>
      <c r="T639" s="7"/>
      <c r="U639" s="7"/>
      <c r="V639" s="7"/>
      <c r="W639" s="7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9"/>
      <c r="AJ639" s="18"/>
      <c r="AK639" s="18"/>
    </row>
    <row r="640" spans="1:37" ht="48.75" customHeight="1" x14ac:dyDescent="0.25">
      <c r="A640" s="80"/>
      <c r="B640" s="10">
        <v>0.249999999398025</v>
      </c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2"/>
      <c r="S640" s="11"/>
      <c r="T640" s="11"/>
      <c r="U640" s="11"/>
      <c r="V640" s="11"/>
      <c r="W640" s="11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20"/>
      <c r="AJ640" s="9"/>
      <c r="AK640" s="9"/>
    </row>
    <row r="641" spans="1:37" ht="48.75" customHeight="1" thickBot="1" x14ac:dyDescent="0.3">
      <c r="A641" s="81"/>
      <c r="B641" s="13">
        <v>0.58333333273092502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5"/>
      <c r="S641" s="14"/>
      <c r="T641" s="14"/>
      <c r="U641" s="14"/>
      <c r="V641" s="14"/>
      <c r="W641" s="14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2"/>
      <c r="AJ641" s="21"/>
      <c r="AK641" s="21"/>
    </row>
    <row r="642" spans="1:37" ht="48.75" customHeight="1" x14ac:dyDescent="0.25">
      <c r="A642" s="79">
        <v>46236</v>
      </c>
      <c r="B642" s="6">
        <v>0.916666666063785</v>
      </c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8"/>
      <c r="S642" s="7"/>
      <c r="T642" s="7"/>
      <c r="U642" s="7"/>
      <c r="V642" s="7"/>
      <c r="W642" s="7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9"/>
      <c r="AJ642" s="18"/>
      <c r="AK642" s="18"/>
    </row>
    <row r="643" spans="1:37" ht="48.75" customHeight="1" x14ac:dyDescent="0.25">
      <c r="A643" s="80"/>
      <c r="B643" s="10">
        <v>0.24999999939668499</v>
      </c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2"/>
      <c r="S643" s="11"/>
      <c r="T643" s="11"/>
      <c r="U643" s="11"/>
      <c r="V643" s="11"/>
      <c r="W643" s="11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20"/>
      <c r="AJ643" s="9"/>
      <c r="AK643" s="9"/>
    </row>
    <row r="644" spans="1:37" ht="48.75" customHeight="1" thickBot="1" x14ac:dyDescent="0.3">
      <c r="A644" s="81"/>
      <c r="B644" s="13">
        <v>0.58333333272958399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5"/>
      <c r="S644" s="14"/>
      <c r="T644" s="14"/>
      <c r="U644" s="14"/>
      <c r="V644" s="14"/>
      <c r="W644" s="14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2"/>
      <c r="AJ644" s="21"/>
      <c r="AK644" s="21"/>
    </row>
    <row r="645" spans="1:37" ht="48.75" customHeight="1" x14ac:dyDescent="0.25">
      <c r="A645" s="79">
        <v>46237</v>
      </c>
      <c r="B645" s="6">
        <v>0.91666666606258396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8"/>
      <c r="S645" s="7"/>
      <c r="T645" s="7"/>
      <c r="U645" s="7"/>
      <c r="V645" s="7"/>
      <c r="W645" s="7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9"/>
      <c r="AJ645" s="18"/>
      <c r="AK645" s="18"/>
    </row>
    <row r="646" spans="1:37" ht="48.75" customHeight="1" x14ac:dyDescent="0.25">
      <c r="A646" s="80"/>
      <c r="B646" s="10">
        <v>0.24999999939548401</v>
      </c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2"/>
      <c r="S646" s="11"/>
      <c r="T646" s="11"/>
      <c r="U646" s="11"/>
      <c r="V646" s="11"/>
      <c r="W646" s="11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20"/>
      <c r="AJ646" s="9"/>
      <c r="AK646" s="9"/>
    </row>
    <row r="647" spans="1:37" ht="48.75" customHeight="1" thickBot="1" x14ac:dyDescent="0.3">
      <c r="A647" s="81"/>
      <c r="B647" s="13">
        <v>0.58333333272838495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5"/>
      <c r="S647" s="14"/>
      <c r="T647" s="14"/>
      <c r="U647" s="14"/>
      <c r="V647" s="14"/>
      <c r="W647" s="14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2"/>
      <c r="AJ647" s="21"/>
      <c r="AK647" s="21"/>
    </row>
    <row r="648" spans="1:37" ht="48.75" customHeight="1" x14ac:dyDescent="0.25">
      <c r="A648" s="79">
        <v>46238</v>
      </c>
      <c r="B648" s="6">
        <v>0.916666666061284</v>
      </c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8"/>
      <c r="S648" s="7"/>
      <c r="T648" s="7"/>
      <c r="U648" s="7"/>
      <c r="V648" s="7"/>
      <c r="W648" s="7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9"/>
      <c r="AJ648" s="18"/>
      <c r="AK648" s="18"/>
    </row>
    <row r="649" spans="1:37" ht="48.75" customHeight="1" x14ac:dyDescent="0.25">
      <c r="A649" s="80"/>
      <c r="B649" s="10">
        <v>0.24999999939418399</v>
      </c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2"/>
      <c r="S649" s="11"/>
      <c r="T649" s="11"/>
      <c r="U649" s="11"/>
      <c r="V649" s="11"/>
      <c r="W649" s="11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20"/>
      <c r="AJ649" s="9"/>
      <c r="AK649" s="9"/>
    </row>
    <row r="650" spans="1:37" ht="48.75" customHeight="1" thickBot="1" x14ac:dyDescent="0.3">
      <c r="A650" s="81"/>
      <c r="B650" s="13">
        <v>0.58333333272708499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5"/>
      <c r="S650" s="14"/>
      <c r="T650" s="14"/>
      <c r="U650" s="14"/>
      <c r="V650" s="14"/>
      <c r="W650" s="14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2"/>
      <c r="AJ650" s="21"/>
      <c r="AK650" s="21"/>
    </row>
    <row r="651" spans="1:37" ht="48.75" customHeight="1" x14ac:dyDescent="0.25">
      <c r="A651" s="79">
        <v>46239</v>
      </c>
      <c r="B651" s="6">
        <v>0.91666666605998504</v>
      </c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8"/>
      <c r="S651" s="7"/>
      <c r="T651" s="7"/>
      <c r="U651" s="7"/>
      <c r="V651" s="7"/>
      <c r="W651" s="7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9"/>
      <c r="AJ651" s="18"/>
      <c r="AK651" s="18"/>
    </row>
    <row r="652" spans="1:37" ht="48.75" customHeight="1" x14ac:dyDescent="0.25">
      <c r="A652" s="80"/>
      <c r="B652" s="10">
        <v>0.249999999392884</v>
      </c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2"/>
      <c r="S652" s="11"/>
      <c r="T652" s="11"/>
      <c r="U652" s="11"/>
      <c r="V652" s="11"/>
      <c r="W652" s="11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20"/>
      <c r="AJ652" s="9"/>
      <c r="AK652" s="9"/>
    </row>
    <row r="653" spans="1:37" ht="48.75" customHeight="1" thickBot="1" x14ac:dyDescent="0.3">
      <c r="A653" s="81"/>
      <c r="B653" s="13">
        <v>0.58333333272578602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5"/>
      <c r="S653" s="14"/>
      <c r="T653" s="14"/>
      <c r="U653" s="14"/>
      <c r="V653" s="14"/>
      <c r="W653" s="14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2"/>
      <c r="AJ653" s="21"/>
      <c r="AK653" s="21"/>
    </row>
    <row r="654" spans="1:37" ht="48.75" customHeight="1" x14ac:dyDescent="0.25">
      <c r="A654" s="79">
        <v>46240</v>
      </c>
      <c r="B654" s="6">
        <v>0.91666666605868496</v>
      </c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8"/>
      <c r="S654" s="7"/>
      <c r="T654" s="7"/>
      <c r="U654" s="7"/>
      <c r="V654" s="7"/>
      <c r="W654" s="7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9"/>
      <c r="AJ654" s="18"/>
      <c r="AK654" s="18"/>
    </row>
    <row r="655" spans="1:37" ht="48.75" customHeight="1" x14ac:dyDescent="0.25">
      <c r="A655" s="80"/>
      <c r="B655" s="10">
        <v>0.24999999939158399</v>
      </c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2"/>
      <c r="S655" s="11"/>
      <c r="T655" s="11"/>
      <c r="U655" s="11"/>
      <c r="V655" s="11"/>
      <c r="W655" s="11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20"/>
      <c r="AJ655" s="9"/>
      <c r="AK655" s="9"/>
    </row>
    <row r="656" spans="1:37" ht="48.75" customHeight="1" thickBot="1" x14ac:dyDescent="0.3">
      <c r="A656" s="81"/>
      <c r="B656" s="13">
        <v>0.58333333272448595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5"/>
      <c r="S656" s="14"/>
      <c r="T656" s="14"/>
      <c r="U656" s="14"/>
      <c r="V656" s="14"/>
      <c r="W656" s="14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2"/>
      <c r="AJ656" s="21"/>
      <c r="AK656" s="21"/>
    </row>
    <row r="657" spans="1:37" ht="48.75" customHeight="1" x14ac:dyDescent="0.25">
      <c r="A657" s="79">
        <v>46241</v>
      </c>
      <c r="B657" s="6">
        <v>0.916666666057385</v>
      </c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8"/>
      <c r="S657" s="7"/>
      <c r="T657" s="7"/>
      <c r="U657" s="7"/>
      <c r="V657" s="7"/>
      <c r="W657" s="7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9"/>
      <c r="AJ657" s="18"/>
      <c r="AK657" s="18"/>
    </row>
    <row r="658" spans="1:37" ht="48.75" customHeight="1" x14ac:dyDescent="0.25">
      <c r="A658" s="80"/>
      <c r="B658" s="10">
        <v>0.249999999390283</v>
      </c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2"/>
      <c r="S658" s="11"/>
      <c r="T658" s="11"/>
      <c r="U658" s="11"/>
      <c r="V658" s="11"/>
      <c r="W658" s="11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20"/>
      <c r="AJ658" s="9"/>
      <c r="AK658" s="9"/>
    </row>
    <row r="659" spans="1:37" ht="48.75" customHeight="1" thickBot="1" x14ac:dyDescent="0.3">
      <c r="A659" s="81"/>
      <c r="B659" s="13">
        <v>0.58333333272318599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5"/>
      <c r="S659" s="14"/>
      <c r="T659" s="14"/>
      <c r="U659" s="14"/>
      <c r="V659" s="14"/>
      <c r="W659" s="14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2"/>
      <c r="AJ659" s="21"/>
      <c r="AK659" s="21"/>
    </row>
    <row r="660" spans="1:37" ht="48.75" customHeight="1" x14ac:dyDescent="0.25">
      <c r="A660" s="79">
        <v>46242</v>
      </c>
      <c r="B660" s="6">
        <v>0.91666666605608405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8"/>
      <c r="S660" s="7"/>
      <c r="T660" s="7"/>
      <c r="U660" s="7"/>
      <c r="V660" s="7"/>
      <c r="W660" s="7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9"/>
      <c r="AJ660" s="18"/>
      <c r="AK660" s="18"/>
    </row>
    <row r="661" spans="1:37" ht="48.75" customHeight="1" x14ac:dyDescent="0.25">
      <c r="A661" s="80"/>
      <c r="B661" s="10">
        <v>0.24999999938898301</v>
      </c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2"/>
      <c r="S661" s="11"/>
      <c r="T661" s="11"/>
      <c r="U661" s="11"/>
      <c r="V661" s="11"/>
      <c r="W661" s="11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20"/>
      <c r="AJ661" s="9"/>
      <c r="AK661" s="9"/>
    </row>
    <row r="662" spans="1:37" ht="48.75" customHeight="1" thickBot="1" x14ac:dyDescent="0.3">
      <c r="A662" s="81"/>
      <c r="B662" s="13">
        <v>0.58333333272188503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5"/>
      <c r="S662" s="14"/>
      <c r="T662" s="14"/>
      <c r="U662" s="14"/>
      <c r="V662" s="14"/>
      <c r="W662" s="14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2"/>
      <c r="AJ662" s="21"/>
      <c r="AK662" s="21"/>
    </row>
    <row r="663" spans="1:37" ht="48.75" customHeight="1" x14ac:dyDescent="0.25">
      <c r="A663" s="79">
        <v>46243</v>
      </c>
      <c r="B663" s="6">
        <v>0.91666666605478397</v>
      </c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8"/>
      <c r="S663" s="7"/>
      <c r="T663" s="7"/>
      <c r="U663" s="7"/>
      <c r="V663" s="7"/>
      <c r="W663" s="7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9"/>
      <c r="AJ663" s="18"/>
      <c r="AK663" s="18"/>
    </row>
    <row r="664" spans="1:37" ht="48.75" customHeight="1" x14ac:dyDescent="0.25">
      <c r="A664" s="80"/>
      <c r="B664" s="10">
        <v>0.249999999387683</v>
      </c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2"/>
      <c r="S664" s="11"/>
      <c r="T664" s="11"/>
      <c r="U664" s="11"/>
      <c r="V664" s="11"/>
      <c r="W664" s="11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20"/>
      <c r="AJ664" s="9"/>
      <c r="AK664" s="9"/>
    </row>
    <row r="665" spans="1:37" ht="48.75" customHeight="1" thickBot="1" x14ac:dyDescent="0.3">
      <c r="A665" s="81"/>
      <c r="B665" s="13">
        <v>0.58333333272058496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5"/>
      <c r="S665" s="14"/>
      <c r="T665" s="14"/>
      <c r="U665" s="14"/>
      <c r="V665" s="14"/>
      <c r="W665" s="14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2"/>
      <c r="AJ665" s="21"/>
      <c r="AK665" s="21"/>
    </row>
    <row r="666" spans="1:37" ht="48.75" customHeight="1" x14ac:dyDescent="0.25">
      <c r="A666" s="79">
        <v>46244</v>
      </c>
      <c r="B666" s="6">
        <v>0.91666666605348401</v>
      </c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8"/>
      <c r="S666" s="7"/>
      <c r="T666" s="7"/>
      <c r="U666" s="7"/>
      <c r="V666" s="7"/>
      <c r="W666" s="7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9"/>
      <c r="AJ666" s="18"/>
      <c r="AK666" s="18"/>
    </row>
    <row r="667" spans="1:37" ht="48.75" customHeight="1" x14ac:dyDescent="0.25">
      <c r="A667" s="80"/>
      <c r="B667" s="10">
        <v>0.24999999938638601</v>
      </c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2"/>
      <c r="S667" s="11"/>
      <c r="T667" s="11"/>
      <c r="U667" s="11"/>
      <c r="V667" s="11"/>
      <c r="W667" s="11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20"/>
      <c r="AJ667" s="9"/>
      <c r="AK667" s="9"/>
    </row>
    <row r="668" spans="1:37" ht="48.75" customHeight="1" thickBot="1" x14ac:dyDescent="0.3">
      <c r="A668" s="81"/>
      <c r="B668" s="13">
        <v>0.583333332719285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5"/>
      <c r="S668" s="14"/>
      <c r="T668" s="14"/>
      <c r="U668" s="14"/>
      <c r="V668" s="14"/>
      <c r="W668" s="14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2"/>
      <c r="AJ668" s="21"/>
      <c r="AK668" s="21"/>
    </row>
    <row r="669" spans="1:37" ht="48.75" customHeight="1" x14ac:dyDescent="0.25">
      <c r="A669" s="79">
        <v>46245</v>
      </c>
      <c r="B669" s="6">
        <v>0.91666666605218305</v>
      </c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8"/>
      <c r="S669" s="7"/>
      <c r="T669" s="7"/>
      <c r="U669" s="7"/>
      <c r="V669" s="7"/>
      <c r="W669" s="7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9"/>
      <c r="AJ669" s="18"/>
      <c r="AK669" s="18"/>
    </row>
    <row r="670" spans="1:37" ht="48.75" customHeight="1" x14ac:dyDescent="0.25">
      <c r="A670" s="80"/>
      <c r="B670" s="10">
        <v>0.24999999938508599</v>
      </c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2"/>
      <c r="S670" s="11"/>
      <c r="T670" s="11"/>
      <c r="U670" s="11"/>
      <c r="V670" s="11"/>
      <c r="W670" s="11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20"/>
      <c r="AJ670" s="9"/>
      <c r="AK670" s="9"/>
    </row>
    <row r="671" spans="1:37" ht="48.75" customHeight="1" thickBot="1" x14ac:dyDescent="0.3">
      <c r="A671" s="81"/>
      <c r="B671" s="13">
        <v>0.58333333271798404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5"/>
      <c r="S671" s="14"/>
      <c r="T671" s="14"/>
      <c r="U671" s="14"/>
      <c r="V671" s="14"/>
      <c r="W671" s="14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2"/>
      <c r="AJ671" s="21"/>
      <c r="AK671" s="21"/>
    </row>
    <row r="672" spans="1:37" ht="48.75" customHeight="1" x14ac:dyDescent="0.25">
      <c r="A672" s="79">
        <v>46246</v>
      </c>
      <c r="B672" s="6">
        <v>0.91666666605088298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8"/>
      <c r="S672" s="7"/>
      <c r="T672" s="7"/>
      <c r="U672" s="7"/>
      <c r="V672" s="7"/>
      <c r="W672" s="7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9"/>
      <c r="AJ672" s="18"/>
      <c r="AK672" s="18"/>
    </row>
    <row r="673" spans="1:37" ht="48.75" customHeight="1" x14ac:dyDescent="0.25">
      <c r="A673" s="80"/>
      <c r="B673" s="10">
        <v>0.249999999383785</v>
      </c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2"/>
      <c r="S673" s="11"/>
      <c r="T673" s="11"/>
      <c r="U673" s="11"/>
      <c r="V673" s="11"/>
      <c r="W673" s="11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20"/>
      <c r="AJ673" s="9"/>
      <c r="AK673" s="9"/>
    </row>
    <row r="674" spans="1:37" ht="48.75" customHeight="1" thickBot="1" x14ac:dyDescent="0.3">
      <c r="A674" s="81"/>
      <c r="B674" s="13">
        <v>0.58333333271668397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5"/>
      <c r="S674" s="14"/>
      <c r="T674" s="14"/>
      <c r="U674" s="14"/>
      <c r="V674" s="14"/>
      <c r="W674" s="14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2"/>
      <c r="AJ674" s="21"/>
      <c r="AK674" s="21"/>
    </row>
    <row r="675" spans="1:37" ht="48.75" customHeight="1" x14ac:dyDescent="0.25">
      <c r="A675" s="79">
        <v>46247</v>
      </c>
      <c r="B675" s="6">
        <v>0.91666666604958602</v>
      </c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8"/>
      <c r="S675" s="7"/>
      <c r="T675" s="7"/>
      <c r="U675" s="7"/>
      <c r="V675" s="7"/>
      <c r="W675" s="7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9"/>
      <c r="AJ675" s="18"/>
      <c r="AK675" s="18"/>
    </row>
    <row r="676" spans="1:37" ht="48.75" customHeight="1" x14ac:dyDescent="0.25">
      <c r="A676" s="80"/>
      <c r="B676" s="10">
        <v>0.24999999938248199</v>
      </c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2"/>
      <c r="S676" s="11"/>
      <c r="T676" s="11"/>
      <c r="U676" s="11"/>
      <c r="V676" s="11"/>
      <c r="W676" s="11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20"/>
      <c r="AJ676" s="9"/>
      <c r="AK676" s="9"/>
    </row>
    <row r="677" spans="1:37" ht="48.75" customHeight="1" thickBot="1" x14ac:dyDescent="0.3">
      <c r="A677" s="81"/>
      <c r="B677" s="13">
        <v>0.58333333271538401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5"/>
      <c r="S677" s="14"/>
      <c r="T677" s="14"/>
      <c r="U677" s="14"/>
      <c r="V677" s="14"/>
      <c r="W677" s="14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2"/>
      <c r="AJ677" s="21"/>
      <c r="AK677" s="21"/>
    </row>
    <row r="678" spans="1:37" ht="48.75" customHeight="1" x14ac:dyDescent="0.25">
      <c r="A678" s="79">
        <v>46248</v>
      </c>
      <c r="B678" s="6">
        <v>0.91666666604838598</v>
      </c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8"/>
      <c r="S678" s="7"/>
      <c r="T678" s="7"/>
      <c r="U678" s="7"/>
      <c r="V678" s="7"/>
      <c r="W678" s="7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9"/>
      <c r="AJ678" s="18"/>
      <c r="AK678" s="18"/>
    </row>
    <row r="679" spans="1:37" ht="48.75" customHeight="1" x14ac:dyDescent="0.25">
      <c r="A679" s="80"/>
      <c r="B679" s="10">
        <v>0.249999999381288</v>
      </c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2"/>
      <c r="S679" s="11"/>
      <c r="T679" s="11"/>
      <c r="U679" s="11"/>
      <c r="V679" s="11"/>
      <c r="W679" s="11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20"/>
      <c r="AJ679" s="9"/>
      <c r="AK679" s="9"/>
    </row>
    <row r="680" spans="1:37" ht="48.75" customHeight="1" thickBot="1" x14ac:dyDescent="0.3">
      <c r="A680" s="81"/>
      <c r="B680" s="13">
        <v>0.58333333271418297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5"/>
      <c r="S680" s="14"/>
      <c r="T680" s="14"/>
      <c r="U680" s="14"/>
      <c r="V680" s="14"/>
      <c r="W680" s="14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2"/>
      <c r="AJ680" s="21"/>
      <c r="AK680" s="21"/>
    </row>
    <row r="681" spans="1:37" ht="48.75" customHeight="1" x14ac:dyDescent="0.25">
      <c r="A681" s="79">
        <v>46249</v>
      </c>
      <c r="B681" s="6">
        <v>0.91666666604708502</v>
      </c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8"/>
      <c r="S681" s="7"/>
      <c r="T681" s="7"/>
      <c r="U681" s="7"/>
      <c r="V681" s="7"/>
      <c r="W681" s="7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9"/>
      <c r="AJ681" s="18"/>
      <c r="AK681" s="18"/>
    </row>
    <row r="682" spans="1:37" ht="48.75" customHeight="1" x14ac:dyDescent="0.25">
      <c r="A682" s="80"/>
      <c r="B682" s="10">
        <v>0.24999999937998801</v>
      </c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2"/>
      <c r="S682" s="11"/>
      <c r="T682" s="11"/>
      <c r="U682" s="11"/>
      <c r="V682" s="11"/>
      <c r="W682" s="11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20"/>
      <c r="AJ682" s="9"/>
      <c r="AK682" s="9"/>
    </row>
    <row r="683" spans="1:37" ht="48.75" customHeight="1" thickBot="1" x14ac:dyDescent="0.3">
      <c r="A683" s="81"/>
      <c r="B683" s="13">
        <v>0.58333333271288301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5"/>
      <c r="S683" s="14"/>
      <c r="T683" s="14"/>
      <c r="U683" s="14"/>
      <c r="V683" s="14"/>
      <c r="W683" s="14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2"/>
      <c r="AJ683" s="21"/>
      <c r="AK683" s="21"/>
    </row>
    <row r="684" spans="1:37" ht="48.75" customHeight="1" x14ac:dyDescent="0.25">
      <c r="A684" s="79">
        <v>46250</v>
      </c>
      <c r="B684" s="6">
        <v>0.91666666604578495</v>
      </c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8"/>
      <c r="S684" s="7"/>
      <c r="T684" s="7"/>
      <c r="U684" s="7"/>
      <c r="V684" s="7"/>
      <c r="W684" s="7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9"/>
      <c r="AJ684" s="18"/>
      <c r="AK684" s="18"/>
    </row>
    <row r="685" spans="1:37" ht="48.75" customHeight="1" x14ac:dyDescent="0.25">
      <c r="A685" s="80"/>
      <c r="B685" s="10">
        <v>0.249999999378687</v>
      </c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2"/>
      <c r="S685" s="11"/>
      <c r="T685" s="11"/>
      <c r="U685" s="11"/>
      <c r="V685" s="11"/>
      <c r="W685" s="11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20"/>
      <c r="AJ685" s="9"/>
      <c r="AK685" s="9"/>
    </row>
    <row r="686" spans="1:37" ht="48.75" customHeight="1" thickBot="1" x14ac:dyDescent="0.3">
      <c r="A686" s="81"/>
      <c r="B686" s="13">
        <v>0.58333333271158205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5"/>
      <c r="S686" s="14"/>
      <c r="T686" s="14"/>
      <c r="U686" s="14"/>
      <c r="V686" s="14"/>
      <c r="W686" s="14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2"/>
      <c r="AJ686" s="21"/>
      <c r="AK686" s="21"/>
    </row>
    <row r="687" spans="1:37" ht="48.75" customHeight="1" x14ac:dyDescent="0.25">
      <c r="A687" s="79">
        <v>46251</v>
      </c>
      <c r="B687" s="6">
        <v>0.91666666604448499</v>
      </c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8"/>
      <c r="S687" s="7"/>
      <c r="T687" s="7"/>
      <c r="U687" s="7"/>
      <c r="V687" s="7"/>
      <c r="W687" s="7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9"/>
      <c r="AJ687" s="18"/>
      <c r="AK687" s="18"/>
    </row>
    <row r="688" spans="1:37" ht="48.75" customHeight="1" x14ac:dyDescent="0.25">
      <c r="A688" s="80"/>
      <c r="B688" s="10">
        <v>0.24999999937738701</v>
      </c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2"/>
      <c r="S688" s="11"/>
      <c r="T688" s="11"/>
      <c r="U688" s="11"/>
      <c r="V688" s="11"/>
      <c r="W688" s="11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20"/>
      <c r="AJ688" s="9"/>
      <c r="AK688" s="9"/>
    </row>
    <row r="689" spans="1:37" ht="48.75" customHeight="1" thickBot="1" x14ac:dyDescent="0.3">
      <c r="A689" s="81"/>
      <c r="B689" s="13">
        <v>0.58333333271028198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5"/>
      <c r="S689" s="14"/>
      <c r="T689" s="14"/>
      <c r="U689" s="14"/>
      <c r="V689" s="14"/>
      <c r="W689" s="14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2"/>
      <c r="AJ689" s="21"/>
      <c r="AK689" s="21"/>
    </row>
    <row r="690" spans="1:37" ht="48.75" customHeight="1" x14ac:dyDescent="0.25">
      <c r="A690" s="79">
        <v>46252</v>
      </c>
      <c r="B690" s="6">
        <v>0.91666666604318403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8"/>
      <c r="S690" s="7"/>
      <c r="T690" s="7"/>
      <c r="U690" s="7"/>
      <c r="V690" s="7"/>
      <c r="W690" s="7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9"/>
      <c r="AJ690" s="18"/>
      <c r="AK690" s="18"/>
    </row>
    <row r="691" spans="1:37" ht="48.75" customHeight="1" x14ac:dyDescent="0.25">
      <c r="A691" s="80"/>
      <c r="B691" s="10">
        <v>0.249999999376087</v>
      </c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2"/>
      <c r="S691" s="11"/>
      <c r="T691" s="11"/>
      <c r="U691" s="11"/>
      <c r="V691" s="11"/>
      <c r="W691" s="11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20"/>
      <c r="AJ691" s="9"/>
      <c r="AK691" s="9"/>
    </row>
    <row r="692" spans="1:37" ht="48.75" customHeight="1" thickBot="1" x14ac:dyDescent="0.3">
      <c r="A692" s="81"/>
      <c r="B692" s="13">
        <v>0.58333333270898202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5"/>
      <c r="S692" s="14"/>
      <c r="T692" s="14"/>
      <c r="U692" s="14"/>
      <c r="V692" s="14"/>
      <c r="W692" s="14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2"/>
      <c r="AJ692" s="21"/>
      <c r="AK692" s="21"/>
    </row>
    <row r="693" spans="1:37" ht="48.75" customHeight="1" x14ac:dyDescent="0.25">
      <c r="A693" s="79">
        <v>46253</v>
      </c>
      <c r="B693" s="6">
        <v>0.91666666604188396</v>
      </c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8"/>
      <c r="S693" s="7"/>
      <c r="T693" s="7"/>
      <c r="U693" s="7"/>
      <c r="V693" s="7"/>
      <c r="W693" s="7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9"/>
      <c r="AJ693" s="18"/>
      <c r="AK693" s="18"/>
    </row>
    <row r="694" spans="1:37" ht="48.75" customHeight="1" x14ac:dyDescent="0.25">
      <c r="A694" s="80"/>
      <c r="B694" s="10">
        <v>0.24999999937478601</v>
      </c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2"/>
      <c r="S694" s="11"/>
      <c r="T694" s="11"/>
      <c r="U694" s="11"/>
      <c r="V694" s="11"/>
      <c r="W694" s="11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20"/>
      <c r="AJ694" s="9"/>
      <c r="AK694" s="9"/>
    </row>
    <row r="695" spans="1:37" ht="48.75" customHeight="1" thickBot="1" x14ac:dyDescent="0.3">
      <c r="A695" s="81"/>
      <c r="B695" s="13">
        <v>0.58333333270768195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5"/>
      <c r="S695" s="14"/>
      <c r="T695" s="14"/>
      <c r="U695" s="14"/>
      <c r="V695" s="14"/>
      <c r="W695" s="14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2"/>
      <c r="AJ695" s="21"/>
      <c r="AK695" s="21"/>
    </row>
    <row r="696" spans="1:37" ht="48.75" customHeight="1" x14ac:dyDescent="0.25">
      <c r="A696" s="79">
        <v>46254</v>
      </c>
      <c r="B696" s="6">
        <v>0.916666666040584</v>
      </c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8"/>
      <c r="S696" s="7"/>
      <c r="T696" s="7"/>
      <c r="U696" s="7"/>
      <c r="V696" s="7"/>
      <c r="W696" s="7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9"/>
      <c r="AJ696" s="18"/>
      <c r="AK696" s="18"/>
    </row>
    <row r="697" spans="1:37" ht="48.75" customHeight="1" x14ac:dyDescent="0.25">
      <c r="A697" s="80"/>
      <c r="B697" s="10">
        <v>0.24999999937348599</v>
      </c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2"/>
      <c r="S697" s="11"/>
      <c r="T697" s="11"/>
      <c r="U697" s="11"/>
      <c r="V697" s="11"/>
      <c r="W697" s="11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20"/>
      <c r="AJ697" s="9"/>
      <c r="AK697" s="9"/>
    </row>
    <row r="698" spans="1:37" ht="48.75" customHeight="1" thickBot="1" x14ac:dyDescent="0.3">
      <c r="A698" s="81"/>
      <c r="B698" s="13">
        <v>0.58333333270638099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5"/>
      <c r="S698" s="14"/>
      <c r="T698" s="14"/>
      <c r="U698" s="14"/>
      <c r="V698" s="14"/>
      <c r="W698" s="14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2"/>
      <c r="AJ698" s="21"/>
      <c r="AK698" s="21"/>
    </row>
    <row r="699" spans="1:37" ht="48.75" customHeight="1" x14ac:dyDescent="0.25">
      <c r="A699" s="79">
        <v>46255</v>
      </c>
      <c r="B699" s="6">
        <v>0.91666666603928304</v>
      </c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8"/>
      <c r="S699" s="7"/>
      <c r="T699" s="7"/>
      <c r="U699" s="7"/>
      <c r="V699" s="7"/>
      <c r="W699" s="7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9"/>
      <c r="AJ699" s="18"/>
      <c r="AK699" s="18"/>
    </row>
    <row r="700" spans="1:37" ht="48.75" customHeight="1" x14ac:dyDescent="0.25">
      <c r="A700" s="80"/>
      <c r="B700" s="10">
        <v>0.249999999372186</v>
      </c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2"/>
      <c r="S700" s="11"/>
      <c r="T700" s="11"/>
      <c r="U700" s="11"/>
      <c r="V700" s="11"/>
      <c r="W700" s="11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20"/>
      <c r="AJ700" s="9"/>
      <c r="AK700" s="9"/>
    </row>
    <row r="701" spans="1:37" ht="48.75" customHeight="1" thickBot="1" x14ac:dyDescent="0.3">
      <c r="A701" s="81"/>
      <c r="B701" s="13">
        <v>0.58333333270508103</v>
      </c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5"/>
      <c r="S701" s="14"/>
      <c r="T701" s="14"/>
      <c r="U701" s="14"/>
      <c r="V701" s="14"/>
      <c r="W701" s="14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2"/>
      <c r="AJ701" s="21"/>
      <c r="AK701" s="21"/>
    </row>
    <row r="702" spans="1:37" ht="48.75" customHeight="1" x14ac:dyDescent="0.25">
      <c r="A702" s="79">
        <v>46256</v>
      </c>
      <c r="B702" s="6">
        <v>0.91666666603798297</v>
      </c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8"/>
      <c r="S702" s="7"/>
      <c r="T702" s="7"/>
      <c r="U702" s="7"/>
      <c r="V702" s="7"/>
      <c r="W702" s="7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9"/>
      <c r="AJ702" s="18"/>
      <c r="AK702" s="18"/>
    </row>
    <row r="703" spans="1:37" ht="48.75" customHeight="1" x14ac:dyDescent="0.25">
      <c r="A703" s="80"/>
      <c r="B703" s="10">
        <v>0.24999999937088499</v>
      </c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2"/>
      <c r="S703" s="11"/>
      <c r="T703" s="11"/>
      <c r="U703" s="11"/>
      <c r="V703" s="11"/>
      <c r="W703" s="11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20"/>
      <c r="AJ703" s="9"/>
      <c r="AK703" s="9"/>
    </row>
    <row r="704" spans="1:37" ht="48.75" customHeight="1" thickBot="1" x14ac:dyDescent="0.3">
      <c r="A704" s="81"/>
      <c r="B704" s="13">
        <v>0.58333333270378795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5"/>
      <c r="S704" s="14"/>
      <c r="T704" s="14"/>
      <c r="U704" s="14"/>
      <c r="V704" s="14"/>
      <c r="W704" s="14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2"/>
      <c r="AJ704" s="21"/>
      <c r="AK704" s="21"/>
    </row>
    <row r="705" spans="1:37" ht="48.75" customHeight="1" x14ac:dyDescent="0.25">
      <c r="A705" s="79">
        <v>46257</v>
      </c>
      <c r="B705" s="6">
        <v>0.91666666603668301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8"/>
      <c r="S705" s="7"/>
      <c r="T705" s="7"/>
      <c r="U705" s="7"/>
      <c r="V705" s="7"/>
      <c r="W705" s="7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9"/>
      <c r="AJ705" s="18"/>
      <c r="AK705" s="18"/>
    </row>
    <row r="706" spans="1:37" ht="48.75" customHeight="1" x14ac:dyDescent="0.25">
      <c r="A706" s="80"/>
      <c r="B706" s="10">
        <v>0.249999999369585</v>
      </c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2"/>
      <c r="S706" s="11"/>
      <c r="T706" s="11"/>
      <c r="U706" s="11"/>
      <c r="V706" s="11"/>
      <c r="W706" s="11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20"/>
      <c r="AJ706" s="9"/>
      <c r="AK706" s="9"/>
    </row>
    <row r="707" spans="1:37" ht="48.75" customHeight="1" thickBot="1" x14ac:dyDescent="0.3">
      <c r="A707" s="81"/>
      <c r="B707" s="13">
        <v>0.583333332702487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5"/>
      <c r="S707" s="14"/>
      <c r="T707" s="14"/>
      <c r="U707" s="14"/>
      <c r="V707" s="14"/>
      <c r="W707" s="14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2"/>
      <c r="AJ707" s="21"/>
      <c r="AK707" s="21"/>
    </row>
    <row r="708" spans="1:37" ht="48.75" customHeight="1" x14ac:dyDescent="0.25">
      <c r="A708" s="79">
        <v>46258</v>
      </c>
      <c r="B708" s="6">
        <v>0.91666666603538305</v>
      </c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8"/>
      <c r="S708" s="7"/>
      <c r="T708" s="7"/>
      <c r="U708" s="7"/>
      <c r="V708" s="7"/>
      <c r="W708" s="7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9"/>
      <c r="AJ708" s="18"/>
      <c r="AK708" s="18"/>
    </row>
    <row r="709" spans="1:37" ht="48.75" customHeight="1" x14ac:dyDescent="0.25">
      <c r="A709" s="80"/>
      <c r="B709" s="10">
        <v>0.24999999936828499</v>
      </c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2"/>
      <c r="S709" s="11"/>
      <c r="T709" s="11"/>
      <c r="U709" s="11"/>
      <c r="V709" s="11"/>
      <c r="W709" s="11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20"/>
      <c r="AJ709" s="9"/>
      <c r="AK709" s="9"/>
    </row>
    <row r="710" spans="1:37" ht="48.75" customHeight="1" thickBot="1" x14ac:dyDescent="0.3">
      <c r="A710" s="81"/>
      <c r="B710" s="13">
        <v>0.58333333270118704</v>
      </c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5"/>
      <c r="S710" s="14"/>
      <c r="T710" s="14"/>
      <c r="U710" s="14"/>
      <c r="V710" s="14"/>
      <c r="W710" s="14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2"/>
      <c r="AJ710" s="21"/>
      <c r="AK710" s="21"/>
    </row>
    <row r="711" spans="1:37" ht="48.75" customHeight="1" x14ac:dyDescent="0.25">
      <c r="A711" s="79">
        <v>46259</v>
      </c>
      <c r="B711" s="6">
        <v>0.91666666603408198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8"/>
      <c r="S711" s="7"/>
      <c r="T711" s="7"/>
      <c r="U711" s="7"/>
      <c r="V711" s="7"/>
      <c r="W711" s="7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9"/>
      <c r="AJ711" s="18"/>
      <c r="AK711" s="18"/>
    </row>
    <row r="712" spans="1:37" ht="48.75" customHeight="1" x14ac:dyDescent="0.25">
      <c r="A712" s="80"/>
      <c r="B712" s="10">
        <v>0.249999999366985</v>
      </c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2"/>
      <c r="S712" s="11"/>
      <c r="T712" s="11"/>
      <c r="U712" s="11"/>
      <c r="V712" s="11"/>
      <c r="W712" s="11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20"/>
      <c r="AJ712" s="9"/>
      <c r="AK712" s="9"/>
    </row>
    <row r="713" spans="1:37" ht="48.75" customHeight="1" thickBot="1" x14ac:dyDescent="0.3">
      <c r="A713" s="81"/>
      <c r="B713" s="13">
        <v>0.583333332699986</v>
      </c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5"/>
      <c r="S713" s="14"/>
      <c r="T713" s="14"/>
      <c r="U713" s="14"/>
      <c r="V713" s="14"/>
      <c r="W713" s="14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2"/>
      <c r="AJ713" s="21"/>
      <c r="AK713" s="21"/>
    </row>
    <row r="714" spans="1:37" ht="48.75" customHeight="1" x14ac:dyDescent="0.25">
      <c r="A714" s="79">
        <v>46260</v>
      </c>
      <c r="B714" s="6">
        <v>0.91666666603288105</v>
      </c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8"/>
      <c r="S714" s="7"/>
      <c r="T714" s="7"/>
      <c r="U714" s="7"/>
      <c r="V714" s="7"/>
      <c r="W714" s="7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9"/>
      <c r="AJ714" s="18"/>
      <c r="AK714" s="18"/>
    </row>
    <row r="715" spans="1:37" ht="48.75" customHeight="1" x14ac:dyDescent="0.25">
      <c r="A715" s="80"/>
      <c r="B715" s="10">
        <v>0.24999999936578399</v>
      </c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2"/>
      <c r="S715" s="11"/>
      <c r="T715" s="11"/>
      <c r="U715" s="11"/>
      <c r="V715" s="11"/>
      <c r="W715" s="11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20"/>
      <c r="AJ715" s="9"/>
      <c r="AK715" s="9"/>
    </row>
    <row r="716" spans="1:37" ht="48.75" customHeight="1" thickBot="1" x14ac:dyDescent="0.3">
      <c r="A716" s="81"/>
      <c r="B716" s="13">
        <v>0.58333333269868604</v>
      </c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5"/>
      <c r="S716" s="14"/>
      <c r="T716" s="14"/>
      <c r="U716" s="14"/>
      <c r="V716" s="14"/>
      <c r="W716" s="14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2"/>
      <c r="AJ716" s="21"/>
      <c r="AK716" s="21"/>
    </row>
    <row r="717" spans="1:37" ht="48.75" customHeight="1" x14ac:dyDescent="0.25">
      <c r="A717" s="79">
        <v>46261</v>
      </c>
      <c r="B717" s="6">
        <v>0.91666666603158098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8"/>
      <c r="S717" s="7"/>
      <c r="T717" s="7"/>
      <c r="U717" s="7"/>
      <c r="V717" s="7"/>
      <c r="W717" s="7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9"/>
      <c r="AJ717" s="18"/>
      <c r="AK717" s="18"/>
    </row>
    <row r="718" spans="1:37" ht="48.75" customHeight="1" x14ac:dyDescent="0.25">
      <c r="A718" s="80"/>
      <c r="B718" s="10">
        <v>0.249999999364483</v>
      </c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2"/>
      <c r="S718" s="11"/>
      <c r="T718" s="11"/>
      <c r="U718" s="11"/>
      <c r="V718" s="11"/>
      <c r="W718" s="11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20"/>
      <c r="AJ718" s="9"/>
      <c r="AK718" s="9"/>
    </row>
    <row r="719" spans="1:37" ht="48.75" customHeight="1" thickBot="1" x14ac:dyDescent="0.3">
      <c r="A719" s="81"/>
      <c r="B719" s="13">
        <v>0.58333333269738596</v>
      </c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5"/>
      <c r="S719" s="14"/>
      <c r="T719" s="14"/>
      <c r="U719" s="14"/>
      <c r="V719" s="14"/>
      <c r="W719" s="14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2"/>
      <c r="AJ719" s="21"/>
      <c r="AK719" s="21"/>
    </row>
    <row r="720" spans="1:37" ht="48.75" customHeight="1" x14ac:dyDescent="0.25">
      <c r="A720" s="79">
        <v>46262</v>
      </c>
      <c r="B720" s="6">
        <v>0.91666666603028801</v>
      </c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8"/>
      <c r="S720" s="7"/>
      <c r="T720" s="7"/>
      <c r="U720" s="7"/>
      <c r="V720" s="7"/>
      <c r="W720" s="7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9"/>
      <c r="AJ720" s="18"/>
      <c r="AK720" s="18"/>
    </row>
    <row r="721" spans="1:37" ht="48.75" customHeight="1" x14ac:dyDescent="0.25">
      <c r="A721" s="80"/>
      <c r="B721" s="10">
        <v>0.24999999936318301</v>
      </c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2"/>
      <c r="S721" s="11"/>
      <c r="T721" s="11"/>
      <c r="U721" s="11"/>
      <c r="V721" s="11"/>
      <c r="W721" s="11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20"/>
      <c r="AJ721" s="9"/>
      <c r="AK721" s="9"/>
    </row>
    <row r="722" spans="1:37" ht="48.75" customHeight="1" thickBot="1" x14ac:dyDescent="0.3">
      <c r="A722" s="81"/>
      <c r="B722" s="13">
        <v>0.58333333269608501</v>
      </c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5"/>
      <c r="S722" s="14"/>
      <c r="T722" s="14"/>
      <c r="U722" s="14"/>
      <c r="V722" s="14"/>
      <c r="W722" s="14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2"/>
      <c r="AJ722" s="21"/>
      <c r="AK722" s="21"/>
    </row>
    <row r="723" spans="1:37" ht="48.75" customHeight="1" x14ac:dyDescent="0.25">
      <c r="A723" s="79">
        <v>46263</v>
      </c>
      <c r="B723" s="6">
        <v>0.91666666602898805</v>
      </c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8"/>
      <c r="S723" s="7"/>
      <c r="T723" s="7"/>
      <c r="U723" s="7"/>
      <c r="V723" s="7"/>
      <c r="W723" s="7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9"/>
      <c r="AJ723" s="18"/>
      <c r="AK723" s="18"/>
    </row>
    <row r="724" spans="1:37" ht="48.75" customHeight="1" x14ac:dyDescent="0.25">
      <c r="A724" s="80"/>
      <c r="B724" s="10">
        <v>0.24999999936188999</v>
      </c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2"/>
      <c r="S724" s="11"/>
      <c r="T724" s="11"/>
      <c r="U724" s="11"/>
      <c r="V724" s="11"/>
      <c r="W724" s="11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20"/>
      <c r="AJ724" s="9"/>
      <c r="AK724" s="9"/>
    </row>
    <row r="725" spans="1:37" ht="48.75" customHeight="1" thickBot="1" x14ac:dyDescent="0.3">
      <c r="A725" s="81"/>
      <c r="B725" s="13">
        <v>0.58333333269477805</v>
      </c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5"/>
      <c r="S725" s="14"/>
      <c r="T725" s="14"/>
      <c r="U725" s="14"/>
      <c r="V725" s="14"/>
      <c r="W725" s="14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2"/>
      <c r="AJ725" s="21"/>
      <c r="AK725" s="21"/>
    </row>
    <row r="726" spans="1:37" ht="48.75" customHeight="1" x14ac:dyDescent="0.25">
      <c r="A726" s="79">
        <v>46264</v>
      </c>
      <c r="B726" s="6">
        <v>0.91666666602767999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8"/>
      <c r="S726" s="7"/>
      <c r="T726" s="7"/>
      <c r="U726" s="7"/>
      <c r="V726" s="7"/>
      <c r="W726" s="7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9"/>
      <c r="AJ726" s="18"/>
      <c r="AK726" s="18"/>
    </row>
    <row r="727" spans="1:37" ht="48.75" customHeight="1" x14ac:dyDescent="0.25">
      <c r="A727" s="80"/>
      <c r="B727" s="10">
        <v>0.24999999936058301</v>
      </c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2"/>
      <c r="S727" s="11"/>
      <c r="T727" s="11"/>
      <c r="U727" s="11"/>
      <c r="V727" s="11"/>
      <c r="W727" s="11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20"/>
      <c r="AJ727" s="9"/>
      <c r="AK727" s="9"/>
    </row>
    <row r="728" spans="1:37" ht="48.75" customHeight="1" thickBot="1" x14ac:dyDescent="0.3">
      <c r="A728" s="81"/>
      <c r="B728" s="13">
        <v>0.58333333269348497</v>
      </c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5"/>
      <c r="S728" s="14"/>
      <c r="T728" s="14"/>
      <c r="U728" s="14"/>
      <c r="V728" s="14"/>
      <c r="W728" s="14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2"/>
      <c r="AJ728" s="21"/>
      <c r="AK728" s="21"/>
    </row>
    <row r="729" spans="1:37" ht="48.75" customHeight="1" x14ac:dyDescent="0.25">
      <c r="A729" s="79">
        <v>46265</v>
      </c>
      <c r="B729" s="6">
        <v>0.91666666602638702</v>
      </c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8"/>
      <c r="S729" s="7"/>
      <c r="T729" s="7"/>
      <c r="U729" s="7"/>
      <c r="V729" s="7"/>
      <c r="W729" s="7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9"/>
      <c r="AJ729" s="18"/>
      <c r="AK729" s="18"/>
    </row>
    <row r="730" spans="1:37" ht="48.75" customHeight="1" x14ac:dyDescent="0.25">
      <c r="A730" s="80"/>
      <c r="B730" s="10">
        <v>0.24999999935928899</v>
      </c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2"/>
      <c r="S730" s="11"/>
      <c r="T730" s="11"/>
      <c r="U730" s="11"/>
      <c r="V730" s="11"/>
      <c r="W730" s="11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20"/>
      <c r="AJ730" s="9"/>
      <c r="AK730" s="9"/>
    </row>
    <row r="731" spans="1:37" ht="48.75" customHeight="1" thickBot="1" x14ac:dyDescent="0.3">
      <c r="A731" s="81"/>
      <c r="B731" s="13">
        <v>0.58333333269217702</v>
      </c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5"/>
      <c r="S731" s="14"/>
      <c r="T731" s="14"/>
      <c r="U731" s="14"/>
      <c r="V731" s="14"/>
      <c r="W731" s="14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2"/>
      <c r="AJ731" s="21"/>
      <c r="AK731" s="21"/>
    </row>
    <row r="732" spans="1:37" ht="48.75" customHeight="1" x14ac:dyDescent="0.25">
      <c r="A732" s="79">
        <v>46266</v>
      </c>
      <c r="B732" s="6">
        <v>0.91666666602507996</v>
      </c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8"/>
      <c r="S732" s="7"/>
      <c r="T732" s="7"/>
      <c r="U732" s="7"/>
      <c r="V732" s="7"/>
      <c r="W732" s="7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9"/>
      <c r="AJ732" s="18"/>
      <c r="AK732" s="18"/>
    </row>
    <row r="733" spans="1:37" ht="48.75" customHeight="1" x14ac:dyDescent="0.25">
      <c r="A733" s="80"/>
      <c r="B733" s="10">
        <v>0.24999999935798201</v>
      </c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2"/>
      <c r="S733" s="11"/>
      <c r="T733" s="11"/>
      <c r="U733" s="11"/>
      <c r="V733" s="11"/>
      <c r="W733" s="11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20"/>
      <c r="AJ733" s="9"/>
      <c r="AK733" s="9"/>
    </row>
    <row r="734" spans="1:37" ht="48.75" customHeight="1" thickBot="1" x14ac:dyDescent="0.3">
      <c r="A734" s="81"/>
      <c r="B734" s="13">
        <v>0.58333333269088405</v>
      </c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5"/>
      <c r="S734" s="14"/>
      <c r="T734" s="14"/>
      <c r="U734" s="14"/>
      <c r="V734" s="14"/>
      <c r="W734" s="14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2"/>
      <c r="AJ734" s="21"/>
      <c r="AK734" s="21"/>
    </row>
    <row r="735" spans="1:37" ht="48.75" customHeight="1" x14ac:dyDescent="0.25">
      <c r="A735" s="79">
        <v>46267</v>
      </c>
      <c r="B735" s="6">
        <v>0.91666666602378699</v>
      </c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8"/>
      <c r="S735" s="7"/>
      <c r="T735" s="7"/>
      <c r="U735" s="7"/>
      <c r="V735" s="7"/>
      <c r="W735" s="7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9"/>
      <c r="AJ735" s="18"/>
      <c r="AK735" s="18"/>
    </row>
    <row r="736" spans="1:37" ht="48.75" customHeight="1" x14ac:dyDescent="0.25">
      <c r="A736" s="80"/>
      <c r="B736" s="10">
        <v>0.24999999935668901</v>
      </c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2"/>
      <c r="S736" s="11"/>
      <c r="T736" s="11"/>
      <c r="U736" s="11"/>
      <c r="V736" s="11"/>
      <c r="W736" s="11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20"/>
      <c r="AJ736" s="9"/>
      <c r="AK736" s="9"/>
    </row>
    <row r="737" spans="1:37" ht="48.75" customHeight="1" thickBot="1" x14ac:dyDescent="0.3">
      <c r="A737" s="81"/>
      <c r="B737" s="13">
        <v>0.58333333268959098</v>
      </c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5"/>
      <c r="S737" s="14"/>
      <c r="T737" s="14"/>
      <c r="U737" s="14"/>
      <c r="V737" s="14"/>
      <c r="W737" s="14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2"/>
      <c r="AJ737" s="21"/>
      <c r="AK737" s="21"/>
    </row>
    <row r="738" spans="1:37" ht="48.75" customHeight="1" x14ac:dyDescent="0.25">
      <c r="A738" s="79">
        <v>46268</v>
      </c>
      <c r="B738" s="6">
        <v>0.91666666602247904</v>
      </c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8"/>
      <c r="S738" s="7"/>
      <c r="T738" s="7"/>
      <c r="U738" s="7"/>
      <c r="V738" s="7"/>
      <c r="W738" s="7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9"/>
      <c r="AJ738" s="18"/>
      <c r="AK738" s="18"/>
    </row>
    <row r="739" spans="1:37" ht="48.75" customHeight="1" x14ac:dyDescent="0.25">
      <c r="A739" s="80"/>
      <c r="B739" s="10">
        <v>0.249999999355381</v>
      </c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2"/>
      <c r="S739" s="11"/>
      <c r="T739" s="11"/>
      <c r="U739" s="11"/>
      <c r="V739" s="11"/>
      <c r="W739" s="11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20"/>
      <c r="AJ739" s="9"/>
      <c r="AK739" s="9"/>
    </row>
    <row r="740" spans="1:37" ht="48.75" customHeight="1" thickBot="1" x14ac:dyDescent="0.3">
      <c r="A740" s="81"/>
      <c r="B740" s="13">
        <v>0.58333333268828402</v>
      </c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5"/>
      <c r="S740" s="14"/>
      <c r="T740" s="14"/>
      <c r="U740" s="14"/>
      <c r="V740" s="14"/>
      <c r="W740" s="14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2"/>
      <c r="AJ740" s="21"/>
      <c r="AK740" s="21"/>
    </row>
    <row r="741" spans="1:37" ht="48.75" customHeight="1" x14ac:dyDescent="0.25">
      <c r="A741" s="79">
        <v>46269</v>
      </c>
      <c r="B741" s="6">
        <v>0.91666666602118596</v>
      </c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8"/>
      <c r="S741" s="7"/>
      <c r="T741" s="7"/>
      <c r="U741" s="7"/>
      <c r="V741" s="7"/>
      <c r="W741" s="7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9"/>
      <c r="AJ741" s="18"/>
      <c r="AK741" s="18"/>
    </row>
    <row r="742" spans="1:37" ht="48.75" customHeight="1" x14ac:dyDescent="0.25">
      <c r="A742" s="80"/>
      <c r="B742" s="10">
        <v>0.24999999935408801</v>
      </c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2"/>
      <c r="S742" s="11"/>
      <c r="T742" s="11"/>
      <c r="U742" s="11"/>
      <c r="V742" s="11"/>
      <c r="W742" s="11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20"/>
      <c r="AJ742" s="9"/>
      <c r="AK742" s="9"/>
    </row>
    <row r="743" spans="1:37" ht="48.75" customHeight="1" thickBot="1" x14ac:dyDescent="0.3">
      <c r="A743" s="81"/>
      <c r="B743" s="13">
        <v>0.58333333268699095</v>
      </c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5"/>
      <c r="S743" s="14"/>
      <c r="T743" s="14"/>
      <c r="U743" s="14"/>
      <c r="V743" s="14"/>
      <c r="W743" s="14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2"/>
      <c r="AJ743" s="21"/>
      <c r="AK743" s="21"/>
    </row>
    <row r="744" spans="1:37" ht="48.75" customHeight="1" x14ac:dyDescent="0.25">
      <c r="A744" s="79">
        <v>46270</v>
      </c>
      <c r="B744" s="6">
        <v>0.91666666601987901</v>
      </c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8"/>
      <c r="S744" s="7"/>
      <c r="T744" s="7"/>
      <c r="U744" s="7"/>
      <c r="V744" s="7"/>
      <c r="W744" s="7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9"/>
      <c r="AJ744" s="18"/>
      <c r="AK744" s="18"/>
    </row>
    <row r="745" spans="1:37" ht="48.75" customHeight="1" x14ac:dyDescent="0.25">
      <c r="A745" s="80"/>
      <c r="B745" s="10">
        <v>0.24999999935288</v>
      </c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2"/>
      <c r="S745" s="11"/>
      <c r="T745" s="11"/>
      <c r="U745" s="11"/>
      <c r="V745" s="11"/>
      <c r="W745" s="11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20"/>
      <c r="AJ745" s="9"/>
      <c r="AK745" s="9"/>
    </row>
    <row r="746" spans="1:37" ht="48.75" customHeight="1" thickBot="1" x14ac:dyDescent="0.3">
      <c r="A746" s="81"/>
      <c r="B746" s="13">
        <v>0.58333333268578302</v>
      </c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5"/>
      <c r="S746" s="14"/>
      <c r="T746" s="14"/>
      <c r="U746" s="14"/>
      <c r="V746" s="14"/>
      <c r="W746" s="14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2"/>
      <c r="AJ746" s="21"/>
      <c r="AK746" s="21"/>
    </row>
    <row r="747" spans="1:37" ht="48.75" customHeight="1" x14ac:dyDescent="0.25">
      <c r="A747" s="79">
        <v>46271</v>
      </c>
      <c r="B747" s="6">
        <v>0.91666666601868496</v>
      </c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8"/>
      <c r="S747" s="7"/>
      <c r="T747" s="7"/>
      <c r="U747" s="7"/>
      <c r="V747" s="7"/>
      <c r="W747" s="7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9"/>
      <c r="AJ747" s="18"/>
      <c r="AK747" s="18"/>
    </row>
    <row r="748" spans="1:37" ht="48.75" customHeight="1" x14ac:dyDescent="0.25">
      <c r="A748" s="80"/>
      <c r="B748" s="10">
        <v>0.24999999935158701</v>
      </c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2"/>
      <c r="S748" s="11"/>
      <c r="T748" s="11"/>
      <c r="U748" s="11"/>
      <c r="V748" s="11"/>
      <c r="W748" s="11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20"/>
      <c r="AJ748" s="9"/>
      <c r="AK748" s="9"/>
    </row>
    <row r="749" spans="1:37" ht="48.75" customHeight="1" thickBot="1" x14ac:dyDescent="0.3">
      <c r="A749" s="81"/>
      <c r="B749" s="13">
        <v>0.58333333268448895</v>
      </c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5"/>
      <c r="S749" s="14"/>
      <c r="T749" s="14"/>
      <c r="U749" s="14"/>
      <c r="V749" s="14"/>
      <c r="W749" s="14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2"/>
      <c r="AJ749" s="21"/>
      <c r="AK749" s="21"/>
    </row>
    <row r="750" spans="1:37" ht="48.75" customHeight="1" x14ac:dyDescent="0.25">
      <c r="A750" s="79">
        <v>46272</v>
      </c>
      <c r="B750" s="6">
        <v>0.91666666601737701</v>
      </c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8"/>
      <c r="S750" s="7"/>
      <c r="T750" s="7"/>
      <c r="U750" s="7"/>
      <c r="V750" s="7"/>
      <c r="W750" s="7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9"/>
      <c r="AJ750" s="18"/>
      <c r="AK750" s="18"/>
    </row>
    <row r="751" spans="1:37" ht="48.75" customHeight="1" x14ac:dyDescent="0.25">
      <c r="A751" s="80"/>
      <c r="B751" s="10">
        <v>0.24999999935028</v>
      </c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2"/>
      <c r="S751" s="11"/>
      <c r="T751" s="11"/>
      <c r="U751" s="11"/>
      <c r="V751" s="11"/>
      <c r="W751" s="11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20"/>
      <c r="AJ751" s="9"/>
      <c r="AK751" s="9"/>
    </row>
    <row r="752" spans="1:37" ht="48.75" customHeight="1" thickBot="1" x14ac:dyDescent="0.3">
      <c r="A752" s="81"/>
      <c r="B752" s="13">
        <v>0.58333333268318199</v>
      </c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5"/>
      <c r="S752" s="14"/>
      <c r="T752" s="14"/>
      <c r="U752" s="14"/>
      <c r="V752" s="14"/>
      <c r="W752" s="14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2"/>
      <c r="AJ752" s="21"/>
      <c r="AK752" s="21"/>
    </row>
    <row r="753" spans="1:37" ht="48.75" customHeight="1" x14ac:dyDescent="0.25">
      <c r="A753" s="79">
        <v>46273</v>
      </c>
      <c r="B753" s="6">
        <v>0.91666666601608404</v>
      </c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8"/>
      <c r="S753" s="7"/>
      <c r="T753" s="7"/>
      <c r="U753" s="7"/>
      <c r="V753" s="7"/>
      <c r="W753" s="7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9"/>
      <c r="AJ753" s="18"/>
      <c r="AK753" s="18"/>
    </row>
    <row r="754" spans="1:37" ht="48.75" customHeight="1" x14ac:dyDescent="0.25">
      <c r="A754" s="80"/>
      <c r="B754" s="10">
        <v>0.24999999934898701</v>
      </c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2"/>
      <c r="S754" s="11"/>
      <c r="T754" s="11"/>
      <c r="U754" s="11"/>
      <c r="V754" s="11"/>
      <c r="W754" s="11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20"/>
      <c r="AJ754" s="9"/>
      <c r="AK754" s="9"/>
    </row>
    <row r="755" spans="1:37" ht="48.75" customHeight="1" thickBot="1" x14ac:dyDescent="0.3">
      <c r="A755" s="81"/>
      <c r="B755" s="13">
        <v>0.58333333268188903</v>
      </c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5"/>
      <c r="S755" s="14"/>
      <c r="T755" s="14"/>
      <c r="U755" s="14"/>
      <c r="V755" s="14"/>
      <c r="W755" s="14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2"/>
      <c r="AJ755" s="21"/>
      <c r="AK755" s="21"/>
    </row>
    <row r="756" spans="1:37" ht="48.75" customHeight="1" x14ac:dyDescent="0.25">
      <c r="A756" s="79">
        <v>46274</v>
      </c>
      <c r="B756" s="6">
        <v>0.91666666601479097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8"/>
      <c r="S756" s="7"/>
      <c r="T756" s="7"/>
      <c r="U756" s="7"/>
      <c r="V756" s="7"/>
      <c r="W756" s="7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9"/>
      <c r="AJ756" s="18"/>
      <c r="AK756" s="18"/>
    </row>
    <row r="757" spans="1:37" ht="48.75" customHeight="1" x14ac:dyDescent="0.25">
      <c r="A757" s="80"/>
      <c r="B757" s="10">
        <v>0.249999999347679</v>
      </c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2"/>
      <c r="S757" s="11"/>
      <c r="T757" s="11"/>
      <c r="U757" s="11"/>
      <c r="V757" s="11"/>
      <c r="W757" s="11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20"/>
      <c r="AJ757" s="9"/>
      <c r="AK757" s="9"/>
    </row>
    <row r="758" spans="1:37" ht="48.75" customHeight="1" thickBot="1" x14ac:dyDescent="0.3">
      <c r="A758" s="81"/>
      <c r="B758" s="13">
        <v>0.58333333268058096</v>
      </c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5"/>
      <c r="S758" s="14"/>
      <c r="T758" s="14"/>
      <c r="U758" s="14"/>
      <c r="V758" s="14"/>
      <c r="W758" s="14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2"/>
      <c r="AJ758" s="21"/>
      <c r="AK758" s="21"/>
    </row>
    <row r="759" spans="1:37" ht="48.75" customHeight="1" x14ac:dyDescent="0.25">
      <c r="A759" s="79">
        <v>46275</v>
      </c>
      <c r="B759" s="6">
        <v>0.91666666601348401</v>
      </c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8"/>
      <c r="S759" s="7"/>
      <c r="T759" s="7"/>
      <c r="U759" s="7"/>
      <c r="V759" s="7"/>
      <c r="W759" s="7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9"/>
      <c r="AJ759" s="18"/>
      <c r="AK759" s="18"/>
    </row>
    <row r="760" spans="1:37" ht="48.75" customHeight="1" x14ac:dyDescent="0.25">
      <c r="A760" s="80"/>
      <c r="B760" s="10">
        <v>0.249999999346386</v>
      </c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2"/>
      <c r="S760" s="11"/>
      <c r="T760" s="11"/>
      <c r="U760" s="11"/>
      <c r="V760" s="11"/>
      <c r="W760" s="11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20"/>
      <c r="AJ760" s="9"/>
      <c r="AK760" s="9"/>
    </row>
    <row r="761" spans="1:37" ht="48.75" customHeight="1" thickBot="1" x14ac:dyDescent="0.3">
      <c r="A761" s="81"/>
      <c r="B761" s="13">
        <v>0.583333332679288</v>
      </c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5"/>
      <c r="S761" s="14"/>
      <c r="T761" s="14"/>
      <c r="U761" s="14"/>
      <c r="V761" s="14"/>
      <c r="W761" s="14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2"/>
      <c r="AJ761" s="21"/>
      <c r="AK761" s="21"/>
    </row>
    <row r="762" spans="1:37" ht="48.75" customHeight="1" x14ac:dyDescent="0.25">
      <c r="A762" s="79">
        <v>46276</v>
      </c>
      <c r="B762" s="6">
        <v>0.91666666601219005</v>
      </c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8"/>
      <c r="S762" s="7"/>
      <c r="T762" s="7"/>
      <c r="U762" s="7"/>
      <c r="V762" s="7"/>
      <c r="W762" s="7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9"/>
      <c r="AJ762" s="18"/>
      <c r="AK762" s="18"/>
    </row>
    <row r="763" spans="1:37" ht="48.75" customHeight="1" x14ac:dyDescent="0.25">
      <c r="A763" s="80"/>
      <c r="B763" s="10">
        <v>0.24999999934507899</v>
      </c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2"/>
      <c r="S763" s="11"/>
      <c r="T763" s="11"/>
      <c r="U763" s="11"/>
      <c r="V763" s="11"/>
      <c r="W763" s="11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20"/>
      <c r="AJ763" s="9"/>
      <c r="AK763" s="9"/>
    </row>
    <row r="764" spans="1:37" ht="48.75" customHeight="1" thickBot="1" x14ac:dyDescent="0.3">
      <c r="A764" s="81"/>
      <c r="B764" s="13">
        <v>0.58333333267798104</v>
      </c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5"/>
      <c r="S764" s="14"/>
      <c r="T764" s="14"/>
      <c r="U764" s="14"/>
      <c r="V764" s="14"/>
      <c r="W764" s="14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2"/>
      <c r="AJ764" s="21"/>
      <c r="AK764" s="21"/>
    </row>
    <row r="765" spans="1:37" ht="48.75" customHeight="1" x14ac:dyDescent="0.25">
      <c r="A765" s="79">
        <v>46277</v>
      </c>
      <c r="B765" s="6">
        <v>0.91666666601088298</v>
      </c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8"/>
      <c r="S765" s="7"/>
      <c r="T765" s="7"/>
      <c r="U765" s="7"/>
      <c r="V765" s="7"/>
      <c r="W765" s="7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9"/>
      <c r="AJ765" s="18"/>
      <c r="AK765" s="18"/>
    </row>
    <row r="766" spans="1:37" ht="48.75" customHeight="1" x14ac:dyDescent="0.25">
      <c r="A766" s="80"/>
      <c r="B766" s="10">
        <v>0.249999999343785</v>
      </c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2"/>
      <c r="S766" s="11"/>
      <c r="T766" s="11"/>
      <c r="U766" s="11"/>
      <c r="V766" s="11"/>
      <c r="W766" s="11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20"/>
      <c r="AJ766" s="9"/>
      <c r="AK766" s="9"/>
    </row>
    <row r="767" spans="1:37" ht="48.75" customHeight="1" thickBot="1" x14ac:dyDescent="0.3">
      <c r="A767" s="81"/>
      <c r="B767" s="13">
        <v>0.58333333267668797</v>
      </c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5"/>
      <c r="S767" s="14"/>
      <c r="T767" s="14"/>
      <c r="U767" s="14"/>
      <c r="V767" s="14"/>
      <c r="W767" s="14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2"/>
      <c r="AJ767" s="21"/>
      <c r="AK767" s="21"/>
    </row>
    <row r="768" spans="1:37" ht="48.75" customHeight="1" x14ac:dyDescent="0.25">
      <c r="A768" s="79">
        <v>46278</v>
      </c>
      <c r="B768" s="6">
        <v>0.91666666600959001</v>
      </c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8"/>
      <c r="S768" s="7"/>
      <c r="T768" s="7"/>
      <c r="U768" s="7"/>
      <c r="V768" s="7"/>
      <c r="W768" s="7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9"/>
      <c r="AJ768" s="18"/>
      <c r="AK768" s="18"/>
    </row>
    <row r="769" spans="1:37" ht="48.75" customHeight="1" x14ac:dyDescent="0.25">
      <c r="A769" s="80"/>
      <c r="B769" s="10">
        <v>0.24999999934247799</v>
      </c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2"/>
      <c r="S769" s="11"/>
      <c r="T769" s="11"/>
      <c r="U769" s="11"/>
      <c r="V769" s="11"/>
      <c r="W769" s="11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20"/>
      <c r="AJ769" s="9"/>
      <c r="AK769" s="9"/>
    </row>
    <row r="770" spans="1:37" ht="48.75" customHeight="1" thickBot="1" x14ac:dyDescent="0.3">
      <c r="A770" s="81"/>
      <c r="B770" s="13">
        <v>0.58333333267538001</v>
      </c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5"/>
      <c r="S770" s="14"/>
      <c r="T770" s="14"/>
      <c r="U770" s="14"/>
      <c r="V770" s="14"/>
      <c r="W770" s="14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2"/>
      <c r="AJ770" s="21"/>
      <c r="AK770" s="21"/>
    </row>
    <row r="771" spans="1:37" ht="48.75" customHeight="1" x14ac:dyDescent="0.25">
      <c r="A771" s="79">
        <v>46279</v>
      </c>
      <c r="B771" s="6">
        <v>0.91666666600828295</v>
      </c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8"/>
      <c r="S771" s="7"/>
      <c r="T771" s="7"/>
      <c r="U771" s="7"/>
      <c r="V771" s="7"/>
      <c r="W771" s="7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9"/>
      <c r="AJ771" s="18"/>
      <c r="AK771" s="18"/>
    </row>
    <row r="772" spans="1:37" ht="48.75" customHeight="1" x14ac:dyDescent="0.25">
      <c r="A772" s="80"/>
      <c r="B772" s="10">
        <v>0.249999999341185</v>
      </c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2"/>
      <c r="S772" s="11"/>
      <c r="T772" s="11"/>
      <c r="U772" s="11"/>
      <c r="V772" s="11"/>
      <c r="W772" s="11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20"/>
      <c r="AJ772" s="9"/>
      <c r="AK772" s="9"/>
    </row>
    <row r="773" spans="1:37" ht="48.75" customHeight="1" thickBot="1" x14ac:dyDescent="0.3">
      <c r="A773" s="81"/>
      <c r="B773" s="13">
        <v>0.58333333267408705</v>
      </c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5"/>
      <c r="S773" s="14"/>
      <c r="T773" s="14"/>
      <c r="U773" s="14"/>
      <c r="V773" s="14"/>
      <c r="W773" s="14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2"/>
      <c r="AJ773" s="21"/>
      <c r="AK773" s="21"/>
    </row>
    <row r="774" spans="1:37" ht="48.75" customHeight="1" x14ac:dyDescent="0.25">
      <c r="A774" s="79">
        <v>46280</v>
      </c>
      <c r="B774" s="6">
        <v>0.91666666600698898</v>
      </c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8"/>
      <c r="S774" s="7"/>
      <c r="T774" s="7"/>
      <c r="U774" s="7"/>
      <c r="V774" s="7"/>
      <c r="W774" s="7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9"/>
      <c r="AJ774" s="18"/>
      <c r="AK774" s="18"/>
    </row>
    <row r="775" spans="1:37" ht="48.75" customHeight="1" x14ac:dyDescent="0.25">
      <c r="A775" s="80"/>
      <c r="B775" s="10">
        <v>0.24999999933987699</v>
      </c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2"/>
      <c r="S775" s="11"/>
      <c r="T775" s="11"/>
      <c r="U775" s="11"/>
      <c r="V775" s="11"/>
      <c r="W775" s="11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20"/>
      <c r="AJ775" s="9"/>
      <c r="AK775" s="9"/>
    </row>
    <row r="776" spans="1:37" ht="48.75" customHeight="1" thickBot="1" x14ac:dyDescent="0.3">
      <c r="A776" s="81"/>
      <c r="B776" s="13">
        <v>0.58333333267277998</v>
      </c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5"/>
      <c r="S776" s="14"/>
      <c r="T776" s="14"/>
      <c r="U776" s="14"/>
      <c r="V776" s="14"/>
      <c r="W776" s="14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2"/>
      <c r="AJ776" s="21"/>
      <c r="AK776" s="21"/>
    </row>
    <row r="777" spans="1:37" ht="48.75" customHeight="1" x14ac:dyDescent="0.25">
      <c r="A777" s="79">
        <v>46281</v>
      </c>
      <c r="B777" s="6">
        <v>0.91666666600528401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8"/>
      <c r="S777" s="7"/>
      <c r="T777" s="7"/>
      <c r="U777" s="7"/>
      <c r="V777" s="7"/>
      <c r="W777" s="7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9"/>
      <c r="AJ777" s="18"/>
      <c r="AK777" s="18"/>
    </row>
    <row r="778" spans="1:37" ht="48.75" customHeight="1" x14ac:dyDescent="0.25">
      <c r="A778" s="80"/>
      <c r="B778" s="10">
        <v>0.24999999933828601</v>
      </c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2"/>
      <c r="S778" s="11"/>
      <c r="T778" s="11"/>
      <c r="U778" s="11"/>
      <c r="V778" s="11"/>
      <c r="W778" s="11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20"/>
      <c r="AJ778" s="9"/>
      <c r="AK778" s="9"/>
    </row>
    <row r="779" spans="1:37" ht="48.75" customHeight="1" thickBot="1" x14ac:dyDescent="0.3">
      <c r="A779" s="81"/>
      <c r="B779" s="13">
        <v>0.58333333267128795</v>
      </c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5"/>
      <c r="S779" s="14"/>
      <c r="T779" s="14"/>
      <c r="U779" s="14"/>
      <c r="V779" s="14"/>
      <c r="W779" s="14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2"/>
      <c r="AJ779" s="21"/>
      <c r="AK779" s="21"/>
    </row>
    <row r="780" spans="1:37" ht="48.75" customHeight="1" x14ac:dyDescent="0.25">
      <c r="A780" s="79">
        <v>46282</v>
      </c>
      <c r="B780" s="6">
        <v>0.91666666600428903</v>
      </c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8"/>
      <c r="S780" s="7"/>
      <c r="T780" s="7"/>
      <c r="U780" s="7"/>
      <c r="V780" s="7"/>
      <c r="W780" s="7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9"/>
      <c r="AJ780" s="18"/>
      <c r="AK780" s="18"/>
    </row>
    <row r="781" spans="1:37" ht="48.75" customHeight="1" x14ac:dyDescent="0.25">
      <c r="A781" s="80"/>
      <c r="B781" s="10">
        <v>0.249999999337291</v>
      </c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2"/>
      <c r="S781" s="11"/>
      <c r="T781" s="11"/>
      <c r="U781" s="11"/>
      <c r="V781" s="11"/>
      <c r="W781" s="11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20"/>
      <c r="AJ781" s="9"/>
      <c r="AK781" s="9"/>
    </row>
    <row r="782" spans="1:37" ht="48.75" customHeight="1" thickBot="1" x14ac:dyDescent="0.3">
      <c r="A782" s="81"/>
      <c r="B782" s="13">
        <v>0.58333333267027898</v>
      </c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5"/>
      <c r="S782" s="14"/>
      <c r="T782" s="14"/>
      <c r="U782" s="14"/>
      <c r="V782" s="14"/>
      <c r="W782" s="14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2"/>
      <c r="AJ782" s="21"/>
      <c r="AK782" s="21"/>
    </row>
    <row r="783" spans="1:37" ht="48.75" customHeight="1" x14ac:dyDescent="0.25">
      <c r="A783" s="79">
        <v>46283</v>
      </c>
      <c r="B783" s="6">
        <v>0.91666666600327995</v>
      </c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8"/>
      <c r="S783" s="7"/>
      <c r="T783" s="7"/>
      <c r="U783" s="7"/>
      <c r="V783" s="7"/>
      <c r="W783" s="7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9"/>
      <c r="AJ783" s="18"/>
      <c r="AK783" s="18"/>
    </row>
    <row r="784" spans="1:37" ht="48.75" customHeight="1" x14ac:dyDescent="0.25">
      <c r="A784" s="80"/>
      <c r="B784" s="10">
        <v>0.249999999336282</v>
      </c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2"/>
      <c r="S784" s="11"/>
      <c r="T784" s="11"/>
      <c r="U784" s="11"/>
      <c r="V784" s="11"/>
      <c r="W784" s="11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20"/>
      <c r="AJ784" s="9"/>
      <c r="AK784" s="9"/>
    </row>
    <row r="785" spans="1:37" ht="48.75" customHeight="1" thickBot="1" x14ac:dyDescent="0.3">
      <c r="A785" s="81"/>
      <c r="B785" s="13">
        <v>0.583333332669284</v>
      </c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5"/>
      <c r="S785" s="14"/>
      <c r="T785" s="14"/>
      <c r="U785" s="14"/>
      <c r="V785" s="14"/>
      <c r="W785" s="14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2"/>
      <c r="AJ785" s="21"/>
      <c r="AK785" s="21"/>
    </row>
    <row r="786" spans="1:37" ht="48.75" customHeight="1" x14ac:dyDescent="0.25">
      <c r="A786" s="79">
        <v>46284</v>
      </c>
      <c r="B786" s="6">
        <v>0.91666666600228597</v>
      </c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8"/>
      <c r="S786" s="7"/>
      <c r="T786" s="7"/>
      <c r="U786" s="7"/>
      <c r="V786" s="7"/>
      <c r="W786" s="7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9"/>
      <c r="AJ786" s="18"/>
      <c r="AK786" s="18"/>
    </row>
    <row r="787" spans="1:37" ht="48.75" customHeight="1" x14ac:dyDescent="0.25">
      <c r="A787" s="80"/>
      <c r="B787" s="10">
        <v>0.24999999933427799</v>
      </c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2"/>
      <c r="S787" s="11"/>
      <c r="T787" s="11"/>
      <c r="U787" s="11"/>
      <c r="V787" s="11"/>
      <c r="W787" s="11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20"/>
      <c r="AJ787" s="9"/>
      <c r="AK787" s="9"/>
    </row>
    <row r="788" spans="1:37" ht="48.75" customHeight="1" thickBot="1" x14ac:dyDescent="0.3">
      <c r="A788" s="81"/>
      <c r="B788" s="13">
        <v>0.58333333266728005</v>
      </c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5"/>
      <c r="S788" s="14"/>
      <c r="T788" s="14"/>
      <c r="U788" s="14"/>
      <c r="V788" s="14"/>
      <c r="W788" s="14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2"/>
      <c r="AJ788" s="21"/>
      <c r="AK788" s="21"/>
    </row>
    <row r="789" spans="1:37" ht="48.75" customHeight="1" x14ac:dyDescent="0.25">
      <c r="A789" s="79">
        <v>46285</v>
      </c>
      <c r="B789" s="6">
        <v>0.91666666600028202</v>
      </c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8"/>
      <c r="S789" s="7"/>
      <c r="T789" s="7"/>
      <c r="U789" s="7"/>
      <c r="V789" s="7"/>
      <c r="W789" s="7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9"/>
      <c r="AJ789" s="18"/>
      <c r="AK789" s="18"/>
    </row>
    <row r="790" spans="1:37" ht="48.75" customHeight="1" x14ac:dyDescent="0.25">
      <c r="A790" s="80"/>
      <c r="B790" s="10">
        <v>0.24999999933328401</v>
      </c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2"/>
      <c r="S790" s="11"/>
      <c r="T790" s="11"/>
      <c r="U790" s="11"/>
      <c r="V790" s="11"/>
      <c r="W790" s="11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20"/>
      <c r="AJ790" s="9"/>
      <c r="AK790" s="9"/>
    </row>
    <row r="791" spans="1:37" ht="48.75" customHeight="1" thickBot="1" x14ac:dyDescent="0.3">
      <c r="A791" s="81"/>
      <c r="B791" s="13">
        <v>0.58333333266628495</v>
      </c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5"/>
      <c r="S791" s="14"/>
      <c r="T791" s="14"/>
      <c r="U791" s="14"/>
      <c r="V791" s="14"/>
      <c r="W791" s="14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2"/>
      <c r="AJ791" s="21"/>
      <c r="AK791" s="21"/>
    </row>
    <row r="792" spans="1:37" ht="48.75" customHeight="1" x14ac:dyDescent="0.25">
      <c r="A792" s="79">
        <v>46286</v>
      </c>
      <c r="B792" s="6">
        <v>0.91666666599928703</v>
      </c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8"/>
      <c r="S792" s="7"/>
      <c r="T792" s="7"/>
      <c r="U792" s="7"/>
      <c r="V792" s="7"/>
      <c r="W792" s="7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9"/>
      <c r="AJ792" s="18"/>
      <c r="AK792" s="18"/>
    </row>
    <row r="793" spans="1:37" ht="48.75" customHeight="1" x14ac:dyDescent="0.25">
      <c r="A793" s="80"/>
      <c r="B793" s="10">
        <v>0.249999999332289</v>
      </c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2"/>
      <c r="S793" s="11"/>
      <c r="T793" s="11"/>
      <c r="U793" s="11"/>
      <c r="V793" s="11"/>
      <c r="W793" s="11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20"/>
      <c r="AJ793" s="9"/>
      <c r="AK793" s="9"/>
    </row>
    <row r="794" spans="1:37" ht="48.75" customHeight="1" thickBot="1" x14ac:dyDescent="0.3">
      <c r="A794" s="81"/>
      <c r="B794" s="13">
        <v>0.58333333266529097</v>
      </c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5"/>
      <c r="S794" s="14"/>
      <c r="T794" s="14"/>
      <c r="U794" s="14"/>
      <c r="V794" s="14"/>
      <c r="W794" s="14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2"/>
      <c r="AJ794" s="21"/>
      <c r="AK794" s="21"/>
    </row>
    <row r="795" spans="1:37" ht="48.75" customHeight="1" x14ac:dyDescent="0.25">
      <c r="A795" s="79">
        <v>46287</v>
      </c>
      <c r="B795" s="6">
        <v>0.91666666599827795</v>
      </c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8"/>
      <c r="S795" s="7"/>
      <c r="T795" s="7"/>
      <c r="U795" s="7"/>
      <c r="V795" s="7"/>
      <c r="W795" s="7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9"/>
      <c r="AJ795" s="18"/>
      <c r="AK795" s="18"/>
    </row>
    <row r="796" spans="1:37" ht="48.75" customHeight="1" x14ac:dyDescent="0.25">
      <c r="A796" s="80"/>
      <c r="B796" s="10">
        <v>0.24999999933128</v>
      </c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2"/>
      <c r="S796" s="11"/>
      <c r="T796" s="11"/>
      <c r="U796" s="11"/>
      <c r="V796" s="11"/>
      <c r="W796" s="11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20"/>
      <c r="AJ796" s="9"/>
      <c r="AK796" s="9"/>
    </row>
    <row r="797" spans="1:37" ht="48.75" customHeight="1" thickBot="1" x14ac:dyDescent="0.3">
      <c r="A797" s="81"/>
      <c r="B797" s="13">
        <v>0.58333333266328702</v>
      </c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5"/>
      <c r="S797" s="14"/>
      <c r="T797" s="14"/>
      <c r="U797" s="14"/>
      <c r="V797" s="14"/>
      <c r="W797" s="14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2"/>
      <c r="AJ797" s="21"/>
      <c r="AK797" s="21"/>
    </row>
    <row r="798" spans="1:37" ht="48.75" customHeight="1" x14ac:dyDescent="0.25">
      <c r="A798" s="79">
        <v>46288</v>
      </c>
      <c r="B798" s="6">
        <v>0.91666666599628899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8"/>
      <c r="S798" s="7"/>
      <c r="T798" s="7"/>
      <c r="U798" s="7"/>
      <c r="V798" s="7"/>
      <c r="W798" s="7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9"/>
      <c r="AJ798" s="18"/>
      <c r="AK798" s="18"/>
    </row>
    <row r="799" spans="1:37" ht="48.75" customHeight="1" x14ac:dyDescent="0.25">
      <c r="A799" s="80"/>
      <c r="B799" s="10">
        <v>0.24999999932929001</v>
      </c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2"/>
      <c r="S799" s="11"/>
      <c r="T799" s="11"/>
      <c r="U799" s="11"/>
      <c r="V799" s="11"/>
      <c r="W799" s="11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20"/>
      <c r="AJ799" s="9"/>
      <c r="AK799" s="9"/>
    </row>
    <row r="800" spans="1:37" ht="48.75" customHeight="1" thickBot="1" x14ac:dyDescent="0.3">
      <c r="A800" s="81"/>
      <c r="B800" s="13">
        <v>0.58333333266227805</v>
      </c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5"/>
      <c r="S800" s="14"/>
      <c r="T800" s="14"/>
      <c r="U800" s="14"/>
      <c r="V800" s="14"/>
      <c r="W800" s="14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2"/>
      <c r="AJ800" s="21"/>
      <c r="AK800" s="21"/>
    </row>
    <row r="801" spans="1:37" ht="48.75" customHeight="1" x14ac:dyDescent="0.25">
      <c r="A801" s="79">
        <v>46289</v>
      </c>
      <c r="B801" s="6">
        <v>0.91666666599528002</v>
      </c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8"/>
      <c r="S801" s="7"/>
      <c r="T801" s="7"/>
      <c r="U801" s="7"/>
      <c r="V801" s="7"/>
      <c r="W801" s="7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9"/>
      <c r="AJ801" s="18"/>
      <c r="AK801" s="18"/>
    </row>
    <row r="802" spans="1:37" ht="48.75" customHeight="1" x14ac:dyDescent="0.25">
      <c r="A802" s="80"/>
      <c r="B802" s="10">
        <v>0.24999999932828099</v>
      </c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2"/>
      <c r="S802" s="11"/>
      <c r="T802" s="11"/>
      <c r="U802" s="11"/>
      <c r="V802" s="11"/>
      <c r="W802" s="11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20"/>
      <c r="AJ802" s="9"/>
      <c r="AK802" s="9"/>
    </row>
    <row r="803" spans="1:37" ht="48.75" customHeight="1" thickBot="1" x14ac:dyDescent="0.3">
      <c r="A803" s="81"/>
      <c r="B803" s="13">
        <v>0.58333333266128296</v>
      </c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5"/>
      <c r="S803" s="14"/>
      <c r="T803" s="14"/>
      <c r="U803" s="14"/>
      <c r="V803" s="14"/>
      <c r="W803" s="14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2"/>
      <c r="AJ803" s="21"/>
      <c r="AK803" s="21"/>
    </row>
    <row r="804" spans="1:37" ht="48.75" customHeight="1" x14ac:dyDescent="0.25">
      <c r="A804" s="79">
        <v>46290</v>
      </c>
      <c r="B804" s="6">
        <v>0.91666666599428503</v>
      </c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8"/>
      <c r="S804" s="7"/>
      <c r="T804" s="7"/>
      <c r="U804" s="7"/>
      <c r="V804" s="7"/>
      <c r="W804" s="7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9"/>
      <c r="AJ804" s="18"/>
      <c r="AK804" s="18"/>
    </row>
    <row r="805" spans="1:37" ht="48.75" customHeight="1" x14ac:dyDescent="0.25">
      <c r="A805" s="80"/>
      <c r="B805" s="10">
        <v>0.249999999327287</v>
      </c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2"/>
      <c r="S805" s="11"/>
      <c r="T805" s="11"/>
      <c r="U805" s="11"/>
      <c r="V805" s="11"/>
      <c r="W805" s="11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20"/>
      <c r="AJ805" s="9"/>
      <c r="AK805" s="9"/>
    </row>
    <row r="806" spans="1:37" ht="48.75" customHeight="1" thickBot="1" x14ac:dyDescent="0.3">
      <c r="A806" s="81"/>
      <c r="B806" s="13">
        <v>0.58333333266028797</v>
      </c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5"/>
      <c r="S806" s="14"/>
      <c r="T806" s="14"/>
      <c r="U806" s="14"/>
      <c r="V806" s="14"/>
      <c r="W806" s="14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2"/>
      <c r="AJ806" s="21"/>
      <c r="AK806" s="21"/>
    </row>
    <row r="807" spans="1:37" ht="48.75" customHeight="1" x14ac:dyDescent="0.25">
      <c r="A807" s="79">
        <v>46291</v>
      </c>
      <c r="B807" s="6">
        <v>0.91666666599329005</v>
      </c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8"/>
      <c r="S807" s="7"/>
      <c r="T807" s="7"/>
      <c r="U807" s="7"/>
      <c r="V807" s="7"/>
      <c r="W807" s="7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9"/>
      <c r="AJ807" s="18"/>
      <c r="AK807" s="18"/>
    </row>
    <row r="808" spans="1:37" ht="48.75" customHeight="1" x14ac:dyDescent="0.25">
      <c r="A808" s="80"/>
      <c r="B808" s="10">
        <v>0.249999999325283</v>
      </c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2"/>
      <c r="S808" s="11"/>
      <c r="T808" s="11"/>
      <c r="U808" s="11"/>
      <c r="V808" s="11"/>
      <c r="W808" s="11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20"/>
      <c r="AJ808" s="9"/>
      <c r="AK808" s="9"/>
    </row>
    <row r="809" spans="1:37" ht="48.75" customHeight="1" thickBot="1" x14ac:dyDescent="0.3">
      <c r="A809" s="81"/>
      <c r="B809" s="13">
        <v>0.58333333265828502</v>
      </c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5"/>
      <c r="S809" s="14"/>
      <c r="T809" s="14"/>
      <c r="U809" s="14"/>
      <c r="V809" s="14"/>
      <c r="W809" s="14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2"/>
      <c r="AJ809" s="21"/>
      <c r="AK809" s="21"/>
    </row>
    <row r="810" spans="1:37" ht="48.75" customHeight="1" x14ac:dyDescent="0.25">
      <c r="A810" s="79">
        <v>46292</v>
      </c>
      <c r="B810" s="6">
        <v>0.91666666599128599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8"/>
      <c r="S810" s="7"/>
      <c r="T810" s="7"/>
      <c r="U810" s="7"/>
      <c r="V810" s="7"/>
      <c r="W810" s="7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9"/>
      <c r="AJ810" s="18"/>
      <c r="AK810" s="18"/>
    </row>
    <row r="811" spans="1:37" ht="48.75" customHeight="1" x14ac:dyDescent="0.25">
      <c r="A811" s="80"/>
      <c r="B811" s="10">
        <v>0.24999999932428801</v>
      </c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2"/>
      <c r="S811" s="11"/>
      <c r="T811" s="11"/>
      <c r="U811" s="11"/>
      <c r="V811" s="11"/>
      <c r="W811" s="11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20"/>
      <c r="AJ811" s="9"/>
      <c r="AK811" s="9"/>
    </row>
    <row r="812" spans="1:37" ht="48.75" customHeight="1" thickBot="1" x14ac:dyDescent="0.3">
      <c r="A812" s="81"/>
      <c r="B812" s="13">
        <v>0.58333333265729004</v>
      </c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5"/>
      <c r="S812" s="14"/>
      <c r="T812" s="14"/>
      <c r="U812" s="14"/>
      <c r="V812" s="14"/>
      <c r="W812" s="14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2"/>
      <c r="AJ812" s="21"/>
      <c r="AK812" s="21"/>
    </row>
    <row r="813" spans="1:37" ht="48.75" customHeight="1" x14ac:dyDescent="0.25">
      <c r="A813" s="79">
        <v>46293</v>
      </c>
      <c r="B813" s="6">
        <v>0.91666666599029201</v>
      </c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8"/>
      <c r="S813" s="7"/>
      <c r="T813" s="7"/>
      <c r="U813" s="7"/>
      <c r="V813" s="7"/>
      <c r="W813" s="7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9"/>
      <c r="AJ813" s="18"/>
      <c r="AK813" s="18"/>
    </row>
    <row r="814" spans="1:37" ht="48.75" customHeight="1" x14ac:dyDescent="0.25">
      <c r="A814" s="80"/>
      <c r="B814" s="10">
        <v>0.24999999932327899</v>
      </c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2"/>
      <c r="S814" s="11"/>
      <c r="T814" s="11"/>
      <c r="U814" s="11"/>
      <c r="V814" s="11"/>
      <c r="W814" s="11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20"/>
      <c r="AJ814" s="9"/>
      <c r="AK814" s="9"/>
    </row>
    <row r="815" spans="1:37" ht="48.75" customHeight="1" thickBot="1" x14ac:dyDescent="0.3">
      <c r="A815" s="81"/>
      <c r="B815" s="13">
        <v>0.58333333265628096</v>
      </c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5"/>
      <c r="S815" s="14"/>
      <c r="T815" s="14"/>
      <c r="U815" s="14"/>
      <c r="V815" s="14"/>
      <c r="W815" s="14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2"/>
      <c r="AJ815" s="21"/>
      <c r="AK815" s="21"/>
    </row>
    <row r="816" spans="1:37" ht="48.75" customHeight="1" x14ac:dyDescent="0.25">
      <c r="A816" s="79">
        <v>46294</v>
      </c>
      <c r="B816" s="6">
        <v>0.91666666598928304</v>
      </c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8"/>
      <c r="S816" s="7"/>
      <c r="T816" s="7"/>
      <c r="U816" s="7"/>
      <c r="V816" s="7"/>
      <c r="W816" s="7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9"/>
      <c r="AJ816" s="18"/>
      <c r="AK816" s="18"/>
    </row>
    <row r="817" spans="1:37" ht="48.75" customHeight="1" x14ac:dyDescent="0.25">
      <c r="A817" s="80"/>
      <c r="B817" s="10">
        <v>0.24999999932228401</v>
      </c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2"/>
      <c r="S817" s="11"/>
      <c r="T817" s="11"/>
      <c r="U817" s="11"/>
      <c r="V817" s="11"/>
      <c r="W817" s="11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20"/>
      <c r="AJ817" s="9"/>
      <c r="AK817" s="9"/>
    </row>
    <row r="818" spans="1:37" ht="48.75" customHeight="1" thickBot="1" x14ac:dyDescent="0.3">
      <c r="A818" s="81"/>
      <c r="B818" s="13">
        <v>0.58333333265429099</v>
      </c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5"/>
      <c r="S818" s="14"/>
      <c r="T818" s="14"/>
      <c r="U818" s="14"/>
      <c r="V818" s="14"/>
      <c r="W818" s="14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2"/>
      <c r="AJ818" s="21"/>
      <c r="AK818" s="21"/>
    </row>
    <row r="819" spans="1:37" ht="48.75" customHeight="1" x14ac:dyDescent="0.25">
      <c r="A819" s="79">
        <v>46295</v>
      </c>
      <c r="B819" s="6">
        <v>0.91666666598729296</v>
      </c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8"/>
      <c r="S819" s="7"/>
      <c r="T819" s="7"/>
      <c r="U819" s="7"/>
      <c r="V819" s="7"/>
      <c r="W819" s="7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9"/>
      <c r="AJ819" s="18"/>
      <c r="AK819" s="18"/>
    </row>
    <row r="820" spans="1:37" ht="48.75" customHeight="1" x14ac:dyDescent="0.25">
      <c r="A820" s="80"/>
      <c r="B820" s="10">
        <v>0.24999999932029501</v>
      </c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2"/>
      <c r="S820" s="11"/>
      <c r="T820" s="11"/>
      <c r="U820" s="11"/>
      <c r="V820" s="11"/>
      <c r="W820" s="11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20"/>
      <c r="AJ820" s="9"/>
      <c r="AK820" s="9"/>
    </row>
    <row r="821" spans="1:37" ht="48.75" customHeight="1" thickBot="1" x14ac:dyDescent="0.3">
      <c r="A821" s="81"/>
      <c r="B821" s="13">
        <v>0.58333333265329701</v>
      </c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5"/>
      <c r="S821" s="14"/>
      <c r="T821" s="14"/>
      <c r="U821" s="14"/>
      <c r="V821" s="14"/>
      <c r="W821" s="14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2"/>
      <c r="AJ821" s="21"/>
      <c r="AK821" s="21"/>
    </row>
  </sheetData>
  <mergeCells count="275">
    <mergeCell ref="A465:A467"/>
    <mergeCell ref="A468:A470"/>
    <mergeCell ref="A471:A473"/>
    <mergeCell ref="A474:A476"/>
    <mergeCell ref="A477:A479"/>
    <mergeCell ref="A480:A482"/>
    <mergeCell ref="A483:A485"/>
    <mergeCell ref="A438:A440"/>
    <mergeCell ref="A441:A443"/>
    <mergeCell ref="A444:A446"/>
    <mergeCell ref="A447:A449"/>
    <mergeCell ref="A450:A452"/>
    <mergeCell ref="A453:A455"/>
    <mergeCell ref="A456:A458"/>
    <mergeCell ref="A459:A461"/>
    <mergeCell ref="A462:A464"/>
    <mergeCell ref="A411:A413"/>
    <mergeCell ref="A414:A416"/>
    <mergeCell ref="A417:A419"/>
    <mergeCell ref="A420:A422"/>
    <mergeCell ref="A423:A425"/>
    <mergeCell ref="A426:A428"/>
    <mergeCell ref="A429:A431"/>
    <mergeCell ref="A432:A434"/>
    <mergeCell ref="A435:A437"/>
    <mergeCell ref="A384:A386"/>
    <mergeCell ref="A387:A389"/>
    <mergeCell ref="A390:A392"/>
    <mergeCell ref="A393:A395"/>
    <mergeCell ref="A396:A398"/>
    <mergeCell ref="A399:A401"/>
    <mergeCell ref="A402:A404"/>
    <mergeCell ref="A405:A407"/>
    <mergeCell ref="A408:A410"/>
    <mergeCell ref="A3:A5"/>
    <mergeCell ref="A6:A8"/>
    <mergeCell ref="A9:A11"/>
    <mergeCell ref="A12:A14"/>
    <mergeCell ref="A15:A17"/>
    <mergeCell ref="A1:A2"/>
    <mergeCell ref="B1:B2"/>
    <mergeCell ref="A33:A35"/>
    <mergeCell ref="A36:A38"/>
    <mergeCell ref="A39:A41"/>
    <mergeCell ref="A42:A44"/>
    <mergeCell ref="A45:A47"/>
    <mergeCell ref="A18:A20"/>
    <mergeCell ref="A21:A23"/>
    <mergeCell ref="A24:A26"/>
    <mergeCell ref="A27:A29"/>
    <mergeCell ref="A30:A32"/>
    <mergeCell ref="A63:A65"/>
    <mergeCell ref="A66:A68"/>
    <mergeCell ref="A69:A71"/>
    <mergeCell ref="A72:A74"/>
    <mergeCell ref="A75:A77"/>
    <mergeCell ref="A48:A50"/>
    <mergeCell ref="A51:A53"/>
    <mergeCell ref="A54:A56"/>
    <mergeCell ref="A57:A59"/>
    <mergeCell ref="A60:A62"/>
    <mergeCell ref="A93:A95"/>
    <mergeCell ref="A96:A98"/>
    <mergeCell ref="A99:A101"/>
    <mergeCell ref="A102:A104"/>
    <mergeCell ref="A105:A107"/>
    <mergeCell ref="A78:A80"/>
    <mergeCell ref="A81:A83"/>
    <mergeCell ref="A84:A86"/>
    <mergeCell ref="A87:A89"/>
    <mergeCell ref="A90:A92"/>
    <mergeCell ref="A123:A125"/>
    <mergeCell ref="A126:A128"/>
    <mergeCell ref="A129:A131"/>
    <mergeCell ref="A132:A134"/>
    <mergeCell ref="A135:A137"/>
    <mergeCell ref="A108:A110"/>
    <mergeCell ref="A111:A113"/>
    <mergeCell ref="A114:A116"/>
    <mergeCell ref="A117:A119"/>
    <mergeCell ref="A120:A122"/>
    <mergeCell ref="A153:A155"/>
    <mergeCell ref="A156:A158"/>
    <mergeCell ref="A159:A161"/>
    <mergeCell ref="A162:A164"/>
    <mergeCell ref="A165:A167"/>
    <mergeCell ref="A138:A140"/>
    <mergeCell ref="A141:A143"/>
    <mergeCell ref="A144:A146"/>
    <mergeCell ref="A147:A149"/>
    <mergeCell ref="A150:A152"/>
    <mergeCell ref="A183:A185"/>
    <mergeCell ref="A186:A188"/>
    <mergeCell ref="A189:A191"/>
    <mergeCell ref="A192:A194"/>
    <mergeCell ref="A195:A197"/>
    <mergeCell ref="A168:A170"/>
    <mergeCell ref="A171:A173"/>
    <mergeCell ref="A174:A176"/>
    <mergeCell ref="A177:A179"/>
    <mergeCell ref="A180:A182"/>
    <mergeCell ref="A213:A215"/>
    <mergeCell ref="A216:A218"/>
    <mergeCell ref="A219:A221"/>
    <mergeCell ref="A222:A224"/>
    <mergeCell ref="A225:A227"/>
    <mergeCell ref="A198:A200"/>
    <mergeCell ref="A201:A203"/>
    <mergeCell ref="A204:A206"/>
    <mergeCell ref="A207:A209"/>
    <mergeCell ref="A210:A212"/>
    <mergeCell ref="A243:A245"/>
    <mergeCell ref="A246:A248"/>
    <mergeCell ref="A249:A251"/>
    <mergeCell ref="A252:A254"/>
    <mergeCell ref="A255:A257"/>
    <mergeCell ref="A228:A230"/>
    <mergeCell ref="A231:A233"/>
    <mergeCell ref="A234:A236"/>
    <mergeCell ref="A237:A239"/>
    <mergeCell ref="A240:A242"/>
    <mergeCell ref="A273:A275"/>
    <mergeCell ref="A276:A278"/>
    <mergeCell ref="A279:A281"/>
    <mergeCell ref="A282:A284"/>
    <mergeCell ref="A285:A287"/>
    <mergeCell ref="A258:A260"/>
    <mergeCell ref="A261:A263"/>
    <mergeCell ref="A264:A266"/>
    <mergeCell ref="A267:A269"/>
    <mergeCell ref="A270:A272"/>
    <mergeCell ref="A303:A305"/>
    <mergeCell ref="A306:A308"/>
    <mergeCell ref="A309:A311"/>
    <mergeCell ref="A312:A314"/>
    <mergeCell ref="A315:A317"/>
    <mergeCell ref="A288:A290"/>
    <mergeCell ref="A291:A293"/>
    <mergeCell ref="A294:A296"/>
    <mergeCell ref="A297:A299"/>
    <mergeCell ref="A300:A302"/>
    <mergeCell ref="A333:A335"/>
    <mergeCell ref="A336:A338"/>
    <mergeCell ref="A339:A341"/>
    <mergeCell ref="A342:A344"/>
    <mergeCell ref="A345:A347"/>
    <mergeCell ref="A318:A320"/>
    <mergeCell ref="A321:A323"/>
    <mergeCell ref="A324:A326"/>
    <mergeCell ref="A327:A329"/>
    <mergeCell ref="A330:A332"/>
    <mergeCell ref="A378:A380"/>
    <mergeCell ref="A381:A383"/>
    <mergeCell ref="A363:A365"/>
    <mergeCell ref="A366:A368"/>
    <mergeCell ref="A369:A371"/>
    <mergeCell ref="A372:A374"/>
    <mergeCell ref="A375:A377"/>
    <mergeCell ref="A348:A350"/>
    <mergeCell ref="A351:A353"/>
    <mergeCell ref="A354:A356"/>
    <mergeCell ref="A357:A359"/>
    <mergeCell ref="A360:A362"/>
    <mergeCell ref="A486:A488"/>
    <mergeCell ref="A489:A491"/>
    <mergeCell ref="A492:A494"/>
    <mergeCell ref="A495:A497"/>
    <mergeCell ref="A498:A500"/>
    <mergeCell ref="A501:A503"/>
    <mergeCell ref="A504:A506"/>
    <mergeCell ref="A507:A509"/>
    <mergeCell ref="A510:A512"/>
    <mergeCell ref="A513:A515"/>
    <mergeCell ref="A516:A518"/>
    <mergeCell ref="A519:A521"/>
    <mergeCell ref="A522:A524"/>
    <mergeCell ref="A525:A527"/>
    <mergeCell ref="A528:A530"/>
    <mergeCell ref="A531:A533"/>
    <mergeCell ref="A534:A536"/>
    <mergeCell ref="A537:A539"/>
    <mergeCell ref="A540:A542"/>
    <mergeCell ref="A543:A545"/>
    <mergeCell ref="A546:A548"/>
    <mergeCell ref="A549:A551"/>
    <mergeCell ref="A552:A554"/>
    <mergeCell ref="A555:A557"/>
    <mergeCell ref="A558:A560"/>
    <mergeCell ref="A561:A563"/>
    <mergeCell ref="A564:A566"/>
    <mergeCell ref="A567:A569"/>
    <mergeCell ref="A570:A572"/>
    <mergeCell ref="A573:A575"/>
    <mergeCell ref="A576:A578"/>
    <mergeCell ref="A579:A581"/>
    <mergeCell ref="A582:A584"/>
    <mergeCell ref="A585:A587"/>
    <mergeCell ref="A588:A590"/>
    <mergeCell ref="A591:A593"/>
    <mergeCell ref="A594:A596"/>
    <mergeCell ref="A597:A599"/>
    <mergeCell ref="A600:A602"/>
    <mergeCell ref="A603:A605"/>
    <mergeCell ref="A606:A608"/>
    <mergeCell ref="A609:A611"/>
    <mergeCell ref="A612:A614"/>
    <mergeCell ref="A615:A617"/>
    <mergeCell ref="A618:A620"/>
    <mergeCell ref="A621:A623"/>
    <mergeCell ref="A624:A626"/>
    <mergeCell ref="A627:A629"/>
    <mergeCell ref="A630:A632"/>
    <mergeCell ref="A633:A635"/>
    <mergeCell ref="A636:A638"/>
    <mergeCell ref="A639:A641"/>
    <mergeCell ref="A642:A644"/>
    <mergeCell ref="A645:A647"/>
    <mergeCell ref="A648:A650"/>
    <mergeCell ref="A651:A653"/>
    <mergeCell ref="A654:A656"/>
    <mergeCell ref="A657:A659"/>
    <mergeCell ref="A660:A662"/>
    <mergeCell ref="A663:A665"/>
    <mergeCell ref="A666:A668"/>
    <mergeCell ref="A669:A671"/>
    <mergeCell ref="A672:A674"/>
    <mergeCell ref="A675:A677"/>
    <mergeCell ref="A678:A680"/>
    <mergeCell ref="A681:A683"/>
    <mergeCell ref="A684:A686"/>
    <mergeCell ref="A687:A689"/>
    <mergeCell ref="A690:A692"/>
    <mergeCell ref="A693:A695"/>
    <mergeCell ref="A696:A698"/>
    <mergeCell ref="A699:A701"/>
    <mergeCell ref="A702:A704"/>
    <mergeCell ref="A705:A707"/>
    <mergeCell ref="A708:A710"/>
    <mergeCell ref="A711:A713"/>
    <mergeCell ref="A714:A716"/>
    <mergeCell ref="A717:A719"/>
    <mergeCell ref="A720:A722"/>
    <mergeCell ref="A723:A725"/>
    <mergeCell ref="A726:A728"/>
    <mergeCell ref="A729:A731"/>
    <mergeCell ref="A732:A734"/>
    <mergeCell ref="A735:A737"/>
    <mergeCell ref="A738:A740"/>
    <mergeCell ref="A741:A743"/>
    <mergeCell ref="A744:A746"/>
    <mergeCell ref="A747:A749"/>
    <mergeCell ref="A750:A752"/>
    <mergeCell ref="A753:A755"/>
    <mergeCell ref="A756:A758"/>
    <mergeCell ref="A759:A761"/>
    <mergeCell ref="A762:A764"/>
    <mergeCell ref="A765:A767"/>
    <mergeCell ref="A768:A770"/>
    <mergeCell ref="A771:A773"/>
    <mergeCell ref="A774:A776"/>
    <mergeCell ref="A777:A779"/>
    <mergeCell ref="A780:A782"/>
    <mergeCell ref="A810:A812"/>
    <mergeCell ref="A813:A815"/>
    <mergeCell ref="A816:A818"/>
    <mergeCell ref="A819:A821"/>
    <mergeCell ref="A783:A785"/>
    <mergeCell ref="A786:A788"/>
    <mergeCell ref="A789:A791"/>
    <mergeCell ref="A792:A794"/>
    <mergeCell ref="A795:A797"/>
    <mergeCell ref="A798:A800"/>
    <mergeCell ref="A801:A803"/>
    <mergeCell ref="A804:A806"/>
    <mergeCell ref="A807:A80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0" r:id="rId4" name="Button 8">
              <controlPr defaultSize="0" print="0" autoFill="0" autoPict="0">
                <anchor moveWithCells="1">
                  <from>
                    <xdr:col>26</xdr:col>
                    <xdr:colOff>104775</xdr:colOff>
                    <xdr:row>4</xdr:row>
                    <xdr:rowOff>104775</xdr:rowOff>
                  </from>
                  <to>
                    <xdr:col>26</xdr:col>
                    <xdr:colOff>1371600</xdr:colOff>
                    <xdr:row>4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DC5B-503D-4D43-9989-5657D7277832}">
  <dimension ref="A1:D18"/>
  <sheetViews>
    <sheetView topLeftCell="A7" workbookViewId="0">
      <selection activeCell="B16" sqref="B16"/>
    </sheetView>
  </sheetViews>
  <sheetFormatPr baseColWidth="10" defaultRowHeight="15" x14ac:dyDescent="0.25"/>
  <sheetData>
    <row r="1" spans="1:4" ht="26.25" x14ac:dyDescent="0.25">
      <c r="A1" s="18">
        <v>37</v>
      </c>
    </row>
    <row r="2" spans="1:4" ht="26.25" x14ac:dyDescent="0.25">
      <c r="A2" s="9">
        <v>81</v>
      </c>
      <c r="B2">
        <f>+A2-A1</f>
        <v>44</v>
      </c>
      <c r="D2">
        <f>+AVERAGE(B2:B6,B16,B17)</f>
        <v>43.571428571428569</v>
      </c>
    </row>
    <row r="3" spans="1:4" ht="27" thickBot="1" x14ac:dyDescent="0.3">
      <c r="A3" s="21">
        <v>122</v>
      </c>
      <c r="B3">
        <f t="shared" ref="B3:B18" si="0">+A3-A2</f>
        <v>41</v>
      </c>
    </row>
    <row r="4" spans="1:4" ht="26.25" x14ac:dyDescent="0.25">
      <c r="A4" s="7">
        <v>164</v>
      </c>
      <c r="B4">
        <f t="shared" si="0"/>
        <v>42</v>
      </c>
    </row>
    <row r="5" spans="1:4" ht="26.25" x14ac:dyDescent="0.25">
      <c r="A5" s="11">
        <f>164+41</f>
        <v>205</v>
      </c>
      <c r="B5">
        <f t="shared" si="0"/>
        <v>41</v>
      </c>
    </row>
    <row r="6" spans="1:4" ht="27" thickBot="1" x14ac:dyDescent="0.3">
      <c r="A6" s="21">
        <v>238</v>
      </c>
      <c r="B6">
        <f t="shared" si="0"/>
        <v>33</v>
      </c>
    </row>
    <row r="7" spans="1:4" ht="27" thickBot="1" x14ac:dyDescent="0.3">
      <c r="A7" s="21">
        <v>238</v>
      </c>
      <c r="B7">
        <f t="shared" si="0"/>
        <v>0</v>
      </c>
    </row>
    <row r="8" spans="1:4" ht="27" thickBot="1" x14ac:dyDescent="0.3">
      <c r="A8" s="21">
        <v>238</v>
      </c>
      <c r="B8">
        <f t="shared" si="0"/>
        <v>0</v>
      </c>
    </row>
    <row r="9" spans="1:4" ht="27" thickBot="1" x14ac:dyDescent="0.3">
      <c r="A9" s="21">
        <v>238</v>
      </c>
      <c r="B9">
        <f t="shared" si="0"/>
        <v>0</v>
      </c>
    </row>
    <row r="10" spans="1:4" ht="27" thickBot="1" x14ac:dyDescent="0.3">
      <c r="A10" s="21">
        <v>238</v>
      </c>
      <c r="B10">
        <f t="shared" si="0"/>
        <v>0</v>
      </c>
    </row>
    <row r="11" spans="1:4" ht="27" thickBot="1" x14ac:dyDescent="0.3">
      <c r="A11" s="21">
        <v>238</v>
      </c>
      <c r="B11">
        <f t="shared" si="0"/>
        <v>0</v>
      </c>
    </row>
    <row r="12" spans="1:4" ht="27" thickBot="1" x14ac:dyDescent="0.3">
      <c r="A12" s="21">
        <v>238</v>
      </c>
      <c r="B12">
        <f t="shared" si="0"/>
        <v>0</v>
      </c>
    </row>
    <row r="13" spans="1:4" ht="27" thickBot="1" x14ac:dyDescent="0.3">
      <c r="A13" s="21">
        <v>238</v>
      </c>
      <c r="B13">
        <f t="shared" si="0"/>
        <v>0</v>
      </c>
    </row>
    <row r="14" spans="1:4" ht="27" thickBot="1" x14ac:dyDescent="0.3">
      <c r="A14" s="21">
        <v>238</v>
      </c>
      <c r="B14">
        <f t="shared" si="0"/>
        <v>0</v>
      </c>
    </row>
    <row r="15" spans="1:4" ht="27" thickBot="1" x14ac:dyDescent="0.3">
      <c r="A15" s="21">
        <v>238</v>
      </c>
      <c r="B15">
        <f t="shared" si="0"/>
        <v>0</v>
      </c>
    </row>
    <row r="16" spans="1:4" ht="26.25" x14ac:dyDescent="0.25">
      <c r="A16" s="18">
        <v>295</v>
      </c>
      <c r="B16">
        <f t="shared" si="0"/>
        <v>57</v>
      </c>
    </row>
    <row r="17" spans="1:2" ht="26.25" x14ac:dyDescent="0.25">
      <c r="A17" s="77">
        <v>342</v>
      </c>
      <c r="B17">
        <f t="shared" si="0"/>
        <v>47</v>
      </c>
    </row>
    <row r="18" spans="1:2" x14ac:dyDescent="0.25">
      <c r="B18">
        <f t="shared" si="0"/>
        <v>-342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AEC0-DCCC-4927-A8FB-7BD9011FEE24}">
  <dimension ref="A1:F16"/>
  <sheetViews>
    <sheetView workbookViewId="0">
      <selection activeCell="C21" sqref="C21"/>
    </sheetView>
  </sheetViews>
  <sheetFormatPr baseColWidth="10" defaultRowHeight="15" x14ac:dyDescent="0.25"/>
  <cols>
    <col min="3" max="3" width="12.7109375" bestFit="1" customWidth="1"/>
  </cols>
  <sheetData>
    <row r="1" spans="1:6" ht="81" customHeight="1" x14ac:dyDescent="0.25">
      <c r="A1" s="28" t="s">
        <v>25</v>
      </c>
      <c r="B1" s="28" t="s">
        <v>24</v>
      </c>
      <c r="C1" s="26" t="s">
        <v>92</v>
      </c>
      <c r="D1" s="60" t="s">
        <v>93</v>
      </c>
      <c r="E1" s="26" t="s">
        <v>90</v>
      </c>
      <c r="F1" s="60" t="s">
        <v>91</v>
      </c>
    </row>
    <row r="2" spans="1:6" ht="15.75" x14ac:dyDescent="0.25">
      <c r="A2" s="61">
        <v>46079</v>
      </c>
      <c r="B2" s="62">
        <v>0.58333333333333337</v>
      </c>
      <c r="C2" s="59">
        <v>262153</v>
      </c>
      <c r="D2" s="59">
        <v>0.3</v>
      </c>
      <c r="E2" s="27"/>
      <c r="F2" s="27"/>
    </row>
    <row r="3" spans="1:6" ht="15.75" x14ac:dyDescent="0.25">
      <c r="A3" s="61">
        <v>46079</v>
      </c>
      <c r="B3" s="62">
        <v>0.91666666666666663</v>
      </c>
      <c r="C3" s="59">
        <v>262298</v>
      </c>
      <c r="D3" s="59">
        <v>11.96</v>
      </c>
      <c r="E3" s="27">
        <f t="shared" ref="E3:E15" si="0">C3-C2</f>
        <v>145</v>
      </c>
      <c r="F3" s="64">
        <f t="shared" ref="F3:F15" si="1">D3-D2</f>
        <v>11.66</v>
      </c>
    </row>
    <row r="4" spans="1:6" ht="15.75" x14ac:dyDescent="0.25">
      <c r="A4" s="61">
        <v>46080</v>
      </c>
      <c r="B4" s="62">
        <v>0.25</v>
      </c>
      <c r="C4" s="59">
        <v>262444</v>
      </c>
      <c r="D4" s="59">
        <v>25.52</v>
      </c>
      <c r="E4" s="27">
        <f t="shared" si="0"/>
        <v>146</v>
      </c>
      <c r="F4" s="64">
        <f t="shared" si="1"/>
        <v>13.559999999999999</v>
      </c>
    </row>
    <row r="5" spans="1:6" ht="15.75" x14ac:dyDescent="0.25">
      <c r="A5" s="61">
        <v>46080</v>
      </c>
      <c r="B5" s="62">
        <v>0.45833333333333331</v>
      </c>
      <c r="C5" s="59">
        <v>262514</v>
      </c>
      <c r="D5" s="59">
        <v>45.21</v>
      </c>
      <c r="E5" s="27">
        <f t="shared" si="0"/>
        <v>70</v>
      </c>
      <c r="F5" s="64">
        <f t="shared" si="1"/>
        <v>19.690000000000001</v>
      </c>
    </row>
    <row r="6" spans="1:6" ht="15.75" x14ac:dyDescent="0.25">
      <c r="A6" s="61">
        <v>46080</v>
      </c>
      <c r="B6" s="62">
        <v>0.58333333333333337</v>
      </c>
      <c r="C6" s="59">
        <v>262597</v>
      </c>
      <c r="D6" s="59">
        <v>55.78</v>
      </c>
      <c r="E6" s="27">
        <f t="shared" si="0"/>
        <v>83</v>
      </c>
      <c r="F6" s="64">
        <f t="shared" si="1"/>
        <v>10.57</v>
      </c>
    </row>
    <row r="7" spans="1:6" ht="15.75" x14ac:dyDescent="0.25">
      <c r="A7" s="61">
        <v>46080</v>
      </c>
      <c r="B7" s="62">
        <v>0.91666666666666663</v>
      </c>
      <c r="C7" s="59">
        <v>262852</v>
      </c>
      <c r="D7" s="59">
        <v>63.78</v>
      </c>
      <c r="E7" s="27">
        <f t="shared" si="0"/>
        <v>255</v>
      </c>
      <c r="F7" s="64">
        <f t="shared" si="1"/>
        <v>8</v>
      </c>
    </row>
    <row r="8" spans="1:6" ht="15.75" x14ac:dyDescent="0.25">
      <c r="A8" s="61">
        <v>46081</v>
      </c>
      <c r="B8" s="62">
        <v>0.25</v>
      </c>
      <c r="C8" s="59">
        <v>263003</v>
      </c>
      <c r="D8" s="59">
        <v>70.81</v>
      </c>
      <c r="E8" s="27">
        <f t="shared" si="0"/>
        <v>151</v>
      </c>
      <c r="F8" s="64">
        <f t="shared" si="1"/>
        <v>7.0300000000000011</v>
      </c>
    </row>
    <row r="9" spans="1:6" ht="15.75" x14ac:dyDescent="0.25">
      <c r="A9" s="61">
        <v>46081</v>
      </c>
      <c r="B9" s="62">
        <v>0.58333333333333337</v>
      </c>
      <c r="C9" s="59">
        <f>+C8+116</f>
        <v>263119</v>
      </c>
      <c r="D9" s="59">
        <v>74.81</v>
      </c>
      <c r="E9" s="27">
        <f t="shared" si="0"/>
        <v>116</v>
      </c>
      <c r="F9" s="64">
        <f t="shared" si="1"/>
        <v>4</v>
      </c>
    </row>
    <row r="10" spans="1:6" ht="15.75" x14ac:dyDescent="0.25">
      <c r="A10" s="61">
        <v>46082</v>
      </c>
      <c r="B10" s="62">
        <v>0.91666666666666663</v>
      </c>
      <c r="C10" s="59">
        <v>263222</v>
      </c>
      <c r="D10" s="59">
        <v>84.504999999999995</v>
      </c>
      <c r="E10" s="27">
        <f t="shared" si="0"/>
        <v>103</v>
      </c>
      <c r="F10" s="64">
        <f t="shared" si="1"/>
        <v>9.6949999999999932</v>
      </c>
    </row>
    <row r="11" spans="1:6" ht="15.75" x14ac:dyDescent="0.25">
      <c r="A11" s="61">
        <v>46083</v>
      </c>
      <c r="B11" s="62">
        <v>0.25</v>
      </c>
      <c r="C11" s="59">
        <v>263359</v>
      </c>
      <c r="D11" s="59">
        <v>94.2</v>
      </c>
      <c r="E11" s="27">
        <f t="shared" si="0"/>
        <v>137</v>
      </c>
      <c r="F11" s="64">
        <f t="shared" si="1"/>
        <v>9.6950000000000074</v>
      </c>
    </row>
    <row r="12" spans="1:6" ht="15.75" x14ac:dyDescent="0.25">
      <c r="A12" s="61">
        <v>46083</v>
      </c>
      <c r="B12" s="62">
        <v>0.45833333333333331</v>
      </c>
      <c r="C12" s="59">
        <v>263414</v>
      </c>
      <c r="D12" s="59">
        <v>99.1</v>
      </c>
      <c r="E12" s="27">
        <f t="shared" si="0"/>
        <v>55</v>
      </c>
      <c r="F12" s="64">
        <f t="shared" si="1"/>
        <v>4.8999999999999915</v>
      </c>
    </row>
    <row r="13" spans="1:6" ht="15.75" x14ac:dyDescent="0.25">
      <c r="A13" s="61">
        <v>46083</v>
      </c>
      <c r="B13" s="62">
        <v>0.58333333333333337</v>
      </c>
      <c r="C13" s="59">
        <v>263469</v>
      </c>
      <c r="D13" s="59">
        <v>102.6</v>
      </c>
      <c r="E13" s="27">
        <f t="shared" si="0"/>
        <v>55</v>
      </c>
      <c r="F13" s="64">
        <f t="shared" si="1"/>
        <v>3.5</v>
      </c>
    </row>
    <row r="14" spans="1:6" ht="15.75" x14ac:dyDescent="0.25">
      <c r="A14" s="61">
        <v>46083</v>
      </c>
      <c r="B14" s="62">
        <v>0.91666666666666663</v>
      </c>
      <c r="C14" s="59">
        <v>263603</v>
      </c>
      <c r="D14" s="59">
        <v>111.1</v>
      </c>
      <c r="E14" s="27">
        <f t="shared" si="0"/>
        <v>134</v>
      </c>
      <c r="F14" s="64">
        <f t="shared" si="1"/>
        <v>8.5</v>
      </c>
    </row>
    <row r="15" spans="1:6" ht="15.75" x14ac:dyDescent="0.25">
      <c r="A15" s="61">
        <v>46084</v>
      </c>
      <c r="B15" s="62">
        <v>0.25</v>
      </c>
      <c r="C15" s="59">
        <v>263721</v>
      </c>
      <c r="D15" s="59">
        <v>111.77</v>
      </c>
      <c r="E15" s="27">
        <f t="shared" si="0"/>
        <v>118</v>
      </c>
      <c r="F15" s="64">
        <f t="shared" si="1"/>
        <v>0.67000000000000171</v>
      </c>
    </row>
    <row r="16" spans="1:6" x14ac:dyDescent="0.25">
      <c r="A16" s="85" t="s">
        <v>94</v>
      </c>
      <c r="B16" s="85"/>
      <c r="C16" s="85"/>
      <c r="D16" s="86"/>
      <c r="E16" s="65">
        <f>+C15-C2</f>
        <v>1568</v>
      </c>
      <c r="F16" s="65">
        <f>+D15-D2</f>
        <v>111.47</v>
      </c>
    </row>
  </sheetData>
  <mergeCells count="1"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2E38-EE71-4C5A-9E05-9BA122B66DCB}">
  <sheetPr codeName="Hoja3">
    <tabColor theme="4"/>
  </sheetPr>
  <dimension ref="B3:AD17"/>
  <sheetViews>
    <sheetView topLeftCell="O2" workbookViewId="0">
      <selection activeCell="G17" sqref="G17"/>
    </sheetView>
  </sheetViews>
  <sheetFormatPr baseColWidth="10" defaultRowHeight="15" x14ac:dyDescent="0.25"/>
  <sheetData>
    <row r="3" spans="2:30" x14ac:dyDescent="0.25"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41</v>
      </c>
      <c r="Q3" s="5" t="s">
        <v>42</v>
      </c>
      <c r="R3" s="5" t="s">
        <v>43</v>
      </c>
      <c r="S3" s="5" t="s">
        <v>44</v>
      </c>
      <c r="T3" s="5" t="s">
        <v>45</v>
      </c>
      <c r="U3" s="5" t="s">
        <v>46</v>
      </c>
      <c r="V3" s="5" t="s">
        <v>47</v>
      </c>
      <c r="W3" s="5" t="s">
        <v>48</v>
      </c>
      <c r="X3" s="5" t="s">
        <v>49</v>
      </c>
      <c r="Y3" s="5" t="s">
        <v>50</v>
      </c>
      <c r="Z3" s="5" t="s">
        <v>51</v>
      </c>
      <c r="AA3" s="5" t="s">
        <v>52</v>
      </c>
      <c r="AB3" s="5" t="s">
        <v>53</v>
      </c>
      <c r="AC3" s="4"/>
    </row>
    <row r="5" spans="2:30" x14ac:dyDescent="0.25">
      <c r="B5">
        <v>1638</v>
      </c>
      <c r="C5">
        <f>B5</f>
        <v>1638</v>
      </c>
      <c r="D5">
        <f t="shared" ref="D5:AD5" si="0">C5</f>
        <v>1638</v>
      </c>
      <c r="E5">
        <f t="shared" si="0"/>
        <v>1638</v>
      </c>
      <c r="F5">
        <f t="shared" si="0"/>
        <v>1638</v>
      </c>
      <c r="G5">
        <f t="shared" si="0"/>
        <v>1638</v>
      </c>
      <c r="H5">
        <f t="shared" si="0"/>
        <v>1638</v>
      </c>
      <c r="I5">
        <f t="shared" si="0"/>
        <v>1638</v>
      </c>
      <c r="J5">
        <f t="shared" si="0"/>
        <v>1638</v>
      </c>
      <c r="K5">
        <f t="shared" si="0"/>
        <v>1638</v>
      </c>
      <c r="L5">
        <f t="shared" si="0"/>
        <v>1638</v>
      </c>
      <c r="M5">
        <f t="shared" si="0"/>
        <v>1638</v>
      </c>
      <c r="N5">
        <f t="shared" si="0"/>
        <v>1638</v>
      </c>
      <c r="O5">
        <f t="shared" si="0"/>
        <v>1638</v>
      </c>
      <c r="P5">
        <f t="shared" si="0"/>
        <v>1638</v>
      </c>
      <c r="Q5">
        <f t="shared" si="0"/>
        <v>1638</v>
      </c>
      <c r="R5">
        <f t="shared" si="0"/>
        <v>1638</v>
      </c>
      <c r="S5">
        <f t="shared" si="0"/>
        <v>1638</v>
      </c>
      <c r="T5">
        <f t="shared" si="0"/>
        <v>1638</v>
      </c>
      <c r="U5">
        <f t="shared" si="0"/>
        <v>1638</v>
      </c>
      <c r="V5">
        <f t="shared" si="0"/>
        <v>1638</v>
      </c>
      <c r="W5">
        <f t="shared" si="0"/>
        <v>1638</v>
      </c>
      <c r="X5">
        <f t="shared" si="0"/>
        <v>1638</v>
      </c>
      <c r="Y5">
        <f t="shared" si="0"/>
        <v>1638</v>
      </c>
      <c r="Z5">
        <f t="shared" si="0"/>
        <v>1638</v>
      </c>
      <c r="AA5">
        <f t="shared" si="0"/>
        <v>1638</v>
      </c>
      <c r="AB5">
        <f t="shared" si="0"/>
        <v>1638</v>
      </c>
      <c r="AC5">
        <f t="shared" si="0"/>
        <v>1638</v>
      </c>
      <c r="AD5">
        <f t="shared" si="0"/>
        <v>1638</v>
      </c>
    </row>
    <row r="6" spans="2:30" x14ac:dyDescent="0.25">
      <c r="B6">
        <f>+B5+3</f>
        <v>1641</v>
      </c>
      <c r="C6">
        <f>+C5+3</f>
        <v>1641</v>
      </c>
      <c r="D6">
        <f t="shared" ref="D6:AD10" si="1">+D5+3</f>
        <v>1641</v>
      </c>
      <c r="E6">
        <f t="shared" si="1"/>
        <v>1641</v>
      </c>
      <c r="F6">
        <f t="shared" si="1"/>
        <v>1641</v>
      </c>
      <c r="G6">
        <f t="shared" si="1"/>
        <v>1641</v>
      </c>
      <c r="H6">
        <f t="shared" si="1"/>
        <v>1641</v>
      </c>
      <c r="I6">
        <f t="shared" si="1"/>
        <v>1641</v>
      </c>
      <c r="J6">
        <f t="shared" si="1"/>
        <v>1641</v>
      </c>
      <c r="K6">
        <f t="shared" si="1"/>
        <v>1641</v>
      </c>
      <c r="L6">
        <f t="shared" si="1"/>
        <v>1641</v>
      </c>
      <c r="M6">
        <f t="shared" si="1"/>
        <v>1641</v>
      </c>
      <c r="N6">
        <f t="shared" si="1"/>
        <v>1641</v>
      </c>
      <c r="O6">
        <f t="shared" si="1"/>
        <v>1641</v>
      </c>
      <c r="P6">
        <f t="shared" si="1"/>
        <v>1641</v>
      </c>
      <c r="Q6">
        <f t="shared" si="1"/>
        <v>1641</v>
      </c>
      <c r="R6">
        <f t="shared" si="1"/>
        <v>1641</v>
      </c>
      <c r="S6">
        <f t="shared" si="1"/>
        <v>1641</v>
      </c>
      <c r="T6">
        <f t="shared" si="1"/>
        <v>1641</v>
      </c>
      <c r="U6">
        <f t="shared" si="1"/>
        <v>1641</v>
      </c>
      <c r="V6">
        <f t="shared" si="1"/>
        <v>1641</v>
      </c>
      <c r="W6">
        <f t="shared" si="1"/>
        <v>1641</v>
      </c>
      <c r="X6">
        <f t="shared" si="1"/>
        <v>1641</v>
      </c>
      <c r="Y6">
        <f t="shared" si="1"/>
        <v>1641</v>
      </c>
      <c r="Z6">
        <f t="shared" si="1"/>
        <v>1641</v>
      </c>
      <c r="AA6">
        <f t="shared" si="1"/>
        <v>1641</v>
      </c>
      <c r="AB6">
        <f t="shared" si="1"/>
        <v>1641</v>
      </c>
      <c r="AC6">
        <f t="shared" si="1"/>
        <v>1641</v>
      </c>
      <c r="AD6">
        <f t="shared" si="1"/>
        <v>1641</v>
      </c>
    </row>
    <row r="7" spans="2:30" x14ac:dyDescent="0.25">
      <c r="B7">
        <f t="shared" ref="B7:C10" si="2">+B6+3</f>
        <v>1644</v>
      </c>
      <c r="C7">
        <f t="shared" si="2"/>
        <v>1644</v>
      </c>
      <c r="D7">
        <f t="shared" si="1"/>
        <v>1644</v>
      </c>
      <c r="E7">
        <f t="shared" si="1"/>
        <v>1644</v>
      </c>
      <c r="F7">
        <f t="shared" si="1"/>
        <v>1644</v>
      </c>
      <c r="G7">
        <f t="shared" si="1"/>
        <v>1644</v>
      </c>
      <c r="H7">
        <f t="shared" si="1"/>
        <v>1644</v>
      </c>
      <c r="I7">
        <f t="shared" si="1"/>
        <v>1644</v>
      </c>
      <c r="J7">
        <f t="shared" si="1"/>
        <v>1644</v>
      </c>
      <c r="K7">
        <f t="shared" si="1"/>
        <v>1644</v>
      </c>
      <c r="L7">
        <f t="shared" si="1"/>
        <v>1644</v>
      </c>
      <c r="M7">
        <f t="shared" si="1"/>
        <v>1644</v>
      </c>
      <c r="N7">
        <f t="shared" si="1"/>
        <v>1644</v>
      </c>
      <c r="O7">
        <f t="shared" si="1"/>
        <v>1644</v>
      </c>
      <c r="P7">
        <f t="shared" si="1"/>
        <v>1644</v>
      </c>
      <c r="Q7">
        <f t="shared" si="1"/>
        <v>1644</v>
      </c>
      <c r="R7">
        <f t="shared" si="1"/>
        <v>1644</v>
      </c>
      <c r="S7">
        <f t="shared" si="1"/>
        <v>1644</v>
      </c>
      <c r="T7">
        <f t="shared" si="1"/>
        <v>1644</v>
      </c>
      <c r="U7">
        <f t="shared" si="1"/>
        <v>1644</v>
      </c>
      <c r="V7">
        <f t="shared" si="1"/>
        <v>1644</v>
      </c>
      <c r="W7">
        <f t="shared" si="1"/>
        <v>1644</v>
      </c>
      <c r="X7">
        <f t="shared" si="1"/>
        <v>1644</v>
      </c>
      <c r="Y7">
        <f t="shared" si="1"/>
        <v>1644</v>
      </c>
      <c r="Z7">
        <f t="shared" si="1"/>
        <v>1644</v>
      </c>
      <c r="AA7">
        <f t="shared" si="1"/>
        <v>1644</v>
      </c>
      <c r="AB7">
        <f t="shared" si="1"/>
        <v>1644</v>
      </c>
      <c r="AC7">
        <f t="shared" si="1"/>
        <v>1644</v>
      </c>
      <c r="AD7">
        <f t="shared" si="1"/>
        <v>1644</v>
      </c>
    </row>
    <row r="8" spans="2:30" x14ac:dyDescent="0.25">
      <c r="B8">
        <f t="shared" si="2"/>
        <v>1647</v>
      </c>
      <c r="C8">
        <f t="shared" si="2"/>
        <v>1647</v>
      </c>
      <c r="D8">
        <f t="shared" si="1"/>
        <v>1647</v>
      </c>
      <c r="E8">
        <f t="shared" si="1"/>
        <v>1647</v>
      </c>
      <c r="F8">
        <f t="shared" si="1"/>
        <v>1647</v>
      </c>
      <c r="G8">
        <f t="shared" si="1"/>
        <v>1647</v>
      </c>
      <c r="H8">
        <f t="shared" si="1"/>
        <v>1647</v>
      </c>
      <c r="I8">
        <f t="shared" si="1"/>
        <v>1647</v>
      </c>
      <c r="J8">
        <f t="shared" si="1"/>
        <v>1647</v>
      </c>
      <c r="K8">
        <f t="shared" si="1"/>
        <v>1647</v>
      </c>
      <c r="L8">
        <f t="shared" si="1"/>
        <v>1647</v>
      </c>
      <c r="M8">
        <f t="shared" si="1"/>
        <v>1647</v>
      </c>
      <c r="N8">
        <f t="shared" si="1"/>
        <v>1647</v>
      </c>
      <c r="O8">
        <f t="shared" si="1"/>
        <v>1647</v>
      </c>
      <c r="P8">
        <f t="shared" si="1"/>
        <v>1647</v>
      </c>
      <c r="Q8">
        <f t="shared" si="1"/>
        <v>1647</v>
      </c>
      <c r="R8">
        <f t="shared" si="1"/>
        <v>1647</v>
      </c>
      <c r="S8">
        <f t="shared" si="1"/>
        <v>1647</v>
      </c>
      <c r="T8">
        <f t="shared" si="1"/>
        <v>1647</v>
      </c>
      <c r="U8">
        <f t="shared" si="1"/>
        <v>1647</v>
      </c>
      <c r="V8">
        <f t="shared" si="1"/>
        <v>1647</v>
      </c>
      <c r="W8">
        <f t="shared" si="1"/>
        <v>1647</v>
      </c>
      <c r="X8">
        <f t="shared" si="1"/>
        <v>1647</v>
      </c>
      <c r="Y8">
        <f t="shared" si="1"/>
        <v>1647</v>
      </c>
      <c r="Z8">
        <f t="shared" si="1"/>
        <v>1647</v>
      </c>
      <c r="AA8">
        <f t="shared" si="1"/>
        <v>1647</v>
      </c>
      <c r="AB8">
        <f t="shared" si="1"/>
        <v>1647</v>
      </c>
      <c r="AC8">
        <f t="shared" si="1"/>
        <v>1647</v>
      </c>
      <c r="AD8">
        <f t="shared" si="1"/>
        <v>1647</v>
      </c>
    </row>
    <row r="9" spans="2:30" x14ac:dyDescent="0.25">
      <c r="B9">
        <f t="shared" si="2"/>
        <v>1650</v>
      </c>
      <c r="C9">
        <f t="shared" si="2"/>
        <v>1650</v>
      </c>
      <c r="D9">
        <f t="shared" si="1"/>
        <v>1650</v>
      </c>
      <c r="E9">
        <f t="shared" si="1"/>
        <v>1650</v>
      </c>
      <c r="F9">
        <f t="shared" si="1"/>
        <v>1650</v>
      </c>
      <c r="G9">
        <f t="shared" si="1"/>
        <v>1650</v>
      </c>
      <c r="H9">
        <f t="shared" si="1"/>
        <v>1650</v>
      </c>
      <c r="I9">
        <f t="shared" si="1"/>
        <v>1650</v>
      </c>
      <c r="J9">
        <f t="shared" si="1"/>
        <v>1650</v>
      </c>
      <c r="K9">
        <f t="shared" si="1"/>
        <v>1650</v>
      </c>
      <c r="L9">
        <f t="shared" si="1"/>
        <v>1650</v>
      </c>
      <c r="M9">
        <f t="shared" si="1"/>
        <v>1650</v>
      </c>
      <c r="N9">
        <f t="shared" si="1"/>
        <v>1650</v>
      </c>
      <c r="O9">
        <f t="shared" si="1"/>
        <v>1650</v>
      </c>
      <c r="P9">
        <f t="shared" si="1"/>
        <v>1650</v>
      </c>
      <c r="Q9">
        <f t="shared" si="1"/>
        <v>1650</v>
      </c>
      <c r="R9">
        <f t="shared" si="1"/>
        <v>1650</v>
      </c>
      <c r="S9">
        <f t="shared" si="1"/>
        <v>1650</v>
      </c>
      <c r="T9">
        <f t="shared" si="1"/>
        <v>1650</v>
      </c>
      <c r="U9">
        <f t="shared" si="1"/>
        <v>1650</v>
      </c>
      <c r="V9">
        <f t="shared" si="1"/>
        <v>1650</v>
      </c>
      <c r="W9">
        <f t="shared" si="1"/>
        <v>1650</v>
      </c>
      <c r="X9">
        <f t="shared" si="1"/>
        <v>1650</v>
      </c>
      <c r="Y9">
        <f t="shared" si="1"/>
        <v>1650</v>
      </c>
      <c r="Z9">
        <f t="shared" si="1"/>
        <v>1650</v>
      </c>
      <c r="AA9">
        <f t="shared" si="1"/>
        <v>1650</v>
      </c>
      <c r="AB9">
        <f t="shared" si="1"/>
        <v>1650</v>
      </c>
      <c r="AC9">
        <f t="shared" si="1"/>
        <v>1650</v>
      </c>
      <c r="AD9">
        <f t="shared" si="1"/>
        <v>1650</v>
      </c>
    </row>
    <row r="10" spans="2:30" x14ac:dyDescent="0.25">
      <c r="B10">
        <f t="shared" si="2"/>
        <v>1653</v>
      </c>
      <c r="C10">
        <f t="shared" si="2"/>
        <v>1653</v>
      </c>
      <c r="D10">
        <f t="shared" si="1"/>
        <v>1653</v>
      </c>
      <c r="E10">
        <f t="shared" si="1"/>
        <v>1653</v>
      </c>
      <c r="F10">
        <f t="shared" si="1"/>
        <v>1653</v>
      </c>
      <c r="G10">
        <f t="shared" si="1"/>
        <v>1653</v>
      </c>
      <c r="H10">
        <f t="shared" si="1"/>
        <v>1653</v>
      </c>
      <c r="I10">
        <f t="shared" si="1"/>
        <v>1653</v>
      </c>
      <c r="J10">
        <f t="shared" si="1"/>
        <v>1653</v>
      </c>
      <c r="K10">
        <f t="shared" si="1"/>
        <v>1653</v>
      </c>
      <c r="L10">
        <f t="shared" si="1"/>
        <v>1653</v>
      </c>
      <c r="M10">
        <f t="shared" si="1"/>
        <v>1653</v>
      </c>
      <c r="N10">
        <f t="shared" si="1"/>
        <v>1653</v>
      </c>
      <c r="O10">
        <f t="shared" si="1"/>
        <v>1653</v>
      </c>
      <c r="P10">
        <f t="shared" si="1"/>
        <v>1653</v>
      </c>
      <c r="Q10">
        <f t="shared" si="1"/>
        <v>1653</v>
      </c>
      <c r="R10">
        <f t="shared" si="1"/>
        <v>1653</v>
      </c>
      <c r="S10">
        <f t="shared" si="1"/>
        <v>1653</v>
      </c>
      <c r="T10">
        <f t="shared" si="1"/>
        <v>1653</v>
      </c>
      <c r="U10">
        <f t="shared" si="1"/>
        <v>1653</v>
      </c>
      <c r="V10">
        <f t="shared" si="1"/>
        <v>1653</v>
      </c>
      <c r="W10">
        <f t="shared" si="1"/>
        <v>1653</v>
      </c>
      <c r="X10">
        <f t="shared" si="1"/>
        <v>1653</v>
      </c>
      <c r="Y10">
        <f t="shared" si="1"/>
        <v>1653</v>
      </c>
      <c r="Z10">
        <f t="shared" si="1"/>
        <v>1653</v>
      </c>
      <c r="AA10">
        <f t="shared" si="1"/>
        <v>1653</v>
      </c>
      <c r="AB10">
        <f t="shared" si="1"/>
        <v>1653</v>
      </c>
      <c r="AC10">
        <f t="shared" si="1"/>
        <v>1653</v>
      </c>
      <c r="AD10">
        <f t="shared" si="1"/>
        <v>1653</v>
      </c>
    </row>
    <row r="12" spans="2:30" x14ac:dyDescent="0.25">
      <c r="B12" t="str">
        <f>B$3&amp;B5</f>
        <v>='Contadores Por Turno 2024'!C1638</v>
      </c>
      <c r="C12" t="str">
        <f>C$3&amp;C5</f>
        <v>='Contadores Por Turno 2024'!D1638</v>
      </c>
      <c r="D12" t="str">
        <f t="shared" ref="D12:AB12" si="3">D$3&amp;D5</f>
        <v>='Contadores Por Turno 2024'!E1638</v>
      </c>
      <c r="E12" t="str">
        <f t="shared" si="3"/>
        <v>='Contadores Por Turno 2024'!F1638</v>
      </c>
      <c r="F12" t="str">
        <f t="shared" si="3"/>
        <v>='Contadores Por Turno 2024'!G1638</v>
      </c>
      <c r="G12" t="str">
        <f t="shared" si="3"/>
        <v>='Contadores Por Turno 2024'!H1638</v>
      </c>
      <c r="H12" t="str">
        <f t="shared" si="3"/>
        <v>='Contadores Por Turno 2024'!U1638</v>
      </c>
      <c r="I12" t="str">
        <f t="shared" si="3"/>
        <v>='Contadores Por Turno 2024'!R1638</v>
      </c>
      <c r="J12" t="str">
        <f t="shared" si="3"/>
        <v>='Contadores Por Turno 2024'!V1638</v>
      </c>
      <c r="K12" t="str">
        <f t="shared" si="3"/>
        <v>='Contadores Por Turno 2024'!I1638</v>
      </c>
      <c r="L12" t="str">
        <f t="shared" si="3"/>
        <v>='Contadores Por Turno 2024'!J1638</v>
      </c>
      <c r="M12" t="str">
        <f t="shared" si="3"/>
        <v>='Contadores Por Turno 2024'!K1638</v>
      </c>
      <c r="N12" t="str">
        <f t="shared" si="3"/>
        <v>='Contadores Por Turno 2024'!L1638</v>
      </c>
      <c r="O12" t="str">
        <f t="shared" si="3"/>
        <v>='Contadores Por Turno 2024'!M1638</v>
      </c>
      <c r="P12" t="str">
        <f t="shared" si="3"/>
        <v>='Contadores Por Turno 2024'!W1638</v>
      </c>
      <c r="Q12" t="str">
        <f t="shared" si="3"/>
        <v>='Contadores Por Turno 2024'!N1638</v>
      </c>
      <c r="R12" t="str">
        <f t="shared" si="3"/>
        <v>='Contadores Por Turno 2024'!O1638</v>
      </c>
      <c r="S12" t="str">
        <f t="shared" si="3"/>
        <v>='Contadores Por Turno 2024'!P1638</v>
      </c>
      <c r="T12" t="str">
        <f t="shared" si="3"/>
        <v>='Contadores Por Turno 2024'!Q1638</v>
      </c>
      <c r="U12" t="str">
        <f t="shared" si="3"/>
        <v>='Contadores Por Turno 2024'!X1638</v>
      </c>
      <c r="V12" t="str">
        <f t="shared" si="3"/>
        <v>='Contadores Por Turno 2024'!Y1638</v>
      </c>
      <c r="W12" t="str">
        <f t="shared" si="3"/>
        <v>='Contadores Por Turno 2024'!Z1638</v>
      </c>
      <c r="X12" t="str">
        <f t="shared" si="3"/>
        <v>='Contadores Por Turno 2024'!AA1638</v>
      </c>
      <c r="Y12" t="str">
        <f t="shared" si="3"/>
        <v>='Contadores Por Turno 2024'!AB1638</v>
      </c>
      <c r="Z12" t="str">
        <f t="shared" si="3"/>
        <v>='Contadores Por Turno 2024'!AC1638</v>
      </c>
      <c r="AA12" t="str">
        <f t="shared" si="3"/>
        <v>='Contadores Por Turno 2024'!AD1638</v>
      </c>
      <c r="AB12" t="str">
        <f t="shared" si="3"/>
        <v>='Contadores Por Turno 2024'!S1638</v>
      </c>
    </row>
    <row r="13" spans="2:30" x14ac:dyDescent="0.25">
      <c r="B13" t="str">
        <f t="shared" ref="B13:C17" si="4">B$3&amp;B6</f>
        <v>='Contadores Por Turno 2024'!C1641</v>
      </c>
      <c r="C13" t="str">
        <f t="shared" si="4"/>
        <v>='Contadores Por Turno 2024'!D1641</v>
      </c>
      <c r="D13" t="str">
        <f t="shared" ref="D13:AB13" si="5">D$3&amp;D6</f>
        <v>='Contadores Por Turno 2024'!E1641</v>
      </c>
      <c r="E13" t="str">
        <f t="shared" si="5"/>
        <v>='Contadores Por Turno 2024'!F1641</v>
      </c>
      <c r="F13" t="str">
        <f t="shared" si="5"/>
        <v>='Contadores Por Turno 2024'!G1641</v>
      </c>
      <c r="G13" t="str">
        <f t="shared" si="5"/>
        <v>='Contadores Por Turno 2024'!H1641</v>
      </c>
      <c r="H13" t="str">
        <f t="shared" si="5"/>
        <v>='Contadores Por Turno 2024'!U1641</v>
      </c>
      <c r="I13" t="str">
        <f t="shared" si="5"/>
        <v>='Contadores Por Turno 2024'!R1641</v>
      </c>
      <c r="J13" t="str">
        <f t="shared" si="5"/>
        <v>='Contadores Por Turno 2024'!V1641</v>
      </c>
      <c r="K13" t="str">
        <f t="shared" si="5"/>
        <v>='Contadores Por Turno 2024'!I1641</v>
      </c>
      <c r="L13" t="str">
        <f t="shared" si="5"/>
        <v>='Contadores Por Turno 2024'!J1641</v>
      </c>
      <c r="M13" t="str">
        <f t="shared" si="5"/>
        <v>='Contadores Por Turno 2024'!K1641</v>
      </c>
      <c r="N13" t="str">
        <f t="shared" si="5"/>
        <v>='Contadores Por Turno 2024'!L1641</v>
      </c>
      <c r="O13" t="str">
        <f t="shared" si="5"/>
        <v>='Contadores Por Turno 2024'!M1641</v>
      </c>
      <c r="P13" t="str">
        <f t="shared" si="5"/>
        <v>='Contadores Por Turno 2024'!W1641</v>
      </c>
      <c r="Q13" t="str">
        <f t="shared" si="5"/>
        <v>='Contadores Por Turno 2024'!N1641</v>
      </c>
      <c r="R13" t="str">
        <f t="shared" si="5"/>
        <v>='Contadores Por Turno 2024'!O1641</v>
      </c>
      <c r="S13" t="str">
        <f t="shared" si="5"/>
        <v>='Contadores Por Turno 2024'!P1641</v>
      </c>
      <c r="T13" t="str">
        <f t="shared" si="5"/>
        <v>='Contadores Por Turno 2024'!Q1641</v>
      </c>
      <c r="U13" t="str">
        <f t="shared" si="5"/>
        <v>='Contadores Por Turno 2024'!X1641</v>
      </c>
      <c r="V13" t="str">
        <f t="shared" si="5"/>
        <v>='Contadores Por Turno 2024'!Y1641</v>
      </c>
      <c r="W13" t="str">
        <f t="shared" si="5"/>
        <v>='Contadores Por Turno 2024'!Z1641</v>
      </c>
      <c r="X13" t="str">
        <f t="shared" si="5"/>
        <v>='Contadores Por Turno 2024'!AA1641</v>
      </c>
      <c r="Y13" t="str">
        <f t="shared" si="5"/>
        <v>='Contadores Por Turno 2024'!AB1641</v>
      </c>
      <c r="Z13" t="str">
        <f t="shared" si="5"/>
        <v>='Contadores Por Turno 2024'!AC1641</v>
      </c>
      <c r="AA13" t="str">
        <f t="shared" si="5"/>
        <v>='Contadores Por Turno 2024'!AD1641</v>
      </c>
      <c r="AB13" t="str">
        <f t="shared" si="5"/>
        <v>='Contadores Por Turno 2024'!S1641</v>
      </c>
    </row>
    <row r="14" spans="2:30" x14ac:dyDescent="0.25">
      <c r="B14" t="str">
        <f t="shared" si="4"/>
        <v>='Contadores Por Turno 2024'!C1644</v>
      </c>
      <c r="C14" t="str">
        <f t="shared" si="4"/>
        <v>='Contadores Por Turno 2024'!D1644</v>
      </c>
      <c r="D14" t="str">
        <f t="shared" ref="D14:AB14" si="6">D$3&amp;D7</f>
        <v>='Contadores Por Turno 2024'!E1644</v>
      </c>
      <c r="E14" t="str">
        <f t="shared" si="6"/>
        <v>='Contadores Por Turno 2024'!F1644</v>
      </c>
      <c r="F14" t="str">
        <f t="shared" si="6"/>
        <v>='Contadores Por Turno 2024'!G1644</v>
      </c>
      <c r="G14" t="str">
        <f t="shared" si="6"/>
        <v>='Contadores Por Turno 2024'!H1644</v>
      </c>
      <c r="H14" t="str">
        <f t="shared" si="6"/>
        <v>='Contadores Por Turno 2024'!U1644</v>
      </c>
      <c r="I14" t="str">
        <f t="shared" si="6"/>
        <v>='Contadores Por Turno 2024'!R1644</v>
      </c>
      <c r="J14" t="str">
        <f t="shared" si="6"/>
        <v>='Contadores Por Turno 2024'!V1644</v>
      </c>
      <c r="K14" t="str">
        <f t="shared" si="6"/>
        <v>='Contadores Por Turno 2024'!I1644</v>
      </c>
      <c r="L14" t="str">
        <f t="shared" si="6"/>
        <v>='Contadores Por Turno 2024'!J1644</v>
      </c>
      <c r="M14" t="str">
        <f t="shared" si="6"/>
        <v>='Contadores Por Turno 2024'!K1644</v>
      </c>
      <c r="N14" t="str">
        <f t="shared" si="6"/>
        <v>='Contadores Por Turno 2024'!L1644</v>
      </c>
      <c r="O14" t="str">
        <f t="shared" si="6"/>
        <v>='Contadores Por Turno 2024'!M1644</v>
      </c>
      <c r="P14" t="str">
        <f t="shared" si="6"/>
        <v>='Contadores Por Turno 2024'!W1644</v>
      </c>
      <c r="Q14" t="str">
        <f t="shared" si="6"/>
        <v>='Contadores Por Turno 2024'!N1644</v>
      </c>
      <c r="R14" t="str">
        <f t="shared" si="6"/>
        <v>='Contadores Por Turno 2024'!O1644</v>
      </c>
      <c r="S14" t="str">
        <f t="shared" si="6"/>
        <v>='Contadores Por Turno 2024'!P1644</v>
      </c>
      <c r="T14" t="str">
        <f t="shared" si="6"/>
        <v>='Contadores Por Turno 2024'!Q1644</v>
      </c>
      <c r="U14" t="str">
        <f t="shared" si="6"/>
        <v>='Contadores Por Turno 2024'!X1644</v>
      </c>
      <c r="V14" t="str">
        <f t="shared" si="6"/>
        <v>='Contadores Por Turno 2024'!Y1644</v>
      </c>
      <c r="W14" t="str">
        <f t="shared" si="6"/>
        <v>='Contadores Por Turno 2024'!Z1644</v>
      </c>
      <c r="X14" t="str">
        <f t="shared" si="6"/>
        <v>='Contadores Por Turno 2024'!AA1644</v>
      </c>
      <c r="Y14" t="str">
        <f t="shared" si="6"/>
        <v>='Contadores Por Turno 2024'!AB1644</v>
      </c>
      <c r="Z14" t="str">
        <f t="shared" si="6"/>
        <v>='Contadores Por Turno 2024'!AC1644</v>
      </c>
      <c r="AA14" t="str">
        <f t="shared" si="6"/>
        <v>='Contadores Por Turno 2024'!AD1644</v>
      </c>
      <c r="AB14" t="str">
        <f t="shared" si="6"/>
        <v>='Contadores Por Turno 2024'!S1644</v>
      </c>
    </row>
    <row r="15" spans="2:30" x14ac:dyDescent="0.25">
      <c r="B15" t="str">
        <f t="shared" si="4"/>
        <v>='Contadores Por Turno 2024'!C1647</v>
      </c>
      <c r="C15" t="str">
        <f t="shared" si="4"/>
        <v>='Contadores Por Turno 2024'!D1647</v>
      </c>
      <c r="D15" t="str">
        <f t="shared" ref="D15:AB15" si="7">D$3&amp;D8</f>
        <v>='Contadores Por Turno 2024'!E1647</v>
      </c>
      <c r="E15" t="str">
        <f t="shared" si="7"/>
        <v>='Contadores Por Turno 2024'!F1647</v>
      </c>
      <c r="F15" t="str">
        <f t="shared" si="7"/>
        <v>='Contadores Por Turno 2024'!G1647</v>
      </c>
      <c r="G15" t="str">
        <f t="shared" si="7"/>
        <v>='Contadores Por Turno 2024'!H1647</v>
      </c>
      <c r="H15" t="str">
        <f t="shared" si="7"/>
        <v>='Contadores Por Turno 2024'!U1647</v>
      </c>
      <c r="I15" t="str">
        <f t="shared" si="7"/>
        <v>='Contadores Por Turno 2024'!R1647</v>
      </c>
      <c r="J15" t="str">
        <f t="shared" si="7"/>
        <v>='Contadores Por Turno 2024'!V1647</v>
      </c>
      <c r="K15" t="str">
        <f t="shared" si="7"/>
        <v>='Contadores Por Turno 2024'!I1647</v>
      </c>
      <c r="L15" t="str">
        <f t="shared" si="7"/>
        <v>='Contadores Por Turno 2024'!J1647</v>
      </c>
      <c r="M15" t="str">
        <f t="shared" si="7"/>
        <v>='Contadores Por Turno 2024'!K1647</v>
      </c>
      <c r="N15" t="str">
        <f t="shared" si="7"/>
        <v>='Contadores Por Turno 2024'!L1647</v>
      </c>
      <c r="O15" t="str">
        <f t="shared" si="7"/>
        <v>='Contadores Por Turno 2024'!M1647</v>
      </c>
      <c r="P15" t="str">
        <f t="shared" si="7"/>
        <v>='Contadores Por Turno 2024'!W1647</v>
      </c>
      <c r="Q15" t="str">
        <f t="shared" si="7"/>
        <v>='Contadores Por Turno 2024'!N1647</v>
      </c>
      <c r="R15" t="str">
        <f t="shared" si="7"/>
        <v>='Contadores Por Turno 2024'!O1647</v>
      </c>
      <c r="S15" t="str">
        <f t="shared" si="7"/>
        <v>='Contadores Por Turno 2024'!P1647</v>
      </c>
      <c r="T15" t="str">
        <f t="shared" si="7"/>
        <v>='Contadores Por Turno 2024'!Q1647</v>
      </c>
      <c r="U15" t="str">
        <f t="shared" si="7"/>
        <v>='Contadores Por Turno 2024'!X1647</v>
      </c>
      <c r="V15" t="str">
        <f t="shared" si="7"/>
        <v>='Contadores Por Turno 2024'!Y1647</v>
      </c>
      <c r="W15" t="str">
        <f t="shared" si="7"/>
        <v>='Contadores Por Turno 2024'!Z1647</v>
      </c>
      <c r="X15" t="str">
        <f t="shared" si="7"/>
        <v>='Contadores Por Turno 2024'!AA1647</v>
      </c>
      <c r="Y15" t="str">
        <f t="shared" si="7"/>
        <v>='Contadores Por Turno 2024'!AB1647</v>
      </c>
      <c r="Z15" t="str">
        <f t="shared" si="7"/>
        <v>='Contadores Por Turno 2024'!AC1647</v>
      </c>
      <c r="AA15" t="str">
        <f t="shared" si="7"/>
        <v>='Contadores Por Turno 2024'!AD1647</v>
      </c>
      <c r="AB15" t="str">
        <f t="shared" si="7"/>
        <v>='Contadores Por Turno 2024'!S1647</v>
      </c>
    </row>
    <row r="16" spans="2:30" x14ac:dyDescent="0.25">
      <c r="B16" t="str">
        <f t="shared" si="4"/>
        <v>='Contadores Por Turno 2024'!C1650</v>
      </c>
      <c r="C16" t="str">
        <f t="shared" si="4"/>
        <v>='Contadores Por Turno 2024'!D1650</v>
      </c>
      <c r="D16" t="str">
        <f t="shared" ref="D16:AB16" si="8">D$3&amp;D9</f>
        <v>='Contadores Por Turno 2024'!E1650</v>
      </c>
      <c r="E16" t="str">
        <f t="shared" si="8"/>
        <v>='Contadores Por Turno 2024'!F1650</v>
      </c>
      <c r="F16" t="str">
        <f t="shared" si="8"/>
        <v>='Contadores Por Turno 2024'!G1650</v>
      </c>
      <c r="G16" t="str">
        <f t="shared" si="8"/>
        <v>='Contadores Por Turno 2024'!H1650</v>
      </c>
      <c r="H16" t="str">
        <f t="shared" si="8"/>
        <v>='Contadores Por Turno 2024'!U1650</v>
      </c>
      <c r="I16" t="str">
        <f t="shared" si="8"/>
        <v>='Contadores Por Turno 2024'!R1650</v>
      </c>
      <c r="J16" t="str">
        <f t="shared" si="8"/>
        <v>='Contadores Por Turno 2024'!V1650</v>
      </c>
      <c r="K16" t="str">
        <f t="shared" si="8"/>
        <v>='Contadores Por Turno 2024'!I1650</v>
      </c>
      <c r="L16" t="str">
        <f t="shared" si="8"/>
        <v>='Contadores Por Turno 2024'!J1650</v>
      </c>
      <c r="M16" t="str">
        <f t="shared" si="8"/>
        <v>='Contadores Por Turno 2024'!K1650</v>
      </c>
      <c r="N16" t="str">
        <f t="shared" si="8"/>
        <v>='Contadores Por Turno 2024'!L1650</v>
      </c>
      <c r="O16" t="str">
        <f t="shared" si="8"/>
        <v>='Contadores Por Turno 2024'!M1650</v>
      </c>
      <c r="P16" t="str">
        <f t="shared" si="8"/>
        <v>='Contadores Por Turno 2024'!W1650</v>
      </c>
      <c r="Q16" t="str">
        <f t="shared" si="8"/>
        <v>='Contadores Por Turno 2024'!N1650</v>
      </c>
      <c r="R16" t="str">
        <f t="shared" si="8"/>
        <v>='Contadores Por Turno 2024'!O1650</v>
      </c>
      <c r="S16" t="str">
        <f t="shared" si="8"/>
        <v>='Contadores Por Turno 2024'!P1650</v>
      </c>
      <c r="T16" t="str">
        <f t="shared" si="8"/>
        <v>='Contadores Por Turno 2024'!Q1650</v>
      </c>
      <c r="U16" t="str">
        <f t="shared" si="8"/>
        <v>='Contadores Por Turno 2024'!X1650</v>
      </c>
      <c r="V16" t="str">
        <f t="shared" si="8"/>
        <v>='Contadores Por Turno 2024'!Y1650</v>
      </c>
      <c r="W16" t="str">
        <f t="shared" si="8"/>
        <v>='Contadores Por Turno 2024'!Z1650</v>
      </c>
      <c r="X16" t="str">
        <f t="shared" si="8"/>
        <v>='Contadores Por Turno 2024'!AA1650</v>
      </c>
      <c r="Y16" t="str">
        <f t="shared" si="8"/>
        <v>='Contadores Por Turno 2024'!AB1650</v>
      </c>
      <c r="Z16" t="str">
        <f t="shared" si="8"/>
        <v>='Contadores Por Turno 2024'!AC1650</v>
      </c>
      <c r="AA16" t="str">
        <f t="shared" si="8"/>
        <v>='Contadores Por Turno 2024'!AD1650</v>
      </c>
      <c r="AB16" t="str">
        <f t="shared" si="8"/>
        <v>='Contadores Por Turno 2024'!S1650</v>
      </c>
    </row>
    <row r="17" spans="2:28" x14ac:dyDescent="0.25">
      <c r="B17" t="str">
        <f t="shared" si="4"/>
        <v>='Contadores Por Turno 2024'!C1653</v>
      </c>
      <c r="C17" t="str">
        <f t="shared" si="4"/>
        <v>='Contadores Por Turno 2024'!D1653</v>
      </c>
      <c r="D17" t="str">
        <f t="shared" ref="D17:AB17" si="9">D$3&amp;D10</f>
        <v>='Contadores Por Turno 2024'!E1653</v>
      </c>
      <c r="E17" t="str">
        <f t="shared" si="9"/>
        <v>='Contadores Por Turno 2024'!F1653</v>
      </c>
      <c r="F17" t="str">
        <f t="shared" si="9"/>
        <v>='Contadores Por Turno 2024'!G1653</v>
      </c>
      <c r="G17" t="str">
        <f t="shared" si="9"/>
        <v>='Contadores Por Turno 2024'!H1653</v>
      </c>
      <c r="H17" t="str">
        <f t="shared" si="9"/>
        <v>='Contadores Por Turno 2024'!U1653</v>
      </c>
      <c r="I17" t="str">
        <f t="shared" si="9"/>
        <v>='Contadores Por Turno 2024'!R1653</v>
      </c>
      <c r="J17" t="str">
        <f t="shared" si="9"/>
        <v>='Contadores Por Turno 2024'!V1653</v>
      </c>
      <c r="K17" t="str">
        <f t="shared" si="9"/>
        <v>='Contadores Por Turno 2024'!I1653</v>
      </c>
      <c r="L17" t="str">
        <f t="shared" si="9"/>
        <v>='Contadores Por Turno 2024'!J1653</v>
      </c>
      <c r="M17" t="str">
        <f t="shared" si="9"/>
        <v>='Contadores Por Turno 2024'!K1653</v>
      </c>
      <c r="N17" t="str">
        <f t="shared" si="9"/>
        <v>='Contadores Por Turno 2024'!L1653</v>
      </c>
      <c r="O17" t="str">
        <f t="shared" si="9"/>
        <v>='Contadores Por Turno 2024'!M1653</v>
      </c>
      <c r="P17" t="str">
        <f t="shared" si="9"/>
        <v>='Contadores Por Turno 2024'!W1653</v>
      </c>
      <c r="Q17" t="str">
        <f t="shared" si="9"/>
        <v>='Contadores Por Turno 2024'!N1653</v>
      </c>
      <c r="R17" t="str">
        <f t="shared" si="9"/>
        <v>='Contadores Por Turno 2024'!O1653</v>
      </c>
      <c r="S17" t="str">
        <f t="shared" si="9"/>
        <v>='Contadores Por Turno 2024'!P1653</v>
      </c>
      <c r="T17" t="str">
        <f t="shared" si="9"/>
        <v>='Contadores Por Turno 2024'!Q1653</v>
      </c>
      <c r="U17" t="str">
        <f t="shared" si="9"/>
        <v>='Contadores Por Turno 2024'!X1653</v>
      </c>
      <c r="V17" t="str">
        <f t="shared" si="9"/>
        <v>='Contadores Por Turno 2024'!Y1653</v>
      </c>
      <c r="W17" t="str">
        <f t="shared" si="9"/>
        <v>='Contadores Por Turno 2024'!Z1653</v>
      </c>
      <c r="X17" t="str">
        <f t="shared" si="9"/>
        <v>='Contadores Por Turno 2024'!AA1653</v>
      </c>
      <c r="Y17" t="str">
        <f t="shared" si="9"/>
        <v>='Contadores Por Turno 2024'!AB1653</v>
      </c>
      <c r="Z17" t="str">
        <f t="shared" si="9"/>
        <v>='Contadores Por Turno 2024'!AC1653</v>
      </c>
      <c r="AA17" t="str">
        <f t="shared" si="9"/>
        <v>='Contadores Por Turno 2024'!AD1653</v>
      </c>
      <c r="AB17" t="str">
        <f t="shared" si="9"/>
        <v>='Contadores Por Turno 2024'!S1653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CE07-C439-4E44-A871-24AEA7551536}">
  <sheetPr codeName="Hoja5"/>
  <dimension ref="A1:P47"/>
  <sheetViews>
    <sheetView workbookViewId="0">
      <selection activeCell="G39" sqref="G39"/>
    </sheetView>
  </sheetViews>
  <sheetFormatPr baseColWidth="10" defaultRowHeight="15" x14ac:dyDescent="0.25"/>
  <cols>
    <col min="4" max="6" width="13.140625" customWidth="1"/>
    <col min="7" max="7" width="30.85546875" customWidth="1"/>
    <col min="8" max="8" width="21.28515625" customWidth="1"/>
    <col min="9" max="9" width="13.7109375" customWidth="1"/>
    <col min="10" max="12" width="20" customWidth="1"/>
    <col min="13" max="14" width="14.7109375" bestFit="1" customWidth="1"/>
    <col min="15" max="16" width="14.7109375" customWidth="1"/>
  </cols>
  <sheetData>
    <row r="1" spans="1:16" ht="75.75" thickBot="1" x14ac:dyDescent="0.3">
      <c r="A1" s="28" t="s">
        <v>25</v>
      </c>
      <c r="B1" s="28" t="s">
        <v>55</v>
      </c>
      <c r="C1" s="28" t="s">
        <v>73</v>
      </c>
      <c r="D1" s="26" t="s">
        <v>54</v>
      </c>
      <c r="E1" s="26" t="s">
        <v>72</v>
      </c>
      <c r="F1" s="26" t="s">
        <v>71</v>
      </c>
      <c r="G1" s="30" t="s">
        <v>56</v>
      </c>
      <c r="H1" s="30" t="s">
        <v>57</v>
      </c>
      <c r="I1" s="30" t="s">
        <v>58</v>
      </c>
      <c r="J1" s="30" t="s">
        <v>59</v>
      </c>
      <c r="K1" s="30" t="s">
        <v>69</v>
      </c>
      <c r="L1" s="30" t="s">
        <v>70</v>
      </c>
      <c r="M1" s="30" t="s">
        <v>60</v>
      </c>
      <c r="N1" s="30" t="s">
        <v>61</v>
      </c>
      <c r="O1" s="30" t="s">
        <v>62</v>
      </c>
      <c r="P1" s="30" t="s">
        <v>63</v>
      </c>
    </row>
    <row r="2" spans="1:16" s="1" customFormat="1" ht="75.75" hidden="1" thickBot="1" x14ac:dyDescent="0.3">
      <c r="A2" s="31">
        <v>45726</v>
      </c>
      <c r="B2" s="1">
        <v>1</v>
      </c>
      <c r="D2" s="29" t="s">
        <v>64</v>
      </c>
      <c r="E2" s="29"/>
      <c r="F2" s="29"/>
      <c r="G2" s="29" t="s">
        <v>65</v>
      </c>
      <c r="H2" s="1" t="s">
        <v>66</v>
      </c>
      <c r="I2" s="29" t="s">
        <v>65</v>
      </c>
      <c r="J2" s="1" t="s">
        <v>66</v>
      </c>
      <c r="M2" s="1" t="s">
        <v>67</v>
      </c>
      <c r="N2" s="1" t="s">
        <v>67</v>
      </c>
      <c r="O2" s="1" t="s">
        <v>68</v>
      </c>
      <c r="P2" s="1" t="s">
        <v>68</v>
      </c>
    </row>
    <row r="3" spans="1:16" s="36" customFormat="1" ht="15.75" thickBot="1" x14ac:dyDescent="0.3">
      <c r="A3" s="33">
        <v>45726</v>
      </c>
      <c r="B3" s="34">
        <v>1</v>
      </c>
      <c r="C3" s="34" t="s">
        <v>74</v>
      </c>
      <c r="D3" s="34">
        <v>514</v>
      </c>
      <c r="E3" s="34">
        <f>+H3+J3</f>
        <v>679</v>
      </c>
      <c r="F3" s="34">
        <f>+G3+I3</f>
        <v>261</v>
      </c>
      <c r="G3" s="34">
        <v>106</v>
      </c>
      <c r="H3" s="34">
        <v>460</v>
      </c>
      <c r="I3" s="34">
        <v>155</v>
      </c>
      <c r="J3" s="34">
        <v>219</v>
      </c>
      <c r="K3" s="34">
        <v>4748</v>
      </c>
      <c r="L3" s="34">
        <v>5500</v>
      </c>
      <c r="M3" s="35">
        <f>(G3*1000)/K3</f>
        <v>22.325189553496209</v>
      </c>
      <c r="N3" s="35">
        <f>(H3*1000)/K3</f>
        <v>96.882898062342036</v>
      </c>
      <c r="O3" s="35">
        <f>(I3*1000)/L3</f>
        <v>28.181818181818183</v>
      </c>
      <c r="P3" s="35">
        <f>(J3*1000)/L3</f>
        <v>39.81818181818182</v>
      </c>
    </row>
    <row r="4" spans="1:16" ht="15.75" thickBot="1" x14ac:dyDescent="0.3">
      <c r="A4" s="37">
        <f>+A3</f>
        <v>45726</v>
      </c>
      <c r="B4" s="27">
        <v>2</v>
      </c>
      <c r="C4" s="27" t="s">
        <v>75</v>
      </c>
      <c r="D4" s="27">
        <v>542</v>
      </c>
      <c r="E4" s="27">
        <f t="shared" ref="E4:E11" si="0">+H4+J4</f>
        <v>736</v>
      </c>
      <c r="F4" s="27" t="e">
        <f t="shared" ref="F4:F11" si="1">+G4+I4</f>
        <v>#VALUE!</v>
      </c>
      <c r="G4" s="39" t="s">
        <v>79</v>
      </c>
      <c r="H4" s="27">
        <v>499</v>
      </c>
      <c r="I4" s="27">
        <v>16760</v>
      </c>
      <c r="J4" s="27">
        <v>237</v>
      </c>
      <c r="K4" s="27" t="s">
        <v>78</v>
      </c>
      <c r="L4" s="27">
        <v>9651</v>
      </c>
      <c r="M4" s="32" t="e">
        <f t="shared" ref="M4:M11" si="2">(G4*1000)/K4</f>
        <v>#VALUE!</v>
      </c>
      <c r="N4" s="35" t="e">
        <f>(H4*1000)/K4</f>
        <v>#VALUE!</v>
      </c>
      <c r="O4" s="32">
        <f t="shared" ref="O4:O11" si="3">(I4*1000)/L4</f>
        <v>1736.6076054294892</v>
      </c>
      <c r="P4" s="32">
        <f t="shared" ref="P4:P11" si="4">(J4*1000)/L4</f>
        <v>24.557040721168789</v>
      </c>
    </row>
    <row r="5" spans="1:16" s="40" customFormat="1" ht="15.75" thickBot="1" x14ac:dyDescent="0.3">
      <c r="A5" s="38">
        <f>+A4</f>
        <v>45726</v>
      </c>
      <c r="B5" s="39">
        <v>3</v>
      </c>
      <c r="C5" s="39" t="s">
        <v>76</v>
      </c>
      <c r="D5" s="39"/>
      <c r="E5" s="39">
        <f t="shared" si="0"/>
        <v>0</v>
      </c>
      <c r="F5" s="39" t="e">
        <f t="shared" si="1"/>
        <v>#VALUE!</v>
      </c>
      <c r="G5" s="39" t="s">
        <v>79</v>
      </c>
      <c r="H5" s="39"/>
      <c r="I5" s="39"/>
      <c r="J5" s="39"/>
      <c r="K5" s="39" t="s">
        <v>79</v>
      </c>
      <c r="L5" s="39"/>
      <c r="M5" s="41" t="e">
        <f t="shared" si="2"/>
        <v>#VALUE!</v>
      </c>
      <c r="N5" s="41" t="e">
        <f t="shared" ref="N5:N11" si="5">(H5*1000)/K5</f>
        <v>#VALUE!</v>
      </c>
      <c r="O5" s="41" t="e">
        <f t="shared" si="3"/>
        <v>#DIV/0!</v>
      </c>
      <c r="P5" s="41" t="e">
        <f t="shared" si="4"/>
        <v>#DIV/0!</v>
      </c>
    </row>
    <row r="6" spans="1:16" s="36" customFormat="1" x14ac:dyDescent="0.25">
      <c r="A6" s="33">
        <f>+A5+1</f>
        <v>45727</v>
      </c>
      <c r="B6" s="34">
        <v>1</v>
      </c>
      <c r="C6" s="34" t="s">
        <v>74</v>
      </c>
      <c r="D6" s="34"/>
      <c r="E6" s="34">
        <f t="shared" si="0"/>
        <v>0</v>
      </c>
      <c r="F6" s="34">
        <f t="shared" si="1"/>
        <v>0</v>
      </c>
      <c r="G6" s="34"/>
      <c r="H6" s="34"/>
      <c r="I6" s="34"/>
      <c r="J6" s="34"/>
      <c r="K6" s="34"/>
      <c r="L6" s="34"/>
      <c r="M6" s="35" t="e">
        <f t="shared" si="2"/>
        <v>#DIV/0!</v>
      </c>
      <c r="N6" s="35" t="e">
        <f t="shared" si="5"/>
        <v>#DIV/0!</v>
      </c>
      <c r="O6" s="35" t="e">
        <f t="shared" si="3"/>
        <v>#DIV/0!</v>
      </c>
      <c r="P6" s="35" t="e">
        <f t="shared" si="4"/>
        <v>#DIV/0!</v>
      </c>
    </row>
    <row r="7" spans="1:16" x14ac:dyDescent="0.25">
      <c r="A7" s="37">
        <f>+A6</f>
        <v>45727</v>
      </c>
      <c r="B7" s="27">
        <v>2</v>
      </c>
      <c r="C7" s="27" t="s">
        <v>75</v>
      </c>
      <c r="D7" s="27"/>
      <c r="E7" s="27">
        <f t="shared" si="0"/>
        <v>0</v>
      </c>
      <c r="F7" s="27">
        <f t="shared" si="1"/>
        <v>0</v>
      </c>
      <c r="G7" s="27"/>
      <c r="H7" s="27"/>
      <c r="I7" s="27"/>
      <c r="J7" s="27"/>
      <c r="K7" s="27"/>
      <c r="L7" s="27"/>
      <c r="M7" s="32" t="e">
        <f t="shared" si="2"/>
        <v>#DIV/0!</v>
      </c>
      <c r="N7" s="32" t="e">
        <f t="shared" si="5"/>
        <v>#DIV/0!</v>
      </c>
      <c r="O7" s="32" t="e">
        <f t="shared" si="3"/>
        <v>#DIV/0!</v>
      </c>
      <c r="P7" s="32" t="e">
        <f t="shared" si="4"/>
        <v>#DIV/0!</v>
      </c>
    </row>
    <row r="8" spans="1:16" s="40" customFormat="1" ht="15.75" thickBot="1" x14ac:dyDescent="0.3">
      <c r="A8" s="38">
        <f>+A7</f>
        <v>45727</v>
      </c>
      <c r="B8" s="39">
        <v>3</v>
      </c>
      <c r="C8" s="39" t="s">
        <v>77</v>
      </c>
      <c r="D8" s="39"/>
      <c r="E8" s="39">
        <f t="shared" si="0"/>
        <v>0</v>
      </c>
      <c r="F8" s="39">
        <f t="shared" si="1"/>
        <v>0</v>
      </c>
      <c r="G8" s="39"/>
      <c r="H8" s="39"/>
      <c r="I8" s="39"/>
      <c r="J8" s="39"/>
      <c r="K8" s="39"/>
      <c r="L8" s="39"/>
      <c r="M8" s="41" t="e">
        <f t="shared" si="2"/>
        <v>#DIV/0!</v>
      </c>
      <c r="N8" s="41" t="e">
        <f t="shared" si="5"/>
        <v>#DIV/0!</v>
      </c>
      <c r="O8" s="41" t="e">
        <f t="shared" si="3"/>
        <v>#DIV/0!</v>
      </c>
      <c r="P8" s="41" t="e">
        <f t="shared" si="4"/>
        <v>#DIV/0!</v>
      </c>
    </row>
    <row r="9" spans="1:16" s="36" customFormat="1" x14ac:dyDescent="0.25">
      <c r="A9" s="33">
        <f>+A8+1</f>
        <v>45728</v>
      </c>
      <c r="B9" s="34">
        <v>1</v>
      </c>
      <c r="C9" s="34" t="s">
        <v>74</v>
      </c>
      <c r="D9" s="34"/>
      <c r="E9" s="34">
        <f t="shared" si="0"/>
        <v>0</v>
      </c>
      <c r="F9" s="34">
        <f t="shared" si="1"/>
        <v>0</v>
      </c>
      <c r="G9" s="34"/>
      <c r="H9" s="34"/>
      <c r="I9" s="34"/>
      <c r="J9" s="34"/>
      <c r="K9" s="34"/>
      <c r="L9" s="34"/>
      <c r="M9" s="35" t="e">
        <f t="shared" si="2"/>
        <v>#DIV/0!</v>
      </c>
      <c r="N9" s="35" t="e">
        <f t="shared" si="5"/>
        <v>#DIV/0!</v>
      </c>
      <c r="O9" s="35" t="e">
        <f t="shared" si="3"/>
        <v>#DIV/0!</v>
      </c>
      <c r="P9" s="35" t="e">
        <f t="shared" si="4"/>
        <v>#DIV/0!</v>
      </c>
    </row>
    <row r="10" spans="1:16" x14ac:dyDescent="0.25">
      <c r="A10" s="37">
        <f>+A9</f>
        <v>45728</v>
      </c>
      <c r="B10" s="27">
        <v>2</v>
      </c>
      <c r="C10" s="27" t="s">
        <v>75</v>
      </c>
      <c r="D10" s="27"/>
      <c r="E10" s="27">
        <f t="shared" si="0"/>
        <v>0</v>
      </c>
      <c r="F10" s="27">
        <f t="shared" si="1"/>
        <v>0</v>
      </c>
      <c r="G10" s="27"/>
      <c r="H10" s="27"/>
      <c r="I10" s="27"/>
      <c r="J10" s="27"/>
      <c r="K10" s="27"/>
      <c r="L10" s="27"/>
      <c r="M10" s="32" t="e">
        <f t="shared" si="2"/>
        <v>#DIV/0!</v>
      </c>
      <c r="N10" s="32" t="e">
        <f t="shared" si="5"/>
        <v>#DIV/0!</v>
      </c>
      <c r="O10" s="32" t="e">
        <f t="shared" si="3"/>
        <v>#DIV/0!</v>
      </c>
      <c r="P10" s="32" t="e">
        <f t="shared" si="4"/>
        <v>#DIV/0!</v>
      </c>
    </row>
    <row r="11" spans="1:16" s="40" customFormat="1" ht="15.75" thickBot="1" x14ac:dyDescent="0.3">
      <c r="A11" s="38">
        <f>+A10</f>
        <v>45728</v>
      </c>
      <c r="B11" s="39">
        <v>3</v>
      </c>
      <c r="C11" s="39" t="s">
        <v>77</v>
      </c>
      <c r="D11" s="39"/>
      <c r="E11" s="39">
        <f t="shared" si="0"/>
        <v>0</v>
      </c>
      <c r="F11" s="39">
        <f t="shared" si="1"/>
        <v>0</v>
      </c>
      <c r="G11" s="39"/>
      <c r="H11" s="39"/>
      <c r="I11" s="39"/>
      <c r="J11" s="39"/>
      <c r="K11" s="39"/>
      <c r="L11" s="39"/>
      <c r="M11" s="41" t="e">
        <f t="shared" si="2"/>
        <v>#DIV/0!</v>
      </c>
      <c r="N11" s="41" t="e">
        <f t="shared" si="5"/>
        <v>#DIV/0!</v>
      </c>
      <c r="O11" s="41" t="e">
        <f t="shared" si="3"/>
        <v>#DIV/0!</v>
      </c>
      <c r="P11" s="41" t="e">
        <f t="shared" si="4"/>
        <v>#DIV/0!</v>
      </c>
    </row>
    <row r="19" spans="6:8" x14ac:dyDescent="0.25">
      <c r="F19">
        <v>735975</v>
      </c>
    </row>
    <row r="20" spans="6:8" x14ac:dyDescent="0.25">
      <c r="F20">
        <v>736521</v>
      </c>
      <c r="G20">
        <f>+F20-F19</f>
        <v>546</v>
      </c>
      <c r="H20">
        <f>+G20/8</f>
        <v>68.25</v>
      </c>
    </row>
    <row r="21" spans="6:8" x14ac:dyDescent="0.25">
      <c r="F21">
        <v>737172</v>
      </c>
      <c r="G21">
        <f t="shared" ref="G21:G46" si="6">+F21-F20</f>
        <v>651</v>
      </c>
      <c r="H21">
        <f t="shared" ref="H21:H46" si="7">+G21/8</f>
        <v>81.375</v>
      </c>
    </row>
    <row r="22" spans="6:8" x14ac:dyDescent="0.25">
      <c r="F22">
        <v>737752</v>
      </c>
      <c r="G22">
        <f t="shared" si="6"/>
        <v>580</v>
      </c>
      <c r="H22">
        <f t="shared" si="7"/>
        <v>72.5</v>
      </c>
    </row>
    <row r="23" spans="6:8" x14ac:dyDescent="0.25">
      <c r="F23">
        <v>738301</v>
      </c>
      <c r="G23">
        <f t="shared" si="6"/>
        <v>549</v>
      </c>
      <c r="H23">
        <f t="shared" si="7"/>
        <v>68.625</v>
      </c>
    </row>
    <row r="24" spans="6:8" x14ac:dyDescent="0.25">
      <c r="F24">
        <v>739029</v>
      </c>
      <c r="G24">
        <f t="shared" si="6"/>
        <v>728</v>
      </c>
      <c r="H24">
        <f t="shared" si="7"/>
        <v>91</v>
      </c>
    </row>
    <row r="25" spans="6:8" x14ac:dyDescent="0.25">
      <c r="F25">
        <v>739625</v>
      </c>
      <c r="G25">
        <f t="shared" si="6"/>
        <v>596</v>
      </c>
      <c r="H25">
        <f t="shared" si="7"/>
        <v>74.5</v>
      </c>
    </row>
    <row r="26" spans="6:8" x14ac:dyDescent="0.25">
      <c r="F26">
        <v>740157</v>
      </c>
      <c r="G26">
        <f t="shared" si="6"/>
        <v>532</v>
      </c>
      <c r="H26">
        <f t="shared" si="7"/>
        <v>66.5</v>
      </c>
    </row>
    <row r="27" spans="6:8" x14ac:dyDescent="0.25">
      <c r="F27">
        <v>740903</v>
      </c>
      <c r="G27">
        <f t="shared" si="6"/>
        <v>746</v>
      </c>
      <c r="H27">
        <f t="shared" si="7"/>
        <v>93.25</v>
      </c>
    </row>
    <row r="28" spans="6:8" x14ac:dyDescent="0.25">
      <c r="F28">
        <v>741525</v>
      </c>
      <c r="G28">
        <f t="shared" si="6"/>
        <v>622</v>
      </c>
      <c r="H28">
        <f t="shared" si="7"/>
        <v>77.75</v>
      </c>
    </row>
    <row r="29" spans="6:8" x14ac:dyDescent="0.25">
      <c r="F29">
        <v>742214</v>
      </c>
      <c r="G29">
        <f t="shared" si="6"/>
        <v>689</v>
      </c>
      <c r="H29">
        <f t="shared" si="7"/>
        <v>86.125</v>
      </c>
    </row>
    <row r="30" spans="6:8" x14ac:dyDescent="0.25">
      <c r="F30">
        <v>742850</v>
      </c>
      <c r="G30">
        <f t="shared" si="6"/>
        <v>636</v>
      </c>
      <c r="H30">
        <f t="shared" si="7"/>
        <v>79.5</v>
      </c>
    </row>
    <row r="31" spans="6:8" x14ac:dyDescent="0.25">
      <c r="F31">
        <v>742850</v>
      </c>
      <c r="G31">
        <f t="shared" si="6"/>
        <v>0</v>
      </c>
      <c r="H31">
        <v>0</v>
      </c>
    </row>
    <row r="32" spans="6:8" x14ac:dyDescent="0.25">
      <c r="F32">
        <v>742850</v>
      </c>
      <c r="G32">
        <f t="shared" si="6"/>
        <v>0</v>
      </c>
      <c r="H32">
        <v>0</v>
      </c>
    </row>
    <row r="33" spans="6:8" x14ac:dyDescent="0.25">
      <c r="F33">
        <v>742850</v>
      </c>
      <c r="G33">
        <f t="shared" si="6"/>
        <v>0</v>
      </c>
      <c r="H33">
        <v>0</v>
      </c>
    </row>
    <row r="34" spans="6:8" x14ac:dyDescent="0.25">
      <c r="F34">
        <v>743364</v>
      </c>
      <c r="G34">
        <f t="shared" si="6"/>
        <v>514</v>
      </c>
      <c r="H34">
        <f t="shared" si="7"/>
        <v>64.25</v>
      </c>
    </row>
    <row r="35" spans="6:8" x14ac:dyDescent="0.25">
      <c r="F35">
        <v>743906</v>
      </c>
      <c r="G35">
        <f t="shared" si="6"/>
        <v>542</v>
      </c>
      <c r="H35">
        <f t="shared" si="7"/>
        <v>67.75</v>
      </c>
    </row>
    <row r="36" spans="6:8" x14ac:dyDescent="0.25">
      <c r="F36">
        <v>744500</v>
      </c>
      <c r="G36">
        <f t="shared" si="6"/>
        <v>594</v>
      </c>
      <c r="H36">
        <f t="shared" si="7"/>
        <v>74.25</v>
      </c>
    </row>
    <row r="37" spans="6:8" x14ac:dyDescent="0.25">
      <c r="F37">
        <v>745148</v>
      </c>
      <c r="G37">
        <f t="shared" si="6"/>
        <v>648</v>
      </c>
      <c r="H37">
        <f t="shared" si="7"/>
        <v>81</v>
      </c>
    </row>
    <row r="38" spans="6:8" x14ac:dyDescent="0.25">
      <c r="F38">
        <v>745787</v>
      </c>
      <c r="G38">
        <f t="shared" si="6"/>
        <v>639</v>
      </c>
      <c r="H38">
        <f t="shared" si="7"/>
        <v>79.875</v>
      </c>
    </row>
    <row r="39" spans="6:8" x14ac:dyDescent="0.25">
      <c r="F39">
        <v>746540</v>
      </c>
      <c r="G39">
        <f t="shared" si="6"/>
        <v>753</v>
      </c>
      <c r="H39">
        <f t="shared" si="7"/>
        <v>94.125</v>
      </c>
    </row>
    <row r="40" spans="6:8" x14ac:dyDescent="0.25">
      <c r="F40">
        <v>747271</v>
      </c>
      <c r="G40">
        <f t="shared" si="6"/>
        <v>731</v>
      </c>
      <c r="H40">
        <f t="shared" si="7"/>
        <v>91.375</v>
      </c>
    </row>
    <row r="41" spans="6:8" x14ac:dyDescent="0.25">
      <c r="F41">
        <v>747843</v>
      </c>
      <c r="G41">
        <f t="shared" si="6"/>
        <v>572</v>
      </c>
      <c r="H41">
        <f t="shared" si="7"/>
        <v>71.5</v>
      </c>
    </row>
    <row r="42" spans="6:8" x14ac:dyDescent="0.25">
      <c r="F42">
        <v>748728</v>
      </c>
      <c r="G42">
        <f t="shared" si="6"/>
        <v>885</v>
      </c>
      <c r="H42">
        <f t="shared" si="7"/>
        <v>110.625</v>
      </c>
    </row>
    <row r="43" spans="6:8" x14ac:dyDescent="0.25">
      <c r="F43">
        <v>749305</v>
      </c>
      <c r="G43">
        <f t="shared" si="6"/>
        <v>577</v>
      </c>
      <c r="H43">
        <f t="shared" si="7"/>
        <v>72.125</v>
      </c>
    </row>
    <row r="44" spans="6:8" x14ac:dyDescent="0.25">
      <c r="F44">
        <v>749845</v>
      </c>
      <c r="G44">
        <f t="shared" si="6"/>
        <v>540</v>
      </c>
      <c r="H44">
        <f t="shared" si="7"/>
        <v>67.5</v>
      </c>
    </row>
    <row r="45" spans="6:8" x14ac:dyDescent="0.25">
      <c r="F45">
        <v>750546</v>
      </c>
      <c r="G45">
        <f t="shared" si="6"/>
        <v>701</v>
      </c>
      <c r="H45">
        <f t="shared" si="7"/>
        <v>87.625</v>
      </c>
    </row>
    <row r="46" spans="6:8" x14ac:dyDescent="0.25">
      <c r="F46">
        <v>751241</v>
      </c>
      <c r="G46">
        <f t="shared" si="6"/>
        <v>695</v>
      </c>
      <c r="H46">
        <f t="shared" si="7"/>
        <v>86.875</v>
      </c>
    </row>
    <row r="47" spans="6:8" x14ac:dyDescent="0.25">
      <c r="H47">
        <f>+MEDIAN(H20:H46)</f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Contadores Por Turno 2026</vt:lpstr>
      <vt:lpstr>Hoja2</vt:lpstr>
      <vt:lpstr>Hoja1</vt:lpstr>
      <vt:lpstr>COD</vt:lpstr>
      <vt:lpstr>PRUEBA MARZO</vt:lpstr>
      <vt:lpstr>'Contadores Por Turno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Nicolas Rodriguez</dc:creator>
  <cp:lastModifiedBy>Luna Sofia Osorio Parra</cp:lastModifiedBy>
  <cp:lastPrinted>2026-02-19T04:05:41Z</cp:lastPrinted>
  <dcterms:created xsi:type="dcterms:W3CDTF">2022-04-29T21:42:55Z</dcterms:created>
  <dcterms:modified xsi:type="dcterms:W3CDTF">2026-06-10T20:02:58Z</dcterms:modified>
</cp:coreProperties>
</file>