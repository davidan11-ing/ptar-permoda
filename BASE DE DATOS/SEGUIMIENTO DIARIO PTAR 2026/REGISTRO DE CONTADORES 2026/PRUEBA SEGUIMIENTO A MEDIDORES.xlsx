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2026\SEGUIMIENTO DIARIO PTAR 2026\REGISTRO DE CONTADORES 2026\"/>
    </mc:Choice>
  </mc:AlternateContent>
  <xr:revisionPtr revIDLastSave="0" documentId="13_ncr:1_{8874C765-1E3E-4A56-9996-318C2D5B4527}" xr6:coauthVersionLast="47" xr6:coauthVersionMax="47" xr10:uidLastSave="{00000000-0000-0000-0000-000000000000}"/>
  <bookViews>
    <workbookView xWindow="23880" yWindow="1830" windowWidth="20730" windowHeight="11040" activeTab="1" xr2:uid="{94033FE6-85A2-4FE7-BC39-D36DC2D32522}"/>
  </bookViews>
  <sheets>
    <sheet name="MEDIDOR PRINCIPAL" sheetId="3" r:id="rId1"/>
    <sheet name="MEDIDOR TINTORERI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3" l="1"/>
  <c r="G24" i="3"/>
  <c r="G23" i="3"/>
  <c r="F24" i="3"/>
  <c r="F23" i="3"/>
  <c r="E24" i="3"/>
  <c r="E25" i="3" s="1"/>
  <c r="E23" i="3"/>
  <c r="D24" i="3"/>
  <c r="D25" i="3" s="1"/>
  <c r="D23" i="3"/>
  <c r="P18" i="3"/>
  <c r="P19" i="3"/>
  <c r="P17" i="3"/>
  <c r="K20" i="3"/>
  <c r="L20" i="3"/>
  <c r="M20" i="3"/>
  <c r="N20" i="3"/>
  <c r="O20" i="3"/>
  <c r="Q20" i="3"/>
  <c r="J20" i="3"/>
  <c r="Q19" i="3"/>
  <c r="O19" i="3"/>
  <c r="N19" i="3"/>
  <c r="M19" i="3"/>
  <c r="L19" i="3"/>
  <c r="K19" i="3"/>
  <c r="J19" i="3"/>
  <c r="Q18" i="3"/>
  <c r="O18" i="3"/>
  <c r="N18" i="3"/>
  <c r="M18" i="3"/>
  <c r="L18" i="3"/>
  <c r="K18" i="3"/>
  <c r="J18" i="3"/>
  <c r="Q17" i="3"/>
  <c r="O17" i="3"/>
  <c r="N17" i="3"/>
  <c r="M17" i="3"/>
  <c r="L17" i="3"/>
  <c r="K17" i="3"/>
  <c r="J17" i="3"/>
  <c r="Q16" i="3"/>
  <c r="G12" i="3"/>
  <c r="G13" i="3" s="1"/>
  <c r="F12" i="3"/>
  <c r="E12" i="3"/>
  <c r="D12" i="3"/>
  <c r="Q6" i="3"/>
  <c r="O6" i="3"/>
  <c r="N6" i="3"/>
  <c r="M6" i="3"/>
  <c r="L6" i="3"/>
  <c r="K6" i="3"/>
  <c r="J6" i="3"/>
  <c r="Q5" i="3"/>
  <c r="O5" i="3"/>
  <c r="N5" i="3"/>
  <c r="M5" i="3"/>
  <c r="L5" i="3"/>
  <c r="P5" i="3" s="1"/>
  <c r="K5" i="3"/>
  <c r="J5" i="3"/>
  <c r="Q4" i="3"/>
  <c r="O4" i="3"/>
  <c r="N4" i="3"/>
  <c r="M4" i="3"/>
  <c r="L4" i="3"/>
  <c r="K4" i="3"/>
  <c r="J4" i="3"/>
  <c r="Q3" i="3"/>
  <c r="O3" i="3"/>
  <c r="N3" i="3"/>
  <c r="M3" i="3"/>
  <c r="L3" i="3"/>
  <c r="K3" i="3"/>
  <c r="J3" i="3"/>
  <c r="Q2" i="3"/>
  <c r="O2" i="3"/>
  <c r="N2" i="3"/>
  <c r="M2" i="3"/>
  <c r="L2" i="3"/>
  <c r="K2" i="3"/>
  <c r="J2" i="3"/>
  <c r="P2" i="3" s="1"/>
  <c r="Q1" i="3"/>
  <c r="G25" i="3" l="1"/>
  <c r="G26" i="3" s="1"/>
  <c r="F25" i="3"/>
  <c r="F26" i="3" s="1"/>
  <c r="P20" i="3"/>
  <c r="P4" i="3"/>
  <c r="R4" i="3" s="1"/>
  <c r="R5" i="3"/>
  <c r="D13" i="3"/>
  <c r="D26" i="3"/>
  <c r="Q7" i="3"/>
  <c r="P6" i="3"/>
  <c r="R6" i="3" s="1"/>
  <c r="F13" i="3"/>
  <c r="P3" i="3"/>
  <c r="P7" i="3" s="1"/>
  <c r="R7" i="3" s="1"/>
  <c r="H13" i="3"/>
  <c r="R17" i="3"/>
  <c r="R20" i="3" s="1"/>
  <c r="R18" i="3"/>
  <c r="R19" i="3"/>
  <c r="R2" i="3"/>
  <c r="R3" i="3" l="1"/>
  <c r="B8" i="1" l="1"/>
  <c r="B10" i="1" s="1"/>
  <c r="C8" i="1"/>
  <c r="C10" i="1" s="1"/>
  <c r="B9" i="1"/>
  <c r="C9" i="1"/>
  <c r="B11" i="1"/>
  <c r="C11" i="1"/>
  <c r="B12" i="1"/>
  <c r="C12" i="1"/>
</calcChain>
</file>

<file path=xl/sharedStrings.xml><?xml version="1.0" encoding="utf-8"?>
<sst xmlns="http://schemas.openxmlformats.org/spreadsheetml/2006/main" count="59" uniqueCount="28">
  <si>
    <t>MEDIDOR 2 TINTORERIA</t>
  </si>
  <si>
    <t>MEDIDOR TINTORERIA</t>
  </si>
  <si>
    <t>CONSUMO TINTORERIA</t>
  </si>
  <si>
    <t>CONSUMO LAVANDERIA</t>
  </si>
  <si>
    <t>CONSUMO PRODUCCIÓN</t>
  </si>
  <si>
    <t>3 - 16 FEBRERO</t>
  </si>
  <si>
    <t>30 ENE - 16 FEB</t>
  </si>
  <si>
    <t>Final - 16 FEBRERO</t>
  </si>
  <si>
    <t>Inicial - 3 FEBRERO</t>
  </si>
  <si>
    <t>Inicial - 30 ENERO</t>
  </si>
  <si>
    <t>SALIDA PTAP</t>
  </si>
  <si>
    <t>INGRESO PTAP</t>
  </si>
  <si>
    <t>LAVANDERIA</t>
  </si>
  <si>
    <t>TH</t>
  </si>
  <si>
    <t>MEDIDOR TINTORERIA DATO 1</t>
  </si>
  <si>
    <t>MEDIDOR TINTORERIA DATO 2</t>
  </si>
  <si>
    <t>FECHA</t>
  </si>
  <si>
    <t>CARROTANQUES TK QUIMICOS</t>
  </si>
  <si>
    <t>ACUEDUCTO ELIAR CALLE</t>
  </si>
  <si>
    <t>ACUEDUCTO ELIAR</t>
  </si>
  <si>
    <t>ACUEDUCTO GARITA</t>
  </si>
  <si>
    <t>RETORNO SCLAVOS</t>
  </si>
  <si>
    <t>CARROTANQUES COMPRESORES</t>
  </si>
  <si>
    <t>PRINCIPAL</t>
  </si>
  <si>
    <t>SUMATORIA</t>
  </si>
  <si>
    <t>DIFERENCIA</t>
  </si>
  <si>
    <t>TOTAL M3</t>
  </si>
  <si>
    <t>PRUEBA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</si>
</sst>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" fontId="0" fillId="2" borderId="2" xfId="0" applyNumberFormat="1" applyFill="1" applyBorder="1"/>
    <xf numFmtId="0" fontId="0" fillId="2" borderId="2" xfId="0" applyFill="1" applyBorder="1"/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Border="1"/>
    <xf numFmtId="1" fontId="0" fillId="0" borderId="0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C1D3-E0C7-4851-B4E5-B26D64F0D877}">
  <dimension ref="A1:R26"/>
  <sheetViews>
    <sheetView topLeftCell="A9" workbookViewId="0">
      <selection activeCell="I22" sqref="I22"/>
    </sheetView>
  </sheetViews>
  <sheetFormatPr baseColWidth="10" defaultRowHeight="14.4" x14ac:dyDescent="0.3"/>
  <cols>
    <col min="2" max="2" width="14.6640625" customWidth="1"/>
    <col min="6" max="6" width="23.21875" customWidth="1"/>
    <col min="7" max="7" width="14.44140625" customWidth="1"/>
    <col min="10" max="10" width="15.77734375" customWidth="1"/>
    <col min="15" max="15" width="16.21875" customWidth="1"/>
  </cols>
  <sheetData>
    <row r="1" spans="1:18" ht="43.2" x14ac:dyDescent="0.3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24</v>
      </c>
      <c r="Q1" s="5" t="str">
        <f>+H1</f>
        <v>PRINCIPAL</v>
      </c>
      <c r="R1" s="5" t="s">
        <v>25</v>
      </c>
    </row>
    <row r="2" spans="1:18" x14ac:dyDescent="0.3">
      <c r="A2" s="6">
        <v>46050</v>
      </c>
      <c r="B2" s="7">
        <v>64088</v>
      </c>
      <c r="C2" s="7">
        <v>6954</v>
      </c>
      <c r="D2" s="7">
        <v>85936</v>
      </c>
      <c r="E2" s="7">
        <v>42423</v>
      </c>
      <c r="F2" s="7">
        <v>26122650</v>
      </c>
      <c r="G2" s="7">
        <v>64904</v>
      </c>
      <c r="H2" s="7">
        <v>5201</v>
      </c>
      <c r="J2" s="8">
        <f t="shared" ref="J2:M6" si="0">(B3-B2)</f>
        <v>0</v>
      </c>
      <c r="K2" s="8">
        <f t="shared" si="0"/>
        <v>1</v>
      </c>
      <c r="L2" s="8">
        <f t="shared" si="0"/>
        <v>199</v>
      </c>
      <c r="M2" s="8">
        <f t="shared" si="0"/>
        <v>23</v>
      </c>
      <c r="N2" s="9">
        <f>(F3-F2)/1000</f>
        <v>169.74799999999999</v>
      </c>
      <c r="O2" s="8">
        <f>(G3-G2)</f>
        <v>0</v>
      </c>
      <c r="P2" s="9">
        <f>SUM(J2:O2)</f>
        <v>392.74799999999999</v>
      </c>
      <c r="Q2" s="8">
        <f>(H3-H2)*10</f>
        <v>730</v>
      </c>
      <c r="R2" s="9">
        <f>+Q2-P2</f>
        <v>337.25200000000001</v>
      </c>
    </row>
    <row r="3" spans="1:18" x14ac:dyDescent="0.3">
      <c r="A3" s="6">
        <v>46051</v>
      </c>
      <c r="B3" s="7">
        <v>64088</v>
      </c>
      <c r="C3" s="7">
        <v>6955</v>
      </c>
      <c r="D3" s="7">
        <v>86135</v>
      </c>
      <c r="E3" s="7">
        <v>42446</v>
      </c>
      <c r="F3" s="7">
        <v>26292398</v>
      </c>
      <c r="G3" s="7">
        <v>64904</v>
      </c>
      <c r="H3" s="7">
        <v>5274</v>
      </c>
      <c r="J3" s="8">
        <f t="shared" si="0"/>
        <v>0</v>
      </c>
      <c r="K3" s="8">
        <f t="shared" si="0"/>
        <v>6</v>
      </c>
      <c r="L3" s="8">
        <f t="shared" si="0"/>
        <v>32</v>
      </c>
      <c r="M3" s="8">
        <f t="shared" si="0"/>
        <v>8</v>
      </c>
      <c r="N3" s="9">
        <f>(F4-F3)/1000</f>
        <v>230.66200000000001</v>
      </c>
      <c r="O3" s="8">
        <f>(G4-G3)</f>
        <v>0</v>
      </c>
      <c r="P3" s="9">
        <f t="shared" ref="P3:P6" si="1">SUM(J3:O3)</f>
        <v>276.66200000000003</v>
      </c>
      <c r="Q3" s="8">
        <f>(H4-H3)*10</f>
        <v>620</v>
      </c>
      <c r="R3" s="9">
        <f t="shared" ref="R3:R6" si="2">+Q3-P3</f>
        <v>343.33799999999997</v>
      </c>
    </row>
    <row r="4" spans="1:18" x14ac:dyDescent="0.3">
      <c r="A4" s="6">
        <v>46052</v>
      </c>
      <c r="B4" s="7">
        <v>64088</v>
      </c>
      <c r="C4" s="7">
        <v>6961</v>
      </c>
      <c r="D4" s="7">
        <v>86167</v>
      </c>
      <c r="E4" s="7">
        <v>42454</v>
      </c>
      <c r="F4" s="7">
        <v>26523060</v>
      </c>
      <c r="G4" s="7">
        <v>64904</v>
      </c>
      <c r="H4" s="7">
        <v>5336</v>
      </c>
      <c r="J4" s="8">
        <f t="shared" si="0"/>
        <v>0</v>
      </c>
      <c r="K4" s="8">
        <f t="shared" si="0"/>
        <v>7</v>
      </c>
      <c r="L4" s="8">
        <f t="shared" si="0"/>
        <v>210</v>
      </c>
      <c r="M4" s="8">
        <f t="shared" si="0"/>
        <v>0</v>
      </c>
      <c r="N4" s="9">
        <f>(F5-F4)/1000</f>
        <v>78.44</v>
      </c>
      <c r="O4" s="8">
        <f>(G5-G4)</f>
        <v>0</v>
      </c>
      <c r="P4" s="9">
        <f t="shared" si="1"/>
        <v>295.44</v>
      </c>
      <c r="Q4" s="8">
        <f>(H5-H4)*10</f>
        <v>670</v>
      </c>
      <c r="R4" s="9">
        <f t="shared" si="2"/>
        <v>374.56</v>
      </c>
    </row>
    <row r="5" spans="1:18" x14ac:dyDescent="0.3">
      <c r="A5" s="6">
        <v>46053</v>
      </c>
      <c r="B5" s="7">
        <v>64088</v>
      </c>
      <c r="C5" s="7">
        <v>6968</v>
      </c>
      <c r="D5" s="7">
        <v>86377</v>
      </c>
      <c r="E5" s="7">
        <v>42454</v>
      </c>
      <c r="F5" s="7">
        <v>26601500</v>
      </c>
      <c r="G5" s="7">
        <v>64904</v>
      </c>
      <c r="H5" s="7">
        <v>5403</v>
      </c>
      <c r="J5" s="8">
        <f t="shared" si="0"/>
        <v>0</v>
      </c>
      <c r="K5" s="8">
        <f t="shared" si="0"/>
        <v>0</v>
      </c>
      <c r="L5" s="8">
        <f t="shared" si="0"/>
        <v>0</v>
      </c>
      <c r="M5" s="8">
        <f t="shared" si="0"/>
        <v>0</v>
      </c>
      <c r="N5" s="9">
        <f>(F6-F5)/1000</f>
        <v>0</v>
      </c>
      <c r="O5" s="8">
        <f>(G6-G5)</f>
        <v>0</v>
      </c>
      <c r="P5" s="9">
        <f t="shared" si="1"/>
        <v>0</v>
      </c>
      <c r="Q5" s="8">
        <f>(H6-H5)*10</f>
        <v>0</v>
      </c>
      <c r="R5" s="9">
        <f t="shared" si="2"/>
        <v>0</v>
      </c>
    </row>
    <row r="6" spans="1:18" x14ac:dyDescent="0.3">
      <c r="A6" s="6">
        <v>46054</v>
      </c>
      <c r="B6" s="7">
        <v>64088</v>
      </c>
      <c r="C6" s="7">
        <v>6968</v>
      </c>
      <c r="D6" s="7">
        <v>86377</v>
      </c>
      <c r="E6" s="7">
        <v>42454</v>
      </c>
      <c r="F6" s="7">
        <v>26601500</v>
      </c>
      <c r="G6" s="7">
        <v>64904</v>
      </c>
      <c r="H6" s="7">
        <v>5403</v>
      </c>
      <c r="J6" s="8">
        <f t="shared" si="0"/>
        <v>0</v>
      </c>
      <c r="K6" s="8">
        <f t="shared" si="0"/>
        <v>4</v>
      </c>
      <c r="L6" s="8">
        <f t="shared" si="0"/>
        <v>207</v>
      </c>
      <c r="M6" s="8">
        <f t="shared" si="0"/>
        <v>126</v>
      </c>
      <c r="N6" s="9">
        <f>(F7-F6)/1000</f>
        <v>146.822</v>
      </c>
      <c r="O6" s="8">
        <f>(G7-G6)</f>
        <v>0</v>
      </c>
      <c r="P6" s="9">
        <f t="shared" si="1"/>
        <v>483.822</v>
      </c>
      <c r="Q6" s="8">
        <f>(H7-H6)*10</f>
        <v>880</v>
      </c>
      <c r="R6" s="9">
        <f t="shared" si="2"/>
        <v>396.178</v>
      </c>
    </row>
    <row r="7" spans="1:18" x14ac:dyDescent="0.3">
      <c r="A7" s="6">
        <v>46055</v>
      </c>
      <c r="B7" s="7">
        <v>64088</v>
      </c>
      <c r="C7" s="7">
        <v>6972</v>
      </c>
      <c r="D7" s="7">
        <v>86584</v>
      </c>
      <c r="E7" s="7">
        <v>42580</v>
      </c>
      <c r="F7" s="7">
        <v>26748322</v>
      </c>
      <c r="G7" s="7">
        <v>64904</v>
      </c>
      <c r="H7" s="7">
        <v>5491</v>
      </c>
      <c r="N7" s="10"/>
      <c r="P7" s="11">
        <f>SUM(P2:P6)</f>
        <v>1448.672</v>
      </c>
      <c r="Q7" s="12">
        <f>SUM(Q2:Q6)</f>
        <v>2900</v>
      </c>
      <c r="R7" s="10">
        <f>+Q7-P7</f>
        <v>1451.328</v>
      </c>
    </row>
    <row r="9" spans="1:18" ht="28.8" x14ac:dyDescent="0.3">
      <c r="D9" s="5" t="s">
        <v>19</v>
      </c>
      <c r="E9" s="5" t="s">
        <v>20</v>
      </c>
      <c r="F9" s="5" t="s">
        <v>21</v>
      </c>
      <c r="G9" s="5" t="s">
        <v>23</v>
      </c>
    </row>
    <row r="10" spans="1:18" x14ac:dyDescent="0.3">
      <c r="C10" s="13">
        <v>46054</v>
      </c>
      <c r="D10" s="7">
        <v>86377</v>
      </c>
      <c r="E10" s="7">
        <v>42454</v>
      </c>
      <c r="F10" s="7">
        <v>26601500</v>
      </c>
      <c r="G10" s="7">
        <v>5403</v>
      </c>
    </row>
    <row r="11" spans="1:18" x14ac:dyDescent="0.3">
      <c r="C11" s="13">
        <v>46061</v>
      </c>
      <c r="D11" s="7">
        <v>87776</v>
      </c>
      <c r="E11" s="7">
        <v>42809</v>
      </c>
      <c r="F11" s="7">
        <v>27427658</v>
      </c>
      <c r="G11" s="7">
        <v>5927</v>
      </c>
    </row>
    <row r="12" spans="1:18" x14ac:dyDescent="0.3">
      <c r="C12" t="s">
        <v>26</v>
      </c>
      <c r="D12" s="14">
        <f>+D11-D10</f>
        <v>1399</v>
      </c>
      <c r="E12" s="14">
        <f>+E11-E10</f>
        <v>355</v>
      </c>
      <c r="F12" s="15">
        <f>+(F11-F10)/1000</f>
        <v>826.15800000000002</v>
      </c>
      <c r="G12" s="14">
        <f>+(G11-G10)*10</f>
        <v>5240</v>
      </c>
    </row>
    <row r="13" spans="1:18" x14ac:dyDescent="0.3">
      <c r="D13">
        <f>+E12+D12</f>
        <v>1754</v>
      </c>
      <c r="F13" s="10">
        <f>+F12+E12+D12</f>
        <v>2580.1579999999999</v>
      </c>
      <c r="G13">
        <f>+G12</f>
        <v>5240</v>
      </c>
      <c r="H13" s="10">
        <f>+G13-F13</f>
        <v>2659.8420000000001</v>
      </c>
    </row>
    <row r="15" spans="1:18" x14ac:dyDescent="0.3">
      <c r="A15" s="16" t="s">
        <v>27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ht="43.2" x14ac:dyDescent="0.3">
      <c r="A16" s="5" t="s">
        <v>16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21</v>
      </c>
      <c r="G16" s="5" t="s">
        <v>22</v>
      </c>
      <c r="H16" s="5" t="s">
        <v>23</v>
      </c>
      <c r="J16" s="5" t="s">
        <v>17</v>
      </c>
      <c r="K16" s="5" t="s">
        <v>18</v>
      </c>
      <c r="L16" s="5" t="s">
        <v>19</v>
      </c>
      <c r="M16" s="5" t="s">
        <v>20</v>
      </c>
      <c r="N16" s="5" t="s">
        <v>21</v>
      </c>
      <c r="O16" s="5" t="s">
        <v>22</v>
      </c>
      <c r="P16" s="5" t="s">
        <v>24</v>
      </c>
      <c r="Q16" s="5" t="str">
        <f>+H16</f>
        <v>PRINCIPAL</v>
      </c>
      <c r="R16" s="5" t="s">
        <v>25</v>
      </c>
    </row>
    <row r="17" spans="1:18" x14ac:dyDescent="0.3">
      <c r="A17" s="6">
        <v>46063</v>
      </c>
      <c r="B17" s="7">
        <v>64088</v>
      </c>
      <c r="C17" s="7">
        <v>7009</v>
      </c>
      <c r="D17" s="7">
        <v>88276</v>
      </c>
      <c r="E17" s="7">
        <v>42914</v>
      </c>
      <c r="F17" s="7">
        <v>27540395</v>
      </c>
      <c r="G17" s="7">
        <v>64904</v>
      </c>
      <c r="H17" s="7">
        <v>6059</v>
      </c>
      <c r="J17" s="8">
        <f t="shared" ref="J17:J19" si="3">(B18-B17)</f>
        <v>0</v>
      </c>
      <c r="K17" s="8">
        <f t="shared" ref="K17:K19" si="4">(C18-C17)</f>
        <v>1</v>
      </c>
      <c r="L17" s="8">
        <f t="shared" ref="L17:L19" si="5">(D18-D17)</f>
        <v>114</v>
      </c>
      <c r="M17" s="8">
        <f t="shared" ref="M17:M19" si="6">(E18-E17)</f>
        <v>5</v>
      </c>
      <c r="N17" s="9">
        <f>(F18-F17)/1000</f>
        <v>82.222999999999999</v>
      </c>
      <c r="O17" s="8">
        <f>(G18-G17)</f>
        <v>0</v>
      </c>
      <c r="P17" s="9">
        <f>SUM(L17:O17)</f>
        <v>201.22300000000001</v>
      </c>
      <c r="Q17" s="8">
        <f>(H18-H17)*10</f>
        <v>250</v>
      </c>
      <c r="R17" s="9">
        <f t="shared" ref="R17:R19" si="7">+Q17-P17</f>
        <v>48.776999999999987</v>
      </c>
    </row>
    <row r="18" spans="1:18" x14ac:dyDescent="0.3">
      <c r="A18" s="6">
        <v>46064</v>
      </c>
      <c r="B18" s="7">
        <v>64088</v>
      </c>
      <c r="C18" s="7">
        <v>7010</v>
      </c>
      <c r="D18" s="7">
        <v>88390</v>
      </c>
      <c r="E18" s="7">
        <v>42919</v>
      </c>
      <c r="F18" s="7">
        <v>27622618</v>
      </c>
      <c r="G18" s="7">
        <v>64904</v>
      </c>
      <c r="H18" s="7">
        <v>6084</v>
      </c>
      <c r="J18" s="8">
        <f t="shared" si="3"/>
        <v>0</v>
      </c>
      <c r="K18" s="8">
        <f t="shared" si="4"/>
        <v>2</v>
      </c>
      <c r="L18" s="8">
        <f t="shared" si="5"/>
        <v>124</v>
      </c>
      <c r="M18" s="8">
        <f t="shared" si="6"/>
        <v>43</v>
      </c>
      <c r="N18" s="9">
        <f>(F19-F18)/1000</f>
        <v>87.936000000000007</v>
      </c>
      <c r="O18" s="8">
        <f>(G19-G18)</f>
        <v>0</v>
      </c>
      <c r="P18" s="9">
        <f t="shared" ref="P18:P19" si="8">SUM(L18:O18)</f>
        <v>254.93600000000001</v>
      </c>
      <c r="Q18" s="8">
        <f>(H19-H18)*10</f>
        <v>310</v>
      </c>
      <c r="R18" s="9">
        <f t="shared" si="7"/>
        <v>55.063999999999993</v>
      </c>
    </row>
    <row r="19" spans="1:18" x14ac:dyDescent="0.3">
      <c r="A19" s="6">
        <v>46065</v>
      </c>
      <c r="B19" s="7">
        <v>64088</v>
      </c>
      <c r="C19" s="7">
        <v>7012</v>
      </c>
      <c r="D19" s="7">
        <v>88514</v>
      </c>
      <c r="E19" s="7">
        <v>42962</v>
      </c>
      <c r="F19" s="7">
        <v>27710554</v>
      </c>
      <c r="G19" s="7">
        <v>64904</v>
      </c>
      <c r="H19" s="7">
        <v>6115</v>
      </c>
      <c r="J19" s="8">
        <f t="shared" si="3"/>
        <v>0</v>
      </c>
      <c r="K19" s="8">
        <f t="shared" si="4"/>
        <v>1</v>
      </c>
      <c r="L19" s="8">
        <f t="shared" si="5"/>
        <v>91</v>
      </c>
      <c r="M19" s="8">
        <f t="shared" si="6"/>
        <v>1</v>
      </c>
      <c r="N19" s="9">
        <f>(F20-F19)/1000</f>
        <v>50.133000000000003</v>
      </c>
      <c r="O19" s="8">
        <f>(G20-G19)</f>
        <v>0</v>
      </c>
      <c r="P19" s="9">
        <f t="shared" si="8"/>
        <v>142.13300000000001</v>
      </c>
      <c r="Q19" s="8">
        <f>(H20-H19)*10</f>
        <v>170</v>
      </c>
      <c r="R19" s="9">
        <f t="shared" si="7"/>
        <v>27.86699999999999</v>
      </c>
    </row>
    <row r="20" spans="1:18" x14ac:dyDescent="0.3">
      <c r="A20" s="6">
        <v>46066</v>
      </c>
      <c r="B20" s="7">
        <v>64088</v>
      </c>
      <c r="C20" s="7">
        <v>7013</v>
      </c>
      <c r="D20" s="7">
        <v>88605</v>
      </c>
      <c r="E20" s="7">
        <v>42963</v>
      </c>
      <c r="F20" s="7">
        <v>27760687</v>
      </c>
      <c r="G20" s="7">
        <v>64904</v>
      </c>
      <c r="H20" s="7">
        <v>6132</v>
      </c>
      <c r="J20" s="17">
        <f>SUM(J17:J19)</f>
        <v>0</v>
      </c>
      <c r="K20" s="17">
        <f t="shared" ref="K20:R20" si="9">SUM(K17:K19)</f>
        <v>4</v>
      </c>
      <c r="L20" s="17">
        <f t="shared" si="9"/>
        <v>329</v>
      </c>
      <c r="M20" s="17">
        <f t="shared" si="9"/>
        <v>49</v>
      </c>
      <c r="N20" s="18">
        <f t="shared" si="9"/>
        <v>220.292</v>
      </c>
      <c r="O20" s="17">
        <f t="shared" si="9"/>
        <v>0</v>
      </c>
      <c r="P20" s="18">
        <f t="shared" si="9"/>
        <v>598.29200000000003</v>
      </c>
      <c r="Q20" s="17">
        <f t="shared" si="9"/>
        <v>730</v>
      </c>
      <c r="R20" s="18">
        <f t="shared" si="9"/>
        <v>131.70799999999997</v>
      </c>
    </row>
    <row r="22" spans="1:18" ht="28.8" x14ac:dyDescent="0.3">
      <c r="D22" s="5" t="s">
        <v>19</v>
      </c>
      <c r="E22" s="5" t="s">
        <v>20</v>
      </c>
      <c r="F22" s="5" t="s">
        <v>21</v>
      </c>
      <c r="G22" s="5" t="s">
        <v>23</v>
      </c>
    </row>
    <row r="23" spans="1:18" x14ac:dyDescent="0.3">
      <c r="C23" s="13">
        <v>46063</v>
      </c>
      <c r="D23" s="7">
        <f>+D17</f>
        <v>88276</v>
      </c>
      <c r="E23" s="7">
        <f>+E17</f>
        <v>42914</v>
      </c>
      <c r="F23" s="7">
        <f>+F17</f>
        <v>27540395</v>
      </c>
      <c r="G23" s="7">
        <f>+H17</f>
        <v>6059</v>
      </c>
    </row>
    <row r="24" spans="1:18" x14ac:dyDescent="0.3">
      <c r="C24" s="13">
        <v>44970</v>
      </c>
      <c r="D24" s="7">
        <f>+D20</f>
        <v>88605</v>
      </c>
      <c r="E24" s="7">
        <f>+E20</f>
        <v>42963</v>
      </c>
      <c r="F24" s="7">
        <f>+F20</f>
        <v>27760687</v>
      </c>
      <c r="G24" s="7">
        <f>+H20</f>
        <v>6132</v>
      </c>
    </row>
    <row r="25" spans="1:18" x14ac:dyDescent="0.3">
      <c r="C25" t="s">
        <v>26</v>
      </c>
      <c r="D25" s="14">
        <f>+D24-D23</f>
        <v>329</v>
      </c>
      <c r="E25" s="14">
        <f>+E24-E23</f>
        <v>49</v>
      </c>
      <c r="F25" s="15">
        <f>+(F24-F23)/1000</f>
        <v>220.292</v>
      </c>
      <c r="G25" s="14">
        <f>+(G24-G23)*10</f>
        <v>730</v>
      </c>
    </row>
    <row r="26" spans="1:18" x14ac:dyDescent="0.3">
      <c r="D26">
        <f>+E25+D25</f>
        <v>378</v>
      </c>
      <c r="F26" s="10">
        <f>+F25+E25+D25</f>
        <v>598.29200000000003</v>
      </c>
      <c r="G26">
        <f>+G25</f>
        <v>730</v>
      </c>
      <c r="H26" s="10">
        <f>+G26-F26</f>
        <v>131.70799999999997</v>
      </c>
    </row>
  </sheetData>
  <mergeCells count="1">
    <mergeCell ref="A15:R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CA13-58BF-415D-A079-EDA8E9446A03}">
  <dimension ref="A1:G12"/>
  <sheetViews>
    <sheetView tabSelected="1" workbookViewId="0">
      <selection activeCell="H7" sqref="H7"/>
    </sheetView>
  </sheetViews>
  <sheetFormatPr baseColWidth="10" defaultRowHeight="14.4" x14ac:dyDescent="0.3"/>
  <cols>
    <col min="1" max="1" width="24.77734375" customWidth="1"/>
    <col min="2" max="2" width="16.109375" customWidth="1"/>
    <col min="3" max="5" width="13.6640625" customWidth="1"/>
    <col min="6" max="6" width="11.88671875" customWidth="1"/>
  </cols>
  <sheetData>
    <row r="1" spans="1:7" ht="43.2" x14ac:dyDescent="0.3">
      <c r="A1" s="4"/>
      <c r="B1" s="3" t="s">
        <v>13</v>
      </c>
      <c r="C1" s="3" t="s">
        <v>12</v>
      </c>
      <c r="D1" s="3" t="s">
        <v>11</v>
      </c>
      <c r="E1" s="3" t="s">
        <v>10</v>
      </c>
      <c r="F1" s="3" t="s">
        <v>14</v>
      </c>
      <c r="G1" s="3" t="s">
        <v>15</v>
      </c>
    </row>
    <row r="2" spans="1:7" x14ac:dyDescent="0.3">
      <c r="A2" t="s">
        <v>9</v>
      </c>
      <c r="B2" s="2">
        <v>109981</v>
      </c>
      <c r="C2" s="2">
        <v>317564</v>
      </c>
      <c r="D2" s="2">
        <v>58129</v>
      </c>
      <c r="E2" s="2">
        <v>41426</v>
      </c>
      <c r="F2" s="2">
        <v>33148.423000000003</v>
      </c>
      <c r="G2" s="2">
        <v>1996</v>
      </c>
    </row>
    <row r="3" spans="1:7" x14ac:dyDescent="0.3">
      <c r="A3" t="s">
        <v>8</v>
      </c>
      <c r="B3" s="2">
        <v>113905.5</v>
      </c>
      <c r="C3" s="2">
        <v>320198</v>
      </c>
      <c r="D3" s="2">
        <v>59030</v>
      </c>
      <c r="E3" s="2">
        <v>42092</v>
      </c>
      <c r="F3" s="2">
        <v>38692</v>
      </c>
      <c r="G3" s="2">
        <v>1527</v>
      </c>
    </row>
    <row r="4" spans="1:7" x14ac:dyDescent="0.3">
      <c r="A4" t="s">
        <v>7</v>
      </c>
      <c r="B4" s="2">
        <v>125197</v>
      </c>
      <c r="C4" s="2">
        <v>328777</v>
      </c>
      <c r="D4" s="2">
        <v>62203.71</v>
      </c>
      <c r="E4" s="2">
        <v>44603.3</v>
      </c>
      <c r="F4" s="2">
        <v>51815.841</v>
      </c>
      <c r="G4" s="2">
        <v>2627</v>
      </c>
    </row>
    <row r="5" spans="1:7" x14ac:dyDescent="0.3">
      <c r="B5" s="1"/>
      <c r="D5" s="1"/>
      <c r="E5" s="1"/>
    </row>
    <row r="6" spans="1:7" x14ac:dyDescent="0.3">
      <c r="D6" s="1"/>
    </row>
    <row r="7" spans="1:7" x14ac:dyDescent="0.3">
      <c r="B7" t="s">
        <v>6</v>
      </c>
      <c r="C7" t="s">
        <v>5</v>
      </c>
      <c r="D7" s="1"/>
    </row>
    <row r="8" spans="1:7" x14ac:dyDescent="0.3">
      <c r="A8" t="s">
        <v>4</v>
      </c>
      <c r="B8" s="1">
        <f>(B4-B2)-((D4-D2)-(E4-E2))</f>
        <v>14318.590000000004</v>
      </c>
      <c r="C8" s="1">
        <f>(B4-B3)-((D4-D3)-(E4-E3))</f>
        <v>10629.090000000004</v>
      </c>
      <c r="D8" s="1"/>
      <c r="E8" s="1"/>
    </row>
    <row r="9" spans="1:7" x14ac:dyDescent="0.3">
      <c r="A9" t="s">
        <v>3</v>
      </c>
      <c r="B9" s="1">
        <f>+C4-C2</f>
        <v>11213</v>
      </c>
      <c r="C9" s="1">
        <f>C4-C3</f>
        <v>8579</v>
      </c>
      <c r="D9" s="1"/>
    </row>
    <row r="10" spans="1:7" x14ac:dyDescent="0.3">
      <c r="A10" t="s">
        <v>2</v>
      </c>
      <c r="B10" s="1">
        <f>+B8-B9</f>
        <v>3105.5900000000038</v>
      </c>
      <c r="C10" s="1">
        <f>+C8-C9</f>
        <v>2050.0900000000038</v>
      </c>
    </row>
    <row r="11" spans="1:7" x14ac:dyDescent="0.3">
      <c r="A11" t="s">
        <v>1</v>
      </c>
      <c r="B11" s="1">
        <f>F4-F2</f>
        <v>18667.417999999998</v>
      </c>
      <c r="C11" s="1">
        <f>F4-F3</f>
        <v>13123.841</v>
      </c>
    </row>
    <row r="12" spans="1:7" x14ac:dyDescent="0.3">
      <c r="A12" t="s">
        <v>0</v>
      </c>
      <c r="B12" s="1">
        <f>G4-G2</f>
        <v>631</v>
      </c>
      <c r="C12" s="1">
        <f>G4-G3</f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MEDIDOR PRINCIPAL</vt:lpstr>
      <vt:lpstr>MEDIDOR TINTORERIA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2026-02-16T16:48:56Z</dcterms:created>
  <dcterms:modified xsi:type="dcterms:W3CDTF">2026-02-17T13:00:23Z</dcterms:modified>
</cp:coreProperties>
</file>