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DESCARGAS CALIDAD/PTAP JUNIO JULIO/"/>
    </mc:Choice>
  </mc:AlternateContent>
  <xr:revisionPtr revIDLastSave="49" documentId="11_39FC922464C76871551F9935B49BEC44B7C377C9" xr6:coauthVersionLast="47" xr6:coauthVersionMax="47" xr10:uidLastSave="{14496F8E-84FC-41DB-A2DB-3C3388E1EC8C}"/>
  <bookViews>
    <workbookView xWindow="-108" yWindow="-108" windowWidth="19416" windowHeight="10296" xr2:uid="{00000000-000D-0000-FFFF-FFFF00000000}"/>
  </bookViews>
  <sheets>
    <sheet name="BITÁCORA PT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9" i="1" l="1"/>
  <c r="AC48" i="1"/>
  <c r="AC47" i="1"/>
  <c r="AC46" i="1"/>
  <c r="AC45" i="1"/>
  <c r="AC44" i="1"/>
  <c r="AC43" i="1"/>
  <c r="AC42" i="1"/>
  <c r="AC40" i="1"/>
  <c r="AC6" i="1"/>
  <c r="AC5" i="1"/>
  <c r="AC4" i="1"/>
  <c r="AC12" i="1"/>
  <c r="AC11" i="1"/>
  <c r="AC10" i="1"/>
  <c r="AC9" i="1"/>
  <c r="AC8" i="1"/>
  <c r="AC16" i="1"/>
  <c r="AC15" i="1"/>
  <c r="AC20" i="1"/>
  <c r="AC24" i="1"/>
  <c r="AC23" i="1"/>
  <c r="AC22" i="1"/>
  <c r="AC28" i="1"/>
  <c r="AC27" i="1"/>
  <c r="AC26" i="1"/>
  <c r="AC30" i="1"/>
  <c r="AC36" i="1"/>
  <c r="AC35" i="1"/>
  <c r="AC34" i="1"/>
  <c r="AC33" i="1"/>
  <c r="AC32" i="1"/>
  <c r="AC31" i="1"/>
</calcChain>
</file>

<file path=xl/sharedStrings.xml><?xml version="1.0" encoding="utf-8"?>
<sst xmlns="http://schemas.openxmlformats.org/spreadsheetml/2006/main" count="128" uniqueCount="39">
  <si>
    <t>REGISTRO DE CALIDAD DE AGUA — PTAP PERMODA  |  JUNIO – JULIO 2026</t>
  </si>
  <si>
    <t>AGUA DE POZO</t>
  </si>
  <si>
    <t>SALIDA CLARIFLOCU</t>
  </si>
  <si>
    <t>SALIDA UF</t>
  </si>
  <si>
    <t>OPERACIÓN</t>
  </si>
  <si>
    <t>FECHA</t>
  </si>
  <si>
    <t>TURNO</t>
  </si>
  <si>
    <t>pH</t>
  </si>
  <si>
    <t>T (°C)</t>
  </si>
  <si>
    <t>SST
(mg/L)</t>
  </si>
  <si>
    <t>Color
(UPC)</t>
  </si>
  <si>
    <t>TDS
(mg/L)</t>
  </si>
  <si>
    <t>Cond
(µS/cm)</t>
  </si>
  <si>
    <t>Dureza
(mg/L)</t>
  </si>
  <si>
    <t>Hierro
(mg/L)</t>
  </si>
  <si>
    <t>Vol
Ingreso
(m³)</t>
  </si>
  <si>
    <t>Vol
Salida UF
(m³)</t>
  </si>
  <si>
    <t>Eficiencia
(%)</t>
  </si>
  <si>
    <t>Q Ingreso
(m³/h)</t>
  </si>
  <si>
    <t>Q Salida
(m³/h)</t>
  </si>
  <si>
    <t>24/06/2026</t>
  </si>
  <si>
    <t>T1</t>
  </si>
  <si>
    <t>T2</t>
  </si>
  <si>
    <t>T3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</si>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</sst>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9"/>
      <name val="Calibri"/>
    </font>
    <font>
      <b/>
      <sz val="10"/>
      <color rgb="FF1F497D"/>
      <name val="Calibri"/>
    </font>
    <font>
      <sz val="9"/>
      <name val="Calibri"/>
    </font>
    <font>
      <b/>
      <sz val="9"/>
      <color rgb="FFFF0000"/>
      <name val="Calibri"/>
    </font>
    <font>
      <b/>
      <sz val="10"/>
      <color rgb="FF375623"/>
      <name val="Calibri"/>
    </font>
    <font>
      <b/>
      <sz val="10"/>
      <color rgb="FF833C00"/>
      <name val="Calibri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6DCE4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0" borderId="2" xfId="0" applyBorder="1"/>
    <xf numFmtId="0" fontId="9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1" fillId="6" borderId="1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53</xdr:row>
      <xdr:rowOff>0</xdr:rowOff>
    </xdr:from>
    <xdr:to>
      <xdr:col>21</xdr:col>
      <xdr:colOff>364580</xdr:colOff>
      <xdr:row>64</xdr:row>
      <xdr:rowOff>148320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1109E-97D8-D2C4-F96F-6EEC877B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660" y="8427720"/>
          <a:ext cx="9142820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68580</xdr:rowOff>
    </xdr:from>
    <xdr:to>
      <xdr:col>21</xdr:col>
      <xdr:colOff>221760</xdr:colOff>
      <xdr:row>76</xdr:row>
      <xdr:rowOff>121263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06FA4D-2B57-DA30-FFFA-06F993A5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1660" y="10690860"/>
          <a:ext cx="9000000" cy="2064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workbookViewId="0">
      <pane xSplit="2" ySplit="3" topLeftCell="C64" activePane="bottomRight" state="frozen"/>
      <selection pane="topRight"/>
      <selection pane="bottomLeft"/>
      <selection pane="bottomRight" activeCell="V70" sqref="V70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8" width="8" customWidth="1"/>
    <col min="9" max="9" width="8" hidden="1" customWidth="1"/>
    <col min="10" max="16" width="8" customWidth="1"/>
    <col min="17" max="17" width="8" hidden="1" customWidth="1"/>
    <col min="18" max="24" width="8" customWidth="1"/>
    <col min="25" max="25" width="8" hidden="1" customWidth="1"/>
    <col min="26" max="26" width="8" customWidth="1"/>
    <col min="27" max="31" width="9" customWidth="1"/>
  </cols>
  <sheetData>
    <row r="1" spans="1:31" ht="22.05" customHeight="1" x14ac:dyDescent="0.3">
      <c r="A1" s="31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</row>
    <row r="2" spans="1:31" ht="18" customHeight="1" x14ac:dyDescent="0.3">
      <c r="A2" s="27"/>
      <c r="B2" s="25"/>
      <c r="C2" s="29" t="s">
        <v>1</v>
      </c>
      <c r="D2" s="25"/>
      <c r="E2" s="25"/>
      <c r="F2" s="25"/>
      <c r="G2" s="25"/>
      <c r="H2" s="25"/>
      <c r="I2" s="25"/>
      <c r="J2" s="25"/>
      <c r="K2" s="30" t="s">
        <v>2</v>
      </c>
      <c r="L2" s="25"/>
      <c r="M2" s="25"/>
      <c r="N2" s="25"/>
      <c r="O2" s="25"/>
      <c r="P2" s="25"/>
      <c r="Q2" s="25"/>
      <c r="R2" s="25"/>
      <c r="S2" s="28" t="s">
        <v>3</v>
      </c>
      <c r="T2" s="25"/>
      <c r="U2" s="25"/>
      <c r="V2" s="25"/>
      <c r="W2" s="25"/>
      <c r="X2" s="25"/>
      <c r="Y2" s="25"/>
      <c r="Z2" s="25"/>
      <c r="AA2" s="26" t="s">
        <v>4</v>
      </c>
      <c r="AB2" s="25"/>
      <c r="AC2" s="25"/>
      <c r="AD2" s="25"/>
      <c r="AE2" s="25"/>
    </row>
    <row r="3" spans="1:31" ht="36" customHeight="1" x14ac:dyDescent="0.3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14</v>
      </c>
      <c r="S3" s="4" t="s">
        <v>7</v>
      </c>
      <c r="T3" s="4" t="s">
        <v>8</v>
      </c>
      <c r="U3" s="4" t="s">
        <v>9</v>
      </c>
      <c r="V3" s="4" t="s">
        <v>10</v>
      </c>
      <c r="W3" s="4" t="s">
        <v>11</v>
      </c>
      <c r="X3" s="4" t="s">
        <v>12</v>
      </c>
      <c r="Y3" s="4" t="s">
        <v>13</v>
      </c>
      <c r="Z3" s="4" t="s">
        <v>14</v>
      </c>
      <c r="AA3" s="5" t="s">
        <v>15</v>
      </c>
      <c r="AB3" s="5" t="s">
        <v>16</v>
      </c>
      <c r="AC3" s="5" t="s">
        <v>17</v>
      </c>
      <c r="AD3" s="5" t="s">
        <v>18</v>
      </c>
      <c r="AE3" s="5" t="s">
        <v>19</v>
      </c>
    </row>
    <row r="4" spans="1:31" ht="16.05" customHeight="1" x14ac:dyDescent="0.3">
      <c r="A4" s="6" t="s">
        <v>20</v>
      </c>
      <c r="B4" s="7" t="s">
        <v>21</v>
      </c>
      <c r="C4" s="8">
        <v>6.96</v>
      </c>
      <c r="D4" s="8">
        <v>21.8</v>
      </c>
      <c r="E4" s="9">
        <v>13</v>
      </c>
      <c r="F4" s="9">
        <v>170</v>
      </c>
      <c r="G4" s="9">
        <v>330</v>
      </c>
      <c r="H4" s="9">
        <v>632</v>
      </c>
      <c r="I4" s="9">
        <v>41</v>
      </c>
      <c r="J4" s="8">
        <v>8.1300000000000008</v>
      </c>
      <c r="K4" s="10">
        <v>7.27</v>
      </c>
      <c r="L4" s="10">
        <v>22.5</v>
      </c>
      <c r="M4" s="11">
        <v>2</v>
      </c>
      <c r="N4" s="11">
        <v>8</v>
      </c>
      <c r="O4" s="11">
        <v>360</v>
      </c>
      <c r="P4" s="11">
        <v>703</v>
      </c>
      <c r="Q4" s="11">
        <v>38</v>
      </c>
      <c r="R4" s="10">
        <v>0.19</v>
      </c>
      <c r="S4" s="12">
        <v>7.01</v>
      </c>
      <c r="T4" s="12">
        <v>22.2</v>
      </c>
      <c r="U4" s="13">
        <v>1</v>
      </c>
      <c r="V4" s="13">
        <v>1</v>
      </c>
      <c r="W4" s="13">
        <v>362</v>
      </c>
      <c r="X4" s="13">
        <v>700</v>
      </c>
      <c r="Y4" s="13">
        <v>36</v>
      </c>
      <c r="Z4" s="12">
        <v>0.06</v>
      </c>
      <c r="AA4" s="14">
        <v>146</v>
      </c>
      <c r="AB4" s="14">
        <v>135</v>
      </c>
      <c r="AC4" s="32">
        <f t="shared" ref="AC4:AC6" si="0">+AB4/AA4</f>
        <v>0.92465753424657537</v>
      </c>
      <c r="AD4" s="15"/>
      <c r="AE4" s="15"/>
    </row>
    <row r="5" spans="1:31" ht="16.05" customHeight="1" x14ac:dyDescent="0.3">
      <c r="A5" s="16" t="s">
        <v>20</v>
      </c>
      <c r="B5" s="17" t="s">
        <v>22</v>
      </c>
      <c r="C5" s="8">
        <v>7.01</v>
      </c>
      <c r="D5" s="8">
        <v>22.5</v>
      </c>
      <c r="E5" s="9">
        <v>7</v>
      </c>
      <c r="F5" s="9">
        <v>150</v>
      </c>
      <c r="G5" s="9">
        <v>324</v>
      </c>
      <c r="H5" s="9">
        <v>631</v>
      </c>
      <c r="I5" s="18"/>
      <c r="J5" s="8">
        <v>9.84</v>
      </c>
      <c r="K5" s="10">
        <v>7.45</v>
      </c>
      <c r="L5" s="10">
        <v>22.7</v>
      </c>
      <c r="M5" s="11">
        <v>1</v>
      </c>
      <c r="N5" s="11">
        <v>20</v>
      </c>
      <c r="O5" s="11">
        <v>327</v>
      </c>
      <c r="P5" s="11">
        <v>639</v>
      </c>
      <c r="Q5" s="19"/>
      <c r="R5" s="10">
        <v>6.12</v>
      </c>
      <c r="S5" s="12">
        <v>7.33</v>
      </c>
      <c r="T5" s="12">
        <v>23</v>
      </c>
      <c r="U5" s="13">
        <v>2</v>
      </c>
      <c r="V5" s="13">
        <v>10</v>
      </c>
      <c r="W5" s="13">
        <v>324</v>
      </c>
      <c r="X5" s="13">
        <v>638</v>
      </c>
      <c r="Y5" s="20"/>
      <c r="Z5" s="12">
        <v>0.02</v>
      </c>
      <c r="AA5" s="14">
        <v>155</v>
      </c>
      <c r="AB5" s="14">
        <v>147</v>
      </c>
      <c r="AC5" s="32">
        <f t="shared" si="0"/>
        <v>0.94838709677419353</v>
      </c>
      <c r="AD5" s="15"/>
      <c r="AE5" s="15"/>
    </row>
    <row r="6" spans="1:31" s="21" customFormat="1" ht="16.05" customHeight="1" thickBot="1" x14ac:dyDescent="0.35">
      <c r="A6" s="16" t="s">
        <v>20</v>
      </c>
      <c r="B6" s="22" t="s">
        <v>23</v>
      </c>
      <c r="C6" s="8">
        <v>6.98</v>
      </c>
      <c r="D6" s="8">
        <v>22.4</v>
      </c>
      <c r="E6" s="9">
        <v>9</v>
      </c>
      <c r="F6" s="9">
        <v>150</v>
      </c>
      <c r="G6" s="9">
        <v>332</v>
      </c>
      <c r="H6" s="9">
        <v>630</v>
      </c>
      <c r="I6" s="18"/>
      <c r="J6" s="8"/>
      <c r="K6" s="10">
        <v>7.34</v>
      </c>
      <c r="L6" s="10">
        <v>22.6</v>
      </c>
      <c r="M6" s="11">
        <v>1</v>
      </c>
      <c r="N6" s="11">
        <v>18</v>
      </c>
      <c r="O6" s="11">
        <v>330</v>
      </c>
      <c r="P6" s="11">
        <v>640</v>
      </c>
      <c r="Q6" s="19"/>
      <c r="R6" s="10">
        <v>0.1</v>
      </c>
      <c r="S6" s="12">
        <v>7.39</v>
      </c>
      <c r="T6" s="12">
        <v>22.9</v>
      </c>
      <c r="U6" s="13">
        <v>0</v>
      </c>
      <c r="V6" s="13">
        <v>8</v>
      </c>
      <c r="W6" s="13">
        <v>334</v>
      </c>
      <c r="X6" s="13">
        <v>644</v>
      </c>
      <c r="Y6" s="20"/>
      <c r="Z6" s="12">
        <v>0.05</v>
      </c>
      <c r="AA6" s="14">
        <v>139</v>
      </c>
      <c r="AB6" s="14">
        <v>131</v>
      </c>
      <c r="AC6" s="32">
        <f t="shared" si="0"/>
        <v>0.94244604316546765</v>
      </c>
      <c r="AD6" s="15"/>
      <c r="AE6" s="15"/>
    </row>
    <row r="7" spans="1:31" ht="16.05" hidden="1" customHeight="1" x14ac:dyDescent="0.3">
      <c r="A7" s="6" t="s">
        <v>24</v>
      </c>
      <c r="B7" s="7" t="s">
        <v>21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ht="16.05" customHeight="1" x14ac:dyDescent="0.3">
      <c r="A8" s="16" t="s">
        <v>24</v>
      </c>
      <c r="B8" s="17" t="s">
        <v>22</v>
      </c>
      <c r="C8" s="8">
        <v>7.03</v>
      </c>
      <c r="D8" s="8">
        <v>22.4</v>
      </c>
      <c r="E8" s="9">
        <v>12</v>
      </c>
      <c r="F8" s="9">
        <v>140</v>
      </c>
      <c r="G8" s="9">
        <v>361</v>
      </c>
      <c r="H8" s="9">
        <v>699</v>
      </c>
      <c r="I8" s="18"/>
      <c r="J8" s="8">
        <v>9.11</v>
      </c>
      <c r="K8" s="10">
        <v>7.71</v>
      </c>
      <c r="L8" s="10">
        <v>22.9</v>
      </c>
      <c r="M8" s="11">
        <v>2</v>
      </c>
      <c r="N8" s="11">
        <v>7</v>
      </c>
      <c r="O8" s="11">
        <v>363</v>
      </c>
      <c r="P8" s="11">
        <v>710</v>
      </c>
      <c r="Q8" s="19"/>
      <c r="R8" s="10">
        <v>0.18</v>
      </c>
      <c r="S8" s="12">
        <v>7.86</v>
      </c>
      <c r="T8" s="12">
        <v>23</v>
      </c>
      <c r="U8" s="13">
        <v>1</v>
      </c>
      <c r="V8" s="13">
        <v>1</v>
      </c>
      <c r="W8" s="13">
        <v>367</v>
      </c>
      <c r="X8" s="13">
        <v>720</v>
      </c>
      <c r="Y8" s="20"/>
      <c r="Z8" s="12">
        <v>0.03</v>
      </c>
      <c r="AA8" s="14">
        <v>176</v>
      </c>
      <c r="AB8" s="14">
        <v>167</v>
      </c>
      <c r="AC8" s="32">
        <f t="shared" ref="AC8:AC12" si="1">+AB8/AA8</f>
        <v>0.94886363636363635</v>
      </c>
      <c r="AD8" s="15"/>
      <c r="AE8" s="15"/>
    </row>
    <row r="9" spans="1:31" s="21" customFormat="1" ht="16.05" customHeight="1" thickBot="1" x14ac:dyDescent="0.35">
      <c r="A9" s="16" t="s">
        <v>24</v>
      </c>
      <c r="B9" s="22" t="s">
        <v>23</v>
      </c>
      <c r="C9" s="8">
        <v>6.99</v>
      </c>
      <c r="D9" s="8">
        <v>22.6</v>
      </c>
      <c r="E9" s="9">
        <v>56</v>
      </c>
      <c r="F9" s="9">
        <v>54</v>
      </c>
      <c r="G9" s="9">
        <v>378</v>
      </c>
      <c r="H9" s="9">
        <v>700</v>
      </c>
      <c r="I9" s="18"/>
      <c r="J9" s="8"/>
      <c r="K9" s="10">
        <v>7.3</v>
      </c>
      <c r="L9" s="10">
        <v>22.5</v>
      </c>
      <c r="M9" s="11">
        <v>3</v>
      </c>
      <c r="N9" s="11">
        <v>8</v>
      </c>
      <c r="O9" s="11">
        <v>350</v>
      </c>
      <c r="P9" s="11">
        <v>690</v>
      </c>
      <c r="Q9" s="19"/>
      <c r="R9" s="10">
        <v>0.14000000000000001</v>
      </c>
      <c r="S9" s="12">
        <v>7.31</v>
      </c>
      <c r="T9" s="12">
        <v>22.8</v>
      </c>
      <c r="U9" s="13">
        <v>1</v>
      </c>
      <c r="V9" s="13">
        <v>0</v>
      </c>
      <c r="W9" s="13">
        <v>375</v>
      </c>
      <c r="X9" s="13">
        <v>710</v>
      </c>
      <c r="Y9" s="20"/>
      <c r="Z9" s="12">
        <v>0.08</v>
      </c>
      <c r="AA9" s="14">
        <v>94</v>
      </c>
      <c r="AB9" s="14">
        <v>86</v>
      </c>
      <c r="AC9" s="32">
        <f t="shared" si="1"/>
        <v>0.91489361702127658</v>
      </c>
      <c r="AD9" s="15"/>
      <c r="AE9" s="15"/>
    </row>
    <row r="10" spans="1:31" ht="16.05" customHeight="1" x14ac:dyDescent="0.3">
      <c r="A10" s="6" t="s">
        <v>25</v>
      </c>
      <c r="B10" s="7" t="s">
        <v>21</v>
      </c>
      <c r="C10" s="8">
        <v>6.91</v>
      </c>
      <c r="D10" s="8">
        <v>23.2</v>
      </c>
      <c r="E10" s="9">
        <v>22</v>
      </c>
      <c r="F10" s="9">
        <v>81</v>
      </c>
      <c r="G10" s="9">
        <v>327</v>
      </c>
      <c r="H10" s="9">
        <v>642</v>
      </c>
      <c r="I10" s="18"/>
      <c r="J10" s="8">
        <v>9.7100000000000009</v>
      </c>
      <c r="K10" s="10">
        <v>7.08</v>
      </c>
      <c r="L10" s="10">
        <v>22.9</v>
      </c>
      <c r="M10" s="11">
        <v>0</v>
      </c>
      <c r="N10" s="11">
        <v>18</v>
      </c>
      <c r="O10" s="11">
        <v>325</v>
      </c>
      <c r="P10" s="11">
        <v>651</v>
      </c>
      <c r="Q10" s="19"/>
      <c r="R10" s="10">
        <v>0.1</v>
      </c>
      <c r="S10" s="12">
        <v>7.05</v>
      </c>
      <c r="T10" s="12">
        <v>22.9</v>
      </c>
      <c r="U10" s="13">
        <v>0</v>
      </c>
      <c r="V10" s="13">
        <v>12</v>
      </c>
      <c r="W10" s="13">
        <v>321</v>
      </c>
      <c r="X10" s="13">
        <v>649</v>
      </c>
      <c r="Y10" s="20"/>
      <c r="Z10" s="12">
        <v>0.02</v>
      </c>
      <c r="AA10" s="14">
        <v>178</v>
      </c>
      <c r="AB10" s="14">
        <v>170</v>
      </c>
      <c r="AC10" s="32">
        <f t="shared" si="1"/>
        <v>0.9550561797752809</v>
      </c>
      <c r="AD10" s="15"/>
      <c r="AE10" s="15"/>
    </row>
    <row r="11" spans="1:31" ht="16.05" customHeight="1" x14ac:dyDescent="0.3">
      <c r="A11" s="16" t="s">
        <v>25</v>
      </c>
      <c r="B11" s="17" t="s">
        <v>22</v>
      </c>
      <c r="C11" s="8">
        <v>6.94</v>
      </c>
      <c r="D11" s="8">
        <v>22.4</v>
      </c>
      <c r="E11" s="9">
        <v>9</v>
      </c>
      <c r="F11" s="9">
        <v>163</v>
      </c>
      <c r="G11" s="9">
        <v>342</v>
      </c>
      <c r="H11" s="9">
        <v>662</v>
      </c>
      <c r="I11" s="18"/>
      <c r="J11" s="8">
        <v>10.08</v>
      </c>
      <c r="K11" s="10">
        <v>7.61</v>
      </c>
      <c r="L11" s="10">
        <v>22.7</v>
      </c>
      <c r="M11" s="11">
        <v>2</v>
      </c>
      <c r="N11" s="11">
        <v>7</v>
      </c>
      <c r="O11" s="11">
        <v>339</v>
      </c>
      <c r="P11" s="11">
        <v>663</v>
      </c>
      <c r="Q11" s="19"/>
      <c r="R11" s="10">
        <v>0.06</v>
      </c>
      <c r="S11" s="12">
        <v>7.49</v>
      </c>
      <c r="T11" s="12">
        <v>22.8</v>
      </c>
      <c r="U11" s="13">
        <v>1</v>
      </c>
      <c r="V11" s="13">
        <v>5</v>
      </c>
      <c r="W11" s="13">
        <v>337</v>
      </c>
      <c r="X11" s="13">
        <v>661</v>
      </c>
      <c r="Y11" s="20"/>
      <c r="Z11" s="12">
        <v>0.02</v>
      </c>
      <c r="AA11" s="14">
        <v>160</v>
      </c>
      <c r="AB11" s="14">
        <v>149</v>
      </c>
      <c r="AC11" s="32">
        <f t="shared" si="1"/>
        <v>0.93125000000000002</v>
      </c>
      <c r="AD11" s="15"/>
      <c r="AE11" s="15"/>
    </row>
    <row r="12" spans="1:31" s="21" customFormat="1" ht="16.05" customHeight="1" thickBot="1" x14ac:dyDescent="0.35">
      <c r="A12" s="16" t="s">
        <v>25</v>
      </c>
      <c r="B12" s="22" t="s">
        <v>23</v>
      </c>
      <c r="C12" s="8">
        <v>6.67</v>
      </c>
      <c r="D12" s="8">
        <v>22.4</v>
      </c>
      <c r="E12" s="9">
        <v>22</v>
      </c>
      <c r="F12" s="9">
        <v>78</v>
      </c>
      <c r="G12" s="9">
        <v>332</v>
      </c>
      <c r="H12" s="9">
        <v>664</v>
      </c>
      <c r="I12" s="18"/>
      <c r="J12" s="8"/>
      <c r="K12" s="10">
        <v>6.94</v>
      </c>
      <c r="L12" s="10">
        <v>22.5</v>
      </c>
      <c r="M12" s="11">
        <v>1</v>
      </c>
      <c r="N12" s="11">
        <v>35</v>
      </c>
      <c r="O12" s="11">
        <v>336</v>
      </c>
      <c r="P12" s="11">
        <v>675</v>
      </c>
      <c r="Q12" s="19"/>
      <c r="R12" s="10">
        <v>0.13</v>
      </c>
      <c r="S12" s="20"/>
      <c r="T12" s="20"/>
      <c r="U12" s="20"/>
      <c r="V12" s="20"/>
      <c r="W12" s="20"/>
      <c r="X12" s="20"/>
      <c r="Y12" s="20"/>
      <c r="Z12" s="20"/>
      <c r="AA12" s="14">
        <v>184</v>
      </c>
      <c r="AB12" s="14">
        <v>173</v>
      </c>
      <c r="AC12" s="32">
        <f t="shared" si="1"/>
        <v>0.94021739130434778</v>
      </c>
      <c r="AD12" s="15"/>
      <c r="AE12" s="15"/>
    </row>
    <row r="13" spans="1:31" ht="16.05" hidden="1" customHeight="1" x14ac:dyDescent="0.3">
      <c r="A13" s="6" t="s">
        <v>26</v>
      </c>
      <c r="B13" s="7" t="s">
        <v>21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1:31" ht="16.05" hidden="1" customHeight="1" x14ac:dyDescent="0.3">
      <c r="A14" s="16" t="s">
        <v>26</v>
      </c>
      <c r="B14" s="17" t="s">
        <v>22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1:31" s="21" customFormat="1" ht="16.05" customHeight="1" thickBot="1" x14ac:dyDescent="0.35">
      <c r="A15" s="16" t="s">
        <v>26</v>
      </c>
      <c r="B15" s="22" t="s">
        <v>23</v>
      </c>
      <c r="C15" s="8">
        <v>6.96</v>
      </c>
      <c r="D15" s="8">
        <v>22.6</v>
      </c>
      <c r="E15" s="9">
        <v>58</v>
      </c>
      <c r="F15" s="9">
        <v>52</v>
      </c>
      <c r="G15" s="9">
        <v>332</v>
      </c>
      <c r="H15" s="9">
        <v>664</v>
      </c>
      <c r="I15" s="18"/>
      <c r="J15" s="8"/>
      <c r="K15" s="10">
        <v>6.94</v>
      </c>
      <c r="L15" s="10">
        <v>22.9</v>
      </c>
      <c r="M15" s="11">
        <v>1</v>
      </c>
      <c r="N15" s="11">
        <v>4</v>
      </c>
      <c r="O15" s="11">
        <v>339</v>
      </c>
      <c r="P15" s="11">
        <v>670</v>
      </c>
      <c r="Q15" s="19"/>
      <c r="R15" s="10">
        <v>0.09</v>
      </c>
      <c r="S15" s="12">
        <v>7.3</v>
      </c>
      <c r="T15" s="12">
        <v>22.9</v>
      </c>
      <c r="U15" s="13">
        <v>0</v>
      </c>
      <c r="V15" s="13">
        <v>0</v>
      </c>
      <c r="W15" s="13">
        <v>342</v>
      </c>
      <c r="X15" s="13">
        <v>680</v>
      </c>
      <c r="Y15" s="20"/>
      <c r="Z15" s="12">
        <v>0.03</v>
      </c>
      <c r="AA15" s="14">
        <v>201</v>
      </c>
      <c r="AB15" s="14">
        <v>158</v>
      </c>
      <c r="AC15" s="32">
        <f t="shared" ref="AC15:AC16" si="2">+AB15/AA15</f>
        <v>0.78606965174129351</v>
      </c>
      <c r="AD15" s="15"/>
      <c r="AE15" s="15"/>
    </row>
    <row r="16" spans="1:31" ht="16.05" customHeight="1" x14ac:dyDescent="0.3">
      <c r="A16" s="6" t="s">
        <v>27</v>
      </c>
      <c r="B16" s="7" t="s">
        <v>21</v>
      </c>
      <c r="C16" s="8">
        <v>7.02</v>
      </c>
      <c r="D16" s="8">
        <v>22.7</v>
      </c>
      <c r="E16" s="9">
        <v>61</v>
      </c>
      <c r="F16" s="9">
        <v>96</v>
      </c>
      <c r="G16" s="9">
        <v>329</v>
      </c>
      <c r="H16" s="9">
        <v>631</v>
      </c>
      <c r="I16" s="18"/>
      <c r="J16" s="8"/>
      <c r="K16" s="10">
        <v>6.91</v>
      </c>
      <c r="L16" s="10">
        <v>23.1</v>
      </c>
      <c r="M16" s="11">
        <v>2</v>
      </c>
      <c r="N16" s="11">
        <v>6</v>
      </c>
      <c r="O16" s="11">
        <v>336</v>
      </c>
      <c r="P16" s="11">
        <v>661</v>
      </c>
      <c r="Q16" s="19"/>
      <c r="R16" s="10">
        <v>0.1</v>
      </c>
      <c r="S16" s="12">
        <v>7.22</v>
      </c>
      <c r="T16" s="12">
        <v>22.9</v>
      </c>
      <c r="U16" s="13">
        <v>0</v>
      </c>
      <c r="V16" s="13">
        <v>1</v>
      </c>
      <c r="W16" s="13">
        <v>343</v>
      </c>
      <c r="X16" s="13">
        <v>671</v>
      </c>
      <c r="Y16" s="20"/>
      <c r="Z16" s="12">
        <v>0.03</v>
      </c>
      <c r="AA16" s="14">
        <v>47</v>
      </c>
      <c r="AB16" s="14">
        <v>45</v>
      </c>
      <c r="AC16" s="32">
        <f t="shared" si="2"/>
        <v>0.95744680851063835</v>
      </c>
      <c r="AD16" s="15"/>
      <c r="AE16" s="15"/>
    </row>
    <row r="17" spans="1:31" ht="16.05" hidden="1" customHeight="1" x14ac:dyDescent="0.3">
      <c r="A17" s="16" t="s">
        <v>27</v>
      </c>
      <c r="B17" s="17" t="s">
        <v>22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s="21" customFormat="1" ht="16.05" hidden="1" customHeight="1" thickBot="1" x14ac:dyDescent="0.35">
      <c r="A18" s="16" t="s">
        <v>27</v>
      </c>
      <c r="B18" s="22" t="s">
        <v>23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ht="16.05" hidden="1" customHeight="1" x14ac:dyDescent="0.3">
      <c r="A19" s="6" t="s">
        <v>28</v>
      </c>
      <c r="B19" s="7" t="s">
        <v>21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ht="16.05" customHeight="1" x14ac:dyDescent="0.3">
      <c r="A20" s="16" t="s">
        <v>28</v>
      </c>
      <c r="B20" s="17" t="s">
        <v>22</v>
      </c>
      <c r="C20" s="8">
        <v>6.98</v>
      </c>
      <c r="D20" s="8">
        <v>22.3</v>
      </c>
      <c r="E20" s="9">
        <v>4</v>
      </c>
      <c r="F20" s="9">
        <v>125</v>
      </c>
      <c r="G20" s="9">
        <v>357</v>
      </c>
      <c r="H20" s="9">
        <v>689</v>
      </c>
      <c r="I20" s="18"/>
      <c r="J20" s="8">
        <v>15.97</v>
      </c>
      <c r="K20" s="10">
        <v>7.51</v>
      </c>
      <c r="L20" s="10">
        <v>22.1</v>
      </c>
      <c r="M20" s="11">
        <v>1</v>
      </c>
      <c r="N20" s="11">
        <v>3</v>
      </c>
      <c r="O20" s="11">
        <v>376</v>
      </c>
      <c r="P20" s="11">
        <v>724</v>
      </c>
      <c r="Q20" s="19"/>
      <c r="R20" s="10">
        <v>0.09</v>
      </c>
      <c r="S20" s="12">
        <v>7.09</v>
      </c>
      <c r="T20" s="12">
        <v>22.9</v>
      </c>
      <c r="U20" s="13">
        <v>1</v>
      </c>
      <c r="V20" s="13">
        <v>1</v>
      </c>
      <c r="W20" s="13">
        <v>362</v>
      </c>
      <c r="X20" s="13">
        <v>711</v>
      </c>
      <c r="Y20" s="20"/>
      <c r="Z20" s="12">
        <v>0.05</v>
      </c>
      <c r="AA20" s="14">
        <v>121</v>
      </c>
      <c r="AB20" s="14">
        <v>114</v>
      </c>
      <c r="AC20" s="32">
        <f t="shared" ref="AC20:AC24" si="3">+AB20/AA20</f>
        <v>0.94214876033057848</v>
      </c>
      <c r="AD20" s="15"/>
      <c r="AE20" s="15"/>
    </row>
    <row r="21" spans="1:31" s="21" customFormat="1" ht="16.05" hidden="1" customHeight="1" thickBot="1" x14ac:dyDescent="0.35">
      <c r="A21" s="16" t="s">
        <v>28</v>
      </c>
      <c r="B21" s="22" t="s">
        <v>23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ht="16.05" customHeight="1" x14ac:dyDescent="0.3">
      <c r="A22" s="6" t="s">
        <v>29</v>
      </c>
      <c r="B22" s="7" t="s">
        <v>21</v>
      </c>
      <c r="C22" s="8">
        <v>6.86</v>
      </c>
      <c r="D22" s="8">
        <v>22.7</v>
      </c>
      <c r="E22" s="9">
        <v>8</v>
      </c>
      <c r="F22" s="9">
        <v>84</v>
      </c>
      <c r="G22" s="9">
        <v>320</v>
      </c>
      <c r="H22" s="9">
        <v>620</v>
      </c>
      <c r="I22" s="18"/>
      <c r="J22" s="8"/>
      <c r="K22" s="10">
        <v>6.95</v>
      </c>
      <c r="L22" s="10">
        <v>21.8</v>
      </c>
      <c r="M22" s="11">
        <v>18</v>
      </c>
      <c r="N22" s="11">
        <v>1</v>
      </c>
      <c r="O22" s="11">
        <v>316</v>
      </c>
      <c r="P22" s="11">
        <v>607</v>
      </c>
      <c r="Q22" s="19"/>
      <c r="R22" s="10">
        <v>0.19</v>
      </c>
      <c r="S22" s="12">
        <v>7.13</v>
      </c>
      <c r="T22" s="12">
        <v>21.8</v>
      </c>
      <c r="U22" s="13">
        <v>0</v>
      </c>
      <c r="V22" s="13">
        <v>1</v>
      </c>
      <c r="W22" s="13">
        <v>320</v>
      </c>
      <c r="X22" s="13">
        <v>616</v>
      </c>
      <c r="Y22" s="20"/>
      <c r="Z22" s="12">
        <v>0.05</v>
      </c>
      <c r="AA22" s="14">
        <v>158</v>
      </c>
      <c r="AB22" s="14">
        <v>142</v>
      </c>
      <c r="AC22" s="32">
        <f t="shared" si="3"/>
        <v>0.89873417721518989</v>
      </c>
      <c r="AD22" s="15"/>
      <c r="AE22" s="15"/>
    </row>
    <row r="23" spans="1:31" ht="16.05" customHeight="1" x14ac:dyDescent="0.3">
      <c r="A23" s="16" t="s">
        <v>29</v>
      </c>
      <c r="B23" s="17" t="s">
        <v>22</v>
      </c>
      <c r="C23" s="8">
        <v>6.96</v>
      </c>
      <c r="D23" s="8">
        <v>23.1</v>
      </c>
      <c r="E23" s="9">
        <v>22</v>
      </c>
      <c r="F23" s="9">
        <v>90</v>
      </c>
      <c r="G23" s="9">
        <v>331</v>
      </c>
      <c r="H23" s="9">
        <v>656</v>
      </c>
      <c r="I23" s="18"/>
      <c r="J23" s="8">
        <v>7.2</v>
      </c>
      <c r="K23" s="10">
        <v>7.37</v>
      </c>
      <c r="L23" s="10">
        <v>22.1</v>
      </c>
      <c r="M23" s="11">
        <v>1</v>
      </c>
      <c r="N23" s="11">
        <v>27</v>
      </c>
      <c r="O23" s="11">
        <v>334</v>
      </c>
      <c r="P23" s="11">
        <v>649</v>
      </c>
      <c r="Q23" s="19"/>
      <c r="R23" s="10">
        <v>0.3</v>
      </c>
      <c r="S23" s="12">
        <v>7.23</v>
      </c>
      <c r="T23" s="12">
        <v>22.6</v>
      </c>
      <c r="U23" s="13">
        <v>1</v>
      </c>
      <c r="V23" s="24">
        <v>18</v>
      </c>
      <c r="W23" s="13">
        <v>332</v>
      </c>
      <c r="X23" s="13">
        <v>651</v>
      </c>
      <c r="Y23" s="20"/>
      <c r="Z23" s="12">
        <v>0.02</v>
      </c>
      <c r="AA23" s="14">
        <v>148</v>
      </c>
      <c r="AB23" s="14">
        <v>138</v>
      </c>
      <c r="AC23" s="32">
        <f t="shared" si="3"/>
        <v>0.93243243243243246</v>
      </c>
      <c r="AD23" s="15"/>
      <c r="AE23" s="15"/>
    </row>
    <row r="24" spans="1:31" s="21" customFormat="1" ht="16.05" customHeight="1" thickBot="1" x14ac:dyDescent="0.35">
      <c r="A24" s="16" t="s">
        <v>29</v>
      </c>
      <c r="B24" s="22" t="s">
        <v>23</v>
      </c>
      <c r="C24" s="8">
        <v>6.92</v>
      </c>
      <c r="D24" s="8">
        <v>22</v>
      </c>
      <c r="E24" s="9">
        <v>12</v>
      </c>
      <c r="F24" s="9">
        <v>181</v>
      </c>
      <c r="G24" s="9">
        <v>350</v>
      </c>
      <c r="H24" s="9">
        <v>673</v>
      </c>
      <c r="I24" s="18"/>
      <c r="J24" s="8">
        <v>5.01</v>
      </c>
      <c r="K24" s="10">
        <v>7.26</v>
      </c>
      <c r="L24" s="10">
        <v>21.9</v>
      </c>
      <c r="M24" s="11">
        <v>3</v>
      </c>
      <c r="N24" s="11">
        <v>24</v>
      </c>
      <c r="O24" s="11">
        <v>360</v>
      </c>
      <c r="P24" s="11">
        <v>691</v>
      </c>
      <c r="Q24" s="19"/>
      <c r="R24" s="10">
        <v>0.31</v>
      </c>
      <c r="S24" s="12">
        <v>6.99</v>
      </c>
      <c r="T24" s="12">
        <v>22.3</v>
      </c>
      <c r="U24" s="13">
        <v>2</v>
      </c>
      <c r="V24" s="13">
        <v>13</v>
      </c>
      <c r="W24" s="13">
        <v>360</v>
      </c>
      <c r="X24" s="13">
        <v>697</v>
      </c>
      <c r="Y24" s="20"/>
      <c r="Z24" s="12">
        <v>0.02</v>
      </c>
      <c r="AA24" s="14">
        <v>183</v>
      </c>
      <c r="AB24" s="14">
        <v>172</v>
      </c>
      <c r="AC24" s="32">
        <f t="shared" si="3"/>
        <v>0.93989071038251371</v>
      </c>
      <c r="AD24" s="15"/>
      <c r="AE24" s="15"/>
    </row>
    <row r="25" spans="1:31" ht="16.05" hidden="1" customHeight="1" x14ac:dyDescent="0.3">
      <c r="A25" s="6" t="s">
        <v>30</v>
      </c>
      <c r="B25" s="7" t="s">
        <v>21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spans="1:31" ht="16.05" customHeight="1" x14ac:dyDescent="0.3">
      <c r="A26" s="16" t="s">
        <v>30</v>
      </c>
      <c r="B26" s="17" t="s">
        <v>22</v>
      </c>
      <c r="C26" s="8">
        <v>7.13</v>
      </c>
      <c r="D26" s="18"/>
      <c r="E26" s="9">
        <v>8</v>
      </c>
      <c r="F26" s="9">
        <v>129</v>
      </c>
      <c r="G26" s="9">
        <v>314</v>
      </c>
      <c r="H26" s="9">
        <v>612</v>
      </c>
      <c r="I26" s="18"/>
      <c r="J26" s="8">
        <v>6.47</v>
      </c>
      <c r="K26" s="10">
        <v>7.54</v>
      </c>
      <c r="L26" s="19"/>
      <c r="M26" s="11">
        <v>1</v>
      </c>
      <c r="N26" s="11">
        <v>14</v>
      </c>
      <c r="O26" s="11">
        <v>320</v>
      </c>
      <c r="P26" s="11">
        <v>617</v>
      </c>
      <c r="Q26" s="19"/>
      <c r="R26" s="10">
        <v>0.17</v>
      </c>
      <c r="S26" s="12">
        <v>7.32</v>
      </c>
      <c r="T26" s="20"/>
      <c r="U26" s="13">
        <v>0</v>
      </c>
      <c r="V26" s="13">
        <v>7</v>
      </c>
      <c r="W26" s="13">
        <v>321</v>
      </c>
      <c r="X26" s="13">
        <v>622</v>
      </c>
      <c r="Y26" s="20"/>
      <c r="Z26" s="12">
        <v>0.12</v>
      </c>
      <c r="AA26" s="14">
        <v>176</v>
      </c>
      <c r="AB26" s="14">
        <v>160</v>
      </c>
      <c r="AC26" s="32">
        <f t="shared" ref="AC26:AC28" si="4">+AB26/AA26</f>
        <v>0.90909090909090906</v>
      </c>
      <c r="AD26" s="14">
        <v>31</v>
      </c>
      <c r="AE26" s="14">
        <v>30.6</v>
      </c>
    </row>
    <row r="27" spans="1:31" s="21" customFormat="1" ht="16.05" customHeight="1" thickBot="1" x14ac:dyDescent="0.35">
      <c r="A27" s="16" t="s">
        <v>30</v>
      </c>
      <c r="B27" s="22" t="s">
        <v>23</v>
      </c>
      <c r="C27" s="8">
        <v>7.02</v>
      </c>
      <c r="D27" s="8">
        <v>22.7</v>
      </c>
      <c r="E27" s="9">
        <v>12</v>
      </c>
      <c r="F27" s="9">
        <v>131</v>
      </c>
      <c r="G27" s="9">
        <v>320</v>
      </c>
      <c r="H27" s="9">
        <v>650</v>
      </c>
      <c r="I27" s="18"/>
      <c r="J27" s="8"/>
      <c r="K27" s="10">
        <v>7.36</v>
      </c>
      <c r="L27" s="10">
        <v>21.4</v>
      </c>
      <c r="M27" s="11">
        <v>1</v>
      </c>
      <c r="N27" s="11">
        <v>16</v>
      </c>
      <c r="O27" s="11">
        <v>331</v>
      </c>
      <c r="P27" s="11">
        <v>664</v>
      </c>
      <c r="Q27" s="19"/>
      <c r="R27" s="10">
        <v>0.12</v>
      </c>
      <c r="S27" s="12">
        <v>7.29</v>
      </c>
      <c r="T27" s="12">
        <v>22.7</v>
      </c>
      <c r="U27" s="13">
        <v>0</v>
      </c>
      <c r="V27" s="13">
        <v>8</v>
      </c>
      <c r="W27" s="13">
        <v>326</v>
      </c>
      <c r="X27" s="13">
        <v>659</v>
      </c>
      <c r="Y27" s="20"/>
      <c r="Z27" s="12">
        <v>0.08</v>
      </c>
      <c r="AA27" s="14">
        <v>176</v>
      </c>
      <c r="AB27" s="14">
        <v>160</v>
      </c>
      <c r="AC27" s="32">
        <f t="shared" si="4"/>
        <v>0.90909090909090906</v>
      </c>
      <c r="AD27" s="14">
        <v>31</v>
      </c>
      <c r="AE27" s="14">
        <v>30.6</v>
      </c>
    </row>
    <row r="28" spans="1:31" ht="16.05" customHeight="1" x14ac:dyDescent="0.3">
      <c r="A28" s="6" t="s">
        <v>31</v>
      </c>
      <c r="B28" s="7" t="s">
        <v>21</v>
      </c>
      <c r="C28" s="8">
        <v>6.98</v>
      </c>
      <c r="D28" s="8">
        <v>22.2</v>
      </c>
      <c r="E28" s="9">
        <v>12</v>
      </c>
      <c r="F28" s="9">
        <v>58</v>
      </c>
      <c r="G28" s="9">
        <v>330</v>
      </c>
      <c r="H28" s="9">
        <v>660</v>
      </c>
      <c r="I28" s="18"/>
      <c r="J28" s="8"/>
      <c r="K28" s="10">
        <v>7.02</v>
      </c>
      <c r="L28" s="10">
        <v>22.1</v>
      </c>
      <c r="M28" s="11">
        <v>5</v>
      </c>
      <c r="N28" s="11">
        <v>14</v>
      </c>
      <c r="O28" s="11">
        <v>335</v>
      </c>
      <c r="P28" s="11">
        <v>670</v>
      </c>
      <c r="Q28" s="19"/>
      <c r="R28" s="10">
        <v>0.1</v>
      </c>
      <c r="S28" s="12">
        <v>7.27</v>
      </c>
      <c r="T28" s="12">
        <v>22.6</v>
      </c>
      <c r="U28" s="13">
        <v>2</v>
      </c>
      <c r="V28" s="13">
        <v>1</v>
      </c>
      <c r="W28" s="13">
        <v>336</v>
      </c>
      <c r="X28" s="13">
        <v>678</v>
      </c>
      <c r="Y28" s="20"/>
      <c r="Z28" s="12">
        <v>0.08</v>
      </c>
      <c r="AA28" s="14">
        <v>145</v>
      </c>
      <c r="AB28" s="14">
        <v>135</v>
      </c>
      <c r="AC28" s="32">
        <f t="shared" si="4"/>
        <v>0.93103448275862066</v>
      </c>
      <c r="AD28" s="14">
        <v>34</v>
      </c>
      <c r="AE28" s="14">
        <v>33</v>
      </c>
    </row>
    <row r="29" spans="1:31" ht="16.05" hidden="1" customHeight="1" x14ac:dyDescent="0.3">
      <c r="A29" s="16" t="s">
        <v>31</v>
      </c>
      <c r="B29" s="17" t="s">
        <v>22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spans="1:31" s="21" customFormat="1" ht="16.05" customHeight="1" thickBot="1" x14ac:dyDescent="0.35">
      <c r="A30" s="16" t="s">
        <v>31</v>
      </c>
      <c r="B30" s="22" t="s">
        <v>23</v>
      </c>
      <c r="C30" s="8">
        <v>6.85</v>
      </c>
      <c r="D30" s="8">
        <v>21.9</v>
      </c>
      <c r="E30" s="9">
        <v>16</v>
      </c>
      <c r="F30" s="9">
        <v>208</v>
      </c>
      <c r="G30" s="9">
        <v>336</v>
      </c>
      <c r="H30" s="9">
        <v>644</v>
      </c>
      <c r="I30" s="18"/>
      <c r="J30" s="8">
        <v>5.36</v>
      </c>
      <c r="K30" s="10">
        <v>7.49</v>
      </c>
      <c r="L30" s="10">
        <v>22</v>
      </c>
      <c r="M30" s="11">
        <v>2</v>
      </c>
      <c r="N30" s="11">
        <v>36</v>
      </c>
      <c r="O30" s="11">
        <v>334</v>
      </c>
      <c r="P30" s="11">
        <v>641</v>
      </c>
      <c r="Q30" s="19"/>
      <c r="R30" s="10">
        <v>0.43</v>
      </c>
      <c r="S30" s="12">
        <v>7.22</v>
      </c>
      <c r="T30" s="12">
        <v>22.6</v>
      </c>
      <c r="U30" s="13">
        <v>1</v>
      </c>
      <c r="V30" s="24">
        <v>35</v>
      </c>
      <c r="W30" s="13">
        <v>335</v>
      </c>
      <c r="X30" s="13">
        <v>653</v>
      </c>
      <c r="Y30" s="20"/>
      <c r="Z30" s="12">
        <v>0.06</v>
      </c>
      <c r="AA30" s="14">
        <v>157</v>
      </c>
      <c r="AB30" s="14">
        <v>152</v>
      </c>
      <c r="AC30" s="32">
        <f>+AB30/AA30</f>
        <v>0.96815286624203822</v>
      </c>
      <c r="AD30" s="14">
        <v>34</v>
      </c>
      <c r="AE30" s="14">
        <v>33</v>
      </c>
    </row>
    <row r="31" spans="1:31" ht="16.05" customHeight="1" x14ac:dyDescent="0.3">
      <c r="A31" s="6" t="s">
        <v>32</v>
      </c>
      <c r="B31" s="7" t="s">
        <v>21</v>
      </c>
      <c r="C31" s="8">
        <v>6.8</v>
      </c>
      <c r="D31" s="8">
        <v>23.2</v>
      </c>
      <c r="E31" s="9">
        <v>15</v>
      </c>
      <c r="F31" s="9">
        <v>215</v>
      </c>
      <c r="G31" s="9">
        <v>321</v>
      </c>
      <c r="H31" s="9">
        <v>625</v>
      </c>
      <c r="I31" s="18"/>
      <c r="J31" s="8"/>
      <c r="K31" s="10">
        <v>7.42</v>
      </c>
      <c r="L31" s="10">
        <v>23.1</v>
      </c>
      <c r="M31" s="11">
        <v>2</v>
      </c>
      <c r="N31" s="11">
        <v>29</v>
      </c>
      <c r="O31" s="11">
        <v>335</v>
      </c>
      <c r="P31" s="11">
        <v>659</v>
      </c>
      <c r="Q31" s="19"/>
      <c r="R31" s="10">
        <v>0.41</v>
      </c>
      <c r="S31" s="12">
        <v>7.12</v>
      </c>
      <c r="T31" s="12">
        <v>23.7</v>
      </c>
      <c r="U31" s="13">
        <v>1</v>
      </c>
      <c r="V31" s="24">
        <v>27</v>
      </c>
      <c r="W31" s="13">
        <v>334</v>
      </c>
      <c r="X31" s="13">
        <v>668</v>
      </c>
      <c r="Y31" s="20"/>
      <c r="Z31" s="12">
        <v>0.06</v>
      </c>
      <c r="AA31" s="14">
        <v>216</v>
      </c>
      <c r="AB31" s="14">
        <v>203</v>
      </c>
      <c r="AC31" s="32">
        <f>+AB31/AA31</f>
        <v>0.93981481481481477</v>
      </c>
      <c r="AD31" s="14">
        <v>33</v>
      </c>
      <c r="AE31" s="14">
        <v>32.9</v>
      </c>
    </row>
    <row r="32" spans="1:31" ht="16.05" customHeight="1" x14ac:dyDescent="0.3">
      <c r="A32" s="16" t="s">
        <v>32</v>
      </c>
      <c r="B32" s="17" t="s">
        <v>22</v>
      </c>
      <c r="C32" s="8">
        <v>6.67</v>
      </c>
      <c r="D32" s="8">
        <v>22.7</v>
      </c>
      <c r="E32" s="9">
        <v>15</v>
      </c>
      <c r="F32" s="9">
        <v>170</v>
      </c>
      <c r="G32" s="9">
        <v>330</v>
      </c>
      <c r="H32" s="9">
        <v>642</v>
      </c>
      <c r="I32" s="18"/>
      <c r="J32" s="8"/>
      <c r="K32" s="10">
        <v>7.14</v>
      </c>
      <c r="L32" s="10">
        <v>21.8</v>
      </c>
      <c r="M32" s="11">
        <v>1</v>
      </c>
      <c r="N32" s="11">
        <v>21</v>
      </c>
      <c r="O32" s="11">
        <v>339</v>
      </c>
      <c r="P32" s="11">
        <v>649</v>
      </c>
      <c r="Q32" s="19"/>
      <c r="R32" s="10">
        <v>0.18</v>
      </c>
      <c r="S32" s="12">
        <v>7</v>
      </c>
      <c r="T32" s="12">
        <v>21.7</v>
      </c>
      <c r="U32" s="13">
        <v>0</v>
      </c>
      <c r="V32" s="13">
        <v>8</v>
      </c>
      <c r="W32" s="13">
        <v>342</v>
      </c>
      <c r="X32" s="13">
        <v>655</v>
      </c>
      <c r="Y32" s="20"/>
      <c r="Z32" s="12">
        <v>0.1</v>
      </c>
      <c r="AA32" s="14">
        <v>180</v>
      </c>
      <c r="AB32" s="14">
        <v>167</v>
      </c>
      <c r="AC32" s="32">
        <f t="shared" ref="AC32:AC36" si="5">+AB32/AA32</f>
        <v>0.92777777777777781</v>
      </c>
      <c r="AD32" s="15"/>
      <c r="AE32" s="15"/>
    </row>
    <row r="33" spans="1:31" s="21" customFormat="1" ht="16.05" customHeight="1" thickBot="1" x14ac:dyDescent="0.35">
      <c r="A33" s="16" t="s">
        <v>32</v>
      </c>
      <c r="B33" s="22" t="s">
        <v>23</v>
      </c>
      <c r="C33" s="8">
        <v>6.95</v>
      </c>
      <c r="D33" s="8">
        <v>22.9</v>
      </c>
      <c r="E33" s="9">
        <v>19</v>
      </c>
      <c r="F33" s="9">
        <v>223</v>
      </c>
      <c r="G33" s="9">
        <v>319</v>
      </c>
      <c r="H33" s="9">
        <v>632</v>
      </c>
      <c r="I33" s="18"/>
      <c r="J33" s="8">
        <v>5.84</v>
      </c>
      <c r="K33" s="10">
        <v>7.36</v>
      </c>
      <c r="L33" s="10">
        <v>23.2</v>
      </c>
      <c r="M33" s="11">
        <v>7</v>
      </c>
      <c r="N33" s="11">
        <v>36</v>
      </c>
      <c r="O33" s="11">
        <v>328</v>
      </c>
      <c r="P33" s="11">
        <v>646</v>
      </c>
      <c r="Q33" s="19"/>
      <c r="R33" s="10">
        <v>0.38</v>
      </c>
      <c r="S33" s="12">
        <v>7.11</v>
      </c>
      <c r="T33" s="12">
        <v>23.4</v>
      </c>
      <c r="U33" s="13">
        <v>2</v>
      </c>
      <c r="V33" s="24">
        <v>19</v>
      </c>
      <c r="W33" s="13">
        <v>321</v>
      </c>
      <c r="X33" s="13">
        <v>652</v>
      </c>
      <c r="Y33" s="20"/>
      <c r="Z33" s="12">
        <v>0.02</v>
      </c>
      <c r="AA33" s="14">
        <v>147</v>
      </c>
      <c r="AB33" s="14">
        <v>137</v>
      </c>
      <c r="AC33" s="32">
        <f t="shared" si="5"/>
        <v>0.93197278911564629</v>
      </c>
      <c r="AD33" s="14">
        <v>33</v>
      </c>
      <c r="AE33" s="14">
        <v>32.9</v>
      </c>
    </row>
    <row r="34" spans="1:31" ht="16.05" customHeight="1" x14ac:dyDescent="0.3">
      <c r="A34" s="6" t="s">
        <v>33</v>
      </c>
      <c r="B34" s="7" t="s">
        <v>21</v>
      </c>
      <c r="C34" s="8">
        <v>6.95</v>
      </c>
      <c r="D34" s="8">
        <v>22.8</v>
      </c>
      <c r="E34" s="9">
        <v>46</v>
      </c>
      <c r="F34" s="9">
        <v>71</v>
      </c>
      <c r="G34" s="9">
        <v>330</v>
      </c>
      <c r="H34" s="9">
        <v>630</v>
      </c>
      <c r="I34" s="18"/>
      <c r="J34" s="8"/>
      <c r="K34" s="10">
        <v>7.09</v>
      </c>
      <c r="L34" s="10">
        <v>22.6</v>
      </c>
      <c r="M34" s="11">
        <v>3</v>
      </c>
      <c r="N34" s="11">
        <v>8</v>
      </c>
      <c r="O34" s="11">
        <v>336</v>
      </c>
      <c r="P34" s="11">
        <v>640</v>
      </c>
      <c r="Q34" s="19"/>
      <c r="R34" s="10">
        <v>1.4999999999999999E-2</v>
      </c>
      <c r="S34" s="12">
        <v>7.26</v>
      </c>
      <c r="T34" s="12">
        <v>21.9</v>
      </c>
      <c r="U34" s="13">
        <v>0</v>
      </c>
      <c r="V34" s="13">
        <v>3</v>
      </c>
      <c r="W34" s="13">
        <v>335</v>
      </c>
      <c r="X34" s="13">
        <v>642</v>
      </c>
      <c r="Y34" s="20"/>
      <c r="Z34" s="12">
        <v>0.08</v>
      </c>
      <c r="AA34" s="14">
        <v>179</v>
      </c>
      <c r="AB34" s="14">
        <v>167</v>
      </c>
      <c r="AC34" s="32">
        <f t="shared" si="5"/>
        <v>0.93296089385474856</v>
      </c>
      <c r="AD34" s="14">
        <v>32.6</v>
      </c>
      <c r="AE34" s="14">
        <v>32.4</v>
      </c>
    </row>
    <row r="35" spans="1:31" ht="16.05" customHeight="1" x14ac:dyDescent="0.3">
      <c r="A35" s="16" t="s">
        <v>33</v>
      </c>
      <c r="B35" s="17" t="s">
        <v>22</v>
      </c>
      <c r="C35" s="8">
        <v>6.93</v>
      </c>
      <c r="D35" s="8">
        <v>22.4</v>
      </c>
      <c r="E35" s="9">
        <v>5</v>
      </c>
      <c r="F35" s="9">
        <v>121</v>
      </c>
      <c r="G35" s="9">
        <v>331</v>
      </c>
      <c r="H35" s="9">
        <v>638</v>
      </c>
      <c r="I35" s="18"/>
      <c r="J35" s="8">
        <v>5.35</v>
      </c>
      <c r="K35" s="10">
        <v>7.52</v>
      </c>
      <c r="L35" s="10">
        <v>22.1</v>
      </c>
      <c r="M35" s="11">
        <v>2</v>
      </c>
      <c r="N35" s="11">
        <v>15</v>
      </c>
      <c r="O35" s="11">
        <v>321</v>
      </c>
      <c r="P35" s="11">
        <v>656</v>
      </c>
      <c r="Q35" s="19"/>
      <c r="R35" s="10">
        <v>0.27</v>
      </c>
      <c r="S35" s="12">
        <v>7.19</v>
      </c>
      <c r="T35" s="12">
        <v>21.8</v>
      </c>
      <c r="U35" s="13">
        <v>1</v>
      </c>
      <c r="V35" s="13">
        <v>7</v>
      </c>
      <c r="W35" s="13">
        <v>328</v>
      </c>
      <c r="X35" s="13">
        <v>630</v>
      </c>
      <c r="Y35" s="20"/>
      <c r="Z35" s="12">
        <v>0.02</v>
      </c>
      <c r="AA35" s="14">
        <v>174</v>
      </c>
      <c r="AB35" s="14">
        <v>162</v>
      </c>
      <c r="AC35" s="32">
        <f t="shared" si="5"/>
        <v>0.93103448275862066</v>
      </c>
      <c r="AD35" s="15"/>
      <c r="AE35" s="15"/>
    </row>
    <row r="36" spans="1:31" s="21" customFormat="1" ht="16.05" customHeight="1" thickBot="1" x14ac:dyDescent="0.35">
      <c r="A36" s="16" t="s">
        <v>33</v>
      </c>
      <c r="B36" s="22" t="s">
        <v>23</v>
      </c>
      <c r="C36" s="8">
        <v>6.85</v>
      </c>
      <c r="D36" s="8">
        <v>22.1</v>
      </c>
      <c r="E36" s="9">
        <v>7</v>
      </c>
      <c r="F36" s="9">
        <v>108</v>
      </c>
      <c r="G36" s="9">
        <v>322</v>
      </c>
      <c r="H36" s="9">
        <v>640</v>
      </c>
      <c r="I36" s="18"/>
      <c r="J36" s="8">
        <v>5.49</v>
      </c>
      <c r="K36" s="10">
        <v>7.41</v>
      </c>
      <c r="L36" s="10">
        <v>21.9</v>
      </c>
      <c r="M36" s="11">
        <v>1</v>
      </c>
      <c r="N36" s="11">
        <v>20</v>
      </c>
      <c r="O36" s="11">
        <v>319</v>
      </c>
      <c r="P36" s="11">
        <v>652</v>
      </c>
      <c r="Q36" s="19"/>
      <c r="R36" s="10">
        <v>0.19</v>
      </c>
      <c r="S36" s="12">
        <v>7.11</v>
      </c>
      <c r="T36" s="12">
        <v>22</v>
      </c>
      <c r="U36" s="13">
        <v>1</v>
      </c>
      <c r="V36" s="13">
        <v>11</v>
      </c>
      <c r="W36" s="13">
        <v>321</v>
      </c>
      <c r="X36" s="13">
        <v>623</v>
      </c>
      <c r="Y36" s="20"/>
      <c r="Z36" s="12">
        <v>0.03</v>
      </c>
      <c r="AA36" s="14">
        <v>74</v>
      </c>
      <c r="AB36" s="14">
        <v>67</v>
      </c>
      <c r="AC36" s="32">
        <f t="shared" si="5"/>
        <v>0.90540540540540537</v>
      </c>
      <c r="AD36" s="15"/>
      <c r="AE36" s="15"/>
    </row>
    <row r="37" spans="1:31" ht="16.05" hidden="1" customHeight="1" x14ac:dyDescent="0.3">
      <c r="A37" s="6" t="s">
        <v>34</v>
      </c>
      <c r="B37" s="7" t="s">
        <v>21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spans="1:31" ht="16.05" hidden="1" customHeight="1" x14ac:dyDescent="0.3">
      <c r="A38" s="16" t="s">
        <v>34</v>
      </c>
      <c r="B38" s="17" t="s">
        <v>22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spans="1:31" s="21" customFormat="1" ht="16.05" hidden="1" customHeight="1" thickBot="1" x14ac:dyDescent="0.35">
      <c r="A39" s="16" t="s">
        <v>34</v>
      </c>
      <c r="B39" s="22" t="s">
        <v>23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spans="1:31" ht="16.05" customHeight="1" x14ac:dyDescent="0.3">
      <c r="A40" s="6" t="s">
        <v>35</v>
      </c>
      <c r="B40" s="7" t="s">
        <v>21</v>
      </c>
      <c r="C40" s="8">
        <v>6.88</v>
      </c>
      <c r="D40" s="8">
        <v>22.8</v>
      </c>
      <c r="E40" s="9">
        <v>49</v>
      </c>
      <c r="F40" s="9">
        <v>51</v>
      </c>
      <c r="G40" s="9">
        <v>320</v>
      </c>
      <c r="H40" s="9">
        <v>640</v>
      </c>
      <c r="I40" s="18"/>
      <c r="J40" s="8"/>
      <c r="K40" s="10">
        <v>6.96</v>
      </c>
      <c r="L40" s="10">
        <v>22.6</v>
      </c>
      <c r="M40" s="11">
        <v>4</v>
      </c>
      <c r="N40" s="11">
        <v>2</v>
      </c>
      <c r="O40" s="11">
        <v>334</v>
      </c>
      <c r="P40" s="11">
        <v>650</v>
      </c>
      <c r="Q40" s="19"/>
      <c r="R40" s="10">
        <v>0.19</v>
      </c>
      <c r="S40" s="12">
        <v>7.1</v>
      </c>
      <c r="T40" s="12">
        <v>22.5</v>
      </c>
      <c r="U40" s="13">
        <v>1</v>
      </c>
      <c r="V40" s="13">
        <v>1</v>
      </c>
      <c r="W40" s="13">
        <v>336</v>
      </c>
      <c r="X40" s="13">
        <v>658</v>
      </c>
      <c r="Y40" s="20"/>
      <c r="Z40" s="12">
        <v>0.08</v>
      </c>
      <c r="AA40" s="14">
        <v>94</v>
      </c>
      <c r="AB40" s="14">
        <v>82</v>
      </c>
      <c r="AC40" s="32">
        <f t="shared" ref="AC40" si="6">+AB40/AA40</f>
        <v>0.87234042553191493</v>
      </c>
      <c r="AD40" s="15"/>
      <c r="AE40" s="15"/>
    </row>
    <row r="41" spans="1:31" ht="16.05" customHeight="1" x14ac:dyDescent="0.3">
      <c r="A41" s="16" t="s">
        <v>35</v>
      </c>
      <c r="B41" s="17" t="s">
        <v>22</v>
      </c>
      <c r="C41" s="8">
        <v>7.02</v>
      </c>
      <c r="D41" s="8">
        <v>23.4</v>
      </c>
      <c r="E41" s="9">
        <v>12</v>
      </c>
      <c r="F41" s="9">
        <v>126</v>
      </c>
      <c r="G41" s="9">
        <v>321</v>
      </c>
      <c r="H41" s="9">
        <v>646</v>
      </c>
      <c r="I41" s="18"/>
      <c r="J41" s="8"/>
      <c r="K41" s="10">
        <v>7.12</v>
      </c>
      <c r="L41" s="10">
        <v>22.7</v>
      </c>
      <c r="M41" s="11">
        <v>1</v>
      </c>
      <c r="N41" s="11">
        <v>16</v>
      </c>
      <c r="O41" s="11">
        <v>364</v>
      </c>
      <c r="P41" s="11">
        <v>672</v>
      </c>
      <c r="Q41" s="19"/>
      <c r="R41" s="10"/>
      <c r="S41" s="12">
        <v>7.06</v>
      </c>
      <c r="T41" s="20"/>
      <c r="U41" s="20"/>
      <c r="V41" s="20"/>
      <c r="W41" s="20"/>
      <c r="X41" s="20"/>
      <c r="Y41" s="20"/>
      <c r="Z41" s="12"/>
      <c r="AA41" s="15"/>
      <c r="AB41" s="15"/>
      <c r="AC41" s="15"/>
      <c r="AD41" s="15"/>
      <c r="AE41" s="15"/>
    </row>
    <row r="42" spans="1:31" s="21" customFormat="1" ht="16.05" customHeight="1" thickBot="1" x14ac:dyDescent="0.35">
      <c r="A42" s="16" t="s">
        <v>35</v>
      </c>
      <c r="B42" s="22" t="s">
        <v>23</v>
      </c>
      <c r="C42" s="8">
        <v>6.7</v>
      </c>
      <c r="D42" s="8">
        <v>22</v>
      </c>
      <c r="E42" s="9">
        <v>13</v>
      </c>
      <c r="F42" s="9">
        <v>193</v>
      </c>
      <c r="G42" s="9">
        <v>322</v>
      </c>
      <c r="H42" s="9">
        <v>620</v>
      </c>
      <c r="I42" s="18"/>
      <c r="J42" s="8">
        <v>5.63</v>
      </c>
      <c r="K42" s="10">
        <v>7.22</v>
      </c>
      <c r="L42" s="10">
        <v>22.4</v>
      </c>
      <c r="M42" s="11">
        <v>3</v>
      </c>
      <c r="N42" s="11">
        <v>59</v>
      </c>
      <c r="O42" s="11">
        <v>318</v>
      </c>
      <c r="P42" s="11">
        <v>620</v>
      </c>
      <c r="Q42" s="19"/>
      <c r="R42" s="10">
        <v>0.36</v>
      </c>
      <c r="S42" s="12">
        <v>6.9</v>
      </c>
      <c r="T42" s="12">
        <v>24</v>
      </c>
      <c r="U42" s="13">
        <v>0</v>
      </c>
      <c r="V42" s="24">
        <v>18</v>
      </c>
      <c r="W42" s="13">
        <v>315</v>
      </c>
      <c r="X42" s="13">
        <v>633</v>
      </c>
      <c r="Y42" s="20"/>
      <c r="Z42" s="12">
        <v>0.03</v>
      </c>
      <c r="AA42" s="14">
        <v>145</v>
      </c>
      <c r="AB42" s="14">
        <v>134</v>
      </c>
      <c r="AC42" s="32">
        <f t="shared" ref="AC42:AC49" si="7">+AB42/AA42</f>
        <v>0.92413793103448272</v>
      </c>
      <c r="AD42" s="14">
        <v>28</v>
      </c>
      <c r="AE42" s="14">
        <v>28</v>
      </c>
    </row>
    <row r="43" spans="1:31" ht="16.05" customHeight="1" x14ac:dyDescent="0.3">
      <c r="A43" s="6" t="s">
        <v>36</v>
      </c>
      <c r="B43" s="7" t="s">
        <v>21</v>
      </c>
      <c r="C43" s="8">
        <v>6.9</v>
      </c>
      <c r="D43" s="8">
        <v>22</v>
      </c>
      <c r="E43" s="9">
        <v>3</v>
      </c>
      <c r="F43" s="9">
        <v>106</v>
      </c>
      <c r="G43" s="9">
        <v>325</v>
      </c>
      <c r="H43" s="9">
        <v>629</v>
      </c>
      <c r="I43" s="18"/>
      <c r="J43" s="8">
        <v>16.989999999999998</v>
      </c>
      <c r="K43" s="10">
        <v>7.31</v>
      </c>
      <c r="L43" s="10">
        <v>21.6</v>
      </c>
      <c r="M43" s="11">
        <v>1</v>
      </c>
      <c r="N43" s="11">
        <v>15</v>
      </c>
      <c r="O43" s="11">
        <v>327</v>
      </c>
      <c r="P43" s="11">
        <v>625</v>
      </c>
      <c r="Q43" s="19"/>
      <c r="R43" s="10">
        <v>0.59</v>
      </c>
      <c r="S43" s="12">
        <v>6.82</v>
      </c>
      <c r="T43" s="12">
        <v>22.5</v>
      </c>
      <c r="U43" s="13">
        <v>1</v>
      </c>
      <c r="V43" s="13">
        <v>6</v>
      </c>
      <c r="W43" s="13">
        <v>347</v>
      </c>
      <c r="X43" s="13">
        <v>683</v>
      </c>
      <c r="Y43" s="20"/>
      <c r="Z43" s="12">
        <v>0.05</v>
      </c>
      <c r="AA43" s="14">
        <v>166</v>
      </c>
      <c r="AB43" s="14">
        <v>154</v>
      </c>
      <c r="AC43" s="32">
        <f t="shared" si="7"/>
        <v>0.92771084337349397</v>
      </c>
      <c r="AD43" s="14">
        <v>28</v>
      </c>
      <c r="AE43" s="14">
        <v>27.6</v>
      </c>
    </row>
    <row r="44" spans="1:31" ht="16.05" customHeight="1" x14ac:dyDescent="0.3">
      <c r="A44" s="16" t="s">
        <v>36</v>
      </c>
      <c r="B44" s="17" t="s">
        <v>22</v>
      </c>
      <c r="C44" s="8">
        <v>6.74</v>
      </c>
      <c r="D44" s="8">
        <v>22.2</v>
      </c>
      <c r="E44" s="9">
        <v>12</v>
      </c>
      <c r="F44" s="9">
        <v>159</v>
      </c>
      <c r="G44" s="9">
        <v>332</v>
      </c>
      <c r="H44" s="9">
        <v>642</v>
      </c>
      <c r="I44" s="18"/>
      <c r="J44" s="8"/>
      <c r="K44" s="10">
        <v>7.25</v>
      </c>
      <c r="L44" s="10">
        <v>22.5</v>
      </c>
      <c r="M44" s="11">
        <v>1</v>
      </c>
      <c r="N44" s="11">
        <v>15</v>
      </c>
      <c r="O44" s="11">
        <v>340</v>
      </c>
      <c r="P44" s="11">
        <v>663</v>
      </c>
      <c r="Q44" s="19"/>
      <c r="R44" s="10"/>
      <c r="S44" s="12">
        <v>7.17</v>
      </c>
      <c r="T44" s="12">
        <v>22.4</v>
      </c>
      <c r="U44" s="13">
        <v>0</v>
      </c>
      <c r="V44" s="13">
        <v>10</v>
      </c>
      <c r="W44" s="13">
        <v>341</v>
      </c>
      <c r="X44" s="13">
        <v>663</v>
      </c>
      <c r="Y44" s="20"/>
      <c r="Z44" s="12"/>
      <c r="AA44" s="14">
        <v>170</v>
      </c>
      <c r="AB44" s="14">
        <v>161</v>
      </c>
      <c r="AC44" s="32">
        <f t="shared" si="7"/>
        <v>0.94705882352941173</v>
      </c>
      <c r="AD44" s="14">
        <v>28</v>
      </c>
      <c r="AE44" s="14">
        <v>27.6</v>
      </c>
    </row>
    <row r="45" spans="1:31" s="21" customFormat="1" ht="16.05" customHeight="1" thickBot="1" x14ac:dyDescent="0.35">
      <c r="A45" s="16" t="s">
        <v>36</v>
      </c>
      <c r="B45" s="22" t="s">
        <v>23</v>
      </c>
      <c r="C45" s="8">
        <v>6.66</v>
      </c>
      <c r="D45" s="8">
        <v>22.2</v>
      </c>
      <c r="E45" s="9">
        <v>15</v>
      </c>
      <c r="F45" s="9">
        <v>163</v>
      </c>
      <c r="G45" s="9">
        <v>335</v>
      </c>
      <c r="H45" s="9">
        <v>653</v>
      </c>
      <c r="I45" s="18"/>
      <c r="J45" s="8"/>
      <c r="K45" s="10">
        <v>7.23</v>
      </c>
      <c r="L45" s="10">
        <v>22.4</v>
      </c>
      <c r="M45" s="11">
        <v>3</v>
      </c>
      <c r="N45" s="11">
        <v>19</v>
      </c>
      <c r="O45" s="11">
        <v>338</v>
      </c>
      <c r="P45" s="11">
        <v>660</v>
      </c>
      <c r="Q45" s="19"/>
      <c r="R45" s="10"/>
      <c r="S45" s="12">
        <v>6.99</v>
      </c>
      <c r="T45" s="12">
        <v>23.2</v>
      </c>
      <c r="U45" s="13">
        <v>1</v>
      </c>
      <c r="V45" s="13">
        <v>12</v>
      </c>
      <c r="W45" s="13">
        <v>337</v>
      </c>
      <c r="X45" s="13">
        <v>672</v>
      </c>
      <c r="Y45" s="20"/>
      <c r="Z45" s="12"/>
      <c r="AA45" s="14">
        <v>171</v>
      </c>
      <c r="AB45" s="14">
        <v>163</v>
      </c>
      <c r="AC45" s="32">
        <f t="shared" si="7"/>
        <v>0.95321637426900585</v>
      </c>
      <c r="AD45" s="14">
        <v>28</v>
      </c>
      <c r="AE45" s="14">
        <v>28</v>
      </c>
    </row>
    <row r="46" spans="1:31" ht="16.05" customHeight="1" x14ac:dyDescent="0.3">
      <c r="A46" s="6" t="s">
        <v>37</v>
      </c>
      <c r="B46" s="7" t="s">
        <v>21</v>
      </c>
      <c r="C46" s="8">
        <v>6.75</v>
      </c>
      <c r="D46" s="8">
        <v>21.6</v>
      </c>
      <c r="E46" s="9">
        <v>6</v>
      </c>
      <c r="F46" s="9">
        <v>152</v>
      </c>
      <c r="G46" s="9">
        <v>334</v>
      </c>
      <c r="H46" s="9">
        <v>652</v>
      </c>
      <c r="I46" s="18"/>
      <c r="J46" s="8"/>
      <c r="K46" s="10">
        <v>7.37</v>
      </c>
      <c r="L46" s="10">
        <v>21.5</v>
      </c>
      <c r="M46" s="11">
        <v>1</v>
      </c>
      <c r="N46" s="11">
        <v>14</v>
      </c>
      <c r="O46" s="11">
        <v>339</v>
      </c>
      <c r="P46" s="11">
        <v>661</v>
      </c>
      <c r="Q46" s="19"/>
      <c r="R46" s="10"/>
      <c r="S46" s="12">
        <v>7.2</v>
      </c>
      <c r="T46" s="12">
        <v>21.6</v>
      </c>
      <c r="U46" s="13">
        <v>1</v>
      </c>
      <c r="V46" s="13">
        <v>8</v>
      </c>
      <c r="W46" s="13">
        <v>336</v>
      </c>
      <c r="X46" s="13">
        <v>670</v>
      </c>
      <c r="Y46" s="20"/>
      <c r="Z46" s="12"/>
      <c r="AA46" s="14">
        <v>178</v>
      </c>
      <c r="AB46" s="14">
        <v>170</v>
      </c>
      <c r="AC46" s="32">
        <f t="shared" si="7"/>
        <v>0.9550561797752809</v>
      </c>
      <c r="AD46" s="14">
        <v>28</v>
      </c>
      <c r="AE46" s="14">
        <v>27.7</v>
      </c>
    </row>
    <row r="47" spans="1:31" ht="16.05" customHeight="1" x14ac:dyDescent="0.3">
      <c r="A47" s="16" t="s">
        <v>37</v>
      </c>
      <c r="B47" s="17" t="s">
        <v>22</v>
      </c>
      <c r="C47" s="8">
        <v>6.51</v>
      </c>
      <c r="D47" s="8">
        <v>22.2</v>
      </c>
      <c r="E47" s="9">
        <v>8</v>
      </c>
      <c r="F47" s="9">
        <v>127</v>
      </c>
      <c r="G47" s="9">
        <v>329</v>
      </c>
      <c r="H47" s="9">
        <v>639</v>
      </c>
      <c r="I47" s="18"/>
      <c r="J47" s="8"/>
      <c r="K47" s="10">
        <v>7.13</v>
      </c>
      <c r="L47" s="10">
        <v>22.4</v>
      </c>
      <c r="M47" s="11">
        <v>2</v>
      </c>
      <c r="N47" s="11">
        <v>70</v>
      </c>
      <c r="O47" s="11">
        <v>344</v>
      </c>
      <c r="P47" s="11">
        <v>668</v>
      </c>
      <c r="Q47" s="19"/>
      <c r="R47" s="10"/>
      <c r="S47" s="12">
        <v>6.9</v>
      </c>
      <c r="T47" s="12">
        <v>22.9</v>
      </c>
      <c r="U47" s="13">
        <v>0</v>
      </c>
      <c r="V47" s="13">
        <v>6</v>
      </c>
      <c r="W47" s="13">
        <v>345</v>
      </c>
      <c r="X47" s="13">
        <v>687</v>
      </c>
      <c r="Y47" s="20"/>
      <c r="Z47" s="12"/>
      <c r="AA47" s="14">
        <v>163.53</v>
      </c>
      <c r="AB47" s="14">
        <v>153.43</v>
      </c>
      <c r="AC47" s="32">
        <f t="shared" si="7"/>
        <v>0.93823763223873302</v>
      </c>
      <c r="AD47" s="14">
        <v>28</v>
      </c>
      <c r="AE47" s="14">
        <v>27.7</v>
      </c>
    </row>
    <row r="48" spans="1:31" s="21" customFormat="1" ht="16.05" customHeight="1" thickBot="1" x14ac:dyDescent="0.35">
      <c r="A48" s="16" t="s">
        <v>37</v>
      </c>
      <c r="B48" s="22" t="s">
        <v>23</v>
      </c>
      <c r="C48" s="8">
        <v>6.71</v>
      </c>
      <c r="D48" s="8">
        <v>22.1</v>
      </c>
      <c r="E48" s="9">
        <v>9</v>
      </c>
      <c r="F48" s="9">
        <v>117</v>
      </c>
      <c r="G48" s="9">
        <v>364</v>
      </c>
      <c r="H48" s="9">
        <v>701</v>
      </c>
      <c r="I48" s="18"/>
      <c r="J48" s="8"/>
      <c r="K48" s="10">
        <v>7.18</v>
      </c>
      <c r="L48" s="10">
        <v>22.3</v>
      </c>
      <c r="M48" s="11">
        <v>0</v>
      </c>
      <c r="N48" s="11">
        <v>2</v>
      </c>
      <c r="O48" s="11">
        <v>330</v>
      </c>
      <c r="P48" s="11">
        <v>640</v>
      </c>
      <c r="Q48" s="19"/>
      <c r="R48" s="10"/>
      <c r="S48" s="12">
        <v>7.04</v>
      </c>
      <c r="T48" s="12">
        <v>23.1</v>
      </c>
      <c r="U48" s="13">
        <v>0</v>
      </c>
      <c r="V48" s="13">
        <v>1</v>
      </c>
      <c r="W48" s="13">
        <v>335</v>
      </c>
      <c r="X48" s="13">
        <v>663</v>
      </c>
      <c r="Y48" s="20"/>
      <c r="Z48" s="12"/>
      <c r="AA48" s="14">
        <v>154</v>
      </c>
      <c r="AB48" s="14">
        <v>141</v>
      </c>
      <c r="AC48" s="32">
        <f t="shared" si="7"/>
        <v>0.91558441558441561</v>
      </c>
      <c r="AD48" s="14">
        <v>28</v>
      </c>
      <c r="AE48" s="14">
        <v>28</v>
      </c>
    </row>
    <row r="49" spans="1:31" ht="16.05" customHeight="1" x14ac:dyDescent="0.3">
      <c r="A49" s="6" t="s">
        <v>38</v>
      </c>
      <c r="B49" s="7" t="s">
        <v>21</v>
      </c>
      <c r="C49" s="8">
        <v>6.9</v>
      </c>
      <c r="D49" s="8">
        <v>22.3</v>
      </c>
      <c r="E49" s="9">
        <v>5</v>
      </c>
      <c r="F49" s="9">
        <v>97</v>
      </c>
      <c r="G49" s="9">
        <v>327</v>
      </c>
      <c r="H49" s="9">
        <v>635</v>
      </c>
      <c r="I49" s="18"/>
      <c r="J49" s="8"/>
      <c r="K49" s="10">
        <v>7.19</v>
      </c>
      <c r="L49" s="10">
        <v>21.8</v>
      </c>
      <c r="M49" s="11">
        <v>1</v>
      </c>
      <c r="N49" s="11">
        <v>3</v>
      </c>
      <c r="O49" s="11">
        <v>328</v>
      </c>
      <c r="P49" s="11">
        <v>631</v>
      </c>
      <c r="Q49" s="19"/>
      <c r="R49" s="10"/>
      <c r="S49" s="12">
        <v>7.05</v>
      </c>
      <c r="T49" s="12">
        <v>21.9</v>
      </c>
      <c r="U49" s="13">
        <v>1</v>
      </c>
      <c r="V49" s="13">
        <v>1</v>
      </c>
      <c r="W49" s="13">
        <v>332</v>
      </c>
      <c r="X49" s="13">
        <v>637</v>
      </c>
      <c r="Y49" s="20"/>
      <c r="Z49" s="12"/>
      <c r="AA49" s="14">
        <v>152</v>
      </c>
      <c r="AB49" s="14">
        <v>145</v>
      </c>
      <c r="AC49" s="32">
        <f t="shared" si="7"/>
        <v>0.95394736842105265</v>
      </c>
      <c r="AD49" s="14">
        <v>28</v>
      </c>
      <c r="AE49" s="14">
        <v>27.8</v>
      </c>
    </row>
  </sheetData>
  <mergeCells count="6">
    <mergeCell ref="K2:R2"/>
    <mergeCell ref="A1:AE1"/>
    <mergeCell ref="AA2:AE2"/>
    <mergeCell ref="A2:B2"/>
    <mergeCell ref="S2:Z2"/>
    <mergeCell ref="C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 PTAP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Sofia Osorio Parra</cp:lastModifiedBy>
  <dcterms:created xsi:type="dcterms:W3CDTF">2026-07-09T14:15:24Z</dcterms:created>
  <dcterms:modified xsi:type="dcterms:W3CDTF">2026-07-09T14:22:33Z</dcterms:modified>
</cp:coreProperties>
</file>