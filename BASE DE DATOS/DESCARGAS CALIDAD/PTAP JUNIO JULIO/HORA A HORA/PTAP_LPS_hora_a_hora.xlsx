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BASE DE DATOS/DESCARGAS CALIDAD/PTAP JUNIO JULIO/HORA A HORA/"/>
    </mc:Choice>
  </mc:AlternateContent>
  <xr:revisionPtr revIDLastSave="2" documentId="11_C8D0B5A52E3488B8DD8160598D1AE374B784650A" xr6:coauthVersionLast="47" xr6:coauthVersionMax="47" xr10:uidLastSave="{F36AAD66-9A29-4A7B-8B29-DB5E904CBDF5}"/>
  <bookViews>
    <workbookView xWindow="-135" yWindow="-135" windowWidth="20760" windowHeight="11070" tabRatio="500" xr2:uid="{00000000-000D-0000-FFFF-FFFF00000000}"/>
  </bookViews>
  <sheets>
    <sheet name="Mes 1-20 Julio" sheetId="1" r:id="rId1"/>
    <sheet name="Semana 30 (21-27 Jul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9" i="2" l="1"/>
  <c r="F169" i="2" s="1"/>
  <c r="B169" i="2"/>
  <c r="J168" i="2"/>
  <c r="F168" i="2"/>
  <c r="E168" i="2"/>
  <c r="C168" i="2"/>
  <c r="I168" i="2" s="1"/>
  <c r="J167" i="2"/>
  <c r="I167" i="2"/>
  <c r="F167" i="2"/>
  <c r="E167" i="2"/>
  <c r="C167" i="2"/>
  <c r="F166" i="2"/>
  <c r="E166" i="2"/>
  <c r="J166" i="2" s="1"/>
  <c r="C166" i="2"/>
  <c r="I166" i="2" s="1"/>
  <c r="J165" i="2"/>
  <c r="F165" i="2"/>
  <c r="E165" i="2"/>
  <c r="C165" i="2"/>
  <c r="I165" i="2" s="1"/>
  <c r="J164" i="2"/>
  <c r="I164" i="2"/>
  <c r="F164" i="2"/>
  <c r="E164" i="2"/>
  <c r="C164" i="2"/>
  <c r="F163" i="2"/>
  <c r="E163" i="2"/>
  <c r="E169" i="2" s="1"/>
  <c r="C163" i="2"/>
  <c r="C169" i="2" s="1"/>
  <c r="J162" i="2"/>
  <c r="I162" i="2"/>
  <c r="F162" i="2"/>
  <c r="E162" i="2"/>
  <c r="C162" i="2"/>
  <c r="D158" i="2"/>
  <c r="F158" i="2" s="1"/>
  <c r="B158" i="2"/>
  <c r="F157" i="2"/>
  <c r="E157" i="2"/>
  <c r="J157" i="2" s="1"/>
  <c r="C157" i="2"/>
  <c r="I157" i="2" s="1"/>
  <c r="J156" i="2"/>
  <c r="I156" i="2"/>
  <c r="F156" i="2"/>
  <c r="E156" i="2"/>
  <c r="C156" i="2"/>
  <c r="F155" i="2"/>
  <c r="E155" i="2"/>
  <c r="J155" i="2" s="1"/>
  <c r="C155" i="2"/>
  <c r="I155" i="2" s="1"/>
  <c r="J154" i="2"/>
  <c r="F154" i="2"/>
  <c r="E154" i="2"/>
  <c r="C154" i="2"/>
  <c r="I154" i="2" s="1"/>
  <c r="J153" i="2"/>
  <c r="I153" i="2"/>
  <c r="F153" i="2"/>
  <c r="E153" i="2"/>
  <c r="C153" i="2"/>
  <c r="F152" i="2"/>
  <c r="E152" i="2"/>
  <c r="E158" i="2" s="1"/>
  <c r="C152" i="2"/>
  <c r="C158" i="2" s="1"/>
  <c r="J151" i="2"/>
  <c r="I151" i="2"/>
  <c r="F151" i="2"/>
  <c r="E151" i="2"/>
  <c r="C151" i="2"/>
  <c r="I150" i="2"/>
  <c r="F150" i="2"/>
  <c r="E150" i="2"/>
  <c r="J150" i="2" s="1"/>
  <c r="C150" i="2"/>
  <c r="D146" i="2"/>
  <c r="F146" i="2" s="1"/>
  <c r="B146" i="2"/>
  <c r="J145" i="2"/>
  <c r="I145" i="2"/>
  <c r="F145" i="2"/>
  <c r="E145" i="2"/>
  <c r="C145" i="2"/>
  <c r="F144" i="2"/>
  <c r="E144" i="2"/>
  <c r="J144" i="2" s="1"/>
  <c r="C144" i="2"/>
  <c r="I144" i="2" s="1"/>
  <c r="J143" i="2"/>
  <c r="F143" i="2"/>
  <c r="E143" i="2"/>
  <c r="C143" i="2"/>
  <c r="I143" i="2" s="1"/>
  <c r="J142" i="2"/>
  <c r="I142" i="2"/>
  <c r="F142" i="2"/>
  <c r="E142" i="2"/>
  <c r="C142" i="2"/>
  <c r="F141" i="2"/>
  <c r="E141" i="2"/>
  <c r="J141" i="2" s="1"/>
  <c r="C141" i="2"/>
  <c r="I141" i="2" s="1"/>
  <c r="J140" i="2"/>
  <c r="I140" i="2"/>
  <c r="F140" i="2"/>
  <c r="E140" i="2"/>
  <c r="C140" i="2"/>
  <c r="I139" i="2"/>
  <c r="F139" i="2"/>
  <c r="E139" i="2"/>
  <c r="J139" i="2" s="1"/>
  <c r="C139" i="2"/>
  <c r="F138" i="2"/>
  <c r="E138" i="2"/>
  <c r="J138" i="2" s="1"/>
  <c r="C138" i="2"/>
  <c r="I138" i="2" s="1"/>
  <c r="F134" i="2"/>
  <c r="D134" i="2"/>
  <c r="B134" i="2"/>
  <c r="F133" i="2"/>
  <c r="E133" i="2"/>
  <c r="J133" i="2" s="1"/>
  <c r="C133" i="2"/>
  <c r="I133" i="2" s="1"/>
  <c r="J132" i="2"/>
  <c r="F132" i="2"/>
  <c r="E132" i="2"/>
  <c r="C132" i="2"/>
  <c r="I132" i="2" s="1"/>
  <c r="J131" i="2"/>
  <c r="I131" i="2"/>
  <c r="F131" i="2"/>
  <c r="E131" i="2"/>
  <c r="C131" i="2"/>
  <c r="F130" i="2"/>
  <c r="E130" i="2"/>
  <c r="J130" i="2" s="1"/>
  <c r="C130" i="2"/>
  <c r="I130" i="2" s="1"/>
  <c r="I129" i="2"/>
  <c r="F129" i="2"/>
  <c r="E129" i="2"/>
  <c r="J129" i="2" s="1"/>
  <c r="C129" i="2"/>
  <c r="I128" i="2"/>
  <c r="F128" i="2"/>
  <c r="E128" i="2"/>
  <c r="J128" i="2" s="1"/>
  <c r="C128" i="2"/>
  <c r="F127" i="2"/>
  <c r="E127" i="2"/>
  <c r="E134" i="2" s="1"/>
  <c r="C127" i="2"/>
  <c r="C134" i="2" s="1"/>
  <c r="F123" i="2"/>
  <c r="D123" i="2"/>
  <c r="B123" i="2"/>
  <c r="F122" i="2"/>
  <c r="E122" i="2"/>
  <c r="J122" i="2" s="1"/>
  <c r="C122" i="2"/>
  <c r="I122" i="2" s="1"/>
  <c r="J121" i="2"/>
  <c r="F121" i="2"/>
  <c r="E121" i="2"/>
  <c r="C121" i="2"/>
  <c r="I121" i="2" s="1"/>
  <c r="J120" i="2"/>
  <c r="I120" i="2"/>
  <c r="F120" i="2"/>
  <c r="E120" i="2"/>
  <c r="C120" i="2"/>
  <c r="F119" i="2"/>
  <c r="E119" i="2"/>
  <c r="J119" i="2" s="1"/>
  <c r="C119" i="2"/>
  <c r="I119" i="2" s="1"/>
  <c r="I118" i="2"/>
  <c r="F118" i="2"/>
  <c r="E118" i="2"/>
  <c r="J118" i="2" s="1"/>
  <c r="C118" i="2"/>
  <c r="I117" i="2"/>
  <c r="F117" i="2"/>
  <c r="E117" i="2"/>
  <c r="J117" i="2" s="1"/>
  <c r="C117" i="2"/>
  <c r="J116" i="2"/>
  <c r="I116" i="2"/>
  <c r="F116" i="2"/>
  <c r="E116" i="2"/>
  <c r="E123" i="2" s="1"/>
  <c r="C116" i="2"/>
  <c r="C123" i="2" s="1"/>
  <c r="D112" i="2"/>
  <c r="B112" i="2"/>
  <c r="F112" i="2" s="1"/>
  <c r="F111" i="2"/>
  <c r="E111" i="2"/>
  <c r="J111" i="2" s="1"/>
  <c r="C111" i="2"/>
  <c r="I111" i="2" s="1"/>
  <c r="J110" i="2"/>
  <c r="I110" i="2"/>
  <c r="F110" i="2"/>
  <c r="E110" i="2"/>
  <c r="C110" i="2"/>
  <c r="J109" i="2"/>
  <c r="F109" i="2"/>
  <c r="E109" i="2"/>
  <c r="C109" i="2"/>
  <c r="I109" i="2" s="1"/>
  <c r="J108" i="2"/>
  <c r="F108" i="2"/>
  <c r="E108" i="2"/>
  <c r="C108" i="2"/>
  <c r="I108" i="2" s="1"/>
  <c r="I107" i="2"/>
  <c r="F107" i="2"/>
  <c r="E107" i="2"/>
  <c r="J107" i="2" s="1"/>
  <c r="C107" i="2"/>
  <c r="J106" i="2"/>
  <c r="I106" i="2"/>
  <c r="F106" i="2"/>
  <c r="E106" i="2"/>
  <c r="C106" i="2"/>
  <c r="J105" i="2"/>
  <c r="I105" i="2"/>
  <c r="F105" i="2"/>
  <c r="E105" i="2"/>
  <c r="C105" i="2"/>
  <c r="F104" i="2"/>
  <c r="E104" i="2"/>
  <c r="J104" i="2" s="1"/>
  <c r="C104" i="2"/>
  <c r="I104" i="2" s="1"/>
  <c r="D100" i="2"/>
  <c r="F100" i="2" s="1"/>
  <c r="B100" i="2"/>
  <c r="J99" i="2"/>
  <c r="I99" i="2"/>
  <c r="F99" i="2"/>
  <c r="E99" i="2"/>
  <c r="C99" i="2"/>
  <c r="J98" i="2"/>
  <c r="I98" i="2"/>
  <c r="F98" i="2"/>
  <c r="E98" i="2"/>
  <c r="C98" i="2"/>
  <c r="J97" i="2"/>
  <c r="F97" i="2"/>
  <c r="E97" i="2"/>
  <c r="C97" i="2"/>
  <c r="I97" i="2" s="1"/>
  <c r="I96" i="2"/>
  <c r="F96" i="2"/>
  <c r="E96" i="2"/>
  <c r="J96" i="2" s="1"/>
  <c r="C96" i="2"/>
  <c r="J95" i="2"/>
  <c r="I95" i="2"/>
  <c r="F95" i="2"/>
  <c r="E95" i="2"/>
  <c r="C95" i="2"/>
  <c r="J94" i="2"/>
  <c r="I94" i="2"/>
  <c r="F94" i="2"/>
  <c r="E94" i="2"/>
  <c r="C94" i="2"/>
  <c r="J93" i="2"/>
  <c r="F93" i="2"/>
  <c r="E93" i="2"/>
  <c r="E100" i="2" s="1"/>
  <c r="C93" i="2"/>
  <c r="C100" i="2" s="1"/>
  <c r="D89" i="2"/>
  <c r="F89" i="2" s="1"/>
  <c r="B89" i="2"/>
  <c r="J88" i="2"/>
  <c r="I88" i="2"/>
  <c r="F88" i="2"/>
  <c r="E88" i="2"/>
  <c r="C88" i="2"/>
  <c r="J87" i="2"/>
  <c r="I87" i="2"/>
  <c r="F87" i="2"/>
  <c r="E87" i="2"/>
  <c r="C87" i="2"/>
  <c r="J86" i="2"/>
  <c r="F86" i="2"/>
  <c r="E86" i="2"/>
  <c r="C86" i="2"/>
  <c r="I86" i="2" s="1"/>
  <c r="I85" i="2"/>
  <c r="F85" i="2"/>
  <c r="E85" i="2"/>
  <c r="J85" i="2" s="1"/>
  <c r="C85" i="2"/>
  <c r="J84" i="2"/>
  <c r="I84" i="2"/>
  <c r="F84" i="2"/>
  <c r="E84" i="2"/>
  <c r="C84" i="2"/>
  <c r="J83" i="2"/>
  <c r="I83" i="2"/>
  <c r="F83" i="2"/>
  <c r="E83" i="2"/>
  <c r="E89" i="2" s="1"/>
  <c r="C83" i="2"/>
  <c r="C89" i="2" s="1"/>
  <c r="F79" i="2"/>
  <c r="D79" i="2"/>
  <c r="B79" i="2"/>
  <c r="I78" i="2"/>
  <c r="F78" i="2"/>
  <c r="E78" i="2"/>
  <c r="J78" i="2" s="1"/>
  <c r="C78" i="2"/>
  <c r="J77" i="2"/>
  <c r="I77" i="2"/>
  <c r="F77" i="2"/>
  <c r="E77" i="2"/>
  <c r="C77" i="2"/>
  <c r="J76" i="2"/>
  <c r="I76" i="2"/>
  <c r="F76" i="2"/>
  <c r="E76" i="2"/>
  <c r="C76" i="2"/>
  <c r="J75" i="2"/>
  <c r="F75" i="2"/>
  <c r="E75" i="2"/>
  <c r="C75" i="2"/>
  <c r="I75" i="2" s="1"/>
  <c r="I74" i="2"/>
  <c r="F74" i="2"/>
  <c r="E74" i="2"/>
  <c r="J74" i="2" s="1"/>
  <c r="C74" i="2"/>
  <c r="J73" i="2"/>
  <c r="I73" i="2"/>
  <c r="F73" i="2"/>
  <c r="E73" i="2"/>
  <c r="C73" i="2"/>
  <c r="J72" i="2"/>
  <c r="I72" i="2"/>
  <c r="F72" i="2"/>
  <c r="E72" i="2"/>
  <c r="E79" i="2" s="1"/>
  <c r="C72" i="2"/>
  <c r="C79" i="2" s="1"/>
  <c r="D68" i="2"/>
  <c r="B68" i="2"/>
  <c r="F68" i="2" s="1"/>
  <c r="I67" i="2"/>
  <c r="F67" i="2"/>
  <c r="E67" i="2"/>
  <c r="J67" i="2" s="1"/>
  <c r="C67" i="2"/>
  <c r="J66" i="2"/>
  <c r="I66" i="2"/>
  <c r="F66" i="2"/>
  <c r="E66" i="2"/>
  <c r="C66" i="2"/>
  <c r="J65" i="2"/>
  <c r="I65" i="2"/>
  <c r="F65" i="2"/>
  <c r="E65" i="2"/>
  <c r="C65" i="2"/>
  <c r="J64" i="2"/>
  <c r="F64" i="2"/>
  <c r="E64" i="2"/>
  <c r="C64" i="2"/>
  <c r="I64" i="2" s="1"/>
  <c r="I63" i="2"/>
  <c r="F63" i="2"/>
  <c r="E63" i="2"/>
  <c r="J63" i="2" s="1"/>
  <c r="C63" i="2"/>
  <c r="J62" i="2"/>
  <c r="I62" i="2"/>
  <c r="F62" i="2"/>
  <c r="E62" i="2"/>
  <c r="C62" i="2"/>
  <c r="J61" i="2"/>
  <c r="I61" i="2"/>
  <c r="F61" i="2"/>
  <c r="E61" i="2"/>
  <c r="E68" i="2" s="1"/>
  <c r="C61" i="2"/>
  <c r="C68" i="2" s="1"/>
  <c r="F57" i="2"/>
  <c r="D57" i="2"/>
  <c r="B57" i="2"/>
  <c r="I56" i="2"/>
  <c r="F56" i="2"/>
  <c r="E56" i="2"/>
  <c r="J56" i="2" s="1"/>
  <c r="C56" i="2"/>
  <c r="J55" i="2"/>
  <c r="I55" i="2"/>
  <c r="F55" i="2"/>
  <c r="E55" i="2"/>
  <c r="C55" i="2"/>
  <c r="J54" i="2"/>
  <c r="F54" i="2"/>
  <c r="E54" i="2"/>
  <c r="C54" i="2"/>
  <c r="I54" i="2" s="1"/>
  <c r="J53" i="2"/>
  <c r="F53" i="2"/>
  <c r="E53" i="2"/>
  <c r="C53" i="2"/>
  <c r="C57" i="2" s="1"/>
  <c r="I52" i="2"/>
  <c r="F52" i="2"/>
  <c r="E52" i="2"/>
  <c r="J52" i="2" s="1"/>
  <c r="C52" i="2"/>
  <c r="I51" i="2"/>
  <c r="F51" i="2"/>
  <c r="E51" i="2"/>
  <c r="E57" i="2" s="1"/>
  <c r="C51" i="2"/>
  <c r="F47" i="2"/>
  <c r="D47" i="2"/>
  <c r="B47" i="2"/>
  <c r="F46" i="2"/>
  <c r="E46" i="2"/>
  <c r="J46" i="2" s="1"/>
  <c r="C46" i="2"/>
  <c r="I46" i="2" s="1"/>
  <c r="I45" i="2"/>
  <c r="F45" i="2"/>
  <c r="E45" i="2"/>
  <c r="J45" i="2" s="1"/>
  <c r="C45" i="2"/>
  <c r="I44" i="2"/>
  <c r="F44" i="2"/>
  <c r="E44" i="2"/>
  <c r="J44" i="2" s="1"/>
  <c r="C44" i="2"/>
  <c r="J43" i="2"/>
  <c r="F43" i="2"/>
  <c r="E43" i="2"/>
  <c r="C43" i="2"/>
  <c r="I43" i="2" s="1"/>
  <c r="J42" i="2"/>
  <c r="F42" i="2"/>
  <c r="E42" i="2"/>
  <c r="C42" i="2"/>
  <c r="I42" i="2" s="1"/>
  <c r="F41" i="2"/>
  <c r="E41" i="2"/>
  <c r="J41" i="2" s="1"/>
  <c r="C41" i="2"/>
  <c r="I41" i="2" s="1"/>
  <c r="J40" i="2"/>
  <c r="I40" i="2"/>
  <c r="F40" i="2"/>
  <c r="E40" i="2"/>
  <c r="C40" i="2"/>
  <c r="J39" i="2"/>
  <c r="I39" i="2"/>
  <c r="F39" i="2"/>
  <c r="E39" i="2"/>
  <c r="C39" i="2"/>
  <c r="F38" i="2"/>
  <c r="E38" i="2"/>
  <c r="J38" i="2" s="1"/>
  <c r="C38" i="2"/>
  <c r="I38" i="2" s="1"/>
  <c r="D34" i="2"/>
  <c r="F34" i="2" s="1"/>
  <c r="B34" i="2"/>
  <c r="J33" i="2"/>
  <c r="I33" i="2"/>
  <c r="F33" i="2"/>
  <c r="E33" i="2"/>
  <c r="C33" i="2"/>
  <c r="J32" i="2"/>
  <c r="I32" i="2"/>
  <c r="F32" i="2"/>
  <c r="E32" i="2"/>
  <c r="C32" i="2"/>
  <c r="J31" i="2"/>
  <c r="F31" i="2"/>
  <c r="E31" i="2"/>
  <c r="C31" i="2"/>
  <c r="I31" i="2" s="1"/>
  <c r="I30" i="2"/>
  <c r="F30" i="2"/>
  <c r="E30" i="2"/>
  <c r="J30" i="2" s="1"/>
  <c r="C30" i="2"/>
  <c r="J29" i="2"/>
  <c r="I29" i="2"/>
  <c r="F29" i="2"/>
  <c r="E29" i="2"/>
  <c r="C29" i="2"/>
  <c r="J28" i="2"/>
  <c r="I28" i="2"/>
  <c r="F28" i="2"/>
  <c r="E28" i="2"/>
  <c r="C28" i="2"/>
  <c r="J27" i="2"/>
  <c r="F27" i="2"/>
  <c r="E27" i="2"/>
  <c r="E34" i="2" s="1"/>
  <c r="C27" i="2"/>
  <c r="C34" i="2" s="1"/>
  <c r="D23" i="2"/>
  <c r="F23" i="2" s="1"/>
  <c r="B23" i="2"/>
  <c r="J22" i="2"/>
  <c r="I22" i="2"/>
  <c r="F22" i="2"/>
  <c r="E22" i="2"/>
  <c r="C22" i="2"/>
  <c r="J21" i="2"/>
  <c r="I21" i="2"/>
  <c r="F21" i="2"/>
  <c r="E21" i="2"/>
  <c r="C21" i="2"/>
  <c r="J20" i="2"/>
  <c r="F20" i="2"/>
  <c r="E20" i="2"/>
  <c r="C20" i="2"/>
  <c r="I20" i="2" s="1"/>
  <c r="I19" i="2"/>
  <c r="F19" i="2"/>
  <c r="E19" i="2"/>
  <c r="J19" i="2" s="1"/>
  <c r="C19" i="2"/>
  <c r="J18" i="2"/>
  <c r="I18" i="2"/>
  <c r="F18" i="2"/>
  <c r="E18" i="2"/>
  <c r="C18" i="2"/>
  <c r="J17" i="2"/>
  <c r="I17" i="2"/>
  <c r="F17" i="2"/>
  <c r="E17" i="2"/>
  <c r="C17" i="2"/>
  <c r="J16" i="2"/>
  <c r="F16" i="2"/>
  <c r="E16" i="2"/>
  <c r="E23" i="2" s="1"/>
  <c r="C16" i="2"/>
  <c r="C23" i="2" s="1"/>
  <c r="D12" i="2"/>
  <c r="B173" i="2" s="1"/>
  <c r="B174" i="2" s="1"/>
  <c r="B12" i="2"/>
  <c r="B172" i="2" s="1"/>
  <c r="J11" i="2"/>
  <c r="I11" i="2"/>
  <c r="F11" i="2"/>
  <c r="E11" i="2"/>
  <c r="C11" i="2"/>
  <c r="J10" i="2"/>
  <c r="I10" i="2"/>
  <c r="F10" i="2"/>
  <c r="E10" i="2"/>
  <c r="C10" i="2"/>
  <c r="J9" i="2"/>
  <c r="F9" i="2"/>
  <c r="E9" i="2"/>
  <c r="C9" i="2"/>
  <c r="I9" i="2" s="1"/>
  <c r="I8" i="2"/>
  <c r="F8" i="2"/>
  <c r="E8" i="2"/>
  <c r="J8" i="2" s="1"/>
  <c r="C8" i="2"/>
  <c r="I7" i="2"/>
  <c r="F7" i="2"/>
  <c r="E7" i="2"/>
  <c r="J7" i="2" s="1"/>
  <c r="C7" i="2"/>
  <c r="J6" i="2"/>
  <c r="I6" i="2"/>
  <c r="F6" i="2"/>
  <c r="E6" i="2"/>
  <c r="C6" i="2"/>
  <c r="J5" i="2"/>
  <c r="F5" i="2"/>
  <c r="E5" i="2"/>
  <c r="E12" i="2" s="1"/>
  <c r="C5" i="2"/>
  <c r="C12" i="2" s="1"/>
  <c r="D322" i="1"/>
  <c r="F322" i="1" s="1"/>
  <c r="B322" i="1"/>
  <c r="J321" i="1"/>
  <c r="I321" i="1"/>
  <c r="F321" i="1"/>
  <c r="E321" i="1"/>
  <c r="C321" i="1"/>
  <c r="J320" i="1"/>
  <c r="I320" i="1"/>
  <c r="F320" i="1"/>
  <c r="E320" i="1"/>
  <c r="C320" i="1"/>
  <c r="J319" i="1"/>
  <c r="F319" i="1"/>
  <c r="E319" i="1"/>
  <c r="C319" i="1"/>
  <c r="I319" i="1" s="1"/>
  <c r="F318" i="1"/>
  <c r="E318" i="1"/>
  <c r="J318" i="1" s="1"/>
  <c r="C318" i="1"/>
  <c r="I318" i="1" s="1"/>
  <c r="I317" i="1"/>
  <c r="F317" i="1"/>
  <c r="E317" i="1"/>
  <c r="J317" i="1" s="1"/>
  <c r="C317" i="1"/>
  <c r="I316" i="1"/>
  <c r="F316" i="1"/>
  <c r="E316" i="1"/>
  <c r="J316" i="1" s="1"/>
  <c r="C316" i="1"/>
  <c r="J315" i="1"/>
  <c r="F315" i="1"/>
  <c r="E315" i="1"/>
  <c r="C315" i="1"/>
  <c r="I315" i="1" s="1"/>
  <c r="F314" i="1"/>
  <c r="E314" i="1"/>
  <c r="J314" i="1" s="1"/>
  <c r="C314" i="1"/>
  <c r="C322" i="1" s="1"/>
  <c r="F313" i="1"/>
  <c r="E313" i="1"/>
  <c r="J313" i="1" s="1"/>
  <c r="C313" i="1"/>
  <c r="I313" i="1" s="1"/>
  <c r="J312" i="1"/>
  <c r="I312" i="1"/>
  <c r="F312" i="1"/>
  <c r="E312" i="1"/>
  <c r="E322" i="1" s="1"/>
  <c r="C312" i="1"/>
  <c r="D308" i="1"/>
  <c r="B308" i="1"/>
  <c r="F308" i="1" s="1"/>
  <c r="J307" i="1"/>
  <c r="I307" i="1"/>
  <c r="F307" i="1"/>
  <c r="E307" i="1"/>
  <c r="C307" i="1"/>
  <c r="J306" i="1"/>
  <c r="I306" i="1"/>
  <c r="F306" i="1"/>
  <c r="E306" i="1"/>
  <c r="C306" i="1"/>
  <c r="J305" i="1"/>
  <c r="I305" i="1"/>
  <c r="F305" i="1"/>
  <c r="E305" i="1"/>
  <c r="C305" i="1"/>
  <c r="J304" i="1"/>
  <c r="I304" i="1"/>
  <c r="F304" i="1"/>
  <c r="E304" i="1"/>
  <c r="C304" i="1"/>
  <c r="J303" i="1"/>
  <c r="I303" i="1"/>
  <c r="F303" i="1"/>
  <c r="E303" i="1"/>
  <c r="C303" i="1"/>
  <c r="F302" i="1"/>
  <c r="E302" i="1"/>
  <c r="J302" i="1" s="1"/>
  <c r="C302" i="1"/>
  <c r="I302" i="1" s="1"/>
  <c r="J301" i="1"/>
  <c r="I301" i="1"/>
  <c r="F301" i="1"/>
  <c r="E301" i="1"/>
  <c r="C301" i="1"/>
  <c r="F300" i="1"/>
  <c r="E300" i="1"/>
  <c r="J300" i="1" s="1"/>
  <c r="C300" i="1"/>
  <c r="I300" i="1" s="1"/>
  <c r="F296" i="1"/>
  <c r="D296" i="1"/>
  <c r="B296" i="1"/>
  <c r="I295" i="1"/>
  <c r="F295" i="1"/>
  <c r="E295" i="1"/>
  <c r="J295" i="1" s="1"/>
  <c r="C295" i="1"/>
  <c r="F294" i="1"/>
  <c r="E294" i="1"/>
  <c r="J294" i="1" s="1"/>
  <c r="C294" i="1"/>
  <c r="I294" i="1" s="1"/>
  <c r="J293" i="1"/>
  <c r="I293" i="1"/>
  <c r="F293" i="1"/>
  <c r="E293" i="1"/>
  <c r="C293" i="1"/>
  <c r="F292" i="1"/>
  <c r="E292" i="1"/>
  <c r="J292" i="1" s="1"/>
  <c r="C292" i="1"/>
  <c r="I292" i="1" s="1"/>
  <c r="F291" i="1"/>
  <c r="E291" i="1"/>
  <c r="J291" i="1" s="1"/>
  <c r="C291" i="1"/>
  <c r="I291" i="1" s="1"/>
  <c r="J290" i="1"/>
  <c r="I290" i="1"/>
  <c r="F290" i="1"/>
  <c r="E290" i="1"/>
  <c r="C290" i="1"/>
  <c r="I289" i="1"/>
  <c r="F289" i="1"/>
  <c r="E289" i="1"/>
  <c r="J289" i="1" s="1"/>
  <c r="C289" i="1"/>
  <c r="J288" i="1"/>
  <c r="I288" i="1"/>
  <c r="F288" i="1"/>
  <c r="E288" i="1"/>
  <c r="C288" i="1"/>
  <c r="I287" i="1"/>
  <c r="F287" i="1"/>
  <c r="E287" i="1"/>
  <c r="E296" i="1" s="1"/>
  <c r="C287" i="1"/>
  <c r="F286" i="1"/>
  <c r="E286" i="1"/>
  <c r="J286" i="1" s="1"/>
  <c r="C286" i="1"/>
  <c r="C296" i="1" s="1"/>
  <c r="D282" i="1"/>
  <c r="B282" i="1"/>
  <c r="F282" i="1" s="1"/>
  <c r="J281" i="1"/>
  <c r="F281" i="1"/>
  <c r="E281" i="1"/>
  <c r="C281" i="1"/>
  <c r="I281" i="1" s="1"/>
  <c r="F280" i="1"/>
  <c r="E280" i="1"/>
  <c r="J280" i="1" s="1"/>
  <c r="C280" i="1"/>
  <c r="I280" i="1" s="1"/>
  <c r="J279" i="1"/>
  <c r="I279" i="1"/>
  <c r="F279" i="1"/>
  <c r="E279" i="1"/>
  <c r="C279" i="1"/>
  <c r="J278" i="1"/>
  <c r="I278" i="1"/>
  <c r="F278" i="1"/>
  <c r="E278" i="1"/>
  <c r="C278" i="1"/>
  <c r="J277" i="1"/>
  <c r="F277" i="1"/>
  <c r="E277" i="1"/>
  <c r="C277" i="1"/>
  <c r="I277" i="1" s="1"/>
  <c r="I276" i="1"/>
  <c r="F276" i="1"/>
  <c r="E276" i="1"/>
  <c r="E282" i="1" s="1"/>
  <c r="C276" i="1"/>
  <c r="I275" i="1"/>
  <c r="F275" i="1"/>
  <c r="E275" i="1"/>
  <c r="J275" i="1" s="1"/>
  <c r="C275" i="1"/>
  <c r="C282" i="1" s="1"/>
  <c r="D271" i="1"/>
  <c r="B271" i="1"/>
  <c r="F271" i="1" s="1"/>
  <c r="J270" i="1"/>
  <c r="F270" i="1"/>
  <c r="E270" i="1"/>
  <c r="C270" i="1"/>
  <c r="I270" i="1" s="1"/>
  <c r="F269" i="1"/>
  <c r="E269" i="1"/>
  <c r="J269" i="1" s="1"/>
  <c r="C269" i="1"/>
  <c r="I269" i="1" s="1"/>
  <c r="J268" i="1"/>
  <c r="I268" i="1"/>
  <c r="F268" i="1"/>
  <c r="E268" i="1"/>
  <c r="C268" i="1"/>
  <c r="J267" i="1"/>
  <c r="I267" i="1"/>
  <c r="F267" i="1"/>
  <c r="E267" i="1"/>
  <c r="C267" i="1"/>
  <c r="J266" i="1"/>
  <c r="F266" i="1"/>
  <c r="E266" i="1"/>
  <c r="C266" i="1"/>
  <c r="I266" i="1" s="1"/>
  <c r="I265" i="1"/>
  <c r="F265" i="1"/>
  <c r="E265" i="1"/>
  <c r="E271" i="1" s="1"/>
  <c r="C265" i="1"/>
  <c r="I264" i="1"/>
  <c r="F264" i="1"/>
  <c r="E264" i="1"/>
  <c r="J264" i="1" s="1"/>
  <c r="C264" i="1"/>
  <c r="C271" i="1" s="1"/>
  <c r="D260" i="1"/>
  <c r="B260" i="1"/>
  <c r="F260" i="1" s="1"/>
  <c r="J259" i="1"/>
  <c r="F259" i="1"/>
  <c r="E259" i="1"/>
  <c r="C259" i="1"/>
  <c r="I259" i="1" s="1"/>
  <c r="F258" i="1"/>
  <c r="E258" i="1"/>
  <c r="J258" i="1" s="1"/>
  <c r="C258" i="1"/>
  <c r="I258" i="1" s="1"/>
  <c r="J257" i="1"/>
  <c r="I257" i="1"/>
  <c r="F257" i="1"/>
  <c r="E257" i="1"/>
  <c r="C257" i="1"/>
  <c r="J256" i="1"/>
  <c r="I256" i="1"/>
  <c r="F256" i="1"/>
  <c r="E256" i="1"/>
  <c r="C256" i="1"/>
  <c r="F255" i="1"/>
  <c r="E255" i="1"/>
  <c r="J255" i="1" s="1"/>
  <c r="C255" i="1"/>
  <c r="I255" i="1" s="1"/>
  <c r="I254" i="1"/>
  <c r="F254" i="1"/>
  <c r="E254" i="1"/>
  <c r="E260" i="1" s="1"/>
  <c r="C254" i="1"/>
  <c r="I253" i="1"/>
  <c r="F253" i="1"/>
  <c r="E253" i="1"/>
  <c r="J253" i="1" s="1"/>
  <c r="C253" i="1"/>
  <c r="C260" i="1" s="1"/>
  <c r="D249" i="1"/>
  <c r="B249" i="1"/>
  <c r="F249" i="1" s="1"/>
  <c r="F248" i="1"/>
  <c r="E248" i="1"/>
  <c r="J248" i="1" s="1"/>
  <c r="C248" i="1"/>
  <c r="I248" i="1" s="1"/>
  <c r="F247" i="1"/>
  <c r="E247" i="1"/>
  <c r="J247" i="1" s="1"/>
  <c r="C247" i="1"/>
  <c r="I247" i="1" s="1"/>
  <c r="J246" i="1"/>
  <c r="I246" i="1"/>
  <c r="F246" i="1"/>
  <c r="E246" i="1"/>
  <c r="C246" i="1"/>
  <c r="J245" i="1"/>
  <c r="I245" i="1"/>
  <c r="F245" i="1"/>
  <c r="E245" i="1"/>
  <c r="C245" i="1"/>
  <c r="F244" i="1"/>
  <c r="E244" i="1"/>
  <c r="J244" i="1" s="1"/>
  <c r="C244" i="1"/>
  <c r="I244" i="1" s="1"/>
  <c r="I243" i="1"/>
  <c r="F243" i="1"/>
  <c r="E243" i="1"/>
  <c r="E249" i="1" s="1"/>
  <c r="C243" i="1"/>
  <c r="J242" i="1"/>
  <c r="I242" i="1"/>
  <c r="F242" i="1"/>
  <c r="E242" i="1"/>
  <c r="C242" i="1"/>
  <c r="C249" i="1" s="1"/>
  <c r="D238" i="1"/>
  <c r="B238" i="1"/>
  <c r="F238" i="1" s="1"/>
  <c r="F237" i="1"/>
  <c r="E237" i="1"/>
  <c r="J237" i="1" s="1"/>
  <c r="C237" i="1"/>
  <c r="I237" i="1" s="1"/>
  <c r="I236" i="1"/>
  <c r="F236" i="1"/>
  <c r="E236" i="1"/>
  <c r="J236" i="1" s="1"/>
  <c r="C236" i="1"/>
  <c r="J235" i="1"/>
  <c r="I235" i="1"/>
  <c r="F235" i="1"/>
  <c r="E235" i="1"/>
  <c r="C235" i="1"/>
  <c r="J234" i="1"/>
  <c r="I234" i="1"/>
  <c r="F234" i="1"/>
  <c r="E234" i="1"/>
  <c r="C234" i="1"/>
  <c r="J233" i="1"/>
  <c r="F233" i="1"/>
  <c r="E233" i="1"/>
  <c r="C233" i="1"/>
  <c r="I233" i="1" s="1"/>
  <c r="I232" i="1"/>
  <c r="F232" i="1"/>
  <c r="E232" i="1"/>
  <c r="J232" i="1" s="1"/>
  <c r="C232" i="1"/>
  <c r="J231" i="1"/>
  <c r="I231" i="1"/>
  <c r="F231" i="1"/>
  <c r="E231" i="1"/>
  <c r="C231" i="1"/>
  <c r="J230" i="1"/>
  <c r="I230" i="1"/>
  <c r="F230" i="1"/>
  <c r="E230" i="1"/>
  <c r="C230" i="1"/>
  <c r="J229" i="1"/>
  <c r="F229" i="1"/>
  <c r="E229" i="1"/>
  <c r="C229" i="1"/>
  <c r="I229" i="1" s="1"/>
  <c r="I228" i="1"/>
  <c r="F228" i="1"/>
  <c r="E228" i="1"/>
  <c r="E238" i="1" s="1"/>
  <c r="C228" i="1"/>
  <c r="C238" i="1" s="1"/>
  <c r="D224" i="1"/>
  <c r="F224" i="1" s="1"/>
  <c r="B224" i="1"/>
  <c r="J223" i="1"/>
  <c r="F223" i="1"/>
  <c r="E223" i="1"/>
  <c r="C223" i="1"/>
  <c r="I223" i="1" s="1"/>
  <c r="J222" i="1"/>
  <c r="F222" i="1"/>
  <c r="E222" i="1"/>
  <c r="C222" i="1"/>
  <c r="I222" i="1" s="1"/>
  <c r="I221" i="1"/>
  <c r="F221" i="1"/>
  <c r="E221" i="1"/>
  <c r="J221" i="1" s="1"/>
  <c r="C221" i="1"/>
  <c r="J220" i="1"/>
  <c r="I220" i="1"/>
  <c r="F220" i="1"/>
  <c r="E220" i="1"/>
  <c r="C220" i="1"/>
  <c r="J219" i="1"/>
  <c r="F219" i="1"/>
  <c r="E219" i="1"/>
  <c r="C219" i="1"/>
  <c r="I219" i="1" s="1"/>
  <c r="J218" i="1"/>
  <c r="F218" i="1"/>
  <c r="E218" i="1"/>
  <c r="C218" i="1"/>
  <c r="C224" i="1" s="1"/>
  <c r="I217" i="1"/>
  <c r="F217" i="1"/>
  <c r="E217" i="1"/>
  <c r="E224" i="1" s="1"/>
  <c r="C217" i="1"/>
  <c r="D213" i="1"/>
  <c r="F213" i="1" s="1"/>
  <c r="B213" i="1"/>
  <c r="J212" i="1"/>
  <c r="F212" i="1"/>
  <c r="E212" i="1"/>
  <c r="C212" i="1"/>
  <c r="I212" i="1" s="1"/>
  <c r="J211" i="1"/>
  <c r="F211" i="1"/>
  <c r="E211" i="1"/>
  <c r="C211" i="1"/>
  <c r="I211" i="1" s="1"/>
  <c r="I210" i="1"/>
  <c r="F210" i="1"/>
  <c r="E210" i="1"/>
  <c r="J210" i="1" s="1"/>
  <c r="C210" i="1"/>
  <c r="J209" i="1"/>
  <c r="I209" i="1"/>
  <c r="F209" i="1"/>
  <c r="E209" i="1"/>
  <c r="C209" i="1"/>
  <c r="J208" i="1"/>
  <c r="I208" i="1"/>
  <c r="F208" i="1"/>
  <c r="E208" i="1"/>
  <c r="C208" i="1"/>
  <c r="J207" i="1"/>
  <c r="F207" i="1"/>
  <c r="E207" i="1"/>
  <c r="C207" i="1"/>
  <c r="C213" i="1" s="1"/>
  <c r="I206" i="1"/>
  <c r="F206" i="1"/>
  <c r="E206" i="1"/>
  <c r="E213" i="1" s="1"/>
  <c r="C206" i="1"/>
  <c r="D202" i="1"/>
  <c r="F202" i="1" s="1"/>
  <c r="B202" i="1"/>
  <c r="J201" i="1"/>
  <c r="F201" i="1"/>
  <c r="E201" i="1"/>
  <c r="C201" i="1"/>
  <c r="I201" i="1" s="1"/>
  <c r="J200" i="1"/>
  <c r="F200" i="1"/>
  <c r="E200" i="1"/>
  <c r="C200" i="1"/>
  <c r="I200" i="1" s="1"/>
  <c r="I199" i="1"/>
  <c r="F199" i="1"/>
  <c r="E199" i="1"/>
  <c r="J199" i="1" s="1"/>
  <c r="C199" i="1"/>
  <c r="J198" i="1"/>
  <c r="I198" i="1"/>
  <c r="F198" i="1"/>
  <c r="E198" i="1"/>
  <c r="C198" i="1"/>
  <c r="J197" i="1"/>
  <c r="I197" i="1"/>
  <c r="F197" i="1"/>
  <c r="E197" i="1"/>
  <c r="C197" i="1"/>
  <c r="F196" i="1"/>
  <c r="E196" i="1"/>
  <c r="J196" i="1" s="1"/>
  <c r="C196" i="1"/>
  <c r="I196" i="1" s="1"/>
  <c r="I195" i="1"/>
  <c r="F195" i="1"/>
  <c r="E195" i="1"/>
  <c r="J195" i="1" s="1"/>
  <c r="C195" i="1"/>
  <c r="J194" i="1"/>
  <c r="I194" i="1"/>
  <c r="F194" i="1"/>
  <c r="E194" i="1"/>
  <c r="C194" i="1"/>
  <c r="J193" i="1"/>
  <c r="I193" i="1"/>
  <c r="F193" i="1"/>
  <c r="E193" i="1"/>
  <c r="C193" i="1"/>
  <c r="J192" i="1"/>
  <c r="F192" i="1"/>
  <c r="E192" i="1"/>
  <c r="E202" i="1" s="1"/>
  <c r="C192" i="1"/>
  <c r="C202" i="1" s="1"/>
  <c r="D188" i="1"/>
  <c r="F188" i="1" s="1"/>
  <c r="B188" i="1"/>
  <c r="J187" i="1"/>
  <c r="I187" i="1"/>
  <c r="F187" i="1"/>
  <c r="E187" i="1"/>
  <c r="C187" i="1"/>
  <c r="J186" i="1"/>
  <c r="I186" i="1"/>
  <c r="F186" i="1"/>
  <c r="E186" i="1"/>
  <c r="C186" i="1"/>
  <c r="J185" i="1"/>
  <c r="F185" i="1"/>
  <c r="E185" i="1"/>
  <c r="C185" i="1"/>
  <c r="C188" i="1" s="1"/>
  <c r="J184" i="1"/>
  <c r="I184" i="1"/>
  <c r="F184" i="1"/>
  <c r="E184" i="1"/>
  <c r="E188" i="1" s="1"/>
  <c r="C184" i="1"/>
  <c r="J183" i="1"/>
  <c r="I183" i="1"/>
  <c r="F183" i="1"/>
  <c r="E183" i="1"/>
  <c r="C183" i="1"/>
  <c r="D179" i="1"/>
  <c r="B179" i="1"/>
  <c r="F179" i="1" s="1"/>
  <c r="J178" i="1"/>
  <c r="F178" i="1"/>
  <c r="E178" i="1"/>
  <c r="C178" i="1"/>
  <c r="I178" i="1" s="1"/>
  <c r="I177" i="1"/>
  <c r="F177" i="1"/>
  <c r="E177" i="1"/>
  <c r="J177" i="1" s="1"/>
  <c r="C177" i="1"/>
  <c r="J176" i="1"/>
  <c r="I176" i="1"/>
  <c r="F176" i="1"/>
  <c r="E176" i="1"/>
  <c r="C176" i="1"/>
  <c r="J175" i="1"/>
  <c r="I175" i="1"/>
  <c r="F175" i="1"/>
  <c r="E175" i="1"/>
  <c r="C175" i="1"/>
  <c r="J174" i="1"/>
  <c r="F174" i="1"/>
  <c r="E174" i="1"/>
  <c r="C174" i="1"/>
  <c r="I174" i="1" s="1"/>
  <c r="I173" i="1"/>
  <c r="F173" i="1"/>
  <c r="E173" i="1"/>
  <c r="J173" i="1" s="1"/>
  <c r="C173" i="1"/>
  <c r="J172" i="1"/>
  <c r="I172" i="1"/>
  <c r="F172" i="1"/>
  <c r="E172" i="1"/>
  <c r="C172" i="1"/>
  <c r="J171" i="1"/>
  <c r="I171" i="1"/>
  <c r="F171" i="1"/>
  <c r="E171" i="1"/>
  <c r="E179" i="1" s="1"/>
  <c r="C171" i="1"/>
  <c r="C179" i="1" s="1"/>
  <c r="D167" i="1"/>
  <c r="B167" i="1"/>
  <c r="F167" i="1" s="1"/>
  <c r="I166" i="1"/>
  <c r="F166" i="1"/>
  <c r="E166" i="1"/>
  <c r="J166" i="1" s="1"/>
  <c r="C166" i="1"/>
  <c r="J165" i="1"/>
  <c r="I165" i="1"/>
  <c r="F165" i="1"/>
  <c r="E165" i="1"/>
  <c r="C165" i="1"/>
  <c r="J164" i="1"/>
  <c r="I164" i="1"/>
  <c r="F164" i="1"/>
  <c r="E164" i="1"/>
  <c r="C164" i="1"/>
  <c r="J163" i="1"/>
  <c r="F163" i="1"/>
  <c r="E163" i="1"/>
  <c r="C163" i="1"/>
  <c r="I163" i="1" s="1"/>
  <c r="I162" i="1"/>
  <c r="F162" i="1"/>
  <c r="E162" i="1"/>
  <c r="J162" i="1" s="1"/>
  <c r="C162" i="1"/>
  <c r="J161" i="1"/>
  <c r="I161" i="1"/>
  <c r="F161" i="1"/>
  <c r="E161" i="1"/>
  <c r="C161" i="1"/>
  <c r="J160" i="1"/>
  <c r="I160" i="1"/>
  <c r="F160" i="1"/>
  <c r="E160" i="1"/>
  <c r="C160" i="1"/>
  <c r="J159" i="1"/>
  <c r="I159" i="1"/>
  <c r="F159" i="1"/>
  <c r="E159" i="1"/>
  <c r="E167" i="1" s="1"/>
  <c r="C159" i="1"/>
  <c r="C167" i="1" s="1"/>
  <c r="D155" i="1"/>
  <c r="F155" i="1" s="1"/>
  <c r="B155" i="1"/>
  <c r="J154" i="1"/>
  <c r="I154" i="1"/>
  <c r="F154" i="1"/>
  <c r="E154" i="1"/>
  <c r="C154" i="1"/>
  <c r="J153" i="1"/>
  <c r="I153" i="1"/>
  <c r="F153" i="1"/>
  <c r="E153" i="1"/>
  <c r="C153" i="1"/>
  <c r="J152" i="1"/>
  <c r="F152" i="1"/>
  <c r="E152" i="1"/>
  <c r="C152" i="1"/>
  <c r="I152" i="1" s="1"/>
  <c r="I151" i="1"/>
  <c r="F151" i="1"/>
  <c r="E151" i="1"/>
  <c r="J151" i="1" s="1"/>
  <c r="C151" i="1"/>
  <c r="J150" i="1"/>
  <c r="I150" i="1"/>
  <c r="F150" i="1"/>
  <c r="E150" i="1"/>
  <c r="C150" i="1"/>
  <c r="J149" i="1"/>
  <c r="I149" i="1"/>
  <c r="F149" i="1"/>
  <c r="E149" i="1"/>
  <c r="C149" i="1"/>
  <c r="J148" i="1"/>
  <c r="F148" i="1"/>
  <c r="E148" i="1"/>
  <c r="E155" i="1" s="1"/>
  <c r="C148" i="1"/>
  <c r="D144" i="1"/>
  <c r="F144" i="1" s="1"/>
  <c r="B144" i="1"/>
  <c r="J143" i="1"/>
  <c r="I143" i="1"/>
  <c r="F143" i="1"/>
  <c r="E143" i="1"/>
  <c r="C143" i="1"/>
  <c r="J142" i="1"/>
  <c r="I142" i="1"/>
  <c r="F142" i="1"/>
  <c r="E142" i="1"/>
  <c r="C142" i="1"/>
  <c r="J141" i="1"/>
  <c r="F141" i="1"/>
  <c r="E141" i="1"/>
  <c r="C141" i="1"/>
  <c r="I141" i="1" s="1"/>
  <c r="I140" i="1"/>
  <c r="F140" i="1"/>
  <c r="E140" i="1"/>
  <c r="J140" i="1" s="1"/>
  <c r="C140" i="1"/>
  <c r="J139" i="1"/>
  <c r="I139" i="1"/>
  <c r="F139" i="1"/>
  <c r="E139" i="1"/>
  <c r="C139" i="1"/>
  <c r="J138" i="1"/>
  <c r="I138" i="1"/>
  <c r="F138" i="1"/>
  <c r="E138" i="1"/>
  <c r="C138" i="1"/>
  <c r="J137" i="1"/>
  <c r="F137" i="1"/>
  <c r="E137" i="1"/>
  <c r="C137" i="1"/>
  <c r="I137" i="1" s="1"/>
  <c r="I136" i="1"/>
  <c r="F136" i="1"/>
  <c r="E136" i="1"/>
  <c r="C136" i="1"/>
  <c r="D132" i="1"/>
  <c r="F132" i="1" s="1"/>
  <c r="B132" i="1"/>
  <c r="J131" i="1"/>
  <c r="I131" i="1"/>
  <c r="F131" i="1"/>
  <c r="E131" i="1"/>
  <c r="C131" i="1"/>
  <c r="J130" i="1"/>
  <c r="F130" i="1"/>
  <c r="E130" i="1"/>
  <c r="C130" i="1"/>
  <c r="I130" i="1" s="1"/>
  <c r="I129" i="1"/>
  <c r="F129" i="1"/>
  <c r="E129" i="1"/>
  <c r="J129" i="1" s="1"/>
  <c r="C129" i="1"/>
  <c r="J128" i="1"/>
  <c r="I128" i="1"/>
  <c r="F128" i="1"/>
  <c r="E128" i="1"/>
  <c r="C128" i="1"/>
  <c r="F127" i="1"/>
  <c r="E127" i="1"/>
  <c r="J127" i="1" s="1"/>
  <c r="C127" i="1"/>
  <c r="I127" i="1" s="1"/>
  <c r="F126" i="1"/>
  <c r="E126" i="1"/>
  <c r="J126" i="1" s="1"/>
  <c r="C126" i="1"/>
  <c r="I126" i="1" s="1"/>
  <c r="F125" i="1"/>
  <c r="E125" i="1"/>
  <c r="J125" i="1" s="1"/>
  <c r="C125" i="1"/>
  <c r="I125" i="1" s="1"/>
  <c r="J124" i="1"/>
  <c r="F124" i="1"/>
  <c r="E124" i="1"/>
  <c r="C124" i="1"/>
  <c r="C132" i="1" s="1"/>
  <c r="D120" i="1"/>
  <c r="F120" i="1" s="1"/>
  <c r="B120" i="1"/>
  <c r="J119" i="1"/>
  <c r="F119" i="1"/>
  <c r="E119" i="1"/>
  <c r="C119" i="1"/>
  <c r="I119" i="1" s="1"/>
  <c r="I118" i="1"/>
  <c r="F118" i="1"/>
  <c r="E118" i="1"/>
  <c r="J118" i="1" s="1"/>
  <c r="C118" i="1"/>
  <c r="J117" i="1"/>
  <c r="I117" i="1"/>
  <c r="F117" i="1"/>
  <c r="E117" i="1"/>
  <c r="C117" i="1"/>
  <c r="I116" i="1"/>
  <c r="F116" i="1"/>
  <c r="E116" i="1"/>
  <c r="J116" i="1" s="1"/>
  <c r="C116" i="1"/>
  <c r="F115" i="1"/>
  <c r="E115" i="1"/>
  <c r="J115" i="1" s="1"/>
  <c r="C115" i="1"/>
  <c r="I115" i="1" s="1"/>
  <c r="F114" i="1"/>
  <c r="E114" i="1"/>
  <c r="J114" i="1" s="1"/>
  <c r="C114" i="1"/>
  <c r="I114" i="1" s="1"/>
  <c r="J113" i="1"/>
  <c r="I113" i="1"/>
  <c r="F113" i="1"/>
  <c r="E113" i="1"/>
  <c r="C113" i="1"/>
  <c r="J112" i="1"/>
  <c r="F112" i="1"/>
  <c r="E112" i="1"/>
  <c r="C112" i="1"/>
  <c r="C120" i="1" s="1"/>
  <c r="D108" i="1"/>
  <c r="B108" i="1"/>
  <c r="F108" i="1" s="1"/>
  <c r="I107" i="1"/>
  <c r="F107" i="1"/>
  <c r="E107" i="1"/>
  <c r="J107" i="1" s="1"/>
  <c r="C107" i="1"/>
  <c r="I106" i="1"/>
  <c r="F106" i="1"/>
  <c r="E106" i="1"/>
  <c r="J106" i="1" s="1"/>
  <c r="C106" i="1"/>
  <c r="F105" i="1"/>
  <c r="E105" i="1"/>
  <c r="J105" i="1" s="1"/>
  <c r="C105" i="1"/>
  <c r="I105" i="1" s="1"/>
  <c r="J104" i="1"/>
  <c r="F104" i="1"/>
  <c r="E104" i="1"/>
  <c r="C104" i="1"/>
  <c r="I104" i="1" s="1"/>
  <c r="F103" i="1"/>
  <c r="E103" i="1"/>
  <c r="J103" i="1" s="1"/>
  <c r="C103" i="1"/>
  <c r="I103" i="1" s="1"/>
  <c r="J102" i="1"/>
  <c r="F102" i="1"/>
  <c r="E102" i="1"/>
  <c r="C102" i="1"/>
  <c r="I102" i="1" s="1"/>
  <c r="J101" i="1"/>
  <c r="I101" i="1"/>
  <c r="F101" i="1"/>
  <c r="E101" i="1"/>
  <c r="C101" i="1"/>
  <c r="F100" i="1"/>
  <c r="E100" i="1"/>
  <c r="E108" i="1" s="1"/>
  <c r="C100" i="1"/>
  <c r="I100" i="1" s="1"/>
  <c r="D96" i="1"/>
  <c r="F96" i="1" s="1"/>
  <c r="B96" i="1"/>
  <c r="I95" i="1"/>
  <c r="F95" i="1"/>
  <c r="E95" i="1"/>
  <c r="J95" i="1" s="1"/>
  <c r="C95" i="1"/>
  <c r="J94" i="1"/>
  <c r="F94" i="1"/>
  <c r="E94" i="1"/>
  <c r="C94" i="1"/>
  <c r="I94" i="1" s="1"/>
  <c r="F93" i="1"/>
  <c r="E93" i="1"/>
  <c r="J93" i="1" s="1"/>
  <c r="C93" i="1"/>
  <c r="I93" i="1" s="1"/>
  <c r="F92" i="1"/>
  <c r="E92" i="1"/>
  <c r="J92" i="1" s="1"/>
  <c r="C92" i="1"/>
  <c r="I92" i="1" s="1"/>
  <c r="J91" i="1"/>
  <c r="I91" i="1"/>
  <c r="F91" i="1"/>
  <c r="E91" i="1"/>
  <c r="C91" i="1"/>
  <c r="J90" i="1"/>
  <c r="F90" i="1"/>
  <c r="E90" i="1"/>
  <c r="C90" i="1"/>
  <c r="I90" i="1" s="1"/>
  <c r="J89" i="1"/>
  <c r="F89" i="1"/>
  <c r="E89" i="1"/>
  <c r="C89" i="1"/>
  <c r="I89" i="1" s="1"/>
  <c r="J88" i="1"/>
  <c r="I88" i="1"/>
  <c r="F88" i="1"/>
  <c r="E88" i="1"/>
  <c r="C88" i="1"/>
  <c r="D84" i="1"/>
  <c r="F84" i="1" s="1"/>
  <c r="B84" i="1"/>
  <c r="I83" i="1"/>
  <c r="F83" i="1"/>
  <c r="E83" i="1"/>
  <c r="J83" i="1" s="1"/>
  <c r="C83" i="1"/>
  <c r="J82" i="1"/>
  <c r="F82" i="1"/>
  <c r="E82" i="1"/>
  <c r="C82" i="1"/>
  <c r="I82" i="1" s="1"/>
  <c r="I81" i="1"/>
  <c r="F81" i="1"/>
  <c r="E81" i="1"/>
  <c r="J81" i="1" s="1"/>
  <c r="C81" i="1"/>
  <c r="J80" i="1"/>
  <c r="F80" i="1"/>
  <c r="E80" i="1"/>
  <c r="C80" i="1"/>
  <c r="I80" i="1" s="1"/>
  <c r="F79" i="1"/>
  <c r="E79" i="1"/>
  <c r="J79" i="1" s="1"/>
  <c r="C79" i="1"/>
  <c r="I79" i="1" s="1"/>
  <c r="F78" i="1"/>
  <c r="E78" i="1"/>
  <c r="J78" i="1" s="1"/>
  <c r="C78" i="1"/>
  <c r="I78" i="1" s="1"/>
  <c r="I77" i="1"/>
  <c r="F77" i="1"/>
  <c r="E77" i="1"/>
  <c r="J77" i="1" s="1"/>
  <c r="C77" i="1"/>
  <c r="I76" i="1"/>
  <c r="F76" i="1"/>
  <c r="E76" i="1"/>
  <c r="E84" i="1" s="1"/>
  <c r="C76" i="1"/>
  <c r="C84" i="1" s="1"/>
  <c r="D72" i="1"/>
  <c r="B72" i="1"/>
  <c r="F72" i="1" s="1"/>
  <c r="F71" i="1"/>
  <c r="E71" i="1"/>
  <c r="J71" i="1" s="1"/>
  <c r="C71" i="1"/>
  <c r="I71" i="1" s="1"/>
  <c r="F70" i="1"/>
  <c r="E70" i="1"/>
  <c r="J70" i="1" s="1"/>
  <c r="C70" i="1"/>
  <c r="I70" i="1" s="1"/>
  <c r="J69" i="1"/>
  <c r="I69" i="1"/>
  <c r="F69" i="1"/>
  <c r="E69" i="1"/>
  <c r="C69" i="1"/>
  <c r="J68" i="1"/>
  <c r="I68" i="1"/>
  <c r="F68" i="1"/>
  <c r="E68" i="1"/>
  <c r="C68" i="1"/>
  <c r="J67" i="1"/>
  <c r="F67" i="1"/>
  <c r="E67" i="1"/>
  <c r="C67" i="1"/>
  <c r="I67" i="1" s="1"/>
  <c r="J66" i="1"/>
  <c r="I66" i="1"/>
  <c r="F66" i="1"/>
  <c r="E66" i="1"/>
  <c r="C66" i="1"/>
  <c r="F65" i="1"/>
  <c r="E65" i="1"/>
  <c r="E72" i="1" s="1"/>
  <c r="C65" i="1"/>
  <c r="I65" i="1" s="1"/>
  <c r="F61" i="1"/>
  <c r="D61" i="1"/>
  <c r="B61" i="1"/>
  <c r="J60" i="1"/>
  <c r="I60" i="1"/>
  <c r="F60" i="1"/>
  <c r="E60" i="1"/>
  <c r="C60" i="1"/>
  <c r="F59" i="1"/>
  <c r="E59" i="1"/>
  <c r="J59" i="1" s="1"/>
  <c r="C59" i="1"/>
  <c r="I59" i="1" s="1"/>
  <c r="J58" i="1"/>
  <c r="F58" i="1"/>
  <c r="E58" i="1"/>
  <c r="C58" i="1"/>
  <c r="I58" i="1" s="1"/>
  <c r="F57" i="1"/>
  <c r="E57" i="1"/>
  <c r="J57" i="1" s="1"/>
  <c r="C57" i="1"/>
  <c r="I57" i="1" s="1"/>
  <c r="F56" i="1"/>
  <c r="E56" i="1"/>
  <c r="J56" i="1" s="1"/>
  <c r="C56" i="1"/>
  <c r="I56" i="1" s="1"/>
  <c r="J55" i="1"/>
  <c r="I55" i="1"/>
  <c r="F55" i="1"/>
  <c r="E55" i="1"/>
  <c r="C55" i="1"/>
  <c r="F54" i="1"/>
  <c r="E54" i="1"/>
  <c r="J54" i="1" s="1"/>
  <c r="C54" i="1"/>
  <c r="I54" i="1" s="1"/>
  <c r="J53" i="1"/>
  <c r="F53" i="1"/>
  <c r="E53" i="1"/>
  <c r="E61" i="1" s="1"/>
  <c r="C53" i="1"/>
  <c r="I53" i="1" s="1"/>
  <c r="F49" i="1"/>
  <c r="D49" i="1"/>
  <c r="C49" i="1"/>
  <c r="B49" i="1"/>
  <c r="F48" i="1"/>
  <c r="E48" i="1"/>
  <c r="J48" i="1" s="1"/>
  <c r="C48" i="1"/>
  <c r="I48" i="1" s="1"/>
  <c r="J47" i="1"/>
  <c r="I47" i="1"/>
  <c r="F47" i="1"/>
  <c r="E47" i="1"/>
  <c r="C47" i="1"/>
  <c r="F46" i="1"/>
  <c r="E46" i="1"/>
  <c r="J46" i="1" s="1"/>
  <c r="C46" i="1"/>
  <c r="I46" i="1" s="1"/>
  <c r="J45" i="1"/>
  <c r="F45" i="1"/>
  <c r="E45" i="1"/>
  <c r="C45" i="1"/>
  <c r="I45" i="1" s="1"/>
  <c r="I44" i="1"/>
  <c r="F44" i="1"/>
  <c r="E44" i="1"/>
  <c r="J44" i="1" s="1"/>
  <c r="C44" i="1"/>
  <c r="F43" i="1"/>
  <c r="E43" i="1"/>
  <c r="J43" i="1" s="1"/>
  <c r="C43" i="1"/>
  <c r="I43" i="1" s="1"/>
  <c r="J42" i="1"/>
  <c r="I42" i="1"/>
  <c r="F42" i="1"/>
  <c r="E42" i="1"/>
  <c r="C42" i="1"/>
  <c r="F41" i="1"/>
  <c r="E41" i="1"/>
  <c r="J41" i="1" s="1"/>
  <c r="C41" i="1"/>
  <c r="I41" i="1" s="1"/>
  <c r="D37" i="1"/>
  <c r="F37" i="1" s="1"/>
  <c r="B37" i="1"/>
  <c r="J36" i="1"/>
  <c r="F36" i="1"/>
  <c r="E36" i="1"/>
  <c r="C36" i="1"/>
  <c r="I36" i="1" s="1"/>
  <c r="F35" i="1"/>
  <c r="E35" i="1"/>
  <c r="J35" i="1" s="1"/>
  <c r="C35" i="1"/>
  <c r="I35" i="1" s="1"/>
  <c r="F34" i="1"/>
  <c r="E34" i="1"/>
  <c r="J34" i="1" s="1"/>
  <c r="C34" i="1"/>
  <c r="I34" i="1" s="1"/>
  <c r="F33" i="1"/>
  <c r="E33" i="1"/>
  <c r="J33" i="1" s="1"/>
  <c r="C33" i="1"/>
  <c r="I33" i="1" s="1"/>
  <c r="J32" i="1"/>
  <c r="F32" i="1"/>
  <c r="E32" i="1"/>
  <c r="C32" i="1"/>
  <c r="I32" i="1" s="1"/>
  <c r="F31" i="1"/>
  <c r="E31" i="1"/>
  <c r="J31" i="1" s="1"/>
  <c r="C31" i="1"/>
  <c r="I31" i="1" s="1"/>
  <c r="F30" i="1"/>
  <c r="E30" i="1"/>
  <c r="J30" i="1" s="1"/>
  <c r="C30" i="1"/>
  <c r="I30" i="1" s="1"/>
  <c r="I29" i="1"/>
  <c r="F29" i="1"/>
  <c r="E29" i="1"/>
  <c r="J29" i="1" s="1"/>
  <c r="C29" i="1"/>
  <c r="C37" i="1" s="1"/>
  <c r="D25" i="1"/>
  <c r="F25" i="1" s="1"/>
  <c r="B25" i="1"/>
  <c r="F24" i="1"/>
  <c r="E24" i="1"/>
  <c r="J24" i="1" s="1"/>
  <c r="C24" i="1"/>
  <c r="I24" i="1" s="1"/>
  <c r="J23" i="1"/>
  <c r="F23" i="1"/>
  <c r="E23" i="1"/>
  <c r="C23" i="1"/>
  <c r="I23" i="1" s="1"/>
  <c r="F22" i="1"/>
  <c r="E22" i="1"/>
  <c r="J22" i="1" s="1"/>
  <c r="C22" i="1"/>
  <c r="I22" i="1" s="1"/>
  <c r="J21" i="1"/>
  <c r="F21" i="1"/>
  <c r="E21" i="1"/>
  <c r="C21" i="1"/>
  <c r="I21" i="1" s="1"/>
  <c r="F20" i="1"/>
  <c r="E20" i="1"/>
  <c r="J20" i="1" s="1"/>
  <c r="C20" i="1"/>
  <c r="I20" i="1" s="1"/>
  <c r="F19" i="1"/>
  <c r="E19" i="1"/>
  <c r="J19" i="1" s="1"/>
  <c r="C19" i="1"/>
  <c r="I19" i="1" s="1"/>
  <c r="I18" i="1"/>
  <c r="F18" i="1"/>
  <c r="E18" i="1"/>
  <c r="J18" i="1" s="1"/>
  <c r="C18" i="1"/>
  <c r="F17" i="1"/>
  <c r="E17" i="1"/>
  <c r="J17" i="1" s="1"/>
  <c r="C17" i="1"/>
  <c r="I17" i="1" s="1"/>
  <c r="D13" i="1"/>
  <c r="B13" i="1"/>
  <c r="F12" i="1"/>
  <c r="E12" i="1"/>
  <c r="J12" i="1" s="1"/>
  <c r="C12" i="1"/>
  <c r="I12" i="1" s="1"/>
  <c r="J11" i="1"/>
  <c r="F11" i="1"/>
  <c r="E11" i="1"/>
  <c r="C11" i="1"/>
  <c r="I11" i="1" s="1"/>
  <c r="J10" i="1"/>
  <c r="I10" i="1"/>
  <c r="F10" i="1"/>
  <c r="E10" i="1"/>
  <c r="C10" i="1"/>
  <c r="F9" i="1"/>
  <c r="E9" i="1"/>
  <c r="J9" i="1" s="1"/>
  <c r="C9" i="1"/>
  <c r="I9" i="1" s="1"/>
  <c r="I8" i="1"/>
  <c r="F8" i="1"/>
  <c r="E8" i="1"/>
  <c r="J8" i="1" s="1"/>
  <c r="C8" i="1"/>
  <c r="J7" i="1"/>
  <c r="I7" i="1"/>
  <c r="F7" i="1"/>
  <c r="E7" i="1"/>
  <c r="C7" i="1"/>
  <c r="F6" i="1"/>
  <c r="E6" i="1"/>
  <c r="J6" i="1" s="1"/>
  <c r="C6" i="1"/>
  <c r="I6" i="1" s="1"/>
  <c r="J5" i="1"/>
  <c r="F5" i="1"/>
  <c r="E5" i="1"/>
  <c r="E13" i="1" s="1"/>
  <c r="C5" i="1"/>
  <c r="I5" i="1" s="1"/>
  <c r="E37" i="1" l="1"/>
  <c r="C25" i="1"/>
  <c r="C72" i="1"/>
  <c r="J76" i="1"/>
  <c r="E96" i="1"/>
  <c r="C108" i="1"/>
  <c r="I124" i="1"/>
  <c r="E49" i="1"/>
  <c r="C144" i="1"/>
  <c r="B325" i="1"/>
  <c r="E25" i="1"/>
  <c r="C61" i="1"/>
  <c r="J65" i="1"/>
  <c r="C13" i="1"/>
  <c r="E120" i="1"/>
  <c r="E132" i="1"/>
  <c r="C155" i="1"/>
  <c r="I148" i="1"/>
  <c r="B326" i="1"/>
  <c r="B327" i="1" s="1"/>
  <c r="J100" i="1"/>
  <c r="J136" i="1"/>
  <c r="E144" i="1"/>
  <c r="F13" i="1"/>
  <c r="C96" i="1"/>
  <c r="I112" i="1"/>
  <c r="B329" i="1" s="1"/>
  <c r="C308" i="1"/>
  <c r="C47" i="2"/>
  <c r="J51" i="2"/>
  <c r="C146" i="2"/>
  <c r="I185" i="1"/>
  <c r="I207" i="1"/>
  <c r="I218" i="1"/>
  <c r="J243" i="1"/>
  <c r="J254" i="1"/>
  <c r="J265" i="1"/>
  <c r="J276" i="1"/>
  <c r="J287" i="1"/>
  <c r="I314" i="1"/>
  <c r="F12" i="2"/>
  <c r="I53" i="2"/>
  <c r="I152" i="2"/>
  <c r="I163" i="2"/>
  <c r="E308" i="1"/>
  <c r="E47" i="2"/>
  <c r="I127" i="2"/>
  <c r="E146" i="2"/>
  <c r="J152" i="2"/>
  <c r="J163" i="2"/>
  <c r="I286" i="1"/>
  <c r="C112" i="2"/>
  <c r="J127" i="2"/>
  <c r="I192" i="1"/>
  <c r="J206" i="1"/>
  <c r="J217" i="1"/>
  <c r="J228" i="1"/>
  <c r="I5" i="2"/>
  <c r="I16" i="2"/>
  <c r="I27" i="2"/>
  <c r="I93" i="2"/>
  <c r="E112" i="2"/>
  <c r="B178" i="2" l="1"/>
  <c r="B177" i="2"/>
  <c r="B176" i="2"/>
  <c r="B331" i="1"/>
  <c r="B330" i="1"/>
</calcChain>
</file>

<file path=xl/sharedStrings.xml><?xml version="1.0" encoding="utf-8"?>
<sst xmlns="http://schemas.openxmlformats.org/spreadsheetml/2006/main" count="841" uniqueCount="164">
  <si>
    <t>PTAP - Caudal hora a hora (Mes 1-20 Julio)</t>
  </si>
  <si>
    <t>Aux. L/s Entrada (&gt;0)</t>
  </si>
  <si>
    <t>Aux. L/s Salida (&gt;0)</t>
  </si>
  <si>
    <t>Turno 05:00-13:00 (s/f, contador 9673)</t>
  </si>
  <si>
    <t>Hora</t>
  </si>
  <si>
    <t>Vol. Entrada (m3)</t>
  </si>
  <si>
    <t>L/s Entrada</t>
  </si>
  <si>
    <t>Vol. Salida (m3)</t>
  </si>
  <si>
    <t>L/s Salida</t>
  </si>
  <si>
    <t>Eficiencia %</t>
  </si>
  <si>
    <t>Observacion</t>
  </si>
  <si>
    <t>06:00</t>
  </si>
  <si>
    <t>07:00</t>
  </si>
  <si>
    <t>08:00</t>
  </si>
  <si>
    <t>CEB alcalino y cambio de filtro manga</t>
  </si>
  <si>
    <t>09:00</t>
  </si>
  <si>
    <t>Seguimiento proveedor DP</t>
  </si>
  <si>
    <t>10:00</t>
  </si>
  <si>
    <t>Purga clarifloculador</t>
  </si>
  <si>
    <t>11:00</t>
  </si>
  <si>
    <t>12:00</t>
  </si>
  <si>
    <t>CEB acido por diferencial de presion</t>
  </si>
  <si>
    <t>13:00</t>
  </si>
  <si>
    <t>Total / Promedio</t>
  </si>
  <si>
    <t>Turno 05:00-13:00 (s/f, contador 11187)</t>
  </si>
  <si>
    <t>Cambio de filtro manga</t>
  </si>
  <si>
    <t>Se baja caudal para purga optima</t>
  </si>
  <si>
    <t>CEB alcalino por presiones altas</t>
  </si>
  <si>
    <t>Turno 22:00-06:00 (s/f, contador 11449)</t>
  </si>
  <si>
    <t>23:00</t>
  </si>
  <si>
    <t>00:00</t>
  </si>
  <si>
    <t>CEB alcalino</t>
  </si>
  <si>
    <t>01:00</t>
  </si>
  <si>
    <t>02:00</t>
  </si>
  <si>
    <t>03:00</t>
  </si>
  <si>
    <t>04:00</t>
  </si>
  <si>
    <t>05:00</t>
  </si>
  <si>
    <t>Turno 22:00-06:00 (s/f, contador 11788, inicia caudal 28 m3/h)</t>
  </si>
  <si>
    <t>Se realiza purga</t>
  </si>
  <si>
    <t>Purga y cambio de filtro manga</t>
  </si>
  <si>
    <t>Turno 22:00-06:00 (s/f, contador 12295, caudal 28 m3/h)</t>
  </si>
  <si>
    <t>Prep. polimero 400g, purga</t>
  </si>
  <si>
    <t>Turno 06:00-13:00 (07/07/2026)</t>
  </si>
  <si>
    <t>Turno 22:00-06:00 (s/f, contador 12790)</t>
  </si>
  <si>
    <t>Purga extensa por reflote en clarifloculador</t>
  </si>
  <si>
    <t>Purga extensa por reflote</t>
  </si>
  <si>
    <t>Reinicia tratamiento por alteracion clarifloculador</t>
  </si>
  <si>
    <t>Turno 06:00-14:00 (s/f, contador 12473)</t>
  </si>
  <si>
    <t>Cambio de filtro manga y purga</t>
  </si>
  <si>
    <t>Purga</t>
  </si>
  <si>
    <t>Reinicia tratamiento, intervencion bomba coagulante</t>
  </si>
  <si>
    <t>14:00</t>
  </si>
  <si>
    <t>Turno 22:00-06:00 (s/f, contador 13277)</t>
  </si>
  <si>
    <t>Purga extensa por reflote de lodo</t>
  </si>
  <si>
    <t>Cambio de filtro manga por altas presiones</t>
  </si>
  <si>
    <t>Turno 06:00-14:00 (s/f, contador 12943)</t>
  </si>
  <si>
    <t>Intervencion bomba peroxido, falla cheque ingreso PTAP</t>
  </si>
  <si>
    <t>Vaciado piscina retrolavado por lodo</t>
  </si>
  <si>
    <t>Purga extensa</t>
  </si>
  <si>
    <t>Turno 22:00-06:00 (s/f, contador 13752)</t>
  </si>
  <si>
    <t>Cambio filtro manga por diferencial de presion alta</t>
  </si>
  <si>
    <t>CEB alcalino por altas presiones y purga</t>
  </si>
  <si>
    <t>Turno 12:00-20:00 (s/f, contador 14039)</t>
  </si>
  <si>
    <t>15:00</t>
  </si>
  <si>
    <t>16:00</t>
  </si>
  <si>
    <t>17:00</t>
  </si>
  <si>
    <t>18:00</t>
  </si>
  <si>
    <t>19:00</t>
  </si>
  <si>
    <t>20:00</t>
  </si>
  <si>
    <t>Turno 06:00-13:00 (08/07/2026)</t>
  </si>
  <si>
    <t>Turno 22:00-06:00 (s/f, contador 14342)</t>
  </si>
  <si>
    <t>Purga completa al sistema</t>
  </si>
  <si>
    <t>Llenado del sistema clarifloculador</t>
  </si>
  <si>
    <t>Purga del sistema</t>
  </si>
  <si>
    <t>Turno 06:00-14:00 (s/f, contador 14207)</t>
  </si>
  <si>
    <t>CEB acido</t>
  </si>
  <si>
    <t>Turno 13:00-20:00 (s/f, contador 14634, anomalo por reinicio de contador)</t>
  </si>
  <si>
    <t>Reinicio de contador / purga - dato no confiable</t>
  </si>
  <si>
    <t>Purga extensiva 15 min</t>
  </si>
  <si>
    <t>Turno 20:00-06:00 (s/f, contador 14793)</t>
  </si>
  <si>
    <t>21:00</t>
  </si>
  <si>
    <t>22:00</t>
  </si>
  <si>
    <t>Turno 06:00-13:00 (s/f, contador 15014)</t>
  </si>
  <si>
    <t>Trasiego de coagulante 100L</t>
  </si>
  <si>
    <t>Purga del sistema 10 min</t>
  </si>
  <si>
    <t>Purga del sistema 5 min</t>
  </si>
  <si>
    <t>Purga del sistema 15 min</t>
  </si>
  <si>
    <t>Purga de 5 min</t>
  </si>
  <si>
    <t>Turno 06:00-14:00 (s/f, contador 14479)</t>
  </si>
  <si>
    <t>Purgas de 25 min</t>
  </si>
  <si>
    <t>Preparacion de peroxido de hidrogeno</t>
  </si>
  <si>
    <t>Purgas de 10 min</t>
  </si>
  <si>
    <t>Purgas de 15 min</t>
  </si>
  <si>
    <t>Purga de 10 min</t>
  </si>
  <si>
    <t>Turno 20:00-06:00 (s/f, contador 15308)</t>
  </si>
  <si>
    <t>Purga 10 min</t>
  </si>
  <si>
    <t>Turno 06:00-13:00 (s/f, contador 15527)</t>
  </si>
  <si>
    <t>Purga 20 min</t>
  </si>
  <si>
    <t>Purga 5 min, prepara peroxido 40L</t>
  </si>
  <si>
    <t>Purga 5 min</t>
  </si>
  <si>
    <t>Dos purgas 5 min</t>
  </si>
  <si>
    <t>Turno 13:00-20:00 (s/f, contador 15673)</t>
  </si>
  <si>
    <t>Purga 20 min, alta turbulencia de lodo</t>
  </si>
  <si>
    <t>CEB alcalino presion alta TPM</t>
  </si>
  <si>
    <t>Purga 10 min, entrega clarofloculador estable</t>
  </si>
  <si>
    <t>Turno 13:00-20:00 (s/f, contador 15174)</t>
  </si>
  <si>
    <t>Turno 06:00-13:00 (s/f, contador 16006)</t>
  </si>
  <si>
    <t>CEB alcalino y purga 25 min</t>
  </si>
  <si>
    <t>CEB acido y limpieza</t>
  </si>
  <si>
    <t>Turno 20:00-06:00 (s/f, contador 16277)</t>
  </si>
  <si>
    <t>Purga y CEB alcalino</t>
  </si>
  <si>
    <t>Purga extensa 15 min</t>
  </si>
  <si>
    <t>Turno 06:00-14:00 (s/f, contador 16465, incidente CEB)</t>
  </si>
  <si>
    <t>Bomba dosificadora CEB acido operativa</t>
  </si>
  <si>
    <t>CEB acido, membranas sumergidas en acido</t>
  </si>
  <si>
    <t>Turno 20:00-06:00 (s/f, contador 15808)</t>
  </si>
  <si>
    <t>Purga 15 min</t>
  </si>
  <si>
    <t>RESUMEN GENERAL DEL PERIODO</t>
  </si>
  <si>
    <t>Suma Volumen Entrada (m3):</t>
  </si>
  <si>
    <t>Suma Volumen Salida (m3):</t>
  </si>
  <si>
    <t>Eficiencia global (%):</t>
  </si>
  <si>
    <t>Horas con caudal &gt; 0 consideradas (entrada / salida):</t>
  </si>
  <si>
    <t>Promedio Entrada L/s (excluye ceros):</t>
  </si>
  <si>
    <t>Promedio Salida L/s (excluye ceros):</t>
  </si>
  <si>
    <t>Nota: valores atipicos por reinicios de contador ya se excluyeron manualmente al transcribir cada turno (marcados en Observacion); el promedio depurado adicional se referencia en el analisis de chat.</t>
  </si>
  <si>
    <t>PTAP - Caudal hora a hora (Semana 30 (21-27 Jul))</t>
  </si>
  <si>
    <t>Turno 22:00-04:00 (21/07/2026, anomalo tras reinicio de contador a las 05:00)</t>
  </si>
  <si>
    <t>Turno 06:00-13:00 (21/07/2026)</t>
  </si>
  <si>
    <t>Revision visual filtro manga</t>
  </si>
  <si>
    <t>Drenaje piscina 3, limpieza con hipoclorito</t>
  </si>
  <si>
    <t>CEB acido, cambio filtro manga, purga 10 min</t>
  </si>
  <si>
    <t>Turno 13:00-20:00 (21/07/2026)</t>
  </si>
  <si>
    <t>Purga 10 min gravedad + 5 min bomba</t>
  </si>
  <si>
    <t>Purga 16 min gravedad</t>
  </si>
  <si>
    <t>Limpieza filtro manga por colmenas</t>
  </si>
  <si>
    <t>Cambio filtro manga por presion diferencial</t>
  </si>
  <si>
    <t>Suspende tratamiento por alto nivel tanque de reuso</t>
  </si>
  <si>
    <t>Turno 20:00-04:00 (22/07/2026, anomalo tras reinicio de contador a las 05:00)</t>
  </si>
  <si>
    <t>Turno 07:00-13:00 (22/07/2026)</t>
  </si>
  <si>
    <t>Cambio filtro manga por alta diferencial, purga 5 min gravedad</t>
  </si>
  <si>
    <t>Purga 17 min gravedad</t>
  </si>
  <si>
    <t>Limpieza filtro manga</t>
  </si>
  <si>
    <t>Cambio filtro manga, purga 7 min gravedad</t>
  </si>
  <si>
    <t>Turno 13:00-20:00 (22/07/2026)</t>
  </si>
  <si>
    <t>Cambio manga por alta diferencial, bajo caudal ingreso 26 m3/h</t>
  </si>
  <si>
    <t>Purga 20 min gravedad</t>
  </si>
  <si>
    <t>Turno 21:00-03:00 (23/07/2026, anomalo tras reinicio de contador a las 04:00)</t>
  </si>
  <si>
    <t>Turno 07:00-13:00 (23/07/2026)</t>
  </si>
  <si>
    <t>Cambio de manga por alta diferencial, CEB alcalina, purga 10 min gravedad</t>
  </si>
  <si>
    <t>CEB acida y purga 10 min</t>
  </si>
  <si>
    <t>Turno 13:00-20:00 (23/07/2026)</t>
  </si>
  <si>
    <t>Cambio de manga por bajo caudal</t>
  </si>
  <si>
    <t>Purga de 20 min</t>
  </si>
  <si>
    <t>Se evidencia perdida de caudal 27 m3/h</t>
  </si>
  <si>
    <t>Turno 21:00-04:00 (24/07/2026, anomalo tras reinicio de contador a las 05:00)</t>
  </si>
  <si>
    <t>Turno 06:00-13:00 (24/07/2026)</t>
  </si>
  <si>
    <t>Turno 13:00-20:00 (24/07/2026)</t>
  </si>
  <si>
    <t>Purga 10 min por gravedad</t>
  </si>
  <si>
    <t>Cambio de manga por reduccion de caudal</t>
  </si>
  <si>
    <t>Turno 21:00-04:00 (25/07/2026, anomalo tras reinicio de contador a las 05:00)</t>
  </si>
  <si>
    <t>Turno 14:00-22:00 (26/07/2026, anomalo tras reinicio de contador a las 22:00)</t>
  </si>
  <si>
    <t>Turno 22:00-05:00 (26-27/07/2026)</t>
  </si>
  <si>
    <t>CEB acido por alta presion en TMP</t>
  </si>
  <si>
    <t>Purga 3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</si>
</sst>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9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2"/>
      <name val="Arial"/>
      <charset val="1"/>
    </font>
    <font>
      <i/>
      <sz val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FFFFFF"/>
      </patternFill>
    </fill>
    <fill>
      <patternFill patternType="solid">
        <fgColor rgb="FFE1BEE7"/>
        <bgColor rgb="FFC0C0C0"/>
      </patternFill>
    </fill>
    <fill>
      <patternFill patternType="solid">
        <fgColor rgb="FFD9EAD3"/>
        <bgColor rgb="FFFFF3C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0" fontId="6" fillId="0" borderId="1" xfId="0" applyFont="1" applyBorder="1"/>
    <xf numFmtId="2" fontId="0" fillId="0" borderId="0" xfId="0" applyNumberFormat="1"/>
    <xf numFmtId="0" fontId="3" fillId="4" borderId="1" xfId="0" applyFont="1" applyFill="1" applyBorder="1"/>
    <xf numFmtId="2" fontId="3" fillId="4" borderId="1" xfId="0" applyNumberFormat="1" applyFont="1" applyFill="1" applyBorder="1"/>
    <xf numFmtId="164" fontId="3" fillId="4" borderId="1" xfId="0" applyNumberFormat="1" applyFont="1" applyFill="1" applyBorder="1"/>
    <xf numFmtId="0" fontId="0" fillId="4" borderId="1" xfId="0" applyFill="1" applyBorder="1"/>
    <xf numFmtId="0" fontId="7" fillId="0" borderId="0" xfId="0" applyFont="1"/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E1B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2"/>
  <sheetViews>
    <sheetView showGridLines="0" tabSelected="1" topLeftCell="A318" zoomScaleNormal="100" workbookViewId="0">
      <selection activeCell="E329" sqref="E329"/>
    </sheetView>
  </sheetViews>
  <sheetFormatPr baseColWidth="10" defaultColWidth="8.7109375" defaultRowHeight="15" x14ac:dyDescent="0.25"/>
  <cols>
    <col min="1" max="1" width="42" customWidth="1"/>
    <col min="2" max="2" width="10" customWidth="1"/>
    <col min="3" max="3" width="16" customWidth="1"/>
    <col min="4" max="4" width="12" customWidth="1"/>
    <col min="5" max="5" width="16" customWidth="1"/>
    <col min="6" max="6" width="12" customWidth="1"/>
    <col min="7" max="7" width="55" customWidth="1"/>
    <col min="8" max="8" width="2" customWidth="1"/>
    <col min="9" max="12" width="16" customWidth="1"/>
  </cols>
  <sheetData>
    <row r="1" spans="1:10" ht="18" x14ac:dyDescent="0.25">
      <c r="A1" s="1" t="s">
        <v>0</v>
      </c>
      <c r="I1" s="2" t="s">
        <v>1</v>
      </c>
      <c r="J1" s="2" t="s">
        <v>2</v>
      </c>
    </row>
    <row r="3" spans="1:10" x14ac:dyDescent="0.25">
      <c r="A3" s="3" t="s">
        <v>3</v>
      </c>
      <c r="B3" s="4"/>
      <c r="C3" s="4"/>
      <c r="D3" s="4"/>
      <c r="E3" s="4"/>
      <c r="F3" s="4"/>
      <c r="G3" s="4"/>
    </row>
    <row r="4" spans="1:10" ht="45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 spans="1:10" x14ac:dyDescent="0.25">
      <c r="A5" s="6" t="s">
        <v>11</v>
      </c>
      <c r="B5" s="6">
        <v>20</v>
      </c>
      <c r="C5" s="7">
        <f t="shared" ref="C5:C12" si="0">B5/3.6</f>
        <v>5.5555555555555554</v>
      </c>
      <c r="D5" s="6">
        <v>18</v>
      </c>
      <c r="E5" s="7">
        <f t="shared" ref="E5:E12" si="1">D5/3.6</f>
        <v>5</v>
      </c>
      <c r="F5" s="8">
        <f t="shared" ref="F5:F13" si="2">IFERROR(D5/B5,0)</f>
        <v>0.9</v>
      </c>
      <c r="G5" s="9"/>
      <c r="I5" s="10">
        <f t="shared" ref="I5:I12" si="3">IF(B5&gt;0,C5,"")</f>
        <v>5.5555555555555554</v>
      </c>
      <c r="J5" s="10">
        <f t="shared" ref="J5:J12" si="4">IF(D5&gt;0,E5,"")</f>
        <v>5</v>
      </c>
    </row>
    <row r="6" spans="1:10" x14ac:dyDescent="0.25">
      <c r="A6" s="6" t="s">
        <v>12</v>
      </c>
      <c r="B6" s="6">
        <v>21</v>
      </c>
      <c r="C6" s="7">
        <f t="shared" si="0"/>
        <v>5.833333333333333</v>
      </c>
      <c r="D6" s="6">
        <v>19</v>
      </c>
      <c r="E6" s="7">
        <f t="shared" si="1"/>
        <v>5.2777777777777777</v>
      </c>
      <c r="F6" s="8">
        <f t="shared" si="2"/>
        <v>0.90476190476190477</v>
      </c>
      <c r="G6" s="9"/>
      <c r="I6" s="10">
        <f t="shared" si="3"/>
        <v>5.833333333333333</v>
      </c>
      <c r="J6" s="10">
        <f t="shared" si="4"/>
        <v>5.2777777777777777</v>
      </c>
    </row>
    <row r="7" spans="1:10" x14ac:dyDescent="0.25">
      <c r="A7" s="6" t="s">
        <v>13</v>
      </c>
      <c r="B7" s="6">
        <v>14</v>
      </c>
      <c r="C7" s="7">
        <f t="shared" si="0"/>
        <v>3.8888888888888888</v>
      </c>
      <c r="D7" s="6">
        <v>13</v>
      </c>
      <c r="E7" s="7">
        <f t="shared" si="1"/>
        <v>3.6111111111111112</v>
      </c>
      <c r="F7" s="8">
        <f t="shared" si="2"/>
        <v>0.9285714285714286</v>
      </c>
      <c r="G7" s="9" t="s">
        <v>14</v>
      </c>
      <c r="I7" s="10">
        <f t="shared" si="3"/>
        <v>3.8888888888888888</v>
      </c>
      <c r="J7" s="10">
        <f t="shared" si="4"/>
        <v>3.6111111111111112</v>
      </c>
    </row>
    <row r="8" spans="1:10" x14ac:dyDescent="0.25">
      <c r="A8" s="6" t="s">
        <v>15</v>
      </c>
      <c r="B8" s="6">
        <v>17</v>
      </c>
      <c r="C8" s="7">
        <f t="shared" si="0"/>
        <v>4.7222222222222223</v>
      </c>
      <c r="D8" s="6">
        <v>16</v>
      </c>
      <c r="E8" s="7">
        <f t="shared" si="1"/>
        <v>4.4444444444444446</v>
      </c>
      <c r="F8" s="8">
        <f t="shared" si="2"/>
        <v>0.94117647058823528</v>
      </c>
      <c r="G8" s="9" t="s">
        <v>16</v>
      </c>
      <c r="I8" s="10">
        <f t="shared" si="3"/>
        <v>4.7222222222222223</v>
      </c>
      <c r="J8" s="10">
        <f t="shared" si="4"/>
        <v>4.4444444444444446</v>
      </c>
    </row>
    <row r="9" spans="1:10" x14ac:dyDescent="0.25">
      <c r="A9" s="6" t="s">
        <v>17</v>
      </c>
      <c r="B9" s="6">
        <v>27</v>
      </c>
      <c r="C9" s="7">
        <f t="shared" si="0"/>
        <v>7.5</v>
      </c>
      <c r="D9" s="6">
        <v>24</v>
      </c>
      <c r="E9" s="7">
        <f t="shared" si="1"/>
        <v>6.6666666666666661</v>
      </c>
      <c r="F9" s="8">
        <f t="shared" si="2"/>
        <v>0.88888888888888884</v>
      </c>
      <c r="G9" s="9" t="s">
        <v>18</v>
      </c>
      <c r="I9" s="10">
        <f t="shared" si="3"/>
        <v>7.5</v>
      </c>
      <c r="J9" s="10">
        <f t="shared" si="4"/>
        <v>6.6666666666666661</v>
      </c>
    </row>
    <row r="10" spans="1:10" x14ac:dyDescent="0.25">
      <c r="A10" s="6" t="s">
        <v>19</v>
      </c>
      <c r="B10" s="6">
        <v>28</v>
      </c>
      <c r="C10" s="7">
        <f t="shared" si="0"/>
        <v>7.7777777777777777</v>
      </c>
      <c r="D10" s="6">
        <v>26</v>
      </c>
      <c r="E10" s="7">
        <f t="shared" si="1"/>
        <v>7.2222222222222223</v>
      </c>
      <c r="F10" s="8">
        <f t="shared" si="2"/>
        <v>0.9285714285714286</v>
      </c>
      <c r="G10" s="9"/>
      <c r="I10" s="10">
        <f t="shared" si="3"/>
        <v>7.7777777777777777</v>
      </c>
      <c r="J10" s="10">
        <f t="shared" si="4"/>
        <v>7.2222222222222223</v>
      </c>
    </row>
    <row r="11" spans="1:10" x14ac:dyDescent="0.25">
      <c r="A11" s="6" t="s">
        <v>20</v>
      </c>
      <c r="B11" s="6">
        <v>28</v>
      </c>
      <c r="C11" s="7">
        <f t="shared" si="0"/>
        <v>7.7777777777777777</v>
      </c>
      <c r="D11" s="6">
        <v>25</v>
      </c>
      <c r="E11" s="7">
        <f t="shared" si="1"/>
        <v>6.9444444444444446</v>
      </c>
      <c r="F11" s="8">
        <f t="shared" si="2"/>
        <v>0.8928571428571429</v>
      </c>
      <c r="G11" s="9" t="s">
        <v>21</v>
      </c>
      <c r="I11" s="10">
        <f t="shared" si="3"/>
        <v>7.7777777777777777</v>
      </c>
      <c r="J11" s="10">
        <f t="shared" si="4"/>
        <v>6.9444444444444446</v>
      </c>
    </row>
    <row r="12" spans="1:10" x14ac:dyDescent="0.25">
      <c r="A12" s="6" t="s">
        <v>22</v>
      </c>
      <c r="B12" s="6">
        <v>21</v>
      </c>
      <c r="C12" s="7">
        <f t="shared" si="0"/>
        <v>5.833333333333333</v>
      </c>
      <c r="D12" s="6">
        <v>19</v>
      </c>
      <c r="E12" s="7">
        <f t="shared" si="1"/>
        <v>5.2777777777777777</v>
      </c>
      <c r="F12" s="8">
        <f t="shared" si="2"/>
        <v>0.90476190476190477</v>
      </c>
      <c r="G12" s="9"/>
      <c r="I12" s="10">
        <f t="shared" si="3"/>
        <v>5.833333333333333</v>
      </c>
      <c r="J12" s="10">
        <f t="shared" si="4"/>
        <v>5.2777777777777777</v>
      </c>
    </row>
    <row r="13" spans="1:10" x14ac:dyDescent="0.25">
      <c r="A13" s="11" t="s">
        <v>23</v>
      </c>
      <c r="B13" s="11">
        <f>SUM(B5:B12)</f>
        <v>176</v>
      </c>
      <c r="C13" s="12">
        <f>AVERAGE(C5:C12)</f>
        <v>6.1111111111111116</v>
      </c>
      <c r="D13" s="11">
        <f>SUM(D5:D12)</f>
        <v>160</v>
      </c>
      <c r="E13" s="12">
        <f>AVERAGE(E5:E12)</f>
        <v>5.5555555555555554</v>
      </c>
      <c r="F13" s="13">
        <f t="shared" si="2"/>
        <v>0.90909090909090906</v>
      </c>
      <c r="G13" s="14"/>
    </row>
    <row r="15" spans="1:10" x14ac:dyDescent="0.25">
      <c r="A15" s="3" t="s">
        <v>24</v>
      </c>
      <c r="B15" s="4"/>
      <c r="C15" s="4"/>
      <c r="D15" s="4"/>
      <c r="E15" s="4"/>
      <c r="F15" s="4"/>
      <c r="G15" s="4"/>
    </row>
    <row r="16" spans="1:10" ht="45" x14ac:dyDescent="0.25">
      <c r="A16" s="5" t="s">
        <v>4</v>
      </c>
      <c r="B16" s="5" t="s">
        <v>5</v>
      </c>
      <c r="C16" s="5" t="s">
        <v>6</v>
      </c>
      <c r="D16" s="5" t="s">
        <v>7</v>
      </c>
      <c r="E16" s="5" t="s">
        <v>8</v>
      </c>
      <c r="F16" s="5" t="s">
        <v>9</v>
      </c>
      <c r="G16" s="5" t="s">
        <v>10</v>
      </c>
    </row>
    <row r="17" spans="1:10" x14ac:dyDescent="0.25">
      <c r="A17" s="6" t="s">
        <v>11</v>
      </c>
      <c r="B17" s="6">
        <v>16</v>
      </c>
      <c r="C17" s="7">
        <f t="shared" ref="C17:C24" si="5">B17/3.6</f>
        <v>4.4444444444444446</v>
      </c>
      <c r="D17" s="6">
        <v>22</v>
      </c>
      <c r="E17" s="7">
        <f t="shared" ref="E17:E24" si="6">D17/3.6</f>
        <v>6.1111111111111107</v>
      </c>
      <c r="F17" s="8">
        <f t="shared" ref="F17:F25" si="7">IFERROR(D17/B17,0)</f>
        <v>1.375</v>
      </c>
      <c r="G17" s="9"/>
      <c r="I17" s="10">
        <f t="shared" ref="I17:I24" si="8">IF(B17&gt;0,C17,"")</f>
        <v>4.4444444444444446</v>
      </c>
      <c r="J17" s="10">
        <f t="shared" ref="J17:J24" si="9">IF(D17&gt;0,E17,"")</f>
        <v>6.1111111111111107</v>
      </c>
    </row>
    <row r="18" spans="1:10" x14ac:dyDescent="0.25">
      <c r="A18" s="6" t="s">
        <v>12</v>
      </c>
      <c r="B18" s="6">
        <v>29</v>
      </c>
      <c r="C18" s="7">
        <f t="shared" si="5"/>
        <v>8.0555555555555554</v>
      </c>
      <c r="D18" s="6">
        <v>22</v>
      </c>
      <c r="E18" s="7">
        <f t="shared" si="6"/>
        <v>6.1111111111111107</v>
      </c>
      <c r="F18" s="8">
        <f t="shared" si="7"/>
        <v>0.75862068965517238</v>
      </c>
      <c r="G18" s="9"/>
      <c r="I18" s="10">
        <f t="shared" si="8"/>
        <v>8.0555555555555554</v>
      </c>
      <c r="J18" s="10">
        <f t="shared" si="9"/>
        <v>6.1111111111111107</v>
      </c>
    </row>
    <row r="19" spans="1:10" x14ac:dyDescent="0.25">
      <c r="A19" s="6" t="s">
        <v>13</v>
      </c>
      <c r="B19" s="6">
        <v>36</v>
      </c>
      <c r="C19" s="7">
        <f t="shared" si="5"/>
        <v>10</v>
      </c>
      <c r="D19" s="6">
        <v>32</v>
      </c>
      <c r="E19" s="7">
        <f t="shared" si="6"/>
        <v>8.8888888888888893</v>
      </c>
      <c r="F19" s="8">
        <f t="shared" si="7"/>
        <v>0.88888888888888884</v>
      </c>
      <c r="G19" s="9"/>
      <c r="I19" s="10">
        <f t="shared" si="8"/>
        <v>10</v>
      </c>
      <c r="J19" s="10">
        <f t="shared" si="9"/>
        <v>8.8888888888888893</v>
      </c>
    </row>
    <row r="20" spans="1:10" x14ac:dyDescent="0.25">
      <c r="A20" s="6" t="s">
        <v>15</v>
      </c>
      <c r="B20" s="6">
        <v>20</v>
      </c>
      <c r="C20" s="7">
        <f t="shared" si="5"/>
        <v>5.5555555555555554</v>
      </c>
      <c r="D20" s="6">
        <v>19</v>
      </c>
      <c r="E20" s="7">
        <f t="shared" si="6"/>
        <v>5.2777777777777777</v>
      </c>
      <c r="F20" s="8">
        <f t="shared" si="7"/>
        <v>0.95</v>
      </c>
      <c r="G20" s="9" t="s">
        <v>25</v>
      </c>
      <c r="I20" s="10">
        <f t="shared" si="8"/>
        <v>5.5555555555555554</v>
      </c>
      <c r="J20" s="10">
        <f t="shared" si="9"/>
        <v>5.2777777777777777</v>
      </c>
    </row>
    <row r="21" spans="1:10" x14ac:dyDescent="0.25">
      <c r="A21" s="6" t="s">
        <v>17</v>
      </c>
      <c r="B21" s="6">
        <v>25</v>
      </c>
      <c r="C21" s="7">
        <f t="shared" si="5"/>
        <v>6.9444444444444446</v>
      </c>
      <c r="D21" s="6">
        <v>24</v>
      </c>
      <c r="E21" s="7">
        <f t="shared" si="6"/>
        <v>6.6666666666666661</v>
      </c>
      <c r="F21" s="8">
        <f t="shared" si="7"/>
        <v>0.96</v>
      </c>
      <c r="G21" s="9"/>
      <c r="I21" s="10">
        <f t="shared" si="8"/>
        <v>6.9444444444444446</v>
      </c>
      <c r="J21" s="10">
        <f t="shared" si="9"/>
        <v>6.6666666666666661</v>
      </c>
    </row>
    <row r="22" spans="1:10" x14ac:dyDescent="0.25">
      <c r="A22" s="6" t="s">
        <v>19</v>
      </c>
      <c r="B22" s="6">
        <v>16</v>
      </c>
      <c r="C22" s="7">
        <f t="shared" si="5"/>
        <v>4.4444444444444446</v>
      </c>
      <c r="D22" s="6">
        <v>16</v>
      </c>
      <c r="E22" s="7">
        <f t="shared" si="6"/>
        <v>4.4444444444444446</v>
      </c>
      <c r="F22" s="8">
        <f t="shared" si="7"/>
        <v>1</v>
      </c>
      <c r="G22" s="9"/>
      <c r="I22" s="10">
        <f t="shared" si="8"/>
        <v>4.4444444444444446</v>
      </c>
      <c r="J22" s="10">
        <f t="shared" si="9"/>
        <v>4.4444444444444446</v>
      </c>
    </row>
    <row r="23" spans="1:10" x14ac:dyDescent="0.25">
      <c r="A23" s="6" t="s">
        <v>20</v>
      </c>
      <c r="B23" s="6">
        <v>11</v>
      </c>
      <c r="C23" s="7">
        <f t="shared" si="5"/>
        <v>3.0555555555555554</v>
      </c>
      <c r="D23" s="6">
        <v>14</v>
      </c>
      <c r="E23" s="7">
        <f t="shared" si="6"/>
        <v>3.8888888888888888</v>
      </c>
      <c r="F23" s="8">
        <f t="shared" si="7"/>
        <v>1.2727272727272727</v>
      </c>
      <c r="G23" s="9" t="s">
        <v>26</v>
      </c>
      <c r="I23" s="10">
        <f t="shared" si="8"/>
        <v>3.0555555555555554</v>
      </c>
      <c r="J23" s="10">
        <f t="shared" si="9"/>
        <v>3.8888888888888888</v>
      </c>
    </row>
    <row r="24" spans="1:10" x14ac:dyDescent="0.25">
      <c r="A24" s="6" t="s">
        <v>22</v>
      </c>
      <c r="B24" s="6">
        <v>21</v>
      </c>
      <c r="C24" s="7">
        <f t="shared" si="5"/>
        <v>5.833333333333333</v>
      </c>
      <c r="D24" s="6">
        <v>13</v>
      </c>
      <c r="E24" s="7">
        <f t="shared" si="6"/>
        <v>3.6111111111111112</v>
      </c>
      <c r="F24" s="8">
        <f t="shared" si="7"/>
        <v>0.61904761904761907</v>
      </c>
      <c r="G24" s="9" t="s">
        <v>27</v>
      </c>
      <c r="I24" s="10">
        <f t="shared" si="8"/>
        <v>5.833333333333333</v>
      </c>
      <c r="J24" s="10">
        <f t="shared" si="9"/>
        <v>3.6111111111111112</v>
      </c>
    </row>
    <row r="25" spans="1:10" x14ac:dyDescent="0.25">
      <c r="A25" s="11" t="s">
        <v>23</v>
      </c>
      <c r="B25" s="11">
        <f>SUM(B17:B24)</f>
        <v>174</v>
      </c>
      <c r="C25" s="12">
        <f>AVERAGE(C17:C24)</f>
        <v>6.041666666666667</v>
      </c>
      <c r="D25" s="11">
        <f>SUM(D17:D24)</f>
        <v>162</v>
      </c>
      <c r="E25" s="12">
        <f>AVERAGE(E17:E24)</f>
        <v>5.625</v>
      </c>
      <c r="F25" s="13">
        <f t="shared" si="7"/>
        <v>0.93103448275862066</v>
      </c>
      <c r="G25" s="14"/>
    </row>
    <row r="27" spans="1:10" x14ac:dyDescent="0.25">
      <c r="A27" s="3" t="s">
        <v>28</v>
      </c>
      <c r="B27" s="4"/>
      <c r="C27" s="4"/>
      <c r="D27" s="4"/>
      <c r="E27" s="4"/>
      <c r="F27" s="4"/>
      <c r="G27" s="4"/>
    </row>
    <row r="28" spans="1:10" ht="45" x14ac:dyDescent="0.25">
      <c r="A28" s="5" t="s">
        <v>4</v>
      </c>
      <c r="B28" s="5" t="s">
        <v>5</v>
      </c>
      <c r="C28" s="5" t="s">
        <v>6</v>
      </c>
      <c r="D28" s="5" t="s">
        <v>7</v>
      </c>
      <c r="E28" s="5" t="s">
        <v>8</v>
      </c>
      <c r="F28" s="5" t="s">
        <v>9</v>
      </c>
      <c r="G28" s="5" t="s">
        <v>10</v>
      </c>
    </row>
    <row r="29" spans="1:10" x14ac:dyDescent="0.25">
      <c r="A29" s="6" t="s">
        <v>29</v>
      </c>
      <c r="B29" s="6">
        <v>7</v>
      </c>
      <c r="C29" s="7">
        <f t="shared" ref="C29:C36" si="10">B29/3.6</f>
        <v>1.9444444444444444</v>
      </c>
      <c r="D29" s="6">
        <v>6</v>
      </c>
      <c r="E29" s="7">
        <f t="shared" ref="E29:E36" si="11">D29/3.6</f>
        <v>1.6666666666666665</v>
      </c>
      <c r="F29" s="8">
        <f t="shared" ref="F29:F37" si="12">IFERROR(D29/B29,0)</f>
        <v>0.8571428571428571</v>
      </c>
      <c r="G29" s="9"/>
      <c r="I29" s="10">
        <f t="shared" ref="I29:I36" si="13">IF(B29&gt;0,C29,"")</f>
        <v>1.9444444444444444</v>
      </c>
      <c r="J29" s="10">
        <f t="shared" ref="J29:J36" si="14">IF(D29&gt;0,E29,"")</f>
        <v>1.6666666666666665</v>
      </c>
    </row>
    <row r="30" spans="1:10" x14ac:dyDescent="0.25">
      <c r="A30" s="6" t="s">
        <v>30</v>
      </c>
      <c r="B30" s="6">
        <v>3</v>
      </c>
      <c r="C30" s="7">
        <f t="shared" si="10"/>
        <v>0.83333333333333326</v>
      </c>
      <c r="D30" s="6">
        <v>2</v>
      </c>
      <c r="E30" s="7">
        <f t="shared" si="11"/>
        <v>0.55555555555555558</v>
      </c>
      <c r="F30" s="8">
        <f t="shared" si="12"/>
        <v>0.66666666666666663</v>
      </c>
      <c r="G30" s="9" t="s">
        <v>31</v>
      </c>
      <c r="I30" s="10">
        <f t="shared" si="13"/>
        <v>0.83333333333333326</v>
      </c>
      <c r="J30" s="10">
        <f t="shared" si="14"/>
        <v>0.55555555555555558</v>
      </c>
    </row>
    <row r="31" spans="1:10" x14ac:dyDescent="0.25">
      <c r="A31" s="6" t="s">
        <v>32</v>
      </c>
      <c r="B31" s="6">
        <v>8</v>
      </c>
      <c r="C31" s="7">
        <f t="shared" si="10"/>
        <v>2.2222222222222223</v>
      </c>
      <c r="D31" s="6">
        <v>7</v>
      </c>
      <c r="E31" s="7">
        <f t="shared" si="11"/>
        <v>1.9444444444444444</v>
      </c>
      <c r="F31" s="8">
        <f t="shared" si="12"/>
        <v>0.875</v>
      </c>
      <c r="G31" s="9"/>
      <c r="I31" s="10">
        <f t="shared" si="13"/>
        <v>2.2222222222222223</v>
      </c>
      <c r="J31" s="10">
        <f t="shared" si="14"/>
        <v>1.9444444444444444</v>
      </c>
    </row>
    <row r="32" spans="1:10" x14ac:dyDescent="0.25">
      <c r="A32" s="6" t="s">
        <v>33</v>
      </c>
      <c r="B32" s="6">
        <v>2</v>
      </c>
      <c r="C32" s="7">
        <f t="shared" si="10"/>
        <v>0.55555555555555558</v>
      </c>
      <c r="D32" s="6">
        <v>4</v>
      </c>
      <c r="E32" s="7">
        <f t="shared" si="11"/>
        <v>1.1111111111111112</v>
      </c>
      <c r="F32" s="8">
        <f t="shared" si="12"/>
        <v>2</v>
      </c>
      <c r="G32" s="9"/>
      <c r="I32" s="10">
        <f t="shared" si="13"/>
        <v>0.55555555555555558</v>
      </c>
      <c r="J32" s="10">
        <f t="shared" si="14"/>
        <v>1.1111111111111112</v>
      </c>
    </row>
    <row r="33" spans="1:10" x14ac:dyDescent="0.25">
      <c r="A33" s="6" t="s">
        <v>34</v>
      </c>
      <c r="B33" s="6">
        <v>18</v>
      </c>
      <c r="C33" s="7">
        <f t="shared" si="10"/>
        <v>5</v>
      </c>
      <c r="D33" s="6">
        <v>10</v>
      </c>
      <c r="E33" s="7">
        <f t="shared" si="11"/>
        <v>2.7777777777777777</v>
      </c>
      <c r="F33" s="8">
        <f t="shared" si="12"/>
        <v>0.55555555555555558</v>
      </c>
      <c r="G33" s="9"/>
      <c r="I33" s="10">
        <f t="shared" si="13"/>
        <v>5</v>
      </c>
      <c r="J33" s="10">
        <f t="shared" si="14"/>
        <v>2.7777777777777777</v>
      </c>
    </row>
    <row r="34" spans="1:10" x14ac:dyDescent="0.25">
      <c r="A34" s="6" t="s">
        <v>35</v>
      </c>
      <c r="B34" s="6">
        <v>13</v>
      </c>
      <c r="C34" s="7">
        <f t="shared" si="10"/>
        <v>3.6111111111111112</v>
      </c>
      <c r="D34" s="6">
        <v>11</v>
      </c>
      <c r="E34" s="7">
        <f t="shared" si="11"/>
        <v>3.0555555555555554</v>
      </c>
      <c r="F34" s="8">
        <f t="shared" si="12"/>
        <v>0.84615384615384615</v>
      </c>
      <c r="G34" s="9"/>
      <c r="I34" s="10">
        <f t="shared" si="13"/>
        <v>3.6111111111111112</v>
      </c>
      <c r="J34" s="10">
        <f t="shared" si="14"/>
        <v>3.0555555555555554</v>
      </c>
    </row>
    <row r="35" spans="1:10" x14ac:dyDescent="0.25">
      <c r="A35" s="6" t="s">
        <v>36</v>
      </c>
      <c r="B35" s="6">
        <v>19</v>
      </c>
      <c r="C35" s="7">
        <f t="shared" si="10"/>
        <v>5.2777777777777777</v>
      </c>
      <c r="D35" s="6">
        <v>18</v>
      </c>
      <c r="E35" s="7">
        <f t="shared" si="11"/>
        <v>5</v>
      </c>
      <c r="F35" s="8">
        <f t="shared" si="12"/>
        <v>0.94736842105263153</v>
      </c>
      <c r="G35" s="9"/>
      <c r="I35" s="10">
        <f t="shared" si="13"/>
        <v>5.2777777777777777</v>
      </c>
      <c r="J35" s="10">
        <f t="shared" si="14"/>
        <v>5</v>
      </c>
    </row>
    <row r="36" spans="1:10" x14ac:dyDescent="0.25">
      <c r="A36" s="6" t="s">
        <v>11</v>
      </c>
      <c r="B36" s="6">
        <v>24</v>
      </c>
      <c r="C36" s="7">
        <f t="shared" si="10"/>
        <v>6.6666666666666661</v>
      </c>
      <c r="D36" s="6">
        <v>24</v>
      </c>
      <c r="E36" s="7">
        <f t="shared" si="11"/>
        <v>6.6666666666666661</v>
      </c>
      <c r="F36" s="8">
        <f t="shared" si="12"/>
        <v>1</v>
      </c>
      <c r="G36" s="9"/>
      <c r="I36" s="10">
        <f t="shared" si="13"/>
        <v>6.6666666666666661</v>
      </c>
      <c r="J36" s="10">
        <f t="shared" si="14"/>
        <v>6.6666666666666661</v>
      </c>
    </row>
    <row r="37" spans="1:10" x14ac:dyDescent="0.25">
      <c r="A37" s="11" t="s">
        <v>23</v>
      </c>
      <c r="B37" s="11">
        <f>SUM(B29:B36)</f>
        <v>94</v>
      </c>
      <c r="C37" s="12">
        <f>AVERAGE(C29:C36)</f>
        <v>3.2638888888888884</v>
      </c>
      <c r="D37" s="11">
        <f>SUM(D29:D36)</f>
        <v>82</v>
      </c>
      <c r="E37" s="12">
        <f>AVERAGE(E29:E36)</f>
        <v>2.8472222222222223</v>
      </c>
      <c r="F37" s="13">
        <f t="shared" si="12"/>
        <v>0.87234042553191493</v>
      </c>
      <c r="G37" s="14"/>
    </row>
    <row r="39" spans="1:10" x14ac:dyDescent="0.25">
      <c r="A39" s="3" t="s">
        <v>37</v>
      </c>
      <c r="B39" s="4"/>
      <c r="C39" s="4"/>
      <c r="D39" s="4"/>
      <c r="E39" s="4"/>
      <c r="F39" s="4"/>
      <c r="G39" s="4"/>
    </row>
    <row r="40" spans="1:10" ht="45" x14ac:dyDescent="0.25">
      <c r="A40" s="5" t="s">
        <v>4</v>
      </c>
      <c r="B40" s="5" t="s">
        <v>5</v>
      </c>
      <c r="C40" s="5" t="s">
        <v>6</v>
      </c>
      <c r="D40" s="5" t="s">
        <v>7</v>
      </c>
      <c r="E40" s="5" t="s">
        <v>8</v>
      </c>
      <c r="F40" s="5" t="s">
        <v>9</v>
      </c>
      <c r="G40" s="5" t="s">
        <v>10</v>
      </c>
    </row>
    <row r="41" spans="1:10" x14ac:dyDescent="0.25">
      <c r="A41" s="6" t="s">
        <v>29</v>
      </c>
      <c r="B41" s="6">
        <v>35</v>
      </c>
      <c r="C41" s="7">
        <f t="shared" ref="C41:C48" si="15">B41/3.6</f>
        <v>9.7222222222222214</v>
      </c>
      <c r="D41" s="6">
        <v>30</v>
      </c>
      <c r="E41" s="7">
        <f t="shared" ref="E41:E48" si="16">D41/3.6</f>
        <v>8.3333333333333339</v>
      </c>
      <c r="F41" s="8">
        <f t="shared" ref="F41:F49" si="17">IFERROR(D41/B41,0)</f>
        <v>0.8571428571428571</v>
      </c>
      <c r="G41" s="9" t="s">
        <v>38</v>
      </c>
      <c r="I41" s="10">
        <f t="shared" ref="I41:I48" si="18">IF(B41&gt;0,C41,"")</f>
        <v>9.7222222222222214</v>
      </c>
      <c r="J41" s="10">
        <f t="shared" ref="J41:J48" si="19">IF(D41&gt;0,E41,"")</f>
        <v>8.3333333333333339</v>
      </c>
    </row>
    <row r="42" spans="1:10" x14ac:dyDescent="0.25">
      <c r="A42" s="6" t="s">
        <v>30</v>
      </c>
      <c r="B42" s="6">
        <v>20</v>
      </c>
      <c r="C42" s="7">
        <f t="shared" si="15"/>
        <v>5.5555555555555554</v>
      </c>
      <c r="D42" s="6">
        <v>20</v>
      </c>
      <c r="E42" s="7">
        <f t="shared" si="16"/>
        <v>5.5555555555555554</v>
      </c>
      <c r="F42" s="8">
        <f t="shared" si="17"/>
        <v>1</v>
      </c>
      <c r="G42" s="9" t="s">
        <v>38</v>
      </c>
      <c r="I42" s="10">
        <f t="shared" si="18"/>
        <v>5.5555555555555554</v>
      </c>
      <c r="J42" s="10">
        <f t="shared" si="19"/>
        <v>5.5555555555555554</v>
      </c>
    </row>
    <row r="43" spans="1:10" x14ac:dyDescent="0.25">
      <c r="A43" s="6" t="s">
        <v>32</v>
      </c>
      <c r="B43" s="6">
        <v>22</v>
      </c>
      <c r="C43" s="7">
        <f t="shared" si="15"/>
        <v>6.1111111111111107</v>
      </c>
      <c r="D43" s="6">
        <v>21</v>
      </c>
      <c r="E43" s="7">
        <f t="shared" si="16"/>
        <v>5.833333333333333</v>
      </c>
      <c r="F43" s="8">
        <f t="shared" si="17"/>
        <v>0.95454545454545459</v>
      </c>
      <c r="G43" s="9" t="s">
        <v>38</v>
      </c>
      <c r="I43" s="10">
        <f t="shared" si="18"/>
        <v>6.1111111111111107</v>
      </c>
      <c r="J43" s="10">
        <f t="shared" si="19"/>
        <v>5.833333333333333</v>
      </c>
    </row>
    <row r="44" spans="1:10" x14ac:dyDescent="0.25">
      <c r="A44" s="6" t="s">
        <v>33</v>
      </c>
      <c r="B44" s="6">
        <v>21</v>
      </c>
      <c r="C44" s="7">
        <f t="shared" si="15"/>
        <v>5.833333333333333</v>
      </c>
      <c r="D44" s="6">
        <v>21</v>
      </c>
      <c r="E44" s="7">
        <f t="shared" si="16"/>
        <v>5.833333333333333</v>
      </c>
      <c r="F44" s="8">
        <f t="shared" si="17"/>
        <v>1</v>
      </c>
      <c r="G44" s="9"/>
      <c r="I44" s="10">
        <f t="shared" si="18"/>
        <v>5.833333333333333</v>
      </c>
      <c r="J44" s="10">
        <f t="shared" si="19"/>
        <v>5.833333333333333</v>
      </c>
    </row>
    <row r="45" spans="1:10" x14ac:dyDescent="0.25">
      <c r="A45" s="6" t="s">
        <v>34</v>
      </c>
      <c r="B45" s="6">
        <v>14</v>
      </c>
      <c r="C45" s="7">
        <f t="shared" si="15"/>
        <v>3.8888888888888888</v>
      </c>
      <c r="D45" s="6">
        <v>14</v>
      </c>
      <c r="E45" s="7">
        <f t="shared" si="16"/>
        <v>3.8888888888888888</v>
      </c>
      <c r="F45" s="8">
        <f t="shared" si="17"/>
        <v>1</v>
      </c>
      <c r="G45" s="9"/>
      <c r="I45" s="10">
        <f t="shared" si="18"/>
        <v>3.8888888888888888</v>
      </c>
      <c r="J45" s="10">
        <f t="shared" si="19"/>
        <v>3.8888888888888888</v>
      </c>
    </row>
    <row r="46" spans="1:10" x14ac:dyDescent="0.25">
      <c r="A46" s="6" t="s">
        <v>35</v>
      </c>
      <c r="B46" s="6">
        <v>26</v>
      </c>
      <c r="C46" s="7">
        <f t="shared" si="15"/>
        <v>7.2222222222222223</v>
      </c>
      <c r="D46" s="6">
        <v>25</v>
      </c>
      <c r="E46" s="7">
        <f t="shared" si="16"/>
        <v>6.9444444444444446</v>
      </c>
      <c r="F46" s="8">
        <f t="shared" si="17"/>
        <v>0.96153846153846156</v>
      </c>
      <c r="G46" s="9" t="s">
        <v>38</v>
      </c>
      <c r="I46" s="10">
        <f t="shared" si="18"/>
        <v>7.2222222222222223</v>
      </c>
      <c r="J46" s="10">
        <f t="shared" si="19"/>
        <v>6.9444444444444446</v>
      </c>
    </row>
    <row r="47" spans="1:10" x14ac:dyDescent="0.25">
      <c r="A47" s="6" t="s">
        <v>36</v>
      </c>
      <c r="B47" s="6">
        <v>27</v>
      </c>
      <c r="C47" s="7">
        <f t="shared" si="15"/>
        <v>7.5</v>
      </c>
      <c r="D47" s="6">
        <v>22</v>
      </c>
      <c r="E47" s="7">
        <f t="shared" si="16"/>
        <v>6.1111111111111107</v>
      </c>
      <c r="F47" s="8">
        <f t="shared" si="17"/>
        <v>0.81481481481481477</v>
      </c>
      <c r="G47" s="9" t="s">
        <v>39</v>
      </c>
      <c r="I47" s="10">
        <f t="shared" si="18"/>
        <v>7.5</v>
      </c>
      <c r="J47" s="10">
        <f t="shared" si="19"/>
        <v>6.1111111111111107</v>
      </c>
    </row>
    <row r="48" spans="1:10" x14ac:dyDescent="0.25">
      <c r="A48" s="6" t="s">
        <v>11</v>
      </c>
      <c r="B48" s="6">
        <v>1</v>
      </c>
      <c r="C48" s="7">
        <f t="shared" si="15"/>
        <v>0.27777777777777779</v>
      </c>
      <c r="D48" s="6">
        <v>1</v>
      </c>
      <c r="E48" s="7">
        <f t="shared" si="16"/>
        <v>0.27777777777777779</v>
      </c>
      <c r="F48" s="8">
        <f t="shared" si="17"/>
        <v>1</v>
      </c>
      <c r="G48" s="9"/>
      <c r="I48" s="10">
        <f t="shared" si="18"/>
        <v>0.27777777777777779</v>
      </c>
      <c r="J48" s="10">
        <f t="shared" si="19"/>
        <v>0.27777777777777779</v>
      </c>
    </row>
    <row r="49" spans="1:10" x14ac:dyDescent="0.25">
      <c r="A49" s="11" t="s">
        <v>23</v>
      </c>
      <c r="B49" s="11">
        <f>SUM(B41:B48)</f>
        <v>166</v>
      </c>
      <c r="C49" s="12">
        <f>AVERAGE(C41:C48)</f>
        <v>5.7638888888888884</v>
      </c>
      <c r="D49" s="11">
        <f>SUM(D41:D48)</f>
        <v>154</v>
      </c>
      <c r="E49" s="12">
        <f>AVERAGE(E41:E48)</f>
        <v>5.3472222222222223</v>
      </c>
      <c r="F49" s="13">
        <f t="shared" si="17"/>
        <v>0.92771084337349397</v>
      </c>
      <c r="G49" s="14"/>
    </row>
    <row r="51" spans="1:10" x14ac:dyDescent="0.25">
      <c r="A51" s="3" t="s">
        <v>40</v>
      </c>
      <c r="B51" s="4"/>
      <c r="C51" s="4"/>
      <c r="D51" s="4"/>
      <c r="E51" s="4"/>
      <c r="F51" s="4"/>
      <c r="G51" s="4"/>
    </row>
    <row r="52" spans="1:10" ht="45" x14ac:dyDescent="0.25">
      <c r="A52" s="5" t="s">
        <v>4</v>
      </c>
      <c r="B52" s="5" t="s">
        <v>5</v>
      </c>
      <c r="C52" s="5" t="s">
        <v>6</v>
      </c>
      <c r="D52" s="5" t="s">
        <v>7</v>
      </c>
      <c r="E52" s="5" t="s">
        <v>8</v>
      </c>
      <c r="F52" s="5" t="s">
        <v>9</v>
      </c>
      <c r="G52" s="5" t="s">
        <v>10</v>
      </c>
    </row>
    <row r="53" spans="1:10" x14ac:dyDescent="0.25">
      <c r="A53" s="6" t="s">
        <v>29</v>
      </c>
      <c r="B53" s="6">
        <v>42</v>
      </c>
      <c r="C53" s="7">
        <f t="shared" ref="C53:C60" si="20">B53/3.6</f>
        <v>11.666666666666666</v>
      </c>
      <c r="D53" s="6">
        <v>42</v>
      </c>
      <c r="E53" s="7">
        <f t="shared" ref="E53:E60" si="21">D53/3.6</f>
        <v>11.666666666666666</v>
      </c>
      <c r="F53" s="8">
        <f t="shared" ref="F53:F61" si="22">IFERROR(D53/B53,0)</f>
        <v>1</v>
      </c>
      <c r="G53" s="9" t="s">
        <v>38</v>
      </c>
      <c r="I53" s="10">
        <f t="shared" ref="I53:I60" si="23">IF(B53&gt;0,C53,"")</f>
        <v>11.666666666666666</v>
      </c>
      <c r="J53" s="10">
        <f t="shared" ref="J53:J60" si="24">IF(D53&gt;0,E53,"")</f>
        <v>11.666666666666666</v>
      </c>
    </row>
    <row r="54" spans="1:10" x14ac:dyDescent="0.25">
      <c r="A54" s="6" t="s">
        <v>30</v>
      </c>
      <c r="B54" s="6">
        <v>11</v>
      </c>
      <c r="C54" s="7">
        <f t="shared" si="20"/>
        <v>3.0555555555555554</v>
      </c>
      <c r="D54" s="6">
        <v>7</v>
      </c>
      <c r="E54" s="7">
        <f t="shared" si="21"/>
        <v>1.9444444444444444</v>
      </c>
      <c r="F54" s="8">
        <f t="shared" si="22"/>
        <v>0.63636363636363635</v>
      </c>
      <c r="G54" s="9"/>
      <c r="I54" s="10">
        <f t="shared" si="23"/>
        <v>3.0555555555555554</v>
      </c>
      <c r="J54" s="10">
        <f t="shared" si="24"/>
        <v>1.9444444444444444</v>
      </c>
    </row>
    <row r="55" spans="1:10" x14ac:dyDescent="0.25">
      <c r="A55" s="6" t="s">
        <v>32</v>
      </c>
      <c r="B55" s="6">
        <v>20</v>
      </c>
      <c r="C55" s="7">
        <f t="shared" si="20"/>
        <v>5.5555555555555554</v>
      </c>
      <c r="D55" s="6">
        <v>19</v>
      </c>
      <c r="E55" s="7">
        <f t="shared" si="21"/>
        <v>5.2777777777777777</v>
      </c>
      <c r="F55" s="8">
        <f t="shared" si="22"/>
        <v>0.95</v>
      </c>
      <c r="G55" s="9" t="s">
        <v>41</v>
      </c>
      <c r="I55" s="10">
        <f t="shared" si="23"/>
        <v>5.5555555555555554</v>
      </c>
      <c r="J55" s="10">
        <f t="shared" si="24"/>
        <v>5.2777777777777777</v>
      </c>
    </row>
    <row r="56" spans="1:10" x14ac:dyDescent="0.25">
      <c r="A56" s="6" t="s">
        <v>33</v>
      </c>
      <c r="B56" s="6">
        <v>30</v>
      </c>
      <c r="C56" s="7">
        <f t="shared" si="20"/>
        <v>8.3333333333333339</v>
      </c>
      <c r="D56" s="6">
        <v>29</v>
      </c>
      <c r="E56" s="7">
        <f t="shared" si="21"/>
        <v>8.0555555555555554</v>
      </c>
      <c r="F56" s="8">
        <f t="shared" si="22"/>
        <v>0.96666666666666667</v>
      </c>
      <c r="G56" s="9" t="s">
        <v>25</v>
      </c>
      <c r="I56" s="10">
        <f t="shared" si="23"/>
        <v>8.3333333333333339</v>
      </c>
      <c r="J56" s="10">
        <f t="shared" si="24"/>
        <v>8.0555555555555554</v>
      </c>
    </row>
    <row r="57" spans="1:10" x14ac:dyDescent="0.25">
      <c r="A57" s="6" t="s">
        <v>34</v>
      </c>
      <c r="B57" s="6">
        <v>11</v>
      </c>
      <c r="C57" s="7">
        <f t="shared" si="20"/>
        <v>3.0555555555555554</v>
      </c>
      <c r="D57" s="6">
        <v>12</v>
      </c>
      <c r="E57" s="7">
        <f t="shared" si="21"/>
        <v>3.333333333333333</v>
      </c>
      <c r="F57" s="8">
        <f t="shared" si="22"/>
        <v>1.0909090909090908</v>
      </c>
      <c r="G57" s="9"/>
      <c r="I57" s="10">
        <f t="shared" si="23"/>
        <v>3.0555555555555554</v>
      </c>
      <c r="J57" s="10">
        <f t="shared" si="24"/>
        <v>3.333333333333333</v>
      </c>
    </row>
    <row r="58" spans="1:10" x14ac:dyDescent="0.25">
      <c r="A58" s="6" t="s">
        <v>35</v>
      </c>
      <c r="B58" s="6">
        <v>28</v>
      </c>
      <c r="C58" s="7">
        <f t="shared" si="20"/>
        <v>7.7777777777777777</v>
      </c>
      <c r="D58" s="6">
        <v>27</v>
      </c>
      <c r="E58" s="7">
        <f t="shared" si="21"/>
        <v>7.5</v>
      </c>
      <c r="F58" s="8">
        <f t="shared" si="22"/>
        <v>0.9642857142857143</v>
      </c>
      <c r="G58" s="9"/>
      <c r="I58" s="10">
        <f t="shared" si="23"/>
        <v>7.7777777777777777</v>
      </c>
      <c r="J58" s="10">
        <f t="shared" si="24"/>
        <v>7.5</v>
      </c>
    </row>
    <row r="59" spans="1:10" x14ac:dyDescent="0.25">
      <c r="A59" s="6" t="s">
        <v>36</v>
      </c>
      <c r="B59" s="6">
        <v>23</v>
      </c>
      <c r="C59" s="7">
        <f t="shared" si="20"/>
        <v>6.3888888888888884</v>
      </c>
      <c r="D59" s="6">
        <v>22</v>
      </c>
      <c r="E59" s="7">
        <f t="shared" si="21"/>
        <v>6.1111111111111107</v>
      </c>
      <c r="F59" s="8">
        <f t="shared" si="22"/>
        <v>0.95652173913043481</v>
      </c>
      <c r="G59" s="9" t="s">
        <v>38</v>
      </c>
      <c r="I59" s="10">
        <f t="shared" si="23"/>
        <v>6.3888888888888884</v>
      </c>
      <c r="J59" s="10">
        <f t="shared" si="24"/>
        <v>6.1111111111111107</v>
      </c>
    </row>
    <row r="60" spans="1:10" x14ac:dyDescent="0.25">
      <c r="A60" s="6" t="s">
        <v>11</v>
      </c>
      <c r="B60" s="6">
        <v>13</v>
      </c>
      <c r="C60" s="7">
        <f t="shared" si="20"/>
        <v>3.6111111111111112</v>
      </c>
      <c r="D60" s="6">
        <v>12</v>
      </c>
      <c r="E60" s="7">
        <f t="shared" si="21"/>
        <v>3.333333333333333</v>
      </c>
      <c r="F60" s="8">
        <f t="shared" si="22"/>
        <v>0.92307692307692313</v>
      </c>
      <c r="G60" s="9"/>
      <c r="I60" s="10">
        <f t="shared" si="23"/>
        <v>3.6111111111111112</v>
      </c>
      <c r="J60" s="10">
        <f t="shared" si="24"/>
        <v>3.333333333333333</v>
      </c>
    </row>
    <row r="61" spans="1:10" x14ac:dyDescent="0.25">
      <c r="A61" s="11" t="s">
        <v>23</v>
      </c>
      <c r="B61" s="11">
        <f>SUM(B53:B60)</f>
        <v>178</v>
      </c>
      <c r="C61" s="12">
        <f>AVERAGE(C53:C60)</f>
        <v>6.1805555555555562</v>
      </c>
      <c r="D61" s="11">
        <f>SUM(D53:D60)</f>
        <v>170</v>
      </c>
      <c r="E61" s="12">
        <f>AVERAGE(E53:E60)</f>
        <v>5.9027777777777777</v>
      </c>
      <c r="F61" s="13">
        <f t="shared" si="22"/>
        <v>0.9550561797752809</v>
      </c>
      <c r="G61" s="14"/>
    </row>
    <row r="63" spans="1:10" x14ac:dyDescent="0.25">
      <c r="A63" s="3" t="s">
        <v>42</v>
      </c>
      <c r="B63" s="4"/>
      <c r="C63" s="4"/>
      <c r="D63" s="4"/>
      <c r="E63" s="4"/>
      <c r="F63" s="4"/>
      <c r="G63" s="4"/>
    </row>
    <row r="64" spans="1:10" ht="45" x14ac:dyDescent="0.25">
      <c r="A64" s="5" t="s">
        <v>4</v>
      </c>
      <c r="B64" s="5" t="s">
        <v>5</v>
      </c>
      <c r="C64" s="5" t="s">
        <v>6</v>
      </c>
      <c r="D64" s="5" t="s">
        <v>7</v>
      </c>
      <c r="E64" s="5" t="s">
        <v>8</v>
      </c>
      <c r="F64" s="5" t="s">
        <v>9</v>
      </c>
      <c r="G64" s="5" t="s">
        <v>10</v>
      </c>
    </row>
    <row r="65" spans="1:10" x14ac:dyDescent="0.25">
      <c r="A65" s="6" t="s">
        <v>11</v>
      </c>
      <c r="B65" s="6">
        <v>28.4</v>
      </c>
      <c r="C65" s="7">
        <f t="shared" ref="C65:C71" si="25">B65/3.6</f>
        <v>7.8888888888888884</v>
      </c>
      <c r="D65" s="6">
        <v>27</v>
      </c>
      <c r="E65" s="7">
        <f t="shared" ref="E65:E71" si="26">D65/3.6</f>
        <v>7.5</v>
      </c>
      <c r="F65" s="8">
        <f t="shared" ref="F65:F72" si="27">IFERROR(D65/B65,0)</f>
        <v>0.95070422535211274</v>
      </c>
      <c r="G65" s="9"/>
      <c r="I65" s="10">
        <f t="shared" ref="I65:I71" si="28">IF(B65&gt;0,C65,"")</f>
        <v>7.8888888888888884</v>
      </c>
      <c r="J65" s="10">
        <f t="shared" ref="J65:J71" si="29">IF(D65&gt;0,E65,"")</f>
        <v>7.5</v>
      </c>
    </row>
    <row r="66" spans="1:10" x14ac:dyDescent="0.25">
      <c r="A66" s="6" t="s">
        <v>12</v>
      </c>
      <c r="B66" s="6">
        <v>28.45</v>
      </c>
      <c r="C66" s="7">
        <f t="shared" si="25"/>
        <v>7.9027777777777777</v>
      </c>
      <c r="D66" s="6">
        <v>27</v>
      </c>
      <c r="E66" s="7">
        <f t="shared" si="26"/>
        <v>7.5</v>
      </c>
      <c r="F66" s="8">
        <f t="shared" si="27"/>
        <v>0.94903339191564151</v>
      </c>
      <c r="G66" s="9"/>
      <c r="I66" s="10">
        <f t="shared" si="28"/>
        <v>7.9027777777777777</v>
      </c>
      <c r="J66" s="10">
        <f t="shared" si="29"/>
        <v>7.5</v>
      </c>
    </row>
    <row r="67" spans="1:10" x14ac:dyDescent="0.25">
      <c r="A67" s="6" t="s">
        <v>13</v>
      </c>
      <c r="B67" s="6">
        <v>19.88</v>
      </c>
      <c r="C67" s="7">
        <f t="shared" si="25"/>
        <v>5.5222222222222221</v>
      </c>
      <c r="D67" s="6">
        <v>20</v>
      </c>
      <c r="E67" s="7">
        <f t="shared" si="26"/>
        <v>5.5555555555555554</v>
      </c>
      <c r="F67" s="8">
        <f t="shared" si="27"/>
        <v>1.0060362173038231</v>
      </c>
      <c r="G67" s="9"/>
      <c r="I67" s="10">
        <f t="shared" si="28"/>
        <v>5.5222222222222221</v>
      </c>
      <c r="J67" s="10">
        <f t="shared" si="29"/>
        <v>5.5555555555555554</v>
      </c>
    </row>
    <row r="68" spans="1:10" x14ac:dyDescent="0.25">
      <c r="A68" s="6" t="s">
        <v>15</v>
      </c>
      <c r="B68" s="6">
        <v>21.12</v>
      </c>
      <c r="C68" s="7">
        <f t="shared" si="25"/>
        <v>5.8666666666666671</v>
      </c>
      <c r="D68" s="6">
        <v>20.29</v>
      </c>
      <c r="E68" s="7">
        <f t="shared" si="26"/>
        <v>5.6361111111111111</v>
      </c>
      <c r="F68" s="8">
        <f t="shared" si="27"/>
        <v>0.96070075757575746</v>
      </c>
      <c r="G68" s="9"/>
      <c r="I68" s="10">
        <f t="shared" si="28"/>
        <v>5.8666666666666671</v>
      </c>
      <c r="J68" s="10">
        <f t="shared" si="29"/>
        <v>5.6361111111111111</v>
      </c>
    </row>
    <row r="69" spans="1:10" x14ac:dyDescent="0.25">
      <c r="A69" s="6" t="s">
        <v>17</v>
      </c>
      <c r="B69" s="6">
        <v>21.63</v>
      </c>
      <c r="C69" s="7">
        <f t="shared" si="25"/>
        <v>6.0083333333333329</v>
      </c>
      <c r="D69" s="6">
        <v>21.41</v>
      </c>
      <c r="E69" s="7">
        <f t="shared" si="26"/>
        <v>5.947222222222222</v>
      </c>
      <c r="F69" s="8">
        <f t="shared" si="27"/>
        <v>0.98982894128525201</v>
      </c>
      <c r="G69" s="9"/>
      <c r="I69" s="10">
        <f t="shared" si="28"/>
        <v>6.0083333333333329</v>
      </c>
      <c r="J69" s="10">
        <f t="shared" si="29"/>
        <v>5.947222222222222</v>
      </c>
    </row>
    <row r="70" spans="1:10" x14ac:dyDescent="0.25">
      <c r="A70" s="6" t="s">
        <v>19</v>
      </c>
      <c r="B70" s="6">
        <v>18.2</v>
      </c>
      <c r="C70" s="7">
        <f t="shared" si="25"/>
        <v>5.0555555555555554</v>
      </c>
      <c r="D70" s="6">
        <v>13.82</v>
      </c>
      <c r="E70" s="7">
        <f t="shared" si="26"/>
        <v>3.838888888888889</v>
      </c>
      <c r="F70" s="8">
        <f t="shared" si="27"/>
        <v>0.75934065934065942</v>
      </c>
      <c r="G70" s="9"/>
      <c r="I70" s="10">
        <f t="shared" si="28"/>
        <v>5.0555555555555554</v>
      </c>
      <c r="J70" s="10">
        <f t="shared" si="29"/>
        <v>3.838888888888889</v>
      </c>
    </row>
    <row r="71" spans="1:10" x14ac:dyDescent="0.25">
      <c r="A71" s="6" t="s">
        <v>20</v>
      </c>
      <c r="B71" s="6">
        <v>20.66</v>
      </c>
      <c r="C71" s="7">
        <f t="shared" si="25"/>
        <v>5.7388888888888889</v>
      </c>
      <c r="D71" s="6">
        <v>20.51</v>
      </c>
      <c r="E71" s="7">
        <f t="shared" si="26"/>
        <v>5.6972222222222229</v>
      </c>
      <c r="F71" s="8">
        <f t="shared" si="27"/>
        <v>0.99273959341723139</v>
      </c>
      <c r="G71" s="9"/>
      <c r="I71" s="10">
        <f t="shared" si="28"/>
        <v>5.7388888888888889</v>
      </c>
      <c r="J71" s="10">
        <f t="shared" si="29"/>
        <v>5.6972222222222229</v>
      </c>
    </row>
    <row r="72" spans="1:10" x14ac:dyDescent="0.25">
      <c r="A72" s="11" t="s">
        <v>23</v>
      </c>
      <c r="B72" s="11">
        <f>SUM(B65:B71)</f>
        <v>158.33999999999997</v>
      </c>
      <c r="C72" s="12">
        <f>AVERAGE(C65:C71)</f>
        <v>6.2833333333333332</v>
      </c>
      <c r="D72" s="11">
        <f>SUM(D65:D71)</f>
        <v>150.02999999999997</v>
      </c>
      <c r="E72" s="12">
        <f>AVERAGE(E65:E71)</f>
        <v>5.9535714285714292</v>
      </c>
      <c r="F72" s="13">
        <f t="shared" si="27"/>
        <v>0.9475179992421372</v>
      </c>
      <c r="G72" s="14"/>
    </row>
    <row r="74" spans="1:10" x14ac:dyDescent="0.25">
      <c r="A74" s="3" t="s">
        <v>43</v>
      </c>
      <c r="B74" s="4"/>
      <c r="C74" s="4"/>
      <c r="D74" s="4"/>
      <c r="E74" s="4"/>
      <c r="F74" s="4"/>
      <c r="G74" s="4"/>
    </row>
    <row r="75" spans="1:10" ht="45" x14ac:dyDescent="0.25">
      <c r="A75" s="5" t="s">
        <v>4</v>
      </c>
      <c r="B75" s="5" t="s">
        <v>5</v>
      </c>
      <c r="C75" s="5" t="s">
        <v>6</v>
      </c>
      <c r="D75" s="5" t="s">
        <v>7</v>
      </c>
      <c r="E75" s="5" t="s">
        <v>8</v>
      </c>
      <c r="F75" s="5" t="s">
        <v>9</v>
      </c>
      <c r="G75" s="5" t="s">
        <v>10</v>
      </c>
    </row>
    <row r="76" spans="1:10" x14ac:dyDescent="0.25">
      <c r="A76" s="6" t="s">
        <v>29</v>
      </c>
      <c r="B76" s="6">
        <v>36</v>
      </c>
      <c r="C76" s="7">
        <f t="shared" ref="C76:C83" si="30">B76/3.6</f>
        <v>10</v>
      </c>
      <c r="D76" s="6">
        <v>35</v>
      </c>
      <c r="E76" s="7">
        <f t="shared" ref="E76:E83" si="31">D76/3.6</f>
        <v>9.7222222222222214</v>
      </c>
      <c r="F76" s="8">
        <f t="shared" ref="F76:F84" si="32">IFERROR(D76/B76,0)</f>
        <v>0.97222222222222221</v>
      </c>
      <c r="G76" s="9" t="s">
        <v>44</v>
      </c>
      <c r="I76" s="10">
        <f t="shared" ref="I76:I83" si="33">IF(B76&gt;0,C76,"")</f>
        <v>10</v>
      </c>
      <c r="J76" s="10">
        <f t="shared" ref="J76:J83" si="34">IF(D76&gt;0,E76,"")</f>
        <v>9.7222222222222214</v>
      </c>
    </row>
    <row r="77" spans="1:10" x14ac:dyDescent="0.25">
      <c r="A77" s="6" t="s">
        <v>30</v>
      </c>
      <c r="B77" s="6">
        <v>20</v>
      </c>
      <c r="C77" s="7">
        <f t="shared" si="30"/>
        <v>5.5555555555555554</v>
      </c>
      <c r="D77" s="6">
        <v>19</v>
      </c>
      <c r="E77" s="7">
        <f t="shared" si="31"/>
        <v>5.2777777777777777</v>
      </c>
      <c r="F77" s="8">
        <f t="shared" si="32"/>
        <v>0.95</v>
      </c>
      <c r="G77" s="9"/>
      <c r="I77" s="10">
        <f t="shared" si="33"/>
        <v>5.5555555555555554</v>
      </c>
      <c r="J77" s="10">
        <f t="shared" si="34"/>
        <v>5.2777777777777777</v>
      </c>
    </row>
    <row r="78" spans="1:10" x14ac:dyDescent="0.25">
      <c r="A78" s="6" t="s">
        <v>32</v>
      </c>
      <c r="B78" s="6">
        <v>22</v>
      </c>
      <c r="C78" s="7">
        <f t="shared" si="30"/>
        <v>6.1111111111111107</v>
      </c>
      <c r="D78" s="6">
        <v>22</v>
      </c>
      <c r="E78" s="7">
        <f t="shared" si="31"/>
        <v>6.1111111111111107</v>
      </c>
      <c r="F78" s="8">
        <f t="shared" si="32"/>
        <v>1</v>
      </c>
      <c r="G78" s="9" t="s">
        <v>45</v>
      </c>
      <c r="I78" s="10">
        <f t="shared" si="33"/>
        <v>6.1111111111111107</v>
      </c>
      <c r="J78" s="10">
        <f t="shared" si="34"/>
        <v>6.1111111111111107</v>
      </c>
    </row>
    <row r="79" spans="1:10" x14ac:dyDescent="0.25">
      <c r="A79" s="6" t="s">
        <v>33</v>
      </c>
      <c r="B79" s="6">
        <v>28</v>
      </c>
      <c r="C79" s="7">
        <f t="shared" si="30"/>
        <v>7.7777777777777777</v>
      </c>
      <c r="D79" s="6">
        <v>23</v>
      </c>
      <c r="E79" s="7">
        <f t="shared" si="31"/>
        <v>6.3888888888888884</v>
      </c>
      <c r="F79" s="8">
        <f t="shared" si="32"/>
        <v>0.8214285714285714</v>
      </c>
      <c r="G79" s="9" t="s">
        <v>45</v>
      </c>
      <c r="I79" s="10">
        <f t="shared" si="33"/>
        <v>7.7777777777777777</v>
      </c>
      <c r="J79" s="10">
        <f t="shared" si="34"/>
        <v>6.3888888888888884</v>
      </c>
    </row>
    <row r="80" spans="1:10" x14ac:dyDescent="0.25">
      <c r="A80" s="6" t="s">
        <v>34</v>
      </c>
      <c r="B80" s="6">
        <v>13</v>
      </c>
      <c r="C80" s="7">
        <f t="shared" si="30"/>
        <v>3.6111111111111112</v>
      </c>
      <c r="D80" s="6">
        <v>13</v>
      </c>
      <c r="E80" s="7">
        <f t="shared" si="31"/>
        <v>3.6111111111111112</v>
      </c>
      <c r="F80" s="8">
        <f t="shared" si="32"/>
        <v>1</v>
      </c>
      <c r="G80" s="9" t="s">
        <v>46</v>
      </c>
      <c r="I80" s="10">
        <f t="shared" si="33"/>
        <v>3.6111111111111112</v>
      </c>
      <c r="J80" s="10">
        <f t="shared" si="34"/>
        <v>3.6111111111111112</v>
      </c>
    </row>
    <row r="81" spans="1:10" x14ac:dyDescent="0.25">
      <c r="A81" s="6" t="s">
        <v>35</v>
      </c>
      <c r="B81" s="6">
        <v>10</v>
      </c>
      <c r="C81" s="7">
        <f t="shared" si="30"/>
        <v>2.7777777777777777</v>
      </c>
      <c r="D81" s="6">
        <v>10</v>
      </c>
      <c r="E81" s="7">
        <f t="shared" si="31"/>
        <v>2.7777777777777777</v>
      </c>
      <c r="F81" s="8">
        <f t="shared" si="32"/>
        <v>1</v>
      </c>
      <c r="G81" s="9" t="s">
        <v>45</v>
      </c>
      <c r="I81" s="10">
        <f t="shared" si="33"/>
        <v>2.7777777777777777</v>
      </c>
      <c r="J81" s="10">
        <f t="shared" si="34"/>
        <v>2.7777777777777777</v>
      </c>
    </row>
    <row r="82" spans="1:10" x14ac:dyDescent="0.25">
      <c r="A82" s="6" t="s">
        <v>36</v>
      </c>
      <c r="B82" s="6">
        <v>19</v>
      </c>
      <c r="C82" s="7">
        <f t="shared" si="30"/>
        <v>5.2777777777777777</v>
      </c>
      <c r="D82" s="6">
        <v>18</v>
      </c>
      <c r="E82" s="7">
        <f t="shared" si="31"/>
        <v>5</v>
      </c>
      <c r="F82" s="8">
        <f t="shared" si="32"/>
        <v>0.94736842105263153</v>
      </c>
      <c r="G82" s="9"/>
      <c r="I82" s="10">
        <f t="shared" si="33"/>
        <v>5.2777777777777777</v>
      </c>
      <c r="J82" s="10">
        <f t="shared" si="34"/>
        <v>5</v>
      </c>
    </row>
    <row r="83" spans="1:10" x14ac:dyDescent="0.25">
      <c r="A83" s="6" t="s">
        <v>11</v>
      </c>
      <c r="B83" s="6">
        <v>4</v>
      </c>
      <c r="C83" s="7">
        <f t="shared" si="30"/>
        <v>1.1111111111111112</v>
      </c>
      <c r="D83" s="6">
        <v>5</v>
      </c>
      <c r="E83" s="7">
        <f t="shared" si="31"/>
        <v>1.3888888888888888</v>
      </c>
      <c r="F83" s="8">
        <f t="shared" si="32"/>
        <v>1.25</v>
      </c>
      <c r="G83" s="9"/>
      <c r="I83" s="10">
        <f t="shared" si="33"/>
        <v>1.1111111111111112</v>
      </c>
      <c r="J83" s="10">
        <f t="shared" si="34"/>
        <v>1.3888888888888888</v>
      </c>
    </row>
    <row r="84" spans="1:10" x14ac:dyDescent="0.25">
      <c r="A84" s="11" t="s">
        <v>23</v>
      </c>
      <c r="B84" s="11">
        <f>SUM(B76:B83)</f>
        <v>152</v>
      </c>
      <c r="C84" s="12">
        <f>AVERAGE(C76:C83)</f>
        <v>5.2777777777777786</v>
      </c>
      <c r="D84" s="11">
        <f>SUM(D76:D83)</f>
        <v>145</v>
      </c>
      <c r="E84" s="12">
        <f>AVERAGE(E76:E83)</f>
        <v>5.0347222222222214</v>
      </c>
      <c r="F84" s="13">
        <f t="shared" si="32"/>
        <v>0.95394736842105265</v>
      </c>
      <c r="G84" s="14"/>
    </row>
    <row r="86" spans="1:10" x14ac:dyDescent="0.25">
      <c r="A86" s="3" t="s">
        <v>47</v>
      </c>
      <c r="B86" s="4"/>
      <c r="C86" s="4"/>
      <c r="D86" s="4"/>
      <c r="E86" s="4"/>
      <c r="F86" s="4"/>
      <c r="G86" s="4"/>
    </row>
    <row r="87" spans="1:10" ht="45" x14ac:dyDescent="0.25">
      <c r="A87" s="5" t="s">
        <v>4</v>
      </c>
      <c r="B87" s="5" t="s">
        <v>5</v>
      </c>
      <c r="C87" s="5" t="s">
        <v>6</v>
      </c>
      <c r="D87" s="5" t="s">
        <v>7</v>
      </c>
      <c r="E87" s="5" t="s">
        <v>8</v>
      </c>
      <c r="F87" s="5" t="s">
        <v>9</v>
      </c>
      <c r="G87" s="5" t="s">
        <v>10</v>
      </c>
    </row>
    <row r="88" spans="1:10" x14ac:dyDescent="0.25">
      <c r="A88" s="6" t="s">
        <v>12</v>
      </c>
      <c r="B88" s="6">
        <v>42</v>
      </c>
      <c r="C88" s="7">
        <f t="shared" ref="C88:C95" si="35">B88/3.6</f>
        <v>11.666666666666666</v>
      </c>
      <c r="D88" s="6">
        <v>37</v>
      </c>
      <c r="E88" s="7">
        <f t="shared" ref="E88:E95" si="36">D88/3.6</f>
        <v>10.277777777777777</v>
      </c>
      <c r="F88" s="8">
        <f t="shared" ref="F88:F96" si="37">IFERROR(D88/B88,0)</f>
        <v>0.88095238095238093</v>
      </c>
      <c r="G88" s="9" t="s">
        <v>48</v>
      </c>
      <c r="I88" s="10">
        <f t="shared" ref="I88:I95" si="38">IF(B88&gt;0,C88,"")</f>
        <v>11.666666666666666</v>
      </c>
      <c r="J88" s="10">
        <f t="shared" ref="J88:J95" si="39">IF(D88&gt;0,E88,"")</f>
        <v>10.277777777777777</v>
      </c>
    </row>
    <row r="89" spans="1:10" x14ac:dyDescent="0.25">
      <c r="A89" s="6" t="s">
        <v>13</v>
      </c>
      <c r="B89" s="6">
        <v>15</v>
      </c>
      <c r="C89" s="7">
        <f t="shared" si="35"/>
        <v>4.166666666666667</v>
      </c>
      <c r="D89" s="6">
        <v>15</v>
      </c>
      <c r="E89" s="7">
        <f t="shared" si="36"/>
        <v>4.166666666666667</v>
      </c>
      <c r="F89" s="8">
        <f t="shared" si="37"/>
        <v>1</v>
      </c>
      <c r="G89" s="9" t="s">
        <v>49</v>
      </c>
      <c r="I89" s="10">
        <f t="shared" si="38"/>
        <v>4.166666666666667</v>
      </c>
      <c r="J89" s="10">
        <f t="shared" si="39"/>
        <v>4.166666666666667</v>
      </c>
    </row>
    <row r="90" spans="1:10" x14ac:dyDescent="0.25">
      <c r="A90" s="6" t="s">
        <v>15</v>
      </c>
      <c r="B90" s="6">
        <v>18</v>
      </c>
      <c r="C90" s="7">
        <f t="shared" si="35"/>
        <v>5</v>
      </c>
      <c r="D90" s="6">
        <v>17</v>
      </c>
      <c r="E90" s="7">
        <f t="shared" si="36"/>
        <v>4.7222222222222223</v>
      </c>
      <c r="F90" s="8">
        <f t="shared" si="37"/>
        <v>0.94444444444444442</v>
      </c>
      <c r="G90" s="9"/>
      <c r="I90" s="10">
        <f t="shared" si="38"/>
        <v>5</v>
      </c>
      <c r="J90" s="10">
        <f t="shared" si="39"/>
        <v>4.7222222222222223</v>
      </c>
    </row>
    <row r="91" spans="1:10" x14ac:dyDescent="0.25">
      <c r="A91" s="6" t="s">
        <v>17</v>
      </c>
      <c r="B91" s="6">
        <v>14</v>
      </c>
      <c r="C91" s="7">
        <f t="shared" si="35"/>
        <v>3.8888888888888888</v>
      </c>
      <c r="D91" s="6">
        <v>14</v>
      </c>
      <c r="E91" s="7">
        <f t="shared" si="36"/>
        <v>3.8888888888888888</v>
      </c>
      <c r="F91" s="8">
        <f t="shared" si="37"/>
        <v>1</v>
      </c>
      <c r="G91" s="9" t="s">
        <v>50</v>
      </c>
      <c r="I91" s="10">
        <f t="shared" si="38"/>
        <v>3.8888888888888888</v>
      </c>
      <c r="J91" s="10">
        <f t="shared" si="39"/>
        <v>3.8888888888888888</v>
      </c>
    </row>
    <row r="92" spans="1:10" x14ac:dyDescent="0.25">
      <c r="A92" s="6" t="s">
        <v>19</v>
      </c>
      <c r="B92" s="6">
        <v>22</v>
      </c>
      <c r="C92" s="7">
        <f t="shared" si="35"/>
        <v>6.1111111111111107</v>
      </c>
      <c r="D92" s="6">
        <v>22</v>
      </c>
      <c r="E92" s="7">
        <f t="shared" si="36"/>
        <v>6.1111111111111107</v>
      </c>
      <c r="F92" s="8">
        <f t="shared" si="37"/>
        <v>1</v>
      </c>
      <c r="G92" s="9"/>
      <c r="I92" s="10">
        <f t="shared" si="38"/>
        <v>6.1111111111111107</v>
      </c>
      <c r="J92" s="10">
        <f t="shared" si="39"/>
        <v>6.1111111111111107</v>
      </c>
    </row>
    <row r="93" spans="1:10" x14ac:dyDescent="0.25">
      <c r="A93" s="6" t="s">
        <v>20</v>
      </c>
      <c r="B93" s="6">
        <v>19</v>
      </c>
      <c r="C93" s="7">
        <f t="shared" si="35"/>
        <v>5.2777777777777777</v>
      </c>
      <c r="D93" s="6">
        <v>18</v>
      </c>
      <c r="E93" s="7">
        <f t="shared" si="36"/>
        <v>5</v>
      </c>
      <c r="F93" s="8">
        <f t="shared" si="37"/>
        <v>0.94736842105263153</v>
      </c>
      <c r="G93" s="9"/>
      <c r="I93" s="10">
        <f t="shared" si="38"/>
        <v>5.2777777777777777</v>
      </c>
      <c r="J93" s="10">
        <f t="shared" si="39"/>
        <v>5</v>
      </c>
    </row>
    <row r="94" spans="1:10" x14ac:dyDescent="0.25">
      <c r="A94" s="6" t="s">
        <v>22</v>
      </c>
      <c r="B94" s="6">
        <v>27</v>
      </c>
      <c r="C94" s="7">
        <f t="shared" si="35"/>
        <v>7.5</v>
      </c>
      <c r="D94" s="6">
        <v>24</v>
      </c>
      <c r="E94" s="7">
        <f t="shared" si="36"/>
        <v>6.6666666666666661</v>
      </c>
      <c r="F94" s="8">
        <f t="shared" si="37"/>
        <v>0.88888888888888884</v>
      </c>
      <c r="G94" s="9"/>
      <c r="I94" s="10">
        <f t="shared" si="38"/>
        <v>7.5</v>
      </c>
      <c r="J94" s="10">
        <f t="shared" si="39"/>
        <v>6.6666666666666661</v>
      </c>
    </row>
    <row r="95" spans="1:10" x14ac:dyDescent="0.25">
      <c r="A95" s="6" t="s">
        <v>51</v>
      </c>
      <c r="B95" s="6">
        <v>8</v>
      </c>
      <c r="C95" s="7">
        <f t="shared" si="35"/>
        <v>2.2222222222222223</v>
      </c>
      <c r="D95" s="6">
        <v>7</v>
      </c>
      <c r="E95" s="7">
        <f t="shared" si="36"/>
        <v>1.9444444444444444</v>
      </c>
      <c r="F95" s="8">
        <f t="shared" si="37"/>
        <v>0.875</v>
      </c>
      <c r="G95" s="9" t="s">
        <v>45</v>
      </c>
      <c r="I95" s="10">
        <f t="shared" si="38"/>
        <v>2.2222222222222223</v>
      </c>
      <c r="J95" s="10">
        <f t="shared" si="39"/>
        <v>1.9444444444444444</v>
      </c>
    </row>
    <row r="96" spans="1:10" x14ac:dyDescent="0.25">
      <c r="A96" s="11" t="s">
        <v>23</v>
      </c>
      <c r="B96" s="11">
        <f>SUM(B88:B95)</f>
        <v>165</v>
      </c>
      <c r="C96" s="12">
        <f>AVERAGE(C88:C95)</f>
        <v>5.7291666666666661</v>
      </c>
      <c r="D96" s="11">
        <f>SUM(D88:D95)</f>
        <v>154</v>
      </c>
      <c r="E96" s="12">
        <f>AVERAGE(E88:E95)</f>
        <v>5.3472222222222214</v>
      </c>
      <c r="F96" s="13">
        <f t="shared" si="37"/>
        <v>0.93333333333333335</v>
      </c>
      <c r="G96" s="14"/>
    </row>
    <row r="98" spans="1:10" x14ac:dyDescent="0.25">
      <c r="A98" s="3" t="s">
        <v>52</v>
      </c>
      <c r="B98" s="4"/>
      <c r="C98" s="4"/>
      <c r="D98" s="4"/>
      <c r="E98" s="4"/>
      <c r="F98" s="4"/>
      <c r="G98" s="4"/>
    </row>
    <row r="99" spans="1:10" ht="45" x14ac:dyDescent="0.25">
      <c r="A99" s="5" t="s">
        <v>4</v>
      </c>
      <c r="B99" s="5" t="s">
        <v>5</v>
      </c>
      <c r="C99" s="5" t="s">
        <v>6</v>
      </c>
      <c r="D99" s="5" t="s">
        <v>7</v>
      </c>
      <c r="E99" s="5" t="s">
        <v>8</v>
      </c>
      <c r="F99" s="5" t="s">
        <v>9</v>
      </c>
      <c r="G99" s="5" t="s">
        <v>10</v>
      </c>
    </row>
    <row r="100" spans="1:10" x14ac:dyDescent="0.25">
      <c r="A100" s="6" t="s">
        <v>29</v>
      </c>
      <c r="B100" s="6">
        <v>31</v>
      </c>
      <c r="C100" s="7">
        <f t="shared" ref="C100:C107" si="40">B100/3.6</f>
        <v>8.6111111111111107</v>
      </c>
      <c r="D100" s="6">
        <v>31</v>
      </c>
      <c r="E100" s="7">
        <f t="shared" ref="E100:E107" si="41">D100/3.6</f>
        <v>8.6111111111111107</v>
      </c>
      <c r="F100" s="8">
        <f t="shared" ref="F100:F108" si="42">IFERROR(D100/B100,0)</f>
        <v>1</v>
      </c>
      <c r="G100" s="9" t="s">
        <v>53</v>
      </c>
      <c r="I100" s="10">
        <f t="shared" ref="I100:I107" si="43">IF(B100&gt;0,C100,"")</f>
        <v>8.6111111111111107</v>
      </c>
      <c r="J100" s="10">
        <f t="shared" ref="J100:J107" si="44">IF(D100&gt;0,E100,"")</f>
        <v>8.6111111111111107</v>
      </c>
    </row>
    <row r="101" spans="1:10" x14ac:dyDescent="0.25">
      <c r="A101" s="6" t="s">
        <v>30</v>
      </c>
      <c r="B101" s="6">
        <v>15</v>
      </c>
      <c r="C101" s="7">
        <f t="shared" si="40"/>
        <v>4.166666666666667</v>
      </c>
      <c r="D101" s="6">
        <v>14</v>
      </c>
      <c r="E101" s="7">
        <f t="shared" si="41"/>
        <v>3.8888888888888888</v>
      </c>
      <c r="F101" s="8">
        <f t="shared" si="42"/>
        <v>0.93333333333333335</v>
      </c>
      <c r="G101" s="9"/>
      <c r="I101" s="10">
        <f t="shared" si="43"/>
        <v>4.166666666666667</v>
      </c>
      <c r="J101" s="10">
        <f t="shared" si="44"/>
        <v>3.8888888888888888</v>
      </c>
    </row>
    <row r="102" spans="1:10" x14ac:dyDescent="0.25">
      <c r="A102" s="6" t="s">
        <v>32</v>
      </c>
      <c r="B102" s="6">
        <v>24</v>
      </c>
      <c r="C102" s="7">
        <f t="shared" si="40"/>
        <v>6.6666666666666661</v>
      </c>
      <c r="D102" s="6">
        <v>24</v>
      </c>
      <c r="E102" s="7">
        <f t="shared" si="41"/>
        <v>6.6666666666666661</v>
      </c>
      <c r="F102" s="8">
        <f t="shared" si="42"/>
        <v>1</v>
      </c>
      <c r="G102" s="9"/>
      <c r="I102" s="10">
        <f t="shared" si="43"/>
        <v>6.6666666666666661</v>
      </c>
      <c r="J102" s="10">
        <f t="shared" si="44"/>
        <v>6.6666666666666661</v>
      </c>
    </row>
    <row r="103" spans="1:10" x14ac:dyDescent="0.25">
      <c r="A103" s="6" t="s">
        <v>33</v>
      </c>
      <c r="B103" s="6">
        <v>30</v>
      </c>
      <c r="C103" s="7">
        <f t="shared" si="40"/>
        <v>8.3333333333333339</v>
      </c>
      <c r="D103" s="6">
        <v>30</v>
      </c>
      <c r="E103" s="7">
        <f t="shared" si="41"/>
        <v>8.3333333333333339</v>
      </c>
      <c r="F103" s="8">
        <f t="shared" si="42"/>
        <v>1</v>
      </c>
      <c r="G103" s="9" t="s">
        <v>54</v>
      </c>
      <c r="I103" s="10">
        <f t="shared" si="43"/>
        <v>8.3333333333333339</v>
      </c>
      <c r="J103" s="10">
        <f t="shared" si="44"/>
        <v>8.3333333333333339</v>
      </c>
    </row>
    <row r="104" spans="1:10" x14ac:dyDescent="0.25">
      <c r="A104" s="6" t="s">
        <v>34</v>
      </c>
      <c r="B104" s="6">
        <v>15</v>
      </c>
      <c r="C104" s="7">
        <f t="shared" si="40"/>
        <v>4.166666666666667</v>
      </c>
      <c r="D104" s="6">
        <v>14</v>
      </c>
      <c r="E104" s="7">
        <f t="shared" si="41"/>
        <v>3.8888888888888888</v>
      </c>
      <c r="F104" s="8">
        <f t="shared" si="42"/>
        <v>0.93333333333333335</v>
      </c>
      <c r="G104" s="9"/>
      <c r="I104" s="10">
        <f t="shared" si="43"/>
        <v>4.166666666666667</v>
      </c>
      <c r="J104" s="10">
        <f t="shared" si="44"/>
        <v>3.8888888888888888</v>
      </c>
    </row>
    <row r="105" spans="1:10" x14ac:dyDescent="0.25">
      <c r="A105" s="6" t="s">
        <v>35</v>
      </c>
      <c r="B105" s="6">
        <v>24</v>
      </c>
      <c r="C105" s="7">
        <f t="shared" si="40"/>
        <v>6.6666666666666661</v>
      </c>
      <c r="D105" s="6">
        <v>23</v>
      </c>
      <c r="E105" s="7">
        <f t="shared" si="41"/>
        <v>6.3888888888888884</v>
      </c>
      <c r="F105" s="8">
        <f t="shared" si="42"/>
        <v>0.95833333333333337</v>
      </c>
      <c r="G105" s="9"/>
      <c r="I105" s="10">
        <f t="shared" si="43"/>
        <v>6.6666666666666661</v>
      </c>
      <c r="J105" s="10">
        <f t="shared" si="44"/>
        <v>6.3888888888888884</v>
      </c>
    </row>
    <row r="106" spans="1:10" x14ac:dyDescent="0.25">
      <c r="A106" s="6" t="s">
        <v>36</v>
      </c>
      <c r="B106" s="6">
        <v>24</v>
      </c>
      <c r="C106" s="7">
        <f t="shared" si="40"/>
        <v>6.6666666666666661</v>
      </c>
      <c r="D106" s="6">
        <v>24</v>
      </c>
      <c r="E106" s="7">
        <f t="shared" si="41"/>
        <v>6.6666666666666661</v>
      </c>
      <c r="F106" s="8">
        <f t="shared" si="42"/>
        <v>1</v>
      </c>
      <c r="G106" s="9"/>
      <c r="I106" s="10">
        <f t="shared" si="43"/>
        <v>6.6666666666666661</v>
      </c>
      <c r="J106" s="10">
        <f t="shared" si="44"/>
        <v>6.6666666666666661</v>
      </c>
    </row>
    <row r="107" spans="1:10" x14ac:dyDescent="0.25">
      <c r="A107" s="6" t="s">
        <v>11</v>
      </c>
      <c r="B107" s="6">
        <v>13</v>
      </c>
      <c r="C107" s="7">
        <f t="shared" si="40"/>
        <v>3.6111111111111112</v>
      </c>
      <c r="D107" s="6">
        <v>12</v>
      </c>
      <c r="E107" s="7">
        <f t="shared" si="41"/>
        <v>3.333333333333333</v>
      </c>
      <c r="F107" s="8">
        <f t="shared" si="42"/>
        <v>0.92307692307692313</v>
      </c>
      <c r="G107" s="9"/>
      <c r="I107" s="10">
        <f t="shared" si="43"/>
        <v>3.6111111111111112</v>
      </c>
      <c r="J107" s="10">
        <f t="shared" si="44"/>
        <v>3.333333333333333</v>
      </c>
    </row>
    <row r="108" spans="1:10" x14ac:dyDescent="0.25">
      <c r="A108" s="11" t="s">
        <v>23</v>
      </c>
      <c r="B108" s="11">
        <f>SUM(B100:B107)</f>
        <v>176</v>
      </c>
      <c r="C108" s="12">
        <f>AVERAGE(C100:C107)</f>
        <v>6.1111111111111116</v>
      </c>
      <c r="D108" s="11">
        <f>SUM(D100:D107)</f>
        <v>172</v>
      </c>
      <c r="E108" s="12">
        <f>AVERAGE(E100:E107)</f>
        <v>5.9722222222222223</v>
      </c>
      <c r="F108" s="13">
        <f t="shared" si="42"/>
        <v>0.97727272727272729</v>
      </c>
      <c r="G108" s="14"/>
    </row>
    <row r="110" spans="1:10" x14ac:dyDescent="0.25">
      <c r="A110" s="3" t="s">
        <v>55</v>
      </c>
      <c r="B110" s="4"/>
      <c r="C110" s="4"/>
      <c r="D110" s="4"/>
      <c r="E110" s="4"/>
      <c r="F110" s="4"/>
      <c r="G110" s="4"/>
    </row>
    <row r="111" spans="1:10" ht="45" x14ac:dyDescent="0.25">
      <c r="A111" s="5" t="s">
        <v>4</v>
      </c>
      <c r="B111" s="5" t="s">
        <v>5</v>
      </c>
      <c r="C111" s="5" t="s">
        <v>6</v>
      </c>
      <c r="D111" s="5" t="s">
        <v>7</v>
      </c>
      <c r="E111" s="5" t="s">
        <v>8</v>
      </c>
      <c r="F111" s="5" t="s">
        <v>9</v>
      </c>
      <c r="G111" s="5" t="s">
        <v>10</v>
      </c>
    </row>
    <row r="112" spans="1:10" x14ac:dyDescent="0.25">
      <c r="A112" s="6" t="s">
        <v>12</v>
      </c>
      <c r="B112" s="6">
        <v>27</v>
      </c>
      <c r="C112" s="7">
        <f t="shared" ref="C112:C119" si="45">B112/3.6</f>
        <v>7.5</v>
      </c>
      <c r="D112" s="6">
        <v>27</v>
      </c>
      <c r="E112" s="7">
        <f t="shared" ref="E112:E119" si="46">D112/3.6</f>
        <v>7.5</v>
      </c>
      <c r="F112" s="8">
        <f t="shared" ref="F112:F120" si="47">IFERROR(D112/B112,0)</f>
        <v>1</v>
      </c>
      <c r="G112" s="9"/>
      <c r="I112" s="10">
        <f t="shared" ref="I112:I119" si="48">IF(B112&gt;0,C112,"")</f>
        <v>7.5</v>
      </c>
      <c r="J112" s="10">
        <f t="shared" ref="J112:J119" si="49">IF(D112&gt;0,E112,"")</f>
        <v>7.5</v>
      </c>
    </row>
    <row r="113" spans="1:10" x14ac:dyDescent="0.25">
      <c r="A113" s="6" t="s">
        <v>13</v>
      </c>
      <c r="B113" s="6">
        <v>15</v>
      </c>
      <c r="C113" s="7">
        <f t="shared" si="45"/>
        <v>4.166666666666667</v>
      </c>
      <c r="D113" s="6">
        <v>15</v>
      </c>
      <c r="E113" s="7">
        <f t="shared" si="46"/>
        <v>4.166666666666667</v>
      </c>
      <c r="F113" s="8">
        <f t="shared" si="47"/>
        <v>1</v>
      </c>
      <c r="G113" s="9" t="s">
        <v>56</v>
      </c>
      <c r="I113" s="10">
        <f t="shared" si="48"/>
        <v>4.166666666666667</v>
      </c>
      <c r="J113" s="10">
        <f t="shared" si="49"/>
        <v>4.166666666666667</v>
      </c>
    </row>
    <row r="114" spans="1:10" x14ac:dyDescent="0.25">
      <c r="A114" s="6" t="s">
        <v>15</v>
      </c>
      <c r="B114" s="6">
        <v>25</v>
      </c>
      <c r="C114" s="7">
        <f t="shared" si="45"/>
        <v>6.9444444444444446</v>
      </c>
      <c r="D114" s="6">
        <v>24</v>
      </c>
      <c r="E114" s="7">
        <f t="shared" si="46"/>
        <v>6.6666666666666661</v>
      </c>
      <c r="F114" s="8">
        <f t="shared" si="47"/>
        <v>0.96</v>
      </c>
      <c r="G114" s="9"/>
      <c r="I114" s="10">
        <f t="shared" si="48"/>
        <v>6.9444444444444446</v>
      </c>
      <c r="J114" s="10">
        <f t="shared" si="49"/>
        <v>6.6666666666666661</v>
      </c>
    </row>
    <row r="115" spans="1:10" x14ac:dyDescent="0.25">
      <c r="A115" s="6" t="s">
        <v>17</v>
      </c>
      <c r="B115" s="6">
        <v>25</v>
      </c>
      <c r="C115" s="7">
        <f t="shared" si="45"/>
        <v>6.9444444444444446</v>
      </c>
      <c r="D115" s="6">
        <v>23</v>
      </c>
      <c r="E115" s="7">
        <f t="shared" si="46"/>
        <v>6.3888888888888884</v>
      </c>
      <c r="F115" s="8">
        <f t="shared" si="47"/>
        <v>0.92</v>
      </c>
      <c r="G115" s="9" t="s">
        <v>57</v>
      </c>
      <c r="I115" s="10">
        <f t="shared" si="48"/>
        <v>6.9444444444444446</v>
      </c>
      <c r="J115" s="10">
        <f t="shared" si="49"/>
        <v>6.3888888888888884</v>
      </c>
    </row>
    <row r="116" spans="1:10" x14ac:dyDescent="0.25">
      <c r="A116" s="6" t="s">
        <v>19</v>
      </c>
      <c r="B116" s="6">
        <v>27</v>
      </c>
      <c r="C116" s="7">
        <f t="shared" si="45"/>
        <v>7.5</v>
      </c>
      <c r="D116" s="6">
        <v>13</v>
      </c>
      <c r="E116" s="7">
        <f t="shared" si="46"/>
        <v>3.6111111111111112</v>
      </c>
      <c r="F116" s="8">
        <f t="shared" si="47"/>
        <v>0.48148148148148145</v>
      </c>
      <c r="G116" s="9" t="s">
        <v>58</v>
      </c>
      <c r="I116" s="10">
        <f t="shared" si="48"/>
        <v>7.5</v>
      </c>
      <c r="J116" s="10">
        <f t="shared" si="49"/>
        <v>3.6111111111111112</v>
      </c>
    </row>
    <row r="117" spans="1:10" x14ac:dyDescent="0.25">
      <c r="A117" s="6" t="s">
        <v>20</v>
      </c>
      <c r="B117" s="6">
        <v>24</v>
      </c>
      <c r="C117" s="7">
        <f t="shared" si="45"/>
        <v>6.6666666666666661</v>
      </c>
      <c r="D117" s="6">
        <v>20</v>
      </c>
      <c r="E117" s="7">
        <f t="shared" si="46"/>
        <v>5.5555555555555554</v>
      </c>
      <c r="F117" s="8">
        <f t="shared" si="47"/>
        <v>0.83333333333333337</v>
      </c>
      <c r="G117" s="9" t="s">
        <v>25</v>
      </c>
      <c r="I117" s="10">
        <f t="shared" si="48"/>
        <v>6.6666666666666661</v>
      </c>
      <c r="J117" s="10">
        <f t="shared" si="49"/>
        <v>5.5555555555555554</v>
      </c>
    </row>
    <row r="118" spans="1:10" x14ac:dyDescent="0.25">
      <c r="A118" s="6" t="s">
        <v>22</v>
      </c>
      <c r="B118" s="6">
        <v>24</v>
      </c>
      <c r="C118" s="7">
        <f t="shared" si="45"/>
        <v>6.6666666666666661</v>
      </c>
      <c r="D118" s="6">
        <v>20</v>
      </c>
      <c r="E118" s="7">
        <f t="shared" si="46"/>
        <v>5.5555555555555554</v>
      </c>
      <c r="F118" s="8">
        <f t="shared" si="47"/>
        <v>0.83333333333333337</v>
      </c>
      <c r="G118" s="9"/>
      <c r="I118" s="10">
        <f t="shared" si="48"/>
        <v>6.6666666666666661</v>
      </c>
      <c r="J118" s="10">
        <f t="shared" si="49"/>
        <v>5.5555555555555554</v>
      </c>
    </row>
    <row r="119" spans="1:10" x14ac:dyDescent="0.25">
      <c r="A119" s="6" t="s">
        <v>51</v>
      </c>
      <c r="B119" s="6">
        <v>22</v>
      </c>
      <c r="C119" s="7">
        <f t="shared" si="45"/>
        <v>6.1111111111111107</v>
      </c>
      <c r="D119" s="6">
        <v>22</v>
      </c>
      <c r="E119" s="7">
        <f t="shared" si="46"/>
        <v>6.1111111111111107</v>
      </c>
      <c r="F119" s="8">
        <f t="shared" si="47"/>
        <v>1</v>
      </c>
      <c r="G119" s="9"/>
      <c r="I119" s="10">
        <f t="shared" si="48"/>
        <v>6.1111111111111107</v>
      </c>
      <c r="J119" s="10">
        <f t="shared" si="49"/>
        <v>6.1111111111111107</v>
      </c>
    </row>
    <row r="120" spans="1:10" x14ac:dyDescent="0.25">
      <c r="A120" s="11" t="s">
        <v>23</v>
      </c>
      <c r="B120" s="11">
        <f>SUM(B112:B119)</f>
        <v>189</v>
      </c>
      <c r="C120" s="12">
        <f>AVERAGE(C112:C119)</f>
        <v>6.5625</v>
      </c>
      <c r="D120" s="11">
        <f>SUM(D112:D119)</f>
        <v>164</v>
      </c>
      <c r="E120" s="12">
        <f>AVERAGE(E112:E119)</f>
        <v>5.6944444444444446</v>
      </c>
      <c r="F120" s="13">
        <f t="shared" si="47"/>
        <v>0.86772486772486768</v>
      </c>
      <c r="G120" s="14"/>
    </row>
    <row r="122" spans="1:10" x14ac:dyDescent="0.25">
      <c r="A122" s="3" t="s">
        <v>59</v>
      </c>
      <c r="B122" s="4"/>
      <c r="C122" s="4"/>
      <c r="D122" s="4"/>
      <c r="E122" s="4"/>
      <c r="F122" s="4"/>
      <c r="G122" s="4"/>
    </row>
    <row r="123" spans="1:10" ht="45" x14ac:dyDescent="0.25">
      <c r="A123" s="5" t="s">
        <v>4</v>
      </c>
      <c r="B123" s="5" t="s">
        <v>5</v>
      </c>
      <c r="C123" s="5" t="s">
        <v>6</v>
      </c>
      <c r="D123" s="5" t="s">
        <v>7</v>
      </c>
      <c r="E123" s="5" t="s">
        <v>8</v>
      </c>
      <c r="F123" s="5" t="s">
        <v>9</v>
      </c>
      <c r="G123" s="5" t="s">
        <v>10</v>
      </c>
    </row>
    <row r="124" spans="1:10" x14ac:dyDescent="0.25">
      <c r="A124" s="6" t="s">
        <v>29</v>
      </c>
      <c r="B124" s="6">
        <v>30</v>
      </c>
      <c r="C124" s="7">
        <f t="shared" ref="C124:C131" si="50">B124/3.6</f>
        <v>8.3333333333333339</v>
      </c>
      <c r="D124" s="6">
        <v>29</v>
      </c>
      <c r="E124" s="7">
        <f t="shared" ref="E124:E131" si="51">D124/3.6</f>
        <v>8.0555555555555554</v>
      </c>
      <c r="F124" s="8">
        <f t="shared" ref="F124:F132" si="52">IFERROR(D124/B124,0)</f>
        <v>0.96666666666666667</v>
      </c>
      <c r="G124" s="9" t="s">
        <v>38</v>
      </c>
      <c r="I124" s="10">
        <f t="shared" ref="I124:I131" si="53">IF(B124&gt;0,C124,"")</f>
        <v>8.3333333333333339</v>
      </c>
      <c r="J124" s="10">
        <f t="shared" ref="J124:J131" si="54">IF(D124&gt;0,E124,"")</f>
        <v>8.0555555555555554</v>
      </c>
    </row>
    <row r="125" spans="1:10" x14ac:dyDescent="0.25">
      <c r="A125" s="6" t="s">
        <v>30</v>
      </c>
      <c r="B125" s="6">
        <v>27</v>
      </c>
      <c r="C125" s="7">
        <f t="shared" si="50"/>
        <v>7.5</v>
      </c>
      <c r="D125" s="6">
        <v>26</v>
      </c>
      <c r="E125" s="7">
        <f t="shared" si="51"/>
        <v>7.2222222222222223</v>
      </c>
      <c r="F125" s="8">
        <f t="shared" si="52"/>
        <v>0.96296296296296291</v>
      </c>
      <c r="G125" s="9" t="s">
        <v>60</v>
      </c>
      <c r="I125" s="10">
        <f t="shared" si="53"/>
        <v>7.5</v>
      </c>
      <c r="J125" s="10">
        <f t="shared" si="54"/>
        <v>7.2222222222222223</v>
      </c>
    </row>
    <row r="126" spans="1:10" x14ac:dyDescent="0.25">
      <c r="A126" s="6" t="s">
        <v>32</v>
      </c>
      <c r="B126" s="6">
        <v>31</v>
      </c>
      <c r="C126" s="7">
        <f t="shared" si="50"/>
        <v>8.6111111111111107</v>
      </c>
      <c r="D126" s="6">
        <v>31</v>
      </c>
      <c r="E126" s="7">
        <f t="shared" si="51"/>
        <v>8.6111111111111107</v>
      </c>
      <c r="F126" s="8">
        <f t="shared" si="52"/>
        <v>1</v>
      </c>
      <c r="G126" s="9" t="s">
        <v>38</v>
      </c>
      <c r="I126" s="10">
        <f t="shared" si="53"/>
        <v>8.6111111111111107</v>
      </c>
      <c r="J126" s="10">
        <f t="shared" si="54"/>
        <v>8.6111111111111107</v>
      </c>
    </row>
    <row r="127" spans="1:10" x14ac:dyDescent="0.25">
      <c r="A127" s="6" t="s">
        <v>33</v>
      </c>
      <c r="B127" s="6">
        <v>8</v>
      </c>
      <c r="C127" s="7">
        <f t="shared" si="50"/>
        <v>2.2222222222222223</v>
      </c>
      <c r="D127" s="6">
        <v>4</v>
      </c>
      <c r="E127" s="7">
        <f t="shared" si="51"/>
        <v>1.1111111111111112</v>
      </c>
      <c r="F127" s="8">
        <f t="shared" si="52"/>
        <v>0.5</v>
      </c>
      <c r="G127" s="9"/>
      <c r="I127" s="10">
        <f t="shared" si="53"/>
        <v>2.2222222222222223</v>
      </c>
      <c r="J127" s="10">
        <f t="shared" si="54"/>
        <v>1.1111111111111112</v>
      </c>
    </row>
    <row r="128" spans="1:10" x14ac:dyDescent="0.25">
      <c r="A128" s="6" t="s">
        <v>34</v>
      </c>
      <c r="B128" s="6">
        <v>12</v>
      </c>
      <c r="C128" s="7">
        <f t="shared" si="50"/>
        <v>3.333333333333333</v>
      </c>
      <c r="D128" s="6">
        <v>11</v>
      </c>
      <c r="E128" s="7">
        <f t="shared" si="51"/>
        <v>3.0555555555555554</v>
      </c>
      <c r="F128" s="8">
        <f t="shared" si="52"/>
        <v>0.91666666666666663</v>
      </c>
      <c r="G128" s="9"/>
      <c r="I128" s="10">
        <f t="shared" si="53"/>
        <v>3.333333333333333</v>
      </c>
      <c r="J128" s="10">
        <f t="shared" si="54"/>
        <v>3.0555555555555554</v>
      </c>
    </row>
    <row r="129" spans="1:10" x14ac:dyDescent="0.25">
      <c r="A129" s="6" t="s">
        <v>35</v>
      </c>
      <c r="B129" s="6">
        <v>23</v>
      </c>
      <c r="C129" s="7">
        <f t="shared" si="50"/>
        <v>6.3888888888888884</v>
      </c>
      <c r="D129" s="6">
        <v>23</v>
      </c>
      <c r="E129" s="7">
        <f t="shared" si="51"/>
        <v>6.3888888888888884</v>
      </c>
      <c r="F129" s="8">
        <f t="shared" si="52"/>
        <v>1</v>
      </c>
      <c r="G129" s="9"/>
      <c r="I129" s="10">
        <f t="shared" si="53"/>
        <v>6.3888888888888884</v>
      </c>
      <c r="J129" s="10">
        <f t="shared" si="54"/>
        <v>6.3888888888888884</v>
      </c>
    </row>
    <row r="130" spans="1:10" x14ac:dyDescent="0.25">
      <c r="A130" s="6" t="s">
        <v>36</v>
      </c>
      <c r="B130" s="6">
        <v>30</v>
      </c>
      <c r="C130" s="7">
        <f t="shared" si="50"/>
        <v>8.3333333333333339</v>
      </c>
      <c r="D130" s="6">
        <v>30</v>
      </c>
      <c r="E130" s="7">
        <f t="shared" si="51"/>
        <v>8.3333333333333339</v>
      </c>
      <c r="F130" s="8">
        <f t="shared" si="52"/>
        <v>1</v>
      </c>
      <c r="G130" s="9" t="s">
        <v>61</v>
      </c>
      <c r="I130" s="10">
        <f t="shared" si="53"/>
        <v>8.3333333333333339</v>
      </c>
      <c r="J130" s="10">
        <f t="shared" si="54"/>
        <v>8.3333333333333339</v>
      </c>
    </row>
    <row r="131" spans="1:10" x14ac:dyDescent="0.25">
      <c r="A131" s="6" t="s">
        <v>11</v>
      </c>
      <c r="B131" s="6">
        <v>2</v>
      </c>
      <c r="C131" s="7">
        <f t="shared" si="50"/>
        <v>0.55555555555555558</v>
      </c>
      <c r="D131" s="6">
        <v>1</v>
      </c>
      <c r="E131" s="7">
        <f t="shared" si="51"/>
        <v>0.27777777777777779</v>
      </c>
      <c r="F131" s="8">
        <f t="shared" si="52"/>
        <v>0.5</v>
      </c>
      <c r="G131" s="9"/>
      <c r="I131" s="10">
        <f t="shared" si="53"/>
        <v>0.55555555555555558</v>
      </c>
      <c r="J131" s="10">
        <f t="shared" si="54"/>
        <v>0.27777777777777779</v>
      </c>
    </row>
    <row r="132" spans="1:10" x14ac:dyDescent="0.25">
      <c r="A132" s="11" t="s">
        <v>23</v>
      </c>
      <c r="B132" s="11">
        <f>SUM(B124:B131)</f>
        <v>163</v>
      </c>
      <c r="C132" s="12">
        <f>AVERAGE(C124:C131)</f>
        <v>5.6597222222222223</v>
      </c>
      <c r="D132" s="11">
        <f>SUM(D124:D131)</f>
        <v>155</v>
      </c>
      <c r="E132" s="12">
        <f>AVERAGE(E124:E131)</f>
        <v>5.3819444444444446</v>
      </c>
      <c r="F132" s="13">
        <f t="shared" si="52"/>
        <v>0.95092024539877296</v>
      </c>
      <c r="G132" s="14"/>
    </row>
    <row r="134" spans="1:10" x14ac:dyDescent="0.25">
      <c r="A134" s="3" t="s">
        <v>62</v>
      </c>
      <c r="B134" s="4"/>
      <c r="C134" s="4"/>
      <c r="D134" s="4"/>
      <c r="E134" s="4"/>
      <c r="F134" s="4"/>
      <c r="G134" s="4"/>
    </row>
    <row r="135" spans="1:10" ht="45" x14ac:dyDescent="0.25">
      <c r="A135" s="5" t="s">
        <v>4</v>
      </c>
      <c r="B135" s="5" t="s">
        <v>5</v>
      </c>
      <c r="C135" s="5" t="s">
        <v>6</v>
      </c>
      <c r="D135" s="5" t="s">
        <v>7</v>
      </c>
      <c r="E135" s="5" t="s">
        <v>8</v>
      </c>
      <c r="F135" s="5" t="s">
        <v>9</v>
      </c>
      <c r="G135" s="5" t="s">
        <v>10</v>
      </c>
    </row>
    <row r="136" spans="1:10" x14ac:dyDescent="0.25">
      <c r="A136" s="6" t="s">
        <v>22</v>
      </c>
      <c r="B136" s="6">
        <v>23</v>
      </c>
      <c r="C136" s="7">
        <f t="shared" ref="C136:C143" si="55">B136/3.6</f>
        <v>6.3888888888888884</v>
      </c>
      <c r="D136" s="6">
        <v>23</v>
      </c>
      <c r="E136" s="7">
        <f t="shared" ref="E136:E143" si="56">D136/3.6</f>
        <v>6.3888888888888884</v>
      </c>
      <c r="F136" s="8">
        <f t="shared" ref="F136:F144" si="57">IFERROR(D136/B136,0)</f>
        <v>1</v>
      </c>
      <c r="G136" s="9"/>
      <c r="I136" s="10">
        <f t="shared" ref="I136:I143" si="58">IF(B136&gt;0,C136,"")</f>
        <v>6.3888888888888884</v>
      </c>
      <c r="J136" s="10">
        <f t="shared" ref="J136:J143" si="59">IF(D136&gt;0,E136,"")</f>
        <v>6.3888888888888884</v>
      </c>
    </row>
    <row r="137" spans="1:10" x14ac:dyDescent="0.25">
      <c r="A137" s="6" t="s">
        <v>51</v>
      </c>
      <c r="B137" s="6">
        <v>25</v>
      </c>
      <c r="C137" s="7">
        <f t="shared" si="55"/>
        <v>6.9444444444444446</v>
      </c>
      <c r="D137" s="6">
        <v>20</v>
      </c>
      <c r="E137" s="7">
        <f t="shared" si="56"/>
        <v>5.5555555555555554</v>
      </c>
      <c r="F137" s="8">
        <f t="shared" si="57"/>
        <v>0.8</v>
      </c>
      <c r="G137" s="9"/>
      <c r="I137" s="10">
        <f t="shared" si="58"/>
        <v>6.9444444444444446</v>
      </c>
      <c r="J137" s="10">
        <f t="shared" si="59"/>
        <v>5.5555555555555554</v>
      </c>
    </row>
    <row r="138" spans="1:10" x14ac:dyDescent="0.25">
      <c r="A138" s="6" t="s">
        <v>63</v>
      </c>
      <c r="B138" s="6">
        <v>16</v>
      </c>
      <c r="C138" s="7">
        <f t="shared" si="55"/>
        <v>4.4444444444444446</v>
      </c>
      <c r="D138" s="6">
        <v>16</v>
      </c>
      <c r="E138" s="7">
        <f t="shared" si="56"/>
        <v>4.4444444444444446</v>
      </c>
      <c r="F138" s="8">
        <f t="shared" si="57"/>
        <v>1</v>
      </c>
      <c r="G138" s="9"/>
      <c r="I138" s="10">
        <f t="shared" si="58"/>
        <v>4.4444444444444446</v>
      </c>
      <c r="J138" s="10">
        <f t="shared" si="59"/>
        <v>4.4444444444444446</v>
      </c>
    </row>
    <row r="139" spans="1:10" x14ac:dyDescent="0.25">
      <c r="A139" s="6" t="s">
        <v>64</v>
      </c>
      <c r="B139" s="6">
        <v>24</v>
      </c>
      <c r="C139" s="7">
        <f t="shared" si="55"/>
        <v>6.6666666666666661</v>
      </c>
      <c r="D139" s="6">
        <v>24</v>
      </c>
      <c r="E139" s="7">
        <f t="shared" si="56"/>
        <v>6.6666666666666661</v>
      </c>
      <c r="F139" s="8">
        <f t="shared" si="57"/>
        <v>1</v>
      </c>
      <c r="G139" s="9"/>
      <c r="I139" s="10">
        <f t="shared" si="58"/>
        <v>6.6666666666666661</v>
      </c>
      <c r="J139" s="10">
        <f t="shared" si="59"/>
        <v>6.6666666666666661</v>
      </c>
    </row>
    <row r="140" spans="1:10" x14ac:dyDescent="0.25">
      <c r="A140" s="6" t="s">
        <v>65</v>
      </c>
      <c r="B140" s="6">
        <v>19</v>
      </c>
      <c r="C140" s="7">
        <f t="shared" si="55"/>
        <v>5.2777777777777777</v>
      </c>
      <c r="D140" s="6">
        <v>17</v>
      </c>
      <c r="E140" s="7">
        <f t="shared" si="56"/>
        <v>4.7222222222222223</v>
      </c>
      <c r="F140" s="8">
        <f t="shared" si="57"/>
        <v>0.89473684210526316</v>
      </c>
      <c r="G140" s="9"/>
      <c r="I140" s="10">
        <f t="shared" si="58"/>
        <v>5.2777777777777777</v>
      </c>
      <c r="J140" s="10">
        <f t="shared" si="59"/>
        <v>4.7222222222222223</v>
      </c>
    </row>
    <row r="141" spans="1:10" x14ac:dyDescent="0.25">
      <c r="A141" s="6" t="s">
        <v>66</v>
      </c>
      <c r="B141" s="6">
        <v>24</v>
      </c>
      <c r="C141" s="7">
        <f t="shared" si="55"/>
        <v>6.6666666666666661</v>
      </c>
      <c r="D141" s="6">
        <v>24</v>
      </c>
      <c r="E141" s="7">
        <f t="shared" si="56"/>
        <v>6.6666666666666661</v>
      </c>
      <c r="F141" s="8">
        <f t="shared" si="57"/>
        <v>1</v>
      </c>
      <c r="G141" s="9"/>
      <c r="I141" s="10">
        <f t="shared" si="58"/>
        <v>6.6666666666666661</v>
      </c>
      <c r="J141" s="10">
        <f t="shared" si="59"/>
        <v>6.6666666666666661</v>
      </c>
    </row>
    <row r="142" spans="1:10" x14ac:dyDescent="0.25">
      <c r="A142" s="6" t="s">
        <v>67</v>
      </c>
      <c r="B142" s="6">
        <v>22</v>
      </c>
      <c r="C142" s="7">
        <f t="shared" si="55"/>
        <v>6.1111111111111107</v>
      </c>
      <c r="D142" s="6">
        <v>22</v>
      </c>
      <c r="E142" s="7">
        <f t="shared" si="56"/>
        <v>6.1111111111111107</v>
      </c>
      <c r="F142" s="8">
        <f t="shared" si="57"/>
        <v>1</v>
      </c>
      <c r="G142" s="9"/>
      <c r="I142" s="10">
        <f t="shared" si="58"/>
        <v>6.1111111111111107</v>
      </c>
      <c r="J142" s="10">
        <f t="shared" si="59"/>
        <v>6.1111111111111107</v>
      </c>
    </row>
    <row r="143" spans="1:10" x14ac:dyDescent="0.25">
      <c r="A143" s="6" t="s">
        <v>68</v>
      </c>
      <c r="B143" s="6">
        <v>15</v>
      </c>
      <c r="C143" s="7">
        <f t="shared" si="55"/>
        <v>4.166666666666667</v>
      </c>
      <c r="D143" s="6">
        <v>10</v>
      </c>
      <c r="E143" s="7">
        <f t="shared" si="56"/>
        <v>2.7777777777777777</v>
      </c>
      <c r="F143" s="8">
        <f t="shared" si="57"/>
        <v>0.66666666666666663</v>
      </c>
      <c r="G143" s="9"/>
      <c r="I143" s="10">
        <f t="shared" si="58"/>
        <v>4.166666666666667</v>
      </c>
      <c r="J143" s="10">
        <f t="shared" si="59"/>
        <v>2.7777777777777777</v>
      </c>
    </row>
    <row r="144" spans="1:10" x14ac:dyDescent="0.25">
      <c r="A144" s="11" t="s">
        <v>23</v>
      </c>
      <c r="B144" s="11">
        <f>SUM(B136:B143)</f>
        <v>168</v>
      </c>
      <c r="C144" s="12">
        <f>AVERAGE(C136:C143)</f>
        <v>5.833333333333333</v>
      </c>
      <c r="D144" s="11">
        <f>SUM(D136:D143)</f>
        <v>156</v>
      </c>
      <c r="E144" s="12">
        <f>AVERAGE(E136:E143)</f>
        <v>5.4166666666666652</v>
      </c>
      <c r="F144" s="13">
        <f t="shared" si="57"/>
        <v>0.9285714285714286</v>
      </c>
      <c r="G144" s="14"/>
    </row>
    <row r="146" spans="1:10" x14ac:dyDescent="0.25">
      <c r="A146" s="3" t="s">
        <v>69</v>
      </c>
      <c r="B146" s="4"/>
      <c r="C146" s="4"/>
      <c r="D146" s="4"/>
      <c r="E146" s="4"/>
      <c r="F146" s="4"/>
      <c r="G146" s="4"/>
    </row>
    <row r="147" spans="1:10" ht="45" x14ac:dyDescent="0.25">
      <c r="A147" s="5" t="s">
        <v>4</v>
      </c>
      <c r="B147" s="5" t="s">
        <v>5</v>
      </c>
      <c r="C147" s="5" t="s">
        <v>6</v>
      </c>
      <c r="D147" s="5" t="s">
        <v>7</v>
      </c>
      <c r="E147" s="5" t="s">
        <v>8</v>
      </c>
      <c r="F147" s="5" t="s">
        <v>9</v>
      </c>
      <c r="G147" s="5" t="s">
        <v>10</v>
      </c>
    </row>
    <row r="148" spans="1:10" x14ac:dyDescent="0.25">
      <c r="A148" s="6" t="s">
        <v>11</v>
      </c>
      <c r="B148" s="6">
        <v>25.26</v>
      </c>
      <c r="C148" s="7">
        <f t="shared" ref="C148:C154" si="60">B148/3.6</f>
        <v>7.0166666666666666</v>
      </c>
      <c r="D148" s="6">
        <v>24.87</v>
      </c>
      <c r="E148" s="7">
        <f t="shared" ref="E148:E154" si="61">D148/3.6</f>
        <v>6.9083333333333332</v>
      </c>
      <c r="F148" s="8">
        <f t="shared" ref="F148:F155" si="62">IFERROR(D148/B148,0)</f>
        <v>0.98456057007125886</v>
      </c>
      <c r="G148" s="9"/>
      <c r="I148" s="10">
        <f t="shared" ref="I148:I154" si="63">IF(B148&gt;0,C148,"")</f>
        <v>7.0166666666666666</v>
      </c>
      <c r="J148" s="10">
        <f t="shared" ref="J148:J154" si="64">IF(D148&gt;0,E148,"")</f>
        <v>6.9083333333333332</v>
      </c>
    </row>
    <row r="149" spans="1:10" x14ac:dyDescent="0.25">
      <c r="A149" s="6" t="s">
        <v>12</v>
      </c>
      <c r="B149" s="6">
        <v>25.53</v>
      </c>
      <c r="C149" s="7">
        <f t="shared" si="60"/>
        <v>7.0916666666666668</v>
      </c>
      <c r="D149" s="6">
        <v>24.34</v>
      </c>
      <c r="E149" s="7">
        <f t="shared" si="61"/>
        <v>6.7611111111111111</v>
      </c>
      <c r="F149" s="8">
        <f t="shared" si="62"/>
        <v>0.95338817077947513</v>
      </c>
      <c r="G149" s="9"/>
      <c r="I149" s="10">
        <f t="shared" si="63"/>
        <v>7.0916666666666668</v>
      </c>
      <c r="J149" s="10">
        <f t="shared" si="64"/>
        <v>6.7611111111111111</v>
      </c>
    </row>
    <row r="150" spans="1:10" x14ac:dyDescent="0.25">
      <c r="A150" s="6" t="s">
        <v>13</v>
      </c>
      <c r="B150" s="6">
        <v>25.75</v>
      </c>
      <c r="C150" s="7">
        <f t="shared" si="60"/>
        <v>7.1527777777777777</v>
      </c>
      <c r="D150" s="6">
        <v>25.38</v>
      </c>
      <c r="E150" s="7">
        <f t="shared" si="61"/>
        <v>7.05</v>
      </c>
      <c r="F150" s="8">
        <f t="shared" si="62"/>
        <v>0.98563106796116506</v>
      </c>
      <c r="G150" s="9"/>
      <c r="I150" s="10">
        <f t="shared" si="63"/>
        <v>7.1527777777777777</v>
      </c>
      <c r="J150" s="10">
        <f t="shared" si="64"/>
        <v>7.05</v>
      </c>
    </row>
    <row r="151" spans="1:10" x14ac:dyDescent="0.25">
      <c r="A151" s="6" t="s">
        <v>15</v>
      </c>
      <c r="B151" s="6">
        <v>21.82</v>
      </c>
      <c r="C151" s="7">
        <f t="shared" si="60"/>
        <v>6.0611111111111109</v>
      </c>
      <c r="D151" s="6">
        <v>20.8</v>
      </c>
      <c r="E151" s="7">
        <f t="shared" si="61"/>
        <v>5.7777777777777777</v>
      </c>
      <c r="F151" s="8">
        <f t="shared" si="62"/>
        <v>0.95325389550870765</v>
      </c>
      <c r="G151" s="9"/>
      <c r="I151" s="10">
        <f t="shared" si="63"/>
        <v>6.0611111111111109</v>
      </c>
      <c r="J151" s="10">
        <f t="shared" si="64"/>
        <v>5.7777777777777777</v>
      </c>
    </row>
    <row r="152" spans="1:10" x14ac:dyDescent="0.25">
      <c r="A152" s="6" t="s">
        <v>17</v>
      </c>
      <c r="B152" s="6">
        <v>24.37</v>
      </c>
      <c r="C152" s="7">
        <f t="shared" si="60"/>
        <v>6.7694444444444448</v>
      </c>
      <c r="D152" s="6">
        <v>24.12</v>
      </c>
      <c r="E152" s="7">
        <f t="shared" si="61"/>
        <v>6.7</v>
      </c>
      <c r="F152" s="8">
        <f t="shared" si="62"/>
        <v>0.9897414854329093</v>
      </c>
      <c r="G152" s="9"/>
      <c r="I152" s="10">
        <f t="shared" si="63"/>
        <v>6.7694444444444448</v>
      </c>
      <c r="J152" s="10">
        <f t="shared" si="64"/>
        <v>6.7</v>
      </c>
    </row>
    <row r="153" spans="1:10" x14ac:dyDescent="0.25">
      <c r="A153" s="6" t="s">
        <v>19</v>
      </c>
      <c r="B153" s="6">
        <v>23.6</v>
      </c>
      <c r="C153" s="7">
        <f t="shared" si="60"/>
        <v>6.5555555555555554</v>
      </c>
      <c r="D153" s="6">
        <v>23.09</v>
      </c>
      <c r="E153" s="7">
        <f t="shared" si="61"/>
        <v>6.4138888888888888</v>
      </c>
      <c r="F153" s="8">
        <f t="shared" si="62"/>
        <v>0.9783898305084745</v>
      </c>
      <c r="G153" s="9"/>
      <c r="I153" s="10">
        <f t="shared" si="63"/>
        <v>6.5555555555555554</v>
      </c>
      <c r="J153" s="10">
        <f t="shared" si="64"/>
        <v>6.4138888888888888</v>
      </c>
    </row>
    <row r="154" spans="1:10" x14ac:dyDescent="0.25">
      <c r="A154" s="6" t="s">
        <v>20</v>
      </c>
      <c r="B154" s="6">
        <v>16.02</v>
      </c>
      <c r="C154" s="7">
        <f t="shared" si="60"/>
        <v>4.45</v>
      </c>
      <c r="D154" s="6">
        <v>12.57</v>
      </c>
      <c r="E154" s="7">
        <f t="shared" si="61"/>
        <v>3.4916666666666667</v>
      </c>
      <c r="F154" s="8">
        <f t="shared" si="62"/>
        <v>0.78464419475655434</v>
      </c>
      <c r="G154" s="9"/>
      <c r="I154" s="10">
        <f t="shared" si="63"/>
        <v>4.45</v>
      </c>
      <c r="J154" s="10">
        <f t="shared" si="64"/>
        <v>3.4916666666666667</v>
      </c>
    </row>
    <row r="155" spans="1:10" x14ac:dyDescent="0.25">
      <c r="A155" s="11" t="s">
        <v>23</v>
      </c>
      <c r="B155" s="11">
        <f>SUM(B148:B154)</f>
        <v>162.35000000000002</v>
      </c>
      <c r="C155" s="12">
        <f>AVERAGE(C148:C154)</f>
        <v>6.4424603174603181</v>
      </c>
      <c r="D155" s="11">
        <f>SUM(D148:D154)</f>
        <v>155.16999999999999</v>
      </c>
      <c r="E155" s="12">
        <f>AVERAGE(E148:E154)</f>
        <v>6.1575396825396833</v>
      </c>
      <c r="F155" s="13">
        <f t="shared" si="62"/>
        <v>0.95577456113335368</v>
      </c>
      <c r="G155" s="14"/>
    </row>
    <row r="157" spans="1:10" x14ac:dyDescent="0.25">
      <c r="A157" s="3" t="s">
        <v>70</v>
      </c>
      <c r="B157" s="4"/>
      <c r="C157" s="4"/>
      <c r="D157" s="4"/>
      <c r="E157" s="4"/>
      <c r="F157" s="4"/>
      <c r="G157" s="4"/>
    </row>
    <row r="158" spans="1:10" ht="45" x14ac:dyDescent="0.25">
      <c r="A158" s="5" t="s">
        <v>4</v>
      </c>
      <c r="B158" s="5" t="s">
        <v>5</v>
      </c>
      <c r="C158" s="5" t="s">
        <v>6</v>
      </c>
      <c r="D158" s="5" t="s">
        <v>7</v>
      </c>
      <c r="E158" s="5" t="s">
        <v>8</v>
      </c>
      <c r="F158" s="5" t="s">
        <v>9</v>
      </c>
      <c r="G158" s="5" t="s">
        <v>10</v>
      </c>
    </row>
    <row r="159" spans="1:10" x14ac:dyDescent="0.25">
      <c r="A159" s="6" t="s">
        <v>29</v>
      </c>
      <c r="B159" s="6">
        <v>0</v>
      </c>
      <c r="C159" s="7">
        <f t="shared" ref="C159:C166" si="65">B159/3.6</f>
        <v>0</v>
      </c>
      <c r="D159" s="6">
        <v>0</v>
      </c>
      <c r="E159" s="7">
        <f t="shared" ref="E159:E166" si="66">D159/3.6</f>
        <v>0</v>
      </c>
      <c r="F159" s="8">
        <f t="shared" ref="F159:F167" si="67">IFERROR(D159/B159,0)</f>
        <v>0</v>
      </c>
      <c r="G159" s="9" t="s">
        <v>71</v>
      </c>
      <c r="I159" s="10" t="str">
        <f t="shared" ref="I159:I166" si="68">IF(B159&gt;0,C159,"")</f>
        <v/>
      </c>
      <c r="J159" s="10" t="str">
        <f t="shared" ref="J159:J166" si="69">IF(D159&gt;0,E159,"")</f>
        <v/>
      </c>
    </row>
    <row r="160" spans="1:10" x14ac:dyDescent="0.25">
      <c r="A160" s="6" t="s">
        <v>30</v>
      </c>
      <c r="B160" s="6">
        <v>9</v>
      </c>
      <c r="C160" s="7">
        <f t="shared" si="65"/>
        <v>2.5</v>
      </c>
      <c r="D160" s="6">
        <v>8</v>
      </c>
      <c r="E160" s="7">
        <f t="shared" si="66"/>
        <v>2.2222222222222223</v>
      </c>
      <c r="F160" s="8">
        <f t="shared" si="67"/>
        <v>0.88888888888888884</v>
      </c>
      <c r="G160" s="9" t="s">
        <v>72</v>
      </c>
      <c r="I160" s="10">
        <f t="shared" si="68"/>
        <v>2.5</v>
      </c>
      <c r="J160" s="10">
        <f t="shared" si="69"/>
        <v>2.2222222222222223</v>
      </c>
    </row>
    <row r="161" spans="1:10" x14ac:dyDescent="0.25">
      <c r="A161" s="6" t="s">
        <v>32</v>
      </c>
      <c r="B161" s="6">
        <v>22</v>
      </c>
      <c r="C161" s="7">
        <f t="shared" si="65"/>
        <v>6.1111111111111107</v>
      </c>
      <c r="D161" s="6">
        <v>22</v>
      </c>
      <c r="E161" s="7">
        <f t="shared" si="66"/>
        <v>6.1111111111111107</v>
      </c>
      <c r="F161" s="8">
        <f t="shared" si="67"/>
        <v>1</v>
      </c>
      <c r="G161" s="9"/>
      <c r="I161" s="10">
        <f t="shared" si="68"/>
        <v>6.1111111111111107</v>
      </c>
      <c r="J161" s="10">
        <f t="shared" si="69"/>
        <v>6.1111111111111107</v>
      </c>
    </row>
    <row r="162" spans="1:10" x14ac:dyDescent="0.25">
      <c r="A162" s="6" t="s">
        <v>33</v>
      </c>
      <c r="B162" s="6">
        <v>26</v>
      </c>
      <c r="C162" s="7">
        <f t="shared" si="65"/>
        <v>7.2222222222222223</v>
      </c>
      <c r="D162" s="6">
        <v>25</v>
      </c>
      <c r="E162" s="7">
        <f t="shared" si="66"/>
        <v>6.9444444444444446</v>
      </c>
      <c r="F162" s="8">
        <f t="shared" si="67"/>
        <v>0.96153846153846156</v>
      </c>
      <c r="G162" s="9"/>
      <c r="I162" s="10">
        <f t="shared" si="68"/>
        <v>7.2222222222222223</v>
      </c>
      <c r="J162" s="10">
        <f t="shared" si="69"/>
        <v>6.9444444444444446</v>
      </c>
    </row>
    <row r="163" spans="1:10" x14ac:dyDescent="0.25">
      <c r="A163" s="6" t="s">
        <v>34</v>
      </c>
      <c r="B163" s="6">
        <v>27</v>
      </c>
      <c r="C163" s="7">
        <f t="shared" si="65"/>
        <v>7.5</v>
      </c>
      <c r="D163" s="6">
        <v>27</v>
      </c>
      <c r="E163" s="7">
        <f t="shared" si="66"/>
        <v>7.5</v>
      </c>
      <c r="F163" s="8">
        <f t="shared" si="67"/>
        <v>1</v>
      </c>
      <c r="G163" s="9"/>
      <c r="I163" s="10">
        <f t="shared" si="68"/>
        <v>7.5</v>
      </c>
      <c r="J163" s="10">
        <f t="shared" si="69"/>
        <v>7.5</v>
      </c>
    </row>
    <row r="164" spans="1:10" x14ac:dyDescent="0.25">
      <c r="A164" s="6" t="s">
        <v>35</v>
      </c>
      <c r="B164" s="6">
        <v>25</v>
      </c>
      <c r="C164" s="7">
        <f t="shared" si="65"/>
        <v>6.9444444444444446</v>
      </c>
      <c r="D164" s="6">
        <v>21</v>
      </c>
      <c r="E164" s="7">
        <f t="shared" si="66"/>
        <v>5.833333333333333</v>
      </c>
      <c r="F164" s="8">
        <f t="shared" si="67"/>
        <v>0.84</v>
      </c>
      <c r="G164" s="9"/>
      <c r="I164" s="10">
        <f t="shared" si="68"/>
        <v>6.9444444444444446</v>
      </c>
      <c r="J164" s="10">
        <f t="shared" si="69"/>
        <v>5.833333333333333</v>
      </c>
    </row>
    <row r="165" spans="1:10" x14ac:dyDescent="0.25">
      <c r="A165" s="6" t="s">
        <v>36</v>
      </c>
      <c r="B165" s="6">
        <v>20</v>
      </c>
      <c r="C165" s="7">
        <f t="shared" si="65"/>
        <v>5.5555555555555554</v>
      </c>
      <c r="D165" s="6">
        <v>20</v>
      </c>
      <c r="E165" s="7">
        <f t="shared" si="66"/>
        <v>5.5555555555555554</v>
      </c>
      <c r="F165" s="8">
        <f t="shared" si="67"/>
        <v>1</v>
      </c>
      <c r="G165" s="9" t="s">
        <v>73</v>
      </c>
      <c r="I165" s="10">
        <f t="shared" si="68"/>
        <v>5.5555555555555554</v>
      </c>
      <c r="J165" s="10">
        <f t="shared" si="69"/>
        <v>5.5555555555555554</v>
      </c>
    </row>
    <row r="166" spans="1:10" x14ac:dyDescent="0.25">
      <c r="A166" s="6" t="s">
        <v>11</v>
      </c>
      <c r="B166" s="6">
        <v>8</v>
      </c>
      <c r="C166" s="7">
        <f t="shared" si="65"/>
        <v>2.2222222222222223</v>
      </c>
      <c r="D166" s="6">
        <v>7</v>
      </c>
      <c r="E166" s="7">
        <f t="shared" si="66"/>
        <v>1.9444444444444444</v>
      </c>
      <c r="F166" s="8">
        <f t="shared" si="67"/>
        <v>0.875</v>
      </c>
      <c r="G166" s="9"/>
      <c r="I166" s="10">
        <f t="shared" si="68"/>
        <v>2.2222222222222223</v>
      </c>
      <c r="J166" s="10">
        <f t="shared" si="69"/>
        <v>1.9444444444444444</v>
      </c>
    </row>
    <row r="167" spans="1:10" x14ac:dyDescent="0.25">
      <c r="A167" s="11" t="s">
        <v>23</v>
      </c>
      <c r="B167" s="11">
        <f>SUM(B159:B166)</f>
        <v>137</v>
      </c>
      <c r="C167" s="12">
        <f>AVERAGE(C159:C166)</f>
        <v>4.7569444444444446</v>
      </c>
      <c r="D167" s="11">
        <f>SUM(D159:D166)</f>
        <v>130</v>
      </c>
      <c r="E167" s="12">
        <f>AVERAGE(E159:E166)</f>
        <v>4.5138888888888884</v>
      </c>
      <c r="F167" s="13">
        <f t="shared" si="67"/>
        <v>0.94890510948905105</v>
      </c>
      <c r="G167" s="14"/>
    </row>
    <row r="169" spans="1:10" x14ac:dyDescent="0.25">
      <c r="A169" s="3" t="s">
        <v>74</v>
      </c>
      <c r="B169" s="4"/>
      <c r="C169" s="4"/>
      <c r="D169" s="4"/>
      <c r="E169" s="4"/>
      <c r="F169" s="4"/>
      <c r="G169" s="4"/>
    </row>
    <row r="170" spans="1:10" ht="45" x14ac:dyDescent="0.25">
      <c r="A170" s="5" t="s">
        <v>4</v>
      </c>
      <c r="B170" s="5" t="s">
        <v>5</v>
      </c>
      <c r="C170" s="5" t="s">
        <v>6</v>
      </c>
      <c r="D170" s="5" t="s">
        <v>7</v>
      </c>
      <c r="E170" s="5" t="s">
        <v>8</v>
      </c>
      <c r="F170" s="5" t="s">
        <v>9</v>
      </c>
      <c r="G170" s="5" t="s">
        <v>10</v>
      </c>
    </row>
    <row r="171" spans="1:10" x14ac:dyDescent="0.25">
      <c r="A171" s="6" t="s">
        <v>12</v>
      </c>
      <c r="B171" s="6">
        <v>10</v>
      </c>
      <c r="C171" s="7">
        <f t="shared" ref="C171:C178" si="70">B171/3.6</f>
        <v>2.7777777777777777</v>
      </c>
      <c r="D171" s="6">
        <v>8</v>
      </c>
      <c r="E171" s="7">
        <f t="shared" ref="E171:E178" si="71">D171/3.6</f>
        <v>2.2222222222222223</v>
      </c>
      <c r="F171" s="8">
        <f t="shared" ref="F171:F179" si="72">IFERROR(D171/B171,0)</f>
        <v>0.8</v>
      </c>
      <c r="G171" s="9" t="s">
        <v>31</v>
      </c>
      <c r="I171" s="10">
        <f t="shared" ref="I171:I178" si="73">IF(B171&gt;0,C171,"")</f>
        <v>2.7777777777777777</v>
      </c>
      <c r="J171" s="10">
        <f t="shared" ref="J171:J178" si="74">IF(D171&gt;0,E171,"")</f>
        <v>2.2222222222222223</v>
      </c>
    </row>
    <row r="172" spans="1:10" x14ac:dyDescent="0.25">
      <c r="A172" s="6" t="s">
        <v>13</v>
      </c>
      <c r="B172" s="6">
        <v>16</v>
      </c>
      <c r="C172" s="7">
        <f t="shared" si="70"/>
        <v>4.4444444444444446</v>
      </c>
      <c r="D172" s="6">
        <v>14</v>
      </c>
      <c r="E172" s="7">
        <f t="shared" si="71"/>
        <v>3.8888888888888888</v>
      </c>
      <c r="F172" s="8">
        <f t="shared" si="72"/>
        <v>0.875</v>
      </c>
      <c r="G172" s="9"/>
      <c r="I172" s="10">
        <f t="shared" si="73"/>
        <v>4.4444444444444446</v>
      </c>
      <c r="J172" s="10">
        <f t="shared" si="74"/>
        <v>3.8888888888888888</v>
      </c>
    </row>
    <row r="173" spans="1:10" x14ac:dyDescent="0.25">
      <c r="A173" s="6" t="s">
        <v>15</v>
      </c>
      <c r="B173" s="6">
        <v>9</v>
      </c>
      <c r="C173" s="7">
        <f t="shared" si="70"/>
        <v>2.5</v>
      </c>
      <c r="D173" s="6">
        <v>6</v>
      </c>
      <c r="E173" s="7">
        <f t="shared" si="71"/>
        <v>1.6666666666666665</v>
      </c>
      <c r="F173" s="8">
        <f t="shared" si="72"/>
        <v>0.66666666666666663</v>
      </c>
      <c r="G173" s="9" t="s">
        <v>75</v>
      </c>
      <c r="I173" s="10">
        <f t="shared" si="73"/>
        <v>2.5</v>
      </c>
      <c r="J173" s="10">
        <f t="shared" si="74"/>
        <v>1.6666666666666665</v>
      </c>
    </row>
    <row r="174" spans="1:10" x14ac:dyDescent="0.25">
      <c r="A174" s="6" t="s">
        <v>17</v>
      </c>
      <c r="B174" s="6">
        <v>21</v>
      </c>
      <c r="C174" s="7">
        <f t="shared" si="70"/>
        <v>5.833333333333333</v>
      </c>
      <c r="D174" s="6">
        <v>22</v>
      </c>
      <c r="E174" s="7">
        <f t="shared" si="71"/>
        <v>6.1111111111111107</v>
      </c>
      <c r="F174" s="8">
        <f t="shared" si="72"/>
        <v>1.0476190476190477</v>
      </c>
      <c r="G174" s="9"/>
      <c r="I174" s="10">
        <f t="shared" si="73"/>
        <v>5.833333333333333</v>
      </c>
      <c r="J174" s="10">
        <f t="shared" si="74"/>
        <v>6.1111111111111107</v>
      </c>
    </row>
    <row r="175" spans="1:10" x14ac:dyDescent="0.25">
      <c r="A175" s="6" t="s">
        <v>19</v>
      </c>
      <c r="B175" s="6">
        <v>24</v>
      </c>
      <c r="C175" s="7">
        <f t="shared" si="70"/>
        <v>6.6666666666666661</v>
      </c>
      <c r="D175" s="6">
        <v>22</v>
      </c>
      <c r="E175" s="7">
        <f t="shared" si="71"/>
        <v>6.1111111111111107</v>
      </c>
      <c r="F175" s="8">
        <f t="shared" si="72"/>
        <v>0.91666666666666663</v>
      </c>
      <c r="G175" s="9"/>
      <c r="I175" s="10">
        <f t="shared" si="73"/>
        <v>6.6666666666666661</v>
      </c>
      <c r="J175" s="10">
        <f t="shared" si="74"/>
        <v>6.1111111111111107</v>
      </c>
    </row>
    <row r="176" spans="1:10" x14ac:dyDescent="0.25">
      <c r="A176" s="6" t="s">
        <v>20</v>
      </c>
      <c r="B176" s="6">
        <v>19</v>
      </c>
      <c r="C176" s="7">
        <f t="shared" si="70"/>
        <v>5.2777777777777777</v>
      </c>
      <c r="D176" s="6">
        <v>18</v>
      </c>
      <c r="E176" s="7">
        <f t="shared" si="71"/>
        <v>5</v>
      </c>
      <c r="F176" s="8">
        <f t="shared" si="72"/>
        <v>0.94736842105263153</v>
      </c>
      <c r="G176" s="9"/>
      <c r="I176" s="10">
        <f t="shared" si="73"/>
        <v>5.2777777777777777</v>
      </c>
      <c r="J176" s="10">
        <f t="shared" si="74"/>
        <v>5</v>
      </c>
    </row>
    <row r="177" spans="1:10" x14ac:dyDescent="0.25">
      <c r="A177" s="6" t="s">
        <v>22</v>
      </c>
      <c r="B177" s="6">
        <v>27</v>
      </c>
      <c r="C177" s="7">
        <f t="shared" si="70"/>
        <v>7.5</v>
      </c>
      <c r="D177" s="6">
        <v>24</v>
      </c>
      <c r="E177" s="7">
        <f t="shared" si="71"/>
        <v>6.6666666666666661</v>
      </c>
      <c r="F177" s="8">
        <f t="shared" si="72"/>
        <v>0.88888888888888884</v>
      </c>
      <c r="G177" s="9"/>
      <c r="I177" s="10">
        <f t="shared" si="73"/>
        <v>7.5</v>
      </c>
      <c r="J177" s="10">
        <f t="shared" si="74"/>
        <v>6.6666666666666661</v>
      </c>
    </row>
    <row r="178" spans="1:10" x14ac:dyDescent="0.25">
      <c r="A178" s="6" t="s">
        <v>51</v>
      </c>
      <c r="B178" s="6">
        <v>9</v>
      </c>
      <c r="C178" s="7">
        <f t="shared" si="70"/>
        <v>2.5</v>
      </c>
      <c r="D178" s="6">
        <v>9</v>
      </c>
      <c r="E178" s="7">
        <f t="shared" si="71"/>
        <v>2.5</v>
      </c>
      <c r="F178" s="8">
        <f t="shared" si="72"/>
        <v>1</v>
      </c>
      <c r="G178" s="9"/>
      <c r="I178" s="10">
        <f t="shared" si="73"/>
        <v>2.5</v>
      </c>
      <c r="J178" s="10">
        <f t="shared" si="74"/>
        <v>2.5</v>
      </c>
    </row>
    <row r="179" spans="1:10" x14ac:dyDescent="0.25">
      <c r="A179" s="11" t="s">
        <v>23</v>
      </c>
      <c r="B179" s="11">
        <f>SUM(B171:B178)</f>
        <v>135</v>
      </c>
      <c r="C179" s="12">
        <f>AVERAGE(C171:C178)</f>
        <v>4.6875</v>
      </c>
      <c r="D179" s="11">
        <f>SUM(D171:D178)</f>
        <v>123</v>
      </c>
      <c r="E179" s="12">
        <f>AVERAGE(E171:E178)</f>
        <v>4.270833333333333</v>
      </c>
      <c r="F179" s="13">
        <f t="shared" si="72"/>
        <v>0.91111111111111109</v>
      </c>
      <c r="G179" s="14"/>
    </row>
    <row r="181" spans="1:10" x14ac:dyDescent="0.25">
      <c r="A181" s="3" t="s">
        <v>76</v>
      </c>
      <c r="B181" s="4"/>
      <c r="C181" s="4"/>
      <c r="D181" s="4"/>
      <c r="E181" s="4"/>
      <c r="F181" s="4"/>
      <c r="G181" s="4"/>
    </row>
    <row r="182" spans="1:10" ht="45" x14ac:dyDescent="0.25">
      <c r="A182" s="5" t="s">
        <v>4</v>
      </c>
      <c r="B182" s="5" t="s">
        <v>5</v>
      </c>
      <c r="C182" s="5" t="s">
        <v>6</v>
      </c>
      <c r="D182" s="5" t="s">
        <v>7</v>
      </c>
      <c r="E182" s="5" t="s">
        <v>8</v>
      </c>
      <c r="F182" s="5" t="s">
        <v>9</v>
      </c>
      <c r="G182" s="5" t="s">
        <v>10</v>
      </c>
    </row>
    <row r="183" spans="1:10" x14ac:dyDescent="0.25">
      <c r="A183" s="6" t="s">
        <v>51</v>
      </c>
      <c r="B183" s="6">
        <v>0</v>
      </c>
      <c r="C183" s="7">
        <f>B183/3.6</f>
        <v>0</v>
      </c>
      <c r="D183" s="6">
        <v>0</v>
      </c>
      <c r="E183" s="7">
        <f>D183/3.6</f>
        <v>0</v>
      </c>
      <c r="F183" s="8">
        <f t="shared" ref="F183:F188" si="75">IFERROR(D183/B183,0)</f>
        <v>0</v>
      </c>
      <c r="G183" s="9" t="s">
        <v>77</v>
      </c>
      <c r="I183" s="10" t="str">
        <f>IF(B183&gt;0,C183,"")</f>
        <v/>
      </c>
      <c r="J183" s="10" t="str">
        <f>IF(D183&gt;0,E183,"")</f>
        <v/>
      </c>
    </row>
    <row r="184" spans="1:10" x14ac:dyDescent="0.25">
      <c r="A184" s="6" t="s">
        <v>63</v>
      </c>
      <c r="B184" s="6">
        <v>0</v>
      </c>
      <c r="C184" s="7">
        <f>B184/3.6</f>
        <v>0</v>
      </c>
      <c r="D184" s="6">
        <v>0</v>
      </c>
      <c r="E184" s="7">
        <f>D184/3.6</f>
        <v>0</v>
      </c>
      <c r="F184" s="8">
        <f t="shared" si="75"/>
        <v>0</v>
      </c>
      <c r="G184" s="9"/>
      <c r="I184" s="10" t="str">
        <f>IF(B184&gt;0,C184,"")</f>
        <v/>
      </c>
      <c r="J184" s="10" t="str">
        <f>IF(D184&gt;0,E184,"")</f>
        <v/>
      </c>
    </row>
    <row r="185" spans="1:10" x14ac:dyDescent="0.25">
      <c r="A185" s="6" t="s">
        <v>66</v>
      </c>
      <c r="B185" s="6">
        <v>33</v>
      </c>
      <c r="C185" s="7">
        <f>B185/3.6</f>
        <v>9.1666666666666661</v>
      </c>
      <c r="D185" s="6">
        <v>28</v>
      </c>
      <c r="E185" s="7">
        <f>D185/3.6</f>
        <v>7.7777777777777777</v>
      </c>
      <c r="F185" s="8">
        <f t="shared" si="75"/>
        <v>0.84848484848484851</v>
      </c>
      <c r="G185" s="9" t="s">
        <v>78</v>
      </c>
      <c r="I185" s="10">
        <f>IF(B185&gt;0,C185,"")</f>
        <v>9.1666666666666661</v>
      </c>
      <c r="J185" s="10">
        <f>IF(D185&gt;0,E185,"")</f>
        <v>7.7777777777777777</v>
      </c>
    </row>
    <row r="186" spans="1:10" x14ac:dyDescent="0.25">
      <c r="A186" s="6" t="s">
        <v>67</v>
      </c>
      <c r="B186" s="6">
        <v>21</v>
      </c>
      <c r="C186" s="7">
        <f>B186/3.6</f>
        <v>5.833333333333333</v>
      </c>
      <c r="D186" s="6">
        <v>20</v>
      </c>
      <c r="E186" s="7">
        <f>D186/3.6</f>
        <v>5.5555555555555554</v>
      </c>
      <c r="F186" s="8">
        <f t="shared" si="75"/>
        <v>0.95238095238095233</v>
      </c>
      <c r="G186" s="9"/>
      <c r="I186" s="10">
        <f>IF(B186&gt;0,C186,"")</f>
        <v>5.833333333333333</v>
      </c>
      <c r="J186" s="10">
        <f>IF(D186&gt;0,E186,"")</f>
        <v>5.5555555555555554</v>
      </c>
    </row>
    <row r="187" spans="1:10" x14ac:dyDescent="0.25">
      <c r="A187" s="6" t="s">
        <v>68</v>
      </c>
      <c r="B187" s="6">
        <v>2</v>
      </c>
      <c r="C187" s="7">
        <f>B187/3.6</f>
        <v>0.55555555555555558</v>
      </c>
      <c r="D187" s="6">
        <v>3</v>
      </c>
      <c r="E187" s="7">
        <f>D187/3.6</f>
        <v>0.83333333333333326</v>
      </c>
      <c r="F187" s="8">
        <f t="shared" si="75"/>
        <v>1.5</v>
      </c>
      <c r="G187" s="9"/>
      <c r="I187" s="10">
        <f>IF(B187&gt;0,C187,"")</f>
        <v>0.55555555555555558</v>
      </c>
      <c r="J187" s="10">
        <f>IF(D187&gt;0,E187,"")</f>
        <v>0.83333333333333326</v>
      </c>
    </row>
    <row r="188" spans="1:10" x14ac:dyDescent="0.25">
      <c r="A188" s="11" t="s">
        <v>23</v>
      </c>
      <c r="B188" s="11">
        <f>SUM(B183:B187)</f>
        <v>56</v>
      </c>
      <c r="C188" s="12">
        <f>AVERAGE(C183:C187)</f>
        <v>3.1111111111111112</v>
      </c>
      <c r="D188" s="11">
        <f>SUM(D183:D187)</f>
        <v>51</v>
      </c>
      <c r="E188" s="12">
        <f>AVERAGE(E183:E187)</f>
        <v>2.833333333333333</v>
      </c>
      <c r="F188" s="13">
        <f t="shared" si="75"/>
        <v>0.9107142857142857</v>
      </c>
      <c r="G188" s="14"/>
    </row>
    <row r="190" spans="1:10" x14ac:dyDescent="0.25">
      <c r="A190" s="3" t="s">
        <v>79</v>
      </c>
      <c r="B190" s="4"/>
      <c r="C190" s="4"/>
      <c r="D190" s="4"/>
      <c r="E190" s="4"/>
      <c r="F190" s="4"/>
      <c r="G190" s="4"/>
    </row>
    <row r="191" spans="1:10" ht="45" x14ac:dyDescent="0.25">
      <c r="A191" s="5" t="s">
        <v>4</v>
      </c>
      <c r="B191" s="5" t="s">
        <v>5</v>
      </c>
      <c r="C191" s="5" t="s">
        <v>6</v>
      </c>
      <c r="D191" s="5" t="s">
        <v>7</v>
      </c>
      <c r="E191" s="5" t="s">
        <v>8</v>
      </c>
      <c r="F191" s="5" t="s">
        <v>9</v>
      </c>
      <c r="G191" s="5" t="s">
        <v>10</v>
      </c>
    </row>
    <row r="192" spans="1:10" x14ac:dyDescent="0.25">
      <c r="A192" s="6" t="s">
        <v>80</v>
      </c>
      <c r="B192" s="6">
        <v>38</v>
      </c>
      <c r="C192" s="7">
        <f t="shared" ref="C192:C201" si="76">B192/3.6</f>
        <v>10.555555555555555</v>
      </c>
      <c r="D192" s="6">
        <v>37</v>
      </c>
      <c r="E192" s="7">
        <f t="shared" ref="E192:E201" si="77">D192/3.6</f>
        <v>10.277777777777777</v>
      </c>
      <c r="F192" s="8">
        <f t="shared" ref="F192:F202" si="78">IFERROR(D192/B192,0)</f>
        <v>0.97368421052631582</v>
      </c>
      <c r="G192" s="9"/>
      <c r="I192" s="10">
        <f t="shared" ref="I192:I201" si="79">IF(B192&gt;0,C192,"")</f>
        <v>10.555555555555555</v>
      </c>
      <c r="J192" s="10">
        <f t="shared" ref="J192:J201" si="80">IF(D192&gt;0,E192,"")</f>
        <v>10.277777777777777</v>
      </c>
    </row>
    <row r="193" spans="1:10" x14ac:dyDescent="0.25">
      <c r="A193" s="6" t="s">
        <v>81</v>
      </c>
      <c r="B193" s="6">
        <v>14</v>
      </c>
      <c r="C193" s="7">
        <f t="shared" si="76"/>
        <v>3.8888888888888888</v>
      </c>
      <c r="D193" s="6">
        <v>13</v>
      </c>
      <c r="E193" s="7">
        <f t="shared" si="77"/>
        <v>3.6111111111111112</v>
      </c>
      <c r="F193" s="8">
        <f t="shared" si="78"/>
        <v>0.9285714285714286</v>
      </c>
      <c r="G193" s="9" t="s">
        <v>73</v>
      </c>
      <c r="I193" s="10">
        <f t="shared" si="79"/>
        <v>3.8888888888888888</v>
      </c>
      <c r="J193" s="10">
        <f t="shared" si="80"/>
        <v>3.6111111111111112</v>
      </c>
    </row>
    <row r="194" spans="1:10" x14ac:dyDescent="0.25">
      <c r="A194" s="6" t="s">
        <v>29</v>
      </c>
      <c r="B194" s="6">
        <v>24</v>
      </c>
      <c r="C194" s="7">
        <f t="shared" si="76"/>
        <v>6.6666666666666661</v>
      </c>
      <c r="D194" s="6">
        <v>24</v>
      </c>
      <c r="E194" s="7">
        <f t="shared" si="77"/>
        <v>6.6666666666666661</v>
      </c>
      <c r="F194" s="8">
        <f t="shared" si="78"/>
        <v>1</v>
      </c>
      <c r="G194" s="9"/>
      <c r="I194" s="10">
        <f t="shared" si="79"/>
        <v>6.6666666666666661</v>
      </c>
      <c r="J194" s="10">
        <f t="shared" si="80"/>
        <v>6.6666666666666661</v>
      </c>
    </row>
    <row r="195" spans="1:10" x14ac:dyDescent="0.25">
      <c r="A195" s="6" t="s">
        <v>30</v>
      </c>
      <c r="B195" s="6">
        <v>15</v>
      </c>
      <c r="C195" s="7">
        <f t="shared" si="76"/>
        <v>4.166666666666667</v>
      </c>
      <c r="D195" s="6">
        <v>11</v>
      </c>
      <c r="E195" s="7">
        <f t="shared" si="77"/>
        <v>3.0555555555555554</v>
      </c>
      <c r="F195" s="8">
        <f t="shared" si="78"/>
        <v>0.73333333333333328</v>
      </c>
      <c r="G195" s="9" t="s">
        <v>73</v>
      </c>
      <c r="I195" s="10">
        <f t="shared" si="79"/>
        <v>4.166666666666667</v>
      </c>
      <c r="J195" s="10">
        <f t="shared" si="80"/>
        <v>3.0555555555555554</v>
      </c>
    </row>
    <row r="196" spans="1:10" x14ac:dyDescent="0.25">
      <c r="A196" s="6" t="s">
        <v>32</v>
      </c>
      <c r="B196" s="6">
        <v>27</v>
      </c>
      <c r="C196" s="7">
        <f t="shared" si="76"/>
        <v>7.5</v>
      </c>
      <c r="D196" s="6">
        <v>25</v>
      </c>
      <c r="E196" s="7">
        <f t="shared" si="77"/>
        <v>6.9444444444444446</v>
      </c>
      <c r="F196" s="8">
        <f t="shared" si="78"/>
        <v>0.92592592592592593</v>
      </c>
      <c r="G196" s="9"/>
      <c r="I196" s="10">
        <f t="shared" si="79"/>
        <v>7.5</v>
      </c>
      <c r="J196" s="10">
        <f t="shared" si="80"/>
        <v>6.9444444444444446</v>
      </c>
    </row>
    <row r="197" spans="1:10" x14ac:dyDescent="0.25">
      <c r="A197" s="6" t="s">
        <v>33</v>
      </c>
      <c r="B197" s="6">
        <v>25</v>
      </c>
      <c r="C197" s="7">
        <f t="shared" si="76"/>
        <v>6.9444444444444446</v>
      </c>
      <c r="D197" s="6">
        <v>25</v>
      </c>
      <c r="E197" s="7">
        <f t="shared" si="77"/>
        <v>6.9444444444444446</v>
      </c>
      <c r="F197" s="8">
        <f t="shared" si="78"/>
        <v>1</v>
      </c>
      <c r="G197" s="9"/>
      <c r="I197" s="10">
        <f t="shared" si="79"/>
        <v>6.9444444444444446</v>
      </c>
      <c r="J197" s="10">
        <f t="shared" si="80"/>
        <v>6.9444444444444446</v>
      </c>
    </row>
    <row r="198" spans="1:10" x14ac:dyDescent="0.25">
      <c r="A198" s="6" t="s">
        <v>34</v>
      </c>
      <c r="B198" s="6">
        <v>23</v>
      </c>
      <c r="C198" s="7">
        <f t="shared" si="76"/>
        <v>6.3888888888888884</v>
      </c>
      <c r="D198" s="6">
        <v>23</v>
      </c>
      <c r="E198" s="7">
        <f t="shared" si="77"/>
        <v>6.3888888888888884</v>
      </c>
      <c r="F198" s="8">
        <f t="shared" si="78"/>
        <v>1</v>
      </c>
      <c r="G198" s="9"/>
      <c r="I198" s="10">
        <f t="shared" si="79"/>
        <v>6.3888888888888884</v>
      </c>
      <c r="J198" s="10">
        <f t="shared" si="80"/>
        <v>6.3888888888888884</v>
      </c>
    </row>
    <row r="199" spans="1:10" x14ac:dyDescent="0.25">
      <c r="A199" s="6" t="s">
        <v>35</v>
      </c>
      <c r="B199" s="6">
        <v>15</v>
      </c>
      <c r="C199" s="7">
        <f t="shared" si="76"/>
        <v>4.166666666666667</v>
      </c>
      <c r="D199" s="6">
        <v>14</v>
      </c>
      <c r="E199" s="7">
        <f t="shared" si="77"/>
        <v>3.8888888888888888</v>
      </c>
      <c r="F199" s="8">
        <f t="shared" si="78"/>
        <v>0.93333333333333335</v>
      </c>
      <c r="G199" s="9" t="s">
        <v>73</v>
      </c>
      <c r="I199" s="10">
        <f t="shared" si="79"/>
        <v>4.166666666666667</v>
      </c>
      <c r="J199" s="10">
        <f t="shared" si="80"/>
        <v>3.8888888888888888</v>
      </c>
    </row>
    <row r="200" spans="1:10" x14ac:dyDescent="0.25">
      <c r="A200" s="6" t="s">
        <v>36</v>
      </c>
      <c r="B200" s="6">
        <v>30</v>
      </c>
      <c r="C200" s="7">
        <f t="shared" si="76"/>
        <v>8.3333333333333339</v>
      </c>
      <c r="D200" s="6">
        <v>25</v>
      </c>
      <c r="E200" s="7">
        <f t="shared" si="77"/>
        <v>6.9444444444444446</v>
      </c>
      <c r="F200" s="8">
        <f t="shared" si="78"/>
        <v>0.83333333333333337</v>
      </c>
      <c r="G200" s="9"/>
      <c r="I200" s="10">
        <f t="shared" si="79"/>
        <v>8.3333333333333339</v>
      </c>
      <c r="J200" s="10">
        <f t="shared" si="80"/>
        <v>6.9444444444444446</v>
      </c>
    </row>
    <row r="201" spans="1:10" x14ac:dyDescent="0.25">
      <c r="A201" s="6" t="s">
        <v>11</v>
      </c>
      <c r="B201" s="6">
        <v>8</v>
      </c>
      <c r="C201" s="7">
        <f t="shared" si="76"/>
        <v>2.2222222222222223</v>
      </c>
      <c r="D201" s="6">
        <v>9</v>
      </c>
      <c r="E201" s="7">
        <f t="shared" si="77"/>
        <v>2.5</v>
      </c>
      <c r="F201" s="8">
        <f t="shared" si="78"/>
        <v>1.125</v>
      </c>
      <c r="G201" s="9"/>
      <c r="I201" s="10">
        <f t="shared" si="79"/>
        <v>2.2222222222222223</v>
      </c>
      <c r="J201" s="10">
        <f t="shared" si="80"/>
        <v>2.5</v>
      </c>
    </row>
    <row r="202" spans="1:10" x14ac:dyDescent="0.25">
      <c r="A202" s="11" t="s">
        <v>23</v>
      </c>
      <c r="B202" s="11">
        <f>SUM(B192:B201)</f>
        <v>219</v>
      </c>
      <c r="C202" s="12">
        <f>AVERAGE(C192:C201)</f>
        <v>6.083333333333333</v>
      </c>
      <c r="D202" s="11">
        <f>SUM(D192:D201)</f>
        <v>206</v>
      </c>
      <c r="E202" s="12">
        <f>AVERAGE(E192:E201)</f>
        <v>5.7222222222222205</v>
      </c>
      <c r="F202" s="13">
        <f t="shared" si="78"/>
        <v>0.94063926940639264</v>
      </c>
      <c r="G202" s="14"/>
    </row>
    <row r="204" spans="1:10" x14ac:dyDescent="0.25">
      <c r="A204" s="3" t="s">
        <v>82</v>
      </c>
      <c r="B204" s="4"/>
      <c r="C204" s="4"/>
      <c r="D204" s="4"/>
      <c r="E204" s="4"/>
      <c r="F204" s="4"/>
      <c r="G204" s="4"/>
    </row>
    <row r="205" spans="1:10" ht="45" x14ac:dyDescent="0.25">
      <c r="A205" s="5" t="s">
        <v>4</v>
      </c>
      <c r="B205" s="5" t="s">
        <v>5</v>
      </c>
      <c r="C205" s="5" t="s">
        <v>6</v>
      </c>
      <c r="D205" s="5" t="s">
        <v>7</v>
      </c>
      <c r="E205" s="5" t="s">
        <v>8</v>
      </c>
      <c r="F205" s="5" t="s">
        <v>9</v>
      </c>
      <c r="G205" s="5" t="s">
        <v>10</v>
      </c>
    </row>
    <row r="206" spans="1:10" x14ac:dyDescent="0.25">
      <c r="A206" s="6" t="s">
        <v>12</v>
      </c>
      <c r="B206" s="6">
        <v>22</v>
      </c>
      <c r="C206" s="7">
        <f t="shared" ref="C206:C212" si="81">B206/3.6</f>
        <v>6.1111111111111107</v>
      </c>
      <c r="D206" s="6">
        <v>21</v>
      </c>
      <c r="E206" s="7">
        <f t="shared" ref="E206:E212" si="82">D206/3.6</f>
        <v>5.833333333333333</v>
      </c>
      <c r="F206" s="8">
        <f t="shared" ref="F206:F213" si="83">IFERROR(D206/B206,0)</f>
        <v>0.95454545454545459</v>
      </c>
      <c r="G206" s="9" t="s">
        <v>83</v>
      </c>
      <c r="I206" s="10">
        <f t="shared" ref="I206:I212" si="84">IF(B206&gt;0,C206,"")</f>
        <v>6.1111111111111107</v>
      </c>
      <c r="J206" s="10">
        <f t="shared" ref="J206:J212" si="85">IF(D206&gt;0,E206,"")</f>
        <v>5.833333333333333</v>
      </c>
    </row>
    <row r="207" spans="1:10" x14ac:dyDescent="0.25">
      <c r="A207" s="6" t="s">
        <v>13</v>
      </c>
      <c r="B207" s="6">
        <v>22</v>
      </c>
      <c r="C207" s="7">
        <f t="shared" si="81"/>
        <v>6.1111111111111107</v>
      </c>
      <c r="D207" s="6">
        <v>21</v>
      </c>
      <c r="E207" s="7">
        <f t="shared" si="82"/>
        <v>5.833333333333333</v>
      </c>
      <c r="F207" s="8">
        <f t="shared" si="83"/>
        <v>0.95454545454545459</v>
      </c>
      <c r="G207" s="9" t="s">
        <v>84</v>
      </c>
      <c r="I207" s="10">
        <f t="shared" si="84"/>
        <v>6.1111111111111107</v>
      </c>
      <c r="J207" s="10">
        <f t="shared" si="85"/>
        <v>5.833333333333333</v>
      </c>
    </row>
    <row r="208" spans="1:10" x14ac:dyDescent="0.25">
      <c r="A208" s="6" t="s">
        <v>15</v>
      </c>
      <c r="B208" s="6">
        <v>27</v>
      </c>
      <c r="C208" s="7">
        <f t="shared" si="81"/>
        <v>7.5</v>
      </c>
      <c r="D208" s="6">
        <v>23</v>
      </c>
      <c r="E208" s="7">
        <f t="shared" si="82"/>
        <v>6.3888888888888884</v>
      </c>
      <c r="F208" s="8">
        <f t="shared" si="83"/>
        <v>0.85185185185185186</v>
      </c>
      <c r="G208" s="9" t="s">
        <v>85</v>
      </c>
      <c r="I208" s="10">
        <f t="shared" si="84"/>
        <v>7.5</v>
      </c>
      <c r="J208" s="10">
        <f t="shared" si="85"/>
        <v>6.3888888888888884</v>
      </c>
    </row>
    <row r="209" spans="1:10" x14ac:dyDescent="0.25">
      <c r="A209" s="6" t="s">
        <v>17</v>
      </c>
      <c r="B209" s="6">
        <v>20</v>
      </c>
      <c r="C209" s="7">
        <f t="shared" si="81"/>
        <v>5.5555555555555554</v>
      </c>
      <c r="D209" s="6">
        <v>20</v>
      </c>
      <c r="E209" s="7">
        <f t="shared" si="82"/>
        <v>5.5555555555555554</v>
      </c>
      <c r="F209" s="8">
        <f t="shared" si="83"/>
        <v>1</v>
      </c>
      <c r="G209" s="9" t="s">
        <v>86</v>
      </c>
      <c r="I209" s="10">
        <f t="shared" si="84"/>
        <v>5.5555555555555554</v>
      </c>
      <c r="J209" s="10">
        <f t="shared" si="85"/>
        <v>5.5555555555555554</v>
      </c>
    </row>
    <row r="210" spans="1:10" x14ac:dyDescent="0.25">
      <c r="A210" s="6" t="s">
        <v>19</v>
      </c>
      <c r="B210" s="6">
        <v>19</v>
      </c>
      <c r="C210" s="7">
        <f t="shared" si="81"/>
        <v>5.2777777777777777</v>
      </c>
      <c r="D210" s="6">
        <v>18</v>
      </c>
      <c r="E210" s="7">
        <f t="shared" si="82"/>
        <v>5</v>
      </c>
      <c r="F210" s="8">
        <f t="shared" si="83"/>
        <v>0.94736842105263153</v>
      </c>
      <c r="G210" s="9"/>
      <c r="I210" s="10">
        <f t="shared" si="84"/>
        <v>5.2777777777777777</v>
      </c>
      <c r="J210" s="10">
        <f t="shared" si="85"/>
        <v>5</v>
      </c>
    </row>
    <row r="211" spans="1:10" x14ac:dyDescent="0.25">
      <c r="A211" s="6" t="s">
        <v>20</v>
      </c>
      <c r="B211" s="6">
        <v>28</v>
      </c>
      <c r="C211" s="7">
        <f t="shared" si="81"/>
        <v>7.7777777777777777</v>
      </c>
      <c r="D211" s="6">
        <v>27</v>
      </c>
      <c r="E211" s="7">
        <f t="shared" si="82"/>
        <v>7.5</v>
      </c>
      <c r="F211" s="8">
        <f t="shared" si="83"/>
        <v>0.9642857142857143</v>
      </c>
      <c r="G211" s="9" t="s">
        <v>84</v>
      </c>
      <c r="I211" s="10">
        <f t="shared" si="84"/>
        <v>7.7777777777777777</v>
      </c>
      <c r="J211" s="10">
        <f t="shared" si="85"/>
        <v>7.5</v>
      </c>
    </row>
    <row r="212" spans="1:10" x14ac:dyDescent="0.25">
      <c r="A212" s="6" t="s">
        <v>22</v>
      </c>
      <c r="B212" s="6">
        <v>22</v>
      </c>
      <c r="C212" s="7">
        <f t="shared" si="81"/>
        <v>6.1111111111111107</v>
      </c>
      <c r="D212" s="6">
        <v>22</v>
      </c>
      <c r="E212" s="7">
        <f t="shared" si="82"/>
        <v>6.1111111111111107</v>
      </c>
      <c r="F212" s="8">
        <f t="shared" si="83"/>
        <v>1</v>
      </c>
      <c r="G212" s="9" t="s">
        <v>87</v>
      </c>
      <c r="I212" s="10">
        <f t="shared" si="84"/>
        <v>6.1111111111111107</v>
      </c>
      <c r="J212" s="10">
        <f t="shared" si="85"/>
        <v>6.1111111111111107</v>
      </c>
    </row>
    <row r="213" spans="1:10" x14ac:dyDescent="0.25">
      <c r="A213" s="11" t="s">
        <v>23</v>
      </c>
      <c r="B213" s="11">
        <f>SUM(B206:B212)</f>
        <v>160</v>
      </c>
      <c r="C213" s="12">
        <f>AVERAGE(C206:C212)</f>
        <v>6.3492063492063489</v>
      </c>
      <c r="D213" s="11">
        <f>SUM(D206:D212)</f>
        <v>152</v>
      </c>
      <c r="E213" s="12">
        <f>AVERAGE(E206:E212)</f>
        <v>6.0317460317460307</v>
      </c>
      <c r="F213" s="13">
        <f t="shared" si="83"/>
        <v>0.95</v>
      </c>
      <c r="G213" s="14"/>
    </row>
    <row r="215" spans="1:10" x14ac:dyDescent="0.25">
      <c r="A215" s="3" t="s">
        <v>88</v>
      </c>
      <c r="B215" s="4"/>
      <c r="C215" s="4"/>
      <c r="D215" s="4"/>
      <c r="E215" s="4"/>
      <c r="F215" s="4"/>
      <c r="G215" s="4"/>
    </row>
    <row r="216" spans="1:10" ht="45" x14ac:dyDescent="0.25">
      <c r="A216" s="5" t="s">
        <v>4</v>
      </c>
      <c r="B216" s="5" t="s">
        <v>5</v>
      </c>
      <c r="C216" s="5" t="s">
        <v>6</v>
      </c>
      <c r="D216" s="5" t="s">
        <v>7</v>
      </c>
      <c r="E216" s="5" t="s">
        <v>8</v>
      </c>
      <c r="F216" s="5" t="s">
        <v>9</v>
      </c>
      <c r="G216" s="5" t="s">
        <v>10</v>
      </c>
    </row>
    <row r="217" spans="1:10" x14ac:dyDescent="0.25">
      <c r="A217" s="6" t="s">
        <v>12</v>
      </c>
      <c r="B217" s="6">
        <v>35</v>
      </c>
      <c r="C217" s="7">
        <f t="shared" ref="C217:C223" si="86">B217/3.6</f>
        <v>9.7222222222222214</v>
      </c>
      <c r="D217" s="6">
        <v>34</v>
      </c>
      <c r="E217" s="7">
        <f t="shared" ref="E217:E223" si="87">D217/3.6</f>
        <v>9.4444444444444446</v>
      </c>
      <c r="F217" s="8">
        <f t="shared" ref="F217:F224" si="88">IFERROR(D217/B217,0)</f>
        <v>0.97142857142857142</v>
      </c>
      <c r="G217" s="9" t="s">
        <v>89</v>
      </c>
      <c r="I217" s="10">
        <f t="shared" ref="I217:I223" si="89">IF(B217&gt;0,C217,"")</f>
        <v>9.7222222222222214</v>
      </c>
      <c r="J217" s="10">
        <f t="shared" ref="J217:J223" si="90">IF(D217&gt;0,E217,"")</f>
        <v>9.4444444444444446</v>
      </c>
    </row>
    <row r="218" spans="1:10" x14ac:dyDescent="0.25">
      <c r="A218" s="6" t="s">
        <v>13</v>
      </c>
      <c r="B218" s="6">
        <v>27</v>
      </c>
      <c r="C218" s="7">
        <f t="shared" si="86"/>
        <v>7.5</v>
      </c>
      <c r="D218" s="6">
        <v>27</v>
      </c>
      <c r="E218" s="7">
        <f t="shared" si="87"/>
        <v>7.5</v>
      </c>
      <c r="F218" s="8">
        <f t="shared" si="88"/>
        <v>1</v>
      </c>
      <c r="G218" s="9" t="s">
        <v>90</v>
      </c>
      <c r="I218" s="10">
        <f t="shared" si="89"/>
        <v>7.5</v>
      </c>
      <c r="J218" s="10">
        <f t="shared" si="90"/>
        <v>7.5</v>
      </c>
    </row>
    <row r="219" spans="1:10" x14ac:dyDescent="0.25">
      <c r="A219" s="6" t="s">
        <v>15</v>
      </c>
      <c r="B219" s="6">
        <v>20</v>
      </c>
      <c r="C219" s="7">
        <f t="shared" si="86"/>
        <v>5.5555555555555554</v>
      </c>
      <c r="D219" s="6">
        <v>17</v>
      </c>
      <c r="E219" s="7">
        <f t="shared" si="87"/>
        <v>4.7222222222222223</v>
      </c>
      <c r="F219" s="8">
        <f t="shared" si="88"/>
        <v>0.85</v>
      </c>
      <c r="G219" s="9" t="s">
        <v>91</v>
      </c>
      <c r="I219" s="10">
        <f t="shared" si="89"/>
        <v>5.5555555555555554</v>
      </c>
      <c r="J219" s="10">
        <f t="shared" si="90"/>
        <v>4.7222222222222223</v>
      </c>
    </row>
    <row r="220" spans="1:10" x14ac:dyDescent="0.25">
      <c r="A220" s="6" t="s">
        <v>17</v>
      </c>
      <c r="B220" s="6">
        <v>21</v>
      </c>
      <c r="C220" s="7">
        <f t="shared" si="86"/>
        <v>5.833333333333333</v>
      </c>
      <c r="D220" s="6">
        <v>19</v>
      </c>
      <c r="E220" s="7">
        <f t="shared" si="87"/>
        <v>5.2777777777777777</v>
      </c>
      <c r="F220" s="8">
        <f t="shared" si="88"/>
        <v>0.90476190476190477</v>
      </c>
      <c r="G220" s="9" t="s">
        <v>92</v>
      </c>
      <c r="I220" s="10">
        <f t="shared" si="89"/>
        <v>5.833333333333333</v>
      </c>
      <c r="J220" s="10">
        <f t="shared" si="90"/>
        <v>5.2777777777777777</v>
      </c>
    </row>
    <row r="221" spans="1:10" x14ac:dyDescent="0.25">
      <c r="A221" s="6" t="s">
        <v>19</v>
      </c>
      <c r="B221" s="6">
        <v>19</v>
      </c>
      <c r="C221" s="7">
        <f t="shared" si="86"/>
        <v>5.2777777777777777</v>
      </c>
      <c r="D221" s="6">
        <v>18</v>
      </c>
      <c r="E221" s="7">
        <f t="shared" si="87"/>
        <v>5</v>
      </c>
      <c r="F221" s="8">
        <f t="shared" si="88"/>
        <v>0.94736842105263153</v>
      </c>
      <c r="G221" s="9" t="s">
        <v>93</v>
      </c>
      <c r="I221" s="10">
        <f t="shared" si="89"/>
        <v>5.2777777777777777</v>
      </c>
      <c r="J221" s="10">
        <f t="shared" si="90"/>
        <v>5</v>
      </c>
    </row>
    <row r="222" spans="1:10" x14ac:dyDescent="0.25">
      <c r="A222" s="6" t="s">
        <v>20</v>
      </c>
      <c r="B222" s="6">
        <v>24</v>
      </c>
      <c r="C222" s="7">
        <f t="shared" si="86"/>
        <v>6.6666666666666661</v>
      </c>
      <c r="D222" s="6">
        <v>24</v>
      </c>
      <c r="E222" s="7">
        <f t="shared" si="87"/>
        <v>6.6666666666666661</v>
      </c>
      <c r="F222" s="8">
        <f t="shared" si="88"/>
        <v>1</v>
      </c>
      <c r="G222" s="9"/>
      <c r="I222" s="10">
        <f t="shared" si="89"/>
        <v>6.6666666666666661</v>
      </c>
      <c r="J222" s="10">
        <f t="shared" si="90"/>
        <v>6.6666666666666661</v>
      </c>
    </row>
    <row r="223" spans="1:10" x14ac:dyDescent="0.25">
      <c r="A223" s="6" t="s">
        <v>22</v>
      </c>
      <c r="B223" s="6">
        <v>9</v>
      </c>
      <c r="C223" s="7">
        <f t="shared" si="86"/>
        <v>2.5</v>
      </c>
      <c r="D223" s="6">
        <v>8</v>
      </c>
      <c r="E223" s="7">
        <f t="shared" si="87"/>
        <v>2.2222222222222223</v>
      </c>
      <c r="F223" s="8">
        <f t="shared" si="88"/>
        <v>0.88888888888888884</v>
      </c>
      <c r="G223" s="9"/>
      <c r="I223" s="10">
        <f t="shared" si="89"/>
        <v>2.5</v>
      </c>
      <c r="J223" s="10">
        <f t="shared" si="90"/>
        <v>2.2222222222222223</v>
      </c>
    </row>
    <row r="224" spans="1:10" x14ac:dyDescent="0.25">
      <c r="A224" s="11" t="s">
        <v>23</v>
      </c>
      <c r="B224" s="11">
        <f>SUM(B217:B223)</f>
        <v>155</v>
      </c>
      <c r="C224" s="12">
        <f>AVERAGE(C217:C223)</f>
        <v>6.1507936507936503</v>
      </c>
      <c r="D224" s="11">
        <f>SUM(D217:D223)</f>
        <v>147</v>
      </c>
      <c r="E224" s="12">
        <f>AVERAGE(E217:E223)</f>
        <v>5.833333333333333</v>
      </c>
      <c r="F224" s="13">
        <f t="shared" si="88"/>
        <v>0.94838709677419353</v>
      </c>
      <c r="G224" s="14"/>
    </row>
    <row r="226" spans="1:10" x14ac:dyDescent="0.25">
      <c r="A226" s="3" t="s">
        <v>94</v>
      </c>
      <c r="B226" s="4"/>
      <c r="C226" s="4"/>
      <c r="D226" s="4"/>
      <c r="E226" s="4"/>
      <c r="F226" s="4"/>
      <c r="G226" s="4"/>
    </row>
    <row r="227" spans="1:10" ht="45" x14ac:dyDescent="0.25">
      <c r="A227" s="5" t="s">
        <v>4</v>
      </c>
      <c r="B227" s="5" t="s">
        <v>5</v>
      </c>
      <c r="C227" s="5" t="s">
        <v>6</v>
      </c>
      <c r="D227" s="5" t="s">
        <v>7</v>
      </c>
      <c r="E227" s="5" t="s">
        <v>8</v>
      </c>
      <c r="F227" s="5" t="s">
        <v>9</v>
      </c>
      <c r="G227" s="5" t="s">
        <v>10</v>
      </c>
    </row>
    <row r="228" spans="1:10" x14ac:dyDescent="0.25">
      <c r="A228" s="6" t="s">
        <v>80</v>
      </c>
      <c r="B228" s="6">
        <v>19</v>
      </c>
      <c r="C228" s="7">
        <f t="shared" ref="C228:C237" si="91">B228/3.6</f>
        <v>5.2777777777777777</v>
      </c>
      <c r="D228" s="6">
        <v>18</v>
      </c>
      <c r="E228" s="7">
        <f t="shared" ref="E228:E237" si="92">D228/3.6</f>
        <v>5</v>
      </c>
      <c r="F228" s="8">
        <f t="shared" ref="F228:F238" si="93">IFERROR(D228/B228,0)</f>
        <v>0.94736842105263153</v>
      </c>
      <c r="G228" s="9" t="s">
        <v>75</v>
      </c>
      <c r="I228" s="10">
        <f t="shared" ref="I228:I237" si="94">IF(B228&gt;0,C228,"")</f>
        <v>5.2777777777777777</v>
      </c>
      <c r="J228" s="10">
        <f t="shared" ref="J228:J237" si="95">IF(D228&gt;0,E228,"")</f>
        <v>5</v>
      </c>
    </row>
    <row r="229" spans="1:10" x14ac:dyDescent="0.25">
      <c r="A229" s="6" t="s">
        <v>81</v>
      </c>
      <c r="B229" s="6">
        <v>20</v>
      </c>
      <c r="C229" s="7">
        <f t="shared" si="91"/>
        <v>5.5555555555555554</v>
      </c>
      <c r="D229" s="6">
        <v>15</v>
      </c>
      <c r="E229" s="7">
        <f t="shared" si="92"/>
        <v>4.166666666666667</v>
      </c>
      <c r="F229" s="8">
        <f t="shared" si="93"/>
        <v>0.75</v>
      </c>
      <c r="G229" s="9"/>
      <c r="I229" s="10">
        <f t="shared" si="94"/>
        <v>5.5555555555555554</v>
      </c>
      <c r="J229" s="10">
        <f t="shared" si="95"/>
        <v>4.166666666666667</v>
      </c>
    </row>
    <row r="230" spans="1:10" x14ac:dyDescent="0.25">
      <c r="A230" s="6" t="s">
        <v>29</v>
      </c>
      <c r="B230" s="6">
        <v>22</v>
      </c>
      <c r="C230" s="7">
        <f t="shared" si="91"/>
        <v>6.1111111111111107</v>
      </c>
      <c r="D230" s="6">
        <v>21</v>
      </c>
      <c r="E230" s="7">
        <f t="shared" si="92"/>
        <v>5.833333333333333</v>
      </c>
      <c r="F230" s="8">
        <f t="shared" si="93"/>
        <v>0.95454545454545459</v>
      </c>
      <c r="G230" s="9"/>
      <c r="I230" s="10">
        <f t="shared" si="94"/>
        <v>6.1111111111111107</v>
      </c>
      <c r="J230" s="10">
        <f t="shared" si="95"/>
        <v>5.833333333333333</v>
      </c>
    </row>
    <row r="231" spans="1:10" x14ac:dyDescent="0.25">
      <c r="A231" s="6" t="s">
        <v>30</v>
      </c>
      <c r="B231" s="6">
        <v>17</v>
      </c>
      <c r="C231" s="7">
        <f t="shared" si="91"/>
        <v>4.7222222222222223</v>
      </c>
      <c r="D231" s="6">
        <v>17</v>
      </c>
      <c r="E231" s="7">
        <f t="shared" si="92"/>
        <v>4.7222222222222223</v>
      </c>
      <c r="F231" s="8">
        <f t="shared" si="93"/>
        <v>1</v>
      </c>
      <c r="G231" s="9" t="s">
        <v>95</v>
      </c>
      <c r="I231" s="10">
        <f t="shared" si="94"/>
        <v>4.7222222222222223</v>
      </c>
      <c r="J231" s="10">
        <f t="shared" si="95"/>
        <v>4.7222222222222223</v>
      </c>
    </row>
    <row r="232" spans="1:10" x14ac:dyDescent="0.25">
      <c r="A232" s="6" t="s">
        <v>32</v>
      </c>
      <c r="B232" s="6">
        <v>29</v>
      </c>
      <c r="C232" s="7">
        <f t="shared" si="91"/>
        <v>8.0555555555555554</v>
      </c>
      <c r="D232" s="6">
        <v>27</v>
      </c>
      <c r="E232" s="7">
        <f t="shared" si="92"/>
        <v>7.5</v>
      </c>
      <c r="F232" s="8">
        <f t="shared" si="93"/>
        <v>0.93103448275862066</v>
      </c>
      <c r="G232" s="9"/>
      <c r="I232" s="10">
        <f t="shared" si="94"/>
        <v>8.0555555555555554</v>
      </c>
      <c r="J232" s="10">
        <f t="shared" si="95"/>
        <v>7.5</v>
      </c>
    </row>
    <row r="233" spans="1:10" x14ac:dyDescent="0.25">
      <c r="A233" s="6" t="s">
        <v>33</v>
      </c>
      <c r="B233" s="6">
        <v>20</v>
      </c>
      <c r="C233" s="7">
        <f t="shared" si="91"/>
        <v>5.5555555555555554</v>
      </c>
      <c r="D233" s="6">
        <v>21</v>
      </c>
      <c r="E233" s="7">
        <f t="shared" si="92"/>
        <v>5.833333333333333</v>
      </c>
      <c r="F233" s="8">
        <f t="shared" si="93"/>
        <v>1.05</v>
      </c>
      <c r="G233" s="9" t="s">
        <v>95</v>
      </c>
      <c r="I233" s="10">
        <f t="shared" si="94"/>
        <v>5.5555555555555554</v>
      </c>
      <c r="J233" s="10">
        <f t="shared" si="95"/>
        <v>5.833333333333333</v>
      </c>
    </row>
    <row r="234" spans="1:10" x14ac:dyDescent="0.25">
      <c r="A234" s="6" t="s">
        <v>34</v>
      </c>
      <c r="B234" s="6">
        <v>26</v>
      </c>
      <c r="C234" s="7">
        <f t="shared" si="91"/>
        <v>7.2222222222222223</v>
      </c>
      <c r="D234" s="6">
        <v>25</v>
      </c>
      <c r="E234" s="7">
        <f t="shared" si="92"/>
        <v>6.9444444444444446</v>
      </c>
      <c r="F234" s="8">
        <f t="shared" si="93"/>
        <v>0.96153846153846156</v>
      </c>
      <c r="G234" s="9"/>
      <c r="I234" s="10">
        <f t="shared" si="94"/>
        <v>7.2222222222222223</v>
      </c>
      <c r="J234" s="10">
        <f t="shared" si="95"/>
        <v>6.9444444444444446</v>
      </c>
    </row>
    <row r="235" spans="1:10" x14ac:dyDescent="0.25">
      <c r="A235" s="6" t="s">
        <v>35</v>
      </c>
      <c r="B235" s="6">
        <v>25</v>
      </c>
      <c r="C235" s="7">
        <f t="shared" si="91"/>
        <v>6.9444444444444446</v>
      </c>
      <c r="D235" s="6">
        <v>21</v>
      </c>
      <c r="E235" s="7">
        <f t="shared" si="92"/>
        <v>5.833333333333333</v>
      </c>
      <c r="F235" s="8">
        <f t="shared" si="93"/>
        <v>0.84</v>
      </c>
      <c r="G235" s="9"/>
      <c r="I235" s="10">
        <f t="shared" si="94"/>
        <v>6.9444444444444446</v>
      </c>
      <c r="J235" s="10">
        <f t="shared" si="95"/>
        <v>5.833333333333333</v>
      </c>
    </row>
    <row r="236" spans="1:10" x14ac:dyDescent="0.25">
      <c r="A236" s="6" t="s">
        <v>36</v>
      </c>
      <c r="B236" s="6">
        <v>13</v>
      </c>
      <c r="C236" s="7">
        <f t="shared" si="91"/>
        <v>3.6111111111111112</v>
      </c>
      <c r="D236" s="6">
        <v>13</v>
      </c>
      <c r="E236" s="7">
        <f t="shared" si="92"/>
        <v>3.6111111111111112</v>
      </c>
      <c r="F236" s="8">
        <f t="shared" si="93"/>
        <v>1</v>
      </c>
      <c r="G236" s="9" t="s">
        <v>95</v>
      </c>
      <c r="I236" s="10">
        <f t="shared" si="94"/>
        <v>3.6111111111111112</v>
      </c>
      <c r="J236" s="10">
        <f t="shared" si="95"/>
        <v>3.6111111111111112</v>
      </c>
    </row>
    <row r="237" spans="1:10" x14ac:dyDescent="0.25">
      <c r="A237" s="6" t="s">
        <v>11</v>
      </c>
      <c r="B237" s="6">
        <v>16</v>
      </c>
      <c r="C237" s="7">
        <f t="shared" si="91"/>
        <v>4.4444444444444446</v>
      </c>
      <c r="D237" s="6">
        <v>15</v>
      </c>
      <c r="E237" s="7">
        <f t="shared" si="92"/>
        <v>4.166666666666667</v>
      </c>
      <c r="F237" s="8">
        <f t="shared" si="93"/>
        <v>0.9375</v>
      </c>
      <c r="G237" s="9"/>
      <c r="I237" s="10">
        <f t="shared" si="94"/>
        <v>4.4444444444444446</v>
      </c>
      <c r="J237" s="10">
        <f t="shared" si="95"/>
        <v>4.166666666666667</v>
      </c>
    </row>
    <row r="238" spans="1:10" x14ac:dyDescent="0.25">
      <c r="A238" s="11" t="s">
        <v>23</v>
      </c>
      <c r="B238" s="11">
        <f>SUM(B228:B237)</f>
        <v>207</v>
      </c>
      <c r="C238" s="12">
        <f>AVERAGE(C228:C237)</f>
        <v>5.75</v>
      </c>
      <c r="D238" s="11">
        <f>SUM(D228:D237)</f>
        <v>193</v>
      </c>
      <c r="E238" s="12">
        <f>AVERAGE(E228:E237)</f>
        <v>5.3611111111111116</v>
      </c>
      <c r="F238" s="13">
        <f t="shared" si="93"/>
        <v>0.93236714975845414</v>
      </c>
      <c r="G238" s="14"/>
    </row>
    <row r="240" spans="1:10" x14ac:dyDescent="0.25">
      <c r="A240" s="3" t="s">
        <v>96</v>
      </c>
      <c r="B240" s="4"/>
      <c r="C240" s="4"/>
      <c r="D240" s="4"/>
      <c r="E240" s="4"/>
      <c r="F240" s="4"/>
      <c r="G240" s="4"/>
    </row>
    <row r="241" spans="1:10" ht="45" x14ac:dyDescent="0.25">
      <c r="A241" s="5" t="s">
        <v>4</v>
      </c>
      <c r="B241" s="5" t="s">
        <v>5</v>
      </c>
      <c r="C241" s="5" t="s">
        <v>6</v>
      </c>
      <c r="D241" s="5" t="s">
        <v>7</v>
      </c>
      <c r="E241" s="5" t="s">
        <v>8</v>
      </c>
      <c r="F241" s="5" t="s">
        <v>9</v>
      </c>
      <c r="G241" s="5" t="s">
        <v>10</v>
      </c>
    </row>
    <row r="242" spans="1:10" x14ac:dyDescent="0.25">
      <c r="A242" s="6" t="s">
        <v>12</v>
      </c>
      <c r="B242" s="6">
        <v>25</v>
      </c>
      <c r="C242" s="7">
        <f t="shared" ref="C242:C248" si="96">B242/3.6</f>
        <v>6.9444444444444446</v>
      </c>
      <c r="D242" s="6">
        <v>25</v>
      </c>
      <c r="E242" s="7">
        <f t="shared" ref="E242:E248" si="97">D242/3.6</f>
        <v>6.9444444444444446</v>
      </c>
      <c r="F242" s="8">
        <f t="shared" ref="F242:F249" si="98">IFERROR(D242/B242,0)</f>
        <v>1</v>
      </c>
      <c r="G242" s="9" t="s">
        <v>97</v>
      </c>
      <c r="I242" s="10">
        <f t="shared" ref="I242:I248" si="99">IF(B242&gt;0,C242,"")</f>
        <v>6.9444444444444446</v>
      </c>
      <c r="J242" s="10">
        <f t="shared" ref="J242:J248" si="100">IF(D242&gt;0,E242,"")</f>
        <v>6.9444444444444446</v>
      </c>
    </row>
    <row r="243" spans="1:10" x14ac:dyDescent="0.25">
      <c r="A243" s="6" t="s">
        <v>13</v>
      </c>
      <c r="B243" s="6">
        <v>18</v>
      </c>
      <c r="C243" s="7">
        <f t="shared" si="96"/>
        <v>5</v>
      </c>
      <c r="D243" s="6">
        <v>16</v>
      </c>
      <c r="E243" s="7">
        <f t="shared" si="97"/>
        <v>4.4444444444444446</v>
      </c>
      <c r="F243" s="8">
        <f t="shared" si="98"/>
        <v>0.88888888888888884</v>
      </c>
      <c r="G243" s="9" t="s">
        <v>98</v>
      </c>
      <c r="I243" s="10">
        <f t="shared" si="99"/>
        <v>5</v>
      </c>
      <c r="J243" s="10">
        <f t="shared" si="100"/>
        <v>4.4444444444444446</v>
      </c>
    </row>
    <row r="244" spans="1:10" x14ac:dyDescent="0.25">
      <c r="A244" s="6" t="s">
        <v>15</v>
      </c>
      <c r="B244" s="6">
        <v>20</v>
      </c>
      <c r="C244" s="7">
        <f t="shared" si="96"/>
        <v>5.5555555555555554</v>
      </c>
      <c r="D244" s="6">
        <v>21</v>
      </c>
      <c r="E244" s="7">
        <f t="shared" si="97"/>
        <v>5.833333333333333</v>
      </c>
      <c r="F244" s="8">
        <f t="shared" si="98"/>
        <v>1.05</v>
      </c>
      <c r="G244" s="9" t="s">
        <v>95</v>
      </c>
      <c r="I244" s="10">
        <f t="shared" si="99"/>
        <v>5.5555555555555554</v>
      </c>
      <c r="J244" s="10">
        <f t="shared" si="100"/>
        <v>5.833333333333333</v>
      </c>
    </row>
    <row r="245" spans="1:10" x14ac:dyDescent="0.25">
      <c r="A245" s="6" t="s">
        <v>17</v>
      </c>
      <c r="B245" s="6">
        <v>28</v>
      </c>
      <c r="C245" s="7">
        <f t="shared" si="96"/>
        <v>7.7777777777777777</v>
      </c>
      <c r="D245" s="6">
        <v>23</v>
      </c>
      <c r="E245" s="7">
        <f t="shared" si="97"/>
        <v>6.3888888888888884</v>
      </c>
      <c r="F245" s="8">
        <f t="shared" si="98"/>
        <v>0.8214285714285714</v>
      </c>
      <c r="G245" s="9" t="s">
        <v>99</v>
      </c>
      <c r="I245" s="10">
        <f t="shared" si="99"/>
        <v>7.7777777777777777</v>
      </c>
      <c r="J245" s="10">
        <f t="shared" si="100"/>
        <v>6.3888888888888884</v>
      </c>
    </row>
    <row r="246" spans="1:10" x14ac:dyDescent="0.25">
      <c r="A246" s="6" t="s">
        <v>19</v>
      </c>
      <c r="B246" s="6">
        <v>16</v>
      </c>
      <c r="C246" s="7">
        <f t="shared" si="96"/>
        <v>4.4444444444444446</v>
      </c>
      <c r="D246" s="6">
        <v>16</v>
      </c>
      <c r="E246" s="7">
        <f t="shared" si="97"/>
        <v>4.4444444444444446</v>
      </c>
      <c r="F246" s="8">
        <f t="shared" si="98"/>
        <v>1</v>
      </c>
      <c r="G246" s="9" t="s">
        <v>100</v>
      </c>
      <c r="I246" s="10">
        <f t="shared" si="99"/>
        <v>4.4444444444444446</v>
      </c>
      <c r="J246" s="10">
        <f t="shared" si="100"/>
        <v>4.4444444444444446</v>
      </c>
    </row>
    <row r="247" spans="1:10" x14ac:dyDescent="0.25">
      <c r="A247" s="6" t="s">
        <v>20</v>
      </c>
      <c r="B247" s="6">
        <v>22</v>
      </c>
      <c r="C247" s="7">
        <f t="shared" si="96"/>
        <v>6.1111111111111107</v>
      </c>
      <c r="D247" s="6">
        <v>22</v>
      </c>
      <c r="E247" s="7">
        <f t="shared" si="97"/>
        <v>6.1111111111111107</v>
      </c>
      <c r="F247" s="8">
        <f t="shared" si="98"/>
        <v>1</v>
      </c>
      <c r="G247" s="9" t="s">
        <v>99</v>
      </c>
      <c r="I247" s="10">
        <f t="shared" si="99"/>
        <v>6.1111111111111107</v>
      </c>
      <c r="J247" s="10">
        <f t="shared" si="100"/>
        <v>6.1111111111111107</v>
      </c>
    </row>
    <row r="248" spans="1:10" x14ac:dyDescent="0.25">
      <c r="A248" s="6" t="s">
        <v>22</v>
      </c>
      <c r="B248" s="6">
        <v>17</v>
      </c>
      <c r="C248" s="7">
        <f t="shared" si="96"/>
        <v>4.7222222222222223</v>
      </c>
      <c r="D248" s="6">
        <v>16</v>
      </c>
      <c r="E248" s="7">
        <f t="shared" si="97"/>
        <v>4.4444444444444446</v>
      </c>
      <c r="F248" s="8">
        <f t="shared" si="98"/>
        <v>0.94117647058823528</v>
      </c>
      <c r="G248" s="9" t="s">
        <v>99</v>
      </c>
      <c r="I248" s="10">
        <f t="shared" si="99"/>
        <v>4.7222222222222223</v>
      </c>
      <c r="J248" s="10">
        <f t="shared" si="100"/>
        <v>4.4444444444444446</v>
      </c>
    </row>
    <row r="249" spans="1:10" x14ac:dyDescent="0.25">
      <c r="A249" s="11" t="s">
        <v>23</v>
      </c>
      <c r="B249" s="11">
        <f>SUM(B242:B248)</f>
        <v>146</v>
      </c>
      <c r="C249" s="12">
        <f>AVERAGE(C242:C248)</f>
        <v>5.7936507936507926</v>
      </c>
      <c r="D249" s="11">
        <f>SUM(D242:D248)</f>
        <v>139</v>
      </c>
      <c r="E249" s="12">
        <f>AVERAGE(E242:E248)</f>
        <v>5.5158730158730167</v>
      </c>
      <c r="F249" s="13">
        <f t="shared" si="98"/>
        <v>0.95205479452054798</v>
      </c>
      <c r="G249" s="14"/>
    </row>
    <row r="251" spans="1:10" x14ac:dyDescent="0.25">
      <c r="A251" s="3" t="s">
        <v>101</v>
      </c>
      <c r="B251" s="4"/>
      <c r="C251" s="4"/>
      <c r="D251" s="4"/>
      <c r="E251" s="4"/>
      <c r="F251" s="4"/>
      <c r="G251" s="4"/>
    </row>
    <row r="252" spans="1:10" ht="45" x14ac:dyDescent="0.25">
      <c r="A252" s="5" t="s">
        <v>4</v>
      </c>
      <c r="B252" s="5" t="s">
        <v>5</v>
      </c>
      <c r="C252" s="5" t="s">
        <v>6</v>
      </c>
      <c r="D252" s="5" t="s">
        <v>7</v>
      </c>
      <c r="E252" s="5" t="s">
        <v>8</v>
      </c>
      <c r="F252" s="5" t="s">
        <v>9</v>
      </c>
      <c r="G252" s="5" t="s">
        <v>10</v>
      </c>
    </row>
    <row r="253" spans="1:10" x14ac:dyDescent="0.25">
      <c r="A253" s="6" t="s">
        <v>51</v>
      </c>
      <c r="B253" s="6">
        <v>27</v>
      </c>
      <c r="C253" s="7">
        <f t="shared" ref="C253:C259" si="101">B253/3.6</f>
        <v>7.5</v>
      </c>
      <c r="D253" s="6">
        <v>26</v>
      </c>
      <c r="E253" s="7">
        <f t="shared" ref="E253:E259" si="102">D253/3.6</f>
        <v>7.2222222222222223</v>
      </c>
      <c r="F253" s="8">
        <f t="shared" ref="F253:F260" si="103">IFERROR(D253/B253,0)</f>
        <v>0.96296296296296291</v>
      </c>
      <c r="G253" s="9"/>
      <c r="I253" s="10">
        <f t="shared" ref="I253:I259" si="104">IF(B253&gt;0,C253,"")</f>
        <v>7.5</v>
      </c>
      <c r="J253" s="10">
        <f t="shared" ref="J253:J259" si="105">IF(D253&gt;0,E253,"")</f>
        <v>7.2222222222222223</v>
      </c>
    </row>
    <row r="254" spans="1:10" x14ac:dyDescent="0.25">
      <c r="A254" s="6" t="s">
        <v>63</v>
      </c>
      <c r="B254" s="6">
        <v>15</v>
      </c>
      <c r="C254" s="7">
        <f t="shared" si="101"/>
        <v>4.166666666666667</v>
      </c>
      <c r="D254" s="6">
        <v>15</v>
      </c>
      <c r="E254" s="7">
        <f t="shared" si="102"/>
        <v>4.166666666666667</v>
      </c>
      <c r="F254" s="8">
        <f t="shared" si="103"/>
        <v>1</v>
      </c>
      <c r="G254" s="9" t="s">
        <v>102</v>
      </c>
      <c r="I254" s="10">
        <f t="shared" si="104"/>
        <v>4.166666666666667</v>
      </c>
      <c r="J254" s="10">
        <f t="shared" si="105"/>
        <v>4.166666666666667</v>
      </c>
    </row>
    <row r="255" spans="1:10" x14ac:dyDescent="0.25">
      <c r="A255" s="6" t="s">
        <v>64</v>
      </c>
      <c r="B255" s="6">
        <v>25</v>
      </c>
      <c r="C255" s="7">
        <f t="shared" si="101"/>
        <v>6.9444444444444446</v>
      </c>
      <c r="D255" s="6">
        <v>21</v>
      </c>
      <c r="E255" s="7">
        <f t="shared" si="102"/>
        <v>5.833333333333333</v>
      </c>
      <c r="F255" s="8">
        <f t="shared" si="103"/>
        <v>0.84</v>
      </c>
      <c r="G255" s="9"/>
      <c r="I255" s="10">
        <f t="shared" si="104"/>
        <v>6.9444444444444446</v>
      </c>
      <c r="J255" s="10">
        <f t="shared" si="105"/>
        <v>5.833333333333333</v>
      </c>
    </row>
    <row r="256" spans="1:10" x14ac:dyDescent="0.25">
      <c r="A256" s="6" t="s">
        <v>65</v>
      </c>
      <c r="B256" s="6">
        <v>25</v>
      </c>
      <c r="C256" s="7">
        <f t="shared" si="101"/>
        <v>6.9444444444444446</v>
      </c>
      <c r="D256" s="6">
        <v>25</v>
      </c>
      <c r="E256" s="7">
        <f t="shared" si="102"/>
        <v>6.9444444444444446</v>
      </c>
      <c r="F256" s="8">
        <f t="shared" si="103"/>
        <v>1</v>
      </c>
      <c r="G256" s="9" t="s">
        <v>95</v>
      </c>
      <c r="I256" s="10">
        <f t="shared" si="104"/>
        <v>6.9444444444444446</v>
      </c>
      <c r="J256" s="10">
        <f t="shared" si="105"/>
        <v>6.9444444444444446</v>
      </c>
    </row>
    <row r="257" spans="1:10" x14ac:dyDescent="0.25">
      <c r="A257" s="6" t="s">
        <v>66</v>
      </c>
      <c r="B257" s="6">
        <v>26</v>
      </c>
      <c r="C257" s="7">
        <f t="shared" si="101"/>
        <v>7.2222222222222223</v>
      </c>
      <c r="D257" s="6">
        <v>25</v>
      </c>
      <c r="E257" s="7">
        <f t="shared" si="102"/>
        <v>6.9444444444444446</v>
      </c>
      <c r="F257" s="8">
        <f t="shared" si="103"/>
        <v>0.96153846153846156</v>
      </c>
      <c r="G257" s="9" t="s">
        <v>103</v>
      </c>
      <c r="I257" s="10">
        <f t="shared" si="104"/>
        <v>7.2222222222222223</v>
      </c>
      <c r="J257" s="10">
        <f t="shared" si="105"/>
        <v>6.9444444444444446</v>
      </c>
    </row>
    <row r="258" spans="1:10" x14ac:dyDescent="0.25">
      <c r="A258" s="6" t="s">
        <v>67</v>
      </c>
      <c r="B258" s="6">
        <v>5</v>
      </c>
      <c r="C258" s="7">
        <f t="shared" si="101"/>
        <v>1.3888888888888888</v>
      </c>
      <c r="D258" s="6">
        <v>4</v>
      </c>
      <c r="E258" s="7">
        <f t="shared" si="102"/>
        <v>1.1111111111111112</v>
      </c>
      <c r="F258" s="8">
        <f t="shared" si="103"/>
        <v>0.8</v>
      </c>
      <c r="G258" s="9"/>
      <c r="I258" s="10">
        <f t="shared" si="104"/>
        <v>1.3888888888888888</v>
      </c>
      <c r="J258" s="10">
        <f t="shared" si="105"/>
        <v>1.1111111111111112</v>
      </c>
    </row>
    <row r="259" spans="1:10" x14ac:dyDescent="0.25">
      <c r="A259" s="6" t="s">
        <v>68</v>
      </c>
      <c r="B259" s="6">
        <v>12</v>
      </c>
      <c r="C259" s="7">
        <f t="shared" si="101"/>
        <v>3.333333333333333</v>
      </c>
      <c r="D259" s="6">
        <v>13</v>
      </c>
      <c r="E259" s="7">
        <f t="shared" si="102"/>
        <v>3.6111111111111112</v>
      </c>
      <c r="F259" s="8">
        <f t="shared" si="103"/>
        <v>1.0833333333333333</v>
      </c>
      <c r="G259" s="9" t="s">
        <v>104</v>
      </c>
      <c r="I259" s="10">
        <f t="shared" si="104"/>
        <v>3.333333333333333</v>
      </c>
      <c r="J259" s="10">
        <f t="shared" si="105"/>
        <v>3.6111111111111112</v>
      </c>
    </row>
    <row r="260" spans="1:10" x14ac:dyDescent="0.25">
      <c r="A260" s="11" t="s">
        <v>23</v>
      </c>
      <c r="B260" s="11">
        <f>SUM(B253:B259)</f>
        <v>135</v>
      </c>
      <c r="C260" s="12">
        <f>AVERAGE(C253:C259)</f>
        <v>5.3571428571428568</v>
      </c>
      <c r="D260" s="11">
        <f>SUM(D253:D259)</f>
        <v>129</v>
      </c>
      <c r="E260" s="12">
        <f>AVERAGE(E253:E259)</f>
        <v>5.1190476190476195</v>
      </c>
      <c r="F260" s="13">
        <f t="shared" si="103"/>
        <v>0.9555555555555556</v>
      </c>
      <c r="G260" s="14"/>
    </row>
    <row r="262" spans="1:10" x14ac:dyDescent="0.25">
      <c r="A262" s="3" t="s">
        <v>105</v>
      </c>
      <c r="B262" s="4"/>
      <c r="C262" s="4"/>
      <c r="D262" s="4"/>
      <c r="E262" s="4"/>
      <c r="F262" s="4"/>
      <c r="G262" s="4"/>
    </row>
    <row r="263" spans="1:10" ht="45" x14ac:dyDescent="0.25">
      <c r="A263" s="5" t="s">
        <v>4</v>
      </c>
      <c r="B263" s="5" t="s">
        <v>5</v>
      </c>
      <c r="C263" s="5" t="s">
        <v>6</v>
      </c>
      <c r="D263" s="5" t="s">
        <v>7</v>
      </c>
      <c r="E263" s="5" t="s">
        <v>8</v>
      </c>
      <c r="F263" s="5" t="s">
        <v>9</v>
      </c>
      <c r="G263" s="5" t="s">
        <v>10</v>
      </c>
    </row>
    <row r="264" spans="1:10" x14ac:dyDescent="0.25">
      <c r="A264" s="6" t="s">
        <v>51</v>
      </c>
      <c r="B264" s="6">
        <v>23</v>
      </c>
      <c r="C264" s="7">
        <f t="shared" ref="C264:C270" si="106">B264/3.6</f>
        <v>6.3888888888888884</v>
      </c>
      <c r="D264" s="6">
        <v>23</v>
      </c>
      <c r="E264" s="7">
        <f t="shared" ref="E264:E270" si="107">D264/3.6</f>
        <v>6.3888888888888884</v>
      </c>
      <c r="F264" s="8">
        <f t="shared" ref="F264:F271" si="108">IFERROR(D264/B264,0)</f>
        <v>1</v>
      </c>
      <c r="G264" s="9"/>
      <c r="I264" s="10">
        <f t="shared" ref="I264:I270" si="109">IF(B264&gt;0,C264,"")</f>
        <v>6.3888888888888884</v>
      </c>
      <c r="J264" s="10">
        <f t="shared" ref="J264:J270" si="110">IF(D264&gt;0,E264,"")</f>
        <v>6.3888888888888884</v>
      </c>
    </row>
    <row r="265" spans="1:10" x14ac:dyDescent="0.25">
      <c r="A265" s="6" t="s">
        <v>63</v>
      </c>
      <c r="B265" s="6">
        <v>22</v>
      </c>
      <c r="C265" s="7">
        <f t="shared" si="106"/>
        <v>6.1111111111111107</v>
      </c>
      <c r="D265" s="6">
        <v>17</v>
      </c>
      <c r="E265" s="7">
        <f t="shared" si="107"/>
        <v>4.7222222222222223</v>
      </c>
      <c r="F265" s="8">
        <f t="shared" si="108"/>
        <v>0.77272727272727271</v>
      </c>
      <c r="G265" s="9" t="s">
        <v>95</v>
      </c>
      <c r="I265" s="10">
        <f t="shared" si="109"/>
        <v>6.1111111111111107</v>
      </c>
      <c r="J265" s="10">
        <f t="shared" si="110"/>
        <v>4.7222222222222223</v>
      </c>
    </row>
    <row r="266" spans="1:10" x14ac:dyDescent="0.25">
      <c r="A266" s="6" t="s">
        <v>64</v>
      </c>
      <c r="B266" s="6">
        <v>22</v>
      </c>
      <c r="C266" s="7">
        <f t="shared" si="106"/>
        <v>6.1111111111111107</v>
      </c>
      <c r="D266" s="6">
        <v>22</v>
      </c>
      <c r="E266" s="7">
        <f t="shared" si="107"/>
        <v>6.1111111111111107</v>
      </c>
      <c r="F266" s="8">
        <f t="shared" si="108"/>
        <v>1</v>
      </c>
      <c r="G266" s="9"/>
      <c r="I266" s="10">
        <f t="shared" si="109"/>
        <v>6.1111111111111107</v>
      </c>
      <c r="J266" s="10">
        <f t="shared" si="110"/>
        <v>6.1111111111111107</v>
      </c>
    </row>
    <row r="267" spans="1:10" x14ac:dyDescent="0.25">
      <c r="A267" s="6" t="s">
        <v>65</v>
      </c>
      <c r="B267" s="6">
        <v>27</v>
      </c>
      <c r="C267" s="7">
        <f t="shared" si="106"/>
        <v>7.5</v>
      </c>
      <c r="D267" s="6">
        <v>26</v>
      </c>
      <c r="E267" s="7">
        <f t="shared" si="107"/>
        <v>7.2222222222222223</v>
      </c>
      <c r="F267" s="8">
        <f t="shared" si="108"/>
        <v>0.96296296296296291</v>
      </c>
      <c r="G267" s="9" t="s">
        <v>95</v>
      </c>
      <c r="I267" s="10">
        <f t="shared" si="109"/>
        <v>7.5</v>
      </c>
      <c r="J267" s="10">
        <f t="shared" si="110"/>
        <v>7.2222222222222223</v>
      </c>
    </row>
    <row r="268" spans="1:10" x14ac:dyDescent="0.25">
      <c r="A268" s="6" t="s">
        <v>66</v>
      </c>
      <c r="B268" s="6">
        <v>17</v>
      </c>
      <c r="C268" s="7">
        <f t="shared" si="106"/>
        <v>4.7222222222222223</v>
      </c>
      <c r="D268" s="6">
        <v>16</v>
      </c>
      <c r="E268" s="7">
        <f t="shared" si="107"/>
        <v>4.4444444444444446</v>
      </c>
      <c r="F268" s="8">
        <f t="shared" si="108"/>
        <v>0.94117647058823528</v>
      </c>
      <c r="G268" s="9"/>
      <c r="I268" s="10">
        <f t="shared" si="109"/>
        <v>4.7222222222222223</v>
      </c>
      <c r="J268" s="10">
        <f t="shared" si="110"/>
        <v>4.4444444444444446</v>
      </c>
    </row>
    <row r="269" spans="1:10" x14ac:dyDescent="0.25">
      <c r="A269" s="6" t="s">
        <v>67</v>
      </c>
      <c r="B269" s="6">
        <v>16</v>
      </c>
      <c r="C269" s="7">
        <f t="shared" si="106"/>
        <v>4.4444444444444446</v>
      </c>
      <c r="D269" s="6">
        <v>16</v>
      </c>
      <c r="E269" s="7">
        <f t="shared" si="107"/>
        <v>4.4444444444444446</v>
      </c>
      <c r="F269" s="8">
        <f t="shared" si="108"/>
        <v>1</v>
      </c>
      <c r="G269" s="9" t="s">
        <v>95</v>
      </c>
      <c r="I269" s="10">
        <f t="shared" si="109"/>
        <v>4.4444444444444446</v>
      </c>
      <c r="J269" s="10">
        <f t="shared" si="110"/>
        <v>4.4444444444444446</v>
      </c>
    </row>
    <row r="270" spans="1:10" x14ac:dyDescent="0.25">
      <c r="A270" s="6" t="s">
        <v>68</v>
      </c>
      <c r="B270" s="6">
        <v>7</v>
      </c>
      <c r="C270" s="7">
        <f t="shared" si="106"/>
        <v>1.9444444444444444</v>
      </c>
      <c r="D270" s="6">
        <v>8</v>
      </c>
      <c r="E270" s="7">
        <f t="shared" si="107"/>
        <v>2.2222222222222223</v>
      </c>
      <c r="F270" s="8">
        <f t="shared" si="108"/>
        <v>1.1428571428571428</v>
      </c>
      <c r="G270" s="9"/>
      <c r="I270" s="10">
        <f t="shared" si="109"/>
        <v>1.9444444444444444</v>
      </c>
      <c r="J270" s="10">
        <f t="shared" si="110"/>
        <v>2.2222222222222223</v>
      </c>
    </row>
    <row r="271" spans="1:10" x14ac:dyDescent="0.25">
      <c r="A271" s="11" t="s">
        <v>23</v>
      </c>
      <c r="B271" s="11">
        <f>SUM(B264:B270)</f>
        <v>134</v>
      </c>
      <c r="C271" s="12">
        <f>AVERAGE(C264:C270)</f>
        <v>5.3174603174603172</v>
      </c>
      <c r="D271" s="11">
        <f>SUM(D264:D270)</f>
        <v>128</v>
      </c>
      <c r="E271" s="12">
        <f>AVERAGE(E264:E270)</f>
        <v>5.0793650793650782</v>
      </c>
      <c r="F271" s="13">
        <f t="shared" si="108"/>
        <v>0.95522388059701491</v>
      </c>
      <c r="G271" s="14"/>
    </row>
    <row r="273" spans="1:10" x14ac:dyDescent="0.25">
      <c r="A273" s="3" t="s">
        <v>106</v>
      </c>
      <c r="B273" s="4"/>
      <c r="C273" s="4"/>
      <c r="D273" s="4"/>
      <c r="E273" s="4"/>
      <c r="F273" s="4"/>
      <c r="G273" s="4"/>
    </row>
    <row r="274" spans="1:10" ht="45" x14ac:dyDescent="0.25">
      <c r="A274" s="5" t="s">
        <v>4</v>
      </c>
      <c r="B274" s="5" t="s">
        <v>5</v>
      </c>
      <c r="C274" s="5" t="s">
        <v>6</v>
      </c>
      <c r="D274" s="5" t="s">
        <v>7</v>
      </c>
      <c r="E274" s="5" t="s">
        <v>8</v>
      </c>
      <c r="F274" s="5" t="s">
        <v>9</v>
      </c>
      <c r="G274" s="5" t="s">
        <v>10</v>
      </c>
    </row>
    <row r="275" spans="1:10" x14ac:dyDescent="0.25">
      <c r="A275" s="6" t="s">
        <v>12</v>
      </c>
      <c r="B275" s="6">
        <v>31</v>
      </c>
      <c r="C275" s="7">
        <f t="shared" ref="C275:C281" si="111">B275/3.6</f>
        <v>8.6111111111111107</v>
      </c>
      <c r="D275" s="6">
        <v>30</v>
      </c>
      <c r="E275" s="7">
        <f t="shared" ref="E275:E281" si="112">D275/3.6</f>
        <v>8.3333333333333339</v>
      </c>
      <c r="F275" s="8">
        <f t="shared" ref="F275:F282" si="113">IFERROR(D275/B275,0)</f>
        <v>0.967741935483871</v>
      </c>
      <c r="G275" s="9"/>
      <c r="I275" s="10">
        <f t="shared" ref="I275:I281" si="114">IF(B275&gt;0,C275,"")</f>
        <v>8.6111111111111107</v>
      </c>
      <c r="J275" s="10">
        <f t="shared" ref="J275:J281" si="115">IF(D275&gt;0,E275,"")</f>
        <v>8.3333333333333339</v>
      </c>
    </row>
    <row r="276" spans="1:10" x14ac:dyDescent="0.25">
      <c r="A276" s="6" t="s">
        <v>13</v>
      </c>
      <c r="B276" s="6">
        <v>21</v>
      </c>
      <c r="C276" s="7">
        <f t="shared" si="111"/>
        <v>5.833333333333333</v>
      </c>
      <c r="D276" s="6">
        <v>17</v>
      </c>
      <c r="E276" s="7">
        <f t="shared" si="112"/>
        <v>4.7222222222222223</v>
      </c>
      <c r="F276" s="8">
        <f t="shared" si="113"/>
        <v>0.80952380952380953</v>
      </c>
      <c r="G276" s="9" t="s">
        <v>99</v>
      </c>
      <c r="I276" s="10">
        <f t="shared" si="114"/>
        <v>5.833333333333333</v>
      </c>
      <c r="J276" s="10">
        <f t="shared" si="115"/>
        <v>4.7222222222222223</v>
      </c>
    </row>
    <row r="277" spans="1:10" x14ac:dyDescent="0.25">
      <c r="A277" s="6" t="s">
        <v>15</v>
      </c>
      <c r="B277" s="6">
        <v>5</v>
      </c>
      <c r="C277" s="7">
        <f t="shared" si="111"/>
        <v>1.3888888888888888</v>
      </c>
      <c r="D277" s="6">
        <v>3</v>
      </c>
      <c r="E277" s="7">
        <f t="shared" si="112"/>
        <v>0.83333333333333326</v>
      </c>
      <c r="F277" s="8">
        <f t="shared" si="113"/>
        <v>0.6</v>
      </c>
      <c r="G277" s="9" t="s">
        <v>107</v>
      </c>
      <c r="I277" s="10">
        <f t="shared" si="114"/>
        <v>1.3888888888888888</v>
      </c>
      <c r="J277" s="10">
        <f t="shared" si="115"/>
        <v>0.83333333333333326</v>
      </c>
    </row>
    <row r="278" spans="1:10" x14ac:dyDescent="0.25">
      <c r="A278" s="6" t="s">
        <v>17</v>
      </c>
      <c r="B278" s="6">
        <v>18</v>
      </c>
      <c r="C278" s="7">
        <f t="shared" si="111"/>
        <v>5</v>
      </c>
      <c r="D278" s="6">
        <v>18</v>
      </c>
      <c r="E278" s="7">
        <f t="shared" si="112"/>
        <v>5</v>
      </c>
      <c r="F278" s="8">
        <f t="shared" si="113"/>
        <v>1</v>
      </c>
      <c r="G278" s="9"/>
      <c r="I278" s="10">
        <f t="shared" si="114"/>
        <v>5</v>
      </c>
      <c r="J278" s="10">
        <f t="shared" si="115"/>
        <v>5</v>
      </c>
    </row>
    <row r="279" spans="1:10" x14ac:dyDescent="0.25">
      <c r="A279" s="6" t="s">
        <v>19</v>
      </c>
      <c r="B279" s="6">
        <v>18</v>
      </c>
      <c r="C279" s="7">
        <f t="shared" si="111"/>
        <v>5</v>
      </c>
      <c r="D279" s="6">
        <v>11</v>
      </c>
      <c r="E279" s="7">
        <f t="shared" si="112"/>
        <v>3.0555555555555554</v>
      </c>
      <c r="F279" s="8">
        <f t="shared" si="113"/>
        <v>0.61111111111111116</v>
      </c>
      <c r="G279" s="9" t="s">
        <v>108</v>
      </c>
      <c r="I279" s="10">
        <f t="shared" si="114"/>
        <v>5</v>
      </c>
      <c r="J279" s="10">
        <f t="shared" si="115"/>
        <v>3.0555555555555554</v>
      </c>
    </row>
    <row r="280" spans="1:10" x14ac:dyDescent="0.25">
      <c r="A280" s="6" t="s">
        <v>20</v>
      </c>
      <c r="B280" s="6">
        <v>10</v>
      </c>
      <c r="C280" s="7">
        <f t="shared" si="111"/>
        <v>2.7777777777777777</v>
      </c>
      <c r="D280" s="6">
        <v>9</v>
      </c>
      <c r="E280" s="7">
        <f t="shared" si="112"/>
        <v>2.5</v>
      </c>
      <c r="F280" s="8">
        <f t="shared" si="113"/>
        <v>0.9</v>
      </c>
      <c r="G280" s="9"/>
      <c r="I280" s="10">
        <f t="shared" si="114"/>
        <v>2.7777777777777777</v>
      </c>
      <c r="J280" s="10">
        <f t="shared" si="115"/>
        <v>2.5</v>
      </c>
    </row>
    <row r="281" spans="1:10" x14ac:dyDescent="0.25">
      <c r="A281" s="6" t="s">
        <v>22</v>
      </c>
      <c r="B281" s="6">
        <v>15</v>
      </c>
      <c r="C281" s="7">
        <f t="shared" si="111"/>
        <v>4.166666666666667</v>
      </c>
      <c r="D281" s="6">
        <v>14</v>
      </c>
      <c r="E281" s="7">
        <f t="shared" si="112"/>
        <v>3.8888888888888888</v>
      </c>
      <c r="F281" s="8">
        <f t="shared" si="113"/>
        <v>0.93333333333333335</v>
      </c>
      <c r="G281" s="9"/>
      <c r="I281" s="10">
        <f t="shared" si="114"/>
        <v>4.166666666666667</v>
      </c>
      <c r="J281" s="10">
        <f t="shared" si="115"/>
        <v>3.8888888888888888</v>
      </c>
    </row>
    <row r="282" spans="1:10" x14ac:dyDescent="0.25">
      <c r="A282" s="11" t="s">
        <v>23</v>
      </c>
      <c r="B282" s="11">
        <f>SUM(B275:B281)</f>
        <v>118</v>
      </c>
      <c r="C282" s="12">
        <f>AVERAGE(C275:C281)</f>
        <v>4.6825396825396828</v>
      </c>
      <c r="D282" s="11">
        <f>SUM(D275:D281)</f>
        <v>102</v>
      </c>
      <c r="E282" s="12">
        <f>AVERAGE(E275:E281)</f>
        <v>4.0476190476190483</v>
      </c>
      <c r="F282" s="13">
        <f t="shared" si="113"/>
        <v>0.86440677966101698</v>
      </c>
      <c r="G282" s="14"/>
    </row>
    <row r="284" spans="1:10" x14ac:dyDescent="0.25">
      <c r="A284" s="3" t="s">
        <v>109</v>
      </c>
      <c r="B284" s="4"/>
      <c r="C284" s="4"/>
      <c r="D284" s="4"/>
      <c r="E284" s="4"/>
      <c r="F284" s="4"/>
      <c r="G284" s="4"/>
    </row>
    <row r="285" spans="1:10" ht="45" x14ac:dyDescent="0.25">
      <c r="A285" s="5" t="s">
        <v>4</v>
      </c>
      <c r="B285" s="5" t="s">
        <v>5</v>
      </c>
      <c r="C285" s="5" t="s">
        <v>6</v>
      </c>
      <c r="D285" s="5" t="s">
        <v>7</v>
      </c>
      <c r="E285" s="5" t="s">
        <v>8</v>
      </c>
      <c r="F285" s="5" t="s">
        <v>9</v>
      </c>
      <c r="G285" s="5" t="s">
        <v>10</v>
      </c>
    </row>
    <row r="286" spans="1:10" x14ac:dyDescent="0.25">
      <c r="A286" s="6" t="s">
        <v>80</v>
      </c>
      <c r="B286" s="6">
        <v>32</v>
      </c>
      <c r="C286" s="7">
        <f t="shared" ref="C286:C295" si="116">B286/3.6</f>
        <v>8.8888888888888893</v>
      </c>
      <c r="D286" s="6">
        <v>30</v>
      </c>
      <c r="E286" s="7">
        <f t="shared" ref="E286:E295" si="117">D286/3.6</f>
        <v>8.3333333333333339</v>
      </c>
      <c r="F286" s="8">
        <f t="shared" ref="F286:F296" si="118">IFERROR(D286/B286,0)</f>
        <v>0.9375</v>
      </c>
      <c r="G286" s="9"/>
      <c r="I286" s="10">
        <f t="shared" ref="I286:I295" si="119">IF(B286&gt;0,C286,"")</f>
        <v>8.8888888888888893</v>
      </c>
      <c r="J286" s="10">
        <f t="shared" ref="J286:J295" si="120">IF(D286&gt;0,E286,"")</f>
        <v>8.3333333333333339</v>
      </c>
    </row>
    <row r="287" spans="1:10" x14ac:dyDescent="0.25">
      <c r="A287" s="6" t="s">
        <v>81</v>
      </c>
      <c r="B287" s="6">
        <v>21</v>
      </c>
      <c r="C287" s="7">
        <f t="shared" si="116"/>
        <v>5.833333333333333</v>
      </c>
      <c r="D287" s="6">
        <v>21</v>
      </c>
      <c r="E287" s="7">
        <f t="shared" si="117"/>
        <v>5.833333333333333</v>
      </c>
      <c r="F287" s="8">
        <f t="shared" si="118"/>
        <v>1</v>
      </c>
      <c r="G287" s="9"/>
      <c r="I287" s="10">
        <f t="shared" si="119"/>
        <v>5.833333333333333</v>
      </c>
      <c r="J287" s="10">
        <f t="shared" si="120"/>
        <v>5.833333333333333</v>
      </c>
    </row>
    <row r="288" spans="1:10" x14ac:dyDescent="0.25">
      <c r="A288" s="6" t="s">
        <v>29</v>
      </c>
      <c r="B288" s="6">
        <v>0</v>
      </c>
      <c r="C288" s="7">
        <f t="shared" si="116"/>
        <v>0</v>
      </c>
      <c r="D288" s="6">
        <v>0</v>
      </c>
      <c r="E288" s="7">
        <f t="shared" si="117"/>
        <v>0</v>
      </c>
      <c r="F288" s="8">
        <f t="shared" si="118"/>
        <v>0</v>
      </c>
      <c r="G288" s="9" t="s">
        <v>110</v>
      </c>
      <c r="I288" s="10" t="str">
        <f t="shared" si="119"/>
        <v/>
      </c>
      <c r="J288" s="10" t="str">
        <f t="shared" si="120"/>
        <v/>
      </c>
    </row>
    <row r="289" spans="1:10" x14ac:dyDescent="0.25">
      <c r="A289" s="6" t="s">
        <v>30</v>
      </c>
      <c r="B289" s="6">
        <v>22</v>
      </c>
      <c r="C289" s="7">
        <f t="shared" si="116"/>
        <v>6.1111111111111107</v>
      </c>
      <c r="D289" s="6">
        <v>17</v>
      </c>
      <c r="E289" s="7">
        <f t="shared" si="117"/>
        <v>4.7222222222222223</v>
      </c>
      <c r="F289" s="8">
        <f t="shared" si="118"/>
        <v>0.77272727272727271</v>
      </c>
      <c r="G289" s="9"/>
      <c r="I289" s="10">
        <f t="shared" si="119"/>
        <v>6.1111111111111107</v>
      </c>
      <c r="J289" s="10">
        <f t="shared" si="120"/>
        <v>4.7222222222222223</v>
      </c>
    </row>
    <row r="290" spans="1:10" x14ac:dyDescent="0.25">
      <c r="A290" s="6" t="s">
        <v>32</v>
      </c>
      <c r="B290" s="6">
        <v>20</v>
      </c>
      <c r="C290" s="7">
        <f t="shared" si="116"/>
        <v>5.5555555555555554</v>
      </c>
      <c r="D290" s="6">
        <v>20</v>
      </c>
      <c r="E290" s="7">
        <f t="shared" si="117"/>
        <v>5.5555555555555554</v>
      </c>
      <c r="F290" s="8">
        <f t="shared" si="118"/>
        <v>1</v>
      </c>
      <c r="G290" s="9"/>
      <c r="I290" s="10">
        <f t="shared" si="119"/>
        <v>5.5555555555555554</v>
      </c>
      <c r="J290" s="10">
        <f t="shared" si="120"/>
        <v>5.5555555555555554</v>
      </c>
    </row>
    <row r="291" spans="1:10" x14ac:dyDescent="0.25">
      <c r="A291" s="6" t="s">
        <v>33</v>
      </c>
      <c r="B291" s="6">
        <v>23</v>
      </c>
      <c r="C291" s="7">
        <f t="shared" si="116"/>
        <v>6.3888888888888884</v>
      </c>
      <c r="D291" s="6">
        <v>21</v>
      </c>
      <c r="E291" s="7">
        <f t="shared" si="117"/>
        <v>5.833333333333333</v>
      </c>
      <c r="F291" s="8">
        <f t="shared" si="118"/>
        <v>0.91304347826086951</v>
      </c>
      <c r="G291" s="9"/>
      <c r="I291" s="10">
        <f t="shared" si="119"/>
        <v>6.3888888888888884</v>
      </c>
      <c r="J291" s="10">
        <f t="shared" si="120"/>
        <v>5.833333333333333</v>
      </c>
    </row>
    <row r="292" spans="1:10" x14ac:dyDescent="0.25">
      <c r="A292" s="6" t="s">
        <v>34</v>
      </c>
      <c r="B292" s="6">
        <v>23</v>
      </c>
      <c r="C292" s="7">
        <f t="shared" si="116"/>
        <v>6.3888888888888884</v>
      </c>
      <c r="D292" s="6">
        <v>22</v>
      </c>
      <c r="E292" s="7">
        <f t="shared" si="117"/>
        <v>6.1111111111111107</v>
      </c>
      <c r="F292" s="8">
        <f t="shared" si="118"/>
        <v>0.95652173913043481</v>
      </c>
      <c r="G292" s="9"/>
      <c r="I292" s="10">
        <f t="shared" si="119"/>
        <v>6.3888888888888884</v>
      </c>
      <c r="J292" s="10">
        <f t="shared" si="120"/>
        <v>6.1111111111111107</v>
      </c>
    </row>
    <row r="293" spans="1:10" x14ac:dyDescent="0.25">
      <c r="A293" s="6" t="s">
        <v>35</v>
      </c>
      <c r="B293" s="6">
        <v>13</v>
      </c>
      <c r="C293" s="7">
        <f t="shared" si="116"/>
        <v>3.6111111111111112</v>
      </c>
      <c r="D293" s="6">
        <v>14</v>
      </c>
      <c r="E293" s="7">
        <f t="shared" si="117"/>
        <v>3.8888888888888888</v>
      </c>
      <c r="F293" s="8">
        <f t="shared" si="118"/>
        <v>1.0769230769230769</v>
      </c>
      <c r="G293" s="9" t="s">
        <v>111</v>
      </c>
      <c r="I293" s="10">
        <f t="shared" si="119"/>
        <v>3.6111111111111112</v>
      </c>
      <c r="J293" s="10">
        <f t="shared" si="120"/>
        <v>3.8888888888888888</v>
      </c>
    </row>
    <row r="294" spans="1:10" x14ac:dyDescent="0.25">
      <c r="A294" s="6" t="s">
        <v>36</v>
      </c>
      <c r="B294" s="6">
        <v>22</v>
      </c>
      <c r="C294" s="7">
        <f t="shared" si="116"/>
        <v>6.1111111111111107</v>
      </c>
      <c r="D294" s="6">
        <v>20</v>
      </c>
      <c r="E294" s="7">
        <f t="shared" si="117"/>
        <v>5.5555555555555554</v>
      </c>
      <c r="F294" s="8">
        <f t="shared" si="118"/>
        <v>0.90909090909090906</v>
      </c>
      <c r="G294" s="9"/>
      <c r="I294" s="10">
        <f t="shared" si="119"/>
        <v>6.1111111111111107</v>
      </c>
      <c r="J294" s="10">
        <f t="shared" si="120"/>
        <v>5.5555555555555554</v>
      </c>
    </row>
    <row r="295" spans="1:10" x14ac:dyDescent="0.25">
      <c r="A295" s="6" t="s">
        <v>11</v>
      </c>
      <c r="B295" s="6">
        <v>12</v>
      </c>
      <c r="C295" s="7">
        <f t="shared" si="116"/>
        <v>3.333333333333333</v>
      </c>
      <c r="D295" s="6">
        <v>12</v>
      </c>
      <c r="E295" s="7">
        <f t="shared" si="117"/>
        <v>3.333333333333333</v>
      </c>
      <c r="F295" s="8">
        <f t="shared" si="118"/>
        <v>1</v>
      </c>
      <c r="G295" s="9"/>
      <c r="I295" s="10">
        <f t="shared" si="119"/>
        <v>3.333333333333333</v>
      </c>
      <c r="J295" s="10">
        <f t="shared" si="120"/>
        <v>3.333333333333333</v>
      </c>
    </row>
    <row r="296" spans="1:10" x14ac:dyDescent="0.25">
      <c r="A296" s="11" t="s">
        <v>23</v>
      </c>
      <c r="B296" s="11">
        <f>SUM(B286:B295)</f>
        <v>188</v>
      </c>
      <c r="C296" s="12">
        <f>AVERAGE(C286:C295)</f>
        <v>5.2222222222222223</v>
      </c>
      <c r="D296" s="11">
        <f>SUM(D286:D295)</f>
        <v>177</v>
      </c>
      <c r="E296" s="12">
        <f>AVERAGE(E286:E295)</f>
        <v>4.9166666666666661</v>
      </c>
      <c r="F296" s="13">
        <f t="shared" si="118"/>
        <v>0.94148936170212771</v>
      </c>
      <c r="G296" s="14"/>
    </row>
    <row r="298" spans="1:10" x14ac:dyDescent="0.25">
      <c r="A298" s="3" t="s">
        <v>112</v>
      </c>
      <c r="B298" s="4"/>
      <c r="C298" s="4"/>
      <c r="D298" s="4"/>
      <c r="E298" s="4"/>
      <c r="F298" s="4"/>
      <c r="G298" s="4"/>
    </row>
    <row r="299" spans="1:10" ht="45" x14ac:dyDescent="0.25">
      <c r="A299" s="5" t="s">
        <v>4</v>
      </c>
      <c r="B299" s="5" t="s">
        <v>5</v>
      </c>
      <c r="C299" s="5" t="s">
        <v>6</v>
      </c>
      <c r="D299" s="5" t="s">
        <v>7</v>
      </c>
      <c r="E299" s="5" t="s">
        <v>8</v>
      </c>
      <c r="F299" s="5" t="s">
        <v>9</v>
      </c>
      <c r="G299" s="5" t="s">
        <v>10</v>
      </c>
    </row>
    <row r="300" spans="1:10" x14ac:dyDescent="0.25">
      <c r="A300" s="6" t="s">
        <v>12</v>
      </c>
      <c r="B300" s="6">
        <v>35</v>
      </c>
      <c r="C300" s="7">
        <f t="shared" ref="C300:C307" si="121">B300/3.6</f>
        <v>9.7222222222222214</v>
      </c>
      <c r="D300" s="6">
        <v>35</v>
      </c>
      <c r="E300" s="7">
        <f t="shared" ref="E300:E307" si="122">D300/3.6</f>
        <v>9.7222222222222214</v>
      </c>
      <c r="F300" s="8">
        <f t="shared" ref="F300:F308" si="123">IFERROR(D300/B300,0)</f>
        <v>1</v>
      </c>
      <c r="G300" s="9"/>
      <c r="I300" s="10">
        <f t="shared" ref="I300:I307" si="124">IF(B300&gt;0,C300,"")</f>
        <v>9.7222222222222214</v>
      </c>
      <c r="J300" s="10">
        <f t="shared" ref="J300:J307" si="125">IF(D300&gt;0,E300,"")</f>
        <v>9.7222222222222214</v>
      </c>
    </row>
    <row r="301" spans="1:10" x14ac:dyDescent="0.25">
      <c r="A301" s="6" t="s">
        <v>13</v>
      </c>
      <c r="B301" s="6">
        <v>16</v>
      </c>
      <c r="C301" s="7">
        <f t="shared" si="121"/>
        <v>4.4444444444444446</v>
      </c>
      <c r="D301" s="6">
        <v>15</v>
      </c>
      <c r="E301" s="7">
        <f t="shared" si="122"/>
        <v>4.166666666666667</v>
      </c>
      <c r="F301" s="8">
        <f t="shared" si="123"/>
        <v>0.9375</v>
      </c>
      <c r="G301" s="9"/>
      <c r="I301" s="10">
        <f t="shared" si="124"/>
        <v>4.4444444444444446</v>
      </c>
      <c r="J301" s="10">
        <f t="shared" si="125"/>
        <v>4.166666666666667</v>
      </c>
    </row>
    <row r="302" spans="1:10" x14ac:dyDescent="0.25">
      <c r="A302" s="6" t="s">
        <v>15</v>
      </c>
      <c r="B302" s="6">
        <v>17</v>
      </c>
      <c r="C302" s="7">
        <f t="shared" si="121"/>
        <v>4.7222222222222223</v>
      </c>
      <c r="D302" s="6">
        <v>14</v>
      </c>
      <c r="E302" s="7">
        <f t="shared" si="122"/>
        <v>3.8888888888888888</v>
      </c>
      <c r="F302" s="8">
        <f t="shared" si="123"/>
        <v>0.82352941176470584</v>
      </c>
      <c r="G302" s="9"/>
      <c r="I302" s="10">
        <f t="shared" si="124"/>
        <v>4.7222222222222223</v>
      </c>
      <c r="J302" s="10">
        <f t="shared" si="125"/>
        <v>3.8888888888888888</v>
      </c>
    </row>
    <row r="303" spans="1:10" x14ac:dyDescent="0.25">
      <c r="A303" s="6" t="s">
        <v>17</v>
      </c>
      <c r="B303" s="6">
        <v>0</v>
      </c>
      <c r="C303" s="7">
        <f t="shared" si="121"/>
        <v>0</v>
      </c>
      <c r="D303" s="6">
        <v>0</v>
      </c>
      <c r="E303" s="7">
        <f t="shared" si="122"/>
        <v>0</v>
      </c>
      <c r="F303" s="8">
        <f t="shared" si="123"/>
        <v>0</v>
      </c>
      <c r="G303" s="9" t="s">
        <v>113</v>
      </c>
      <c r="I303" s="10" t="str">
        <f t="shared" si="124"/>
        <v/>
      </c>
      <c r="J303" s="10" t="str">
        <f t="shared" si="125"/>
        <v/>
      </c>
    </row>
    <row r="304" spans="1:10" x14ac:dyDescent="0.25">
      <c r="A304" s="6" t="s">
        <v>19</v>
      </c>
      <c r="B304" s="6">
        <v>0</v>
      </c>
      <c r="C304" s="7">
        <f t="shared" si="121"/>
        <v>0</v>
      </c>
      <c r="D304" s="6">
        <v>0</v>
      </c>
      <c r="E304" s="7">
        <f t="shared" si="122"/>
        <v>0</v>
      </c>
      <c r="F304" s="8">
        <f t="shared" si="123"/>
        <v>0</v>
      </c>
      <c r="G304" s="9"/>
      <c r="I304" s="10" t="str">
        <f t="shared" si="124"/>
        <v/>
      </c>
      <c r="J304" s="10" t="str">
        <f t="shared" si="125"/>
        <v/>
      </c>
    </row>
    <row r="305" spans="1:10" x14ac:dyDescent="0.25">
      <c r="A305" s="6" t="s">
        <v>20</v>
      </c>
      <c r="B305" s="6">
        <v>0</v>
      </c>
      <c r="C305" s="7">
        <f t="shared" si="121"/>
        <v>0</v>
      </c>
      <c r="D305" s="6">
        <v>0</v>
      </c>
      <c r="E305" s="7">
        <f t="shared" si="122"/>
        <v>0</v>
      </c>
      <c r="F305" s="8">
        <f t="shared" si="123"/>
        <v>0</v>
      </c>
      <c r="G305" s="9" t="s">
        <v>114</v>
      </c>
      <c r="I305" s="10" t="str">
        <f t="shared" si="124"/>
        <v/>
      </c>
      <c r="J305" s="10" t="str">
        <f t="shared" si="125"/>
        <v/>
      </c>
    </row>
    <row r="306" spans="1:10" x14ac:dyDescent="0.25">
      <c r="A306" s="6" t="s">
        <v>22</v>
      </c>
      <c r="B306" s="6">
        <v>0</v>
      </c>
      <c r="C306" s="7">
        <f t="shared" si="121"/>
        <v>0</v>
      </c>
      <c r="D306" s="6">
        <v>0</v>
      </c>
      <c r="E306" s="7">
        <f t="shared" si="122"/>
        <v>0</v>
      </c>
      <c r="F306" s="8">
        <f t="shared" si="123"/>
        <v>0</v>
      </c>
      <c r="G306" s="9"/>
      <c r="I306" s="10" t="str">
        <f t="shared" si="124"/>
        <v/>
      </c>
      <c r="J306" s="10" t="str">
        <f t="shared" si="125"/>
        <v/>
      </c>
    </row>
    <row r="307" spans="1:10" x14ac:dyDescent="0.25">
      <c r="A307" s="6" t="s">
        <v>51</v>
      </c>
      <c r="B307" s="6">
        <v>0</v>
      </c>
      <c r="C307" s="7">
        <f t="shared" si="121"/>
        <v>0</v>
      </c>
      <c r="D307" s="6">
        <v>0</v>
      </c>
      <c r="E307" s="7">
        <f t="shared" si="122"/>
        <v>0</v>
      </c>
      <c r="F307" s="8">
        <f t="shared" si="123"/>
        <v>0</v>
      </c>
      <c r="G307" s="9"/>
      <c r="I307" s="10" t="str">
        <f t="shared" si="124"/>
        <v/>
      </c>
      <c r="J307" s="10" t="str">
        <f t="shared" si="125"/>
        <v/>
      </c>
    </row>
    <row r="308" spans="1:10" x14ac:dyDescent="0.25">
      <c r="A308" s="11" t="s">
        <v>23</v>
      </c>
      <c r="B308" s="11">
        <f>SUM(B300:B307)</f>
        <v>68</v>
      </c>
      <c r="C308" s="12">
        <f>AVERAGE(C300:C307)</f>
        <v>2.3611111111111112</v>
      </c>
      <c r="D308" s="11">
        <f>SUM(D300:D307)</f>
        <v>64</v>
      </c>
      <c r="E308" s="12">
        <f>AVERAGE(E300:E307)</f>
        <v>2.2222222222222223</v>
      </c>
      <c r="F308" s="13">
        <f t="shared" si="123"/>
        <v>0.94117647058823528</v>
      </c>
      <c r="G308" s="14"/>
    </row>
    <row r="310" spans="1:10" x14ac:dyDescent="0.25">
      <c r="A310" s="3" t="s">
        <v>115</v>
      </c>
      <c r="B310" s="4"/>
      <c r="C310" s="4"/>
      <c r="D310" s="4"/>
      <c r="E310" s="4"/>
      <c r="F310" s="4"/>
      <c r="G310" s="4"/>
    </row>
    <row r="311" spans="1:10" ht="45" x14ac:dyDescent="0.25">
      <c r="A311" s="5" t="s">
        <v>4</v>
      </c>
      <c r="B311" s="5" t="s">
        <v>5</v>
      </c>
      <c r="C311" s="5" t="s">
        <v>6</v>
      </c>
      <c r="D311" s="5" t="s">
        <v>7</v>
      </c>
      <c r="E311" s="5" t="s">
        <v>8</v>
      </c>
      <c r="F311" s="5" t="s">
        <v>9</v>
      </c>
      <c r="G311" s="5" t="s">
        <v>10</v>
      </c>
    </row>
    <row r="312" spans="1:10" x14ac:dyDescent="0.25">
      <c r="A312" s="6" t="s">
        <v>80</v>
      </c>
      <c r="B312" s="6">
        <v>32</v>
      </c>
      <c r="C312" s="7">
        <f t="shared" ref="C312:C321" si="126">B312/3.6</f>
        <v>8.8888888888888893</v>
      </c>
      <c r="D312" s="6">
        <v>31</v>
      </c>
      <c r="E312" s="7">
        <f t="shared" ref="E312:E321" si="127">D312/3.6</f>
        <v>8.6111111111111107</v>
      </c>
      <c r="F312" s="8">
        <f t="shared" ref="F312:F322" si="128">IFERROR(D312/B312,0)</f>
        <v>0.96875</v>
      </c>
      <c r="G312" s="9"/>
      <c r="I312" s="10">
        <f t="shared" ref="I312:I321" si="129">IF(B312&gt;0,C312,"")</f>
        <v>8.8888888888888893</v>
      </c>
      <c r="J312" s="10">
        <f t="shared" ref="J312:J321" si="130">IF(D312&gt;0,E312,"")</f>
        <v>8.6111111111111107</v>
      </c>
    </row>
    <row r="313" spans="1:10" x14ac:dyDescent="0.25">
      <c r="A313" s="6" t="s">
        <v>81</v>
      </c>
      <c r="B313" s="6">
        <v>18</v>
      </c>
      <c r="C313" s="7">
        <f t="shared" si="126"/>
        <v>5</v>
      </c>
      <c r="D313" s="6">
        <v>17</v>
      </c>
      <c r="E313" s="7">
        <f t="shared" si="127"/>
        <v>4.7222222222222223</v>
      </c>
      <c r="F313" s="8">
        <f t="shared" si="128"/>
        <v>0.94444444444444442</v>
      </c>
      <c r="G313" s="9" t="s">
        <v>116</v>
      </c>
      <c r="I313" s="10">
        <f t="shared" si="129"/>
        <v>5</v>
      </c>
      <c r="J313" s="10">
        <f t="shared" si="130"/>
        <v>4.7222222222222223</v>
      </c>
    </row>
    <row r="314" spans="1:10" x14ac:dyDescent="0.25">
      <c r="A314" s="6" t="s">
        <v>29</v>
      </c>
      <c r="B314" s="6">
        <v>25</v>
      </c>
      <c r="C314" s="7">
        <f t="shared" si="126"/>
        <v>6.9444444444444446</v>
      </c>
      <c r="D314" s="6">
        <v>26</v>
      </c>
      <c r="E314" s="7">
        <f t="shared" si="127"/>
        <v>7.2222222222222223</v>
      </c>
      <c r="F314" s="8">
        <f t="shared" si="128"/>
        <v>1.04</v>
      </c>
      <c r="G314" s="9"/>
      <c r="I314" s="10">
        <f t="shared" si="129"/>
        <v>6.9444444444444446</v>
      </c>
      <c r="J314" s="10">
        <f t="shared" si="130"/>
        <v>7.2222222222222223</v>
      </c>
    </row>
    <row r="315" spans="1:10" x14ac:dyDescent="0.25">
      <c r="A315" s="6" t="s">
        <v>30</v>
      </c>
      <c r="B315" s="6">
        <v>21</v>
      </c>
      <c r="C315" s="7">
        <f t="shared" si="126"/>
        <v>5.833333333333333</v>
      </c>
      <c r="D315" s="6">
        <v>16</v>
      </c>
      <c r="E315" s="7">
        <f t="shared" si="127"/>
        <v>4.4444444444444446</v>
      </c>
      <c r="F315" s="8">
        <f t="shared" si="128"/>
        <v>0.76190476190476186</v>
      </c>
      <c r="G315" s="9" t="s">
        <v>116</v>
      </c>
      <c r="I315" s="10">
        <f t="shared" si="129"/>
        <v>5.833333333333333</v>
      </c>
      <c r="J315" s="10">
        <f t="shared" si="130"/>
        <v>4.4444444444444446</v>
      </c>
    </row>
    <row r="316" spans="1:10" x14ac:dyDescent="0.25">
      <c r="A316" s="6" t="s">
        <v>32</v>
      </c>
      <c r="B316" s="6">
        <v>19</v>
      </c>
      <c r="C316" s="7">
        <f t="shared" si="126"/>
        <v>5.2777777777777777</v>
      </c>
      <c r="D316" s="6">
        <v>19</v>
      </c>
      <c r="E316" s="7">
        <f t="shared" si="127"/>
        <v>5.2777777777777777</v>
      </c>
      <c r="F316" s="8">
        <f t="shared" si="128"/>
        <v>1</v>
      </c>
      <c r="G316" s="9"/>
      <c r="I316" s="10">
        <f t="shared" si="129"/>
        <v>5.2777777777777777</v>
      </c>
      <c r="J316" s="10">
        <f t="shared" si="130"/>
        <v>5.2777777777777777</v>
      </c>
    </row>
    <row r="317" spans="1:10" x14ac:dyDescent="0.25">
      <c r="A317" s="6" t="s">
        <v>33</v>
      </c>
      <c r="B317" s="6">
        <v>19</v>
      </c>
      <c r="C317" s="7">
        <f t="shared" si="126"/>
        <v>5.2777777777777777</v>
      </c>
      <c r="D317" s="6">
        <v>19</v>
      </c>
      <c r="E317" s="7">
        <f t="shared" si="127"/>
        <v>5.2777777777777777</v>
      </c>
      <c r="F317" s="8">
        <f t="shared" si="128"/>
        <v>1</v>
      </c>
      <c r="G317" s="9" t="s">
        <v>116</v>
      </c>
      <c r="I317" s="10">
        <f t="shared" si="129"/>
        <v>5.2777777777777777</v>
      </c>
      <c r="J317" s="10">
        <f t="shared" si="130"/>
        <v>5.2777777777777777</v>
      </c>
    </row>
    <row r="318" spans="1:10" x14ac:dyDescent="0.25">
      <c r="A318" s="6" t="s">
        <v>34</v>
      </c>
      <c r="B318" s="6">
        <v>20</v>
      </c>
      <c r="C318" s="7">
        <f t="shared" si="126"/>
        <v>5.5555555555555554</v>
      </c>
      <c r="D318" s="6">
        <v>21</v>
      </c>
      <c r="E318" s="7">
        <f t="shared" si="127"/>
        <v>5.833333333333333</v>
      </c>
      <c r="F318" s="8">
        <f t="shared" si="128"/>
        <v>1.05</v>
      </c>
      <c r="G318" s="9"/>
      <c r="I318" s="10">
        <f t="shared" si="129"/>
        <v>5.5555555555555554</v>
      </c>
      <c r="J318" s="10">
        <f t="shared" si="130"/>
        <v>5.833333333333333</v>
      </c>
    </row>
    <row r="319" spans="1:10" x14ac:dyDescent="0.25">
      <c r="A319" s="6" t="s">
        <v>35</v>
      </c>
      <c r="B319" s="6">
        <v>24</v>
      </c>
      <c r="C319" s="7">
        <f t="shared" si="126"/>
        <v>6.6666666666666661</v>
      </c>
      <c r="D319" s="6">
        <v>20</v>
      </c>
      <c r="E319" s="7">
        <f t="shared" si="127"/>
        <v>5.5555555555555554</v>
      </c>
      <c r="F319" s="8">
        <f t="shared" si="128"/>
        <v>0.83333333333333337</v>
      </c>
      <c r="G319" s="9" t="s">
        <v>116</v>
      </c>
      <c r="I319" s="10">
        <f t="shared" si="129"/>
        <v>6.6666666666666661</v>
      </c>
      <c r="J319" s="10">
        <f t="shared" si="130"/>
        <v>5.5555555555555554</v>
      </c>
    </row>
    <row r="320" spans="1:10" x14ac:dyDescent="0.25">
      <c r="A320" s="6" t="s">
        <v>36</v>
      </c>
      <c r="B320" s="6">
        <v>20</v>
      </c>
      <c r="C320" s="7">
        <f t="shared" si="126"/>
        <v>5.5555555555555554</v>
      </c>
      <c r="D320" s="6">
        <v>20</v>
      </c>
      <c r="E320" s="7">
        <f t="shared" si="127"/>
        <v>5.5555555555555554</v>
      </c>
      <c r="F320" s="8">
        <f t="shared" si="128"/>
        <v>1</v>
      </c>
      <c r="G320" s="9"/>
      <c r="I320" s="10">
        <f t="shared" si="129"/>
        <v>5.5555555555555554</v>
      </c>
      <c r="J320" s="10">
        <f t="shared" si="130"/>
        <v>5.5555555555555554</v>
      </c>
    </row>
    <row r="321" spans="1:10" x14ac:dyDescent="0.25">
      <c r="A321" s="6" t="s">
        <v>11</v>
      </c>
      <c r="B321" s="6">
        <v>0</v>
      </c>
      <c r="C321" s="7">
        <f t="shared" si="126"/>
        <v>0</v>
      </c>
      <c r="D321" s="6">
        <v>0</v>
      </c>
      <c r="E321" s="7">
        <f t="shared" si="127"/>
        <v>0</v>
      </c>
      <c r="F321" s="8">
        <f t="shared" si="128"/>
        <v>0</v>
      </c>
      <c r="G321" s="9"/>
      <c r="I321" s="10" t="str">
        <f t="shared" si="129"/>
        <v/>
      </c>
      <c r="J321" s="10" t="str">
        <f t="shared" si="130"/>
        <v/>
      </c>
    </row>
    <row r="322" spans="1:10" x14ac:dyDescent="0.25">
      <c r="A322" s="11" t="s">
        <v>23</v>
      </c>
      <c r="B322" s="11">
        <f>SUM(B312:B321)</f>
        <v>198</v>
      </c>
      <c r="C322" s="12">
        <f>AVERAGE(C312:C321)</f>
        <v>5.5</v>
      </c>
      <c r="D322" s="11">
        <f>SUM(D312:D321)</f>
        <v>189</v>
      </c>
      <c r="E322" s="12">
        <f>AVERAGE(E312:E321)</f>
        <v>5.2500000000000009</v>
      </c>
      <c r="F322" s="13">
        <f t="shared" si="128"/>
        <v>0.95454545454545459</v>
      </c>
      <c r="G322" s="14"/>
    </row>
    <row r="324" spans="1:10" ht="15.75" x14ac:dyDescent="0.25">
      <c r="A324" s="15" t="s">
        <v>117</v>
      </c>
    </row>
    <row r="325" spans="1:10" x14ac:dyDescent="0.25">
      <c r="A325" s="16" t="s">
        <v>118</v>
      </c>
      <c r="B325" s="17">
        <f>B13+B25+B37+B49+B61+B72+B84+B96+B108+B120+B132+B144+B155+B167+B179+B188+B202+B213+B224+B238+B249+B260+B271+B282+B296+B308+B322</f>
        <v>4177.6900000000005</v>
      </c>
    </row>
    <row r="326" spans="1:10" x14ac:dyDescent="0.25">
      <c r="A326" s="16" t="s">
        <v>119</v>
      </c>
      <c r="B326" s="17">
        <f>D13+D25+D37+D49+D61+D72+D84+D96+D108+D120+D132+D144+D155+D167+D179+D188+D202+D213+D224+D238+D249+D260+D271+D282+D296+D308+D322</f>
        <v>3909.2</v>
      </c>
    </row>
    <row r="327" spans="1:10" x14ac:dyDescent="0.25">
      <c r="A327" s="16" t="s">
        <v>120</v>
      </c>
      <c r="B327" s="18">
        <f>B326/B325</f>
        <v>0.93573242629299913</v>
      </c>
    </row>
    <row r="329" spans="1:10" x14ac:dyDescent="0.25">
      <c r="A329" s="19" t="s">
        <v>121</v>
      </c>
      <c r="B329">
        <f>COUNT(I5:I321)</f>
        <v>203</v>
      </c>
    </row>
    <row r="330" spans="1:10" x14ac:dyDescent="0.25">
      <c r="A330" s="16" t="s">
        <v>122</v>
      </c>
      <c r="B330" s="10">
        <f>AVERAGE(I5:I321)</f>
        <v>5.7165982484947993</v>
      </c>
    </row>
    <row r="331" spans="1:10" x14ac:dyDescent="0.25">
      <c r="A331" s="16" t="s">
        <v>123</v>
      </c>
      <c r="B331" s="10">
        <f>AVERAGE(J5:J321)</f>
        <v>5.3492063492063506</v>
      </c>
    </row>
    <row r="332" spans="1:10" x14ac:dyDescent="0.25">
      <c r="A332" s="20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"/>
  <sheetViews>
    <sheetView showGridLines="0" topLeftCell="A162" zoomScaleNormal="100" workbookViewId="0">
      <selection activeCell="C176" sqref="C176"/>
    </sheetView>
  </sheetViews>
  <sheetFormatPr baseColWidth="10" defaultColWidth="8.7109375" defaultRowHeight="15" x14ac:dyDescent="0.25"/>
  <cols>
    <col min="1" max="1" width="42" customWidth="1"/>
    <col min="2" max="2" width="10" customWidth="1"/>
    <col min="3" max="3" width="16" customWidth="1"/>
    <col min="4" max="4" width="12" customWidth="1"/>
    <col min="5" max="5" width="16" customWidth="1"/>
    <col min="6" max="6" width="12" customWidth="1"/>
    <col min="7" max="7" width="55" customWidth="1"/>
    <col min="8" max="8" width="2" customWidth="1"/>
    <col min="9" max="12" width="16" customWidth="1"/>
  </cols>
  <sheetData>
    <row r="1" spans="1:10" ht="18" x14ac:dyDescent="0.25">
      <c r="A1" s="1" t="s">
        <v>125</v>
      </c>
      <c r="I1" s="2" t="s">
        <v>1</v>
      </c>
      <c r="J1" s="2" t="s">
        <v>2</v>
      </c>
    </row>
    <row r="3" spans="1:10" x14ac:dyDescent="0.25">
      <c r="A3" s="3" t="s">
        <v>126</v>
      </c>
      <c r="B3" s="4"/>
      <c r="C3" s="4"/>
      <c r="D3" s="4"/>
      <c r="E3" s="4"/>
      <c r="F3" s="4"/>
      <c r="G3" s="4"/>
    </row>
    <row r="4" spans="1:10" ht="45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 spans="1:10" x14ac:dyDescent="0.25">
      <c r="A5" s="6" t="s">
        <v>81</v>
      </c>
      <c r="B5" s="6">
        <v>6</v>
      </c>
      <c r="C5" s="7">
        <f t="shared" ref="C5:C11" si="0">B5/3.6</f>
        <v>1.6666666666666665</v>
      </c>
      <c r="D5" s="6">
        <v>6</v>
      </c>
      <c r="E5" s="7">
        <f t="shared" ref="E5:E11" si="1">D5/3.6</f>
        <v>1.6666666666666665</v>
      </c>
      <c r="F5" s="8">
        <f t="shared" ref="F5:F12" si="2">IFERROR(D5/B5,0)</f>
        <v>1</v>
      </c>
      <c r="G5" s="9"/>
      <c r="I5" s="10">
        <f t="shared" ref="I5:I11" si="3">IF(B5&gt;0,C5,"")</f>
        <v>1.6666666666666665</v>
      </c>
      <c r="J5" s="10">
        <f t="shared" ref="J5:J11" si="4">IF(D5&gt;0,E5,"")</f>
        <v>1.6666666666666665</v>
      </c>
    </row>
    <row r="6" spans="1:10" x14ac:dyDescent="0.25">
      <c r="A6" s="6" t="s">
        <v>29</v>
      </c>
      <c r="B6" s="6">
        <v>24</v>
      </c>
      <c r="C6" s="7">
        <f t="shared" si="0"/>
        <v>6.6666666666666661</v>
      </c>
      <c r="D6" s="6">
        <v>24</v>
      </c>
      <c r="E6" s="7">
        <f t="shared" si="1"/>
        <v>6.6666666666666661</v>
      </c>
      <c r="F6" s="8">
        <f t="shared" si="2"/>
        <v>1</v>
      </c>
      <c r="G6" s="9"/>
      <c r="I6" s="10">
        <f t="shared" si="3"/>
        <v>6.6666666666666661</v>
      </c>
      <c r="J6" s="10">
        <f t="shared" si="4"/>
        <v>6.6666666666666661</v>
      </c>
    </row>
    <row r="7" spans="1:10" x14ac:dyDescent="0.25">
      <c r="A7" s="6" t="s">
        <v>30</v>
      </c>
      <c r="B7" s="6">
        <v>23</v>
      </c>
      <c r="C7" s="7">
        <f t="shared" si="0"/>
        <v>6.3888888888888884</v>
      </c>
      <c r="D7" s="6">
        <v>22</v>
      </c>
      <c r="E7" s="7">
        <f t="shared" si="1"/>
        <v>6.1111111111111107</v>
      </c>
      <c r="F7" s="8">
        <f t="shared" si="2"/>
        <v>0.95652173913043481</v>
      </c>
      <c r="G7" s="9"/>
      <c r="I7" s="10">
        <f t="shared" si="3"/>
        <v>6.3888888888888884</v>
      </c>
      <c r="J7" s="10">
        <f t="shared" si="4"/>
        <v>6.1111111111111107</v>
      </c>
    </row>
    <row r="8" spans="1:10" x14ac:dyDescent="0.25">
      <c r="A8" s="6" t="s">
        <v>32</v>
      </c>
      <c r="B8" s="6">
        <v>24</v>
      </c>
      <c r="C8" s="7">
        <f t="shared" si="0"/>
        <v>6.6666666666666661</v>
      </c>
      <c r="D8" s="6">
        <v>23</v>
      </c>
      <c r="E8" s="7">
        <f t="shared" si="1"/>
        <v>6.3888888888888884</v>
      </c>
      <c r="F8" s="8">
        <f t="shared" si="2"/>
        <v>0.95833333333333337</v>
      </c>
      <c r="G8" s="9"/>
      <c r="I8" s="10">
        <f t="shared" si="3"/>
        <v>6.6666666666666661</v>
      </c>
      <c r="J8" s="10">
        <f t="shared" si="4"/>
        <v>6.3888888888888884</v>
      </c>
    </row>
    <row r="9" spans="1:10" x14ac:dyDescent="0.25">
      <c r="A9" s="6" t="s">
        <v>33</v>
      </c>
      <c r="B9" s="6">
        <v>25</v>
      </c>
      <c r="C9" s="7">
        <f t="shared" si="0"/>
        <v>6.9444444444444446</v>
      </c>
      <c r="D9" s="6">
        <v>24</v>
      </c>
      <c r="E9" s="7">
        <f t="shared" si="1"/>
        <v>6.6666666666666661</v>
      </c>
      <c r="F9" s="8">
        <f t="shared" si="2"/>
        <v>0.96</v>
      </c>
      <c r="G9" s="9"/>
      <c r="I9" s="10">
        <f t="shared" si="3"/>
        <v>6.9444444444444446</v>
      </c>
      <c r="J9" s="10">
        <f t="shared" si="4"/>
        <v>6.6666666666666661</v>
      </c>
    </row>
    <row r="10" spans="1:10" x14ac:dyDescent="0.25">
      <c r="A10" s="6" t="s">
        <v>34</v>
      </c>
      <c r="B10" s="6">
        <v>18</v>
      </c>
      <c r="C10" s="7">
        <f t="shared" si="0"/>
        <v>5</v>
      </c>
      <c r="D10" s="6">
        <v>21</v>
      </c>
      <c r="E10" s="7">
        <f t="shared" si="1"/>
        <v>5.833333333333333</v>
      </c>
      <c r="F10" s="8">
        <f t="shared" si="2"/>
        <v>1.1666666666666667</v>
      </c>
      <c r="G10" s="9"/>
      <c r="I10" s="10">
        <f t="shared" si="3"/>
        <v>5</v>
      </c>
      <c r="J10" s="10">
        <f t="shared" si="4"/>
        <v>5.833333333333333</v>
      </c>
    </row>
    <row r="11" spans="1:10" x14ac:dyDescent="0.25">
      <c r="A11" s="6" t="s">
        <v>35</v>
      </c>
      <c r="B11" s="6">
        <v>15</v>
      </c>
      <c r="C11" s="7">
        <f t="shared" si="0"/>
        <v>4.166666666666667</v>
      </c>
      <c r="D11" s="6">
        <v>11</v>
      </c>
      <c r="E11" s="7">
        <f t="shared" si="1"/>
        <v>3.0555555555555554</v>
      </c>
      <c r="F11" s="8">
        <f t="shared" si="2"/>
        <v>0.73333333333333328</v>
      </c>
      <c r="G11" s="9"/>
      <c r="I11" s="10">
        <f t="shared" si="3"/>
        <v>4.166666666666667</v>
      </c>
      <c r="J11" s="10">
        <f t="shared" si="4"/>
        <v>3.0555555555555554</v>
      </c>
    </row>
    <row r="12" spans="1:10" x14ac:dyDescent="0.25">
      <c r="A12" s="11" t="s">
        <v>23</v>
      </c>
      <c r="B12" s="11">
        <f>SUM(B5:B11)</f>
        <v>135</v>
      </c>
      <c r="C12" s="12">
        <f>AVERAGE(C5:C11)</f>
        <v>5.3571428571428559</v>
      </c>
      <c r="D12" s="11">
        <f>SUM(D5:D11)</f>
        <v>131</v>
      </c>
      <c r="E12" s="12">
        <f>AVERAGE(E5:E11)</f>
        <v>5.1984126984126986</v>
      </c>
      <c r="F12" s="13">
        <f t="shared" si="2"/>
        <v>0.97037037037037033</v>
      </c>
      <c r="G12" s="14"/>
    </row>
    <row r="14" spans="1:10" x14ac:dyDescent="0.25">
      <c r="A14" s="3" t="s">
        <v>127</v>
      </c>
      <c r="B14" s="4"/>
      <c r="C14" s="4"/>
      <c r="D14" s="4"/>
      <c r="E14" s="4"/>
      <c r="F14" s="4"/>
      <c r="G14" s="4"/>
    </row>
    <row r="15" spans="1:10" ht="45" x14ac:dyDescent="0.25">
      <c r="A15" s="5" t="s">
        <v>4</v>
      </c>
      <c r="B15" s="5" t="s">
        <v>5</v>
      </c>
      <c r="C15" s="5" t="s">
        <v>6</v>
      </c>
      <c r="D15" s="5" t="s">
        <v>7</v>
      </c>
      <c r="E15" s="5" t="s">
        <v>8</v>
      </c>
      <c r="F15" s="5" t="s">
        <v>9</v>
      </c>
      <c r="G15" s="5" t="s">
        <v>10</v>
      </c>
    </row>
    <row r="16" spans="1:10" x14ac:dyDescent="0.25">
      <c r="A16" s="6" t="s">
        <v>12</v>
      </c>
      <c r="B16" s="6">
        <v>20</v>
      </c>
      <c r="C16" s="7">
        <f t="shared" ref="C16:C22" si="5">B16/3.6</f>
        <v>5.5555555555555554</v>
      </c>
      <c r="D16" s="6">
        <v>19</v>
      </c>
      <c r="E16" s="7">
        <f t="shared" ref="E16:E22" si="6">D16/3.6</f>
        <v>5.2777777777777777</v>
      </c>
      <c r="F16" s="8">
        <f t="shared" ref="F16:F23" si="7">IFERROR(D16/B16,0)</f>
        <v>0.95</v>
      </c>
      <c r="G16" s="9"/>
      <c r="I16" s="10">
        <f t="shared" ref="I16:I22" si="8">IF(B16&gt;0,C16,"")</f>
        <v>5.5555555555555554</v>
      </c>
      <c r="J16" s="10">
        <f t="shared" ref="J16:J22" si="9">IF(D16&gt;0,E16,"")</f>
        <v>5.2777777777777777</v>
      </c>
    </row>
    <row r="17" spans="1:10" x14ac:dyDescent="0.25">
      <c r="A17" s="6" t="s">
        <v>13</v>
      </c>
      <c r="B17" s="6">
        <v>16</v>
      </c>
      <c r="C17" s="7">
        <f t="shared" si="5"/>
        <v>4.4444444444444446</v>
      </c>
      <c r="D17" s="6">
        <v>15</v>
      </c>
      <c r="E17" s="7">
        <f t="shared" si="6"/>
        <v>4.166666666666667</v>
      </c>
      <c r="F17" s="8">
        <f t="shared" si="7"/>
        <v>0.9375</v>
      </c>
      <c r="G17" s="9" t="s">
        <v>128</v>
      </c>
      <c r="I17" s="10">
        <f t="shared" si="8"/>
        <v>4.4444444444444446</v>
      </c>
      <c r="J17" s="10">
        <f t="shared" si="9"/>
        <v>4.166666666666667</v>
      </c>
    </row>
    <row r="18" spans="1:10" x14ac:dyDescent="0.25">
      <c r="A18" s="6" t="s">
        <v>15</v>
      </c>
      <c r="B18" s="6">
        <v>22</v>
      </c>
      <c r="C18" s="7">
        <f t="shared" si="5"/>
        <v>6.1111111111111107</v>
      </c>
      <c r="D18" s="6">
        <v>22</v>
      </c>
      <c r="E18" s="7">
        <f t="shared" si="6"/>
        <v>6.1111111111111107</v>
      </c>
      <c r="F18" s="8">
        <f t="shared" si="7"/>
        <v>1</v>
      </c>
      <c r="G18" s="9" t="s">
        <v>99</v>
      </c>
      <c r="I18" s="10">
        <f t="shared" si="8"/>
        <v>6.1111111111111107</v>
      </c>
      <c r="J18" s="10">
        <f t="shared" si="9"/>
        <v>6.1111111111111107</v>
      </c>
    </row>
    <row r="19" spans="1:10" x14ac:dyDescent="0.25">
      <c r="A19" s="6" t="s">
        <v>17</v>
      </c>
      <c r="B19" s="6">
        <v>22</v>
      </c>
      <c r="C19" s="7">
        <f t="shared" si="5"/>
        <v>6.1111111111111107</v>
      </c>
      <c r="D19" s="6">
        <v>19</v>
      </c>
      <c r="E19" s="7">
        <f t="shared" si="6"/>
        <v>5.2777777777777777</v>
      </c>
      <c r="F19" s="8">
        <f t="shared" si="7"/>
        <v>0.86363636363636365</v>
      </c>
      <c r="G19" s="9" t="s">
        <v>129</v>
      </c>
      <c r="I19" s="10">
        <f t="shared" si="8"/>
        <v>6.1111111111111107</v>
      </c>
      <c r="J19" s="10">
        <f t="shared" si="9"/>
        <v>5.2777777777777777</v>
      </c>
    </row>
    <row r="20" spans="1:10" x14ac:dyDescent="0.25">
      <c r="A20" s="6" t="s">
        <v>19</v>
      </c>
      <c r="B20" s="6">
        <v>20</v>
      </c>
      <c r="C20" s="7">
        <f t="shared" si="5"/>
        <v>5.5555555555555554</v>
      </c>
      <c r="D20" s="6">
        <v>9</v>
      </c>
      <c r="E20" s="7">
        <f t="shared" si="6"/>
        <v>2.5</v>
      </c>
      <c r="F20" s="8">
        <f t="shared" si="7"/>
        <v>0.45</v>
      </c>
      <c r="G20" s="9" t="s">
        <v>31</v>
      </c>
      <c r="I20" s="10">
        <f t="shared" si="8"/>
        <v>5.5555555555555554</v>
      </c>
      <c r="J20" s="10">
        <f t="shared" si="9"/>
        <v>2.5</v>
      </c>
    </row>
    <row r="21" spans="1:10" x14ac:dyDescent="0.25">
      <c r="A21" s="6" t="s">
        <v>20</v>
      </c>
      <c r="B21" s="6">
        <v>7</v>
      </c>
      <c r="C21" s="7">
        <f t="shared" si="5"/>
        <v>1.9444444444444444</v>
      </c>
      <c r="D21" s="6">
        <v>6</v>
      </c>
      <c r="E21" s="7">
        <f t="shared" si="6"/>
        <v>1.6666666666666665</v>
      </c>
      <c r="F21" s="8">
        <f t="shared" si="7"/>
        <v>0.8571428571428571</v>
      </c>
      <c r="G21" s="9" t="s">
        <v>130</v>
      </c>
      <c r="I21" s="10">
        <f t="shared" si="8"/>
        <v>1.9444444444444444</v>
      </c>
      <c r="J21" s="10">
        <f t="shared" si="9"/>
        <v>1.6666666666666665</v>
      </c>
    </row>
    <row r="22" spans="1:10" x14ac:dyDescent="0.25">
      <c r="A22" s="6" t="s">
        <v>22</v>
      </c>
      <c r="B22" s="6">
        <v>23</v>
      </c>
      <c r="C22" s="7">
        <f t="shared" si="5"/>
        <v>6.3888888888888884</v>
      </c>
      <c r="D22" s="6">
        <v>20</v>
      </c>
      <c r="E22" s="7">
        <f t="shared" si="6"/>
        <v>5.5555555555555554</v>
      </c>
      <c r="F22" s="8">
        <f t="shared" si="7"/>
        <v>0.86956521739130432</v>
      </c>
      <c r="G22" s="9"/>
      <c r="I22" s="10">
        <f t="shared" si="8"/>
        <v>6.3888888888888884</v>
      </c>
      <c r="J22" s="10">
        <f t="shared" si="9"/>
        <v>5.5555555555555554</v>
      </c>
    </row>
    <row r="23" spans="1:10" x14ac:dyDescent="0.25">
      <c r="A23" s="11" t="s">
        <v>23</v>
      </c>
      <c r="B23" s="11">
        <f>SUM(B16:B22)</f>
        <v>130</v>
      </c>
      <c r="C23" s="12">
        <f>AVERAGE(C16:C22)</f>
        <v>5.1587301587301582</v>
      </c>
      <c r="D23" s="11">
        <f>SUM(D16:D22)</f>
        <v>110</v>
      </c>
      <c r="E23" s="12">
        <f>AVERAGE(E16:E22)</f>
        <v>4.3650793650793656</v>
      </c>
      <c r="F23" s="13">
        <f t="shared" si="7"/>
        <v>0.84615384615384615</v>
      </c>
      <c r="G23" s="14"/>
    </row>
    <row r="25" spans="1:10" x14ac:dyDescent="0.25">
      <c r="A25" s="3" t="s">
        <v>131</v>
      </c>
      <c r="B25" s="4"/>
      <c r="C25" s="4"/>
      <c r="D25" s="4"/>
      <c r="E25" s="4"/>
      <c r="F25" s="4"/>
      <c r="G25" s="4"/>
    </row>
    <row r="26" spans="1:10" ht="45" x14ac:dyDescent="0.25">
      <c r="A26" s="5" t="s">
        <v>4</v>
      </c>
      <c r="B26" s="5" t="s">
        <v>5</v>
      </c>
      <c r="C26" s="5" t="s">
        <v>6</v>
      </c>
      <c r="D26" s="5" t="s">
        <v>7</v>
      </c>
      <c r="E26" s="5" t="s">
        <v>8</v>
      </c>
      <c r="F26" s="5" t="s">
        <v>9</v>
      </c>
      <c r="G26" s="5" t="s">
        <v>10</v>
      </c>
    </row>
    <row r="27" spans="1:10" x14ac:dyDescent="0.25">
      <c r="A27" s="6" t="s">
        <v>51</v>
      </c>
      <c r="B27" s="6">
        <v>34</v>
      </c>
      <c r="C27" s="7">
        <f t="shared" ref="C27:C33" si="10">B27/3.6</f>
        <v>9.4444444444444446</v>
      </c>
      <c r="D27" s="6">
        <v>32</v>
      </c>
      <c r="E27" s="7">
        <f t="shared" ref="E27:E33" si="11">D27/3.6</f>
        <v>8.8888888888888893</v>
      </c>
      <c r="F27" s="8">
        <f t="shared" ref="F27:F34" si="12">IFERROR(D27/B27,0)</f>
        <v>0.94117647058823528</v>
      </c>
      <c r="G27" s="9" t="s">
        <v>132</v>
      </c>
      <c r="I27" s="10">
        <f t="shared" ref="I27:I33" si="13">IF(B27&gt;0,C27,"")</f>
        <v>9.4444444444444446</v>
      </c>
      <c r="J27" s="10">
        <f t="shared" ref="J27:J33" si="14">IF(D27&gt;0,E27,"")</f>
        <v>8.8888888888888893</v>
      </c>
    </row>
    <row r="28" spans="1:10" x14ac:dyDescent="0.25">
      <c r="A28" s="6" t="s">
        <v>63</v>
      </c>
      <c r="B28" s="6">
        <v>20</v>
      </c>
      <c r="C28" s="7">
        <f t="shared" si="10"/>
        <v>5.5555555555555554</v>
      </c>
      <c r="D28" s="6">
        <v>20</v>
      </c>
      <c r="E28" s="7">
        <f t="shared" si="11"/>
        <v>5.5555555555555554</v>
      </c>
      <c r="F28" s="8">
        <f t="shared" si="12"/>
        <v>1</v>
      </c>
      <c r="G28" s="9" t="s">
        <v>133</v>
      </c>
      <c r="I28" s="10">
        <f t="shared" si="13"/>
        <v>5.5555555555555554</v>
      </c>
      <c r="J28" s="10">
        <f t="shared" si="14"/>
        <v>5.5555555555555554</v>
      </c>
    </row>
    <row r="29" spans="1:10" x14ac:dyDescent="0.25">
      <c r="A29" s="6" t="s">
        <v>64</v>
      </c>
      <c r="B29" s="6">
        <v>21</v>
      </c>
      <c r="C29" s="7">
        <f t="shared" si="10"/>
        <v>5.833333333333333</v>
      </c>
      <c r="D29" s="6">
        <v>21</v>
      </c>
      <c r="E29" s="7">
        <f t="shared" si="11"/>
        <v>5.833333333333333</v>
      </c>
      <c r="F29" s="8">
        <f t="shared" si="12"/>
        <v>1</v>
      </c>
      <c r="G29" s="9" t="s">
        <v>134</v>
      </c>
      <c r="I29" s="10">
        <f t="shared" si="13"/>
        <v>5.833333333333333</v>
      </c>
      <c r="J29" s="10">
        <f t="shared" si="14"/>
        <v>5.833333333333333</v>
      </c>
    </row>
    <row r="30" spans="1:10" x14ac:dyDescent="0.25">
      <c r="A30" s="6" t="s">
        <v>65</v>
      </c>
      <c r="B30" s="6">
        <v>26</v>
      </c>
      <c r="C30" s="7">
        <f t="shared" si="10"/>
        <v>7.2222222222222223</v>
      </c>
      <c r="D30" s="6">
        <v>20</v>
      </c>
      <c r="E30" s="7">
        <f t="shared" si="11"/>
        <v>5.5555555555555554</v>
      </c>
      <c r="F30" s="8">
        <f t="shared" si="12"/>
        <v>0.76923076923076927</v>
      </c>
      <c r="G30" s="9"/>
      <c r="I30" s="10">
        <f t="shared" si="13"/>
        <v>7.2222222222222223</v>
      </c>
      <c r="J30" s="10">
        <f t="shared" si="14"/>
        <v>5.5555555555555554</v>
      </c>
    </row>
    <row r="31" spans="1:10" x14ac:dyDescent="0.25">
      <c r="A31" s="6" t="s">
        <v>66</v>
      </c>
      <c r="B31" s="6">
        <v>22</v>
      </c>
      <c r="C31" s="7">
        <f t="shared" si="10"/>
        <v>6.1111111111111107</v>
      </c>
      <c r="D31" s="6">
        <v>22</v>
      </c>
      <c r="E31" s="7">
        <f t="shared" si="11"/>
        <v>6.1111111111111107</v>
      </c>
      <c r="F31" s="8">
        <f t="shared" si="12"/>
        <v>1</v>
      </c>
      <c r="G31" s="9" t="s">
        <v>135</v>
      </c>
      <c r="I31" s="10">
        <f t="shared" si="13"/>
        <v>6.1111111111111107</v>
      </c>
      <c r="J31" s="10">
        <f t="shared" si="14"/>
        <v>6.1111111111111107</v>
      </c>
    </row>
    <row r="32" spans="1:10" x14ac:dyDescent="0.25">
      <c r="A32" s="6" t="s">
        <v>67</v>
      </c>
      <c r="B32" s="6">
        <v>25</v>
      </c>
      <c r="C32" s="7">
        <f t="shared" si="10"/>
        <v>6.9444444444444446</v>
      </c>
      <c r="D32" s="6">
        <v>25</v>
      </c>
      <c r="E32" s="7">
        <f t="shared" si="11"/>
        <v>6.9444444444444446</v>
      </c>
      <c r="F32" s="8">
        <f t="shared" si="12"/>
        <v>1</v>
      </c>
      <c r="G32" s="9"/>
      <c r="I32" s="10">
        <f t="shared" si="13"/>
        <v>6.9444444444444446</v>
      </c>
      <c r="J32" s="10">
        <f t="shared" si="14"/>
        <v>6.9444444444444446</v>
      </c>
    </row>
    <row r="33" spans="1:10" x14ac:dyDescent="0.25">
      <c r="A33" s="6" t="s">
        <v>68</v>
      </c>
      <c r="B33" s="6">
        <v>0</v>
      </c>
      <c r="C33" s="7">
        <f t="shared" si="10"/>
        <v>0</v>
      </c>
      <c r="D33" s="6">
        <v>0</v>
      </c>
      <c r="E33" s="7">
        <f t="shared" si="11"/>
        <v>0</v>
      </c>
      <c r="F33" s="8">
        <f t="shared" si="12"/>
        <v>0</v>
      </c>
      <c r="G33" s="9" t="s">
        <v>136</v>
      </c>
      <c r="I33" s="10" t="str">
        <f t="shared" si="13"/>
        <v/>
      </c>
      <c r="J33" s="10" t="str">
        <f t="shared" si="14"/>
        <v/>
      </c>
    </row>
    <row r="34" spans="1:10" x14ac:dyDescent="0.25">
      <c r="A34" s="11" t="s">
        <v>23</v>
      </c>
      <c r="B34" s="11">
        <f>SUM(B27:B33)</f>
        <v>148</v>
      </c>
      <c r="C34" s="12">
        <f>AVERAGE(C27:C33)</f>
        <v>5.8730158730158726</v>
      </c>
      <c r="D34" s="11">
        <f>SUM(D27:D33)</f>
        <v>140</v>
      </c>
      <c r="E34" s="12">
        <f>AVERAGE(E27:E33)</f>
        <v>5.5555555555555562</v>
      </c>
      <c r="F34" s="13">
        <f t="shared" si="12"/>
        <v>0.94594594594594594</v>
      </c>
      <c r="G34" s="14"/>
    </row>
    <row r="36" spans="1:10" x14ac:dyDescent="0.25">
      <c r="A36" s="3" t="s">
        <v>137</v>
      </c>
      <c r="B36" s="4"/>
      <c r="C36" s="4"/>
      <c r="D36" s="4"/>
      <c r="E36" s="4"/>
      <c r="F36" s="4"/>
      <c r="G36" s="4"/>
    </row>
    <row r="37" spans="1:10" ht="45" x14ac:dyDescent="0.25">
      <c r="A37" s="5" t="s">
        <v>4</v>
      </c>
      <c r="B37" s="5" t="s">
        <v>5</v>
      </c>
      <c r="C37" s="5" t="s">
        <v>6</v>
      </c>
      <c r="D37" s="5" t="s">
        <v>7</v>
      </c>
      <c r="E37" s="5" t="s">
        <v>8</v>
      </c>
      <c r="F37" s="5" t="s">
        <v>9</v>
      </c>
      <c r="G37" s="5" t="s">
        <v>10</v>
      </c>
    </row>
    <row r="38" spans="1:10" x14ac:dyDescent="0.25">
      <c r="A38" s="6" t="s">
        <v>68</v>
      </c>
      <c r="B38" s="6">
        <v>1</v>
      </c>
      <c r="C38" s="7">
        <f t="shared" ref="C38:C46" si="15">B38/3.6</f>
        <v>0.27777777777777779</v>
      </c>
      <c r="D38" s="6">
        <v>1</v>
      </c>
      <c r="E38" s="7">
        <f t="shared" ref="E38:E46" si="16">D38/3.6</f>
        <v>0.27777777777777779</v>
      </c>
      <c r="F38" s="8">
        <f t="shared" ref="F38:F47" si="17">IFERROR(D38/B38,0)</f>
        <v>1</v>
      </c>
      <c r="G38" s="9"/>
      <c r="I38" s="10">
        <f t="shared" ref="I38:I46" si="18">IF(B38&gt;0,C38,"")</f>
        <v>0.27777777777777779</v>
      </c>
      <c r="J38" s="10">
        <f t="shared" ref="J38:J46" si="19">IF(D38&gt;0,E38,"")</f>
        <v>0.27777777777777779</v>
      </c>
    </row>
    <row r="39" spans="1:10" x14ac:dyDescent="0.25">
      <c r="A39" s="6" t="s">
        <v>80</v>
      </c>
      <c r="B39" s="6">
        <v>9</v>
      </c>
      <c r="C39" s="7">
        <f t="shared" si="15"/>
        <v>2.5</v>
      </c>
      <c r="D39" s="6">
        <v>8</v>
      </c>
      <c r="E39" s="7">
        <f t="shared" si="16"/>
        <v>2.2222222222222223</v>
      </c>
      <c r="F39" s="8">
        <f t="shared" si="17"/>
        <v>0.88888888888888884</v>
      </c>
      <c r="G39" s="9"/>
      <c r="I39" s="10">
        <f t="shared" si="18"/>
        <v>2.5</v>
      </c>
      <c r="J39" s="10">
        <f t="shared" si="19"/>
        <v>2.2222222222222223</v>
      </c>
    </row>
    <row r="40" spans="1:10" x14ac:dyDescent="0.25">
      <c r="A40" s="6" t="s">
        <v>81</v>
      </c>
      <c r="B40" s="6">
        <v>29</v>
      </c>
      <c r="C40" s="7">
        <f t="shared" si="15"/>
        <v>8.0555555555555554</v>
      </c>
      <c r="D40" s="6">
        <v>29</v>
      </c>
      <c r="E40" s="7">
        <f t="shared" si="16"/>
        <v>8.0555555555555554</v>
      </c>
      <c r="F40" s="8">
        <f t="shared" si="17"/>
        <v>1</v>
      </c>
      <c r="G40" s="9"/>
      <c r="I40" s="10">
        <f t="shared" si="18"/>
        <v>8.0555555555555554</v>
      </c>
      <c r="J40" s="10">
        <f t="shared" si="19"/>
        <v>8.0555555555555554</v>
      </c>
    </row>
    <row r="41" spans="1:10" x14ac:dyDescent="0.25">
      <c r="A41" s="6" t="s">
        <v>29</v>
      </c>
      <c r="B41" s="6">
        <v>28</v>
      </c>
      <c r="C41" s="7">
        <f t="shared" si="15"/>
        <v>7.7777777777777777</v>
      </c>
      <c r="D41" s="6">
        <v>27</v>
      </c>
      <c r="E41" s="7">
        <f t="shared" si="16"/>
        <v>7.5</v>
      </c>
      <c r="F41" s="8">
        <f t="shared" si="17"/>
        <v>0.9642857142857143</v>
      </c>
      <c r="G41" s="9"/>
      <c r="I41" s="10">
        <f t="shared" si="18"/>
        <v>7.7777777777777777</v>
      </c>
      <c r="J41" s="10">
        <f t="shared" si="19"/>
        <v>7.5</v>
      </c>
    </row>
    <row r="42" spans="1:10" x14ac:dyDescent="0.25">
      <c r="A42" s="6" t="s">
        <v>30</v>
      </c>
      <c r="B42" s="6">
        <v>25</v>
      </c>
      <c r="C42" s="7">
        <f t="shared" si="15"/>
        <v>6.9444444444444446</v>
      </c>
      <c r="D42" s="6">
        <v>25</v>
      </c>
      <c r="E42" s="7">
        <f t="shared" si="16"/>
        <v>6.9444444444444446</v>
      </c>
      <c r="F42" s="8">
        <f t="shared" si="17"/>
        <v>1</v>
      </c>
      <c r="G42" s="9"/>
      <c r="I42" s="10">
        <f t="shared" si="18"/>
        <v>6.9444444444444446</v>
      </c>
      <c r="J42" s="10">
        <f t="shared" si="19"/>
        <v>6.9444444444444446</v>
      </c>
    </row>
    <row r="43" spans="1:10" x14ac:dyDescent="0.25">
      <c r="A43" s="6" t="s">
        <v>32</v>
      </c>
      <c r="B43" s="6">
        <v>23</v>
      </c>
      <c r="C43" s="7">
        <f t="shared" si="15"/>
        <v>6.3888888888888884</v>
      </c>
      <c r="D43" s="6">
        <v>18</v>
      </c>
      <c r="E43" s="7">
        <f t="shared" si="16"/>
        <v>5</v>
      </c>
      <c r="F43" s="8">
        <f t="shared" si="17"/>
        <v>0.78260869565217395</v>
      </c>
      <c r="G43" s="9"/>
      <c r="I43" s="10">
        <f t="shared" si="18"/>
        <v>6.3888888888888884</v>
      </c>
      <c r="J43" s="10">
        <f t="shared" si="19"/>
        <v>5</v>
      </c>
    </row>
    <row r="44" spans="1:10" x14ac:dyDescent="0.25">
      <c r="A44" s="6" t="s">
        <v>33</v>
      </c>
      <c r="B44" s="6">
        <v>20</v>
      </c>
      <c r="C44" s="7">
        <f t="shared" si="15"/>
        <v>5.5555555555555554</v>
      </c>
      <c r="D44" s="6">
        <v>20</v>
      </c>
      <c r="E44" s="7">
        <f t="shared" si="16"/>
        <v>5.5555555555555554</v>
      </c>
      <c r="F44" s="8">
        <f t="shared" si="17"/>
        <v>1</v>
      </c>
      <c r="G44" s="9"/>
      <c r="I44" s="10">
        <f t="shared" si="18"/>
        <v>5.5555555555555554</v>
      </c>
      <c r="J44" s="10">
        <f t="shared" si="19"/>
        <v>5.5555555555555554</v>
      </c>
    </row>
    <row r="45" spans="1:10" x14ac:dyDescent="0.25">
      <c r="A45" s="6" t="s">
        <v>34</v>
      </c>
      <c r="B45" s="6">
        <v>21</v>
      </c>
      <c r="C45" s="7">
        <f t="shared" si="15"/>
        <v>5.833333333333333</v>
      </c>
      <c r="D45" s="6">
        <v>20</v>
      </c>
      <c r="E45" s="7">
        <f t="shared" si="16"/>
        <v>5.5555555555555554</v>
      </c>
      <c r="F45" s="8">
        <f t="shared" si="17"/>
        <v>0.95238095238095233</v>
      </c>
      <c r="G45" s="9"/>
      <c r="I45" s="10">
        <f t="shared" si="18"/>
        <v>5.833333333333333</v>
      </c>
      <c r="J45" s="10">
        <f t="shared" si="19"/>
        <v>5.5555555555555554</v>
      </c>
    </row>
    <row r="46" spans="1:10" x14ac:dyDescent="0.25">
      <c r="A46" s="6" t="s">
        <v>35</v>
      </c>
      <c r="B46" s="6">
        <v>20</v>
      </c>
      <c r="C46" s="7">
        <f t="shared" si="15"/>
        <v>5.5555555555555554</v>
      </c>
      <c r="D46" s="6">
        <v>20</v>
      </c>
      <c r="E46" s="7">
        <f t="shared" si="16"/>
        <v>5.5555555555555554</v>
      </c>
      <c r="F46" s="8">
        <f t="shared" si="17"/>
        <v>1</v>
      </c>
      <c r="G46" s="9"/>
      <c r="I46" s="10">
        <f t="shared" si="18"/>
        <v>5.5555555555555554</v>
      </c>
      <c r="J46" s="10">
        <f t="shared" si="19"/>
        <v>5.5555555555555554</v>
      </c>
    </row>
    <row r="47" spans="1:10" x14ac:dyDescent="0.25">
      <c r="A47" s="11" t="s">
        <v>23</v>
      </c>
      <c r="B47" s="11">
        <f>SUM(B38:B46)</f>
        <v>176</v>
      </c>
      <c r="C47" s="12">
        <f>AVERAGE(C38:C46)</f>
        <v>5.4320987654320989</v>
      </c>
      <c r="D47" s="11">
        <f>SUM(D38:D46)</f>
        <v>168</v>
      </c>
      <c r="E47" s="12">
        <f>AVERAGE(E38:E46)</f>
        <v>5.185185185185186</v>
      </c>
      <c r="F47" s="13">
        <f t="shared" si="17"/>
        <v>0.95454545454545459</v>
      </c>
      <c r="G47" s="14"/>
    </row>
    <row r="49" spans="1:10" x14ac:dyDescent="0.25">
      <c r="A49" s="3" t="s">
        <v>138</v>
      </c>
      <c r="B49" s="4"/>
      <c r="C49" s="4"/>
      <c r="D49" s="4"/>
      <c r="E49" s="4"/>
      <c r="F49" s="4"/>
      <c r="G49" s="4"/>
    </row>
    <row r="50" spans="1:10" ht="45" x14ac:dyDescent="0.25">
      <c r="A50" s="5" t="s">
        <v>4</v>
      </c>
      <c r="B50" s="5" t="s">
        <v>5</v>
      </c>
      <c r="C50" s="5" t="s">
        <v>6</v>
      </c>
      <c r="D50" s="5" t="s">
        <v>7</v>
      </c>
      <c r="E50" s="5" t="s">
        <v>8</v>
      </c>
      <c r="F50" s="5" t="s">
        <v>9</v>
      </c>
      <c r="G50" s="5" t="s">
        <v>10</v>
      </c>
    </row>
    <row r="51" spans="1:10" x14ac:dyDescent="0.25">
      <c r="A51" s="6" t="s">
        <v>13</v>
      </c>
      <c r="B51" s="6">
        <v>23</v>
      </c>
      <c r="C51" s="7">
        <f t="shared" ref="C51:C56" si="20">B51/3.6</f>
        <v>6.3888888888888884</v>
      </c>
      <c r="D51" s="6">
        <v>23</v>
      </c>
      <c r="E51" s="7">
        <f t="shared" ref="E51:E56" si="21">D51/3.6</f>
        <v>6.3888888888888884</v>
      </c>
      <c r="F51" s="8">
        <f t="shared" ref="F51:F57" si="22">IFERROR(D51/B51,0)</f>
        <v>1</v>
      </c>
      <c r="G51" s="9" t="s">
        <v>139</v>
      </c>
      <c r="I51" s="10">
        <f t="shared" ref="I51:I56" si="23">IF(B51&gt;0,C51,"")</f>
        <v>6.3888888888888884</v>
      </c>
      <c r="J51" s="10">
        <f t="shared" ref="J51:J56" si="24">IF(D51&gt;0,E51,"")</f>
        <v>6.3888888888888884</v>
      </c>
    </row>
    <row r="52" spans="1:10" x14ac:dyDescent="0.25">
      <c r="A52" s="6" t="s">
        <v>15</v>
      </c>
      <c r="B52" s="6">
        <v>26</v>
      </c>
      <c r="C52" s="7">
        <f t="shared" si="20"/>
        <v>7.2222222222222223</v>
      </c>
      <c r="D52" s="6">
        <v>25</v>
      </c>
      <c r="E52" s="7">
        <f t="shared" si="21"/>
        <v>6.9444444444444446</v>
      </c>
      <c r="F52" s="8">
        <f t="shared" si="22"/>
        <v>0.96153846153846156</v>
      </c>
      <c r="G52" s="9"/>
      <c r="I52" s="10">
        <f t="shared" si="23"/>
        <v>7.2222222222222223</v>
      </c>
      <c r="J52" s="10">
        <f t="shared" si="24"/>
        <v>6.9444444444444446</v>
      </c>
    </row>
    <row r="53" spans="1:10" x14ac:dyDescent="0.25">
      <c r="A53" s="6" t="s">
        <v>17</v>
      </c>
      <c r="B53" s="6">
        <v>29</v>
      </c>
      <c r="C53" s="7">
        <f t="shared" si="20"/>
        <v>8.0555555555555554</v>
      </c>
      <c r="D53" s="6">
        <v>27</v>
      </c>
      <c r="E53" s="7">
        <f t="shared" si="21"/>
        <v>7.5</v>
      </c>
      <c r="F53" s="8">
        <f t="shared" si="22"/>
        <v>0.93103448275862066</v>
      </c>
      <c r="G53" s="9"/>
      <c r="I53" s="10">
        <f t="shared" si="23"/>
        <v>8.0555555555555554</v>
      </c>
      <c r="J53" s="10">
        <f t="shared" si="24"/>
        <v>7.5</v>
      </c>
    </row>
    <row r="54" spans="1:10" x14ac:dyDescent="0.25">
      <c r="A54" s="6" t="s">
        <v>19</v>
      </c>
      <c r="B54" s="6">
        <v>22</v>
      </c>
      <c r="C54" s="7">
        <f t="shared" si="20"/>
        <v>6.1111111111111107</v>
      </c>
      <c r="D54" s="6">
        <v>18</v>
      </c>
      <c r="E54" s="7">
        <f t="shared" si="21"/>
        <v>5</v>
      </c>
      <c r="F54" s="8">
        <f t="shared" si="22"/>
        <v>0.81818181818181823</v>
      </c>
      <c r="G54" s="9" t="s">
        <v>140</v>
      </c>
      <c r="I54" s="10">
        <f t="shared" si="23"/>
        <v>6.1111111111111107</v>
      </c>
      <c r="J54" s="10">
        <f t="shared" si="24"/>
        <v>5</v>
      </c>
    </row>
    <row r="55" spans="1:10" x14ac:dyDescent="0.25">
      <c r="A55" s="6" t="s">
        <v>20</v>
      </c>
      <c r="B55" s="6">
        <v>28</v>
      </c>
      <c r="C55" s="7">
        <f t="shared" si="20"/>
        <v>7.7777777777777777</v>
      </c>
      <c r="D55" s="6">
        <v>28</v>
      </c>
      <c r="E55" s="7">
        <f t="shared" si="21"/>
        <v>7.7777777777777777</v>
      </c>
      <c r="F55" s="8">
        <f t="shared" si="22"/>
        <v>1</v>
      </c>
      <c r="G55" s="9" t="s">
        <v>141</v>
      </c>
      <c r="I55" s="10">
        <f t="shared" si="23"/>
        <v>7.7777777777777777</v>
      </c>
      <c r="J55" s="10">
        <f t="shared" si="24"/>
        <v>7.7777777777777777</v>
      </c>
    </row>
    <row r="56" spans="1:10" x14ac:dyDescent="0.25">
      <c r="A56" s="6" t="s">
        <v>22</v>
      </c>
      <c r="B56" s="6">
        <v>12</v>
      </c>
      <c r="C56" s="7">
        <f t="shared" si="20"/>
        <v>3.333333333333333</v>
      </c>
      <c r="D56" s="6">
        <v>11</v>
      </c>
      <c r="E56" s="7">
        <f t="shared" si="21"/>
        <v>3.0555555555555554</v>
      </c>
      <c r="F56" s="8">
        <f t="shared" si="22"/>
        <v>0.91666666666666663</v>
      </c>
      <c r="G56" s="9" t="s">
        <v>142</v>
      </c>
      <c r="I56" s="10">
        <f t="shared" si="23"/>
        <v>3.333333333333333</v>
      </c>
      <c r="J56" s="10">
        <f t="shared" si="24"/>
        <v>3.0555555555555554</v>
      </c>
    </row>
    <row r="57" spans="1:10" x14ac:dyDescent="0.25">
      <c r="A57" s="11" t="s">
        <v>23</v>
      </c>
      <c r="B57" s="11">
        <f>SUM(B51:B56)</f>
        <v>140</v>
      </c>
      <c r="C57" s="12">
        <f>AVERAGE(C51:C56)</f>
        <v>6.481481481481481</v>
      </c>
      <c r="D57" s="11">
        <f>SUM(D51:D56)</f>
        <v>132</v>
      </c>
      <c r="E57" s="12">
        <f>AVERAGE(E51:E56)</f>
        <v>6.1111111111111107</v>
      </c>
      <c r="F57" s="13">
        <f t="shared" si="22"/>
        <v>0.94285714285714284</v>
      </c>
      <c r="G57" s="14"/>
    </row>
    <row r="59" spans="1:10" x14ac:dyDescent="0.25">
      <c r="A59" s="3" t="s">
        <v>143</v>
      </c>
      <c r="B59" s="4"/>
      <c r="C59" s="4"/>
      <c r="D59" s="4"/>
      <c r="E59" s="4"/>
      <c r="F59" s="4"/>
      <c r="G59" s="4"/>
    </row>
    <row r="60" spans="1:10" ht="45" x14ac:dyDescent="0.25">
      <c r="A60" s="5" t="s">
        <v>4</v>
      </c>
      <c r="B60" s="5" t="s">
        <v>5</v>
      </c>
      <c r="C60" s="5" t="s">
        <v>6</v>
      </c>
      <c r="D60" s="5" t="s">
        <v>7</v>
      </c>
      <c r="E60" s="5" t="s">
        <v>8</v>
      </c>
      <c r="F60" s="5" t="s">
        <v>9</v>
      </c>
      <c r="G60" s="5" t="s">
        <v>10</v>
      </c>
    </row>
    <row r="61" spans="1:10" x14ac:dyDescent="0.25">
      <c r="A61" s="6" t="s">
        <v>51</v>
      </c>
      <c r="B61" s="6">
        <v>40</v>
      </c>
      <c r="C61" s="7">
        <f t="shared" ref="C61:C67" si="25">B61/3.6</f>
        <v>11.111111111111111</v>
      </c>
      <c r="D61" s="6">
        <v>39</v>
      </c>
      <c r="E61" s="7">
        <f t="shared" ref="E61:E67" si="26">D61/3.6</f>
        <v>10.833333333333334</v>
      </c>
      <c r="F61" s="8">
        <f t="shared" ref="F61:F68" si="27">IFERROR(D61/B61,0)</f>
        <v>0.97499999999999998</v>
      </c>
      <c r="G61" s="9"/>
      <c r="I61" s="10">
        <f t="shared" ref="I61:I67" si="28">IF(B61&gt;0,C61,"")</f>
        <v>11.111111111111111</v>
      </c>
      <c r="J61" s="10">
        <f t="shared" ref="J61:J67" si="29">IF(D61&gt;0,E61,"")</f>
        <v>10.833333333333334</v>
      </c>
    </row>
    <row r="62" spans="1:10" x14ac:dyDescent="0.25">
      <c r="A62" s="6" t="s">
        <v>63</v>
      </c>
      <c r="B62" s="6">
        <v>21</v>
      </c>
      <c r="C62" s="7">
        <f t="shared" si="25"/>
        <v>5.833333333333333</v>
      </c>
      <c r="D62" s="6">
        <v>16</v>
      </c>
      <c r="E62" s="7">
        <f t="shared" si="26"/>
        <v>4.4444444444444446</v>
      </c>
      <c r="F62" s="8">
        <f t="shared" si="27"/>
        <v>0.76190476190476186</v>
      </c>
      <c r="G62" s="9"/>
      <c r="I62" s="10">
        <f t="shared" si="28"/>
        <v>5.833333333333333</v>
      </c>
      <c r="J62" s="10">
        <f t="shared" si="29"/>
        <v>4.4444444444444446</v>
      </c>
    </row>
    <row r="63" spans="1:10" x14ac:dyDescent="0.25">
      <c r="A63" s="6" t="s">
        <v>64</v>
      </c>
      <c r="B63" s="6">
        <v>33</v>
      </c>
      <c r="C63" s="7">
        <f t="shared" si="25"/>
        <v>9.1666666666666661</v>
      </c>
      <c r="D63" s="6">
        <v>32</v>
      </c>
      <c r="E63" s="7">
        <f t="shared" si="26"/>
        <v>8.8888888888888893</v>
      </c>
      <c r="F63" s="8">
        <f t="shared" si="27"/>
        <v>0.96969696969696972</v>
      </c>
      <c r="G63" s="9"/>
      <c r="I63" s="10">
        <f t="shared" si="28"/>
        <v>9.1666666666666661</v>
      </c>
      <c r="J63" s="10">
        <f t="shared" si="29"/>
        <v>8.8888888888888893</v>
      </c>
    </row>
    <row r="64" spans="1:10" x14ac:dyDescent="0.25">
      <c r="A64" s="6" t="s">
        <v>65</v>
      </c>
      <c r="B64" s="6">
        <v>26</v>
      </c>
      <c r="C64" s="7">
        <f t="shared" si="25"/>
        <v>7.2222222222222223</v>
      </c>
      <c r="D64" s="6">
        <v>26</v>
      </c>
      <c r="E64" s="7">
        <f t="shared" si="26"/>
        <v>7.2222222222222223</v>
      </c>
      <c r="F64" s="8">
        <f t="shared" si="27"/>
        <v>1</v>
      </c>
      <c r="G64" s="9" t="s">
        <v>144</v>
      </c>
      <c r="I64" s="10">
        <f t="shared" si="28"/>
        <v>7.2222222222222223</v>
      </c>
      <c r="J64" s="10">
        <f t="shared" si="29"/>
        <v>7.2222222222222223</v>
      </c>
    </row>
    <row r="65" spans="1:10" x14ac:dyDescent="0.25">
      <c r="A65" s="6" t="s">
        <v>66</v>
      </c>
      <c r="B65" s="6">
        <v>23</v>
      </c>
      <c r="C65" s="7">
        <f t="shared" si="25"/>
        <v>6.3888888888888884</v>
      </c>
      <c r="D65" s="6">
        <v>23</v>
      </c>
      <c r="E65" s="7">
        <f t="shared" si="26"/>
        <v>6.3888888888888884</v>
      </c>
      <c r="F65" s="8">
        <f t="shared" si="27"/>
        <v>1</v>
      </c>
      <c r="G65" s="9" t="s">
        <v>145</v>
      </c>
      <c r="I65" s="10">
        <f t="shared" si="28"/>
        <v>6.3888888888888884</v>
      </c>
      <c r="J65" s="10">
        <f t="shared" si="29"/>
        <v>6.3888888888888884</v>
      </c>
    </row>
    <row r="66" spans="1:10" x14ac:dyDescent="0.25">
      <c r="A66" s="6" t="s">
        <v>67</v>
      </c>
      <c r="B66" s="6">
        <v>26</v>
      </c>
      <c r="C66" s="7">
        <f t="shared" si="25"/>
        <v>7.2222222222222223</v>
      </c>
      <c r="D66" s="6">
        <v>24</v>
      </c>
      <c r="E66" s="7">
        <f t="shared" si="26"/>
        <v>6.6666666666666661</v>
      </c>
      <c r="F66" s="8">
        <f t="shared" si="27"/>
        <v>0.92307692307692313</v>
      </c>
      <c r="G66" s="9"/>
      <c r="I66" s="10">
        <f t="shared" si="28"/>
        <v>7.2222222222222223</v>
      </c>
      <c r="J66" s="10">
        <f t="shared" si="29"/>
        <v>6.6666666666666661</v>
      </c>
    </row>
    <row r="67" spans="1:10" x14ac:dyDescent="0.25">
      <c r="A67" s="6" t="s">
        <v>68</v>
      </c>
      <c r="B67" s="6">
        <v>6</v>
      </c>
      <c r="C67" s="7">
        <f t="shared" si="25"/>
        <v>1.6666666666666665</v>
      </c>
      <c r="D67" s="6">
        <v>6</v>
      </c>
      <c r="E67" s="7">
        <f t="shared" si="26"/>
        <v>1.6666666666666665</v>
      </c>
      <c r="F67" s="8">
        <f t="shared" si="27"/>
        <v>1</v>
      </c>
      <c r="G67" s="9" t="s">
        <v>145</v>
      </c>
      <c r="I67" s="10">
        <f t="shared" si="28"/>
        <v>1.6666666666666665</v>
      </c>
      <c r="J67" s="10">
        <f t="shared" si="29"/>
        <v>1.6666666666666665</v>
      </c>
    </row>
    <row r="68" spans="1:10" x14ac:dyDescent="0.25">
      <c r="A68" s="11" t="s">
        <v>23</v>
      </c>
      <c r="B68" s="11">
        <f>SUM(B61:B67)</f>
        <v>175</v>
      </c>
      <c r="C68" s="12">
        <f>AVERAGE(C61:C67)</f>
        <v>6.9444444444444429</v>
      </c>
      <c r="D68" s="11">
        <f>SUM(D61:D67)</f>
        <v>166</v>
      </c>
      <c r="E68" s="12">
        <f>AVERAGE(E61:E67)</f>
        <v>6.587301587301587</v>
      </c>
      <c r="F68" s="13">
        <f t="shared" si="27"/>
        <v>0.94857142857142862</v>
      </c>
      <c r="G68" s="14"/>
    </row>
    <row r="70" spans="1:10" x14ac:dyDescent="0.25">
      <c r="A70" s="3" t="s">
        <v>146</v>
      </c>
      <c r="B70" s="4"/>
      <c r="C70" s="4"/>
      <c r="D70" s="4"/>
      <c r="E70" s="4"/>
      <c r="F70" s="4"/>
      <c r="G70" s="4"/>
    </row>
    <row r="71" spans="1:10" ht="45" x14ac:dyDescent="0.25">
      <c r="A71" s="5" t="s">
        <v>4</v>
      </c>
      <c r="B71" s="5" t="s">
        <v>5</v>
      </c>
      <c r="C71" s="5" t="s">
        <v>6</v>
      </c>
      <c r="D71" s="5" t="s">
        <v>7</v>
      </c>
      <c r="E71" s="5" t="s">
        <v>8</v>
      </c>
      <c r="F71" s="5" t="s">
        <v>9</v>
      </c>
      <c r="G71" s="5" t="s">
        <v>10</v>
      </c>
    </row>
    <row r="72" spans="1:10" x14ac:dyDescent="0.25">
      <c r="A72" s="6" t="s">
        <v>80</v>
      </c>
      <c r="B72" s="6">
        <v>20</v>
      </c>
      <c r="C72" s="7">
        <f t="shared" ref="C72:C78" si="30">B72/3.6</f>
        <v>5.5555555555555554</v>
      </c>
      <c r="D72" s="6">
        <v>19</v>
      </c>
      <c r="E72" s="7">
        <f t="shared" ref="E72:E78" si="31">D72/3.6</f>
        <v>5.2777777777777777</v>
      </c>
      <c r="F72" s="8">
        <f t="shared" ref="F72:F79" si="32">IFERROR(D72/B72,0)</f>
        <v>0.95</v>
      </c>
      <c r="G72" s="9"/>
      <c r="I72" s="10">
        <f t="shared" ref="I72:I78" si="33">IF(B72&gt;0,C72,"")</f>
        <v>5.5555555555555554</v>
      </c>
      <c r="J72" s="10">
        <f t="shared" ref="J72:J78" si="34">IF(D72&gt;0,E72,"")</f>
        <v>5.2777777777777777</v>
      </c>
    </row>
    <row r="73" spans="1:10" x14ac:dyDescent="0.25">
      <c r="A73" s="6" t="s">
        <v>81</v>
      </c>
      <c r="B73" s="6">
        <v>19</v>
      </c>
      <c r="C73" s="7">
        <f t="shared" si="30"/>
        <v>5.2777777777777777</v>
      </c>
      <c r="D73" s="6">
        <v>19</v>
      </c>
      <c r="E73" s="7">
        <f t="shared" si="31"/>
        <v>5.2777777777777777</v>
      </c>
      <c r="F73" s="8">
        <f t="shared" si="32"/>
        <v>1</v>
      </c>
      <c r="G73" s="9"/>
      <c r="I73" s="10">
        <f t="shared" si="33"/>
        <v>5.2777777777777777</v>
      </c>
      <c r="J73" s="10">
        <f t="shared" si="34"/>
        <v>5.2777777777777777</v>
      </c>
    </row>
    <row r="74" spans="1:10" x14ac:dyDescent="0.25">
      <c r="A74" s="6" t="s">
        <v>29</v>
      </c>
      <c r="B74" s="6">
        <v>17</v>
      </c>
      <c r="C74" s="7">
        <f t="shared" si="30"/>
        <v>4.7222222222222223</v>
      </c>
      <c r="D74" s="6">
        <v>17</v>
      </c>
      <c r="E74" s="7">
        <f t="shared" si="31"/>
        <v>4.7222222222222223</v>
      </c>
      <c r="F74" s="8">
        <f t="shared" si="32"/>
        <v>1</v>
      </c>
      <c r="G74" s="9"/>
      <c r="I74" s="10">
        <f t="shared" si="33"/>
        <v>4.7222222222222223</v>
      </c>
      <c r="J74" s="10">
        <f t="shared" si="34"/>
        <v>4.7222222222222223</v>
      </c>
    </row>
    <row r="75" spans="1:10" x14ac:dyDescent="0.25">
      <c r="A75" s="6" t="s">
        <v>30</v>
      </c>
      <c r="B75" s="6">
        <v>24</v>
      </c>
      <c r="C75" s="7">
        <f t="shared" si="30"/>
        <v>6.6666666666666661</v>
      </c>
      <c r="D75" s="6">
        <v>24</v>
      </c>
      <c r="E75" s="7">
        <f t="shared" si="31"/>
        <v>6.6666666666666661</v>
      </c>
      <c r="F75" s="8">
        <f t="shared" si="32"/>
        <v>1</v>
      </c>
      <c r="G75" s="9"/>
      <c r="I75" s="10">
        <f t="shared" si="33"/>
        <v>6.6666666666666661</v>
      </c>
      <c r="J75" s="10">
        <f t="shared" si="34"/>
        <v>6.6666666666666661</v>
      </c>
    </row>
    <row r="76" spans="1:10" x14ac:dyDescent="0.25">
      <c r="A76" s="6" t="s">
        <v>32</v>
      </c>
      <c r="B76" s="6">
        <v>28</v>
      </c>
      <c r="C76" s="7">
        <f t="shared" si="30"/>
        <v>7.7777777777777777</v>
      </c>
      <c r="D76" s="6">
        <v>27</v>
      </c>
      <c r="E76" s="7">
        <f t="shared" si="31"/>
        <v>7.5</v>
      </c>
      <c r="F76" s="8">
        <f t="shared" si="32"/>
        <v>0.9642857142857143</v>
      </c>
      <c r="G76" s="9"/>
      <c r="I76" s="10">
        <f t="shared" si="33"/>
        <v>7.7777777777777777</v>
      </c>
      <c r="J76" s="10">
        <f t="shared" si="34"/>
        <v>7.5</v>
      </c>
    </row>
    <row r="77" spans="1:10" x14ac:dyDescent="0.25">
      <c r="A77" s="6" t="s">
        <v>33</v>
      </c>
      <c r="B77" s="6">
        <v>21</v>
      </c>
      <c r="C77" s="7">
        <f t="shared" si="30"/>
        <v>5.833333333333333</v>
      </c>
      <c r="D77" s="6">
        <v>20</v>
      </c>
      <c r="E77" s="7">
        <f t="shared" si="31"/>
        <v>5.5555555555555554</v>
      </c>
      <c r="F77" s="8">
        <f t="shared" si="32"/>
        <v>0.95238095238095233</v>
      </c>
      <c r="G77" s="9"/>
      <c r="I77" s="10">
        <f t="shared" si="33"/>
        <v>5.833333333333333</v>
      </c>
      <c r="J77" s="10">
        <f t="shared" si="34"/>
        <v>5.5555555555555554</v>
      </c>
    </row>
    <row r="78" spans="1:10" x14ac:dyDescent="0.25">
      <c r="A78" s="6" t="s">
        <v>34</v>
      </c>
      <c r="B78" s="6">
        <v>20</v>
      </c>
      <c r="C78" s="7">
        <f t="shared" si="30"/>
        <v>5.5555555555555554</v>
      </c>
      <c r="D78" s="6">
        <v>20</v>
      </c>
      <c r="E78" s="7">
        <f t="shared" si="31"/>
        <v>5.5555555555555554</v>
      </c>
      <c r="F78" s="8">
        <f t="shared" si="32"/>
        <v>1</v>
      </c>
      <c r="G78" s="9"/>
      <c r="I78" s="10">
        <f t="shared" si="33"/>
        <v>5.5555555555555554</v>
      </c>
      <c r="J78" s="10">
        <f t="shared" si="34"/>
        <v>5.5555555555555554</v>
      </c>
    </row>
    <row r="79" spans="1:10" x14ac:dyDescent="0.25">
      <c r="A79" s="11" t="s">
        <v>23</v>
      </c>
      <c r="B79" s="11">
        <f>SUM(B72:B78)</f>
        <v>149</v>
      </c>
      <c r="C79" s="12">
        <f>AVERAGE(C72:C78)</f>
        <v>5.912698412698413</v>
      </c>
      <c r="D79" s="11">
        <f>SUM(D72:D78)</f>
        <v>146</v>
      </c>
      <c r="E79" s="12">
        <f>AVERAGE(E72:E78)</f>
        <v>5.7936507936507935</v>
      </c>
      <c r="F79" s="13">
        <f t="shared" si="32"/>
        <v>0.97986577181208057</v>
      </c>
      <c r="G79" s="14"/>
    </row>
    <row r="81" spans="1:10" x14ac:dyDescent="0.25">
      <c r="A81" s="3" t="s">
        <v>147</v>
      </c>
      <c r="B81" s="4"/>
      <c r="C81" s="4"/>
      <c r="D81" s="4"/>
      <c r="E81" s="4"/>
      <c r="F81" s="4"/>
      <c r="G81" s="4"/>
    </row>
    <row r="82" spans="1:10" ht="45" x14ac:dyDescent="0.25">
      <c r="A82" s="5" t="s">
        <v>4</v>
      </c>
      <c r="B82" s="5" t="s">
        <v>5</v>
      </c>
      <c r="C82" s="5" t="s">
        <v>6</v>
      </c>
      <c r="D82" s="5" t="s">
        <v>7</v>
      </c>
      <c r="E82" s="5" t="s">
        <v>8</v>
      </c>
      <c r="F82" s="5" t="s">
        <v>9</v>
      </c>
      <c r="G82" s="5" t="s">
        <v>10</v>
      </c>
    </row>
    <row r="83" spans="1:10" x14ac:dyDescent="0.25">
      <c r="A83" s="6" t="s">
        <v>13</v>
      </c>
      <c r="B83" s="6">
        <v>7</v>
      </c>
      <c r="C83" s="7">
        <f t="shared" ref="C83:C88" si="35">B83/3.6</f>
        <v>1.9444444444444444</v>
      </c>
      <c r="D83" s="6">
        <v>5</v>
      </c>
      <c r="E83" s="7">
        <f t="shared" ref="E83:E88" si="36">D83/3.6</f>
        <v>1.3888888888888888</v>
      </c>
      <c r="F83" s="8">
        <f t="shared" ref="F83:F89" si="37">IFERROR(D83/B83,0)</f>
        <v>0.7142857142857143</v>
      </c>
      <c r="G83" s="9" t="s">
        <v>148</v>
      </c>
      <c r="I83" s="10">
        <f t="shared" ref="I83:I88" si="38">IF(B83&gt;0,C83,"")</f>
        <v>1.9444444444444444</v>
      </c>
      <c r="J83" s="10">
        <f t="shared" ref="J83:J88" si="39">IF(D83&gt;0,E83,"")</f>
        <v>1.3888888888888888</v>
      </c>
    </row>
    <row r="84" spans="1:10" x14ac:dyDescent="0.25">
      <c r="A84" s="6" t="s">
        <v>15</v>
      </c>
      <c r="B84" s="6">
        <v>23</v>
      </c>
      <c r="C84" s="7">
        <f t="shared" si="35"/>
        <v>6.3888888888888884</v>
      </c>
      <c r="D84" s="6">
        <v>19</v>
      </c>
      <c r="E84" s="7">
        <f t="shared" si="36"/>
        <v>5.2777777777777777</v>
      </c>
      <c r="F84" s="8">
        <f t="shared" si="37"/>
        <v>0.82608695652173914</v>
      </c>
      <c r="G84" s="9" t="s">
        <v>99</v>
      </c>
      <c r="I84" s="10">
        <f t="shared" si="38"/>
        <v>6.3888888888888884</v>
      </c>
      <c r="J84" s="10">
        <f t="shared" si="39"/>
        <v>5.2777777777777777</v>
      </c>
    </row>
    <row r="85" spans="1:10" x14ac:dyDescent="0.25">
      <c r="A85" s="6" t="s">
        <v>17</v>
      </c>
      <c r="B85" s="6">
        <v>30</v>
      </c>
      <c r="C85" s="7">
        <f t="shared" si="35"/>
        <v>8.3333333333333339</v>
      </c>
      <c r="D85" s="6">
        <v>29</v>
      </c>
      <c r="E85" s="7">
        <f t="shared" si="36"/>
        <v>8.0555555555555554</v>
      </c>
      <c r="F85" s="8">
        <f t="shared" si="37"/>
        <v>0.96666666666666667</v>
      </c>
      <c r="G85" s="9"/>
      <c r="I85" s="10">
        <f t="shared" si="38"/>
        <v>8.3333333333333339</v>
      </c>
      <c r="J85" s="10">
        <f t="shared" si="39"/>
        <v>8.0555555555555554</v>
      </c>
    </row>
    <row r="86" spans="1:10" x14ac:dyDescent="0.25">
      <c r="A86" s="6" t="s">
        <v>19</v>
      </c>
      <c r="B86" s="6">
        <v>30</v>
      </c>
      <c r="C86" s="7">
        <f t="shared" si="35"/>
        <v>8.3333333333333339</v>
      </c>
      <c r="D86" s="6">
        <v>12</v>
      </c>
      <c r="E86" s="7">
        <f t="shared" si="36"/>
        <v>3.333333333333333</v>
      </c>
      <c r="F86" s="8">
        <f t="shared" si="37"/>
        <v>0.4</v>
      </c>
      <c r="G86" s="9"/>
      <c r="I86" s="10">
        <f t="shared" si="38"/>
        <v>8.3333333333333339</v>
      </c>
      <c r="J86" s="10">
        <f t="shared" si="39"/>
        <v>3.333333333333333</v>
      </c>
    </row>
    <row r="87" spans="1:10" x14ac:dyDescent="0.25">
      <c r="A87" s="6" t="s">
        <v>20</v>
      </c>
      <c r="B87" s="6">
        <v>14</v>
      </c>
      <c r="C87" s="7">
        <f t="shared" si="35"/>
        <v>3.8888888888888888</v>
      </c>
      <c r="D87" s="6">
        <v>11</v>
      </c>
      <c r="E87" s="7">
        <f t="shared" si="36"/>
        <v>3.0555555555555554</v>
      </c>
      <c r="F87" s="8">
        <f t="shared" si="37"/>
        <v>0.7857142857142857</v>
      </c>
      <c r="G87" s="9" t="s">
        <v>149</v>
      </c>
      <c r="I87" s="10">
        <f t="shared" si="38"/>
        <v>3.8888888888888888</v>
      </c>
      <c r="J87" s="10">
        <f t="shared" si="39"/>
        <v>3.0555555555555554</v>
      </c>
    </row>
    <row r="88" spans="1:10" x14ac:dyDescent="0.25">
      <c r="A88" s="6" t="s">
        <v>22</v>
      </c>
      <c r="B88" s="6">
        <v>8</v>
      </c>
      <c r="C88" s="7">
        <f t="shared" si="35"/>
        <v>2.2222222222222223</v>
      </c>
      <c r="D88" s="6">
        <v>4</v>
      </c>
      <c r="E88" s="7">
        <f t="shared" si="36"/>
        <v>1.1111111111111112</v>
      </c>
      <c r="F88" s="8">
        <f t="shared" si="37"/>
        <v>0.5</v>
      </c>
      <c r="G88" s="9"/>
      <c r="I88" s="10">
        <f t="shared" si="38"/>
        <v>2.2222222222222223</v>
      </c>
      <c r="J88" s="10">
        <f t="shared" si="39"/>
        <v>1.1111111111111112</v>
      </c>
    </row>
    <row r="89" spans="1:10" x14ac:dyDescent="0.25">
      <c r="A89" s="11" t="s">
        <v>23</v>
      </c>
      <c r="B89" s="11">
        <f>SUM(B83:B88)</f>
        <v>112</v>
      </c>
      <c r="C89" s="12">
        <f>AVERAGE(C83:C88)</f>
        <v>5.1851851851851851</v>
      </c>
      <c r="D89" s="11">
        <f>SUM(D83:D88)</f>
        <v>80</v>
      </c>
      <c r="E89" s="12">
        <f>AVERAGE(E83:E88)</f>
        <v>3.7037037037037028</v>
      </c>
      <c r="F89" s="13">
        <f t="shared" si="37"/>
        <v>0.7142857142857143</v>
      </c>
      <c r="G89" s="14"/>
    </row>
    <row r="91" spans="1:10" x14ac:dyDescent="0.25">
      <c r="A91" s="3" t="s">
        <v>150</v>
      </c>
      <c r="B91" s="4"/>
      <c r="C91" s="4"/>
      <c r="D91" s="4"/>
      <c r="E91" s="4"/>
      <c r="F91" s="4"/>
      <c r="G91" s="4"/>
    </row>
    <row r="92" spans="1:10" ht="45" x14ac:dyDescent="0.25">
      <c r="A92" s="5" t="s">
        <v>4</v>
      </c>
      <c r="B92" s="5" t="s">
        <v>5</v>
      </c>
      <c r="C92" s="5" t="s">
        <v>6</v>
      </c>
      <c r="D92" s="5" t="s">
        <v>7</v>
      </c>
      <c r="E92" s="5" t="s">
        <v>8</v>
      </c>
      <c r="F92" s="5" t="s">
        <v>9</v>
      </c>
      <c r="G92" s="5" t="s">
        <v>10</v>
      </c>
    </row>
    <row r="93" spans="1:10" x14ac:dyDescent="0.25">
      <c r="A93" s="6" t="s">
        <v>51</v>
      </c>
      <c r="B93" s="6">
        <v>31</v>
      </c>
      <c r="C93" s="7">
        <f t="shared" ref="C93:C99" si="40">B93/3.6</f>
        <v>8.6111111111111107</v>
      </c>
      <c r="D93" s="6">
        <v>31</v>
      </c>
      <c r="E93" s="7">
        <f t="shared" ref="E93:E99" si="41">D93/3.6</f>
        <v>8.6111111111111107</v>
      </c>
      <c r="F93" s="8">
        <f t="shared" ref="F93:F100" si="42">IFERROR(D93/B93,0)</f>
        <v>1</v>
      </c>
      <c r="G93" s="9"/>
      <c r="I93" s="10">
        <f t="shared" ref="I93:I99" si="43">IF(B93&gt;0,C93,"")</f>
        <v>8.6111111111111107</v>
      </c>
      <c r="J93" s="10">
        <f t="shared" ref="J93:J99" si="44">IF(D93&gt;0,E93,"")</f>
        <v>8.6111111111111107</v>
      </c>
    </row>
    <row r="94" spans="1:10" x14ac:dyDescent="0.25">
      <c r="A94" s="6" t="s">
        <v>63</v>
      </c>
      <c r="B94" s="6">
        <v>35</v>
      </c>
      <c r="C94" s="7">
        <f t="shared" si="40"/>
        <v>9.7222222222222214</v>
      </c>
      <c r="D94" s="6">
        <v>34</v>
      </c>
      <c r="E94" s="7">
        <f t="shared" si="41"/>
        <v>9.4444444444444446</v>
      </c>
      <c r="F94" s="8">
        <f t="shared" si="42"/>
        <v>0.97142857142857142</v>
      </c>
      <c r="G94" s="9"/>
      <c r="I94" s="10">
        <f t="shared" si="43"/>
        <v>9.7222222222222214</v>
      </c>
      <c r="J94" s="10">
        <f t="shared" si="44"/>
        <v>9.4444444444444446</v>
      </c>
    </row>
    <row r="95" spans="1:10" x14ac:dyDescent="0.25">
      <c r="A95" s="6" t="s">
        <v>64</v>
      </c>
      <c r="B95" s="6">
        <v>29</v>
      </c>
      <c r="C95" s="7">
        <f t="shared" si="40"/>
        <v>8.0555555555555554</v>
      </c>
      <c r="D95" s="6">
        <v>24</v>
      </c>
      <c r="E95" s="7">
        <f t="shared" si="41"/>
        <v>6.6666666666666661</v>
      </c>
      <c r="F95" s="8">
        <f t="shared" si="42"/>
        <v>0.82758620689655171</v>
      </c>
      <c r="G95" s="9" t="s">
        <v>151</v>
      </c>
      <c r="I95" s="10">
        <f t="shared" si="43"/>
        <v>8.0555555555555554</v>
      </c>
      <c r="J95" s="10">
        <f t="shared" si="44"/>
        <v>6.6666666666666661</v>
      </c>
    </row>
    <row r="96" spans="1:10" x14ac:dyDescent="0.25">
      <c r="A96" s="6" t="s">
        <v>65</v>
      </c>
      <c r="B96" s="6">
        <v>24</v>
      </c>
      <c r="C96" s="7">
        <f t="shared" si="40"/>
        <v>6.6666666666666661</v>
      </c>
      <c r="D96" s="6">
        <v>24</v>
      </c>
      <c r="E96" s="7">
        <f t="shared" si="41"/>
        <v>6.6666666666666661</v>
      </c>
      <c r="F96" s="8">
        <f t="shared" si="42"/>
        <v>1</v>
      </c>
      <c r="G96" s="9"/>
      <c r="I96" s="10">
        <f t="shared" si="43"/>
        <v>6.6666666666666661</v>
      </c>
      <c r="J96" s="10">
        <f t="shared" si="44"/>
        <v>6.6666666666666661</v>
      </c>
    </row>
    <row r="97" spans="1:10" x14ac:dyDescent="0.25">
      <c r="A97" s="6" t="s">
        <v>66</v>
      </c>
      <c r="B97" s="6">
        <v>21</v>
      </c>
      <c r="C97" s="7">
        <f t="shared" si="40"/>
        <v>5.833333333333333</v>
      </c>
      <c r="D97" s="6">
        <v>20</v>
      </c>
      <c r="E97" s="7">
        <f t="shared" si="41"/>
        <v>5.5555555555555554</v>
      </c>
      <c r="F97" s="8">
        <f t="shared" si="42"/>
        <v>0.95238095238095233</v>
      </c>
      <c r="G97" s="9" t="s">
        <v>152</v>
      </c>
      <c r="I97" s="10">
        <f t="shared" si="43"/>
        <v>5.833333333333333</v>
      </c>
      <c r="J97" s="10">
        <f t="shared" si="44"/>
        <v>5.5555555555555554</v>
      </c>
    </row>
    <row r="98" spans="1:10" x14ac:dyDescent="0.25">
      <c r="A98" s="6" t="s">
        <v>67</v>
      </c>
      <c r="B98" s="6">
        <v>27</v>
      </c>
      <c r="C98" s="7">
        <f t="shared" si="40"/>
        <v>7.5</v>
      </c>
      <c r="D98" s="6">
        <v>26</v>
      </c>
      <c r="E98" s="7">
        <f t="shared" si="41"/>
        <v>7.2222222222222223</v>
      </c>
      <c r="F98" s="8">
        <f t="shared" si="42"/>
        <v>0.96296296296296291</v>
      </c>
      <c r="G98" s="9" t="s">
        <v>153</v>
      </c>
      <c r="I98" s="10">
        <f t="shared" si="43"/>
        <v>7.5</v>
      </c>
      <c r="J98" s="10">
        <f t="shared" si="44"/>
        <v>7.2222222222222223</v>
      </c>
    </row>
    <row r="99" spans="1:10" x14ac:dyDescent="0.25">
      <c r="A99" s="6" t="s">
        <v>68</v>
      </c>
      <c r="B99" s="6">
        <v>12</v>
      </c>
      <c r="C99" s="7">
        <f t="shared" si="40"/>
        <v>3.333333333333333</v>
      </c>
      <c r="D99" s="6">
        <v>12</v>
      </c>
      <c r="E99" s="7">
        <f t="shared" si="41"/>
        <v>3.333333333333333</v>
      </c>
      <c r="F99" s="8">
        <f t="shared" si="42"/>
        <v>1</v>
      </c>
      <c r="G99" s="9"/>
      <c r="I99" s="10">
        <f t="shared" si="43"/>
        <v>3.333333333333333</v>
      </c>
      <c r="J99" s="10">
        <f t="shared" si="44"/>
        <v>3.333333333333333</v>
      </c>
    </row>
    <row r="100" spans="1:10" x14ac:dyDescent="0.25">
      <c r="A100" s="11" t="s">
        <v>23</v>
      </c>
      <c r="B100" s="11">
        <f>SUM(B93:B99)</f>
        <v>179</v>
      </c>
      <c r="C100" s="12">
        <f>AVERAGE(C93:C99)</f>
        <v>7.1031746031746028</v>
      </c>
      <c r="D100" s="11">
        <f>SUM(D93:D99)</f>
        <v>171</v>
      </c>
      <c r="E100" s="12">
        <f>AVERAGE(E93:E99)</f>
        <v>6.7857142857142856</v>
      </c>
      <c r="F100" s="13">
        <f t="shared" si="42"/>
        <v>0.95530726256983245</v>
      </c>
      <c r="G100" s="14"/>
    </row>
    <row r="102" spans="1:10" x14ac:dyDescent="0.25">
      <c r="A102" s="3" t="s">
        <v>154</v>
      </c>
      <c r="B102" s="4"/>
      <c r="C102" s="4"/>
      <c r="D102" s="4"/>
      <c r="E102" s="4"/>
      <c r="F102" s="4"/>
      <c r="G102" s="4"/>
    </row>
    <row r="103" spans="1:10" ht="45" x14ac:dyDescent="0.25">
      <c r="A103" s="5" t="s">
        <v>4</v>
      </c>
      <c r="B103" s="5" t="s">
        <v>5</v>
      </c>
      <c r="C103" s="5" t="s">
        <v>6</v>
      </c>
      <c r="D103" s="5" t="s">
        <v>7</v>
      </c>
      <c r="E103" s="5" t="s">
        <v>8</v>
      </c>
      <c r="F103" s="5" t="s">
        <v>9</v>
      </c>
      <c r="G103" s="5" t="s">
        <v>10</v>
      </c>
    </row>
    <row r="104" spans="1:10" x14ac:dyDescent="0.25">
      <c r="A104" s="6" t="s">
        <v>80</v>
      </c>
      <c r="B104" s="6">
        <v>21</v>
      </c>
      <c r="C104" s="7">
        <f t="shared" ref="C104:C111" si="45">B104/3.6</f>
        <v>5.833333333333333</v>
      </c>
      <c r="D104" s="6">
        <v>19</v>
      </c>
      <c r="E104" s="7">
        <f t="shared" ref="E104:E111" si="46">D104/3.6</f>
        <v>5.2777777777777777</v>
      </c>
      <c r="F104" s="8">
        <f t="shared" ref="F104:F112" si="47">IFERROR(D104/B104,0)</f>
        <v>0.90476190476190477</v>
      </c>
      <c r="G104" s="9"/>
      <c r="I104" s="10">
        <f t="shared" ref="I104:I111" si="48">IF(B104&gt;0,C104,"")</f>
        <v>5.833333333333333</v>
      </c>
      <c r="J104" s="10">
        <f t="shared" ref="J104:J111" si="49">IF(D104&gt;0,E104,"")</f>
        <v>5.2777777777777777</v>
      </c>
    </row>
    <row r="105" spans="1:10" x14ac:dyDescent="0.25">
      <c r="A105" s="6" t="s">
        <v>81</v>
      </c>
      <c r="B105" s="6">
        <v>20</v>
      </c>
      <c r="C105" s="7">
        <f t="shared" si="45"/>
        <v>5.5555555555555554</v>
      </c>
      <c r="D105" s="6">
        <v>19</v>
      </c>
      <c r="E105" s="7">
        <f t="shared" si="46"/>
        <v>5.2777777777777777</v>
      </c>
      <c r="F105" s="8">
        <f t="shared" si="47"/>
        <v>0.95</v>
      </c>
      <c r="G105" s="9"/>
      <c r="I105" s="10">
        <f t="shared" si="48"/>
        <v>5.5555555555555554</v>
      </c>
      <c r="J105" s="10">
        <f t="shared" si="49"/>
        <v>5.2777777777777777</v>
      </c>
    </row>
    <row r="106" spans="1:10" x14ac:dyDescent="0.25">
      <c r="A106" s="6" t="s">
        <v>29</v>
      </c>
      <c r="B106" s="6">
        <v>21</v>
      </c>
      <c r="C106" s="7">
        <f t="shared" si="45"/>
        <v>5.833333333333333</v>
      </c>
      <c r="D106" s="6">
        <v>22</v>
      </c>
      <c r="E106" s="7">
        <f t="shared" si="46"/>
        <v>6.1111111111111107</v>
      </c>
      <c r="F106" s="8">
        <f t="shared" si="47"/>
        <v>1.0476190476190477</v>
      </c>
      <c r="G106" s="9"/>
      <c r="I106" s="10">
        <f t="shared" si="48"/>
        <v>5.833333333333333</v>
      </c>
      <c r="J106" s="10">
        <f t="shared" si="49"/>
        <v>6.1111111111111107</v>
      </c>
    </row>
    <row r="107" spans="1:10" x14ac:dyDescent="0.25">
      <c r="A107" s="6" t="s">
        <v>30</v>
      </c>
      <c r="B107" s="6">
        <v>27</v>
      </c>
      <c r="C107" s="7">
        <f t="shared" si="45"/>
        <v>7.5</v>
      </c>
      <c r="D107" s="6">
        <v>24</v>
      </c>
      <c r="E107" s="7">
        <f t="shared" si="46"/>
        <v>6.6666666666666661</v>
      </c>
      <c r="F107" s="8">
        <f t="shared" si="47"/>
        <v>0.88888888888888884</v>
      </c>
      <c r="G107" s="9"/>
      <c r="I107" s="10">
        <f t="shared" si="48"/>
        <v>7.5</v>
      </c>
      <c r="J107" s="10">
        <f t="shared" si="49"/>
        <v>6.6666666666666661</v>
      </c>
    </row>
    <row r="108" spans="1:10" x14ac:dyDescent="0.25">
      <c r="A108" s="6" t="s">
        <v>32</v>
      </c>
      <c r="B108" s="6">
        <v>27</v>
      </c>
      <c r="C108" s="7">
        <f t="shared" si="45"/>
        <v>7.5</v>
      </c>
      <c r="D108" s="6">
        <v>25</v>
      </c>
      <c r="E108" s="7">
        <f t="shared" si="46"/>
        <v>6.9444444444444446</v>
      </c>
      <c r="F108" s="8">
        <f t="shared" si="47"/>
        <v>0.92592592592592593</v>
      </c>
      <c r="G108" s="9"/>
      <c r="I108" s="10">
        <f t="shared" si="48"/>
        <v>7.5</v>
      </c>
      <c r="J108" s="10">
        <f t="shared" si="49"/>
        <v>6.9444444444444446</v>
      </c>
    </row>
    <row r="109" spans="1:10" x14ac:dyDescent="0.25">
      <c r="A109" s="6" t="s">
        <v>33</v>
      </c>
      <c r="B109" s="6">
        <v>26</v>
      </c>
      <c r="C109" s="7">
        <f t="shared" si="45"/>
        <v>7.2222222222222223</v>
      </c>
      <c r="D109" s="6">
        <v>24</v>
      </c>
      <c r="E109" s="7">
        <f t="shared" si="46"/>
        <v>6.6666666666666661</v>
      </c>
      <c r="F109" s="8">
        <f t="shared" si="47"/>
        <v>0.92307692307692313</v>
      </c>
      <c r="G109" s="9"/>
      <c r="I109" s="10">
        <f t="shared" si="48"/>
        <v>7.2222222222222223</v>
      </c>
      <c r="J109" s="10">
        <f t="shared" si="49"/>
        <v>6.6666666666666661</v>
      </c>
    </row>
    <row r="110" spans="1:10" x14ac:dyDescent="0.25">
      <c r="A110" s="6" t="s">
        <v>34</v>
      </c>
      <c r="B110" s="6">
        <v>26</v>
      </c>
      <c r="C110" s="7">
        <f t="shared" si="45"/>
        <v>7.2222222222222223</v>
      </c>
      <c r="D110" s="6">
        <v>23</v>
      </c>
      <c r="E110" s="7">
        <f t="shared" si="46"/>
        <v>6.3888888888888884</v>
      </c>
      <c r="F110" s="8">
        <f t="shared" si="47"/>
        <v>0.88461538461538458</v>
      </c>
      <c r="G110" s="9"/>
      <c r="I110" s="10">
        <f t="shared" si="48"/>
        <v>7.2222222222222223</v>
      </c>
      <c r="J110" s="10">
        <f t="shared" si="49"/>
        <v>6.3888888888888884</v>
      </c>
    </row>
    <row r="111" spans="1:10" x14ac:dyDescent="0.25">
      <c r="A111" s="6" t="s">
        <v>35</v>
      </c>
      <c r="B111" s="6">
        <v>21</v>
      </c>
      <c r="C111" s="7">
        <f t="shared" si="45"/>
        <v>5.833333333333333</v>
      </c>
      <c r="D111" s="6">
        <v>21</v>
      </c>
      <c r="E111" s="7">
        <f t="shared" si="46"/>
        <v>5.833333333333333</v>
      </c>
      <c r="F111" s="8">
        <f t="shared" si="47"/>
        <v>1</v>
      </c>
      <c r="G111" s="9"/>
      <c r="I111" s="10">
        <f t="shared" si="48"/>
        <v>5.833333333333333</v>
      </c>
      <c r="J111" s="10">
        <f t="shared" si="49"/>
        <v>5.833333333333333</v>
      </c>
    </row>
    <row r="112" spans="1:10" x14ac:dyDescent="0.25">
      <c r="A112" s="11" t="s">
        <v>23</v>
      </c>
      <c r="B112" s="11">
        <f>SUM(B104:B111)</f>
        <v>189</v>
      </c>
      <c r="C112" s="12">
        <f>AVERAGE(C104:C111)</f>
        <v>6.5625</v>
      </c>
      <c r="D112" s="11">
        <f>SUM(D104:D111)</f>
        <v>177</v>
      </c>
      <c r="E112" s="12">
        <f>AVERAGE(E104:E111)</f>
        <v>6.1458333333333321</v>
      </c>
      <c r="F112" s="13">
        <f t="shared" si="47"/>
        <v>0.93650793650793651</v>
      </c>
      <c r="G112" s="14"/>
    </row>
    <row r="114" spans="1:10" x14ac:dyDescent="0.25">
      <c r="A114" s="3" t="s">
        <v>155</v>
      </c>
      <c r="B114" s="4"/>
      <c r="C114" s="4"/>
      <c r="D114" s="4"/>
      <c r="E114" s="4"/>
      <c r="F114" s="4"/>
      <c r="G114" s="4"/>
    </row>
    <row r="115" spans="1:10" ht="45" x14ac:dyDescent="0.25">
      <c r="A115" s="5" t="s">
        <v>4</v>
      </c>
      <c r="B115" s="5" t="s">
        <v>5</v>
      </c>
      <c r="C115" s="5" t="s">
        <v>6</v>
      </c>
      <c r="D115" s="5" t="s">
        <v>7</v>
      </c>
      <c r="E115" s="5" t="s">
        <v>8</v>
      </c>
      <c r="F115" s="5" t="s">
        <v>9</v>
      </c>
      <c r="G115" s="5" t="s">
        <v>10</v>
      </c>
    </row>
    <row r="116" spans="1:10" x14ac:dyDescent="0.25">
      <c r="A116" s="6" t="s">
        <v>12</v>
      </c>
      <c r="B116" s="6">
        <v>0</v>
      </c>
      <c r="C116" s="7">
        <f t="shared" ref="C116:C122" si="50">B116/3.6</f>
        <v>0</v>
      </c>
      <c r="D116" s="6">
        <v>0</v>
      </c>
      <c r="E116" s="7">
        <f t="shared" ref="E116:E122" si="51">D116/3.6</f>
        <v>0</v>
      </c>
      <c r="F116" s="8">
        <f t="shared" ref="F116:F123" si="52">IFERROR(D116/B116,0)</f>
        <v>0</v>
      </c>
      <c r="G116" s="9"/>
      <c r="I116" s="10" t="str">
        <f t="shared" ref="I116:I122" si="53">IF(B116&gt;0,C116,"")</f>
        <v/>
      </c>
      <c r="J116" s="10" t="str">
        <f t="shared" ref="J116:J122" si="54">IF(D116&gt;0,E116,"")</f>
        <v/>
      </c>
    </row>
    <row r="117" spans="1:10" x14ac:dyDescent="0.25">
      <c r="A117" s="6" t="s">
        <v>13</v>
      </c>
      <c r="B117" s="6">
        <v>7</v>
      </c>
      <c r="C117" s="7">
        <f t="shared" si="50"/>
        <v>1.9444444444444444</v>
      </c>
      <c r="D117" s="6">
        <v>5</v>
      </c>
      <c r="E117" s="7">
        <f t="shared" si="51"/>
        <v>1.3888888888888888</v>
      </c>
      <c r="F117" s="8">
        <f t="shared" si="52"/>
        <v>0.7142857142857143</v>
      </c>
      <c r="G117" s="9" t="s">
        <v>148</v>
      </c>
      <c r="I117" s="10">
        <f t="shared" si="53"/>
        <v>1.9444444444444444</v>
      </c>
      <c r="J117" s="10">
        <f t="shared" si="54"/>
        <v>1.3888888888888888</v>
      </c>
    </row>
    <row r="118" spans="1:10" x14ac:dyDescent="0.25">
      <c r="A118" s="6" t="s">
        <v>15</v>
      </c>
      <c r="B118" s="6">
        <v>20</v>
      </c>
      <c r="C118" s="7">
        <f t="shared" si="50"/>
        <v>5.5555555555555554</v>
      </c>
      <c r="D118" s="6">
        <v>18</v>
      </c>
      <c r="E118" s="7">
        <f t="shared" si="51"/>
        <v>5</v>
      </c>
      <c r="F118" s="8">
        <f t="shared" si="52"/>
        <v>0.9</v>
      </c>
      <c r="G118" s="9" t="s">
        <v>95</v>
      </c>
      <c r="I118" s="10">
        <f t="shared" si="53"/>
        <v>5.5555555555555554</v>
      </c>
      <c r="J118" s="10">
        <f t="shared" si="54"/>
        <v>5</v>
      </c>
    </row>
    <row r="119" spans="1:10" x14ac:dyDescent="0.25">
      <c r="A119" s="6" t="s">
        <v>17</v>
      </c>
      <c r="B119" s="6">
        <v>30</v>
      </c>
      <c r="C119" s="7">
        <f t="shared" si="50"/>
        <v>8.3333333333333339</v>
      </c>
      <c r="D119" s="6">
        <v>30</v>
      </c>
      <c r="E119" s="7">
        <f t="shared" si="51"/>
        <v>8.3333333333333339</v>
      </c>
      <c r="F119" s="8">
        <f t="shared" si="52"/>
        <v>1</v>
      </c>
      <c r="G119" s="9" t="s">
        <v>95</v>
      </c>
      <c r="I119" s="10">
        <f t="shared" si="53"/>
        <v>8.3333333333333339</v>
      </c>
      <c r="J119" s="10">
        <f t="shared" si="54"/>
        <v>8.3333333333333339</v>
      </c>
    </row>
    <row r="120" spans="1:10" x14ac:dyDescent="0.25">
      <c r="A120" s="6" t="s">
        <v>19</v>
      </c>
      <c r="B120" s="6">
        <v>29</v>
      </c>
      <c r="C120" s="7">
        <f t="shared" si="50"/>
        <v>8.0555555555555554</v>
      </c>
      <c r="D120" s="6">
        <v>28</v>
      </c>
      <c r="E120" s="7">
        <f t="shared" si="51"/>
        <v>7.7777777777777777</v>
      </c>
      <c r="F120" s="8">
        <f t="shared" si="52"/>
        <v>0.96551724137931039</v>
      </c>
      <c r="G120" s="9" t="s">
        <v>95</v>
      </c>
      <c r="I120" s="10">
        <f t="shared" si="53"/>
        <v>8.0555555555555554</v>
      </c>
      <c r="J120" s="10">
        <f t="shared" si="54"/>
        <v>7.7777777777777777</v>
      </c>
    </row>
    <row r="121" spans="1:10" x14ac:dyDescent="0.25">
      <c r="A121" s="6" t="s">
        <v>20</v>
      </c>
      <c r="B121" s="6">
        <v>20</v>
      </c>
      <c r="C121" s="7">
        <f t="shared" si="50"/>
        <v>5.5555555555555554</v>
      </c>
      <c r="D121" s="6">
        <v>16</v>
      </c>
      <c r="E121" s="7">
        <f t="shared" si="51"/>
        <v>4.4444444444444446</v>
      </c>
      <c r="F121" s="8">
        <f t="shared" si="52"/>
        <v>0.8</v>
      </c>
      <c r="G121" s="9"/>
      <c r="I121" s="10">
        <f t="shared" si="53"/>
        <v>5.5555555555555554</v>
      </c>
      <c r="J121" s="10">
        <f t="shared" si="54"/>
        <v>4.4444444444444446</v>
      </c>
    </row>
    <row r="122" spans="1:10" x14ac:dyDescent="0.25">
      <c r="A122" s="6" t="s">
        <v>22</v>
      </c>
      <c r="B122" s="6">
        <v>11</v>
      </c>
      <c r="C122" s="7">
        <f t="shared" si="50"/>
        <v>3.0555555555555554</v>
      </c>
      <c r="D122" s="6">
        <v>11</v>
      </c>
      <c r="E122" s="7">
        <f t="shared" si="51"/>
        <v>3.0555555555555554</v>
      </c>
      <c r="F122" s="8">
        <f t="shared" si="52"/>
        <v>1</v>
      </c>
      <c r="G122" s="9"/>
      <c r="I122" s="10">
        <f t="shared" si="53"/>
        <v>3.0555555555555554</v>
      </c>
      <c r="J122" s="10">
        <f t="shared" si="54"/>
        <v>3.0555555555555554</v>
      </c>
    </row>
    <row r="123" spans="1:10" x14ac:dyDescent="0.25">
      <c r="A123" s="11" t="s">
        <v>23</v>
      </c>
      <c r="B123" s="11">
        <f>SUM(B116:B122)</f>
        <v>117</v>
      </c>
      <c r="C123" s="12">
        <f>AVERAGE(C116:C122)</f>
        <v>4.6428571428571432</v>
      </c>
      <c r="D123" s="11">
        <f>SUM(D116:D122)</f>
        <v>108</v>
      </c>
      <c r="E123" s="12">
        <f>AVERAGE(E116:E122)</f>
        <v>4.2857142857142856</v>
      </c>
      <c r="F123" s="13">
        <f t="shared" si="52"/>
        <v>0.92307692307692313</v>
      </c>
      <c r="G123" s="14"/>
    </row>
    <row r="125" spans="1:10" x14ac:dyDescent="0.25">
      <c r="A125" s="3" t="s">
        <v>156</v>
      </c>
      <c r="B125" s="4"/>
      <c r="C125" s="4"/>
      <c r="D125" s="4"/>
      <c r="E125" s="4"/>
      <c r="F125" s="4"/>
      <c r="G125" s="4"/>
    </row>
    <row r="126" spans="1:10" ht="45" x14ac:dyDescent="0.25">
      <c r="A126" s="5" t="s">
        <v>4</v>
      </c>
      <c r="B126" s="5" t="s">
        <v>5</v>
      </c>
      <c r="C126" s="5" t="s">
        <v>6</v>
      </c>
      <c r="D126" s="5" t="s">
        <v>7</v>
      </c>
      <c r="E126" s="5" t="s">
        <v>8</v>
      </c>
      <c r="F126" s="5" t="s">
        <v>9</v>
      </c>
      <c r="G126" s="5" t="s">
        <v>10</v>
      </c>
    </row>
    <row r="127" spans="1:10" x14ac:dyDescent="0.25">
      <c r="A127" s="6" t="s">
        <v>51</v>
      </c>
      <c r="B127" s="6">
        <v>37</v>
      </c>
      <c r="C127" s="7">
        <f t="shared" ref="C127:C133" si="55">B127/3.6</f>
        <v>10.277777777777777</v>
      </c>
      <c r="D127" s="6">
        <v>36</v>
      </c>
      <c r="E127" s="7">
        <f t="shared" ref="E127:E133" si="56">D127/3.6</f>
        <v>10</v>
      </c>
      <c r="F127" s="8">
        <f t="shared" ref="F127:F134" si="57">IFERROR(D127/B127,0)</f>
        <v>0.97297297297297303</v>
      </c>
      <c r="G127" s="9"/>
      <c r="I127" s="10">
        <f t="shared" ref="I127:I133" si="58">IF(B127&gt;0,C127,"")</f>
        <v>10.277777777777777</v>
      </c>
      <c r="J127" s="10">
        <f t="shared" ref="J127:J133" si="59">IF(D127&gt;0,E127,"")</f>
        <v>10</v>
      </c>
    </row>
    <row r="128" spans="1:10" x14ac:dyDescent="0.25">
      <c r="A128" s="6" t="s">
        <v>63</v>
      </c>
      <c r="B128" s="6">
        <v>22</v>
      </c>
      <c r="C128" s="7">
        <f t="shared" si="55"/>
        <v>6.1111111111111107</v>
      </c>
      <c r="D128" s="6">
        <v>22</v>
      </c>
      <c r="E128" s="7">
        <f t="shared" si="56"/>
        <v>6.1111111111111107</v>
      </c>
      <c r="F128" s="8">
        <f t="shared" si="57"/>
        <v>1</v>
      </c>
      <c r="G128" s="9" t="s">
        <v>157</v>
      </c>
      <c r="I128" s="10">
        <f t="shared" si="58"/>
        <v>6.1111111111111107</v>
      </c>
      <c r="J128" s="10">
        <f t="shared" si="59"/>
        <v>6.1111111111111107</v>
      </c>
    </row>
    <row r="129" spans="1:10" x14ac:dyDescent="0.25">
      <c r="A129" s="6" t="s">
        <v>64</v>
      </c>
      <c r="B129" s="6">
        <v>14</v>
      </c>
      <c r="C129" s="7">
        <f t="shared" si="55"/>
        <v>3.8888888888888888</v>
      </c>
      <c r="D129" s="6">
        <v>11</v>
      </c>
      <c r="E129" s="7">
        <f t="shared" si="56"/>
        <v>3.0555555555555554</v>
      </c>
      <c r="F129" s="8">
        <f t="shared" si="57"/>
        <v>0.7857142857142857</v>
      </c>
      <c r="G129" s="9" t="s">
        <v>158</v>
      </c>
      <c r="I129" s="10">
        <f t="shared" si="58"/>
        <v>3.8888888888888888</v>
      </c>
      <c r="J129" s="10">
        <f t="shared" si="59"/>
        <v>3.0555555555555554</v>
      </c>
    </row>
    <row r="130" spans="1:10" x14ac:dyDescent="0.25">
      <c r="A130" s="6" t="s">
        <v>65</v>
      </c>
      <c r="B130" s="6">
        <v>30</v>
      </c>
      <c r="C130" s="7">
        <f t="shared" si="55"/>
        <v>8.3333333333333339</v>
      </c>
      <c r="D130" s="6">
        <v>26</v>
      </c>
      <c r="E130" s="7">
        <f t="shared" si="56"/>
        <v>7.2222222222222223</v>
      </c>
      <c r="F130" s="8">
        <f t="shared" si="57"/>
        <v>0.8666666666666667</v>
      </c>
      <c r="G130" s="9" t="s">
        <v>75</v>
      </c>
      <c r="I130" s="10">
        <f t="shared" si="58"/>
        <v>8.3333333333333339</v>
      </c>
      <c r="J130" s="10">
        <f t="shared" si="59"/>
        <v>7.2222222222222223</v>
      </c>
    </row>
    <row r="131" spans="1:10" x14ac:dyDescent="0.25">
      <c r="A131" s="6" t="s">
        <v>66</v>
      </c>
      <c r="B131" s="6">
        <v>27</v>
      </c>
      <c r="C131" s="7">
        <f t="shared" si="55"/>
        <v>7.5</v>
      </c>
      <c r="D131" s="6">
        <v>26</v>
      </c>
      <c r="E131" s="7">
        <f t="shared" si="56"/>
        <v>7.2222222222222223</v>
      </c>
      <c r="F131" s="8">
        <f t="shared" si="57"/>
        <v>0.96296296296296291</v>
      </c>
      <c r="G131" s="9"/>
      <c r="I131" s="10">
        <f t="shared" si="58"/>
        <v>7.5</v>
      </c>
      <c r="J131" s="10">
        <f t="shared" si="59"/>
        <v>7.2222222222222223</v>
      </c>
    </row>
    <row r="132" spans="1:10" x14ac:dyDescent="0.25">
      <c r="A132" s="6" t="s">
        <v>67</v>
      </c>
      <c r="B132" s="6">
        <v>25</v>
      </c>
      <c r="C132" s="7">
        <f t="shared" si="55"/>
        <v>6.9444444444444446</v>
      </c>
      <c r="D132" s="6">
        <v>23</v>
      </c>
      <c r="E132" s="7">
        <f t="shared" si="56"/>
        <v>6.3888888888888884</v>
      </c>
      <c r="F132" s="8">
        <f t="shared" si="57"/>
        <v>0.92</v>
      </c>
      <c r="G132" s="9" t="s">
        <v>157</v>
      </c>
      <c r="I132" s="10">
        <f t="shared" si="58"/>
        <v>6.9444444444444446</v>
      </c>
      <c r="J132" s="10">
        <f t="shared" si="59"/>
        <v>6.3888888888888884</v>
      </c>
    </row>
    <row r="133" spans="1:10" x14ac:dyDescent="0.25">
      <c r="A133" s="6" t="s">
        <v>68</v>
      </c>
      <c r="B133" s="6">
        <v>14</v>
      </c>
      <c r="C133" s="7">
        <f t="shared" si="55"/>
        <v>3.8888888888888888</v>
      </c>
      <c r="D133" s="6">
        <v>14</v>
      </c>
      <c r="E133" s="7">
        <f t="shared" si="56"/>
        <v>3.8888888888888888</v>
      </c>
      <c r="F133" s="8">
        <f t="shared" si="57"/>
        <v>1</v>
      </c>
      <c r="G133" s="9"/>
      <c r="I133" s="10">
        <f t="shared" si="58"/>
        <v>3.8888888888888888</v>
      </c>
      <c r="J133" s="10">
        <f t="shared" si="59"/>
        <v>3.8888888888888888</v>
      </c>
    </row>
    <row r="134" spans="1:10" x14ac:dyDescent="0.25">
      <c r="A134" s="11" t="s">
        <v>23</v>
      </c>
      <c r="B134" s="11">
        <f>SUM(B127:B133)</f>
        <v>169</v>
      </c>
      <c r="C134" s="12">
        <f>AVERAGE(C127:C133)</f>
        <v>6.7063492063492047</v>
      </c>
      <c r="D134" s="11">
        <f>SUM(D127:D133)</f>
        <v>158</v>
      </c>
      <c r="E134" s="12">
        <f>AVERAGE(E127:E133)</f>
        <v>6.269841269841268</v>
      </c>
      <c r="F134" s="13">
        <f t="shared" si="57"/>
        <v>0.9349112426035503</v>
      </c>
      <c r="G134" s="14"/>
    </row>
    <row r="136" spans="1:10" x14ac:dyDescent="0.25">
      <c r="A136" s="3" t="s">
        <v>159</v>
      </c>
      <c r="B136" s="4"/>
      <c r="C136" s="4"/>
      <c r="D136" s="4"/>
      <c r="E136" s="4"/>
      <c r="F136" s="4"/>
      <c r="G136" s="4"/>
    </row>
    <row r="137" spans="1:10" ht="45" x14ac:dyDescent="0.25">
      <c r="A137" s="5" t="s">
        <v>4</v>
      </c>
      <c r="B137" s="5" t="s">
        <v>5</v>
      </c>
      <c r="C137" s="5" t="s">
        <v>6</v>
      </c>
      <c r="D137" s="5" t="s">
        <v>7</v>
      </c>
      <c r="E137" s="5" t="s">
        <v>8</v>
      </c>
      <c r="F137" s="5" t="s">
        <v>9</v>
      </c>
      <c r="G137" s="5" t="s">
        <v>10</v>
      </c>
    </row>
    <row r="138" spans="1:10" x14ac:dyDescent="0.25">
      <c r="A138" s="6" t="s">
        <v>80</v>
      </c>
      <c r="B138" s="6">
        <v>22</v>
      </c>
      <c r="C138" s="7">
        <f t="shared" ref="C138:C145" si="60">B138/3.6</f>
        <v>6.1111111111111107</v>
      </c>
      <c r="D138" s="6">
        <v>22</v>
      </c>
      <c r="E138" s="7">
        <f t="shared" ref="E138:E145" si="61">D138/3.6</f>
        <v>6.1111111111111107</v>
      </c>
      <c r="F138" s="8">
        <f t="shared" ref="F138:F146" si="62">IFERROR(D138/B138,0)</f>
        <v>1</v>
      </c>
      <c r="G138" s="9"/>
      <c r="I138" s="10">
        <f t="shared" ref="I138:I145" si="63">IF(B138&gt;0,C138,"")</f>
        <v>6.1111111111111107</v>
      </c>
      <c r="J138" s="10">
        <f t="shared" ref="J138:J145" si="64">IF(D138&gt;0,E138,"")</f>
        <v>6.1111111111111107</v>
      </c>
    </row>
    <row r="139" spans="1:10" x14ac:dyDescent="0.25">
      <c r="A139" s="6" t="s">
        <v>81</v>
      </c>
      <c r="B139" s="6">
        <v>21</v>
      </c>
      <c r="C139" s="7">
        <f t="shared" si="60"/>
        <v>5.833333333333333</v>
      </c>
      <c r="D139" s="6">
        <v>21</v>
      </c>
      <c r="E139" s="7">
        <f t="shared" si="61"/>
        <v>5.833333333333333</v>
      </c>
      <c r="F139" s="8">
        <f t="shared" si="62"/>
        <v>1</v>
      </c>
      <c r="G139" s="9"/>
      <c r="I139" s="10">
        <f t="shared" si="63"/>
        <v>5.833333333333333</v>
      </c>
      <c r="J139" s="10">
        <f t="shared" si="64"/>
        <v>5.833333333333333</v>
      </c>
    </row>
    <row r="140" spans="1:10" x14ac:dyDescent="0.25">
      <c r="A140" s="6" t="s">
        <v>29</v>
      </c>
      <c r="B140" s="6">
        <v>22</v>
      </c>
      <c r="C140" s="7">
        <f t="shared" si="60"/>
        <v>6.1111111111111107</v>
      </c>
      <c r="D140" s="6">
        <v>22</v>
      </c>
      <c r="E140" s="7">
        <f t="shared" si="61"/>
        <v>6.1111111111111107</v>
      </c>
      <c r="F140" s="8">
        <f t="shared" si="62"/>
        <v>1</v>
      </c>
      <c r="G140" s="9"/>
      <c r="I140" s="10">
        <f t="shared" si="63"/>
        <v>6.1111111111111107</v>
      </c>
      <c r="J140" s="10">
        <f t="shared" si="64"/>
        <v>6.1111111111111107</v>
      </c>
    </row>
    <row r="141" spans="1:10" x14ac:dyDescent="0.25">
      <c r="A141" s="6" t="s">
        <v>30</v>
      </c>
      <c r="B141" s="6">
        <v>23</v>
      </c>
      <c r="C141" s="7">
        <f t="shared" si="60"/>
        <v>6.3888888888888884</v>
      </c>
      <c r="D141" s="6">
        <v>20</v>
      </c>
      <c r="E141" s="7">
        <f t="shared" si="61"/>
        <v>5.5555555555555554</v>
      </c>
      <c r="F141" s="8">
        <f t="shared" si="62"/>
        <v>0.86956521739130432</v>
      </c>
      <c r="G141" s="9"/>
      <c r="I141" s="10">
        <f t="shared" si="63"/>
        <v>6.3888888888888884</v>
      </c>
      <c r="J141" s="10">
        <f t="shared" si="64"/>
        <v>5.5555555555555554</v>
      </c>
    </row>
    <row r="142" spans="1:10" x14ac:dyDescent="0.25">
      <c r="A142" s="6" t="s">
        <v>32</v>
      </c>
      <c r="B142" s="6">
        <v>24</v>
      </c>
      <c r="C142" s="7">
        <f t="shared" si="60"/>
        <v>6.6666666666666661</v>
      </c>
      <c r="D142" s="6">
        <v>21</v>
      </c>
      <c r="E142" s="7">
        <f t="shared" si="61"/>
        <v>5.833333333333333</v>
      </c>
      <c r="F142" s="8">
        <f t="shared" si="62"/>
        <v>0.875</v>
      </c>
      <c r="G142" s="9"/>
      <c r="I142" s="10">
        <f t="shared" si="63"/>
        <v>6.6666666666666661</v>
      </c>
      <c r="J142" s="10">
        <f t="shared" si="64"/>
        <v>5.833333333333333</v>
      </c>
    </row>
    <row r="143" spans="1:10" x14ac:dyDescent="0.25">
      <c r="A143" s="6" t="s">
        <v>33</v>
      </c>
      <c r="B143" s="6">
        <v>26</v>
      </c>
      <c r="C143" s="7">
        <f t="shared" si="60"/>
        <v>7.2222222222222223</v>
      </c>
      <c r="D143" s="6">
        <v>24</v>
      </c>
      <c r="E143" s="7">
        <f t="shared" si="61"/>
        <v>6.6666666666666661</v>
      </c>
      <c r="F143" s="8">
        <f t="shared" si="62"/>
        <v>0.92307692307692313</v>
      </c>
      <c r="G143" s="9"/>
      <c r="I143" s="10">
        <f t="shared" si="63"/>
        <v>7.2222222222222223</v>
      </c>
      <c r="J143" s="10">
        <f t="shared" si="64"/>
        <v>6.6666666666666661</v>
      </c>
    </row>
    <row r="144" spans="1:10" x14ac:dyDescent="0.25">
      <c r="A144" s="6" t="s">
        <v>34</v>
      </c>
      <c r="B144" s="6">
        <v>25</v>
      </c>
      <c r="C144" s="7">
        <f t="shared" si="60"/>
        <v>6.9444444444444446</v>
      </c>
      <c r="D144" s="6">
        <v>24</v>
      </c>
      <c r="E144" s="7">
        <f t="shared" si="61"/>
        <v>6.6666666666666661</v>
      </c>
      <c r="F144" s="8">
        <f t="shared" si="62"/>
        <v>0.96</v>
      </c>
      <c r="G144" s="9"/>
      <c r="I144" s="10">
        <f t="shared" si="63"/>
        <v>6.9444444444444446</v>
      </c>
      <c r="J144" s="10">
        <f t="shared" si="64"/>
        <v>6.6666666666666661</v>
      </c>
    </row>
    <row r="145" spans="1:10" x14ac:dyDescent="0.25">
      <c r="A145" s="6" t="s">
        <v>35</v>
      </c>
      <c r="B145" s="6">
        <v>26</v>
      </c>
      <c r="C145" s="7">
        <f t="shared" si="60"/>
        <v>7.2222222222222223</v>
      </c>
      <c r="D145" s="6">
        <v>24</v>
      </c>
      <c r="E145" s="7">
        <f t="shared" si="61"/>
        <v>6.6666666666666661</v>
      </c>
      <c r="F145" s="8">
        <f t="shared" si="62"/>
        <v>0.92307692307692313</v>
      </c>
      <c r="G145" s="9"/>
      <c r="I145" s="10">
        <f t="shared" si="63"/>
        <v>7.2222222222222223</v>
      </c>
      <c r="J145" s="10">
        <f t="shared" si="64"/>
        <v>6.6666666666666661</v>
      </c>
    </row>
    <row r="146" spans="1:10" x14ac:dyDescent="0.25">
      <c r="A146" s="11" t="s">
        <v>23</v>
      </c>
      <c r="B146" s="11">
        <f>SUM(B138:B145)</f>
        <v>189</v>
      </c>
      <c r="C146" s="12">
        <f>AVERAGE(C138:C145)</f>
        <v>6.5624999999999991</v>
      </c>
      <c r="D146" s="11">
        <f>SUM(D138:D145)</f>
        <v>178</v>
      </c>
      <c r="E146" s="12">
        <f>AVERAGE(E138:E145)</f>
        <v>6.1805555555555545</v>
      </c>
      <c r="F146" s="13">
        <f t="shared" si="62"/>
        <v>0.94179894179894175</v>
      </c>
      <c r="G146" s="14"/>
    </row>
    <row r="148" spans="1:10" x14ac:dyDescent="0.25">
      <c r="A148" s="3" t="s">
        <v>160</v>
      </c>
      <c r="B148" s="4"/>
      <c r="C148" s="4"/>
      <c r="D148" s="4"/>
      <c r="E148" s="4"/>
      <c r="F148" s="4"/>
      <c r="G148" s="4"/>
    </row>
    <row r="149" spans="1:10" ht="45" x14ac:dyDescent="0.25">
      <c r="A149" s="5" t="s">
        <v>4</v>
      </c>
      <c r="B149" s="5" t="s">
        <v>5</v>
      </c>
      <c r="C149" s="5" t="s">
        <v>6</v>
      </c>
      <c r="D149" s="5" t="s">
        <v>7</v>
      </c>
      <c r="E149" s="5" t="s">
        <v>8</v>
      </c>
      <c r="F149" s="5" t="s">
        <v>9</v>
      </c>
      <c r="G149" s="5" t="s">
        <v>10</v>
      </c>
    </row>
    <row r="150" spans="1:10" x14ac:dyDescent="0.25">
      <c r="A150" s="6" t="s">
        <v>63</v>
      </c>
      <c r="B150" s="6">
        <v>25</v>
      </c>
      <c r="C150" s="7">
        <f t="shared" ref="C150:C157" si="65">B150/3.6</f>
        <v>6.9444444444444446</v>
      </c>
      <c r="D150" s="6">
        <v>22</v>
      </c>
      <c r="E150" s="7">
        <f t="shared" ref="E150:E157" si="66">D150/3.6</f>
        <v>6.1111111111111107</v>
      </c>
      <c r="F150" s="8">
        <f t="shared" ref="F150:F158" si="67">IFERROR(D150/B150,0)</f>
        <v>0.88</v>
      </c>
      <c r="G150" s="9"/>
      <c r="I150" s="10">
        <f t="shared" ref="I150:I157" si="68">IF(B150&gt;0,C150,"")</f>
        <v>6.9444444444444446</v>
      </c>
      <c r="J150" s="10">
        <f t="shared" ref="J150:J157" si="69">IF(D150&gt;0,E150,"")</f>
        <v>6.1111111111111107</v>
      </c>
    </row>
    <row r="151" spans="1:10" x14ac:dyDescent="0.25">
      <c r="A151" s="6" t="s">
        <v>64</v>
      </c>
      <c r="B151" s="6">
        <v>24</v>
      </c>
      <c r="C151" s="7">
        <f t="shared" si="65"/>
        <v>6.6666666666666661</v>
      </c>
      <c r="D151" s="6">
        <v>22</v>
      </c>
      <c r="E151" s="7">
        <f t="shared" si="66"/>
        <v>6.1111111111111107</v>
      </c>
      <c r="F151" s="8">
        <f t="shared" si="67"/>
        <v>0.91666666666666663</v>
      </c>
      <c r="G151" s="9"/>
      <c r="I151" s="10">
        <f t="shared" si="68"/>
        <v>6.6666666666666661</v>
      </c>
      <c r="J151" s="10">
        <f t="shared" si="69"/>
        <v>6.1111111111111107</v>
      </c>
    </row>
    <row r="152" spans="1:10" x14ac:dyDescent="0.25">
      <c r="A152" s="6" t="s">
        <v>65</v>
      </c>
      <c r="B152" s="6">
        <v>23</v>
      </c>
      <c r="C152" s="7">
        <f t="shared" si="65"/>
        <v>6.3888888888888884</v>
      </c>
      <c r="D152" s="6">
        <v>22</v>
      </c>
      <c r="E152" s="7">
        <f t="shared" si="66"/>
        <v>6.1111111111111107</v>
      </c>
      <c r="F152" s="8">
        <f t="shared" si="67"/>
        <v>0.95652173913043481</v>
      </c>
      <c r="G152" s="9"/>
      <c r="I152" s="10">
        <f t="shared" si="68"/>
        <v>6.3888888888888884</v>
      </c>
      <c r="J152" s="10">
        <f t="shared" si="69"/>
        <v>6.1111111111111107</v>
      </c>
    </row>
    <row r="153" spans="1:10" x14ac:dyDescent="0.25">
      <c r="A153" s="6" t="s">
        <v>66</v>
      </c>
      <c r="B153" s="6">
        <v>20</v>
      </c>
      <c r="C153" s="7">
        <f t="shared" si="65"/>
        <v>5.5555555555555554</v>
      </c>
      <c r="D153" s="6">
        <v>20</v>
      </c>
      <c r="E153" s="7">
        <f t="shared" si="66"/>
        <v>5.5555555555555554</v>
      </c>
      <c r="F153" s="8">
        <f t="shared" si="67"/>
        <v>1</v>
      </c>
      <c r="G153" s="9"/>
      <c r="I153" s="10">
        <f t="shared" si="68"/>
        <v>5.5555555555555554</v>
      </c>
      <c r="J153" s="10">
        <f t="shared" si="69"/>
        <v>5.5555555555555554</v>
      </c>
    </row>
    <row r="154" spans="1:10" x14ac:dyDescent="0.25">
      <c r="A154" s="6" t="s">
        <v>67</v>
      </c>
      <c r="B154" s="6">
        <v>8</v>
      </c>
      <c r="C154" s="7">
        <f t="shared" si="65"/>
        <v>2.2222222222222223</v>
      </c>
      <c r="D154" s="6">
        <v>11</v>
      </c>
      <c r="E154" s="7">
        <f t="shared" si="66"/>
        <v>3.0555555555555554</v>
      </c>
      <c r="F154" s="8">
        <f t="shared" si="67"/>
        <v>1.375</v>
      </c>
      <c r="G154" s="9"/>
      <c r="I154" s="10">
        <f t="shared" si="68"/>
        <v>2.2222222222222223</v>
      </c>
      <c r="J154" s="10">
        <f t="shared" si="69"/>
        <v>3.0555555555555554</v>
      </c>
    </row>
    <row r="155" spans="1:10" x14ac:dyDescent="0.25">
      <c r="A155" s="6" t="s">
        <v>68</v>
      </c>
      <c r="B155" s="6">
        <v>22</v>
      </c>
      <c r="C155" s="7">
        <f t="shared" si="65"/>
        <v>6.1111111111111107</v>
      </c>
      <c r="D155" s="6">
        <v>18</v>
      </c>
      <c r="E155" s="7">
        <f t="shared" si="66"/>
        <v>5</v>
      </c>
      <c r="F155" s="8">
        <f t="shared" si="67"/>
        <v>0.81818181818181823</v>
      </c>
      <c r="G155" s="9"/>
      <c r="I155" s="10">
        <f t="shared" si="68"/>
        <v>6.1111111111111107</v>
      </c>
      <c r="J155" s="10">
        <f t="shared" si="69"/>
        <v>5</v>
      </c>
    </row>
    <row r="156" spans="1:10" x14ac:dyDescent="0.25">
      <c r="A156" s="6" t="s">
        <v>80</v>
      </c>
      <c r="B156" s="6">
        <v>19</v>
      </c>
      <c r="C156" s="7">
        <f t="shared" si="65"/>
        <v>5.2777777777777777</v>
      </c>
      <c r="D156" s="6">
        <v>19</v>
      </c>
      <c r="E156" s="7">
        <f t="shared" si="66"/>
        <v>5.2777777777777777</v>
      </c>
      <c r="F156" s="8">
        <f t="shared" si="67"/>
        <v>1</v>
      </c>
      <c r="G156" s="9"/>
      <c r="I156" s="10">
        <f t="shared" si="68"/>
        <v>5.2777777777777777</v>
      </c>
      <c r="J156" s="10">
        <f t="shared" si="69"/>
        <v>5.2777777777777777</v>
      </c>
    </row>
    <row r="157" spans="1:10" x14ac:dyDescent="0.25">
      <c r="A157" s="6" t="s">
        <v>81</v>
      </c>
      <c r="B157" s="6">
        <v>11</v>
      </c>
      <c r="C157" s="7">
        <f t="shared" si="65"/>
        <v>3.0555555555555554</v>
      </c>
      <c r="D157" s="6">
        <v>11</v>
      </c>
      <c r="E157" s="7">
        <f t="shared" si="66"/>
        <v>3.0555555555555554</v>
      </c>
      <c r="F157" s="8">
        <f t="shared" si="67"/>
        <v>1</v>
      </c>
      <c r="G157" s="9"/>
      <c r="I157" s="10">
        <f t="shared" si="68"/>
        <v>3.0555555555555554</v>
      </c>
      <c r="J157" s="10">
        <f t="shared" si="69"/>
        <v>3.0555555555555554</v>
      </c>
    </row>
    <row r="158" spans="1:10" x14ac:dyDescent="0.25">
      <c r="A158" s="11" t="s">
        <v>23</v>
      </c>
      <c r="B158" s="11">
        <f>SUM(B150:B157)</f>
        <v>152</v>
      </c>
      <c r="C158" s="12">
        <f>AVERAGE(C150:C157)</f>
        <v>5.2777777777777777</v>
      </c>
      <c r="D158" s="11">
        <f>SUM(D150:D157)</f>
        <v>145</v>
      </c>
      <c r="E158" s="12">
        <f>AVERAGE(E150:E157)</f>
        <v>5.0347222222222223</v>
      </c>
      <c r="F158" s="13">
        <f t="shared" si="67"/>
        <v>0.95394736842105265</v>
      </c>
      <c r="G158" s="14"/>
    </row>
    <row r="160" spans="1:10" x14ac:dyDescent="0.25">
      <c r="A160" s="3" t="s">
        <v>161</v>
      </c>
      <c r="B160" s="4"/>
      <c r="C160" s="4"/>
      <c r="D160" s="4"/>
      <c r="E160" s="4"/>
      <c r="F160" s="4"/>
      <c r="G160" s="4"/>
    </row>
    <row r="161" spans="1:10" ht="45" x14ac:dyDescent="0.25">
      <c r="A161" s="5" t="s">
        <v>4</v>
      </c>
      <c r="B161" s="5" t="s">
        <v>5</v>
      </c>
      <c r="C161" s="5" t="s">
        <v>6</v>
      </c>
      <c r="D161" s="5" t="s">
        <v>7</v>
      </c>
      <c r="E161" s="5" t="s">
        <v>8</v>
      </c>
      <c r="F161" s="5" t="s">
        <v>9</v>
      </c>
      <c r="G161" s="5" t="s">
        <v>10</v>
      </c>
    </row>
    <row r="162" spans="1:10" x14ac:dyDescent="0.25">
      <c r="A162" s="6" t="s">
        <v>29</v>
      </c>
      <c r="B162" s="6">
        <v>37</v>
      </c>
      <c r="C162" s="7">
        <f t="shared" ref="C162:C168" si="70">B162/3.6</f>
        <v>10.277777777777777</v>
      </c>
      <c r="D162" s="6">
        <v>47</v>
      </c>
      <c r="E162" s="7">
        <f t="shared" ref="E162:E168" si="71">D162/3.6</f>
        <v>13.055555555555555</v>
      </c>
      <c r="F162" s="8">
        <f t="shared" ref="F162:F169" si="72">IFERROR(D162/B162,0)</f>
        <v>1.2702702702702702</v>
      </c>
      <c r="G162" s="9"/>
      <c r="I162" s="10">
        <f t="shared" ref="I162:I168" si="73">IF(B162&gt;0,C162,"")</f>
        <v>10.277777777777777</v>
      </c>
      <c r="J162" s="10">
        <f t="shared" ref="J162:J168" si="74">IF(D162&gt;0,E162,"")</f>
        <v>13.055555555555555</v>
      </c>
    </row>
    <row r="163" spans="1:10" x14ac:dyDescent="0.25">
      <c r="A163" s="6" t="s">
        <v>30</v>
      </c>
      <c r="B163" s="6">
        <v>53</v>
      </c>
      <c r="C163" s="7">
        <f t="shared" si="70"/>
        <v>14.722222222222221</v>
      </c>
      <c r="D163" s="6">
        <v>36</v>
      </c>
      <c r="E163" s="7">
        <f t="shared" si="71"/>
        <v>10</v>
      </c>
      <c r="F163" s="8">
        <f t="shared" si="72"/>
        <v>0.67924528301886788</v>
      </c>
      <c r="G163" s="9"/>
      <c r="I163" s="10">
        <f t="shared" si="73"/>
        <v>14.722222222222221</v>
      </c>
      <c r="J163" s="10">
        <f t="shared" si="74"/>
        <v>10</v>
      </c>
    </row>
    <row r="164" spans="1:10" x14ac:dyDescent="0.25">
      <c r="A164" s="6" t="s">
        <v>32</v>
      </c>
      <c r="B164" s="6">
        <v>23</v>
      </c>
      <c r="C164" s="7">
        <f t="shared" si="70"/>
        <v>6.3888888888888884</v>
      </c>
      <c r="D164" s="6">
        <v>15</v>
      </c>
      <c r="E164" s="7">
        <f t="shared" si="71"/>
        <v>4.166666666666667</v>
      </c>
      <c r="F164" s="8">
        <f t="shared" si="72"/>
        <v>0.65217391304347827</v>
      </c>
      <c r="G164" s="9" t="s">
        <v>99</v>
      </c>
      <c r="I164" s="10">
        <f t="shared" si="73"/>
        <v>6.3888888888888884</v>
      </c>
      <c r="J164" s="10">
        <f t="shared" si="74"/>
        <v>4.166666666666667</v>
      </c>
    </row>
    <row r="165" spans="1:10" x14ac:dyDescent="0.25">
      <c r="A165" s="6" t="s">
        <v>33</v>
      </c>
      <c r="B165" s="6">
        <v>23</v>
      </c>
      <c r="C165" s="7">
        <f t="shared" si="70"/>
        <v>6.3888888888888884</v>
      </c>
      <c r="D165" s="6">
        <v>22</v>
      </c>
      <c r="E165" s="7">
        <f t="shared" si="71"/>
        <v>6.1111111111111107</v>
      </c>
      <c r="F165" s="8">
        <f t="shared" si="72"/>
        <v>0.95652173913043481</v>
      </c>
      <c r="G165" s="9"/>
      <c r="I165" s="10">
        <f t="shared" si="73"/>
        <v>6.3888888888888884</v>
      </c>
      <c r="J165" s="10">
        <f t="shared" si="74"/>
        <v>6.1111111111111107</v>
      </c>
    </row>
    <row r="166" spans="1:10" x14ac:dyDescent="0.25">
      <c r="A166" s="6" t="s">
        <v>34</v>
      </c>
      <c r="B166" s="6">
        <v>15</v>
      </c>
      <c r="C166" s="7">
        <f t="shared" si="70"/>
        <v>4.166666666666667</v>
      </c>
      <c r="D166" s="6">
        <v>20</v>
      </c>
      <c r="E166" s="7">
        <f t="shared" si="71"/>
        <v>5.5555555555555554</v>
      </c>
      <c r="F166" s="8">
        <f t="shared" si="72"/>
        <v>1.3333333333333333</v>
      </c>
      <c r="G166" s="9" t="s">
        <v>162</v>
      </c>
      <c r="I166" s="10">
        <f t="shared" si="73"/>
        <v>4.166666666666667</v>
      </c>
      <c r="J166" s="10">
        <f t="shared" si="74"/>
        <v>5.5555555555555554</v>
      </c>
    </row>
    <row r="167" spans="1:10" x14ac:dyDescent="0.25">
      <c r="A167" s="6" t="s">
        <v>35</v>
      </c>
      <c r="B167" s="6">
        <v>26</v>
      </c>
      <c r="C167" s="7">
        <f t="shared" si="70"/>
        <v>7.2222222222222223</v>
      </c>
      <c r="D167" s="6">
        <v>21</v>
      </c>
      <c r="E167" s="7">
        <f t="shared" si="71"/>
        <v>5.833333333333333</v>
      </c>
      <c r="F167" s="8">
        <f t="shared" si="72"/>
        <v>0.80769230769230771</v>
      </c>
      <c r="G167" s="9"/>
      <c r="I167" s="10">
        <f t="shared" si="73"/>
        <v>7.2222222222222223</v>
      </c>
      <c r="J167" s="10">
        <f t="shared" si="74"/>
        <v>5.833333333333333</v>
      </c>
    </row>
    <row r="168" spans="1:10" x14ac:dyDescent="0.25">
      <c r="A168" s="6" t="s">
        <v>36</v>
      </c>
      <c r="B168" s="6">
        <v>25</v>
      </c>
      <c r="C168" s="7">
        <f t="shared" si="70"/>
        <v>6.9444444444444446</v>
      </c>
      <c r="D168" s="6">
        <v>28</v>
      </c>
      <c r="E168" s="7">
        <f t="shared" si="71"/>
        <v>7.7777777777777777</v>
      </c>
      <c r="F168" s="8">
        <f t="shared" si="72"/>
        <v>1.1200000000000001</v>
      </c>
      <c r="G168" s="9" t="s">
        <v>163</v>
      </c>
      <c r="I168" s="10">
        <f t="shared" si="73"/>
        <v>6.9444444444444446</v>
      </c>
      <c r="J168" s="10">
        <f t="shared" si="74"/>
        <v>7.7777777777777777</v>
      </c>
    </row>
    <row r="169" spans="1:10" x14ac:dyDescent="0.25">
      <c r="A169" s="11" t="s">
        <v>23</v>
      </c>
      <c r="B169" s="11">
        <f>SUM(B162:B168)</f>
        <v>202</v>
      </c>
      <c r="C169" s="12">
        <f>AVERAGE(C162:C168)</f>
        <v>8.0158730158730158</v>
      </c>
      <c r="D169" s="11">
        <f>SUM(D162:D168)</f>
        <v>189</v>
      </c>
      <c r="E169" s="12">
        <f>AVERAGE(E162:E168)</f>
        <v>7.5000000000000009</v>
      </c>
      <c r="F169" s="13">
        <f t="shared" si="72"/>
        <v>0.9356435643564357</v>
      </c>
      <c r="G169" s="14"/>
    </row>
    <row r="171" spans="1:10" ht="15.75" x14ac:dyDescent="0.25">
      <c r="A171" s="15" t="s">
        <v>117</v>
      </c>
    </row>
    <row r="172" spans="1:10" x14ac:dyDescent="0.25">
      <c r="A172" s="16" t="s">
        <v>118</v>
      </c>
      <c r="B172" s="17">
        <f>B12+B23+B34+B47+B57+B68+B79+B89+B100+B112+B123+B134+B146+B158+B169</f>
        <v>2362</v>
      </c>
    </row>
    <row r="173" spans="1:10" x14ac:dyDescent="0.25">
      <c r="A173" s="16" t="s">
        <v>119</v>
      </c>
      <c r="B173" s="17">
        <f>D12+D23+D34+D47+D57+D68+D79+D89+D100+D112+D123+D134+D146+D158+D169</f>
        <v>2199</v>
      </c>
    </row>
    <row r="174" spans="1:10" x14ac:dyDescent="0.25">
      <c r="A174" s="16" t="s">
        <v>120</v>
      </c>
      <c r="B174" s="18">
        <f>B173/B172</f>
        <v>0.93099068585944111</v>
      </c>
    </row>
    <row r="176" spans="1:10" x14ac:dyDescent="0.25">
      <c r="A176" s="19" t="s">
        <v>121</v>
      </c>
      <c r="B176">
        <f>COUNT(I5:I168)</f>
        <v>106</v>
      </c>
    </row>
    <row r="177" spans="1:2" x14ac:dyDescent="0.25">
      <c r="A177" s="16" t="s">
        <v>122</v>
      </c>
      <c r="B177" s="10">
        <f>AVERAGE(I5:I168)</f>
        <v>6.1897274633123658</v>
      </c>
    </row>
    <row r="178" spans="1:2" x14ac:dyDescent="0.25">
      <c r="A178" s="16" t="s">
        <v>123</v>
      </c>
      <c r="B178" s="10">
        <f>AVERAGE(J5:J168)</f>
        <v>5.762578616352199</v>
      </c>
    </row>
    <row r="179" spans="1:2" x14ac:dyDescent="0.25">
      <c r="A179" s="20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 1-20 Julio</vt:lpstr>
      <vt:lpstr>Semana 30 (21-27 Jul)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Luna Sofia Osorio Parra</cp:lastModifiedBy>
  <cp:revision>0</cp:revision>
  <dcterms:created xsi:type="dcterms:W3CDTF">2026-07-27T15:13:58Z</dcterms:created>
  <dcterms:modified xsi:type="dcterms:W3CDTF">2026-07-27T19:41:43Z</dcterms:modified>
  <dc:language>en-US</dc:language>
</cp:coreProperties>
</file>