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Z:\2026\BALANCES 2026\BALANCE PTAP\"/>
    </mc:Choice>
  </mc:AlternateContent>
  <xr:revisionPtr revIDLastSave="0" documentId="13_ncr:1_{A824059A-786A-4A37-9E9B-672567555BBF}" xr6:coauthVersionLast="47" xr6:coauthVersionMax="47" xr10:uidLastSave="{00000000-0000-0000-0000-000000000000}"/>
  <bookViews>
    <workbookView xWindow="-109" yWindow="-109" windowWidth="21954" windowHeight="11724" xr2:uid="{948FA44E-1824-407C-BFE2-6A897C562D42}"/>
  </bookViews>
  <sheets>
    <sheet name="Balance" sheetId="4" r:id="rId1"/>
    <sheet name="Gráfica" sheetId="9" r:id="rId2"/>
    <sheet name="Base de datos" sheetId="7" r:id="rId3"/>
    <sheet name="Desglose químico" sheetId="12" r:id="rId4"/>
    <sheet name="Pedido Química" sheetId="13" r:id="rId5"/>
    <sheet name="CHARACTERIZATION" sheetId="3" state="hidden" r:id="rId6"/>
    <sheet name="INVENTARIO" sheetId="2" state="hidden" r:id="rId7"/>
  </sheets>
  <externalReferences>
    <externalReference r:id="rId8"/>
    <externalReference r:id="rId9"/>
  </externalReferences>
  <definedNames>
    <definedName name="_2_02_2024">#REF!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TTO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2" l="1"/>
  <c r="I38" i="9"/>
  <c r="K38" i="9" s="1"/>
  <c r="H38" i="9"/>
  <c r="G38" i="9"/>
  <c r="F38" i="9"/>
  <c r="C33" i="9"/>
  <c r="D33" i="9"/>
  <c r="E33" i="9"/>
  <c r="C38" i="9" s="1"/>
  <c r="B33" i="9"/>
  <c r="B38" i="9" s="1"/>
  <c r="D8" i="12"/>
  <c r="D9" i="12"/>
  <c r="J38" i="9" l="1"/>
  <c r="D34" i="7"/>
  <c r="E34" i="7"/>
  <c r="D35" i="7"/>
  <c r="E35" i="7"/>
  <c r="D36" i="7"/>
  <c r="E36" i="7"/>
  <c r="C36" i="7"/>
  <c r="C35" i="7"/>
  <c r="C34" i="7"/>
  <c r="B36" i="7"/>
  <c r="B35" i="7"/>
  <c r="B34" i="7"/>
  <c r="E5" i="12" l="1"/>
  <c r="D6" i="12"/>
  <c r="C6" i="12"/>
  <c r="C5" i="12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G5" i="7" l="1"/>
  <c r="G4" i="7"/>
  <c r="G3" i="7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2" i="4"/>
  <c r="AG66" i="4"/>
  <c r="F30" i="9" l="1"/>
  <c r="F31" i="9"/>
  <c r="F32" i="9"/>
  <c r="B5" i="2"/>
  <c r="B4" i="2"/>
  <c r="B3" i="2"/>
  <c r="AA94" i="4"/>
  <c r="Z94" i="4"/>
  <c r="O94" i="4"/>
  <c r="N94" i="4"/>
  <c r="M94" i="4"/>
  <c r="Y94" i="4" s="1"/>
  <c r="AA93" i="4"/>
  <c r="Z93" i="4"/>
  <c r="O93" i="4"/>
  <c r="N93" i="4"/>
  <c r="Y93" i="4"/>
  <c r="AA92" i="4"/>
  <c r="Z92" i="4"/>
  <c r="O92" i="4"/>
  <c r="N92" i="4"/>
  <c r="P92" i="4"/>
  <c r="AA91" i="4"/>
  <c r="Z91" i="4"/>
  <c r="O91" i="4"/>
  <c r="N91" i="4"/>
  <c r="Y91" i="4"/>
  <c r="Z90" i="4"/>
  <c r="AA90" i="4"/>
  <c r="O90" i="4"/>
  <c r="N90" i="4"/>
  <c r="P90" i="4"/>
  <c r="AA89" i="4"/>
  <c r="Z89" i="4"/>
  <c r="O89" i="4"/>
  <c r="N89" i="4"/>
  <c r="Y89" i="4"/>
  <c r="AA88" i="4"/>
  <c r="Z88" i="4"/>
  <c r="O88" i="4"/>
  <c r="N88" i="4"/>
  <c r="P88" i="4"/>
  <c r="AA87" i="4"/>
  <c r="Z87" i="4"/>
  <c r="O87" i="4"/>
  <c r="N87" i="4"/>
  <c r="Y87" i="4"/>
  <c r="AA86" i="4"/>
  <c r="Z86" i="4"/>
  <c r="O86" i="4"/>
  <c r="N86" i="4"/>
  <c r="P86" i="4"/>
  <c r="AA85" i="4"/>
  <c r="Z85" i="4"/>
  <c r="O85" i="4"/>
  <c r="N85" i="4"/>
  <c r="Y85" i="4"/>
  <c r="AA84" i="4"/>
  <c r="Z84" i="4"/>
  <c r="O84" i="4"/>
  <c r="N84" i="4"/>
  <c r="P84" i="4"/>
  <c r="AA83" i="4"/>
  <c r="Z83" i="4"/>
  <c r="O83" i="4"/>
  <c r="N83" i="4"/>
  <c r="Y83" i="4"/>
  <c r="Z82" i="4"/>
  <c r="AA82" i="4"/>
  <c r="O82" i="4"/>
  <c r="N82" i="4"/>
  <c r="Y82" i="4"/>
  <c r="Z81" i="4"/>
  <c r="Y81" i="4"/>
  <c r="AA81" i="4"/>
  <c r="O81" i="4"/>
  <c r="N81" i="4"/>
  <c r="P81" i="4"/>
  <c r="Z80" i="4"/>
  <c r="AA80" i="4"/>
  <c r="O80" i="4"/>
  <c r="N80" i="4"/>
  <c r="Y80" i="4"/>
  <c r="AA79" i="4"/>
  <c r="Z79" i="4"/>
  <c r="O79" i="4"/>
  <c r="N79" i="4"/>
  <c r="P79" i="4"/>
  <c r="AA78" i="4"/>
  <c r="Z78" i="4"/>
  <c r="O78" i="4"/>
  <c r="N78" i="4"/>
  <c r="Y78" i="4"/>
  <c r="AA77" i="4"/>
  <c r="Y77" i="4"/>
  <c r="Z77" i="4"/>
  <c r="O77" i="4"/>
  <c r="N77" i="4"/>
  <c r="P77" i="4"/>
  <c r="AA76" i="4"/>
  <c r="Z76" i="4"/>
  <c r="O76" i="4"/>
  <c r="N76" i="4"/>
  <c r="Y76" i="4"/>
  <c r="Z75" i="4"/>
  <c r="AA75" i="4"/>
  <c r="O75" i="4"/>
  <c r="N75" i="4"/>
  <c r="Y75" i="4"/>
  <c r="AA74" i="4"/>
  <c r="Z74" i="4"/>
  <c r="O74" i="4"/>
  <c r="N74" i="4"/>
  <c r="P74" i="4"/>
  <c r="AA73" i="4"/>
  <c r="Z73" i="4"/>
  <c r="O73" i="4"/>
  <c r="N73" i="4"/>
  <c r="P73" i="4"/>
  <c r="AA72" i="4"/>
  <c r="Z72" i="4"/>
  <c r="O72" i="4"/>
  <c r="N72" i="4"/>
  <c r="Y72" i="4"/>
  <c r="AA71" i="4"/>
  <c r="Z71" i="4"/>
  <c r="O71" i="4"/>
  <c r="N71" i="4"/>
  <c r="Y71" i="4"/>
  <c r="AA70" i="4"/>
  <c r="Z70" i="4"/>
  <c r="P70" i="4"/>
  <c r="N70" i="4"/>
  <c r="Y70" i="4"/>
  <c r="AA69" i="4"/>
  <c r="Z69" i="4"/>
  <c r="Y69" i="4"/>
  <c r="O69" i="4"/>
  <c r="N69" i="4"/>
  <c r="P69" i="4"/>
  <c r="AA68" i="4"/>
  <c r="Z68" i="4"/>
  <c r="O68" i="4"/>
  <c r="N68" i="4"/>
  <c r="Y68" i="4"/>
  <c r="AA67" i="4"/>
  <c r="Y67" i="4"/>
  <c r="Z67" i="4"/>
  <c r="O67" i="4"/>
  <c r="N67" i="4"/>
  <c r="P67" i="4"/>
  <c r="AA66" i="4"/>
  <c r="Z66" i="4"/>
  <c r="O66" i="4"/>
  <c r="N66" i="4"/>
  <c r="Y66" i="4"/>
  <c r="AA65" i="4"/>
  <c r="Z65" i="4"/>
  <c r="O65" i="4"/>
  <c r="N65" i="4"/>
  <c r="Y65" i="4"/>
  <c r="AA64" i="4"/>
  <c r="Z64" i="4"/>
  <c r="O64" i="4"/>
  <c r="N64" i="4"/>
  <c r="Y64" i="4"/>
  <c r="AA63" i="4"/>
  <c r="Z63" i="4"/>
  <c r="O63" i="4"/>
  <c r="N63" i="4"/>
  <c r="Y63" i="4"/>
  <c r="AA62" i="4"/>
  <c r="Z62" i="4"/>
  <c r="O62" i="4"/>
  <c r="N62" i="4"/>
  <c r="Y62" i="4"/>
  <c r="AA61" i="4"/>
  <c r="Z61" i="4"/>
  <c r="O61" i="4"/>
  <c r="N61" i="4"/>
  <c r="Y61" i="4"/>
  <c r="AA60" i="4"/>
  <c r="Z60" i="4"/>
  <c r="O60" i="4"/>
  <c r="N60" i="4"/>
  <c r="Y60" i="4"/>
  <c r="AA59" i="4"/>
  <c r="Z59" i="4"/>
  <c r="O59" i="4"/>
  <c r="N59" i="4"/>
  <c r="Y59" i="4"/>
  <c r="AA58" i="4"/>
  <c r="Z58" i="4"/>
  <c r="O58" i="4"/>
  <c r="N58" i="4"/>
  <c r="Y58" i="4"/>
  <c r="AA57" i="4"/>
  <c r="Z57" i="4"/>
  <c r="O57" i="4"/>
  <c r="N57" i="4"/>
  <c r="Y57" i="4"/>
  <c r="AA56" i="4"/>
  <c r="Z56" i="4"/>
  <c r="Y56" i="4"/>
  <c r="O56" i="4"/>
  <c r="N56" i="4"/>
  <c r="P56" i="4"/>
  <c r="AA55" i="4"/>
  <c r="Z55" i="4"/>
  <c r="O55" i="4"/>
  <c r="N55" i="4"/>
  <c r="Y55" i="4"/>
  <c r="AA54" i="4"/>
  <c r="Z54" i="4"/>
  <c r="Y54" i="4"/>
  <c r="O54" i="4"/>
  <c r="N54" i="4"/>
  <c r="P54" i="4"/>
  <c r="AA53" i="4"/>
  <c r="Z53" i="4"/>
  <c r="O53" i="4"/>
  <c r="N53" i="4"/>
  <c r="Y53" i="4"/>
  <c r="AA52" i="4"/>
  <c r="Z52" i="4"/>
  <c r="Y52" i="4"/>
  <c r="O52" i="4"/>
  <c r="N52" i="4"/>
  <c r="P52" i="4"/>
  <c r="AA51" i="4"/>
  <c r="Z51" i="4"/>
  <c r="O51" i="4"/>
  <c r="N51" i="4"/>
  <c r="Y51" i="4"/>
  <c r="AA50" i="4"/>
  <c r="Z50" i="4"/>
  <c r="O50" i="4"/>
  <c r="N50" i="4"/>
  <c r="P50" i="4"/>
  <c r="AA49" i="4"/>
  <c r="Z49" i="4"/>
  <c r="O49" i="4"/>
  <c r="N49" i="4"/>
  <c r="Y49" i="4"/>
  <c r="AA48" i="4"/>
  <c r="Z48" i="4"/>
  <c r="O48" i="4"/>
  <c r="N48" i="4"/>
  <c r="P48" i="4"/>
  <c r="AA47" i="4"/>
  <c r="Z47" i="4"/>
  <c r="P47" i="4"/>
  <c r="O47" i="4"/>
  <c r="N47" i="4"/>
  <c r="Y47" i="4"/>
  <c r="AA46" i="4"/>
  <c r="Z46" i="4"/>
  <c r="O46" i="4"/>
  <c r="N46" i="4"/>
  <c r="P46" i="4"/>
  <c r="F46" i="4"/>
  <c r="AA45" i="4"/>
  <c r="Z45" i="4"/>
  <c r="O45" i="4"/>
  <c r="N45" i="4"/>
  <c r="Y45" i="4"/>
  <c r="AA44" i="4"/>
  <c r="Z44" i="4"/>
  <c r="O44" i="4"/>
  <c r="N44" i="4"/>
  <c r="Y44" i="4"/>
  <c r="AA43" i="4"/>
  <c r="Z43" i="4"/>
  <c r="O43" i="4"/>
  <c r="N43" i="4"/>
  <c r="Y43" i="4"/>
  <c r="AA42" i="4"/>
  <c r="Z42" i="4"/>
  <c r="O42" i="4"/>
  <c r="N42" i="4"/>
  <c r="Y42" i="4"/>
  <c r="AA41" i="4"/>
  <c r="Z41" i="4"/>
  <c r="O41" i="4"/>
  <c r="N41" i="4"/>
  <c r="P41" i="4"/>
  <c r="AA40" i="4"/>
  <c r="Z40" i="4"/>
  <c r="O40" i="4"/>
  <c r="N40" i="4"/>
  <c r="Y40" i="4"/>
  <c r="AA39" i="4"/>
  <c r="Y39" i="4"/>
  <c r="Z39" i="4"/>
  <c r="O39" i="4"/>
  <c r="N39" i="4"/>
  <c r="P39" i="4"/>
  <c r="AA38" i="4"/>
  <c r="Z38" i="4"/>
  <c r="O38" i="4"/>
  <c r="N38" i="4"/>
  <c r="Y38" i="4"/>
  <c r="AA37" i="4"/>
  <c r="Z37" i="4"/>
  <c r="O37" i="4"/>
  <c r="N37" i="4"/>
  <c r="P37" i="4"/>
  <c r="AA36" i="4"/>
  <c r="Z36" i="4"/>
  <c r="O36" i="4"/>
  <c r="N36" i="4"/>
  <c r="Y36" i="4"/>
  <c r="AA35" i="4"/>
  <c r="Z35" i="4"/>
  <c r="O35" i="4"/>
  <c r="N35" i="4"/>
  <c r="Y35" i="4"/>
  <c r="AA34" i="4"/>
  <c r="Z34" i="4"/>
  <c r="O34" i="4"/>
  <c r="N34" i="4"/>
  <c r="Y34" i="4"/>
  <c r="AA33" i="4"/>
  <c r="Z33" i="4"/>
  <c r="O33" i="4"/>
  <c r="N33" i="4"/>
  <c r="Y33" i="4"/>
  <c r="AA32" i="4"/>
  <c r="Z32" i="4"/>
  <c r="P32" i="4"/>
  <c r="O32" i="4"/>
  <c r="N32" i="4"/>
  <c r="Y32" i="4"/>
  <c r="AA31" i="4"/>
  <c r="Z31" i="4"/>
  <c r="P31" i="4"/>
  <c r="O31" i="4"/>
  <c r="N31" i="4"/>
  <c r="Y31" i="4"/>
  <c r="AA30" i="4"/>
  <c r="Z30" i="4"/>
  <c r="Y30" i="4"/>
  <c r="O30" i="4"/>
  <c r="N30" i="4"/>
  <c r="P30" i="4"/>
  <c r="AA29" i="4"/>
  <c r="Z29" i="4"/>
  <c r="O29" i="4"/>
  <c r="N29" i="4"/>
  <c r="Y29" i="4"/>
  <c r="AA28" i="4"/>
  <c r="Z28" i="4"/>
  <c r="O28" i="4"/>
  <c r="Y28" i="4"/>
  <c r="AA27" i="4"/>
  <c r="Z27" i="4"/>
  <c r="O27" i="4"/>
  <c r="N27" i="4"/>
  <c r="Y27" i="4"/>
  <c r="AA26" i="4"/>
  <c r="Z26" i="4"/>
  <c r="O26" i="4"/>
  <c r="N26" i="4"/>
  <c r="P26" i="4"/>
  <c r="AA25" i="4"/>
  <c r="Z25" i="4"/>
  <c r="O25" i="4"/>
  <c r="N25" i="4"/>
  <c r="P25" i="4"/>
  <c r="AA24" i="4"/>
  <c r="Z24" i="4"/>
  <c r="O24" i="4"/>
  <c r="N24" i="4"/>
  <c r="P24" i="4"/>
  <c r="AA23" i="4"/>
  <c r="Z23" i="4"/>
  <c r="O23" i="4"/>
  <c r="N23" i="4"/>
  <c r="P23" i="4"/>
  <c r="AA22" i="4"/>
  <c r="Z22" i="4"/>
  <c r="O22" i="4"/>
  <c r="N22" i="4"/>
  <c r="Y22" i="4"/>
  <c r="AA21" i="4"/>
  <c r="Z21" i="4"/>
  <c r="O21" i="4"/>
  <c r="N21" i="4"/>
  <c r="P21" i="4"/>
  <c r="AA20" i="4"/>
  <c r="Z20" i="4"/>
  <c r="O20" i="4"/>
  <c r="N20" i="4"/>
  <c r="Y20" i="4"/>
  <c r="AA19" i="4"/>
  <c r="Z19" i="4"/>
  <c r="O19" i="4"/>
  <c r="N19" i="4"/>
  <c r="Y19" i="4"/>
  <c r="F19" i="4"/>
  <c r="AA18" i="4"/>
  <c r="Z18" i="4"/>
  <c r="O18" i="4"/>
  <c r="N18" i="4"/>
  <c r="P18" i="4"/>
  <c r="AA17" i="4"/>
  <c r="Z17" i="4"/>
  <c r="O17" i="4"/>
  <c r="N17" i="4"/>
  <c r="Y17" i="4"/>
  <c r="AA16" i="4"/>
  <c r="Z16" i="4"/>
  <c r="O16" i="4"/>
  <c r="N16" i="4"/>
  <c r="Y16" i="4"/>
  <c r="AA15" i="4"/>
  <c r="Z15" i="4"/>
  <c r="O15" i="4"/>
  <c r="N15" i="4"/>
  <c r="Y15" i="4"/>
  <c r="AA14" i="4"/>
  <c r="Z14" i="4"/>
  <c r="O14" i="4"/>
  <c r="N14" i="4"/>
  <c r="Y14" i="4"/>
  <c r="AA13" i="4"/>
  <c r="Z13" i="4"/>
  <c r="O13" i="4"/>
  <c r="N13" i="4"/>
  <c r="Y13" i="4"/>
  <c r="AA12" i="4"/>
  <c r="Z12" i="4"/>
  <c r="O12" i="4"/>
  <c r="N12" i="4"/>
  <c r="Y12" i="4"/>
  <c r="AA11" i="4"/>
  <c r="Z11" i="4"/>
  <c r="O11" i="4"/>
  <c r="N11" i="4"/>
  <c r="Y11" i="4"/>
  <c r="AA10" i="4"/>
  <c r="Z10" i="4"/>
  <c r="O10" i="4"/>
  <c r="N10" i="4"/>
  <c r="P10" i="4"/>
  <c r="AA9" i="4"/>
  <c r="Z9" i="4"/>
  <c r="O9" i="4"/>
  <c r="N9" i="4"/>
  <c r="P9" i="4"/>
  <c r="AA8" i="4"/>
  <c r="Z8" i="4"/>
  <c r="O8" i="4"/>
  <c r="N8" i="4"/>
  <c r="Y8" i="4"/>
  <c r="AA7" i="4"/>
  <c r="Z7" i="4"/>
  <c r="O7" i="4"/>
  <c r="N7" i="4"/>
  <c r="Y7" i="4"/>
  <c r="AA6" i="4"/>
  <c r="Z6" i="4"/>
  <c r="O6" i="4"/>
  <c r="N6" i="4"/>
  <c r="Y6" i="4"/>
  <c r="AA5" i="4"/>
  <c r="Z5" i="4"/>
  <c r="O5" i="4"/>
  <c r="N5" i="4"/>
  <c r="Y5" i="4"/>
  <c r="AA4" i="4"/>
  <c r="Z4" i="4"/>
  <c r="O4" i="4"/>
  <c r="N4" i="4"/>
  <c r="P4" i="4"/>
  <c r="AA3" i="4"/>
  <c r="Z3" i="4"/>
  <c r="O3" i="4"/>
  <c r="N3" i="4"/>
  <c r="P3" i="4"/>
  <c r="A3" i="4"/>
  <c r="A4" i="4" s="1"/>
  <c r="Y2" i="4"/>
  <c r="B2" i="4"/>
  <c r="AB29" i="4" l="1"/>
  <c r="AB38" i="4"/>
  <c r="AB70" i="4"/>
  <c r="F33" i="9"/>
  <c r="AB61" i="4"/>
  <c r="AB35" i="4"/>
  <c r="AB27" i="4"/>
  <c r="AB33" i="4"/>
  <c r="AB44" i="4"/>
  <c r="AB47" i="4"/>
  <c r="AB78" i="4"/>
  <c r="AB32" i="4"/>
  <c r="AB7" i="4"/>
  <c r="AB55" i="4"/>
  <c r="AB58" i="4"/>
  <c r="AB66" i="4"/>
  <c r="AB72" i="4"/>
  <c r="AB67" i="4"/>
  <c r="AB15" i="4"/>
  <c r="AB43" i="4"/>
  <c r="AB49" i="4"/>
  <c r="AB52" i="4"/>
  <c r="AB83" i="4"/>
  <c r="AB16" i="4"/>
  <c r="AB64" i="4"/>
  <c r="AB77" i="4"/>
  <c r="AB56" i="4"/>
  <c r="AB53" i="4"/>
  <c r="AB54" i="4"/>
  <c r="AB59" i="4"/>
  <c r="AB19" i="4"/>
  <c r="AB80" i="4"/>
  <c r="AB87" i="4"/>
  <c r="AB85" i="4"/>
  <c r="P94" i="4"/>
  <c r="AB13" i="4"/>
  <c r="AB5" i="4"/>
  <c r="AE5" i="4" s="1"/>
  <c r="AB30" i="4"/>
  <c r="AB39" i="4"/>
  <c r="AB75" i="4"/>
  <c r="AB12" i="4"/>
  <c r="AB17" i="4"/>
  <c r="AB28" i="4"/>
  <c r="AB45" i="4"/>
  <c r="AB51" i="4"/>
  <c r="AB60" i="4"/>
  <c r="AB81" i="4"/>
  <c r="AB31" i="4"/>
  <c r="AB63" i="4"/>
  <c r="AB20" i="4"/>
  <c r="AB6" i="4"/>
  <c r="AB14" i="4"/>
  <c r="AB42" i="4"/>
  <c r="AB57" i="4"/>
  <c r="AB65" i="4"/>
  <c r="AB68" i="4"/>
  <c r="AB69" i="4"/>
  <c r="AB71" i="4"/>
  <c r="AB40" i="4"/>
  <c r="AB34" i="4"/>
  <c r="AB11" i="4"/>
  <c r="AB22" i="4"/>
  <c r="AB36" i="4"/>
  <c r="AB62" i="4"/>
  <c r="AB76" i="4"/>
  <c r="AB82" i="4"/>
  <c r="AB94" i="4"/>
  <c r="AB93" i="4"/>
  <c r="AB91" i="4"/>
  <c r="AB89" i="4"/>
  <c r="AB8" i="4"/>
  <c r="B2" i="12"/>
  <c r="C2" i="12" s="1"/>
  <c r="AA2" i="4"/>
  <c r="D2" i="12" s="1"/>
  <c r="E2" i="12" s="1"/>
  <c r="Y92" i="4"/>
  <c r="AB92" i="4" s="1"/>
  <c r="B3" i="12"/>
  <c r="C3" i="12" s="1"/>
  <c r="Z2" i="4"/>
  <c r="D4" i="12" s="1"/>
  <c r="E4" i="12" s="1"/>
  <c r="B4" i="12"/>
  <c r="C4" i="12" s="1"/>
  <c r="Y26" i="4"/>
  <c r="AB26" i="4" s="1"/>
  <c r="P28" i="4"/>
  <c r="Y23" i="4"/>
  <c r="AB23" i="4" s="1"/>
  <c r="P20" i="4"/>
  <c r="P19" i="4"/>
  <c r="Y18" i="4"/>
  <c r="AB18" i="4" s="1"/>
  <c r="P14" i="4"/>
  <c r="P13" i="4"/>
  <c r="Y10" i="4"/>
  <c r="AB10" i="4" s="1"/>
  <c r="P66" i="4"/>
  <c r="P5" i="4"/>
  <c r="N2" i="4"/>
  <c r="Y4" i="4"/>
  <c r="AB4" i="4" s="1"/>
  <c r="AE4" i="4" s="1"/>
  <c r="Y9" i="4"/>
  <c r="AB9" i="4" s="1"/>
  <c r="Y25" i="4"/>
  <c r="AB25" i="4" s="1"/>
  <c r="Y73" i="4"/>
  <c r="AB73" i="4" s="1"/>
  <c r="P75" i="4"/>
  <c r="P6" i="4"/>
  <c r="P7" i="4"/>
  <c r="P11" i="4"/>
  <c r="P16" i="4"/>
  <c r="P27" i="4"/>
  <c r="P34" i="4"/>
  <c r="P36" i="4"/>
  <c r="P45" i="4"/>
  <c r="Y74" i="4"/>
  <c r="AB74" i="4" s="1"/>
  <c r="Y79" i="4"/>
  <c r="AB79" i="4" s="1"/>
  <c r="P8" i="4"/>
  <c r="P12" i="4"/>
  <c r="P17" i="4"/>
  <c r="Y50" i="4"/>
  <c r="AB50" i="4" s="1"/>
  <c r="P62" i="4"/>
  <c r="P64" i="4"/>
  <c r="P65" i="4"/>
  <c r="P72" i="4"/>
  <c r="P22" i="4"/>
  <c r="P38" i="4"/>
  <c r="P43" i="4"/>
  <c r="Y21" i="4"/>
  <c r="AB21" i="4" s="1"/>
  <c r="Y37" i="4"/>
  <c r="AB37" i="4" s="1"/>
  <c r="Y46" i="4"/>
  <c r="AB46" i="4" s="1"/>
  <c r="Y48" i="4"/>
  <c r="AB48" i="4" s="1"/>
  <c r="P60" i="4"/>
  <c r="Y86" i="4"/>
  <c r="P71" i="4"/>
  <c r="P29" i="4"/>
  <c r="Y41" i="4"/>
  <c r="AB41" i="4" s="1"/>
  <c r="P58" i="4"/>
  <c r="P83" i="4"/>
  <c r="B4" i="4"/>
  <c r="A5" i="4"/>
  <c r="B3" i="4"/>
  <c r="P15" i="4"/>
  <c r="P40" i="4"/>
  <c r="P42" i="4"/>
  <c r="P49" i="4"/>
  <c r="P51" i="4"/>
  <c r="P53" i="4"/>
  <c r="P55" i="4"/>
  <c r="P57" i="4"/>
  <c r="P68" i="4"/>
  <c r="P76" i="4"/>
  <c r="P78" i="4"/>
  <c r="P80" i="4"/>
  <c r="P87" i="4"/>
  <c r="Y88" i="4"/>
  <c r="Y90" i="4"/>
  <c r="AB90" i="4" s="1"/>
  <c r="P33" i="4"/>
  <c r="P44" i="4"/>
  <c r="P59" i="4"/>
  <c r="P82" i="4"/>
  <c r="P89" i="4"/>
  <c r="P35" i="4"/>
  <c r="P61" i="4"/>
  <c r="P63" i="4"/>
  <c r="P85" i="4"/>
  <c r="P91" i="4"/>
  <c r="P93" i="4"/>
  <c r="Y84" i="4"/>
  <c r="AB84" i="4" s="1"/>
  <c r="Y24" i="4"/>
  <c r="AB24" i="4" s="1"/>
  <c r="Y3" i="4"/>
  <c r="AB3" i="4" s="1"/>
  <c r="AE90" i="4" l="1"/>
  <c r="AD90" i="4"/>
  <c r="AE79" i="4"/>
  <c r="AD79" i="4"/>
  <c r="AD68" i="4"/>
  <c r="AE68" i="4"/>
  <c r="AD16" i="4"/>
  <c r="AE16" i="4"/>
  <c r="AE31" i="4"/>
  <c r="AD31" i="4"/>
  <c r="AD75" i="4"/>
  <c r="AE75" i="4"/>
  <c r="AE80" i="4"/>
  <c r="AD80" i="4"/>
  <c r="AE33" i="4"/>
  <c r="AD33" i="4"/>
  <c r="AE48" i="4"/>
  <c r="AD48" i="4"/>
  <c r="AD74" i="4"/>
  <c r="AE74" i="4"/>
  <c r="AD8" i="4"/>
  <c r="AE8" i="4"/>
  <c r="AD36" i="4"/>
  <c r="AE36" i="4"/>
  <c r="AD65" i="4"/>
  <c r="AE65" i="4"/>
  <c r="AE81" i="4"/>
  <c r="AD81" i="4"/>
  <c r="AE39" i="4"/>
  <c r="AD39" i="4"/>
  <c r="AD19" i="4"/>
  <c r="AE19" i="4"/>
  <c r="AD83" i="4"/>
  <c r="AE83" i="4"/>
  <c r="AE58" i="4"/>
  <c r="AD58" i="4"/>
  <c r="AD27" i="4"/>
  <c r="AE27" i="4"/>
  <c r="AD23" i="4"/>
  <c r="AE23" i="4"/>
  <c r="AE62" i="4"/>
  <c r="AD62" i="4"/>
  <c r="AE66" i="4"/>
  <c r="AD66" i="4"/>
  <c r="AE46" i="4"/>
  <c r="AD46" i="4"/>
  <c r="AD10" i="4"/>
  <c r="AE10" i="4"/>
  <c r="AD26" i="4"/>
  <c r="AE26" i="4"/>
  <c r="AD89" i="4"/>
  <c r="AE89" i="4"/>
  <c r="AE22" i="4"/>
  <c r="AD22" i="4"/>
  <c r="AD57" i="4"/>
  <c r="AE57" i="4"/>
  <c r="AD60" i="4"/>
  <c r="AE60" i="4"/>
  <c r="AE30" i="4"/>
  <c r="AD30" i="4"/>
  <c r="AD59" i="4"/>
  <c r="AE59" i="4"/>
  <c r="AD52" i="4"/>
  <c r="AE52" i="4"/>
  <c r="AE55" i="4"/>
  <c r="AD55" i="4"/>
  <c r="AD35" i="4"/>
  <c r="AE35" i="4"/>
  <c r="AD91" i="4"/>
  <c r="AE91" i="4"/>
  <c r="AD11" i="4"/>
  <c r="AE11" i="4"/>
  <c r="AD42" i="4"/>
  <c r="AE42" i="4"/>
  <c r="AD51" i="4"/>
  <c r="AE51" i="4"/>
  <c r="AE54" i="4"/>
  <c r="AD54" i="4"/>
  <c r="AE49" i="4"/>
  <c r="AD49" i="4"/>
  <c r="AD7" i="4"/>
  <c r="AE7" i="4"/>
  <c r="AD61" i="4"/>
  <c r="AE61" i="4"/>
  <c r="AD93" i="4"/>
  <c r="AE93" i="4"/>
  <c r="AD34" i="4"/>
  <c r="AE34" i="4"/>
  <c r="AE14" i="4"/>
  <c r="AD14" i="4"/>
  <c r="AD45" i="4"/>
  <c r="AE45" i="4"/>
  <c r="AD13" i="4"/>
  <c r="AE13" i="4"/>
  <c r="AD53" i="4"/>
  <c r="AE53" i="4"/>
  <c r="AD43" i="4"/>
  <c r="AE43" i="4"/>
  <c r="AD32" i="4"/>
  <c r="AE32" i="4"/>
  <c r="AD94" i="4"/>
  <c r="AE94" i="4"/>
  <c r="AE40" i="4"/>
  <c r="AD40" i="4"/>
  <c r="AD6" i="4"/>
  <c r="AE6" i="4"/>
  <c r="AD28" i="4"/>
  <c r="AE28" i="4"/>
  <c r="AE56" i="4"/>
  <c r="AD56" i="4"/>
  <c r="AE15" i="4"/>
  <c r="AD15" i="4"/>
  <c r="AD78" i="4"/>
  <c r="AE78" i="4"/>
  <c r="AD70" i="4"/>
  <c r="AE70" i="4"/>
  <c r="AD24" i="4"/>
  <c r="AE24" i="4"/>
  <c r="AD37" i="4"/>
  <c r="AE37" i="4"/>
  <c r="AE73" i="4"/>
  <c r="AD73" i="4"/>
  <c r="AD84" i="4"/>
  <c r="AE84" i="4"/>
  <c r="AD41" i="4"/>
  <c r="AE41" i="4"/>
  <c r="AD21" i="4"/>
  <c r="AE21" i="4"/>
  <c r="AD50" i="4"/>
  <c r="AE50" i="4"/>
  <c r="AD25" i="4"/>
  <c r="AE25" i="4"/>
  <c r="AD9" i="4"/>
  <c r="AE9" i="4"/>
  <c r="AD18" i="4"/>
  <c r="AE18" i="4"/>
  <c r="AD92" i="4"/>
  <c r="AE92" i="4"/>
  <c r="AD82" i="4"/>
  <c r="AE82" i="4"/>
  <c r="AD71" i="4"/>
  <c r="AE71" i="4"/>
  <c r="AD20" i="4"/>
  <c r="AE20" i="4"/>
  <c r="AE17" i="4"/>
  <c r="AD17" i="4"/>
  <c r="AD85" i="4"/>
  <c r="AE85" i="4"/>
  <c r="AD77" i="4"/>
  <c r="AE77" i="4"/>
  <c r="AD67" i="4"/>
  <c r="AE67" i="4"/>
  <c r="AE47" i="4"/>
  <c r="AD47" i="4"/>
  <c r="AD38" i="4"/>
  <c r="AE38" i="4"/>
  <c r="AD76" i="4"/>
  <c r="AE76" i="4"/>
  <c r="AD69" i="4"/>
  <c r="AE69" i="4"/>
  <c r="AE63" i="4"/>
  <c r="AD63" i="4"/>
  <c r="AD12" i="4"/>
  <c r="AE12" i="4"/>
  <c r="AE87" i="4"/>
  <c r="AD87" i="4"/>
  <c r="AE64" i="4"/>
  <c r="AD64" i="4"/>
  <c r="AE72" i="4"/>
  <c r="AD72" i="4"/>
  <c r="AD44" i="4"/>
  <c r="AE44" i="4"/>
  <c r="AD29" i="4"/>
  <c r="AE29" i="4"/>
  <c r="AD5" i="4"/>
  <c r="AB2" i="4"/>
  <c r="L36" i="9" s="1"/>
  <c r="D38" i="9" s="1"/>
  <c r="AD3" i="4"/>
  <c r="AE3" i="4"/>
  <c r="D3" i="12"/>
  <c r="E3" i="12" s="1"/>
  <c r="AD4" i="4"/>
  <c r="AB88" i="4"/>
  <c r="AB86" i="4"/>
  <c r="O2" i="4"/>
  <c r="B5" i="4"/>
  <c r="A6" i="4"/>
  <c r="AE86" i="4" l="1"/>
  <c r="AD86" i="4"/>
  <c r="AE88" i="4"/>
  <c r="AD88" i="4"/>
  <c r="E38" i="9"/>
  <c r="AE2" i="4"/>
  <c r="AD2" i="4"/>
  <c r="D7" i="12"/>
  <c r="P2" i="4"/>
  <c r="B6" i="4"/>
  <c r="A7" i="4"/>
  <c r="D10" i="12" l="1"/>
  <c r="D11" i="12"/>
  <c r="B7" i="4"/>
  <c r="A8" i="4"/>
  <c r="A9" i="4" l="1"/>
  <c r="B8" i="4"/>
  <c r="B9" i="4" l="1"/>
  <c r="A10" i="4"/>
  <c r="A11" i="4" l="1"/>
  <c r="B10" i="4"/>
  <c r="B11" i="4" l="1"/>
  <c r="A12" i="4"/>
  <c r="A13" i="4" l="1"/>
  <c r="B12" i="4"/>
  <c r="B13" i="4" l="1"/>
  <c r="A14" i="4"/>
  <c r="A15" i="4" l="1"/>
  <c r="B14" i="4"/>
  <c r="B15" i="4" l="1"/>
  <c r="A16" i="4"/>
  <c r="B16" i="4" l="1"/>
  <c r="A17" i="4"/>
  <c r="B17" i="4" l="1"/>
  <c r="A18" i="4"/>
  <c r="B18" i="4" l="1"/>
  <c r="A19" i="4"/>
  <c r="A20" i="4" l="1"/>
  <c r="B19" i="4"/>
  <c r="B20" i="4" l="1"/>
  <c r="A21" i="4"/>
  <c r="A22" i="4" l="1"/>
  <c r="B21" i="4"/>
  <c r="B22" i="4" l="1"/>
  <c r="A23" i="4"/>
  <c r="A24" i="4" l="1"/>
  <c r="B23" i="4"/>
  <c r="A25" i="4" l="1"/>
  <c r="B24" i="4"/>
  <c r="B25" i="4" l="1"/>
  <c r="A26" i="4"/>
  <c r="A27" i="4" l="1"/>
  <c r="B26" i="4"/>
  <c r="B27" i="4" l="1"/>
  <c r="A28" i="4"/>
  <c r="B28" i="4" l="1"/>
  <c r="A29" i="4"/>
  <c r="A30" i="4" l="1"/>
  <c r="B29" i="4"/>
  <c r="B30" i="4" l="1"/>
  <c r="A31" i="4"/>
  <c r="A32" i="4" l="1"/>
  <c r="B31" i="4"/>
  <c r="B32" i="4" l="1"/>
  <c r="A33" i="4"/>
  <c r="A34" i="4" l="1"/>
  <c r="B33" i="4"/>
  <c r="A35" i="4" l="1"/>
  <c r="B34" i="4"/>
  <c r="A36" i="4" l="1"/>
  <c r="B35" i="4"/>
  <c r="B36" i="4" l="1"/>
  <c r="A37" i="4"/>
  <c r="A38" i="4" l="1"/>
  <c r="B37" i="4"/>
  <c r="B38" i="4" l="1"/>
  <c r="A39" i="4"/>
  <c r="A40" i="4" l="1"/>
  <c r="B39" i="4"/>
  <c r="A41" i="4" l="1"/>
  <c r="B40" i="4"/>
  <c r="A42" i="4" l="1"/>
  <c r="B41" i="4"/>
  <c r="A43" i="4" l="1"/>
  <c r="B42" i="4"/>
  <c r="B43" i="4" l="1"/>
  <c r="A44" i="4"/>
  <c r="A45" i="4" l="1"/>
  <c r="B44" i="4"/>
  <c r="A46" i="4" l="1"/>
  <c r="B45" i="4"/>
  <c r="A47" i="4" l="1"/>
  <c r="B46" i="4"/>
  <c r="A48" i="4" l="1"/>
  <c r="B47" i="4"/>
  <c r="A49" i="4" l="1"/>
  <c r="B48" i="4"/>
  <c r="A50" i="4" l="1"/>
  <c r="B49" i="4"/>
  <c r="A51" i="4" l="1"/>
  <c r="B50" i="4"/>
  <c r="A52" i="4" l="1"/>
  <c r="B51" i="4"/>
  <c r="A53" i="4" l="1"/>
  <c r="B52" i="4"/>
  <c r="A54" i="4" l="1"/>
  <c r="B53" i="4"/>
  <c r="A55" i="4" l="1"/>
  <c r="B54" i="4"/>
  <c r="B55" i="4" l="1"/>
  <c r="A56" i="4"/>
  <c r="A57" i="4" l="1"/>
  <c r="B56" i="4"/>
  <c r="B57" i="4" l="1"/>
  <c r="A58" i="4"/>
  <c r="B58" i="4" l="1"/>
  <c r="A59" i="4"/>
  <c r="A60" i="4" l="1"/>
  <c r="B59" i="4"/>
  <c r="A61" i="4" l="1"/>
  <c r="B60" i="4"/>
  <c r="A62" i="4" l="1"/>
  <c r="B61" i="4"/>
  <c r="B62" i="4" l="1"/>
  <c r="A63" i="4"/>
  <c r="A64" i="4" l="1"/>
  <c r="B63" i="4"/>
  <c r="A65" i="4" l="1"/>
  <c r="B64" i="4"/>
  <c r="A66" i="4" l="1"/>
  <c r="B65" i="4"/>
  <c r="B66" i="4" l="1"/>
  <c r="A67" i="4"/>
  <c r="A68" i="4" l="1"/>
  <c r="B67" i="4"/>
  <c r="A69" i="4" l="1"/>
  <c r="B68" i="4"/>
  <c r="B69" i="4" l="1"/>
  <c r="A70" i="4"/>
  <c r="A71" i="4" l="1"/>
  <c r="B70" i="4"/>
  <c r="B71" i="4" l="1"/>
  <c r="A72" i="4"/>
  <c r="A73" i="4" l="1"/>
  <c r="B72" i="4"/>
  <c r="B73" i="4" l="1"/>
  <c r="A74" i="4"/>
  <c r="A75" i="4" l="1"/>
  <c r="B74" i="4"/>
  <c r="B75" i="4" l="1"/>
  <c r="A76" i="4"/>
  <c r="A77" i="4" l="1"/>
  <c r="B76" i="4"/>
  <c r="A78" i="4" l="1"/>
  <c r="B77" i="4"/>
  <c r="A79" i="4" l="1"/>
  <c r="B78" i="4"/>
  <c r="B79" i="4" l="1"/>
  <c r="A80" i="4"/>
  <c r="A81" i="4" l="1"/>
  <c r="B80" i="4"/>
  <c r="B81" i="4" l="1"/>
  <c r="A82" i="4"/>
  <c r="A83" i="4" l="1"/>
  <c r="B82" i="4"/>
  <c r="A84" i="4" l="1"/>
  <c r="B83" i="4"/>
  <c r="B84" i="4" l="1"/>
  <c r="A85" i="4"/>
  <c r="A86" i="4" l="1"/>
  <c r="B85" i="4"/>
  <c r="A87" i="4" l="1"/>
  <c r="B86" i="4"/>
  <c r="A88" i="4" l="1"/>
  <c r="B87" i="4"/>
  <c r="B88" i="4" l="1"/>
  <c r="A89" i="4"/>
  <c r="A90" i="4" l="1"/>
  <c r="B89" i="4"/>
  <c r="A91" i="4" l="1"/>
  <c r="B90" i="4"/>
  <c r="A92" i="4" l="1"/>
  <c r="B91" i="4"/>
  <c r="A93" i="4" l="1"/>
  <c r="B92" i="4"/>
  <c r="A94" i="4" l="1"/>
  <c r="B94" i="4" s="1"/>
  <c r="B9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Edward Montaño Gomez</author>
  </authors>
  <commentList>
    <comment ref="C3" authorId="0" shapeId="0" xr:uid="{77F5CF42-CEBD-4FD3-B242-548567DD7556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50% coag / 50% agua</t>
        </r>
      </text>
    </comment>
    <comment ref="C4" authorId="0" shapeId="0" xr:uid="{3D811EE4-62E6-4FEF-83E9-D5F32F0A868F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2,5 gr/l para preparacion
</t>
        </r>
      </text>
    </comment>
    <comment ref="C5" authorId="0" shapeId="0" xr:uid="{BD9B58C3-01E0-4BB9-9140-A707C8C1B21E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23 kg peroxido en 90 litros de agua</t>
        </r>
      </text>
    </comment>
  </commentList>
</comments>
</file>

<file path=xl/sharedStrings.xml><?xml version="1.0" encoding="utf-8"?>
<sst xmlns="http://schemas.openxmlformats.org/spreadsheetml/2006/main" count="294" uniqueCount="109">
  <si>
    <t>FECHA</t>
  </si>
  <si>
    <t>COAG</t>
  </si>
  <si>
    <t>FLOC</t>
  </si>
  <si>
    <t>PEROX</t>
  </si>
  <si>
    <t>Coagulante COF-235</t>
  </si>
  <si>
    <t>Floculante COFN-440</t>
  </si>
  <si>
    <t>Peroxido de hidrogeno</t>
  </si>
  <si>
    <t>Turno 1</t>
  </si>
  <si>
    <t>Turno 2</t>
  </si>
  <si>
    <t>Turno 3</t>
  </si>
  <si>
    <t>TURNO</t>
  </si>
  <si>
    <t>PH
IN</t>
  </si>
  <si>
    <t>TEMP
IN</t>
  </si>
  <si>
    <t>TURBIDEZ
IN</t>
  </si>
  <si>
    <t>COLOR
IN</t>
  </si>
  <si>
    <t>TDS
IN</t>
  </si>
  <si>
    <t>CONDU
IN</t>
  </si>
  <si>
    <t>SST
IN</t>
  </si>
  <si>
    <t>DUREZA
IN</t>
  </si>
  <si>
    <t>HIERRO
IN</t>
  </si>
  <si>
    <t>PH
OUT</t>
  </si>
  <si>
    <t>TEMP
OUT</t>
  </si>
  <si>
    <t>TURBIDEZ
OUT</t>
  </si>
  <si>
    <t>COLOR
OUT</t>
  </si>
  <si>
    <t>TDS
OUT</t>
  </si>
  <si>
    <t>CONDU
OUT</t>
  </si>
  <si>
    <t>SST
OUT</t>
  </si>
  <si>
    <t>DUREZA
OUT</t>
  </si>
  <si>
    <t>HIERRO
OUT</t>
  </si>
  <si>
    <t>DIA</t>
  </si>
  <si>
    <t>ANALISIS TURNO</t>
  </si>
  <si>
    <t># TURNO</t>
  </si>
  <si>
    <t>DILIGENCIAR BITACORA</t>
  </si>
  <si>
    <t>FINAL COAGULANTE (L)</t>
  </si>
  <si>
    <t>CONSUMO LITROS COAGULANTE (L)</t>
  </si>
  <si>
    <t>KG COAGULANTE</t>
  </si>
  <si>
    <t xml:space="preserve">KG POL ANIONICO </t>
  </si>
  <si>
    <t xml:space="preserve">KG POL CATIONICO </t>
  </si>
  <si>
    <t xml:space="preserve">PPM COAGULANTE </t>
  </si>
  <si>
    <t>DENSIDAD COAGULANTE</t>
  </si>
  <si>
    <t>PRECIO (KG) COAGULANTE</t>
  </si>
  <si>
    <t>COSTO OPERATIVO COAGULANTE</t>
  </si>
  <si>
    <t xml:space="preserve">COSTO QUIMICA </t>
  </si>
  <si>
    <t>LIMITE INDICADOR M3</t>
  </si>
  <si>
    <t>1 (NOCHE)</t>
  </si>
  <si>
    <t>FINAL TURNO 3</t>
  </si>
  <si>
    <t>2 (MAÑANA)</t>
  </si>
  <si>
    <t>FINAL TURNO 1</t>
  </si>
  <si>
    <t>3(TARDE)</t>
  </si>
  <si>
    <t>FINAL TURNO 2</t>
  </si>
  <si>
    <t>HORAS DE OPERACIÓN</t>
  </si>
  <si>
    <t>Total general</t>
  </si>
  <si>
    <t>VOLUMEN TOTAL TRATADO PTAP</t>
  </si>
  <si>
    <t xml:space="preserve"> VOLUMEN TOTAL TRATADO PTAP </t>
  </si>
  <si>
    <t xml:space="preserve">LIMITE INDICADOR M3 </t>
  </si>
  <si>
    <t xml:space="preserve"> $ M3 PTAP </t>
  </si>
  <si>
    <t>CONSUMO LITROS PERÓXIDO (L)</t>
  </si>
  <si>
    <t>DENSIDAD PERÓXIDO</t>
  </si>
  <si>
    <t>PRECIO (KG) PERÓXIDO</t>
  </si>
  <si>
    <t>KG PERÓXIDO</t>
  </si>
  <si>
    <t>COSTO OPERATIVO PERÓXIDO</t>
  </si>
  <si>
    <t>PRECIO (KG) ácido sulfurico</t>
  </si>
  <si>
    <t>CONSUMO LITROS ACIDO SULFÚRICO (L)</t>
  </si>
  <si>
    <t>DENSIDAD ÁCIDO</t>
  </si>
  <si>
    <t>COSTO OPERATIVO ÁCIDO</t>
  </si>
  <si>
    <t>KG ÁCIDO</t>
  </si>
  <si>
    <t>VOLUMEN ENVIADO A TK RECIRCULACIÓN</t>
  </si>
  <si>
    <t>Promedio de LIMITE INDICADOR M3</t>
  </si>
  <si>
    <t>$ m3 tratado</t>
  </si>
  <si>
    <t>$ m3 enviado</t>
  </si>
  <si>
    <t>Suma de $ m3 tratado</t>
  </si>
  <si>
    <t xml:space="preserve"> VOLUMEN ENVIADO A TK RECIRCULACIÓN</t>
  </si>
  <si>
    <t>AGUA DE RETROLAVADOS</t>
  </si>
  <si>
    <t>Día</t>
  </si>
  <si>
    <t>VOL. TOTAL TRATADO PTAP (m3)</t>
  </si>
  <si>
    <t>VOL. ENVIADO A TK RECIRCULACIÓN (m3)</t>
  </si>
  <si>
    <t>$/m3 tratado</t>
  </si>
  <si>
    <t>$/m3 enviado</t>
  </si>
  <si>
    <t>BALANCE PTAP</t>
  </si>
  <si>
    <t>Mín. enviado a tk de recirculación (m3)</t>
  </si>
  <si>
    <t>Máx. enviado a tk de recirculación (m3)</t>
  </si>
  <si>
    <t>Promedio enviado a tk de recirculación  (m3)</t>
  </si>
  <si>
    <t>PRODUCTO QUÍMICO</t>
  </si>
  <si>
    <t>KG CONSUMIDOS MES</t>
  </si>
  <si>
    <t>KG PROMEDIO DIÁRIO</t>
  </si>
  <si>
    <t>COSTO MES</t>
  </si>
  <si>
    <t>$ PROMEDIO DIÁRIO</t>
  </si>
  <si>
    <t>ÁCIDO</t>
  </si>
  <si>
    <t>COAGULANTE</t>
  </si>
  <si>
    <t>SODA</t>
  </si>
  <si>
    <t>PERÓXIDO</t>
  </si>
  <si>
    <t>Promedio tratado  (m3)</t>
  </si>
  <si>
    <t>Eficiencia UF %</t>
  </si>
  <si>
    <t>Caudal puntual mensual L/s</t>
  </si>
  <si>
    <t>FILTROS BOLSA</t>
  </si>
  <si>
    <t>DÍA</t>
  </si>
  <si>
    <t>Volumen enviado a Tanque de Reciculación (m3)</t>
  </si>
  <si>
    <t>Volumen Total tratado (m3)</t>
  </si>
  <si>
    <t>TOTAL</t>
  </si>
  <si>
    <t>Volumen tratado m3</t>
  </si>
  <si>
    <t>Volumen enviado a tanque de recirculación m3</t>
  </si>
  <si>
    <t>Indicador agua tratada</t>
  </si>
  <si>
    <t>Indicador agua enviada a tanque de recirculación</t>
  </si>
  <si>
    <t>OC</t>
  </si>
  <si>
    <t>PED00370579 
REQ00110574 
SI25R4(NR-10981)</t>
  </si>
  <si>
    <t>Kg COF 235</t>
  </si>
  <si>
    <t>Kg 280</t>
  </si>
  <si>
    <t>Fecha de solicitud</t>
  </si>
  <si>
    <t>Kg COF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</si>
</sst>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&quot;$&quot;\ #,##0"/>
    <numFmt numFmtId="166" formatCode="[$$-240A]\ #,##0"/>
    <numFmt numFmtId="167" formatCode="#,##0.000"/>
    <numFmt numFmtId="168" formatCode="[$$-240A]\ #,##0.00"/>
    <numFmt numFmtId="169" formatCode="#,##0.0000"/>
    <numFmt numFmtId="170" formatCode="_-* #,##0_-;\-* #,##0_-;_-* &quot;-&quot;??_-;_-@_-"/>
    <numFmt numFmtId="171" formatCode="#,##0.0"/>
  </numFmts>
  <fonts count="9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0"/>
      <color theme="2" tint="-0.899990844447157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9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49" fontId="5" fillId="5" borderId="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1" xfId="1" applyNumberFormat="1" applyFont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3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164" fontId="0" fillId="0" borderId="1" xfId="1" applyNumberFormat="1" applyFont="1" applyBorder="1" applyAlignment="1">
      <alignment horizontal="center" vertical="center"/>
    </xf>
    <xf numFmtId="170" fontId="0" fillId="0" borderId="1" xfId="2" applyNumberFormat="1" applyFont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170" fontId="0" fillId="0" borderId="1" xfId="2" applyNumberFormat="1" applyFont="1" applyBorder="1" applyAlignment="1">
      <alignment horizontal="center"/>
    </xf>
    <xf numFmtId="43" fontId="0" fillId="0" borderId="1" xfId="0" applyNumberFormat="1" applyBorder="1"/>
    <xf numFmtId="17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1" xfId="1" applyNumberFormat="1" applyFont="1" applyBorder="1"/>
    <xf numFmtId="1" fontId="0" fillId="0" borderId="1" xfId="0" applyNumberForma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7" fillId="0" borderId="1" xfId="0" applyFont="1" applyBorder="1"/>
    <xf numFmtId="164" fontId="7" fillId="0" borderId="1" xfId="1" applyNumberFormat="1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7" borderId="7" xfId="0" applyNumberFormat="1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65" fontId="5" fillId="4" borderId="13" xfId="0" applyNumberFormat="1" applyFont="1" applyFill="1" applyBorder="1" applyAlignment="1">
      <alignment horizontal="center" vertical="center"/>
    </xf>
    <xf numFmtId="3" fontId="0" fillId="8" borderId="2" xfId="0" applyNumberFormat="1" applyFill="1" applyBorder="1"/>
    <xf numFmtId="3" fontId="0" fillId="8" borderId="4" xfId="0" applyNumberFormat="1" applyFill="1" applyBorder="1"/>
    <xf numFmtId="3" fontId="0" fillId="8" borderId="6" xfId="0" applyNumberFormat="1" applyFill="1" applyBorder="1"/>
    <xf numFmtId="0" fontId="7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Fill="1" applyBorder="1" applyAlignment="1">
      <alignment horizontal="left"/>
    </xf>
    <xf numFmtId="1" fontId="0" fillId="0" borderId="2" xfId="0" applyNumberFormat="1" applyFill="1" applyBorder="1" applyAlignment="1">
      <alignment horizontal="center"/>
    </xf>
    <xf numFmtId="3" fontId="0" fillId="0" borderId="2" xfId="0" applyNumberFormat="1" applyFill="1" applyBorder="1"/>
    <xf numFmtId="3" fontId="0" fillId="0" borderId="2" xfId="0" applyNumberFormat="1" applyFill="1" applyBorder="1" applyAlignment="1">
      <alignment horizontal="center"/>
    </xf>
    <xf numFmtId="3" fontId="0" fillId="0" borderId="15" xfId="0" applyNumberFormat="1" applyFill="1" applyBorder="1"/>
    <xf numFmtId="3" fontId="0" fillId="0" borderId="18" xfId="0" applyNumberFormat="1" applyFill="1" applyBorder="1"/>
    <xf numFmtId="3" fontId="0" fillId="0" borderId="3" xfId="0" applyNumberFormat="1" applyFill="1" applyBorder="1"/>
    <xf numFmtId="0" fontId="0" fillId="0" borderId="2" xfId="0" applyFill="1" applyBorder="1"/>
    <xf numFmtId="0" fontId="0" fillId="0" borderId="0" xfId="0" applyFill="1"/>
    <xf numFmtId="14" fontId="0" fillId="0" borderId="4" xfId="0" applyNumberFormat="1" applyFill="1" applyBorder="1" applyAlignment="1">
      <alignment horizontal="left"/>
    </xf>
    <xf numFmtId="1" fontId="0" fillId="0" borderId="4" xfId="0" applyNumberFormat="1" applyFill="1" applyBorder="1" applyAlignment="1">
      <alignment horizontal="center"/>
    </xf>
    <xf numFmtId="3" fontId="0" fillId="0" borderId="4" xfId="0" applyNumberFormat="1" applyFill="1" applyBorder="1"/>
    <xf numFmtId="3" fontId="0" fillId="0" borderId="4" xfId="0" applyNumberFormat="1" applyFill="1" applyBorder="1" applyAlignment="1">
      <alignment horizontal="center"/>
    </xf>
    <xf numFmtId="3" fontId="0" fillId="0" borderId="16" xfId="0" applyNumberFormat="1" applyFill="1" applyBorder="1"/>
    <xf numFmtId="3" fontId="0" fillId="0" borderId="19" xfId="0" applyNumberFormat="1" applyFill="1" applyBorder="1"/>
    <xf numFmtId="3" fontId="0" fillId="0" borderId="1" xfId="0" applyNumberFormat="1" applyFill="1" applyBorder="1"/>
    <xf numFmtId="0" fontId="0" fillId="0" borderId="4" xfId="0" applyFill="1" applyBorder="1"/>
    <xf numFmtId="14" fontId="0" fillId="0" borderId="6" xfId="0" applyNumberFormat="1" applyFill="1" applyBorder="1" applyAlignment="1">
      <alignment horizontal="left"/>
    </xf>
    <xf numFmtId="1" fontId="0" fillId="0" borderId="6" xfId="0" applyNumberFormat="1" applyFill="1" applyBorder="1" applyAlignment="1">
      <alignment horizontal="center"/>
    </xf>
    <xf numFmtId="3" fontId="0" fillId="0" borderId="6" xfId="0" applyNumberFormat="1" applyFill="1" applyBorder="1"/>
    <xf numFmtId="3" fontId="0" fillId="0" borderId="6" xfId="0" applyNumberFormat="1" applyFill="1" applyBorder="1" applyAlignment="1">
      <alignment horizontal="center"/>
    </xf>
    <xf numFmtId="3" fontId="0" fillId="0" borderId="17" xfId="0" applyNumberFormat="1" applyFill="1" applyBorder="1"/>
    <xf numFmtId="3" fontId="0" fillId="0" borderId="20" xfId="0" applyNumberFormat="1" applyFill="1" applyBorder="1"/>
    <xf numFmtId="3" fontId="0" fillId="0" borderId="5" xfId="0" applyNumberFormat="1" applyFill="1" applyBorder="1"/>
    <xf numFmtId="3" fontId="0" fillId="0" borderId="0" xfId="0" applyNumberFormat="1" applyFill="1"/>
    <xf numFmtId="166" fontId="0" fillId="0" borderId="0" xfId="0" applyNumberFormat="1" applyFill="1"/>
    <xf numFmtId="3" fontId="0" fillId="11" borderId="2" xfId="0" applyNumberFormat="1" applyFill="1" applyBorder="1"/>
    <xf numFmtId="3" fontId="0" fillId="11" borderId="4" xfId="0" applyNumberFormat="1" applyFill="1" applyBorder="1"/>
    <xf numFmtId="3" fontId="0" fillId="11" borderId="6" xfId="0" applyNumberFormat="1" applyFill="1" applyBorder="1"/>
  </cellXfs>
  <cellStyles count="3">
    <cellStyle name="Millares" xfId="2" builtinId="3"/>
    <cellStyle name="Moneda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alignment horizontal="general" vertical="bottom" textRotation="0" wrapText="1" indent="0" justifyLastLine="0" shrinkToFit="0" readingOrder="0"/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Gráfica!$E$1</c:f>
              <c:strCache>
                <c:ptCount val="1"/>
                <c:pt idx="0">
                  <c:v> VOLUMEN ENVIADO A TK RECIRCULACIÓN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Gráfica!$A$2:$A$32</c15:sqref>
                  </c15:fullRef>
                </c:ext>
              </c:extLst>
              <c:f>Gráfica!$A$2:$A$5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Gráfica!$E$2:$E$32</c15:sqref>
                  </c15:fullRef>
                </c:ext>
              </c:extLst>
              <c:f>Gráfica!$E$2:$E$5</c:f>
              <c:numCache>
                <c:formatCode>0</c:formatCode>
                <c:ptCount val="4"/>
                <c:pt idx="0">
                  <c:v>195</c:v>
                </c:pt>
                <c:pt idx="1">
                  <c:v>272</c:v>
                </c:pt>
                <c:pt idx="2">
                  <c:v>291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E-47B3-A0F5-4DC767D7A66E}"/>
            </c:ext>
          </c:extLst>
        </c:ser>
        <c:ser>
          <c:idx val="4"/>
          <c:order val="4"/>
          <c:tx>
            <c:strRef>
              <c:f>Gráfica!$F$1</c:f>
              <c:strCache>
                <c:ptCount val="1"/>
                <c:pt idx="0">
                  <c:v>AGUA DE RETROLAVADOS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Gráfica!$F$2:$F$32</c15:sqref>
                  </c15:fullRef>
                </c:ext>
              </c:extLst>
              <c:f>Gráfica!$F$2:$F$5</c:f>
              <c:numCache>
                <c:formatCode>0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102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3E-47B3-A0F5-4DC767D7A6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471664"/>
        <c:axId val="130432304"/>
      </c:barChart>
      <c:lineChart>
        <c:grouping val="standard"/>
        <c:varyColors val="0"/>
        <c:ser>
          <c:idx val="0"/>
          <c:order val="0"/>
          <c:tx>
            <c:strRef>
              <c:f>Gráfica!$B$1</c:f>
              <c:strCache>
                <c:ptCount val="1"/>
                <c:pt idx="0">
                  <c:v> VOLUMEN TOTAL TRATADO PTAP 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Gráfica!$A$2:$A$32</c15:sqref>
                  </c15:fullRef>
                </c:ext>
              </c:extLst>
              <c:f>Gráfica!$A$2:$A$5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Gráfica!$B$2:$B$32</c15:sqref>
                  </c15:fullRef>
                </c:ext>
              </c:extLst>
              <c:f>Gráfica!$B$2:$B$5</c:f>
              <c:numCache>
                <c:formatCode>General</c:formatCode>
                <c:ptCount val="4"/>
                <c:pt idx="0">
                  <c:v>275</c:v>
                </c:pt>
                <c:pt idx="1">
                  <c:v>367</c:v>
                </c:pt>
                <c:pt idx="2">
                  <c:v>393</c:v>
                </c:pt>
                <c:pt idx="3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E-47B3-A0F5-4DC767D7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71664"/>
        <c:axId val="130432304"/>
      </c:lineChart>
      <c:lineChart>
        <c:grouping val="standard"/>
        <c:varyColors val="0"/>
        <c:ser>
          <c:idx val="2"/>
          <c:order val="2"/>
          <c:tx>
            <c:strRef>
              <c:f>Gráfica!$C$1</c:f>
              <c:strCache>
                <c:ptCount val="1"/>
                <c:pt idx="0">
                  <c:v>LIMITE INDICADOR M3 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Gráfica!$C$2:$C$32</c15:sqref>
                  </c15:fullRef>
                </c:ext>
              </c:extLst>
              <c:f>Gráfica!$C$2:$C$5</c:f>
              <c:numCache>
                <c:formatCode>General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E-47B3-A0F5-4DC767D7A66E}"/>
            </c:ext>
          </c:extLst>
        </c:ser>
        <c:ser>
          <c:idx val="3"/>
          <c:order val="3"/>
          <c:tx>
            <c:strRef>
              <c:f>Gráfica!$D$1</c:f>
              <c:strCache>
                <c:ptCount val="1"/>
                <c:pt idx="0">
                  <c:v> $ M3 PTAP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  <a:alpha val="84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 $ 1 </c:v>
              </c:pt>
              <c:pt idx="1">
                <c:v> $ 2 </c:v>
              </c:pt>
              <c:pt idx="2">
                <c:v> $ 3 </c:v>
              </c:pt>
              <c:pt idx="3">
                <c:v> $ 4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Gráfica!$D$2:$D$32</c15:sqref>
                  </c15:fullRef>
                </c:ext>
              </c:extLst>
              <c:f>Gráfica!$D$2:$D$5</c:f>
              <c:numCache>
                <c:formatCode>_-"$"\ * #,##0_-;\-"$"\ * #,##0_-;_-"$"\ * "-"??_-;_-@_-</c:formatCode>
                <c:ptCount val="4"/>
                <c:pt idx="0">
                  <c:v>6524.8258903133901</c:v>
                </c:pt>
                <c:pt idx="1">
                  <c:v>6805.188356726183</c:v>
                </c:pt>
                <c:pt idx="2">
                  <c:v>4541.3605769230771</c:v>
                </c:pt>
                <c:pt idx="3">
                  <c:v>4031.5543711726768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E-47B3-A0F5-4DC767D7A6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5718304"/>
        <c:axId val="345717344"/>
      </c:lineChart>
      <c:catAx>
        <c:axId val="20047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432304"/>
        <c:crosses val="autoZero"/>
        <c:auto val="1"/>
        <c:lblAlgn val="ctr"/>
        <c:lblOffset val="100"/>
        <c:noMultiLvlLbl val="0"/>
      </c:catAx>
      <c:valAx>
        <c:axId val="1304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  <a:r>
                  <a:rPr lang="es-CO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471664"/>
        <c:crosses val="autoZero"/>
        <c:crossBetween val="between"/>
      </c:valAx>
      <c:valAx>
        <c:axId val="345717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5718304"/>
        <c:crosses val="max"/>
        <c:crossBetween val="between"/>
      </c:valAx>
      <c:catAx>
        <c:axId val="345718304"/>
        <c:scaling>
          <c:orientation val="minMax"/>
        </c:scaling>
        <c:delete val="1"/>
        <c:axPos val="b"/>
        <c:majorTickMark val="out"/>
        <c:minorTickMark val="none"/>
        <c:tickLblPos val="nextTo"/>
        <c:crossAx val="345717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281879</xdr:colOff>
      <xdr:row>4</xdr:row>
      <xdr:rowOff>143350</xdr:rowOff>
    </xdr:from>
    <xdr:to>
      <xdr:col>18</xdr:col>
      <xdr:colOff>685038</xdr:colOff>
      <xdr:row>21</xdr:row>
      <xdr:rowOff>77129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018406-1F34-1C2B-67D7-4BCBD9A3A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0.8888</cdr:x>
      <cdr:y>0.62067</cdr:y>
    </cdr:from>
    <cdr:to>
      <cdr:x>0.98467</cdr:x>
      <cdr:y>0.92153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F8996C3-4294-1249-D94D-B60C0252338E}"/>
            </a:ext>
          </a:extLst>
        </cdr:cNvPr>
        <cdr:cNvSpPr txBox="1"/>
      </cdr:nvSpPr>
      <cdr:spPr>
        <a:xfrm xmlns:a="http://schemas.openxmlformats.org/drawingml/2006/main">
          <a:off x="8476509" y="1886400"/>
          <a:ext cx="914313" cy="914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 kern="1200">
              <a:solidFill>
                <a:schemeClr val="accent6">
                  <a:lumMod val="75000"/>
                </a:schemeClr>
              </a:solidFill>
            </a:rPr>
            <a:t>$1.500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modaco-my.sharepoint.com/personal/fernandomg_permoda_com_co/Documents/INFORMACION%20HACH.xlsx" TargetMode="External"/><Relationship Id="rId1" Type="http://schemas.openxmlformats.org/officeDocument/2006/relationships/externalLinkPath" Target="https://permodaco-my.sharepoint.com/personal/fernandomg_permoda_com_co/Documents/INFORMACION%20HAC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25\Seguimiento%20Diario%20PTAR\FORMATOS%20Control%20operacional%20fase%20Primara\CONSUMO%20QU&#205;MICO%20Y%20TRATABILIDAD\FORMATO%20BIT&#193;CORA%20OPERACI&#211;N%20PTAR%20-%20MARZO%202025.xlsx" TargetMode="External"/><Relationship Id="rId1" Type="http://schemas.openxmlformats.org/officeDocument/2006/relationships/externalLinkPath" Target="/2025/Seguimiento%20Diario%20PTAR/FORMATOS%20Control%20operacional%20fase%20Primara/CONSUMO%20QU&#205;MICO%20Y%20TRATABILIDAD/FORMATO%20BIT&#193;CORA%20OPERACI&#211;N%20PTAR%20-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datos 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FORMATO BITÁCORA OPERACIÓN PTAR"/>
    </sheetNames>
    <sheetDataSet>
      <sheetData sheetId="0" refreshError="1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029.461154513891" createdVersion="8" refreshedVersion="8" minRefreshableVersion="3" recordCount="93" xr:uid="{6015A06F-96C6-49D3-86C8-6F794840B31E}">
  <cacheSource type="worksheet">
    <worksheetSource ref="A1:AD94" sheet="Balance"/>
  </cacheSource>
  <cacheFields count="30">
    <cacheField name="FECHA" numFmtId="14">
      <sharedItems containsSemiMixedTypes="0" containsNonDate="0" containsDate="1" containsString="0" minDate="2025-12-01T00:00:00" maxDate="2026-01-01T00:00:00"/>
    </cacheField>
    <cacheField name="DIA" numFmtId="1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3"/>
    </cacheField>
    <cacheField name="DILIGENCIAR BITACORA" numFmtId="3">
      <sharedItems/>
    </cacheField>
    <cacheField name="FINAL COAGULANTE (L)" numFmtId="3">
      <sharedItems containsString="0" containsBlank="1" containsNumber="1" minValue="0" maxValue="7000"/>
    </cacheField>
    <cacheField name="HORAS DE OPERACIÓN" numFmtId="3">
      <sharedItems containsString="0" containsBlank="1" containsNumber="1" containsInteger="1" minValue="0" maxValue="8"/>
    </cacheField>
    <cacheField name="VOLUMEN TOTAL TRATADO PTAP" numFmtId="3">
      <sharedItems containsSemiMixedTypes="0" containsString="0" containsNumber="1" minValue="0" maxValue="228"/>
    </cacheField>
    <cacheField name="VOLUMEN ENVIADO A TK RECIRCULACIÓN" numFmtId="3">
      <sharedItems containsSemiMixedTypes="0" containsString="0" containsNumber="1" minValue="0" maxValue="152"/>
    </cacheField>
    <cacheField name="CONSUMO LITROS COAGULANTE (L)" numFmtId="3">
      <sharedItems containsString="0" containsBlank="1" containsNumber="1" containsInteger="1" minValue="0" maxValue="50"/>
    </cacheField>
    <cacheField name="CONSUMO LITROS PERÓXIDO (L)" numFmtId="3">
      <sharedItems containsString="0" containsBlank="1" containsNumber="1" containsInteger="1" minValue="100" maxValue="100"/>
    </cacheField>
    <cacheField name="CONSUMO LITROS ACIDO SULFÚRICO (L)" numFmtId="3">
      <sharedItems containsString="0" containsBlank="1" containsNumber="1" containsInteger="1" minValue="10" maxValue="10"/>
    </cacheField>
    <cacheField name="KG COAGULANTE" numFmtId="3">
      <sharedItems containsSemiMixedTypes="0" containsString="0" containsNumber="1" minValue="0" maxValue="66.25"/>
    </cacheField>
    <cacheField name="KG POL ANIONICO " numFmtId="3">
      <sharedItems containsMixedTypes="1" containsNumber="1" minValue="0" maxValue="8.7781249999999996E-5"/>
    </cacheField>
    <cacheField name="KG POL CATIONICO " numFmtId="3">
      <sharedItems containsMixedTypes="1" containsNumber="1" minValue="0" maxValue="1.1631015624999998E-10"/>
    </cacheField>
    <cacheField name="PPM COAGULANTE " numFmtId="3">
      <sharedItems containsMixedTypes="1" containsNumber="1" minValue="0" maxValue="1250"/>
    </cacheField>
    <cacheField name="KG PERÓXIDO" numFmtId="3">
      <sharedItems containsSemiMixedTypes="0" containsString="0" containsNumber="1" containsInteger="1" minValue="0" maxValue="120"/>
    </cacheField>
    <cacheField name="KG ÁCIDO" numFmtId="3">
      <sharedItems containsSemiMixedTypes="0" containsString="0" containsNumber="1" containsInteger="1" minValue="0" maxValue="13"/>
    </cacheField>
    <cacheField name="DENSIDAD COAGULANTE" numFmtId="3">
      <sharedItems containsSemiMixedTypes="0" containsString="0" containsNumber="1" minValue="1.325" maxValue="1.325"/>
    </cacheField>
    <cacheField name="DENSIDAD PERÓXIDO" numFmtId="3">
      <sharedItems containsSemiMixedTypes="0" containsString="0" containsNumber="1" minValue="1.2" maxValue="1200"/>
    </cacheField>
    <cacheField name="DENSIDAD ÁCIDO" numFmtId="3">
      <sharedItems containsSemiMixedTypes="0" containsString="0" containsNumber="1" minValue="1.3" maxValue="1.3"/>
    </cacheField>
    <cacheField name="PRECIO (KG) COAGULANTE" numFmtId="3">
      <sharedItems containsSemiMixedTypes="0" containsString="0" containsNumber="1" containsInteger="1" minValue="2498" maxValue="2498"/>
    </cacheField>
    <cacheField name="PRECIO (KG) PERÓXIDO" numFmtId="3">
      <sharedItems containsSemiMixedTypes="0" containsString="0" containsNumber="1" containsInteger="1" minValue="2881" maxValue="2881"/>
    </cacheField>
    <cacheField name="PRECIO (KG) ácido sulfurico" numFmtId="3">
      <sharedItems containsSemiMixedTypes="0" containsString="0" containsNumber="1" containsInteger="1" minValue="2446" maxValue="2446"/>
    </cacheField>
    <cacheField name="COSTO OPERATIVO COAGULANTE" numFmtId="3">
      <sharedItems containsSemiMixedTypes="0" containsString="0" containsNumber="1" minValue="0" maxValue="165492.5"/>
    </cacheField>
    <cacheField name="COSTO OPERATIVO PERÓXIDO" numFmtId="3">
      <sharedItems containsSemiMixedTypes="0" containsString="0" containsNumber="1" containsInteger="1" minValue="0" maxValue="345720"/>
    </cacheField>
    <cacheField name="COSTO OPERATIVO ÁCIDO" numFmtId="3">
      <sharedItems containsSemiMixedTypes="0" containsString="0" containsNumber="1" containsInteger="1" minValue="0" maxValue="31798"/>
    </cacheField>
    <cacheField name="COSTO QUIMICA " numFmtId="3">
      <sharedItems containsSemiMixedTypes="0" containsString="0" containsNumber="1" minValue="0" maxValue="511212.5"/>
    </cacheField>
    <cacheField name="LIMITE INDICADOR M3" numFmtId="3">
      <sharedItems containsSemiMixedTypes="0" containsString="0" containsNumber="1" containsInteger="1" minValue="1500" maxValue="1500"/>
    </cacheField>
    <cacheField name="$ m3 tratado" numFmtId="3">
      <sharedItems containsMixedTypes="1" containsNumber="1" minValue="0" maxValue="4057.24206349206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5-12-01T00:00:00"/>
    <x v="0"/>
    <s v="1 (NOCHE)"/>
    <n v="1"/>
    <s v="FINAL TURNO 3"/>
    <n v="400"/>
    <n v="0"/>
    <n v="90"/>
    <n v="63"/>
    <n v="50"/>
    <m/>
    <n v="10"/>
    <n v="66.25"/>
    <n v="8.7781249999999996E-5"/>
    <n v="1.1631015624999998E-10"/>
    <n v="1.5411095703124998E-16"/>
    <n v="0"/>
    <n v="13"/>
    <n v="1.325"/>
    <n v="1.2"/>
    <n v="1.3"/>
    <n v="2498"/>
    <n v="2881"/>
    <n v="2446"/>
    <n v="165492.5"/>
    <n v="0"/>
    <n v="31798"/>
    <n v="197290.5"/>
    <n v="1500"/>
    <n v="2192.1166666666668"/>
  </r>
  <r>
    <d v="2025-12-01T00:00:00"/>
    <x v="0"/>
    <s v="2 (MAÑANA)"/>
    <n v="2"/>
    <s v="FINAL TURNO 1"/>
    <n v="210"/>
    <n v="0"/>
    <n v="81"/>
    <n v="57"/>
    <n v="50"/>
    <m/>
    <n v="10"/>
    <n v="66.25"/>
    <e v="#REF!"/>
    <e v="#REF!"/>
    <n v="817.90123456790127"/>
    <n v="0"/>
    <n v="13"/>
    <n v="1.325"/>
    <n v="1200"/>
    <n v="1.3"/>
    <n v="2498"/>
    <n v="2881"/>
    <n v="2446"/>
    <n v="165492.5"/>
    <n v="0"/>
    <n v="31798"/>
    <n v="197290.5"/>
    <n v="1500"/>
    <n v="2435.6851851851852"/>
  </r>
  <r>
    <d v="2025-12-01T00:00:00"/>
    <x v="0"/>
    <s v="3(TARDE)"/>
    <n v="3"/>
    <s v="FINAL TURNO 2"/>
    <n v="0"/>
    <n v="8"/>
    <n v="104"/>
    <n v="75"/>
    <n v="50"/>
    <m/>
    <n v="10"/>
    <n v="66.25"/>
    <e v="#REF!"/>
    <e v="#REF!"/>
    <n v="637.01923076923072"/>
    <n v="0"/>
    <n v="13"/>
    <n v="1.325"/>
    <n v="1200"/>
    <n v="1.3"/>
    <n v="2498"/>
    <n v="2881"/>
    <n v="2446"/>
    <n v="165492.5"/>
    <n v="0"/>
    <n v="31798"/>
    <n v="197290.5"/>
    <n v="1500"/>
    <n v="1897.0240384615386"/>
  </r>
  <r>
    <d v="2025-12-02T00:00:00"/>
    <x v="1"/>
    <s v="1 (NOCHE)"/>
    <n v="1"/>
    <s v="FINAL TURNO 3"/>
    <n v="7000"/>
    <n v="6"/>
    <n v="118"/>
    <n v="91"/>
    <n v="50"/>
    <m/>
    <m/>
    <n v="66.25"/>
    <e v="#REF!"/>
    <e v="#REF!"/>
    <n v="561.4406779661017"/>
    <n v="0"/>
    <n v="0"/>
    <n v="1.325"/>
    <n v="1200"/>
    <n v="1.3"/>
    <n v="2498"/>
    <n v="2881"/>
    <n v="2446"/>
    <n v="165492.5"/>
    <n v="0"/>
    <n v="0"/>
    <n v="165492.5"/>
    <n v="1500"/>
    <n v="1402.4788135593221"/>
  </r>
  <r>
    <d v="2025-12-02T00:00:00"/>
    <x v="1"/>
    <s v="2 (MAÑANA)"/>
    <n v="2"/>
    <s v="FINAL TURNO 1"/>
    <n v="6690"/>
    <n v="7"/>
    <n v="126"/>
    <n v="92"/>
    <n v="50"/>
    <n v="100"/>
    <m/>
    <n v="66.25"/>
    <e v="#REF!"/>
    <e v="#REF!"/>
    <n v="525.79365079365084"/>
    <n v="120"/>
    <n v="0"/>
    <n v="1.325"/>
    <n v="1200"/>
    <n v="1.3"/>
    <n v="2498"/>
    <n v="2881"/>
    <n v="2446"/>
    <n v="165492.5"/>
    <n v="345720"/>
    <n v="0"/>
    <n v="511212.5"/>
    <n v="1500"/>
    <n v="4057.2420634920636"/>
  </r>
  <r>
    <d v="2025-12-02T00:00:00"/>
    <x v="1"/>
    <s v="3(TARDE)"/>
    <n v="3"/>
    <s v="FINAL TURNO 2"/>
    <n v="6600"/>
    <n v="8"/>
    <n v="123"/>
    <n v="89"/>
    <n v="50"/>
    <m/>
    <m/>
    <n v="66.25"/>
    <e v="#REF!"/>
    <e v="#REF!"/>
    <n v="538.6178861788618"/>
    <n v="0"/>
    <n v="0"/>
    <n v="1.325"/>
    <n v="1200"/>
    <n v="1.3"/>
    <n v="2498"/>
    <n v="2881"/>
    <n v="2446"/>
    <n v="165492.5"/>
    <n v="0"/>
    <n v="0"/>
    <n v="165492.5"/>
    <n v="1500"/>
    <n v="1345.4674796747968"/>
  </r>
  <r>
    <d v="2025-12-03T00:00:00"/>
    <x v="2"/>
    <s v="1 (NOCHE)"/>
    <n v="1"/>
    <s v="FINAL TURNO 3"/>
    <n v="6300"/>
    <n v="8"/>
    <n v="143"/>
    <n v="110"/>
    <n v="50"/>
    <m/>
    <n v="10"/>
    <n v="66.25"/>
    <e v="#REF!"/>
    <e v="#REF!"/>
    <n v="463.28671328671328"/>
    <n v="0"/>
    <n v="13"/>
    <n v="1.325"/>
    <n v="1200"/>
    <n v="1.3"/>
    <n v="2498"/>
    <n v="2881"/>
    <n v="2446"/>
    <n v="165492.5"/>
    <n v="0"/>
    <n v="31798"/>
    <n v="197290.5"/>
    <n v="1500"/>
    <n v="1379.6538461538462"/>
  </r>
  <r>
    <d v="2025-12-03T00:00:00"/>
    <x v="2"/>
    <s v="2 (MAÑANA)"/>
    <n v="2"/>
    <s v="FINAL TURNO 1"/>
    <n v="6030"/>
    <n v="6"/>
    <n v="130"/>
    <n v="95"/>
    <n v="50"/>
    <m/>
    <n v="10"/>
    <n v="66.25"/>
    <e v="#REF!"/>
    <e v="#REF!"/>
    <n v="509.61538461538464"/>
    <n v="0"/>
    <n v="13"/>
    <n v="1.325"/>
    <n v="1200"/>
    <n v="1.3"/>
    <n v="2498"/>
    <n v="2881"/>
    <n v="2446"/>
    <n v="165492.5"/>
    <n v="0"/>
    <n v="31798"/>
    <n v="197290.5"/>
    <n v="1500"/>
    <n v="1517.6192307692309"/>
  </r>
  <r>
    <d v="2025-12-03T00:00:00"/>
    <x v="2"/>
    <s v="3(TARDE)"/>
    <n v="3"/>
    <s v="FINAL TURNO 2"/>
    <n v="5750"/>
    <n v="7"/>
    <n v="120"/>
    <n v="86"/>
    <n v="50"/>
    <m/>
    <n v="10"/>
    <n v="66.25"/>
    <e v="#REF!"/>
    <e v="#REF!"/>
    <n v="552.08333333333337"/>
    <n v="0"/>
    <n v="13"/>
    <n v="1.325"/>
    <n v="1200"/>
    <n v="1.3"/>
    <n v="2498"/>
    <n v="2881"/>
    <n v="2446"/>
    <n v="165492.5"/>
    <n v="0"/>
    <n v="31798"/>
    <n v="197290.5"/>
    <n v="1500"/>
    <n v="1644.0875000000001"/>
  </r>
  <r>
    <d v="2025-12-04T00:00:00"/>
    <x v="3"/>
    <s v="1 (NOCHE)"/>
    <n v="1"/>
    <s v="FINAL TURNO 3"/>
    <n v="5590"/>
    <n v="8"/>
    <n v="137"/>
    <n v="102"/>
    <n v="50"/>
    <m/>
    <m/>
    <n v="66.25"/>
    <e v="#REF!"/>
    <e v="#REF!"/>
    <n v="483.57664233576645"/>
    <n v="0"/>
    <n v="0"/>
    <n v="1.325"/>
    <n v="1200"/>
    <n v="1.3"/>
    <n v="2498"/>
    <n v="2881"/>
    <n v="2446"/>
    <n v="165492.5"/>
    <n v="0"/>
    <n v="0"/>
    <n v="165492.5"/>
    <n v="1500"/>
    <n v="1207.9744525547446"/>
  </r>
  <r>
    <d v="2025-12-04T00:00:00"/>
    <x v="3"/>
    <s v="2 (MAÑANA)"/>
    <n v="2"/>
    <s v="FINAL TURNO 1"/>
    <n v="5250"/>
    <n v="7"/>
    <n v="103"/>
    <n v="71"/>
    <n v="50"/>
    <m/>
    <m/>
    <n v="66.25"/>
    <e v="#REF!"/>
    <e v="#REF!"/>
    <n v="643.20388349514565"/>
    <n v="0"/>
    <n v="0"/>
    <n v="1.325"/>
    <n v="1200"/>
    <n v="1.3"/>
    <n v="2498"/>
    <n v="2881"/>
    <n v="2446"/>
    <n v="165492.5"/>
    <n v="0"/>
    <n v="0"/>
    <n v="165492.5"/>
    <n v="1500"/>
    <n v="1606.7233009708739"/>
  </r>
  <r>
    <d v="2025-12-04T00:00:00"/>
    <x v="3"/>
    <s v="3(TARDE)"/>
    <n v="3"/>
    <s v="FINAL TURNO 2"/>
    <n v="4590"/>
    <n v="7"/>
    <n v="136"/>
    <n v="103"/>
    <n v="50"/>
    <m/>
    <m/>
    <n v="66.25"/>
    <e v="#REF!"/>
    <e v="#REF!"/>
    <n v="487.13235294117646"/>
    <n v="0"/>
    <n v="0"/>
    <n v="1.325"/>
    <n v="1200"/>
    <n v="1.3"/>
    <n v="2498"/>
    <n v="2881"/>
    <n v="2446"/>
    <n v="165492.5"/>
    <n v="0"/>
    <n v="0"/>
    <n v="165492.5"/>
    <n v="1500"/>
    <n v="1216.8566176470588"/>
  </r>
  <r>
    <d v="2025-12-05T00:00:00"/>
    <x v="4"/>
    <s v="1 (NOCHE)"/>
    <n v="1"/>
    <s v="FINAL TURNO 3"/>
    <n v="4200"/>
    <n v="8"/>
    <n v="119"/>
    <n v="85"/>
    <n v="0"/>
    <m/>
    <n v="10"/>
    <n v="0"/>
    <e v="#REF!"/>
    <e v="#REF!"/>
    <n v="0"/>
    <n v="0"/>
    <n v="13"/>
    <n v="1.325"/>
    <n v="1200"/>
    <n v="1.3"/>
    <n v="2498"/>
    <n v="2881"/>
    <n v="2446"/>
    <n v="0"/>
    <n v="0"/>
    <n v="31798"/>
    <n v="31798"/>
    <n v="1500"/>
    <n v="267.21008403361344"/>
  </r>
  <r>
    <d v="2025-12-05T00:00:00"/>
    <x v="4"/>
    <s v="2 (MAÑANA)"/>
    <n v="2"/>
    <s v="FINAL TURNO 1"/>
    <n v="3910"/>
    <n v="8"/>
    <n v="128"/>
    <n v="93"/>
    <n v="0"/>
    <m/>
    <n v="10"/>
    <n v="0"/>
    <e v="#REF!"/>
    <e v="#REF!"/>
    <n v="0"/>
    <n v="0"/>
    <n v="13"/>
    <n v="1.325"/>
    <n v="1200"/>
    <n v="1.3"/>
    <n v="2498"/>
    <n v="2881"/>
    <n v="2446"/>
    <n v="0"/>
    <n v="0"/>
    <n v="31798"/>
    <n v="31798"/>
    <n v="1500"/>
    <n v="248.421875"/>
  </r>
  <r>
    <d v="2025-12-05T00:00:00"/>
    <x v="4"/>
    <s v="3(TARDE)"/>
    <n v="3"/>
    <s v="FINAL TURNO 2"/>
    <n v="3650"/>
    <n v="4"/>
    <n v="114"/>
    <n v="81"/>
    <n v="0"/>
    <m/>
    <n v="10"/>
    <n v="0"/>
    <e v="#REF!"/>
    <e v="#REF!"/>
    <n v="0"/>
    <n v="0"/>
    <n v="13"/>
    <n v="1.325"/>
    <n v="1200"/>
    <n v="1.3"/>
    <n v="2498"/>
    <n v="2881"/>
    <n v="2446"/>
    <n v="0"/>
    <n v="0"/>
    <n v="31798"/>
    <n v="31798"/>
    <n v="1500"/>
    <n v="278.92982456140351"/>
  </r>
  <r>
    <d v="2025-12-06T00:00:00"/>
    <x v="5"/>
    <s v="1 (NOCHE)"/>
    <n v="1"/>
    <s v="FINAL TURNO 3"/>
    <n v="3350"/>
    <n v="5"/>
    <n v="123"/>
    <n v="91.43"/>
    <n v="50"/>
    <m/>
    <n v="10"/>
    <n v="66.25"/>
    <e v="#REF!"/>
    <e v="#REF!"/>
    <n v="538.6178861788618"/>
    <n v="0"/>
    <n v="13"/>
    <n v="1.325"/>
    <n v="1200"/>
    <n v="1.3"/>
    <n v="2498"/>
    <n v="2881"/>
    <n v="2446"/>
    <n v="165492.5"/>
    <n v="0"/>
    <n v="31798"/>
    <n v="197290.5"/>
    <n v="1500"/>
    <n v="1603.9878048780488"/>
  </r>
  <r>
    <d v="2025-12-06T00:00:00"/>
    <x v="5"/>
    <s v="2 (MAÑANA)"/>
    <n v="2"/>
    <s v="FINAL TURNO 1"/>
    <n v="3205"/>
    <n v="3"/>
    <n v="124"/>
    <n v="90.8"/>
    <n v="50"/>
    <m/>
    <n v="10"/>
    <n v="66.25"/>
    <e v="#REF!"/>
    <e v="#REF!"/>
    <n v="534.27419354838707"/>
    <n v="0"/>
    <n v="13"/>
    <n v="1.325"/>
    <n v="1200"/>
    <n v="1.3"/>
    <n v="2498"/>
    <n v="2881"/>
    <n v="2446"/>
    <n v="165492.5"/>
    <n v="0"/>
    <n v="31798"/>
    <n v="197290.5"/>
    <n v="1500"/>
    <n v="1591.0524193548388"/>
  </r>
  <r>
    <d v="2025-12-06T00:00:00"/>
    <x v="5"/>
    <s v="3(TARDE)"/>
    <n v="3"/>
    <s v="FINAL TURNO 2"/>
    <n v="2982.5"/>
    <n v="8"/>
    <n v="127"/>
    <n v="93.77"/>
    <n v="50"/>
    <m/>
    <n v="10"/>
    <n v="66.25"/>
    <e v="#REF!"/>
    <e v="#REF!"/>
    <n v="521.65354330708658"/>
    <n v="0"/>
    <n v="13"/>
    <n v="1.325"/>
    <n v="1200"/>
    <n v="1.3"/>
    <n v="2498"/>
    <n v="2881"/>
    <n v="2446"/>
    <n v="165492.5"/>
    <n v="0"/>
    <n v="31798"/>
    <n v="197290.5"/>
    <n v="1500"/>
    <n v="1553.4685039370079"/>
  </r>
  <r>
    <d v="2025-12-07T00:00:00"/>
    <x v="6"/>
    <s v="1 (NOCHE)"/>
    <n v="1"/>
    <s v="FINAL TURNO 3"/>
    <n v="2760"/>
    <n v="8"/>
    <n v="68"/>
    <n v="5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07T00:00:00"/>
    <x v="6"/>
    <s v="2 (MAÑANA)"/>
    <n v="2"/>
    <s v="FINAL TURNO 1"/>
    <n v="253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7T00:00:00"/>
    <x v="6"/>
    <s v="3(TARDE)"/>
    <n v="3"/>
    <s v="FINAL TURNO 2"/>
    <n v="220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8T00:00:00"/>
    <x v="7"/>
    <s v="1 (NOCHE)"/>
    <n v="1"/>
    <s v="FINAL TURNO 3"/>
    <n v="5900"/>
    <n v="8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8T00:00:00"/>
    <x v="7"/>
    <s v="2 (MAÑANA)"/>
    <n v="2"/>
    <s v="FINAL TURNO 1"/>
    <n v="559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8T00:00:00"/>
    <x v="7"/>
    <s v="3(TARDE)"/>
    <n v="3"/>
    <s v="FINAL TURNO 2"/>
    <n v="515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9T00:00:00"/>
    <x v="8"/>
    <s v="1 (NOCHE)"/>
    <n v="1"/>
    <s v="FINAL TURNO 3"/>
    <n v="4980"/>
    <n v="3"/>
    <n v="90"/>
    <n v="60"/>
    <n v="50"/>
    <m/>
    <m/>
    <n v="66.25"/>
    <e v="#REF!"/>
    <e v="#REF!"/>
    <n v="736.11111111111109"/>
    <n v="0"/>
    <n v="0"/>
    <n v="1.325"/>
    <n v="1200"/>
    <n v="1.3"/>
    <n v="2498"/>
    <n v="2881"/>
    <n v="2446"/>
    <n v="165492.5"/>
    <n v="0"/>
    <n v="0"/>
    <n v="165492.5"/>
    <n v="1500"/>
    <n v="1838.8055555555557"/>
  </r>
  <r>
    <d v="2025-12-09T00:00:00"/>
    <x v="8"/>
    <s v="2 (MAÑANA)"/>
    <n v="2"/>
    <s v="FINAL TURNO 1"/>
    <n v="4980"/>
    <n v="0"/>
    <n v="104"/>
    <n v="77"/>
    <n v="50"/>
    <m/>
    <m/>
    <n v="66.25"/>
    <e v="#REF!"/>
    <e v="#REF!"/>
    <n v="637.01923076923072"/>
    <n v="0"/>
    <n v="0"/>
    <n v="1.325"/>
    <n v="1200"/>
    <n v="1.3"/>
    <n v="2498"/>
    <n v="2881"/>
    <n v="2446"/>
    <n v="165492.5"/>
    <n v="0"/>
    <n v="0"/>
    <n v="165492.5"/>
    <n v="1500"/>
    <n v="1591.2740384615386"/>
  </r>
  <r>
    <d v="2025-12-09T00:00:00"/>
    <x v="8"/>
    <s v="3(TARDE)"/>
    <n v="3"/>
    <s v="FINAL TURNO 2"/>
    <n v="4980"/>
    <n v="0"/>
    <n v="113"/>
    <n v="83"/>
    <n v="50"/>
    <m/>
    <m/>
    <n v="66.25"/>
    <n v="0"/>
    <e v="#REF!"/>
    <n v="586.28318584070792"/>
    <n v="0"/>
    <n v="0"/>
    <n v="1.325"/>
    <n v="1200"/>
    <n v="1.3"/>
    <n v="2498"/>
    <n v="2881"/>
    <n v="2446"/>
    <n v="165492.5"/>
    <n v="0"/>
    <n v="0"/>
    <n v="165492.5"/>
    <n v="1500"/>
    <n v="1464.5353982300885"/>
  </r>
  <r>
    <d v="2025-12-10T00:00:00"/>
    <x v="9"/>
    <s v="1 (NOCHE)"/>
    <n v="1"/>
    <s v="FINAL TURNO 3"/>
    <n v="4980"/>
    <n v="3"/>
    <n v="122"/>
    <n v="86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0T00:00:00"/>
    <x v="9"/>
    <s v="2 (MAÑANA)"/>
    <n v="2"/>
    <s v="FINAL TURNO 1"/>
    <n v="4750"/>
    <n v="8"/>
    <n v="124"/>
    <n v="83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0T00:00:00"/>
    <x v="9"/>
    <s v="3(TARDE)"/>
    <n v="3"/>
    <s v="FINAL TURNO 2"/>
    <n v="4330"/>
    <n v="6"/>
    <n v="120"/>
    <n v="85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1T00:00:00"/>
    <x v="10"/>
    <s v="1 (NOCHE)"/>
    <n v="1"/>
    <s v="FINAL TURNO 3"/>
    <n v="4100"/>
    <n v="6"/>
    <n v="58"/>
    <n v="4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1T00:00:00"/>
    <x v="10"/>
    <s v="2 (MAÑANA)"/>
    <n v="2"/>
    <s v="FINAL TURNO 1"/>
    <n v="3840"/>
    <n v="8"/>
    <n v="106"/>
    <n v="74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1T00:00:00"/>
    <x v="10"/>
    <s v="3(TARDE)"/>
    <n v="3"/>
    <s v="FINAL TURNO 2"/>
    <n v="3110"/>
    <n v="6"/>
    <n v="106"/>
    <n v="77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2T00:00:00"/>
    <x v="11"/>
    <s v="1 (NOCHE)"/>
    <n v="1"/>
    <s v="FINAL TURNO 3"/>
    <n v="3110"/>
    <n v="6"/>
    <n v="120"/>
    <n v="83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2T00:00:00"/>
    <x v="11"/>
    <s v="2 (MAÑANA)"/>
    <n v="2"/>
    <s v="FINAL TURNO 1"/>
    <n v="2730"/>
    <n v="6"/>
    <n v="98"/>
    <n v="6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2T00:00:00"/>
    <x v="11"/>
    <s v="3(TARDE)"/>
    <n v="3"/>
    <s v="FINAL TURNO 2"/>
    <n v="2400"/>
    <n v="4"/>
    <n v="83"/>
    <n v="57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3T00:00:00"/>
    <x v="12"/>
    <s v="1 (NOCHE)"/>
    <n v="1"/>
    <s v="FINAL TURNO 3"/>
    <n v="1860"/>
    <n v="4"/>
    <n v="115"/>
    <n v="81"/>
    <n v="50"/>
    <m/>
    <n v="10"/>
    <n v="66.25"/>
    <e v="#REF!"/>
    <e v="#REF!"/>
    <n v="576.08695652173913"/>
    <n v="0"/>
    <n v="13"/>
    <n v="1.325"/>
    <n v="1200"/>
    <n v="1.3"/>
    <n v="2498"/>
    <n v="2881"/>
    <n v="2446"/>
    <n v="165492.5"/>
    <n v="0"/>
    <n v="31798"/>
    <n v="197290.5"/>
    <n v="1500"/>
    <n v="1715.5695652173913"/>
  </r>
  <r>
    <d v="2025-12-13T00:00:00"/>
    <x v="12"/>
    <s v="2 (MAÑANA)"/>
    <n v="2"/>
    <s v="FINAL TURNO 1"/>
    <n v="1540"/>
    <n v="8"/>
    <n v="133"/>
    <n v="97"/>
    <n v="50"/>
    <m/>
    <n v="10"/>
    <n v="66.25"/>
    <e v="#REF!"/>
    <e v="#REF!"/>
    <n v="498.12030075187971"/>
    <n v="0"/>
    <n v="13"/>
    <n v="1.325"/>
    <n v="1200"/>
    <n v="1.3"/>
    <n v="2498"/>
    <n v="2881"/>
    <n v="2446"/>
    <n v="165492.5"/>
    <n v="0"/>
    <n v="31798"/>
    <n v="197290.5"/>
    <n v="1500"/>
    <n v="1483.3872180451128"/>
  </r>
  <r>
    <d v="2025-12-13T00:00:00"/>
    <x v="12"/>
    <s v="3(TARDE)"/>
    <n v="3"/>
    <s v="FINAL TURNO 2"/>
    <n v="1300"/>
    <n v="7"/>
    <n v="88"/>
    <n v="61"/>
    <n v="50"/>
    <m/>
    <n v="10"/>
    <n v="66.25"/>
    <e v="#REF!"/>
    <e v="#REF!"/>
    <n v="752.84090909090912"/>
    <n v="0"/>
    <n v="13"/>
    <n v="1.325"/>
    <n v="1200"/>
    <n v="1.3"/>
    <n v="2498"/>
    <n v="2881"/>
    <n v="2446"/>
    <n v="165492.5"/>
    <n v="0"/>
    <n v="31798"/>
    <n v="197290.5"/>
    <n v="1500"/>
    <n v="2241.9375"/>
  </r>
  <r>
    <d v="2025-12-14T00:00:00"/>
    <x v="13"/>
    <s v="1 (NOCHE)"/>
    <n v="1"/>
    <s v="FINAL TURNO 3"/>
    <n v="1100"/>
    <n v="8"/>
    <n v="126"/>
    <n v="83"/>
    <n v="50"/>
    <m/>
    <n v="10"/>
    <n v="66.25"/>
    <e v="#REF!"/>
    <e v="#REF!"/>
    <n v="525.79365079365084"/>
    <n v="0"/>
    <n v="13"/>
    <n v="1.325"/>
    <n v="1200"/>
    <n v="1.3"/>
    <n v="2498"/>
    <n v="2881"/>
    <n v="2446"/>
    <n v="165492.5"/>
    <n v="0"/>
    <n v="31798"/>
    <n v="197290.5"/>
    <n v="1500"/>
    <n v="1565.797619047619"/>
  </r>
  <r>
    <d v="2025-12-14T00:00:00"/>
    <x v="13"/>
    <s v="2 (MAÑANA)"/>
    <n v="2"/>
    <s v="FINAL TURNO 1"/>
    <n v="960"/>
    <n v="8"/>
    <n v="133"/>
    <n v="93"/>
    <n v="50"/>
    <m/>
    <n v="10"/>
    <n v="66.25"/>
    <e v="#REF!"/>
    <e v="#REF!"/>
    <n v="498.12030075187971"/>
    <n v="0"/>
    <n v="13"/>
    <n v="1.325"/>
    <n v="1200"/>
    <n v="1.3"/>
    <n v="2498"/>
    <n v="2881"/>
    <n v="2446"/>
    <n v="165492.5"/>
    <n v="0"/>
    <n v="31798"/>
    <n v="197290.5"/>
    <n v="1500"/>
    <n v="1483.3872180451128"/>
  </r>
  <r>
    <d v="2025-12-14T00:00:00"/>
    <x v="13"/>
    <s v="3(TARDE)"/>
    <n v="3"/>
    <s v="FINAL TURNO 2"/>
    <n v="665"/>
    <n v="7"/>
    <n v="139"/>
    <n v="97"/>
    <n v="50"/>
    <m/>
    <n v="10"/>
    <n v="66.25"/>
    <e v="#REF!"/>
    <e v="#REF!"/>
    <n v="476.61870503597123"/>
    <n v="0"/>
    <n v="13"/>
    <n v="1.325"/>
    <n v="1200"/>
    <n v="1.3"/>
    <n v="2498"/>
    <n v="2881"/>
    <n v="2446"/>
    <n v="165492.5"/>
    <n v="0"/>
    <n v="31798"/>
    <n v="197290.5"/>
    <n v="1500"/>
    <n v="1419.3561151079136"/>
  </r>
  <r>
    <d v="2025-12-15T00:00:00"/>
    <x v="14"/>
    <s v="1 (NOCHE)"/>
    <n v="1"/>
    <s v="FINAL TURNO 3"/>
    <n v="7000"/>
    <n v="7"/>
    <n v="119"/>
    <n v="84"/>
    <n v="50"/>
    <m/>
    <n v="10"/>
    <n v="66.25"/>
    <e v="#REF!"/>
    <e v="#REF!"/>
    <n v="556.72268907563023"/>
    <n v="0"/>
    <n v="13"/>
    <n v="1.325"/>
    <n v="1200"/>
    <n v="1.3"/>
    <n v="2498"/>
    <n v="2881"/>
    <n v="2446"/>
    <n v="165492.5"/>
    <n v="0"/>
    <n v="31798"/>
    <n v="197290.5"/>
    <n v="1500"/>
    <n v="1657.9033613445379"/>
  </r>
  <r>
    <d v="2025-12-15T00:00:00"/>
    <x v="14"/>
    <s v="2 (MAÑANA)"/>
    <n v="2"/>
    <s v="FINAL TURNO 1"/>
    <n v="6450"/>
    <n v="7"/>
    <n v="228"/>
    <n v="152"/>
    <n v="50"/>
    <m/>
    <n v="10"/>
    <n v="66.25"/>
    <e v="#REF!"/>
    <e v="#REF!"/>
    <n v="290.57017543859649"/>
    <n v="0"/>
    <n v="13"/>
    <n v="1.325"/>
    <n v="1200"/>
    <n v="1.3"/>
    <n v="2498"/>
    <n v="2881"/>
    <n v="2446"/>
    <n v="165492.5"/>
    <n v="0"/>
    <n v="31798"/>
    <n v="197290.5"/>
    <n v="1500"/>
    <n v="865.30921052631584"/>
  </r>
  <r>
    <d v="2025-12-15T00:00:00"/>
    <x v="14"/>
    <s v="3(TARDE)"/>
    <n v="3"/>
    <s v="FINAL TURNO 2"/>
    <n v="6080"/>
    <n v="5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5-12-16T00:00:00"/>
    <x v="15"/>
    <s v="1 (NOCHE)"/>
    <n v="1"/>
    <s v="FINAL TURNO 3"/>
    <n v="5710"/>
    <n v="6"/>
    <n v="53"/>
    <n v="32"/>
    <n v="50"/>
    <m/>
    <m/>
    <n v="66.25"/>
    <e v="#REF!"/>
    <e v="#REF!"/>
    <n v="1250"/>
    <n v="0"/>
    <n v="0"/>
    <n v="1.325"/>
    <n v="1200"/>
    <n v="1.3"/>
    <n v="2498"/>
    <n v="2881"/>
    <n v="2446"/>
    <n v="165492.5"/>
    <n v="0"/>
    <n v="0"/>
    <n v="165492.5"/>
    <n v="1500"/>
    <n v="3122.5"/>
  </r>
  <r>
    <d v="2025-12-16T00:00:00"/>
    <x v="15"/>
    <s v="2 (MAÑANA)"/>
    <n v="2"/>
    <s v="FINAL TURNO 1"/>
    <n v="5590"/>
    <n v="2"/>
    <n v="104"/>
    <n v="73"/>
    <n v="50"/>
    <m/>
    <m/>
    <n v="66.25"/>
    <e v="#REF!"/>
    <e v="#REF!"/>
    <n v="637.01923076923072"/>
    <n v="0"/>
    <n v="0"/>
    <n v="1.325"/>
    <n v="1200"/>
    <n v="1.3"/>
    <n v="2498"/>
    <n v="2881"/>
    <n v="2446"/>
    <n v="165492.5"/>
    <n v="0"/>
    <n v="0"/>
    <n v="165492.5"/>
    <n v="1500"/>
    <n v="1591.2740384615386"/>
  </r>
  <r>
    <d v="2025-12-16T00:00:00"/>
    <x v="15"/>
    <s v="3(TARDE)"/>
    <n v="3"/>
    <s v="FINAL TURNO 2"/>
    <n v="5360"/>
    <n v="0"/>
    <n v="105"/>
    <n v="63"/>
    <n v="50"/>
    <m/>
    <m/>
    <n v="66.25"/>
    <e v="#REF!"/>
    <e v="#REF!"/>
    <n v="630.95238095238096"/>
    <n v="0"/>
    <n v="0"/>
    <n v="1.325"/>
    <n v="1200"/>
    <n v="1.3"/>
    <n v="2498"/>
    <n v="2881"/>
    <n v="2446"/>
    <n v="165492.5"/>
    <n v="0"/>
    <n v="0"/>
    <n v="165492.5"/>
    <n v="1500"/>
    <n v="1576.1190476190477"/>
  </r>
  <r>
    <d v="2025-12-17T00:00:00"/>
    <x v="16"/>
    <s v="1 (NOCHE)"/>
    <n v="1"/>
    <s v="FINAL TURNO 3"/>
    <n v="5360"/>
    <n v="0"/>
    <n v="109"/>
    <n v="68"/>
    <n v="50"/>
    <m/>
    <n v="10"/>
    <n v="66.25"/>
    <e v="#REF!"/>
    <e v="#REF!"/>
    <n v="607.79816513761466"/>
    <n v="0"/>
    <n v="13"/>
    <n v="1.325"/>
    <n v="1200"/>
    <n v="1.3"/>
    <n v="2498"/>
    <n v="2881"/>
    <n v="2446"/>
    <n v="165492.5"/>
    <n v="0"/>
    <n v="31798"/>
    <n v="197290.5"/>
    <n v="1500"/>
    <n v="1810.0045871559632"/>
  </r>
  <r>
    <d v="2025-12-17T00:00:00"/>
    <x v="16"/>
    <s v="2 (MAÑANA)"/>
    <n v="2"/>
    <s v="FINAL TURNO 1"/>
    <n v="5050"/>
    <n v="8"/>
    <n v="120"/>
    <n v="77"/>
    <n v="50"/>
    <m/>
    <n v="10"/>
    <n v="66.25"/>
    <e v="#REF!"/>
    <e v="#REF!"/>
    <n v="552.08333333333337"/>
    <n v="0"/>
    <n v="13"/>
    <n v="1.325"/>
    <n v="1200"/>
    <n v="1.3"/>
    <n v="2498"/>
    <n v="2881"/>
    <n v="2446"/>
    <n v="165492.5"/>
    <n v="0"/>
    <n v="31798"/>
    <n v="197290.5"/>
    <n v="1500"/>
    <n v="1644.0875000000001"/>
  </r>
  <r>
    <d v="2025-12-17T00:00:00"/>
    <x v="16"/>
    <s v="3(TARDE)"/>
    <n v="3"/>
    <s v="FINAL TURNO 2"/>
    <n v="4710"/>
    <n v="8"/>
    <n v="125"/>
    <n v="81"/>
    <n v="50"/>
    <m/>
    <n v="10"/>
    <n v="66.25"/>
    <e v="#REF!"/>
    <e v="#REF!"/>
    <n v="530"/>
    <n v="0"/>
    <n v="13"/>
    <n v="1.325"/>
    <n v="1200"/>
    <n v="1.3"/>
    <n v="2498"/>
    <n v="2881"/>
    <n v="2446"/>
    <n v="165492.5"/>
    <n v="0"/>
    <n v="31798"/>
    <n v="197290.5"/>
    <n v="1500"/>
    <n v="1578.3240000000001"/>
  </r>
  <r>
    <d v="2025-12-18T00:00:00"/>
    <x v="17"/>
    <s v="1 (NOCHE)"/>
    <n v="1"/>
    <s v="FINAL TURNO 3"/>
    <n v="4350"/>
    <n v="0"/>
    <n v="99"/>
    <n v="63"/>
    <n v="50"/>
    <m/>
    <n v="10"/>
    <n v="66.25"/>
    <e v="#REF!"/>
    <e v="#REF!"/>
    <n v="669.19191919191917"/>
    <n v="0"/>
    <n v="13"/>
    <n v="1.325"/>
    <n v="1200"/>
    <n v="1.3"/>
    <n v="2498"/>
    <n v="2881"/>
    <n v="2446"/>
    <n v="165492.5"/>
    <n v="0"/>
    <n v="31798"/>
    <n v="197290.5"/>
    <n v="1500"/>
    <n v="1992.8333333333333"/>
  </r>
  <r>
    <d v="2025-12-18T00:00:00"/>
    <x v="17"/>
    <s v="2 (MAÑANA)"/>
    <n v="2"/>
    <s v="FINAL TURNO 1"/>
    <n v="3980"/>
    <n v="8"/>
    <n v="102.5"/>
    <n v="73.5"/>
    <n v="50"/>
    <m/>
    <n v="10"/>
    <n v="66.25"/>
    <e v="#REF!"/>
    <e v="#REF!"/>
    <n v="646.34146341463418"/>
    <n v="0"/>
    <n v="13"/>
    <n v="1.325"/>
    <n v="1200"/>
    <n v="1.3"/>
    <n v="2498"/>
    <n v="2881"/>
    <n v="2446"/>
    <n v="165492.5"/>
    <n v="0"/>
    <n v="31798"/>
    <n v="197290.5"/>
    <n v="1500"/>
    <n v="1924.7853658536585"/>
  </r>
  <r>
    <d v="2025-12-18T00:00:00"/>
    <x v="17"/>
    <s v="3(TARDE)"/>
    <n v="3"/>
    <s v="FINAL TURNO 2"/>
    <n v="3820"/>
    <n v="8"/>
    <n v="102.5"/>
    <n v="73.5"/>
    <n v="50"/>
    <m/>
    <n v="10"/>
    <n v="66.25"/>
    <e v="#REF!"/>
    <e v="#REF!"/>
    <n v="646.34146341463418"/>
    <n v="0"/>
    <n v="13"/>
    <n v="1.325"/>
    <n v="1200"/>
    <n v="1.3"/>
    <n v="2498"/>
    <n v="2881"/>
    <n v="2446"/>
    <n v="165492.5"/>
    <n v="0"/>
    <n v="31798"/>
    <n v="197290.5"/>
    <n v="1500"/>
    <n v="1924.7853658536585"/>
  </r>
  <r>
    <d v="2025-12-19T00:00:00"/>
    <x v="18"/>
    <s v="1 (NOCHE)"/>
    <n v="1"/>
    <s v="FINAL TURNO 3"/>
    <n v="3490"/>
    <n v="0"/>
    <n v="133"/>
    <n v="9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9T00:00:00"/>
    <x v="18"/>
    <s v="2 (MAÑANA)"/>
    <n v="2"/>
    <s v="FINAL TURNO 1"/>
    <n v="3200"/>
    <n v="8"/>
    <n v="88"/>
    <n v="62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9T00:00:00"/>
    <x v="18"/>
    <s v="3(TARDE)"/>
    <n v="3"/>
    <s v="FINAL TURNO 2"/>
    <n v="2960"/>
    <n v="8"/>
    <n v="125"/>
    <n v="8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0T00:00:00"/>
    <x v="19"/>
    <s v="1 (NOCHE)"/>
    <n v="1"/>
    <s v="FINAL TURNO 3"/>
    <n v="2620"/>
    <n v="6"/>
    <n v="136"/>
    <n v="9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0T00:00:00"/>
    <x v="19"/>
    <s v="2 (MAÑANA)"/>
    <n v="2"/>
    <s v="FINAL TURNO 1"/>
    <n v="2260"/>
    <n v="8"/>
    <n v="135"/>
    <n v="97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0T00:00:00"/>
    <x v="19"/>
    <s v="3(TARDE)"/>
    <n v="3"/>
    <s v="FINAL TURNO 2"/>
    <n v="1910"/>
    <n v="8"/>
    <n v="77"/>
    <n v="5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1T00:00:00"/>
    <x v="20"/>
    <s v="1 (NOCHE)"/>
    <n v="1"/>
    <s v="FINAL TURNO 3"/>
    <n v="1400"/>
    <n v="6"/>
    <n v="97"/>
    <n v="7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1T00:00:00"/>
    <x v="20"/>
    <s v="2 (MAÑANA)"/>
    <n v="2"/>
    <s v="FINAL TURNO 1"/>
    <n v="1020"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1T00:00:00"/>
    <x v="20"/>
    <s v="3(TARDE)"/>
    <n v="3"/>
    <s v="FINAL TURNO 2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2T00:00:00"/>
    <x v="21"/>
    <s v="1 (NOCHE)"/>
    <n v="1"/>
    <s v="FINAL TURNO 3"/>
    <m/>
    <n v="0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5-12-22T00:00:00"/>
    <x v="21"/>
    <s v="2 (MAÑANA)"/>
    <n v="2"/>
    <s v="FINAL TURNO 1"/>
    <m/>
    <n v="8"/>
    <n v="132"/>
    <n v="95"/>
    <n v="50"/>
    <m/>
    <n v="10"/>
    <n v="66.25"/>
    <e v="#REF!"/>
    <e v="#REF!"/>
    <n v="501.89393939393938"/>
    <n v="0"/>
    <n v="13"/>
    <n v="1.325"/>
    <n v="1200"/>
    <n v="1.3"/>
    <n v="2498"/>
    <n v="2881"/>
    <n v="2446"/>
    <n v="165492.5"/>
    <n v="0"/>
    <n v="31798"/>
    <n v="197290.5"/>
    <n v="1500"/>
    <n v="1494.625"/>
  </r>
  <r>
    <d v="2025-12-22T00:00:00"/>
    <x v="21"/>
    <s v="3(TARDE)"/>
    <n v="3"/>
    <s v="FINAL TURNO 2"/>
    <m/>
    <n v="8"/>
    <n v="122"/>
    <n v="89"/>
    <n v="50"/>
    <m/>
    <n v="10"/>
    <n v="66.25"/>
    <e v="#REF!"/>
    <e v="#REF!"/>
    <n v="543.03278688524586"/>
    <n v="0"/>
    <n v="13"/>
    <n v="1.325"/>
    <n v="1200"/>
    <n v="1.3"/>
    <n v="2498"/>
    <n v="2881"/>
    <n v="2446"/>
    <n v="165492.5"/>
    <n v="0"/>
    <n v="31798"/>
    <n v="197290.5"/>
    <n v="1500"/>
    <n v="1617.1352459016393"/>
  </r>
  <r>
    <d v="2025-12-23T00:00:00"/>
    <x v="22"/>
    <s v="1 (NOCHE)"/>
    <n v="1"/>
    <s v="FINAL TURNO 3"/>
    <m/>
    <n v="0"/>
    <n v="135"/>
    <n v="98"/>
    <n v="50"/>
    <m/>
    <m/>
    <n v="66.25"/>
    <e v="#REF!"/>
    <e v="#REF!"/>
    <n v="490.74074074074076"/>
    <n v="0"/>
    <n v="0"/>
    <n v="1.325"/>
    <n v="1200"/>
    <n v="1.3"/>
    <n v="2498"/>
    <n v="2881"/>
    <n v="2446"/>
    <n v="165492.5"/>
    <n v="0"/>
    <n v="0"/>
    <n v="165492.5"/>
    <n v="1500"/>
    <n v="1225.8703703703704"/>
  </r>
  <r>
    <d v="2025-12-23T00:00:00"/>
    <x v="22"/>
    <s v="2 (MAÑANA)"/>
    <n v="2"/>
    <s v="FINAL TURNO 1"/>
    <m/>
    <n v="0"/>
    <n v="123"/>
    <n v="88"/>
    <n v="50"/>
    <m/>
    <m/>
    <n v="66.25"/>
    <e v="#REF!"/>
    <e v="#REF!"/>
    <n v="538.6178861788618"/>
    <n v="0"/>
    <n v="0"/>
    <n v="1.325"/>
    <n v="1200"/>
    <n v="1.3"/>
    <n v="2498"/>
    <n v="2881"/>
    <n v="2446"/>
    <n v="165492.5"/>
    <n v="0"/>
    <n v="0"/>
    <n v="165492.5"/>
    <n v="1500"/>
    <n v="1345.4674796747968"/>
  </r>
  <r>
    <d v="2025-12-23T00:00:00"/>
    <x v="22"/>
    <s v="3(TARDE)"/>
    <n v="3"/>
    <s v="FINAL TURNO 2"/>
    <m/>
    <n v="0"/>
    <n v="124"/>
    <n v="94"/>
    <n v="50"/>
    <m/>
    <m/>
    <n v="66.25"/>
    <e v="#REF!"/>
    <n v="0"/>
    <n v="534.27419354838707"/>
    <n v="0"/>
    <n v="0"/>
    <n v="1.325"/>
    <n v="1200"/>
    <n v="1.3"/>
    <n v="2498"/>
    <n v="2881"/>
    <n v="2446"/>
    <n v="165492.5"/>
    <n v="0"/>
    <n v="0"/>
    <n v="165492.5"/>
    <n v="1500"/>
    <n v="1334.616935483871"/>
  </r>
  <r>
    <d v="2025-12-24T00:00:00"/>
    <x v="23"/>
    <s v="1 (NOCHE)"/>
    <n v="1"/>
    <s v="FINAL TURNO 3"/>
    <m/>
    <n v="0"/>
    <n v="127"/>
    <n v="92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4T00:00:00"/>
    <x v="23"/>
    <s v="2 (MAÑANA)"/>
    <n v="2"/>
    <s v="FINAL TURNO 1"/>
    <m/>
    <n v="0"/>
    <n v="96"/>
    <n v="6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4T00:00:00"/>
    <x v="23"/>
    <s v="3(TARDE)"/>
    <n v="3"/>
    <s v="FINAL TURNO 2"/>
    <m/>
    <n v="0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5T00:00:00"/>
    <x v="24"/>
    <s v="1 (NOCHE)"/>
    <n v="1"/>
    <s v="FINAL TURNO 3"/>
    <m/>
    <n v="6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5T00:00:00"/>
    <x v="24"/>
    <s v="2 (MAÑANA)"/>
    <n v="2"/>
    <s v="FINAL TURNO 1"/>
    <m/>
    <n v="4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5T00:00:00"/>
    <x v="24"/>
    <s v="3(TARDE)"/>
    <n v="3"/>
    <s v="FINAL TURNO 2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6T00:00:00"/>
    <x v="25"/>
    <s v="1 (NOCHE)"/>
    <n v="1"/>
    <s v="FINAL TURNO 3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6T00:00:00"/>
    <x v="25"/>
    <s v="2 (MAÑANA)"/>
    <n v="2"/>
    <s v="FINAL TURNO 1"/>
    <m/>
    <n v="6"/>
    <n v="28"/>
    <n v="2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6T00:00:00"/>
    <x v="25"/>
    <s v="3(TARDE)"/>
    <n v="3"/>
    <s v="FINAL TURNO 2"/>
    <m/>
    <n v="8"/>
    <n v="126"/>
    <n v="94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7T00:00:00"/>
    <x v="26"/>
    <s v="1 (NOCHE)"/>
    <n v="1"/>
    <s v="FINAL TURNO 3"/>
    <m/>
    <n v="4"/>
    <n v="111"/>
    <n v="83"/>
    <n v="50"/>
    <m/>
    <n v="10"/>
    <n v="66.25"/>
    <e v="#REF!"/>
    <e v="#REF!"/>
    <n v="596.8468468468468"/>
    <n v="0"/>
    <n v="13"/>
    <n v="1.325"/>
    <n v="1200"/>
    <n v="1.3"/>
    <n v="2498"/>
    <n v="2881"/>
    <n v="2446"/>
    <n v="165492.5"/>
    <n v="0"/>
    <n v="31798"/>
    <n v="197290.5"/>
    <n v="1500"/>
    <n v="1777.3918918918919"/>
  </r>
  <r>
    <d v="2025-12-27T00:00:00"/>
    <x v="26"/>
    <s v="2 (MAÑANA)"/>
    <n v="2"/>
    <s v="FINAL TURNO 1"/>
    <m/>
    <n v="6"/>
    <n v="94"/>
    <n v="67"/>
    <n v="50"/>
    <m/>
    <n v="10"/>
    <n v="66.25"/>
    <e v="#REF!"/>
    <e v="#REF!"/>
    <n v="704.78723404255322"/>
    <n v="0"/>
    <n v="13"/>
    <n v="1.325"/>
    <n v="1200"/>
    <n v="1.3"/>
    <n v="2498"/>
    <n v="2881"/>
    <n v="2446"/>
    <n v="165492.5"/>
    <n v="0"/>
    <n v="31798"/>
    <n v="197290.5"/>
    <n v="1500"/>
    <n v="2098.8351063829787"/>
  </r>
  <r>
    <d v="2025-12-27T00:00:00"/>
    <x v="26"/>
    <s v="3(TARDE)"/>
    <n v="3"/>
    <s v="FINAL TURNO 2"/>
    <m/>
    <n v="6"/>
    <n v="96"/>
    <n v="73"/>
    <n v="50"/>
    <m/>
    <n v="10"/>
    <n v="66.25"/>
    <e v="#REF!"/>
    <e v="#REF!"/>
    <n v="690.10416666666663"/>
    <n v="0"/>
    <n v="13"/>
    <n v="1.325"/>
    <n v="1200"/>
    <n v="1.3"/>
    <n v="2498"/>
    <n v="2881"/>
    <n v="2446"/>
    <n v="165492.5"/>
    <n v="0"/>
    <n v="31798"/>
    <n v="197290.5"/>
    <n v="1500"/>
    <n v="2055.109375"/>
  </r>
  <r>
    <d v="2025-12-28T00:00:00"/>
    <x v="27"/>
    <s v="1 (NOCHE)"/>
    <n v="1"/>
    <s v="FINAL TURNO 3"/>
    <m/>
    <n v="8"/>
    <n v="110"/>
    <n v="8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8T00:00:00"/>
    <x v="27"/>
    <s v="2 (MAÑANA)"/>
    <n v="2"/>
    <s v="FINAL TURNO 1"/>
    <m/>
    <n v="8"/>
    <n v="114"/>
    <n v="86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8T00:00:00"/>
    <x v="27"/>
    <s v="3(TARDE)"/>
    <n v="3"/>
    <s v="FINAL TURNO 2"/>
    <m/>
    <n v="6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9T00:00:00"/>
    <x v="28"/>
    <s v="1 (NOCHE)"/>
    <n v="1"/>
    <s v="FINAL TURNO 3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9T00:00:00"/>
    <x v="28"/>
    <s v="2 (MAÑANA)"/>
    <n v="2"/>
    <s v="FINAL TURNO 1"/>
    <m/>
    <n v="8"/>
    <n v="120"/>
    <n v="86"/>
    <n v="50"/>
    <m/>
    <m/>
    <n v="66.25"/>
    <e v="#REF!"/>
    <e v="#REF!"/>
    <n v="552.08333333333337"/>
    <n v="0"/>
    <n v="0"/>
    <n v="1.325"/>
    <n v="1200"/>
    <n v="1.3"/>
    <n v="2498"/>
    <n v="2881"/>
    <n v="2446"/>
    <n v="165492.5"/>
    <n v="0"/>
    <n v="0"/>
    <n v="165492.5"/>
    <n v="1500"/>
    <n v="1379.1041666666667"/>
  </r>
  <r>
    <d v="2025-12-29T00:00:00"/>
    <x v="28"/>
    <s v="3(TARDE)"/>
    <n v="3"/>
    <s v="FINAL TURNO 2"/>
    <m/>
    <n v="6"/>
    <n v="129"/>
    <n v="100"/>
    <n v="50"/>
    <m/>
    <m/>
    <n v="66.25"/>
    <e v="#REF!"/>
    <e v="#REF!"/>
    <n v="513.5658914728682"/>
    <n v="0"/>
    <n v="0"/>
    <n v="1.325"/>
    <n v="1200"/>
    <n v="1.3"/>
    <n v="2498"/>
    <n v="2881"/>
    <n v="2446"/>
    <n v="165492.5"/>
    <n v="0"/>
    <n v="0"/>
    <n v="165492.5"/>
    <n v="1500"/>
    <n v="1282.8875968992247"/>
  </r>
  <r>
    <d v="2025-12-30T00:00:00"/>
    <x v="29"/>
    <s v="1 (NOCHE)"/>
    <n v="1"/>
    <s v="FINAL TURNO 3"/>
    <m/>
    <n v="7"/>
    <n v="121"/>
    <n v="89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30T00:00:00"/>
    <x v="29"/>
    <s v="2 (MAÑANA)"/>
    <n v="2"/>
    <s v="FINAL TURNO 1"/>
    <m/>
    <n v="0"/>
    <n v="88"/>
    <n v="66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30T00:00:00"/>
    <x v="29"/>
    <s v="3(TARDE)"/>
    <n v="3"/>
    <s v="FINAL TURNO 2"/>
    <m/>
    <n v="0"/>
    <n v="58.5"/>
    <n v="43.5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31T00:00:00"/>
    <x v="30"/>
    <s v="1 (NOCHE)"/>
    <n v="1"/>
    <s v="FINAL TURNO 3"/>
    <m/>
    <n v="5"/>
    <n v="58.5"/>
    <n v="43.5"/>
    <n v="50"/>
    <m/>
    <m/>
    <n v="66.25"/>
    <e v="#REF!"/>
    <e v="#REF!"/>
    <n v="1132.4786324786326"/>
    <n v="0"/>
    <n v="0"/>
    <n v="1.325"/>
    <n v="1200"/>
    <n v="1.3"/>
    <n v="2498"/>
    <n v="2881"/>
    <n v="2446"/>
    <n v="165492.5"/>
    <n v="0"/>
    <n v="0"/>
    <n v="165492.5"/>
    <n v="1500"/>
    <n v="2828.931623931624"/>
  </r>
  <r>
    <d v="2025-12-31T00:00:00"/>
    <x v="30"/>
    <s v="2 (MAÑANA)"/>
    <n v="2"/>
    <s v="FINAL TURNO 1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31T00:00:00"/>
    <x v="30"/>
    <s v="3(TARDE)"/>
    <n v="3"/>
    <s v="FINAL TURNO 2"/>
    <m/>
    <m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F6037-47A1-4AE1-A7F1-23E8650300D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A1:E33" firstHeaderRow="0" firstDataRow="1" firstDataCol="1"/>
  <pivotFields count="30">
    <pivotField numFmtId="14" showAll="0"/>
    <pivotField axis="axisRow" numFmtI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167" showAll="0"/>
    <pivotField numFmtId="166" showAll="0"/>
    <pivotField numFmtId="166" showAll="0"/>
    <pivotField numFmtId="166" showAll="0"/>
    <pivotField numFmtId="166" showAll="0"/>
    <pivotField numFmtId="166" showAll="0"/>
    <pivotField numFmtId="168" showAll="0"/>
    <pivotField numFmtId="166" showAll="0"/>
    <pivotField dataField="1" numFmtId="166"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OL. ENVIADO A TK RECIRCULACIÓN (m3)" fld="8" baseField="1" baseItem="0"/>
    <dataField name="VOL. TOTAL TRATADO PTAP (m3)" fld="7" baseField="1" baseItem="0"/>
    <dataField name="Promedio de LIMITE INDICADOR M3" fld="28" subtotal="average" baseField="1" baseItem="0" numFmtId="166"/>
    <dataField name="Suma de $ m3 tratado" fld="29" baseField="1" baseItem="0" numFmtId="1"/>
  </dataFields>
  <formats count="14">
    <format dxfId="1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8BE4B-C9FD-4476-A90A-AA0DCB42B782}" name="Tabla2" displayName="Tabla2" ref="A1:T25" totalsRowShown="0" headerRowDxfId="4">
  <autoFilter ref="A1:T25" xr:uid="{7108BE4B-C9FD-4476-A90A-AA0DCB42B782}"/>
  <tableColumns count="20">
    <tableColumn id="1" xr3:uid="{E8A8CA81-7D5C-435A-9F77-FE14FD7544DF}" name="FECHA" dataDxfId="3"/>
    <tableColumn id="2" xr3:uid="{3D6085D1-20EC-495B-AA16-3A197AC416D8}" name="TURNO"/>
    <tableColumn id="3" xr3:uid="{6E10FA2D-2A58-4A67-949F-8611B484B62C}" name="PH_x000a_IN"/>
    <tableColumn id="4" xr3:uid="{DF5F154A-EF93-4D45-9054-3BA84EA55880}" name="TEMP_x000a_IN"/>
    <tableColumn id="5" xr3:uid="{F81B85C3-C38C-43C3-B475-564E538C5F7C}" name="TURBIDEZ_x000a_IN"/>
    <tableColumn id="6" xr3:uid="{C9686738-3177-40DF-A339-3CA657BDBF74}" name="COLOR_x000a_IN"/>
    <tableColumn id="7" xr3:uid="{9C5E04CB-5C04-445C-ADF1-9065CC0C92D8}" name="TDS_x000a_IN"/>
    <tableColumn id="8" xr3:uid="{346A2388-108F-43F8-82B1-495DD024363B}" name="CONDU_x000a_IN"/>
    <tableColumn id="9" xr3:uid="{4D0B9B2E-B9C6-4AC7-86A3-B918F69A0F92}" name="SST_x000a_IN"/>
    <tableColumn id="10" xr3:uid="{AC2CFAF2-DF76-4AC7-A6B7-610E0B475AF2}" name="DUREZA_x000a_IN"/>
    <tableColumn id="11" xr3:uid="{1D3C2CBE-733A-471D-9948-9E8E0A48FD30}" name="HIERRO_x000a_IN"/>
    <tableColumn id="12" xr3:uid="{3DD98A49-7E80-4541-90DE-ED574CAC2ADE}" name="PH_x000a_OUT"/>
    <tableColumn id="13" xr3:uid="{D0E3E0F4-1B8A-4195-93A1-8B2AFCB14B2F}" name="TEMP_x000a_OUT"/>
    <tableColumn id="14" xr3:uid="{4A2B7A7F-D403-4E5F-B2C3-A6030D7F6CC3}" name="TURBIDEZ_x000a_OUT"/>
    <tableColumn id="15" xr3:uid="{6071245A-B793-4E40-B786-1BF556FD7DAE}" name="COLOR_x000a_OUT"/>
    <tableColumn id="16" xr3:uid="{75B66653-6C51-4885-A27D-839EE6988ED5}" name="TDS_x000a_OUT"/>
    <tableColumn id="17" xr3:uid="{8194F9EB-F9EC-4222-A7E4-F19467127CC7}" name="CONDU_x000a_OUT"/>
    <tableColumn id="18" xr3:uid="{3A2DCA76-7BF6-4D2D-A3CB-DEE6D16CB44B}" name="SST_x000a_OUT"/>
    <tableColumn id="19" xr3:uid="{CA9FA6A2-07E8-4E7E-8701-8CBAB5DF41FE}" name="DUREZA_x000a_OUT"/>
    <tableColumn id="20" xr3:uid="{9127FFB1-BCEB-4042-876D-AA46F387F8D9}" name="HIERRO_x000a_O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F393-8BD5-4255-8B72-9CD80552197C}">
  <dimension ref="A1:AG95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80" sqref="K80"/>
    </sheetView>
  </sheetViews>
  <sheetFormatPr baseColWidth="10" defaultRowHeight="14.3" x14ac:dyDescent="0.25"/>
  <cols>
    <col min="2" max="2" width="11.375" style="4"/>
    <col min="4" max="4" width="11" style="4"/>
    <col min="5" max="5" width="14" customWidth="1"/>
    <col min="6" max="7" width="11.375" hidden="1" customWidth="1"/>
    <col min="8" max="8" width="13.625" bestFit="1" customWidth="1"/>
    <col min="9" max="9" width="16" customWidth="1"/>
    <col min="10" max="12" width="13.125" customWidth="1"/>
    <col min="14" max="16" width="11.375" hidden="1" customWidth="1"/>
    <col min="17" max="18" width="11.375" customWidth="1"/>
    <col min="19" max="24" width="11.375" hidden="1" customWidth="1"/>
    <col min="25" max="25" width="11.875" bestFit="1" customWidth="1"/>
    <col min="28" max="28" width="11.875" bestFit="1" customWidth="1"/>
    <col min="30" max="30" width="14" customWidth="1"/>
    <col min="31" max="31" width="13.5" customWidth="1"/>
  </cols>
  <sheetData>
    <row r="1" spans="1:31" ht="57.75" thickBot="1" x14ac:dyDescent="0.3">
      <c r="A1" s="40" t="s">
        <v>0</v>
      </c>
      <c r="B1" s="41" t="s">
        <v>29</v>
      </c>
      <c r="C1" s="42" t="s">
        <v>30</v>
      </c>
      <c r="D1" s="43" t="s">
        <v>31</v>
      </c>
      <c r="E1" s="42" t="s">
        <v>32</v>
      </c>
      <c r="F1" s="44" t="s">
        <v>33</v>
      </c>
      <c r="G1" s="45" t="s">
        <v>50</v>
      </c>
      <c r="H1" s="46" t="s">
        <v>52</v>
      </c>
      <c r="I1" s="46" t="s">
        <v>66</v>
      </c>
      <c r="J1" s="6" t="s">
        <v>34</v>
      </c>
      <c r="K1" s="6" t="s">
        <v>56</v>
      </c>
      <c r="L1" s="6" t="s">
        <v>62</v>
      </c>
      <c r="M1" s="47" t="s">
        <v>35</v>
      </c>
      <c r="N1" s="47" t="s">
        <v>36</v>
      </c>
      <c r="O1" s="48" t="s">
        <v>37</v>
      </c>
      <c r="P1" s="49" t="s">
        <v>38</v>
      </c>
      <c r="Q1" s="47" t="s">
        <v>59</v>
      </c>
      <c r="R1" s="47" t="s">
        <v>65</v>
      </c>
      <c r="S1" s="50" t="s">
        <v>39</v>
      </c>
      <c r="T1" s="50" t="s">
        <v>57</v>
      </c>
      <c r="U1" s="50" t="s">
        <v>63</v>
      </c>
      <c r="V1" s="50" t="s">
        <v>40</v>
      </c>
      <c r="W1" s="50" t="s">
        <v>58</v>
      </c>
      <c r="X1" s="50" t="s">
        <v>61</v>
      </c>
      <c r="Y1" s="51" t="s">
        <v>41</v>
      </c>
      <c r="Z1" s="51" t="s">
        <v>60</v>
      </c>
      <c r="AA1" s="51" t="s">
        <v>64</v>
      </c>
      <c r="AB1" s="52" t="s">
        <v>42</v>
      </c>
      <c r="AC1" s="52" t="s">
        <v>43</v>
      </c>
      <c r="AD1" s="53" t="s">
        <v>68</v>
      </c>
      <c r="AE1" s="53" t="s">
        <v>69</v>
      </c>
    </row>
    <row r="2" spans="1:31" s="68" customFormat="1" x14ac:dyDescent="0.25">
      <c r="A2" s="60">
        <v>45992</v>
      </c>
      <c r="B2" s="61">
        <f>DAY(A2)</f>
        <v>1</v>
      </c>
      <c r="C2" s="62" t="s">
        <v>44</v>
      </c>
      <c r="D2" s="63">
        <v>1</v>
      </c>
      <c r="E2" s="62" t="s">
        <v>45</v>
      </c>
      <c r="F2" s="64">
        <v>400</v>
      </c>
      <c r="G2" s="65">
        <v>0</v>
      </c>
      <c r="H2" s="54"/>
      <c r="I2" s="54"/>
      <c r="J2" s="86"/>
      <c r="K2" s="86"/>
      <c r="L2" s="86"/>
      <c r="M2" s="62">
        <f>(J2*$S$2)</f>
        <v>0</v>
      </c>
      <c r="N2" s="64">
        <f>(M2*$S$2)/1000000</f>
        <v>0</v>
      </c>
      <c r="O2" s="66">
        <f>(N2*$S$2)/1000000</f>
        <v>0</v>
      </c>
      <c r="P2" s="65">
        <f>(O2*$S$2)/1000000</f>
        <v>0</v>
      </c>
      <c r="Q2" s="62">
        <f>(K2*$T$2)</f>
        <v>0</v>
      </c>
      <c r="R2" s="62">
        <f>(L2*$U$2)</f>
        <v>0</v>
      </c>
      <c r="S2" s="64">
        <v>1.325</v>
      </c>
      <c r="T2" s="66">
        <v>1.2</v>
      </c>
      <c r="U2" s="66">
        <v>1.3</v>
      </c>
      <c r="V2" s="66">
        <v>2498</v>
      </c>
      <c r="W2" s="66">
        <v>2881</v>
      </c>
      <c r="X2" s="65">
        <v>2446</v>
      </c>
      <c r="Y2" s="62">
        <f t="shared" ref="Y2:Y33" si="0">M2*V2</f>
        <v>0</v>
      </c>
      <c r="Z2" s="62">
        <f>Q2*W2</f>
        <v>0</v>
      </c>
      <c r="AA2" s="62">
        <f>R2*X2</f>
        <v>0</v>
      </c>
      <c r="AB2" s="62">
        <f>+Y2+Z2+AA2</f>
        <v>0</v>
      </c>
      <c r="AC2" s="62">
        <v>1500</v>
      </c>
      <c r="AD2" s="62" t="e">
        <f>AB2/H2</f>
        <v>#DIV/0!</v>
      </c>
      <c r="AE2" s="67" t="e">
        <f>+AB2/I2</f>
        <v>#DIV/0!</v>
      </c>
    </row>
    <row r="3" spans="1:31" s="68" customFormat="1" ht="14.95" thickBot="1" x14ac:dyDescent="0.3">
      <c r="A3" s="69">
        <f>A2</f>
        <v>45992</v>
      </c>
      <c r="B3" s="70">
        <f t="shared" ref="B3:B66" si="1">DAY(A3)</f>
        <v>1</v>
      </c>
      <c r="C3" s="71" t="s">
        <v>46</v>
      </c>
      <c r="D3" s="72">
        <v>2</v>
      </c>
      <c r="E3" s="71" t="s">
        <v>47</v>
      </c>
      <c r="F3" s="73">
        <v>210</v>
      </c>
      <c r="G3" s="74">
        <v>0</v>
      </c>
      <c r="H3" s="55"/>
      <c r="I3" s="55"/>
      <c r="J3" s="87"/>
      <c r="K3" s="87"/>
      <c r="L3" s="87"/>
      <c r="M3" s="71">
        <f t="shared" ref="M3:M64" si="2">(J3*$S$2)</f>
        <v>0</v>
      </c>
      <c r="N3" s="73" t="e">
        <f>[2]!Tabla1[[#This Row],[CONSUMO POL ANIONICO (KG)]]</f>
        <v>#REF!</v>
      </c>
      <c r="O3" s="75" t="e">
        <f>[2]!Tabla1[[#This Row],[CONSUMO POL CATIONICO (KG)]]</f>
        <v>#REF!</v>
      </c>
      <c r="P3" s="74" t="e">
        <f t="shared" ref="P3:P33" si="3">(M3*1000)/H3</f>
        <v>#DIV/0!</v>
      </c>
      <c r="Q3" s="71">
        <f t="shared" ref="Q3:Q66" si="4">(K3*$T$2)</f>
        <v>0</v>
      </c>
      <c r="R3" s="71">
        <f t="shared" ref="R3:R66" si="5">(L3*$U$2)</f>
        <v>0</v>
      </c>
      <c r="S3" s="73">
        <v>1.325</v>
      </c>
      <c r="T3" s="75">
        <v>1200</v>
      </c>
      <c r="U3" s="75">
        <v>1.3</v>
      </c>
      <c r="V3" s="75">
        <v>2498</v>
      </c>
      <c r="W3" s="75">
        <v>2881</v>
      </c>
      <c r="X3" s="74">
        <v>2446</v>
      </c>
      <c r="Y3" s="71">
        <f t="shared" si="0"/>
        <v>0</v>
      </c>
      <c r="Z3" s="71">
        <f t="shared" ref="Z3:Z34" si="6">Q3*W3</f>
        <v>0</v>
      </c>
      <c r="AA3" s="71">
        <f t="shared" ref="AA3:AA66" si="7">R3*X3</f>
        <v>0</v>
      </c>
      <c r="AB3" s="71">
        <f t="shared" ref="AB3:AB66" si="8">+Y3+Z3+AA3</f>
        <v>0</v>
      </c>
      <c r="AC3" s="71">
        <v>1500</v>
      </c>
      <c r="AD3" s="71" t="e">
        <f t="shared" ref="AD3:AD66" si="9">AB3/H3</f>
        <v>#DIV/0!</v>
      </c>
      <c r="AE3" s="76" t="e">
        <f t="shared" ref="AE3:AE66" si="10">+AB3/I3</f>
        <v>#DIV/0!</v>
      </c>
    </row>
    <row r="4" spans="1:31" s="68" customFormat="1" ht="14.95" thickBot="1" x14ac:dyDescent="0.3">
      <c r="A4" s="77">
        <f>A3</f>
        <v>45992</v>
      </c>
      <c r="B4" s="78">
        <f t="shared" si="1"/>
        <v>1</v>
      </c>
      <c r="C4" s="79" t="s">
        <v>48</v>
      </c>
      <c r="D4" s="80">
        <v>3</v>
      </c>
      <c r="E4" s="79" t="s">
        <v>49</v>
      </c>
      <c r="F4" s="81">
        <v>0</v>
      </c>
      <c r="G4" s="82">
        <v>8</v>
      </c>
      <c r="H4" s="56"/>
      <c r="I4" s="56"/>
      <c r="J4" s="88"/>
      <c r="K4" s="88"/>
      <c r="L4" s="88"/>
      <c r="M4" s="79">
        <f t="shared" si="2"/>
        <v>0</v>
      </c>
      <c r="N4" s="81" t="e">
        <f>[2]!Tabla1[[#This Row],[CONSUMO POL ANIONICO (KG)]]</f>
        <v>#REF!</v>
      </c>
      <c r="O4" s="83" t="e">
        <f>[2]!Tabla1[[#This Row],[CONSUMO POL CATIONICO (KG)]]</f>
        <v>#REF!</v>
      </c>
      <c r="P4" s="82" t="e">
        <f t="shared" si="3"/>
        <v>#DIV/0!</v>
      </c>
      <c r="Q4" s="79">
        <f t="shared" si="4"/>
        <v>0</v>
      </c>
      <c r="R4" s="79">
        <f t="shared" si="5"/>
        <v>0</v>
      </c>
      <c r="S4" s="81">
        <v>1.325</v>
      </c>
      <c r="T4" s="83">
        <v>1200</v>
      </c>
      <c r="U4" s="83">
        <v>1.3</v>
      </c>
      <c r="V4" s="83">
        <v>2498</v>
      </c>
      <c r="W4" s="83">
        <v>2881</v>
      </c>
      <c r="X4" s="82">
        <v>2446</v>
      </c>
      <c r="Y4" s="79">
        <f t="shared" si="0"/>
        <v>0</v>
      </c>
      <c r="Z4" s="79">
        <f t="shared" si="6"/>
        <v>0</v>
      </c>
      <c r="AA4" s="79">
        <f t="shared" si="7"/>
        <v>0</v>
      </c>
      <c r="AB4" s="79">
        <f t="shared" si="8"/>
        <v>0</v>
      </c>
      <c r="AC4" s="79">
        <v>1500</v>
      </c>
      <c r="AD4" s="79" t="e">
        <f t="shared" si="9"/>
        <v>#DIV/0!</v>
      </c>
      <c r="AE4" s="67" t="e">
        <f t="shared" si="10"/>
        <v>#DIV/0!</v>
      </c>
    </row>
    <row r="5" spans="1:31" s="68" customFormat="1" ht="14.95" thickBot="1" x14ac:dyDescent="0.3">
      <c r="A5" s="60">
        <f>A4+1</f>
        <v>45993</v>
      </c>
      <c r="B5" s="61">
        <f t="shared" si="1"/>
        <v>2</v>
      </c>
      <c r="C5" s="62" t="s">
        <v>44</v>
      </c>
      <c r="D5" s="63">
        <v>1</v>
      </c>
      <c r="E5" s="62" t="s">
        <v>45</v>
      </c>
      <c r="F5" s="64">
        <v>7000</v>
      </c>
      <c r="G5" s="65">
        <v>6</v>
      </c>
      <c r="H5" s="54"/>
      <c r="I5" s="54"/>
      <c r="J5" s="86"/>
      <c r="K5" s="86"/>
      <c r="L5" s="86"/>
      <c r="M5" s="62">
        <f t="shared" si="2"/>
        <v>0</v>
      </c>
      <c r="N5" s="64" t="e">
        <f>[2]!Tabla1[[#This Row],[CONSUMO POL ANIONICO (KG)]]</f>
        <v>#REF!</v>
      </c>
      <c r="O5" s="66" t="e">
        <f>[2]!Tabla1[[#This Row],[CONSUMO POL CATIONICO (KG)]]</f>
        <v>#REF!</v>
      </c>
      <c r="P5" s="65" t="e">
        <f t="shared" si="3"/>
        <v>#DIV/0!</v>
      </c>
      <c r="Q5" s="62">
        <f t="shared" si="4"/>
        <v>0</v>
      </c>
      <c r="R5" s="62">
        <f t="shared" si="5"/>
        <v>0</v>
      </c>
      <c r="S5" s="64">
        <v>1.325</v>
      </c>
      <c r="T5" s="66">
        <v>1200</v>
      </c>
      <c r="U5" s="66">
        <v>1.3</v>
      </c>
      <c r="V5" s="66">
        <v>2498</v>
      </c>
      <c r="W5" s="66">
        <v>2881</v>
      </c>
      <c r="X5" s="65">
        <v>2446</v>
      </c>
      <c r="Y5" s="62">
        <f t="shared" si="0"/>
        <v>0</v>
      </c>
      <c r="Z5" s="62">
        <f t="shared" si="6"/>
        <v>0</v>
      </c>
      <c r="AA5" s="62">
        <f t="shared" si="7"/>
        <v>0</v>
      </c>
      <c r="AB5" s="62">
        <f t="shared" si="8"/>
        <v>0</v>
      </c>
      <c r="AC5" s="62">
        <v>1500</v>
      </c>
      <c r="AD5" s="62" t="e">
        <f t="shared" si="9"/>
        <v>#DIV/0!</v>
      </c>
      <c r="AE5" s="76" t="e">
        <f t="shared" si="10"/>
        <v>#DIV/0!</v>
      </c>
    </row>
    <row r="6" spans="1:31" s="68" customFormat="1" x14ac:dyDescent="0.25">
      <c r="A6" s="69">
        <f>A5</f>
        <v>45993</v>
      </c>
      <c r="B6" s="70">
        <f t="shared" si="1"/>
        <v>2</v>
      </c>
      <c r="C6" s="71" t="s">
        <v>46</v>
      </c>
      <c r="D6" s="72">
        <v>2</v>
      </c>
      <c r="E6" s="71" t="s">
        <v>47</v>
      </c>
      <c r="F6" s="73">
        <v>6690</v>
      </c>
      <c r="G6" s="74">
        <v>7</v>
      </c>
      <c r="H6" s="55"/>
      <c r="I6" s="55"/>
      <c r="J6" s="87"/>
      <c r="K6" s="87"/>
      <c r="L6" s="87"/>
      <c r="M6" s="71">
        <f t="shared" si="2"/>
        <v>0</v>
      </c>
      <c r="N6" s="73" t="e">
        <f>[2]!Tabla1[[#This Row],[CONSUMO POL ANIONICO (KG)]]</f>
        <v>#REF!</v>
      </c>
      <c r="O6" s="75" t="e">
        <f>[2]!Tabla1[[#This Row],[CONSUMO POL CATIONICO (KG)]]</f>
        <v>#REF!</v>
      </c>
      <c r="P6" s="74" t="e">
        <f t="shared" si="3"/>
        <v>#DIV/0!</v>
      </c>
      <c r="Q6" s="71">
        <f t="shared" si="4"/>
        <v>0</v>
      </c>
      <c r="R6" s="71">
        <f t="shared" si="5"/>
        <v>0</v>
      </c>
      <c r="S6" s="73">
        <v>1.325</v>
      </c>
      <c r="T6" s="75">
        <v>1200</v>
      </c>
      <c r="U6" s="75">
        <v>1.3</v>
      </c>
      <c r="V6" s="75">
        <v>2498</v>
      </c>
      <c r="W6" s="75">
        <v>2881</v>
      </c>
      <c r="X6" s="74">
        <v>2446</v>
      </c>
      <c r="Y6" s="71">
        <f t="shared" si="0"/>
        <v>0</v>
      </c>
      <c r="Z6" s="71">
        <f t="shared" si="6"/>
        <v>0</v>
      </c>
      <c r="AA6" s="71">
        <f t="shared" si="7"/>
        <v>0</v>
      </c>
      <c r="AB6" s="71">
        <f t="shared" si="8"/>
        <v>0</v>
      </c>
      <c r="AC6" s="71">
        <v>1500</v>
      </c>
      <c r="AD6" s="62" t="e">
        <f t="shared" si="9"/>
        <v>#DIV/0!</v>
      </c>
      <c r="AE6" s="67" t="e">
        <f t="shared" si="10"/>
        <v>#DIV/0!</v>
      </c>
    </row>
    <row r="7" spans="1:31" s="68" customFormat="1" ht="14.95" thickBot="1" x14ac:dyDescent="0.3">
      <c r="A7" s="77">
        <f>A6</f>
        <v>45993</v>
      </c>
      <c r="B7" s="78">
        <f t="shared" si="1"/>
        <v>2</v>
      </c>
      <c r="C7" s="79" t="s">
        <v>48</v>
      </c>
      <c r="D7" s="80">
        <v>3</v>
      </c>
      <c r="E7" s="79" t="s">
        <v>49</v>
      </c>
      <c r="F7" s="81">
        <v>6600</v>
      </c>
      <c r="G7" s="82">
        <v>8</v>
      </c>
      <c r="H7" s="56"/>
      <c r="I7" s="56"/>
      <c r="J7" s="88"/>
      <c r="K7" s="88"/>
      <c r="L7" s="88"/>
      <c r="M7" s="79">
        <f t="shared" si="2"/>
        <v>0</v>
      </c>
      <c r="N7" s="81" t="e">
        <f>[2]!Tabla1[[#This Row],[CONSUMO POL ANIONICO (KG)]]</f>
        <v>#REF!</v>
      </c>
      <c r="O7" s="83" t="e">
        <f>[2]!Tabla1[[#This Row],[CONSUMO POL CATIONICO (KG)]]</f>
        <v>#REF!</v>
      </c>
      <c r="P7" s="82" t="e">
        <f t="shared" si="3"/>
        <v>#DIV/0!</v>
      </c>
      <c r="Q7" s="79">
        <f t="shared" si="4"/>
        <v>0</v>
      </c>
      <c r="R7" s="79">
        <f t="shared" si="5"/>
        <v>0</v>
      </c>
      <c r="S7" s="81">
        <v>1.325</v>
      </c>
      <c r="T7" s="83">
        <v>1200</v>
      </c>
      <c r="U7" s="83">
        <v>1.3</v>
      </c>
      <c r="V7" s="83">
        <v>2498</v>
      </c>
      <c r="W7" s="83">
        <v>2881</v>
      </c>
      <c r="X7" s="82">
        <v>2446</v>
      </c>
      <c r="Y7" s="79">
        <f t="shared" si="0"/>
        <v>0</v>
      </c>
      <c r="Z7" s="79">
        <f t="shared" si="6"/>
        <v>0</v>
      </c>
      <c r="AA7" s="79">
        <f t="shared" si="7"/>
        <v>0</v>
      </c>
      <c r="AB7" s="79">
        <f t="shared" si="8"/>
        <v>0</v>
      </c>
      <c r="AC7" s="79">
        <v>1500</v>
      </c>
      <c r="AD7" s="71" t="e">
        <f t="shared" si="9"/>
        <v>#DIV/0!</v>
      </c>
      <c r="AE7" s="76" t="e">
        <f t="shared" si="10"/>
        <v>#DIV/0!</v>
      </c>
    </row>
    <row r="8" spans="1:31" s="68" customFormat="1" ht="14.95" thickBot="1" x14ac:dyDescent="0.3">
      <c r="A8" s="60">
        <f>A7+1</f>
        <v>45994</v>
      </c>
      <c r="B8" s="61">
        <f t="shared" si="1"/>
        <v>3</v>
      </c>
      <c r="C8" s="62" t="s">
        <v>44</v>
      </c>
      <c r="D8" s="63">
        <v>1</v>
      </c>
      <c r="E8" s="62" t="s">
        <v>45</v>
      </c>
      <c r="F8" s="64">
        <v>6300</v>
      </c>
      <c r="G8" s="65">
        <v>8</v>
      </c>
      <c r="H8" s="54"/>
      <c r="I8" s="54"/>
      <c r="J8" s="86"/>
      <c r="K8" s="86"/>
      <c r="L8" s="86"/>
      <c r="M8" s="62">
        <f t="shared" si="2"/>
        <v>0</v>
      </c>
      <c r="N8" s="64" t="e">
        <f>[2]!Tabla1[[#This Row],[CONSUMO POL ANIONICO (KG)]]</f>
        <v>#REF!</v>
      </c>
      <c r="O8" s="66" t="e">
        <f>[2]!Tabla1[[#This Row],[CONSUMO POL CATIONICO (KG)]]</f>
        <v>#REF!</v>
      </c>
      <c r="P8" s="65" t="e">
        <f t="shared" si="3"/>
        <v>#DIV/0!</v>
      </c>
      <c r="Q8" s="62">
        <f t="shared" si="4"/>
        <v>0</v>
      </c>
      <c r="R8" s="62">
        <f t="shared" si="5"/>
        <v>0</v>
      </c>
      <c r="S8" s="64">
        <v>1.325</v>
      </c>
      <c r="T8" s="66">
        <v>1200</v>
      </c>
      <c r="U8" s="66">
        <v>1.3</v>
      </c>
      <c r="V8" s="66">
        <v>2498</v>
      </c>
      <c r="W8" s="66">
        <v>2881</v>
      </c>
      <c r="X8" s="65">
        <v>2446</v>
      </c>
      <c r="Y8" s="62">
        <f t="shared" si="0"/>
        <v>0</v>
      </c>
      <c r="Z8" s="62">
        <f t="shared" si="6"/>
        <v>0</v>
      </c>
      <c r="AA8" s="62">
        <f t="shared" si="7"/>
        <v>0</v>
      </c>
      <c r="AB8" s="62">
        <f t="shared" si="8"/>
        <v>0</v>
      </c>
      <c r="AC8" s="62">
        <v>1500</v>
      </c>
      <c r="AD8" s="79" t="e">
        <f t="shared" si="9"/>
        <v>#DIV/0!</v>
      </c>
      <c r="AE8" s="67" t="e">
        <f t="shared" si="10"/>
        <v>#DIV/0!</v>
      </c>
    </row>
    <row r="9" spans="1:31" s="68" customFormat="1" ht="14.95" thickBot="1" x14ac:dyDescent="0.3">
      <c r="A9" s="69">
        <f>A8</f>
        <v>45994</v>
      </c>
      <c r="B9" s="70">
        <f t="shared" si="1"/>
        <v>3</v>
      </c>
      <c r="C9" s="71" t="s">
        <v>46</v>
      </c>
      <c r="D9" s="72">
        <v>2</v>
      </c>
      <c r="E9" s="71" t="s">
        <v>47</v>
      </c>
      <c r="F9" s="73">
        <v>6030</v>
      </c>
      <c r="G9" s="74">
        <v>6</v>
      </c>
      <c r="H9" s="55"/>
      <c r="I9" s="55"/>
      <c r="J9" s="87"/>
      <c r="K9" s="87"/>
      <c r="L9" s="87"/>
      <c r="M9" s="71">
        <f t="shared" si="2"/>
        <v>0</v>
      </c>
      <c r="N9" s="73" t="e">
        <f>[2]!Tabla1[[#This Row],[CONSUMO POL ANIONICO (KG)]]</f>
        <v>#REF!</v>
      </c>
      <c r="O9" s="75" t="e">
        <f>[2]!Tabla1[[#This Row],[CONSUMO POL CATIONICO (KG)]]</f>
        <v>#REF!</v>
      </c>
      <c r="P9" s="74" t="e">
        <f t="shared" si="3"/>
        <v>#DIV/0!</v>
      </c>
      <c r="Q9" s="71">
        <f t="shared" si="4"/>
        <v>0</v>
      </c>
      <c r="R9" s="71">
        <f t="shared" si="5"/>
        <v>0</v>
      </c>
      <c r="S9" s="73">
        <v>1.325</v>
      </c>
      <c r="T9" s="75">
        <v>1200</v>
      </c>
      <c r="U9" s="75">
        <v>1.3</v>
      </c>
      <c r="V9" s="75">
        <v>2498</v>
      </c>
      <c r="W9" s="75">
        <v>2881</v>
      </c>
      <c r="X9" s="74">
        <v>2446</v>
      </c>
      <c r="Y9" s="71">
        <f t="shared" si="0"/>
        <v>0</v>
      </c>
      <c r="Z9" s="71">
        <f t="shared" si="6"/>
        <v>0</v>
      </c>
      <c r="AA9" s="71">
        <f t="shared" si="7"/>
        <v>0</v>
      </c>
      <c r="AB9" s="71">
        <f t="shared" si="8"/>
        <v>0</v>
      </c>
      <c r="AC9" s="71">
        <v>1500</v>
      </c>
      <c r="AD9" s="62" t="e">
        <f t="shared" si="9"/>
        <v>#DIV/0!</v>
      </c>
      <c r="AE9" s="76" t="e">
        <f t="shared" si="10"/>
        <v>#DIV/0!</v>
      </c>
    </row>
    <row r="10" spans="1:31" s="68" customFormat="1" ht="14.95" thickBot="1" x14ac:dyDescent="0.3">
      <c r="A10" s="77">
        <f>A9</f>
        <v>45994</v>
      </c>
      <c r="B10" s="78">
        <f t="shared" si="1"/>
        <v>3</v>
      </c>
      <c r="C10" s="79" t="s">
        <v>48</v>
      </c>
      <c r="D10" s="80">
        <v>3</v>
      </c>
      <c r="E10" s="79" t="s">
        <v>49</v>
      </c>
      <c r="F10" s="81">
        <v>5750</v>
      </c>
      <c r="G10" s="82">
        <v>7</v>
      </c>
      <c r="H10" s="56"/>
      <c r="I10" s="56"/>
      <c r="J10" s="88"/>
      <c r="K10" s="88"/>
      <c r="L10" s="88"/>
      <c r="M10" s="79">
        <f t="shared" si="2"/>
        <v>0</v>
      </c>
      <c r="N10" s="81" t="e">
        <f>[2]!Tabla1[[#This Row],[CONSUMO POL ANIONICO (KG)]]</f>
        <v>#REF!</v>
      </c>
      <c r="O10" s="83" t="e">
        <f>[2]!Tabla1[[#This Row],[CONSUMO POL CATIONICO (KG)]]</f>
        <v>#REF!</v>
      </c>
      <c r="P10" s="82" t="e">
        <f t="shared" si="3"/>
        <v>#DIV/0!</v>
      </c>
      <c r="Q10" s="79">
        <f t="shared" si="4"/>
        <v>0</v>
      </c>
      <c r="R10" s="79">
        <f t="shared" si="5"/>
        <v>0</v>
      </c>
      <c r="S10" s="81">
        <v>1.325</v>
      </c>
      <c r="T10" s="83">
        <v>1200</v>
      </c>
      <c r="U10" s="83">
        <v>1.3</v>
      </c>
      <c r="V10" s="83">
        <v>2498</v>
      </c>
      <c r="W10" s="83">
        <v>2881</v>
      </c>
      <c r="X10" s="82">
        <v>2446</v>
      </c>
      <c r="Y10" s="79">
        <f t="shared" si="0"/>
        <v>0</v>
      </c>
      <c r="Z10" s="79">
        <f t="shared" si="6"/>
        <v>0</v>
      </c>
      <c r="AA10" s="79">
        <f t="shared" si="7"/>
        <v>0</v>
      </c>
      <c r="AB10" s="79">
        <f t="shared" si="8"/>
        <v>0</v>
      </c>
      <c r="AC10" s="79">
        <v>1500</v>
      </c>
      <c r="AD10" s="62" t="e">
        <f t="shared" si="9"/>
        <v>#DIV/0!</v>
      </c>
      <c r="AE10" s="67" t="e">
        <f t="shared" si="10"/>
        <v>#DIV/0!</v>
      </c>
    </row>
    <row r="11" spans="1:31" s="68" customFormat="1" ht="14.95" thickBot="1" x14ac:dyDescent="0.3">
      <c r="A11" s="60">
        <f>A10+1</f>
        <v>45995</v>
      </c>
      <c r="B11" s="61">
        <f t="shared" si="1"/>
        <v>4</v>
      </c>
      <c r="C11" s="62" t="s">
        <v>44</v>
      </c>
      <c r="D11" s="63">
        <v>1</v>
      </c>
      <c r="E11" s="62" t="s">
        <v>45</v>
      </c>
      <c r="F11" s="64">
        <v>5590</v>
      </c>
      <c r="G11" s="65">
        <v>8</v>
      </c>
      <c r="H11" s="54"/>
      <c r="I11" s="54"/>
      <c r="J11" s="86"/>
      <c r="K11" s="86"/>
      <c r="L11" s="86"/>
      <c r="M11" s="62">
        <f t="shared" si="2"/>
        <v>0</v>
      </c>
      <c r="N11" s="64" t="e">
        <f>[2]!Tabla1[[#This Row],[CONSUMO POL ANIONICO (KG)]]</f>
        <v>#REF!</v>
      </c>
      <c r="O11" s="66" t="e">
        <f>[2]!Tabla1[[#This Row],[CONSUMO POL CATIONICO (KG)]]</f>
        <v>#REF!</v>
      </c>
      <c r="P11" s="65" t="e">
        <f t="shared" si="3"/>
        <v>#DIV/0!</v>
      </c>
      <c r="Q11" s="62">
        <f t="shared" si="4"/>
        <v>0</v>
      </c>
      <c r="R11" s="62">
        <f t="shared" si="5"/>
        <v>0</v>
      </c>
      <c r="S11" s="64">
        <v>1.325</v>
      </c>
      <c r="T11" s="66">
        <v>1200</v>
      </c>
      <c r="U11" s="66">
        <v>1.3</v>
      </c>
      <c r="V11" s="66">
        <v>2498</v>
      </c>
      <c r="W11" s="66">
        <v>2881</v>
      </c>
      <c r="X11" s="65">
        <v>2446</v>
      </c>
      <c r="Y11" s="62">
        <f t="shared" si="0"/>
        <v>0</v>
      </c>
      <c r="Z11" s="62">
        <f t="shared" si="6"/>
        <v>0</v>
      </c>
      <c r="AA11" s="62">
        <f t="shared" si="7"/>
        <v>0</v>
      </c>
      <c r="AB11" s="62">
        <f t="shared" si="8"/>
        <v>0</v>
      </c>
      <c r="AC11" s="62">
        <v>1500</v>
      </c>
      <c r="AD11" s="71" t="e">
        <f t="shared" si="9"/>
        <v>#DIV/0!</v>
      </c>
      <c r="AE11" s="76" t="e">
        <f t="shared" si="10"/>
        <v>#DIV/0!</v>
      </c>
    </row>
    <row r="12" spans="1:31" s="68" customFormat="1" ht="14.95" thickBot="1" x14ac:dyDescent="0.3">
      <c r="A12" s="69">
        <f>A11</f>
        <v>45995</v>
      </c>
      <c r="B12" s="70">
        <f t="shared" si="1"/>
        <v>4</v>
      </c>
      <c r="C12" s="71" t="s">
        <v>46</v>
      </c>
      <c r="D12" s="72">
        <v>2</v>
      </c>
      <c r="E12" s="71" t="s">
        <v>47</v>
      </c>
      <c r="F12" s="73">
        <v>5250</v>
      </c>
      <c r="G12" s="74">
        <v>7</v>
      </c>
      <c r="H12" s="55"/>
      <c r="I12" s="55"/>
      <c r="J12" s="87"/>
      <c r="K12" s="87"/>
      <c r="L12" s="87"/>
      <c r="M12" s="71">
        <f t="shared" si="2"/>
        <v>0</v>
      </c>
      <c r="N12" s="73" t="e">
        <f>[2]!Tabla1[[#This Row],[CONSUMO POL ANIONICO (KG)]]</f>
        <v>#REF!</v>
      </c>
      <c r="O12" s="75" t="e">
        <f>[2]!Tabla1[[#This Row],[CONSUMO POL CATIONICO (KG)]]</f>
        <v>#REF!</v>
      </c>
      <c r="P12" s="74" t="e">
        <f t="shared" si="3"/>
        <v>#DIV/0!</v>
      </c>
      <c r="Q12" s="71">
        <f t="shared" si="4"/>
        <v>0</v>
      </c>
      <c r="R12" s="71">
        <f t="shared" si="5"/>
        <v>0</v>
      </c>
      <c r="S12" s="73">
        <v>1.325</v>
      </c>
      <c r="T12" s="75">
        <v>1200</v>
      </c>
      <c r="U12" s="75">
        <v>1.3</v>
      </c>
      <c r="V12" s="75">
        <v>2498</v>
      </c>
      <c r="W12" s="75">
        <v>2881</v>
      </c>
      <c r="X12" s="74">
        <v>2446</v>
      </c>
      <c r="Y12" s="71">
        <f t="shared" si="0"/>
        <v>0</v>
      </c>
      <c r="Z12" s="71">
        <f t="shared" si="6"/>
        <v>0</v>
      </c>
      <c r="AA12" s="71">
        <f t="shared" si="7"/>
        <v>0</v>
      </c>
      <c r="AB12" s="71">
        <f t="shared" si="8"/>
        <v>0</v>
      </c>
      <c r="AC12" s="71">
        <v>1500</v>
      </c>
      <c r="AD12" s="79" t="e">
        <f t="shared" si="9"/>
        <v>#DIV/0!</v>
      </c>
      <c r="AE12" s="67" t="e">
        <f t="shared" si="10"/>
        <v>#DIV/0!</v>
      </c>
    </row>
    <row r="13" spans="1:31" s="68" customFormat="1" ht="14.95" thickBot="1" x14ac:dyDescent="0.3">
      <c r="A13" s="77">
        <f>A12</f>
        <v>45995</v>
      </c>
      <c r="B13" s="78">
        <f t="shared" si="1"/>
        <v>4</v>
      </c>
      <c r="C13" s="79" t="s">
        <v>48</v>
      </c>
      <c r="D13" s="80">
        <v>3</v>
      </c>
      <c r="E13" s="79" t="s">
        <v>49</v>
      </c>
      <c r="F13" s="81">
        <v>4590</v>
      </c>
      <c r="G13" s="82">
        <v>7</v>
      </c>
      <c r="H13" s="56"/>
      <c r="I13" s="56"/>
      <c r="J13" s="88"/>
      <c r="K13" s="88"/>
      <c r="L13" s="88"/>
      <c r="M13" s="79">
        <f t="shared" si="2"/>
        <v>0</v>
      </c>
      <c r="N13" s="81" t="e">
        <f>[2]!Tabla1[[#This Row],[CONSUMO POL ANIONICO (KG)]]</f>
        <v>#REF!</v>
      </c>
      <c r="O13" s="83" t="e">
        <f>[2]!Tabla1[[#This Row],[CONSUMO POL CATIONICO (KG)]]</f>
        <v>#REF!</v>
      </c>
      <c r="P13" s="82" t="e">
        <f t="shared" si="3"/>
        <v>#DIV/0!</v>
      </c>
      <c r="Q13" s="79">
        <f t="shared" si="4"/>
        <v>0</v>
      </c>
      <c r="R13" s="79">
        <f t="shared" si="5"/>
        <v>0</v>
      </c>
      <c r="S13" s="81">
        <v>1.325</v>
      </c>
      <c r="T13" s="83">
        <v>1200</v>
      </c>
      <c r="U13" s="83">
        <v>1.3</v>
      </c>
      <c r="V13" s="83">
        <v>2498</v>
      </c>
      <c r="W13" s="83">
        <v>2881</v>
      </c>
      <c r="X13" s="82">
        <v>2446</v>
      </c>
      <c r="Y13" s="79">
        <f t="shared" si="0"/>
        <v>0</v>
      </c>
      <c r="Z13" s="79">
        <f t="shared" si="6"/>
        <v>0</v>
      </c>
      <c r="AA13" s="79">
        <f t="shared" si="7"/>
        <v>0</v>
      </c>
      <c r="AB13" s="79">
        <f t="shared" si="8"/>
        <v>0</v>
      </c>
      <c r="AC13" s="79">
        <v>1500</v>
      </c>
      <c r="AD13" s="62" t="e">
        <f t="shared" si="9"/>
        <v>#DIV/0!</v>
      </c>
      <c r="AE13" s="76" t="e">
        <f t="shared" si="10"/>
        <v>#DIV/0!</v>
      </c>
    </row>
    <row r="14" spans="1:31" s="68" customFormat="1" ht="15.65" customHeight="1" x14ac:dyDescent="0.25">
      <c r="A14" s="60">
        <f>A13+1</f>
        <v>45996</v>
      </c>
      <c r="B14" s="61">
        <f t="shared" si="1"/>
        <v>5</v>
      </c>
      <c r="C14" s="62" t="s">
        <v>44</v>
      </c>
      <c r="D14" s="63">
        <v>1</v>
      </c>
      <c r="E14" s="62" t="s">
        <v>45</v>
      </c>
      <c r="F14" s="64">
        <v>4200</v>
      </c>
      <c r="G14" s="65">
        <v>8</v>
      </c>
      <c r="H14" s="54"/>
      <c r="I14" s="54"/>
      <c r="J14" s="86"/>
      <c r="K14" s="86"/>
      <c r="L14" s="86"/>
      <c r="M14" s="62">
        <f t="shared" si="2"/>
        <v>0</v>
      </c>
      <c r="N14" s="64" t="e">
        <f>[2]!Tabla1[[#This Row],[CONSUMO POL ANIONICO (KG)]]</f>
        <v>#REF!</v>
      </c>
      <c r="O14" s="66" t="e">
        <f>[2]!Tabla1[[#This Row],[CONSUMO POL CATIONICO (KG)]]</f>
        <v>#REF!</v>
      </c>
      <c r="P14" s="65" t="e">
        <f t="shared" si="3"/>
        <v>#DIV/0!</v>
      </c>
      <c r="Q14" s="62">
        <f t="shared" si="4"/>
        <v>0</v>
      </c>
      <c r="R14" s="62">
        <f>(L14*$U$2)</f>
        <v>0</v>
      </c>
      <c r="S14" s="64">
        <v>1.325</v>
      </c>
      <c r="T14" s="66">
        <v>1200</v>
      </c>
      <c r="U14" s="66">
        <v>1.3</v>
      </c>
      <c r="V14" s="66">
        <v>2498</v>
      </c>
      <c r="W14" s="66">
        <v>2881</v>
      </c>
      <c r="X14" s="65">
        <v>2446</v>
      </c>
      <c r="Y14" s="62">
        <f t="shared" si="0"/>
        <v>0</v>
      </c>
      <c r="Z14" s="62">
        <f t="shared" si="6"/>
        <v>0</v>
      </c>
      <c r="AA14" s="62">
        <f t="shared" si="7"/>
        <v>0</v>
      </c>
      <c r="AB14" s="62">
        <f t="shared" si="8"/>
        <v>0</v>
      </c>
      <c r="AC14" s="62">
        <v>1500</v>
      </c>
      <c r="AD14" s="62" t="e">
        <f t="shared" si="9"/>
        <v>#DIV/0!</v>
      </c>
      <c r="AE14" s="67" t="e">
        <f t="shared" si="10"/>
        <v>#DIV/0!</v>
      </c>
    </row>
    <row r="15" spans="1:31" s="68" customFormat="1" ht="14.95" thickBot="1" x14ac:dyDescent="0.3">
      <c r="A15" s="69">
        <f>A14</f>
        <v>45996</v>
      </c>
      <c r="B15" s="70">
        <f t="shared" si="1"/>
        <v>5</v>
      </c>
      <c r="C15" s="71" t="s">
        <v>46</v>
      </c>
      <c r="D15" s="72">
        <v>2</v>
      </c>
      <c r="E15" s="71" t="s">
        <v>47</v>
      </c>
      <c r="F15" s="73">
        <v>3910</v>
      </c>
      <c r="G15" s="74">
        <v>8</v>
      </c>
      <c r="H15" s="55"/>
      <c r="I15" s="55"/>
      <c r="J15" s="87"/>
      <c r="K15" s="87"/>
      <c r="L15" s="87"/>
      <c r="M15" s="71">
        <f t="shared" si="2"/>
        <v>0</v>
      </c>
      <c r="N15" s="73" t="e">
        <f>[2]!Tabla1[[#This Row],[CONSUMO POL ANIONICO (KG)]]</f>
        <v>#REF!</v>
      </c>
      <c r="O15" s="75" t="e">
        <f>[2]!Tabla1[[#This Row],[CONSUMO POL CATIONICO (KG)]]</f>
        <v>#REF!</v>
      </c>
      <c r="P15" s="74" t="e">
        <f t="shared" si="3"/>
        <v>#DIV/0!</v>
      </c>
      <c r="Q15" s="71">
        <f t="shared" si="4"/>
        <v>0</v>
      </c>
      <c r="R15" s="71">
        <f>(L15*$U$2)</f>
        <v>0</v>
      </c>
      <c r="S15" s="73">
        <v>1.325</v>
      </c>
      <c r="T15" s="75">
        <v>1200</v>
      </c>
      <c r="U15" s="75">
        <v>1.3</v>
      </c>
      <c r="V15" s="75">
        <v>2498</v>
      </c>
      <c r="W15" s="75">
        <v>2881</v>
      </c>
      <c r="X15" s="74">
        <v>2446</v>
      </c>
      <c r="Y15" s="71">
        <f t="shared" si="0"/>
        <v>0</v>
      </c>
      <c r="Z15" s="71">
        <f t="shared" si="6"/>
        <v>0</v>
      </c>
      <c r="AA15" s="71">
        <f t="shared" si="7"/>
        <v>0</v>
      </c>
      <c r="AB15" s="71">
        <f t="shared" si="8"/>
        <v>0</v>
      </c>
      <c r="AC15" s="71">
        <v>1500</v>
      </c>
      <c r="AD15" s="71" t="e">
        <f t="shared" si="9"/>
        <v>#DIV/0!</v>
      </c>
      <c r="AE15" s="76" t="e">
        <f t="shared" si="10"/>
        <v>#DIV/0!</v>
      </c>
    </row>
    <row r="16" spans="1:31" s="68" customFormat="1" ht="14.95" thickBot="1" x14ac:dyDescent="0.3">
      <c r="A16" s="77">
        <f>A15</f>
        <v>45996</v>
      </c>
      <c r="B16" s="78">
        <f t="shared" si="1"/>
        <v>5</v>
      </c>
      <c r="C16" s="79" t="s">
        <v>48</v>
      </c>
      <c r="D16" s="80">
        <v>3</v>
      </c>
      <c r="E16" s="79" t="s">
        <v>49</v>
      </c>
      <c r="F16" s="81">
        <v>3650</v>
      </c>
      <c r="G16" s="82">
        <v>4</v>
      </c>
      <c r="H16" s="56"/>
      <c r="I16" s="56"/>
      <c r="J16" s="88"/>
      <c r="K16" s="88"/>
      <c r="L16" s="88"/>
      <c r="M16" s="79">
        <f t="shared" si="2"/>
        <v>0</v>
      </c>
      <c r="N16" s="81" t="e">
        <f>[2]!Tabla1[[#This Row],[CONSUMO POL ANIONICO (KG)]]</f>
        <v>#REF!</v>
      </c>
      <c r="O16" s="83" t="e">
        <f>[2]!Tabla1[[#This Row],[CONSUMO POL CATIONICO (KG)]]</f>
        <v>#REF!</v>
      </c>
      <c r="P16" s="82" t="e">
        <f t="shared" si="3"/>
        <v>#DIV/0!</v>
      </c>
      <c r="Q16" s="79">
        <f t="shared" si="4"/>
        <v>0</v>
      </c>
      <c r="R16" s="79">
        <f>(L16*$U$2)</f>
        <v>0</v>
      </c>
      <c r="S16" s="81">
        <v>1.325</v>
      </c>
      <c r="T16" s="83">
        <v>1200</v>
      </c>
      <c r="U16" s="83">
        <v>1.3</v>
      </c>
      <c r="V16" s="83">
        <v>2498</v>
      </c>
      <c r="W16" s="83">
        <v>2881</v>
      </c>
      <c r="X16" s="82">
        <v>2446</v>
      </c>
      <c r="Y16" s="79">
        <f t="shared" si="0"/>
        <v>0</v>
      </c>
      <c r="Z16" s="79">
        <f t="shared" si="6"/>
        <v>0</v>
      </c>
      <c r="AA16" s="79">
        <f t="shared" si="7"/>
        <v>0</v>
      </c>
      <c r="AB16" s="79">
        <f t="shared" si="8"/>
        <v>0</v>
      </c>
      <c r="AC16" s="79">
        <v>1500</v>
      </c>
      <c r="AD16" s="79" t="e">
        <f t="shared" si="9"/>
        <v>#DIV/0!</v>
      </c>
      <c r="AE16" s="67" t="e">
        <f t="shared" si="10"/>
        <v>#DIV/0!</v>
      </c>
    </row>
    <row r="17" spans="1:33" s="68" customFormat="1" ht="14.95" thickBot="1" x14ac:dyDescent="0.3">
      <c r="A17" s="60">
        <f>A16+1</f>
        <v>45997</v>
      </c>
      <c r="B17" s="61">
        <f t="shared" si="1"/>
        <v>6</v>
      </c>
      <c r="C17" s="62" t="s">
        <v>44</v>
      </c>
      <c r="D17" s="63">
        <v>1</v>
      </c>
      <c r="E17" s="62" t="s">
        <v>45</v>
      </c>
      <c r="F17" s="64">
        <v>3350</v>
      </c>
      <c r="G17" s="65">
        <v>5</v>
      </c>
      <c r="H17" s="54"/>
      <c r="I17" s="54"/>
      <c r="J17" s="86"/>
      <c r="K17" s="86"/>
      <c r="L17" s="86"/>
      <c r="M17" s="62">
        <f t="shared" si="2"/>
        <v>0</v>
      </c>
      <c r="N17" s="64" t="e">
        <f>[2]!Tabla1[[#This Row],[CONSUMO POL ANIONICO (KG)]]</f>
        <v>#REF!</v>
      </c>
      <c r="O17" s="66" t="e">
        <f>[2]!Tabla1[[#This Row],[CONSUMO POL CATIONICO (KG)]]</f>
        <v>#REF!</v>
      </c>
      <c r="P17" s="65" t="e">
        <f t="shared" si="3"/>
        <v>#DIV/0!</v>
      </c>
      <c r="Q17" s="62">
        <f t="shared" si="4"/>
        <v>0</v>
      </c>
      <c r="R17" s="62">
        <f>(L17*$U$2)</f>
        <v>0</v>
      </c>
      <c r="S17" s="64">
        <v>1.325</v>
      </c>
      <c r="T17" s="66">
        <v>1200</v>
      </c>
      <c r="U17" s="66">
        <v>1.3</v>
      </c>
      <c r="V17" s="66">
        <v>2498</v>
      </c>
      <c r="W17" s="66">
        <v>2881</v>
      </c>
      <c r="X17" s="65">
        <v>2446</v>
      </c>
      <c r="Y17" s="62">
        <f t="shared" si="0"/>
        <v>0</v>
      </c>
      <c r="Z17" s="62">
        <f t="shared" si="6"/>
        <v>0</v>
      </c>
      <c r="AA17" s="62">
        <f t="shared" si="7"/>
        <v>0</v>
      </c>
      <c r="AB17" s="62">
        <f t="shared" si="8"/>
        <v>0</v>
      </c>
      <c r="AC17" s="62">
        <v>1500</v>
      </c>
      <c r="AD17" s="62" t="e">
        <f t="shared" si="9"/>
        <v>#DIV/0!</v>
      </c>
      <c r="AE17" s="76" t="e">
        <f t="shared" si="10"/>
        <v>#DIV/0!</v>
      </c>
    </row>
    <row r="18" spans="1:33" s="68" customFormat="1" x14ac:dyDescent="0.25">
      <c r="A18" s="69">
        <f>A17</f>
        <v>45997</v>
      </c>
      <c r="B18" s="70">
        <f t="shared" si="1"/>
        <v>6</v>
      </c>
      <c r="C18" s="71" t="s">
        <v>46</v>
      </c>
      <c r="D18" s="72">
        <v>2</v>
      </c>
      <c r="E18" s="71" t="s">
        <v>47</v>
      </c>
      <c r="F18" s="73">
        <v>3205</v>
      </c>
      <c r="G18" s="74">
        <v>3</v>
      </c>
      <c r="H18" s="55"/>
      <c r="I18" s="55"/>
      <c r="J18" s="87"/>
      <c r="K18" s="87"/>
      <c r="L18" s="87"/>
      <c r="M18" s="71">
        <f t="shared" si="2"/>
        <v>0</v>
      </c>
      <c r="N18" s="73" t="e">
        <f>[2]!Tabla1[[#This Row],[CONSUMO POL ANIONICO (KG)]]</f>
        <v>#REF!</v>
      </c>
      <c r="O18" s="75" t="e">
        <f>[2]!Tabla1[[#This Row],[CONSUMO POL CATIONICO (KG)]]</f>
        <v>#REF!</v>
      </c>
      <c r="P18" s="74" t="e">
        <f t="shared" si="3"/>
        <v>#DIV/0!</v>
      </c>
      <c r="Q18" s="71">
        <f t="shared" si="4"/>
        <v>0</v>
      </c>
      <c r="R18" s="71">
        <f t="shared" si="5"/>
        <v>0</v>
      </c>
      <c r="S18" s="73">
        <v>1.325</v>
      </c>
      <c r="T18" s="75">
        <v>1200</v>
      </c>
      <c r="U18" s="75">
        <v>1.3</v>
      </c>
      <c r="V18" s="75">
        <v>2498</v>
      </c>
      <c r="W18" s="75">
        <v>2881</v>
      </c>
      <c r="X18" s="74">
        <v>2446</v>
      </c>
      <c r="Y18" s="71">
        <f t="shared" si="0"/>
        <v>0</v>
      </c>
      <c r="Z18" s="71">
        <f t="shared" si="6"/>
        <v>0</v>
      </c>
      <c r="AA18" s="71">
        <f t="shared" si="7"/>
        <v>0</v>
      </c>
      <c r="AB18" s="71">
        <f t="shared" si="8"/>
        <v>0</v>
      </c>
      <c r="AC18" s="71">
        <v>1500</v>
      </c>
      <c r="AD18" s="62" t="e">
        <f t="shared" si="9"/>
        <v>#DIV/0!</v>
      </c>
      <c r="AE18" s="67" t="e">
        <f t="shared" si="10"/>
        <v>#DIV/0!</v>
      </c>
    </row>
    <row r="19" spans="1:33" s="68" customFormat="1" ht="14.95" thickBot="1" x14ac:dyDescent="0.3">
      <c r="A19" s="77">
        <f>A18</f>
        <v>45997</v>
      </c>
      <c r="B19" s="78">
        <f t="shared" si="1"/>
        <v>6</v>
      </c>
      <c r="C19" s="79" t="s">
        <v>48</v>
      </c>
      <c r="D19" s="80">
        <v>3</v>
      </c>
      <c r="E19" s="79" t="s">
        <v>49</v>
      </c>
      <c r="F19" s="81">
        <f>+AVERAGE(F18,F20)</f>
        <v>2982.5</v>
      </c>
      <c r="G19" s="82">
        <v>8</v>
      </c>
      <c r="H19" s="56"/>
      <c r="I19" s="56"/>
      <c r="J19" s="88"/>
      <c r="K19" s="88"/>
      <c r="L19" s="88"/>
      <c r="M19" s="79">
        <f t="shared" si="2"/>
        <v>0</v>
      </c>
      <c r="N19" s="81" t="e">
        <f>[2]!Tabla1[[#This Row],[CONSUMO POL ANIONICO (KG)]]</f>
        <v>#REF!</v>
      </c>
      <c r="O19" s="83" t="e">
        <f>[2]!Tabla1[[#This Row],[CONSUMO POL CATIONICO (KG)]]</f>
        <v>#REF!</v>
      </c>
      <c r="P19" s="82" t="e">
        <f t="shared" si="3"/>
        <v>#DIV/0!</v>
      </c>
      <c r="Q19" s="79">
        <f t="shared" si="4"/>
        <v>0</v>
      </c>
      <c r="R19" s="79">
        <f t="shared" si="5"/>
        <v>0</v>
      </c>
      <c r="S19" s="81">
        <v>1.325</v>
      </c>
      <c r="T19" s="83">
        <v>1200</v>
      </c>
      <c r="U19" s="83">
        <v>1.3</v>
      </c>
      <c r="V19" s="83">
        <v>2498</v>
      </c>
      <c r="W19" s="83">
        <v>2881</v>
      </c>
      <c r="X19" s="82">
        <v>2446</v>
      </c>
      <c r="Y19" s="79">
        <f t="shared" si="0"/>
        <v>0</v>
      </c>
      <c r="Z19" s="79">
        <f t="shared" si="6"/>
        <v>0</v>
      </c>
      <c r="AA19" s="79">
        <f t="shared" si="7"/>
        <v>0</v>
      </c>
      <c r="AB19" s="79">
        <f t="shared" si="8"/>
        <v>0</v>
      </c>
      <c r="AC19" s="79">
        <v>1500</v>
      </c>
      <c r="AD19" s="71" t="e">
        <f t="shared" si="9"/>
        <v>#DIV/0!</v>
      </c>
      <c r="AE19" s="76" t="e">
        <f t="shared" si="10"/>
        <v>#DIV/0!</v>
      </c>
    </row>
    <row r="20" spans="1:33" s="68" customFormat="1" ht="14.95" thickBot="1" x14ac:dyDescent="0.3">
      <c r="A20" s="60">
        <f>A19+1</f>
        <v>45998</v>
      </c>
      <c r="B20" s="61">
        <f t="shared" si="1"/>
        <v>7</v>
      </c>
      <c r="C20" s="62" t="s">
        <v>44</v>
      </c>
      <c r="D20" s="63">
        <v>1</v>
      </c>
      <c r="E20" s="62" t="s">
        <v>45</v>
      </c>
      <c r="F20" s="64">
        <v>2760</v>
      </c>
      <c r="G20" s="65">
        <v>8</v>
      </c>
      <c r="H20" s="54"/>
      <c r="I20" s="54"/>
      <c r="J20" s="86"/>
      <c r="K20" s="86"/>
      <c r="L20" s="86"/>
      <c r="M20" s="62">
        <f t="shared" si="2"/>
        <v>0</v>
      </c>
      <c r="N20" s="64" t="e">
        <f>[2]!Tabla1[[#This Row],[CONSUMO POL ANIONICO (KG)]]</f>
        <v>#REF!</v>
      </c>
      <c r="O20" s="66" t="e">
        <f>[2]!Tabla1[[#This Row],[CONSUMO POL CATIONICO (KG)]]</f>
        <v>#REF!</v>
      </c>
      <c r="P20" s="65" t="e">
        <f t="shared" si="3"/>
        <v>#DIV/0!</v>
      </c>
      <c r="Q20" s="62">
        <f t="shared" si="4"/>
        <v>0</v>
      </c>
      <c r="R20" s="62">
        <f t="shared" si="5"/>
        <v>0</v>
      </c>
      <c r="S20" s="64">
        <v>1.325</v>
      </c>
      <c r="T20" s="66">
        <v>1200</v>
      </c>
      <c r="U20" s="66">
        <v>1.3</v>
      </c>
      <c r="V20" s="66">
        <v>2498</v>
      </c>
      <c r="W20" s="66">
        <v>2881</v>
      </c>
      <c r="X20" s="65">
        <v>2446</v>
      </c>
      <c r="Y20" s="62">
        <f t="shared" si="0"/>
        <v>0</v>
      </c>
      <c r="Z20" s="62">
        <f t="shared" si="6"/>
        <v>0</v>
      </c>
      <c r="AA20" s="62">
        <f t="shared" si="7"/>
        <v>0</v>
      </c>
      <c r="AB20" s="62">
        <f t="shared" si="8"/>
        <v>0</v>
      </c>
      <c r="AC20" s="62">
        <v>1500</v>
      </c>
      <c r="AD20" s="79" t="e">
        <f t="shared" si="9"/>
        <v>#DIV/0!</v>
      </c>
      <c r="AE20" s="67" t="e">
        <f t="shared" si="10"/>
        <v>#DIV/0!</v>
      </c>
    </row>
    <row r="21" spans="1:33" s="68" customFormat="1" ht="14.95" thickBot="1" x14ac:dyDescent="0.3">
      <c r="A21" s="69">
        <f>A20</f>
        <v>45998</v>
      </c>
      <c r="B21" s="70">
        <f t="shared" si="1"/>
        <v>7</v>
      </c>
      <c r="C21" s="71" t="s">
        <v>46</v>
      </c>
      <c r="D21" s="72">
        <v>2</v>
      </c>
      <c r="E21" s="71" t="s">
        <v>47</v>
      </c>
      <c r="F21" s="73">
        <v>2530</v>
      </c>
      <c r="G21" s="74">
        <v>6</v>
      </c>
      <c r="H21" s="55"/>
      <c r="I21" s="55"/>
      <c r="J21" s="87"/>
      <c r="K21" s="87"/>
      <c r="L21" s="87"/>
      <c r="M21" s="71">
        <f t="shared" si="2"/>
        <v>0</v>
      </c>
      <c r="N21" s="73" t="e">
        <f>[2]!Tabla1[[#This Row],[CONSUMO POL ANIONICO (KG)]]</f>
        <v>#REF!</v>
      </c>
      <c r="O21" s="75" t="e">
        <f>[2]!Tabla1[[#This Row],[CONSUMO POL CATIONICO (KG)]]</f>
        <v>#REF!</v>
      </c>
      <c r="P21" s="74" t="e">
        <f t="shared" si="3"/>
        <v>#DIV/0!</v>
      </c>
      <c r="Q21" s="71">
        <f t="shared" si="4"/>
        <v>0</v>
      </c>
      <c r="R21" s="71">
        <f t="shared" si="5"/>
        <v>0</v>
      </c>
      <c r="S21" s="73">
        <v>1.325</v>
      </c>
      <c r="T21" s="75">
        <v>1200</v>
      </c>
      <c r="U21" s="75">
        <v>1.3</v>
      </c>
      <c r="V21" s="75">
        <v>2498</v>
      </c>
      <c r="W21" s="75">
        <v>2881</v>
      </c>
      <c r="X21" s="74">
        <v>2446</v>
      </c>
      <c r="Y21" s="71">
        <f t="shared" si="0"/>
        <v>0</v>
      </c>
      <c r="Z21" s="71">
        <f t="shared" si="6"/>
        <v>0</v>
      </c>
      <c r="AA21" s="71">
        <f t="shared" si="7"/>
        <v>0</v>
      </c>
      <c r="AB21" s="71">
        <f t="shared" si="8"/>
        <v>0</v>
      </c>
      <c r="AC21" s="71">
        <v>1500</v>
      </c>
      <c r="AD21" s="62" t="e">
        <f t="shared" si="9"/>
        <v>#DIV/0!</v>
      </c>
      <c r="AE21" s="76" t="e">
        <f t="shared" si="10"/>
        <v>#DIV/0!</v>
      </c>
      <c r="AG21" s="84"/>
    </row>
    <row r="22" spans="1:33" s="68" customFormat="1" ht="14.95" thickBot="1" x14ac:dyDescent="0.3">
      <c r="A22" s="77">
        <f>A21</f>
        <v>45998</v>
      </c>
      <c r="B22" s="78">
        <f t="shared" si="1"/>
        <v>7</v>
      </c>
      <c r="C22" s="79" t="s">
        <v>48</v>
      </c>
      <c r="D22" s="80">
        <v>3</v>
      </c>
      <c r="E22" s="79" t="s">
        <v>49</v>
      </c>
      <c r="F22" s="81">
        <v>2200</v>
      </c>
      <c r="G22" s="82">
        <v>7</v>
      </c>
      <c r="H22" s="56"/>
      <c r="I22" s="56"/>
      <c r="J22" s="88"/>
      <c r="K22" s="88"/>
      <c r="L22" s="88"/>
      <c r="M22" s="79">
        <f t="shared" si="2"/>
        <v>0</v>
      </c>
      <c r="N22" s="81" t="e">
        <f>[2]!Tabla1[[#This Row],[CONSUMO POL ANIONICO (KG)]]</f>
        <v>#REF!</v>
      </c>
      <c r="O22" s="83" t="e">
        <f>[2]!Tabla1[[#This Row],[CONSUMO POL CATIONICO (KG)]]</f>
        <v>#REF!</v>
      </c>
      <c r="P22" s="82" t="e">
        <f t="shared" si="3"/>
        <v>#DIV/0!</v>
      </c>
      <c r="Q22" s="79">
        <f t="shared" si="4"/>
        <v>0</v>
      </c>
      <c r="R22" s="79">
        <f t="shared" si="5"/>
        <v>0</v>
      </c>
      <c r="S22" s="81">
        <v>1.325</v>
      </c>
      <c r="T22" s="83">
        <v>1200</v>
      </c>
      <c r="U22" s="83">
        <v>1.3</v>
      </c>
      <c r="V22" s="83">
        <v>2498</v>
      </c>
      <c r="W22" s="83">
        <v>2881</v>
      </c>
      <c r="X22" s="82">
        <v>2446</v>
      </c>
      <c r="Y22" s="79">
        <f t="shared" si="0"/>
        <v>0</v>
      </c>
      <c r="Z22" s="79">
        <f t="shared" si="6"/>
        <v>0</v>
      </c>
      <c r="AA22" s="79">
        <f t="shared" si="7"/>
        <v>0</v>
      </c>
      <c r="AB22" s="79">
        <f t="shared" si="8"/>
        <v>0</v>
      </c>
      <c r="AC22" s="79">
        <v>1500</v>
      </c>
      <c r="AD22" s="62" t="e">
        <f t="shared" si="9"/>
        <v>#DIV/0!</v>
      </c>
      <c r="AE22" s="67" t="e">
        <f t="shared" si="10"/>
        <v>#DIV/0!</v>
      </c>
      <c r="AG22" s="85"/>
    </row>
    <row r="23" spans="1:33" s="68" customFormat="1" ht="14.95" thickBot="1" x14ac:dyDescent="0.3">
      <c r="A23" s="60">
        <f>A22+1</f>
        <v>45999</v>
      </c>
      <c r="B23" s="61">
        <f t="shared" si="1"/>
        <v>8</v>
      </c>
      <c r="C23" s="62" t="s">
        <v>44</v>
      </c>
      <c r="D23" s="63">
        <v>1</v>
      </c>
      <c r="E23" s="62" t="s">
        <v>45</v>
      </c>
      <c r="F23" s="64">
        <v>5900</v>
      </c>
      <c r="G23" s="65">
        <v>8</v>
      </c>
      <c r="H23" s="54"/>
      <c r="I23" s="54"/>
      <c r="J23" s="86"/>
      <c r="K23" s="86"/>
      <c r="L23" s="86"/>
      <c r="M23" s="62">
        <f t="shared" si="2"/>
        <v>0</v>
      </c>
      <c r="N23" s="64" t="e">
        <f>[2]!Tabla1[[#This Row],[CONSUMO POL ANIONICO (KG)]]</f>
        <v>#REF!</v>
      </c>
      <c r="O23" s="66" t="e">
        <f>[2]!Tabla1[[#This Row],[CONSUMO POL CATIONICO (KG)]]</f>
        <v>#REF!</v>
      </c>
      <c r="P23" s="65" t="e">
        <f t="shared" si="3"/>
        <v>#DIV/0!</v>
      </c>
      <c r="Q23" s="62">
        <f t="shared" si="4"/>
        <v>0</v>
      </c>
      <c r="R23" s="62">
        <f t="shared" si="5"/>
        <v>0</v>
      </c>
      <c r="S23" s="64">
        <v>1.325</v>
      </c>
      <c r="T23" s="66">
        <v>1200</v>
      </c>
      <c r="U23" s="66">
        <v>1.3</v>
      </c>
      <c r="V23" s="66">
        <v>2498</v>
      </c>
      <c r="W23" s="66">
        <v>2881</v>
      </c>
      <c r="X23" s="65">
        <v>2446</v>
      </c>
      <c r="Y23" s="62">
        <f t="shared" si="0"/>
        <v>0</v>
      </c>
      <c r="Z23" s="62">
        <f t="shared" si="6"/>
        <v>0</v>
      </c>
      <c r="AA23" s="62">
        <f t="shared" si="7"/>
        <v>0</v>
      </c>
      <c r="AB23" s="62">
        <f t="shared" si="8"/>
        <v>0</v>
      </c>
      <c r="AC23" s="62">
        <v>1500</v>
      </c>
      <c r="AD23" s="71" t="e">
        <f t="shared" si="9"/>
        <v>#DIV/0!</v>
      </c>
      <c r="AE23" s="76" t="e">
        <f t="shared" si="10"/>
        <v>#DIV/0!</v>
      </c>
    </row>
    <row r="24" spans="1:33" s="68" customFormat="1" ht="14.95" thickBot="1" x14ac:dyDescent="0.3">
      <c r="A24" s="69">
        <f>A23</f>
        <v>45999</v>
      </c>
      <c r="B24" s="70">
        <f t="shared" si="1"/>
        <v>8</v>
      </c>
      <c r="C24" s="71" t="s">
        <v>46</v>
      </c>
      <c r="D24" s="72">
        <v>2</v>
      </c>
      <c r="E24" s="71" t="s">
        <v>47</v>
      </c>
      <c r="F24" s="73">
        <v>5590</v>
      </c>
      <c r="G24" s="74">
        <v>6</v>
      </c>
      <c r="H24" s="55"/>
      <c r="I24" s="55"/>
      <c r="J24" s="87"/>
      <c r="K24" s="87"/>
      <c r="L24" s="87"/>
      <c r="M24" s="71">
        <f t="shared" si="2"/>
        <v>0</v>
      </c>
      <c r="N24" s="73" t="e">
        <f>[2]!Tabla1[[#This Row],[CONSUMO POL ANIONICO (KG)]]</f>
        <v>#REF!</v>
      </c>
      <c r="O24" s="75" t="e">
        <f>[2]!Tabla1[[#This Row],[CONSUMO POL CATIONICO (KG)]]</f>
        <v>#REF!</v>
      </c>
      <c r="P24" s="74" t="e">
        <f t="shared" si="3"/>
        <v>#DIV/0!</v>
      </c>
      <c r="Q24" s="71">
        <f t="shared" si="4"/>
        <v>0</v>
      </c>
      <c r="R24" s="71">
        <f t="shared" si="5"/>
        <v>0</v>
      </c>
      <c r="S24" s="73">
        <v>1.325</v>
      </c>
      <c r="T24" s="75">
        <v>1200</v>
      </c>
      <c r="U24" s="75">
        <v>1.3</v>
      </c>
      <c r="V24" s="75">
        <v>2498</v>
      </c>
      <c r="W24" s="75">
        <v>2881</v>
      </c>
      <c r="X24" s="74">
        <v>2446</v>
      </c>
      <c r="Y24" s="71">
        <f t="shared" si="0"/>
        <v>0</v>
      </c>
      <c r="Z24" s="71">
        <f t="shared" si="6"/>
        <v>0</v>
      </c>
      <c r="AA24" s="71">
        <f t="shared" si="7"/>
        <v>0</v>
      </c>
      <c r="AB24" s="71">
        <f t="shared" si="8"/>
        <v>0</v>
      </c>
      <c r="AC24" s="71">
        <v>1500</v>
      </c>
      <c r="AD24" s="79" t="e">
        <f t="shared" si="9"/>
        <v>#DIV/0!</v>
      </c>
      <c r="AE24" s="67" t="e">
        <f t="shared" si="10"/>
        <v>#DIV/0!</v>
      </c>
    </row>
    <row r="25" spans="1:33" s="68" customFormat="1" ht="14.95" thickBot="1" x14ac:dyDescent="0.3">
      <c r="A25" s="77">
        <f>A24</f>
        <v>45999</v>
      </c>
      <c r="B25" s="78">
        <f t="shared" si="1"/>
        <v>8</v>
      </c>
      <c r="C25" s="79" t="s">
        <v>48</v>
      </c>
      <c r="D25" s="80">
        <v>3</v>
      </c>
      <c r="E25" s="79" t="s">
        <v>49</v>
      </c>
      <c r="F25" s="81">
        <v>5150</v>
      </c>
      <c r="G25" s="82">
        <v>7</v>
      </c>
      <c r="H25" s="56"/>
      <c r="I25" s="56"/>
      <c r="J25" s="88"/>
      <c r="K25" s="88"/>
      <c r="L25" s="88"/>
      <c r="M25" s="79">
        <f t="shared" si="2"/>
        <v>0</v>
      </c>
      <c r="N25" s="81" t="e">
        <f>[2]!Tabla1[[#This Row],[CONSUMO POL ANIONICO (KG)]]</f>
        <v>#REF!</v>
      </c>
      <c r="O25" s="83" t="e">
        <f>[2]!Tabla1[[#This Row],[CONSUMO POL CATIONICO (KG)]]</f>
        <v>#REF!</v>
      </c>
      <c r="P25" s="82" t="e">
        <f t="shared" si="3"/>
        <v>#DIV/0!</v>
      </c>
      <c r="Q25" s="79">
        <f t="shared" si="4"/>
        <v>0</v>
      </c>
      <c r="R25" s="79">
        <f t="shared" si="5"/>
        <v>0</v>
      </c>
      <c r="S25" s="81">
        <v>1.325</v>
      </c>
      <c r="T25" s="83">
        <v>1200</v>
      </c>
      <c r="U25" s="83">
        <v>1.3</v>
      </c>
      <c r="V25" s="83">
        <v>2498</v>
      </c>
      <c r="W25" s="83">
        <v>2881</v>
      </c>
      <c r="X25" s="82">
        <v>2446</v>
      </c>
      <c r="Y25" s="79">
        <f t="shared" si="0"/>
        <v>0</v>
      </c>
      <c r="Z25" s="79">
        <f t="shared" si="6"/>
        <v>0</v>
      </c>
      <c r="AA25" s="79">
        <f t="shared" si="7"/>
        <v>0</v>
      </c>
      <c r="AB25" s="79">
        <f t="shared" si="8"/>
        <v>0</v>
      </c>
      <c r="AC25" s="79">
        <v>1500</v>
      </c>
      <c r="AD25" s="62" t="e">
        <f t="shared" si="9"/>
        <v>#DIV/0!</v>
      </c>
      <c r="AE25" s="76" t="e">
        <f t="shared" si="10"/>
        <v>#DIV/0!</v>
      </c>
    </row>
    <row r="26" spans="1:33" s="68" customFormat="1" x14ac:dyDescent="0.25">
      <c r="A26" s="60">
        <f>A25+1</f>
        <v>46000</v>
      </c>
      <c r="B26" s="61">
        <f t="shared" si="1"/>
        <v>9</v>
      </c>
      <c r="C26" s="62" t="s">
        <v>44</v>
      </c>
      <c r="D26" s="63">
        <v>1</v>
      </c>
      <c r="E26" s="62" t="s">
        <v>45</v>
      </c>
      <c r="F26" s="64">
        <v>4980</v>
      </c>
      <c r="G26" s="65">
        <v>3</v>
      </c>
      <c r="H26" s="54"/>
      <c r="I26" s="54"/>
      <c r="J26" s="86"/>
      <c r="K26" s="86"/>
      <c r="L26" s="86"/>
      <c r="M26" s="62">
        <f t="shared" si="2"/>
        <v>0</v>
      </c>
      <c r="N26" s="64" t="e">
        <f>[2]!Tabla1[[#This Row],[CONSUMO POL ANIONICO (KG)]]</f>
        <v>#REF!</v>
      </c>
      <c r="O26" s="66" t="e">
        <f>[2]!Tabla1[[#This Row],[CONSUMO POL CATIONICO (KG)]]</f>
        <v>#REF!</v>
      </c>
      <c r="P26" s="65" t="e">
        <f t="shared" si="3"/>
        <v>#DIV/0!</v>
      </c>
      <c r="Q26" s="62">
        <f t="shared" si="4"/>
        <v>0</v>
      </c>
      <c r="R26" s="62">
        <f t="shared" si="5"/>
        <v>0</v>
      </c>
      <c r="S26" s="64">
        <v>1.325</v>
      </c>
      <c r="T26" s="66">
        <v>1200</v>
      </c>
      <c r="U26" s="66">
        <v>1.3</v>
      </c>
      <c r="V26" s="66">
        <v>2498</v>
      </c>
      <c r="W26" s="66">
        <v>2881</v>
      </c>
      <c r="X26" s="65">
        <v>2446</v>
      </c>
      <c r="Y26" s="62">
        <f t="shared" si="0"/>
        <v>0</v>
      </c>
      <c r="Z26" s="62">
        <f t="shared" si="6"/>
        <v>0</v>
      </c>
      <c r="AA26" s="62">
        <f t="shared" si="7"/>
        <v>0</v>
      </c>
      <c r="AB26" s="62">
        <f t="shared" si="8"/>
        <v>0</v>
      </c>
      <c r="AC26" s="62">
        <v>1500</v>
      </c>
      <c r="AD26" s="62" t="e">
        <f t="shared" si="9"/>
        <v>#DIV/0!</v>
      </c>
      <c r="AE26" s="67" t="e">
        <f t="shared" si="10"/>
        <v>#DIV/0!</v>
      </c>
    </row>
    <row r="27" spans="1:33" s="68" customFormat="1" ht="14.95" thickBot="1" x14ac:dyDescent="0.3">
      <c r="A27" s="69">
        <f>A26</f>
        <v>46000</v>
      </c>
      <c r="B27" s="70">
        <f t="shared" si="1"/>
        <v>9</v>
      </c>
      <c r="C27" s="71" t="s">
        <v>46</v>
      </c>
      <c r="D27" s="72">
        <v>2</v>
      </c>
      <c r="E27" s="71" t="s">
        <v>47</v>
      </c>
      <c r="F27" s="73">
        <v>4980</v>
      </c>
      <c r="G27" s="74">
        <v>0</v>
      </c>
      <c r="H27" s="55"/>
      <c r="I27" s="55"/>
      <c r="J27" s="87"/>
      <c r="K27" s="87"/>
      <c r="L27" s="87"/>
      <c r="M27" s="71">
        <f t="shared" si="2"/>
        <v>0</v>
      </c>
      <c r="N27" s="73" t="e">
        <f>[2]!Tabla1[[#This Row],[CONSUMO POL ANIONICO (KG)]]</f>
        <v>#REF!</v>
      </c>
      <c r="O27" s="75" t="e">
        <f>[2]!Tabla1[[#This Row],[CONSUMO POL CATIONICO (KG)]]</f>
        <v>#REF!</v>
      </c>
      <c r="P27" s="74" t="e">
        <f t="shared" si="3"/>
        <v>#DIV/0!</v>
      </c>
      <c r="Q27" s="71">
        <f t="shared" si="4"/>
        <v>0</v>
      </c>
      <c r="R27" s="71">
        <f t="shared" si="5"/>
        <v>0</v>
      </c>
      <c r="S27" s="73">
        <v>1.325</v>
      </c>
      <c r="T27" s="75">
        <v>1200</v>
      </c>
      <c r="U27" s="75">
        <v>1.3</v>
      </c>
      <c r="V27" s="75">
        <v>2498</v>
      </c>
      <c r="W27" s="75">
        <v>2881</v>
      </c>
      <c r="X27" s="74">
        <v>2446</v>
      </c>
      <c r="Y27" s="71">
        <f t="shared" si="0"/>
        <v>0</v>
      </c>
      <c r="Z27" s="71">
        <f t="shared" si="6"/>
        <v>0</v>
      </c>
      <c r="AA27" s="71">
        <f t="shared" si="7"/>
        <v>0</v>
      </c>
      <c r="AB27" s="71">
        <f t="shared" si="8"/>
        <v>0</v>
      </c>
      <c r="AC27" s="71">
        <v>1500</v>
      </c>
      <c r="AD27" s="71" t="e">
        <f t="shared" si="9"/>
        <v>#DIV/0!</v>
      </c>
      <c r="AE27" s="76" t="e">
        <f t="shared" si="10"/>
        <v>#DIV/0!</v>
      </c>
    </row>
    <row r="28" spans="1:33" s="68" customFormat="1" ht="14.95" thickBot="1" x14ac:dyDescent="0.3">
      <c r="A28" s="77">
        <f>A27</f>
        <v>46000</v>
      </c>
      <c r="B28" s="78">
        <f t="shared" si="1"/>
        <v>9</v>
      </c>
      <c r="C28" s="79" t="s">
        <v>48</v>
      </c>
      <c r="D28" s="80">
        <v>3</v>
      </c>
      <c r="E28" s="79" t="s">
        <v>49</v>
      </c>
      <c r="F28" s="81">
        <v>4980</v>
      </c>
      <c r="G28" s="82">
        <v>0</v>
      </c>
      <c r="H28" s="56"/>
      <c r="I28" s="56"/>
      <c r="J28" s="88"/>
      <c r="K28" s="88"/>
      <c r="L28" s="88"/>
      <c r="M28" s="79">
        <f t="shared" si="2"/>
        <v>0</v>
      </c>
      <c r="N28" s="81">
        <v>0</v>
      </c>
      <c r="O28" s="83" t="e">
        <f>[2]!Tabla1[[#This Row],[CONSUMO POL CATIONICO (KG)]]</f>
        <v>#REF!</v>
      </c>
      <c r="P28" s="82" t="e">
        <f t="shared" si="3"/>
        <v>#DIV/0!</v>
      </c>
      <c r="Q28" s="79">
        <f t="shared" si="4"/>
        <v>0</v>
      </c>
      <c r="R28" s="79">
        <f t="shared" si="5"/>
        <v>0</v>
      </c>
      <c r="S28" s="81">
        <v>1.325</v>
      </c>
      <c r="T28" s="83">
        <v>1200</v>
      </c>
      <c r="U28" s="83">
        <v>1.3</v>
      </c>
      <c r="V28" s="83">
        <v>2498</v>
      </c>
      <c r="W28" s="83">
        <v>2881</v>
      </c>
      <c r="X28" s="82">
        <v>2446</v>
      </c>
      <c r="Y28" s="79">
        <f t="shared" si="0"/>
        <v>0</v>
      </c>
      <c r="Z28" s="79">
        <f t="shared" si="6"/>
        <v>0</v>
      </c>
      <c r="AA28" s="79">
        <f t="shared" si="7"/>
        <v>0</v>
      </c>
      <c r="AB28" s="79">
        <f t="shared" si="8"/>
        <v>0</v>
      </c>
      <c r="AC28" s="79">
        <v>1500</v>
      </c>
      <c r="AD28" s="79" t="e">
        <f t="shared" si="9"/>
        <v>#DIV/0!</v>
      </c>
      <c r="AE28" s="67" t="e">
        <f t="shared" si="10"/>
        <v>#DIV/0!</v>
      </c>
    </row>
    <row r="29" spans="1:33" s="68" customFormat="1" ht="14.95" thickBot="1" x14ac:dyDescent="0.3">
      <c r="A29" s="60">
        <f>A28+1</f>
        <v>46001</v>
      </c>
      <c r="B29" s="61">
        <f t="shared" si="1"/>
        <v>10</v>
      </c>
      <c r="C29" s="62" t="s">
        <v>44</v>
      </c>
      <c r="D29" s="63">
        <v>1</v>
      </c>
      <c r="E29" s="62" t="s">
        <v>45</v>
      </c>
      <c r="F29" s="64">
        <v>4980</v>
      </c>
      <c r="G29" s="65">
        <v>3</v>
      </c>
      <c r="H29" s="54"/>
      <c r="I29" s="54"/>
      <c r="J29" s="86"/>
      <c r="K29" s="86"/>
      <c r="L29" s="86"/>
      <c r="M29" s="62">
        <f t="shared" si="2"/>
        <v>0</v>
      </c>
      <c r="N29" s="64" t="e">
        <f>[2]!Tabla1[[#This Row],[CONSUMO POL ANIONICO (KG)]]</f>
        <v>#REF!</v>
      </c>
      <c r="O29" s="66" t="e">
        <f>[2]!Tabla1[[#This Row],[CONSUMO POL CATIONICO (KG)]]</f>
        <v>#REF!</v>
      </c>
      <c r="P29" s="65" t="e">
        <f t="shared" si="3"/>
        <v>#DIV/0!</v>
      </c>
      <c r="Q29" s="62">
        <f t="shared" si="4"/>
        <v>0</v>
      </c>
      <c r="R29" s="62">
        <f t="shared" si="5"/>
        <v>0</v>
      </c>
      <c r="S29" s="64">
        <v>1.325</v>
      </c>
      <c r="T29" s="66">
        <v>1200</v>
      </c>
      <c r="U29" s="66">
        <v>1.3</v>
      </c>
      <c r="V29" s="66">
        <v>2498</v>
      </c>
      <c r="W29" s="66">
        <v>2881</v>
      </c>
      <c r="X29" s="65">
        <v>2446</v>
      </c>
      <c r="Y29" s="62">
        <f t="shared" si="0"/>
        <v>0</v>
      </c>
      <c r="Z29" s="62">
        <f t="shared" si="6"/>
        <v>0</v>
      </c>
      <c r="AA29" s="62">
        <f t="shared" si="7"/>
        <v>0</v>
      </c>
      <c r="AB29" s="62">
        <f t="shared" si="8"/>
        <v>0</v>
      </c>
      <c r="AC29" s="62">
        <v>1500</v>
      </c>
      <c r="AD29" s="62" t="e">
        <f t="shared" si="9"/>
        <v>#DIV/0!</v>
      </c>
      <c r="AE29" s="76" t="e">
        <f t="shared" si="10"/>
        <v>#DIV/0!</v>
      </c>
    </row>
    <row r="30" spans="1:33" s="68" customFormat="1" x14ac:dyDescent="0.25">
      <c r="A30" s="69">
        <f>A29</f>
        <v>46001</v>
      </c>
      <c r="B30" s="70">
        <f t="shared" si="1"/>
        <v>10</v>
      </c>
      <c r="C30" s="71" t="s">
        <v>46</v>
      </c>
      <c r="D30" s="72">
        <v>2</v>
      </c>
      <c r="E30" s="71" t="s">
        <v>47</v>
      </c>
      <c r="F30" s="73">
        <v>4750</v>
      </c>
      <c r="G30" s="74">
        <v>8</v>
      </c>
      <c r="H30" s="55"/>
      <c r="I30" s="55"/>
      <c r="J30" s="87"/>
      <c r="K30" s="87"/>
      <c r="L30" s="87"/>
      <c r="M30" s="71">
        <f t="shared" si="2"/>
        <v>0</v>
      </c>
      <c r="N30" s="73" t="e">
        <f>[2]!Tabla1[[#This Row],[CONSUMO POL ANIONICO (KG)]]</f>
        <v>#REF!</v>
      </c>
      <c r="O30" s="75" t="e">
        <f>[2]!Tabla1[[#This Row],[CONSUMO POL CATIONICO (KG)]]</f>
        <v>#REF!</v>
      </c>
      <c r="P30" s="74" t="e">
        <f t="shared" si="3"/>
        <v>#DIV/0!</v>
      </c>
      <c r="Q30" s="71">
        <f t="shared" si="4"/>
        <v>0</v>
      </c>
      <c r="R30" s="71">
        <f t="shared" si="5"/>
        <v>0</v>
      </c>
      <c r="S30" s="73">
        <v>1.325</v>
      </c>
      <c r="T30" s="75">
        <v>1200</v>
      </c>
      <c r="U30" s="75">
        <v>1.3</v>
      </c>
      <c r="V30" s="75">
        <v>2498</v>
      </c>
      <c r="W30" s="75">
        <v>2881</v>
      </c>
      <c r="X30" s="74">
        <v>2446</v>
      </c>
      <c r="Y30" s="71">
        <f t="shared" si="0"/>
        <v>0</v>
      </c>
      <c r="Z30" s="71">
        <f t="shared" si="6"/>
        <v>0</v>
      </c>
      <c r="AA30" s="71">
        <f t="shared" si="7"/>
        <v>0</v>
      </c>
      <c r="AB30" s="71">
        <f t="shared" si="8"/>
        <v>0</v>
      </c>
      <c r="AC30" s="71">
        <v>1500</v>
      </c>
      <c r="AD30" s="62" t="e">
        <f t="shared" si="9"/>
        <v>#DIV/0!</v>
      </c>
      <c r="AE30" s="67" t="e">
        <f t="shared" si="10"/>
        <v>#DIV/0!</v>
      </c>
    </row>
    <row r="31" spans="1:33" s="68" customFormat="1" ht="14.95" thickBot="1" x14ac:dyDescent="0.3">
      <c r="A31" s="77">
        <f>A30</f>
        <v>46001</v>
      </c>
      <c r="B31" s="78">
        <f t="shared" si="1"/>
        <v>10</v>
      </c>
      <c r="C31" s="79" t="s">
        <v>48</v>
      </c>
      <c r="D31" s="80">
        <v>3</v>
      </c>
      <c r="E31" s="79" t="s">
        <v>49</v>
      </c>
      <c r="F31" s="81">
        <v>4330</v>
      </c>
      <c r="G31" s="82">
        <v>6</v>
      </c>
      <c r="H31" s="56"/>
      <c r="I31" s="56"/>
      <c r="J31" s="88"/>
      <c r="K31" s="88"/>
      <c r="L31" s="88"/>
      <c r="M31" s="79">
        <f t="shared" si="2"/>
        <v>0</v>
      </c>
      <c r="N31" s="81" t="e">
        <f>[2]!Tabla1[[#This Row],[CONSUMO POL ANIONICO (KG)]]</f>
        <v>#REF!</v>
      </c>
      <c r="O31" s="83" t="e">
        <f>[2]!Tabla1[[#This Row],[CONSUMO POL CATIONICO (KG)]]</f>
        <v>#REF!</v>
      </c>
      <c r="P31" s="82" t="e">
        <f t="shared" si="3"/>
        <v>#DIV/0!</v>
      </c>
      <c r="Q31" s="79">
        <f t="shared" si="4"/>
        <v>0</v>
      </c>
      <c r="R31" s="79">
        <f t="shared" si="5"/>
        <v>0</v>
      </c>
      <c r="S31" s="81">
        <v>1.325</v>
      </c>
      <c r="T31" s="83">
        <v>1200</v>
      </c>
      <c r="U31" s="83">
        <v>1.3</v>
      </c>
      <c r="V31" s="83">
        <v>2498</v>
      </c>
      <c r="W31" s="83">
        <v>2881</v>
      </c>
      <c r="X31" s="82">
        <v>2446</v>
      </c>
      <c r="Y31" s="79">
        <f t="shared" si="0"/>
        <v>0</v>
      </c>
      <c r="Z31" s="79">
        <f t="shared" si="6"/>
        <v>0</v>
      </c>
      <c r="AA31" s="79">
        <f t="shared" si="7"/>
        <v>0</v>
      </c>
      <c r="AB31" s="79">
        <f t="shared" si="8"/>
        <v>0</v>
      </c>
      <c r="AC31" s="79">
        <v>1500</v>
      </c>
      <c r="AD31" s="71" t="e">
        <f t="shared" si="9"/>
        <v>#DIV/0!</v>
      </c>
      <c r="AE31" s="76" t="e">
        <f t="shared" si="10"/>
        <v>#DIV/0!</v>
      </c>
    </row>
    <row r="32" spans="1:33" s="68" customFormat="1" ht="14.95" thickBot="1" x14ac:dyDescent="0.3">
      <c r="A32" s="60">
        <f>A31+1</f>
        <v>46002</v>
      </c>
      <c r="B32" s="61">
        <f t="shared" si="1"/>
        <v>11</v>
      </c>
      <c r="C32" s="62" t="s">
        <v>44</v>
      </c>
      <c r="D32" s="63">
        <v>1</v>
      </c>
      <c r="E32" s="62" t="s">
        <v>45</v>
      </c>
      <c r="F32" s="64">
        <v>4100</v>
      </c>
      <c r="G32" s="65">
        <v>6</v>
      </c>
      <c r="H32" s="54"/>
      <c r="I32" s="54"/>
      <c r="J32" s="86"/>
      <c r="K32" s="86"/>
      <c r="L32" s="86"/>
      <c r="M32" s="62">
        <f t="shared" si="2"/>
        <v>0</v>
      </c>
      <c r="N32" s="64" t="e">
        <f>[2]!Tabla1[[#This Row],[CONSUMO POL ANIONICO (KG)]]</f>
        <v>#REF!</v>
      </c>
      <c r="O32" s="66" t="e">
        <f>[2]!Tabla1[[#This Row],[CONSUMO POL CATIONICO (KG)]]</f>
        <v>#REF!</v>
      </c>
      <c r="P32" s="65" t="e">
        <f t="shared" si="3"/>
        <v>#DIV/0!</v>
      </c>
      <c r="Q32" s="62">
        <f t="shared" si="4"/>
        <v>0</v>
      </c>
      <c r="R32" s="62">
        <f t="shared" si="5"/>
        <v>0</v>
      </c>
      <c r="S32" s="64">
        <v>1.325</v>
      </c>
      <c r="T32" s="66">
        <v>1200</v>
      </c>
      <c r="U32" s="66">
        <v>1.3</v>
      </c>
      <c r="V32" s="66">
        <v>2498</v>
      </c>
      <c r="W32" s="66">
        <v>2881</v>
      </c>
      <c r="X32" s="65">
        <v>2446</v>
      </c>
      <c r="Y32" s="62">
        <f t="shared" si="0"/>
        <v>0</v>
      </c>
      <c r="Z32" s="62">
        <f t="shared" si="6"/>
        <v>0</v>
      </c>
      <c r="AA32" s="62">
        <f t="shared" si="7"/>
        <v>0</v>
      </c>
      <c r="AB32" s="62">
        <f t="shared" si="8"/>
        <v>0</v>
      </c>
      <c r="AC32" s="62">
        <v>1500</v>
      </c>
      <c r="AD32" s="79" t="e">
        <f t="shared" si="9"/>
        <v>#DIV/0!</v>
      </c>
      <c r="AE32" s="67" t="e">
        <f t="shared" si="10"/>
        <v>#DIV/0!</v>
      </c>
    </row>
    <row r="33" spans="1:31" s="68" customFormat="1" ht="14.95" thickBot="1" x14ac:dyDescent="0.3">
      <c r="A33" s="69">
        <f>A32</f>
        <v>46002</v>
      </c>
      <c r="B33" s="70">
        <f t="shared" si="1"/>
        <v>11</v>
      </c>
      <c r="C33" s="71" t="s">
        <v>46</v>
      </c>
      <c r="D33" s="72">
        <v>2</v>
      </c>
      <c r="E33" s="71" t="s">
        <v>47</v>
      </c>
      <c r="F33" s="73">
        <v>3840</v>
      </c>
      <c r="G33" s="74">
        <v>8</v>
      </c>
      <c r="H33" s="55"/>
      <c r="I33" s="55"/>
      <c r="J33" s="87"/>
      <c r="K33" s="87"/>
      <c r="L33" s="87"/>
      <c r="M33" s="71">
        <f t="shared" si="2"/>
        <v>0</v>
      </c>
      <c r="N33" s="73" t="e">
        <f>[2]!Tabla1[[#This Row],[CONSUMO POL ANIONICO (KG)]]</f>
        <v>#REF!</v>
      </c>
      <c r="O33" s="75" t="e">
        <f>[2]!Tabla1[[#This Row],[CONSUMO POL CATIONICO (KG)]]</f>
        <v>#REF!</v>
      </c>
      <c r="P33" s="74" t="e">
        <f t="shared" si="3"/>
        <v>#DIV/0!</v>
      </c>
      <c r="Q33" s="71">
        <f t="shared" si="4"/>
        <v>0</v>
      </c>
      <c r="R33" s="71">
        <f t="shared" si="5"/>
        <v>0</v>
      </c>
      <c r="S33" s="73">
        <v>1.325</v>
      </c>
      <c r="T33" s="75">
        <v>1200</v>
      </c>
      <c r="U33" s="75">
        <v>1.3</v>
      </c>
      <c r="V33" s="75">
        <v>2498</v>
      </c>
      <c r="W33" s="75">
        <v>2881</v>
      </c>
      <c r="X33" s="74">
        <v>2446</v>
      </c>
      <c r="Y33" s="71">
        <f t="shared" si="0"/>
        <v>0</v>
      </c>
      <c r="Z33" s="71">
        <f t="shared" si="6"/>
        <v>0</v>
      </c>
      <c r="AA33" s="71">
        <f t="shared" si="7"/>
        <v>0</v>
      </c>
      <c r="AB33" s="71">
        <f t="shared" si="8"/>
        <v>0</v>
      </c>
      <c r="AC33" s="71">
        <v>1500</v>
      </c>
      <c r="AD33" s="62" t="e">
        <f t="shared" si="9"/>
        <v>#DIV/0!</v>
      </c>
      <c r="AE33" s="76" t="e">
        <f t="shared" si="10"/>
        <v>#DIV/0!</v>
      </c>
    </row>
    <row r="34" spans="1:31" s="68" customFormat="1" ht="14.95" thickBot="1" x14ac:dyDescent="0.3">
      <c r="A34" s="77">
        <f>A33</f>
        <v>46002</v>
      </c>
      <c r="B34" s="78">
        <f t="shared" si="1"/>
        <v>11</v>
      </c>
      <c r="C34" s="79" t="s">
        <v>48</v>
      </c>
      <c r="D34" s="80">
        <v>3</v>
      </c>
      <c r="E34" s="79" t="s">
        <v>49</v>
      </c>
      <c r="F34" s="81">
        <v>3110</v>
      </c>
      <c r="G34" s="82">
        <v>6</v>
      </c>
      <c r="H34" s="56"/>
      <c r="I34" s="56"/>
      <c r="J34" s="88"/>
      <c r="K34" s="88"/>
      <c r="L34" s="88"/>
      <c r="M34" s="79">
        <f t="shared" si="2"/>
        <v>0</v>
      </c>
      <c r="N34" s="81" t="e">
        <f>[2]!Tabla1[[#This Row],[CONSUMO POL ANIONICO (KG)]]</f>
        <v>#REF!</v>
      </c>
      <c r="O34" s="83" t="e">
        <f>[2]!Tabla1[[#This Row],[CONSUMO POL CATIONICO (KG)]]</f>
        <v>#REF!</v>
      </c>
      <c r="P34" s="82" t="e">
        <f t="shared" ref="P34:P65" si="11">(M34*1000)/H34</f>
        <v>#DIV/0!</v>
      </c>
      <c r="Q34" s="79">
        <f t="shared" si="4"/>
        <v>0</v>
      </c>
      <c r="R34" s="79">
        <f t="shared" si="5"/>
        <v>0</v>
      </c>
      <c r="S34" s="81">
        <v>1.325</v>
      </c>
      <c r="T34" s="83">
        <v>1200</v>
      </c>
      <c r="U34" s="83">
        <v>1.3</v>
      </c>
      <c r="V34" s="83">
        <v>2498</v>
      </c>
      <c r="W34" s="83">
        <v>2881</v>
      </c>
      <c r="X34" s="82">
        <v>2446</v>
      </c>
      <c r="Y34" s="79">
        <f t="shared" ref="Y34:Y65" si="12">M34*V34</f>
        <v>0</v>
      </c>
      <c r="Z34" s="79">
        <f t="shared" si="6"/>
        <v>0</v>
      </c>
      <c r="AA34" s="79">
        <f t="shared" si="7"/>
        <v>0</v>
      </c>
      <c r="AB34" s="79">
        <f t="shared" si="8"/>
        <v>0</v>
      </c>
      <c r="AC34" s="79">
        <v>1500</v>
      </c>
      <c r="AD34" s="62" t="e">
        <f t="shared" si="9"/>
        <v>#DIV/0!</v>
      </c>
      <c r="AE34" s="67" t="e">
        <f t="shared" si="10"/>
        <v>#DIV/0!</v>
      </c>
    </row>
    <row r="35" spans="1:31" s="68" customFormat="1" ht="14.95" thickBot="1" x14ac:dyDescent="0.3">
      <c r="A35" s="60">
        <f>A34+1</f>
        <v>46003</v>
      </c>
      <c r="B35" s="61">
        <f t="shared" si="1"/>
        <v>12</v>
      </c>
      <c r="C35" s="62" t="s">
        <v>44</v>
      </c>
      <c r="D35" s="63">
        <v>1</v>
      </c>
      <c r="E35" s="62" t="s">
        <v>45</v>
      </c>
      <c r="F35" s="64">
        <v>3110</v>
      </c>
      <c r="G35" s="65">
        <v>6</v>
      </c>
      <c r="H35" s="54"/>
      <c r="I35" s="54"/>
      <c r="J35" s="86"/>
      <c r="K35" s="86"/>
      <c r="L35" s="86"/>
      <c r="M35" s="62">
        <f t="shared" si="2"/>
        <v>0</v>
      </c>
      <c r="N35" s="64" t="e">
        <f>[2]!Tabla1[[#This Row],[CONSUMO POL ANIONICO (KG)]]</f>
        <v>#REF!</v>
      </c>
      <c r="O35" s="66" t="e">
        <f>[2]!Tabla1[[#This Row],[CONSUMO POL CATIONICO (KG)]]</f>
        <v>#REF!</v>
      </c>
      <c r="P35" s="65" t="e">
        <f t="shared" si="11"/>
        <v>#DIV/0!</v>
      </c>
      <c r="Q35" s="62">
        <f t="shared" si="4"/>
        <v>0</v>
      </c>
      <c r="R35" s="62">
        <f t="shared" si="5"/>
        <v>0</v>
      </c>
      <c r="S35" s="64">
        <v>1.325</v>
      </c>
      <c r="T35" s="66">
        <v>1200</v>
      </c>
      <c r="U35" s="66">
        <v>1.3</v>
      </c>
      <c r="V35" s="66">
        <v>2498</v>
      </c>
      <c r="W35" s="66">
        <v>2881</v>
      </c>
      <c r="X35" s="65">
        <v>2446</v>
      </c>
      <c r="Y35" s="62">
        <f t="shared" si="12"/>
        <v>0</v>
      </c>
      <c r="Z35" s="62">
        <f t="shared" ref="Z35:Z66" si="13">Q35*W35</f>
        <v>0</v>
      </c>
      <c r="AA35" s="62">
        <f t="shared" si="7"/>
        <v>0</v>
      </c>
      <c r="AB35" s="62">
        <f t="shared" si="8"/>
        <v>0</v>
      </c>
      <c r="AC35" s="62">
        <v>1500</v>
      </c>
      <c r="AD35" s="71" t="e">
        <f t="shared" si="9"/>
        <v>#DIV/0!</v>
      </c>
      <c r="AE35" s="76" t="e">
        <f t="shared" si="10"/>
        <v>#DIV/0!</v>
      </c>
    </row>
    <row r="36" spans="1:31" s="68" customFormat="1" ht="14.95" thickBot="1" x14ac:dyDescent="0.3">
      <c r="A36" s="69">
        <f>A35</f>
        <v>46003</v>
      </c>
      <c r="B36" s="70">
        <f t="shared" si="1"/>
        <v>12</v>
      </c>
      <c r="C36" s="71" t="s">
        <v>46</v>
      </c>
      <c r="D36" s="72">
        <v>2</v>
      </c>
      <c r="E36" s="71" t="s">
        <v>47</v>
      </c>
      <c r="F36" s="73">
        <v>2730</v>
      </c>
      <c r="G36" s="74">
        <v>6</v>
      </c>
      <c r="H36" s="55"/>
      <c r="I36" s="55"/>
      <c r="J36" s="87"/>
      <c r="K36" s="87"/>
      <c r="L36" s="87"/>
      <c r="M36" s="71">
        <f t="shared" si="2"/>
        <v>0</v>
      </c>
      <c r="N36" s="73" t="e">
        <f>[2]!Tabla1[[#This Row],[CONSUMO POL ANIONICO (KG)]]</f>
        <v>#REF!</v>
      </c>
      <c r="O36" s="75" t="e">
        <f>[2]!Tabla1[[#This Row],[CONSUMO POL CATIONICO (KG)]]</f>
        <v>#REF!</v>
      </c>
      <c r="P36" s="74" t="e">
        <f t="shared" si="11"/>
        <v>#DIV/0!</v>
      </c>
      <c r="Q36" s="71">
        <f t="shared" si="4"/>
        <v>0</v>
      </c>
      <c r="R36" s="71">
        <f t="shared" si="5"/>
        <v>0</v>
      </c>
      <c r="S36" s="73">
        <v>1.325</v>
      </c>
      <c r="T36" s="75">
        <v>1200</v>
      </c>
      <c r="U36" s="75">
        <v>1.3</v>
      </c>
      <c r="V36" s="75">
        <v>2498</v>
      </c>
      <c r="W36" s="75">
        <v>2881</v>
      </c>
      <c r="X36" s="74">
        <v>2446</v>
      </c>
      <c r="Y36" s="71">
        <f t="shared" si="12"/>
        <v>0</v>
      </c>
      <c r="Z36" s="71">
        <f t="shared" si="13"/>
        <v>0</v>
      </c>
      <c r="AA36" s="71">
        <f t="shared" si="7"/>
        <v>0</v>
      </c>
      <c r="AB36" s="71">
        <f t="shared" si="8"/>
        <v>0</v>
      </c>
      <c r="AC36" s="71">
        <v>1500</v>
      </c>
      <c r="AD36" s="79" t="e">
        <f t="shared" si="9"/>
        <v>#DIV/0!</v>
      </c>
      <c r="AE36" s="67" t="e">
        <f t="shared" si="10"/>
        <v>#DIV/0!</v>
      </c>
    </row>
    <row r="37" spans="1:31" s="68" customFormat="1" ht="14.95" thickBot="1" x14ac:dyDescent="0.3">
      <c r="A37" s="77">
        <f>A36</f>
        <v>46003</v>
      </c>
      <c r="B37" s="78">
        <f t="shared" si="1"/>
        <v>12</v>
      </c>
      <c r="C37" s="79" t="s">
        <v>48</v>
      </c>
      <c r="D37" s="80">
        <v>3</v>
      </c>
      <c r="E37" s="79" t="s">
        <v>49</v>
      </c>
      <c r="F37" s="81">
        <v>2400</v>
      </c>
      <c r="G37" s="82">
        <v>4</v>
      </c>
      <c r="H37" s="56"/>
      <c r="I37" s="56"/>
      <c r="J37" s="88"/>
      <c r="K37" s="88"/>
      <c r="L37" s="88"/>
      <c r="M37" s="79">
        <f t="shared" si="2"/>
        <v>0</v>
      </c>
      <c r="N37" s="81" t="e">
        <f>[2]!Tabla1[[#This Row],[CONSUMO POL ANIONICO (KG)]]</f>
        <v>#REF!</v>
      </c>
      <c r="O37" s="83" t="e">
        <f>[2]!Tabla1[[#This Row],[CONSUMO POL CATIONICO (KG)]]</f>
        <v>#REF!</v>
      </c>
      <c r="P37" s="82" t="e">
        <f t="shared" si="11"/>
        <v>#DIV/0!</v>
      </c>
      <c r="Q37" s="79">
        <f t="shared" si="4"/>
        <v>0</v>
      </c>
      <c r="R37" s="79">
        <f t="shared" si="5"/>
        <v>0</v>
      </c>
      <c r="S37" s="81">
        <v>1.325</v>
      </c>
      <c r="T37" s="83">
        <v>1200</v>
      </c>
      <c r="U37" s="83">
        <v>1.3</v>
      </c>
      <c r="V37" s="83">
        <v>2498</v>
      </c>
      <c r="W37" s="83">
        <v>2881</v>
      </c>
      <c r="X37" s="82">
        <v>2446</v>
      </c>
      <c r="Y37" s="79">
        <f t="shared" si="12"/>
        <v>0</v>
      </c>
      <c r="Z37" s="79">
        <f t="shared" si="13"/>
        <v>0</v>
      </c>
      <c r="AA37" s="79">
        <f t="shared" si="7"/>
        <v>0</v>
      </c>
      <c r="AB37" s="79">
        <f t="shared" si="8"/>
        <v>0</v>
      </c>
      <c r="AC37" s="79">
        <v>1500</v>
      </c>
      <c r="AD37" s="62" t="e">
        <f t="shared" si="9"/>
        <v>#DIV/0!</v>
      </c>
      <c r="AE37" s="76" t="e">
        <f t="shared" si="10"/>
        <v>#DIV/0!</v>
      </c>
    </row>
    <row r="38" spans="1:31" s="68" customFormat="1" x14ac:dyDescent="0.25">
      <c r="A38" s="60">
        <f>A37+1</f>
        <v>46004</v>
      </c>
      <c r="B38" s="61">
        <f t="shared" si="1"/>
        <v>13</v>
      </c>
      <c r="C38" s="62" t="s">
        <v>44</v>
      </c>
      <c r="D38" s="63">
        <v>1</v>
      </c>
      <c r="E38" s="62" t="s">
        <v>45</v>
      </c>
      <c r="F38" s="64">
        <v>1860</v>
      </c>
      <c r="G38" s="65">
        <v>4</v>
      </c>
      <c r="H38" s="54"/>
      <c r="I38" s="54"/>
      <c r="J38" s="86"/>
      <c r="K38" s="86"/>
      <c r="L38" s="86"/>
      <c r="M38" s="62">
        <f t="shared" si="2"/>
        <v>0</v>
      </c>
      <c r="N38" s="64" t="e">
        <f>[2]!Tabla1[[#This Row],[CONSUMO POL ANIONICO (KG)]]</f>
        <v>#REF!</v>
      </c>
      <c r="O38" s="66" t="e">
        <f>[2]!Tabla1[[#This Row],[CONSUMO POL CATIONICO (KG)]]</f>
        <v>#REF!</v>
      </c>
      <c r="P38" s="65" t="e">
        <f t="shared" si="11"/>
        <v>#DIV/0!</v>
      </c>
      <c r="Q38" s="62">
        <f t="shared" si="4"/>
        <v>0</v>
      </c>
      <c r="R38" s="62">
        <f t="shared" si="5"/>
        <v>0</v>
      </c>
      <c r="S38" s="64">
        <v>1.325</v>
      </c>
      <c r="T38" s="66">
        <v>1200</v>
      </c>
      <c r="U38" s="66">
        <v>1.3</v>
      </c>
      <c r="V38" s="66">
        <v>2498</v>
      </c>
      <c r="W38" s="66">
        <v>2881</v>
      </c>
      <c r="X38" s="65">
        <v>2446</v>
      </c>
      <c r="Y38" s="62">
        <f t="shared" si="12"/>
        <v>0</v>
      </c>
      <c r="Z38" s="62">
        <f t="shared" si="13"/>
        <v>0</v>
      </c>
      <c r="AA38" s="62">
        <f t="shared" si="7"/>
        <v>0</v>
      </c>
      <c r="AB38" s="62">
        <f t="shared" si="8"/>
        <v>0</v>
      </c>
      <c r="AC38" s="62">
        <v>1500</v>
      </c>
      <c r="AD38" s="62" t="e">
        <f t="shared" si="9"/>
        <v>#DIV/0!</v>
      </c>
      <c r="AE38" s="67" t="e">
        <f t="shared" si="10"/>
        <v>#DIV/0!</v>
      </c>
    </row>
    <row r="39" spans="1:31" s="68" customFormat="1" ht="14.95" thickBot="1" x14ac:dyDescent="0.3">
      <c r="A39" s="69">
        <f>A38</f>
        <v>46004</v>
      </c>
      <c r="B39" s="70">
        <f t="shared" si="1"/>
        <v>13</v>
      </c>
      <c r="C39" s="71" t="s">
        <v>46</v>
      </c>
      <c r="D39" s="72">
        <v>2</v>
      </c>
      <c r="E39" s="71" t="s">
        <v>47</v>
      </c>
      <c r="F39" s="73">
        <v>1540</v>
      </c>
      <c r="G39" s="74">
        <v>8</v>
      </c>
      <c r="H39" s="55"/>
      <c r="I39" s="55"/>
      <c r="J39" s="87"/>
      <c r="K39" s="87"/>
      <c r="L39" s="87"/>
      <c r="M39" s="71">
        <f t="shared" si="2"/>
        <v>0</v>
      </c>
      <c r="N39" s="73" t="e">
        <f>[2]!Tabla1[[#This Row],[CONSUMO POL ANIONICO (KG)]]</f>
        <v>#REF!</v>
      </c>
      <c r="O39" s="75" t="e">
        <f>[2]!Tabla1[[#This Row],[CONSUMO POL CATIONICO (KG)]]</f>
        <v>#REF!</v>
      </c>
      <c r="P39" s="74" t="e">
        <f t="shared" si="11"/>
        <v>#DIV/0!</v>
      </c>
      <c r="Q39" s="71">
        <f t="shared" si="4"/>
        <v>0</v>
      </c>
      <c r="R39" s="71">
        <f t="shared" si="5"/>
        <v>0</v>
      </c>
      <c r="S39" s="73">
        <v>1.325</v>
      </c>
      <c r="T39" s="75">
        <v>1200</v>
      </c>
      <c r="U39" s="75">
        <v>1.3</v>
      </c>
      <c r="V39" s="75">
        <v>2498</v>
      </c>
      <c r="W39" s="75">
        <v>2881</v>
      </c>
      <c r="X39" s="74">
        <v>2446</v>
      </c>
      <c r="Y39" s="71">
        <f t="shared" si="12"/>
        <v>0</v>
      </c>
      <c r="Z39" s="71">
        <f t="shared" si="13"/>
        <v>0</v>
      </c>
      <c r="AA39" s="71">
        <f t="shared" si="7"/>
        <v>0</v>
      </c>
      <c r="AB39" s="71">
        <f t="shared" si="8"/>
        <v>0</v>
      </c>
      <c r="AC39" s="71">
        <v>1500</v>
      </c>
      <c r="AD39" s="71" t="e">
        <f t="shared" si="9"/>
        <v>#DIV/0!</v>
      </c>
      <c r="AE39" s="76" t="e">
        <f t="shared" si="10"/>
        <v>#DIV/0!</v>
      </c>
    </row>
    <row r="40" spans="1:31" s="68" customFormat="1" ht="14.95" thickBot="1" x14ac:dyDescent="0.3">
      <c r="A40" s="77">
        <f>A39</f>
        <v>46004</v>
      </c>
      <c r="B40" s="78">
        <f t="shared" si="1"/>
        <v>13</v>
      </c>
      <c r="C40" s="79" t="s">
        <v>48</v>
      </c>
      <c r="D40" s="80">
        <v>3</v>
      </c>
      <c r="E40" s="79" t="s">
        <v>49</v>
      </c>
      <c r="F40" s="81">
        <v>1300</v>
      </c>
      <c r="G40" s="82">
        <v>7</v>
      </c>
      <c r="H40" s="56"/>
      <c r="I40" s="56"/>
      <c r="J40" s="88"/>
      <c r="K40" s="88"/>
      <c r="L40" s="88"/>
      <c r="M40" s="79">
        <f t="shared" si="2"/>
        <v>0</v>
      </c>
      <c r="N40" s="81" t="e">
        <f>[2]!Tabla1[[#This Row],[CONSUMO POL ANIONICO (KG)]]</f>
        <v>#REF!</v>
      </c>
      <c r="O40" s="83" t="e">
        <f>[2]!Tabla1[[#This Row],[CONSUMO POL CATIONICO (KG)]]</f>
        <v>#REF!</v>
      </c>
      <c r="P40" s="82" t="e">
        <f t="shared" si="11"/>
        <v>#DIV/0!</v>
      </c>
      <c r="Q40" s="79">
        <f t="shared" si="4"/>
        <v>0</v>
      </c>
      <c r="R40" s="79">
        <f t="shared" si="5"/>
        <v>0</v>
      </c>
      <c r="S40" s="81">
        <v>1.325</v>
      </c>
      <c r="T40" s="83">
        <v>1200</v>
      </c>
      <c r="U40" s="83">
        <v>1.3</v>
      </c>
      <c r="V40" s="83">
        <v>2498</v>
      </c>
      <c r="W40" s="83">
        <v>2881</v>
      </c>
      <c r="X40" s="82">
        <v>2446</v>
      </c>
      <c r="Y40" s="79">
        <f t="shared" si="12"/>
        <v>0</v>
      </c>
      <c r="Z40" s="79">
        <f t="shared" si="13"/>
        <v>0</v>
      </c>
      <c r="AA40" s="79">
        <f t="shared" si="7"/>
        <v>0</v>
      </c>
      <c r="AB40" s="79">
        <f t="shared" si="8"/>
        <v>0</v>
      </c>
      <c r="AC40" s="79">
        <v>1500</v>
      </c>
      <c r="AD40" s="79" t="e">
        <f t="shared" si="9"/>
        <v>#DIV/0!</v>
      </c>
      <c r="AE40" s="67" t="e">
        <f t="shared" si="10"/>
        <v>#DIV/0!</v>
      </c>
    </row>
    <row r="41" spans="1:31" s="68" customFormat="1" ht="14.95" thickBot="1" x14ac:dyDescent="0.3">
      <c r="A41" s="60">
        <f>A40+1</f>
        <v>46005</v>
      </c>
      <c r="B41" s="61">
        <f t="shared" si="1"/>
        <v>14</v>
      </c>
      <c r="C41" s="62" t="s">
        <v>44</v>
      </c>
      <c r="D41" s="63">
        <v>1</v>
      </c>
      <c r="E41" s="62" t="s">
        <v>45</v>
      </c>
      <c r="F41" s="64">
        <v>1100</v>
      </c>
      <c r="G41" s="65">
        <v>8</v>
      </c>
      <c r="H41" s="54"/>
      <c r="I41" s="54"/>
      <c r="J41" s="86"/>
      <c r="K41" s="86"/>
      <c r="L41" s="86"/>
      <c r="M41" s="62">
        <f t="shared" si="2"/>
        <v>0</v>
      </c>
      <c r="N41" s="64" t="e">
        <f>[2]!Tabla1[[#This Row],[CONSUMO POL ANIONICO (KG)]]</f>
        <v>#REF!</v>
      </c>
      <c r="O41" s="66" t="e">
        <f>[2]!Tabla1[[#This Row],[CONSUMO POL CATIONICO (KG)]]</f>
        <v>#REF!</v>
      </c>
      <c r="P41" s="65" t="e">
        <f t="shared" si="11"/>
        <v>#DIV/0!</v>
      </c>
      <c r="Q41" s="62">
        <f t="shared" si="4"/>
        <v>0</v>
      </c>
      <c r="R41" s="62">
        <f t="shared" si="5"/>
        <v>0</v>
      </c>
      <c r="S41" s="64">
        <v>1.325</v>
      </c>
      <c r="T41" s="66">
        <v>1200</v>
      </c>
      <c r="U41" s="66">
        <v>1.3</v>
      </c>
      <c r="V41" s="66">
        <v>2498</v>
      </c>
      <c r="W41" s="66">
        <v>2881</v>
      </c>
      <c r="X41" s="65">
        <v>2446</v>
      </c>
      <c r="Y41" s="62">
        <f t="shared" si="12"/>
        <v>0</v>
      </c>
      <c r="Z41" s="62">
        <f t="shared" si="13"/>
        <v>0</v>
      </c>
      <c r="AA41" s="62">
        <f t="shared" si="7"/>
        <v>0</v>
      </c>
      <c r="AB41" s="62">
        <f t="shared" si="8"/>
        <v>0</v>
      </c>
      <c r="AC41" s="62">
        <v>1500</v>
      </c>
      <c r="AD41" s="62" t="e">
        <f t="shared" si="9"/>
        <v>#DIV/0!</v>
      </c>
      <c r="AE41" s="76" t="e">
        <f t="shared" si="10"/>
        <v>#DIV/0!</v>
      </c>
    </row>
    <row r="42" spans="1:31" s="68" customFormat="1" x14ac:dyDescent="0.25">
      <c r="A42" s="69">
        <f>A41</f>
        <v>46005</v>
      </c>
      <c r="B42" s="70">
        <f t="shared" si="1"/>
        <v>14</v>
      </c>
      <c r="C42" s="71" t="s">
        <v>46</v>
      </c>
      <c r="D42" s="72">
        <v>2</v>
      </c>
      <c r="E42" s="71" t="s">
        <v>47</v>
      </c>
      <c r="F42" s="73">
        <v>960</v>
      </c>
      <c r="G42" s="74">
        <v>8</v>
      </c>
      <c r="H42" s="55"/>
      <c r="I42" s="55"/>
      <c r="J42" s="87"/>
      <c r="K42" s="87"/>
      <c r="L42" s="87"/>
      <c r="M42" s="71">
        <f t="shared" si="2"/>
        <v>0</v>
      </c>
      <c r="N42" s="73" t="e">
        <f>[2]!Tabla1[[#This Row],[CONSUMO POL ANIONICO (KG)]]</f>
        <v>#REF!</v>
      </c>
      <c r="O42" s="75" t="e">
        <f>[2]!Tabla1[[#This Row],[CONSUMO POL CATIONICO (KG)]]</f>
        <v>#REF!</v>
      </c>
      <c r="P42" s="74" t="e">
        <f t="shared" si="11"/>
        <v>#DIV/0!</v>
      </c>
      <c r="Q42" s="71">
        <f t="shared" si="4"/>
        <v>0</v>
      </c>
      <c r="R42" s="71">
        <f t="shared" si="5"/>
        <v>0</v>
      </c>
      <c r="S42" s="73">
        <v>1.325</v>
      </c>
      <c r="T42" s="75">
        <v>1200</v>
      </c>
      <c r="U42" s="75">
        <v>1.3</v>
      </c>
      <c r="V42" s="75">
        <v>2498</v>
      </c>
      <c r="W42" s="75">
        <v>2881</v>
      </c>
      <c r="X42" s="74">
        <v>2446</v>
      </c>
      <c r="Y42" s="71">
        <f t="shared" si="12"/>
        <v>0</v>
      </c>
      <c r="Z42" s="71">
        <f t="shared" si="13"/>
        <v>0</v>
      </c>
      <c r="AA42" s="71">
        <f t="shared" si="7"/>
        <v>0</v>
      </c>
      <c r="AB42" s="71">
        <f t="shared" si="8"/>
        <v>0</v>
      </c>
      <c r="AC42" s="71">
        <v>1500</v>
      </c>
      <c r="AD42" s="62" t="e">
        <f t="shared" si="9"/>
        <v>#DIV/0!</v>
      </c>
      <c r="AE42" s="67" t="e">
        <f t="shared" si="10"/>
        <v>#DIV/0!</v>
      </c>
    </row>
    <row r="43" spans="1:31" s="68" customFormat="1" ht="14.95" thickBot="1" x14ac:dyDescent="0.3">
      <c r="A43" s="77">
        <f>A42</f>
        <v>46005</v>
      </c>
      <c r="B43" s="78">
        <f t="shared" si="1"/>
        <v>14</v>
      </c>
      <c r="C43" s="79" t="s">
        <v>48</v>
      </c>
      <c r="D43" s="80">
        <v>3</v>
      </c>
      <c r="E43" s="79" t="s">
        <v>49</v>
      </c>
      <c r="F43" s="81">
        <v>665</v>
      </c>
      <c r="G43" s="82">
        <v>7</v>
      </c>
      <c r="H43" s="56"/>
      <c r="I43" s="56"/>
      <c r="J43" s="88"/>
      <c r="K43" s="88"/>
      <c r="L43" s="88"/>
      <c r="M43" s="79">
        <f t="shared" si="2"/>
        <v>0</v>
      </c>
      <c r="N43" s="81" t="e">
        <f>[2]!Tabla1[[#This Row],[CONSUMO POL ANIONICO (KG)]]</f>
        <v>#REF!</v>
      </c>
      <c r="O43" s="83" t="e">
        <f>[2]!Tabla1[[#This Row],[CONSUMO POL CATIONICO (KG)]]</f>
        <v>#REF!</v>
      </c>
      <c r="P43" s="82" t="e">
        <f t="shared" si="11"/>
        <v>#DIV/0!</v>
      </c>
      <c r="Q43" s="79">
        <f t="shared" si="4"/>
        <v>0</v>
      </c>
      <c r="R43" s="79">
        <f t="shared" si="5"/>
        <v>0</v>
      </c>
      <c r="S43" s="81">
        <v>1.325</v>
      </c>
      <c r="T43" s="83">
        <v>1200</v>
      </c>
      <c r="U43" s="83">
        <v>1.3</v>
      </c>
      <c r="V43" s="83">
        <v>2498</v>
      </c>
      <c r="W43" s="83">
        <v>2881</v>
      </c>
      <c r="X43" s="82">
        <v>2446</v>
      </c>
      <c r="Y43" s="79">
        <f t="shared" si="12"/>
        <v>0</v>
      </c>
      <c r="Z43" s="79">
        <f t="shared" si="13"/>
        <v>0</v>
      </c>
      <c r="AA43" s="79">
        <f t="shared" si="7"/>
        <v>0</v>
      </c>
      <c r="AB43" s="79">
        <f t="shared" si="8"/>
        <v>0</v>
      </c>
      <c r="AC43" s="79">
        <v>1500</v>
      </c>
      <c r="AD43" s="71" t="e">
        <f t="shared" si="9"/>
        <v>#DIV/0!</v>
      </c>
      <c r="AE43" s="76" t="e">
        <f t="shared" si="10"/>
        <v>#DIV/0!</v>
      </c>
    </row>
    <row r="44" spans="1:31" s="68" customFormat="1" ht="14.95" thickBot="1" x14ac:dyDescent="0.3">
      <c r="A44" s="60">
        <f>A43+1</f>
        <v>46006</v>
      </c>
      <c r="B44" s="61">
        <f t="shared" si="1"/>
        <v>15</v>
      </c>
      <c r="C44" s="62" t="s">
        <v>44</v>
      </c>
      <c r="D44" s="63">
        <v>1</v>
      </c>
      <c r="E44" s="62" t="s">
        <v>45</v>
      </c>
      <c r="F44" s="64">
        <v>7000</v>
      </c>
      <c r="G44" s="65">
        <v>7</v>
      </c>
      <c r="H44" s="54"/>
      <c r="I44" s="54"/>
      <c r="J44" s="86"/>
      <c r="K44" s="86"/>
      <c r="L44" s="86"/>
      <c r="M44" s="62">
        <f t="shared" si="2"/>
        <v>0</v>
      </c>
      <c r="N44" s="64" t="e">
        <f>[2]!Tabla1[[#This Row],[CONSUMO POL ANIONICO (KG)]]</f>
        <v>#REF!</v>
      </c>
      <c r="O44" s="66" t="e">
        <f>[2]!Tabla1[[#This Row],[CONSUMO POL CATIONICO (KG)]]</f>
        <v>#REF!</v>
      </c>
      <c r="P44" s="65" t="e">
        <f t="shared" si="11"/>
        <v>#DIV/0!</v>
      </c>
      <c r="Q44" s="62">
        <f t="shared" si="4"/>
        <v>0</v>
      </c>
      <c r="R44" s="62">
        <f t="shared" si="5"/>
        <v>0</v>
      </c>
      <c r="S44" s="64">
        <v>1.325</v>
      </c>
      <c r="T44" s="66">
        <v>1200</v>
      </c>
      <c r="U44" s="66">
        <v>1.3</v>
      </c>
      <c r="V44" s="66">
        <v>2498</v>
      </c>
      <c r="W44" s="66">
        <v>2881</v>
      </c>
      <c r="X44" s="65">
        <v>2446</v>
      </c>
      <c r="Y44" s="62">
        <f t="shared" si="12"/>
        <v>0</v>
      </c>
      <c r="Z44" s="62">
        <f t="shared" si="13"/>
        <v>0</v>
      </c>
      <c r="AA44" s="62">
        <f t="shared" si="7"/>
        <v>0</v>
      </c>
      <c r="AB44" s="62">
        <f t="shared" si="8"/>
        <v>0</v>
      </c>
      <c r="AC44" s="62">
        <v>1500</v>
      </c>
      <c r="AD44" s="79" t="e">
        <f t="shared" si="9"/>
        <v>#DIV/0!</v>
      </c>
      <c r="AE44" s="67" t="e">
        <f t="shared" si="10"/>
        <v>#DIV/0!</v>
      </c>
    </row>
    <row r="45" spans="1:31" s="68" customFormat="1" ht="14.95" thickBot="1" x14ac:dyDescent="0.3">
      <c r="A45" s="69">
        <f>A44</f>
        <v>46006</v>
      </c>
      <c r="B45" s="70">
        <f t="shared" si="1"/>
        <v>15</v>
      </c>
      <c r="C45" s="71" t="s">
        <v>46</v>
      </c>
      <c r="D45" s="72">
        <v>2</v>
      </c>
      <c r="E45" s="71" t="s">
        <v>47</v>
      </c>
      <c r="F45" s="73">
        <v>6450</v>
      </c>
      <c r="G45" s="74">
        <v>7</v>
      </c>
      <c r="H45" s="55"/>
      <c r="I45" s="55"/>
      <c r="J45" s="87"/>
      <c r="K45" s="87"/>
      <c r="L45" s="87"/>
      <c r="M45" s="71">
        <f t="shared" si="2"/>
        <v>0</v>
      </c>
      <c r="N45" s="73" t="e">
        <f>[2]!Tabla1[[#This Row],[CONSUMO POL ANIONICO (KG)]]</f>
        <v>#REF!</v>
      </c>
      <c r="O45" s="75" t="e">
        <f>[2]!Tabla1[[#This Row],[CONSUMO POL CATIONICO (KG)]]</f>
        <v>#REF!</v>
      </c>
      <c r="P45" s="74" t="e">
        <f t="shared" si="11"/>
        <v>#DIV/0!</v>
      </c>
      <c r="Q45" s="71">
        <f t="shared" si="4"/>
        <v>0</v>
      </c>
      <c r="R45" s="71">
        <f t="shared" si="5"/>
        <v>0</v>
      </c>
      <c r="S45" s="73">
        <v>1.325</v>
      </c>
      <c r="T45" s="75">
        <v>1200</v>
      </c>
      <c r="U45" s="75">
        <v>1.3</v>
      </c>
      <c r="V45" s="75">
        <v>2498</v>
      </c>
      <c r="W45" s="75">
        <v>2881</v>
      </c>
      <c r="X45" s="74">
        <v>2446</v>
      </c>
      <c r="Y45" s="71">
        <f t="shared" si="12"/>
        <v>0</v>
      </c>
      <c r="Z45" s="71">
        <f t="shared" si="13"/>
        <v>0</v>
      </c>
      <c r="AA45" s="71">
        <f t="shared" si="7"/>
        <v>0</v>
      </c>
      <c r="AB45" s="71">
        <f t="shared" si="8"/>
        <v>0</v>
      </c>
      <c r="AC45" s="71">
        <v>1500</v>
      </c>
      <c r="AD45" s="62" t="e">
        <f t="shared" si="9"/>
        <v>#DIV/0!</v>
      </c>
      <c r="AE45" s="76" t="e">
        <f t="shared" si="10"/>
        <v>#DIV/0!</v>
      </c>
    </row>
    <row r="46" spans="1:31" s="68" customFormat="1" ht="14.95" thickBot="1" x14ac:dyDescent="0.3">
      <c r="A46" s="77">
        <f>A45</f>
        <v>46006</v>
      </c>
      <c r="B46" s="78">
        <f t="shared" si="1"/>
        <v>15</v>
      </c>
      <c r="C46" s="79" t="s">
        <v>48</v>
      </c>
      <c r="D46" s="80">
        <v>3</v>
      </c>
      <c r="E46" s="79" t="s">
        <v>49</v>
      </c>
      <c r="F46" s="81">
        <f>+AVERAGE(F45,F47)</f>
        <v>6080</v>
      </c>
      <c r="G46" s="82">
        <v>5</v>
      </c>
      <c r="H46" s="56"/>
      <c r="I46" s="56"/>
      <c r="J46" s="88"/>
      <c r="K46" s="88"/>
      <c r="L46" s="88"/>
      <c r="M46" s="79">
        <f t="shared" si="2"/>
        <v>0</v>
      </c>
      <c r="N46" s="81" t="e">
        <f>[2]!Tabla1[[#This Row],[CONSUMO POL ANIONICO (KG)]]</f>
        <v>#REF!</v>
      </c>
      <c r="O46" s="83" t="e">
        <f>[2]!Tabla1[[#This Row],[CONSUMO POL CATIONICO (KG)]]</f>
        <v>#REF!</v>
      </c>
      <c r="P46" s="82" t="e">
        <f t="shared" si="11"/>
        <v>#DIV/0!</v>
      </c>
      <c r="Q46" s="79">
        <f t="shared" si="4"/>
        <v>0</v>
      </c>
      <c r="R46" s="79">
        <f t="shared" si="5"/>
        <v>0</v>
      </c>
      <c r="S46" s="81">
        <v>1.325</v>
      </c>
      <c r="T46" s="83">
        <v>1200</v>
      </c>
      <c r="U46" s="83">
        <v>1.3</v>
      </c>
      <c r="V46" s="83">
        <v>2498</v>
      </c>
      <c r="W46" s="83">
        <v>2881</v>
      </c>
      <c r="X46" s="82">
        <v>2446</v>
      </c>
      <c r="Y46" s="79">
        <f t="shared" si="12"/>
        <v>0</v>
      </c>
      <c r="Z46" s="79">
        <f t="shared" si="13"/>
        <v>0</v>
      </c>
      <c r="AA46" s="79">
        <f t="shared" si="7"/>
        <v>0</v>
      </c>
      <c r="AB46" s="79">
        <f t="shared" si="8"/>
        <v>0</v>
      </c>
      <c r="AC46" s="79">
        <v>1500</v>
      </c>
      <c r="AD46" s="62" t="e">
        <f>AB46/H46</f>
        <v>#DIV/0!</v>
      </c>
      <c r="AE46" s="67" t="e">
        <f t="shared" si="10"/>
        <v>#DIV/0!</v>
      </c>
    </row>
    <row r="47" spans="1:31" s="68" customFormat="1" ht="14.95" thickBot="1" x14ac:dyDescent="0.3">
      <c r="A47" s="60">
        <f>A46+1</f>
        <v>46007</v>
      </c>
      <c r="B47" s="61">
        <f t="shared" si="1"/>
        <v>16</v>
      </c>
      <c r="C47" s="62" t="s">
        <v>44</v>
      </c>
      <c r="D47" s="63">
        <v>1</v>
      </c>
      <c r="E47" s="62" t="s">
        <v>45</v>
      </c>
      <c r="F47" s="64">
        <v>5710</v>
      </c>
      <c r="G47" s="65">
        <v>6</v>
      </c>
      <c r="H47" s="54"/>
      <c r="I47" s="54"/>
      <c r="J47" s="86"/>
      <c r="K47" s="86"/>
      <c r="L47" s="86"/>
      <c r="M47" s="62">
        <f t="shared" si="2"/>
        <v>0</v>
      </c>
      <c r="N47" s="64" t="e">
        <f>[2]!Tabla1[[#This Row],[CONSUMO POL ANIONICO (KG)]]</f>
        <v>#REF!</v>
      </c>
      <c r="O47" s="66" t="e">
        <f>[2]!Tabla1[[#This Row],[CONSUMO POL CATIONICO (KG)]]</f>
        <v>#REF!</v>
      </c>
      <c r="P47" s="65" t="e">
        <f t="shared" si="11"/>
        <v>#DIV/0!</v>
      </c>
      <c r="Q47" s="62">
        <f t="shared" si="4"/>
        <v>0</v>
      </c>
      <c r="R47" s="62">
        <f t="shared" si="5"/>
        <v>0</v>
      </c>
      <c r="S47" s="64">
        <v>1.325</v>
      </c>
      <c r="T47" s="66">
        <v>1200</v>
      </c>
      <c r="U47" s="66">
        <v>1.3</v>
      </c>
      <c r="V47" s="66">
        <v>2498</v>
      </c>
      <c r="W47" s="66">
        <v>2881</v>
      </c>
      <c r="X47" s="65">
        <v>2446</v>
      </c>
      <c r="Y47" s="62">
        <f t="shared" si="12"/>
        <v>0</v>
      </c>
      <c r="Z47" s="62">
        <f t="shared" si="13"/>
        <v>0</v>
      </c>
      <c r="AA47" s="62">
        <f t="shared" si="7"/>
        <v>0</v>
      </c>
      <c r="AB47" s="62">
        <f t="shared" si="8"/>
        <v>0</v>
      </c>
      <c r="AC47" s="62">
        <v>1500</v>
      </c>
      <c r="AD47" s="71" t="e">
        <f t="shared" si="9"/>
        <v>#DIV/0!</v>
      </c>
      <c r="AE47" s="76" t="e">
        <f t="shared" si="10"/>
        <v>#DIV/0!</v>
      </c>
    </row>
    <row r="48" spans="1:31" s="68" customFormat="1" ht="14.95" thickBot="1" x14ac:dyDescent="0.3">
      <c r="A48" s="69">
        <f>A47</f>
        <v>46007</v>
      </c>
      <c r="B48" s="70">
        <f t="shared" si="1"/>
        <v>16</v>
      </c>
      <c r="C48" s="71" t="s">
        <v>46</v>
      </c>
      <c r="D48" s="72">
        <v>2</v>
      </c>
      <c r="E48" s="71" t="s">
        <v>47</v>
      </c>
      <c r="F48" s="73">
        <v>5590</v>
      </c>
      <c r="G48" s="74">
        <v>2</v>
      </c>
      <c r="H48" s="55"/>
      <c r="I48" s="55"/>
      <c r="J48" s="87"/>
      <c r="K48" s="87"/>
      <c r="L48" s="87"/>
      <c r="M48" s="71">
        <f t="shared" si="2"/>
        <v>0</v>
      </c>
      <c r="N48" s="73" t="e">
        <f>[2]!Tabla1[[#This Row],[CONSUMO POL ANIONICO (KG)]]</f>
        <v>#REF!</v>
      </c>
      <c r="O48" s="75" t="e">
        <f>[2]!Tabla1[[#This Row],[CONSUMO POL CATIONICO (KG)]]</f>
        <v>#REF!</v>
      </c>
      <c r="P48" s="74" t="e">
        <f t="shared" si="11"/>
        <v>#DIV/0!</v>
      </c>
      <c r="Q48" s="71">
        <f t="shared" si="4"/>
        <v>0</v>
      </c>
      <c r="R48" s="71">
        <f t="shared" si="5"/>
        <v>0</v>
      </c>
      <c r="S48" s="73">
        <v>1.325</v>
      </c>
      <c r="T48" s="75">
        <v>1200</v>
      </c>
      <c r="U48" s="75">
        <v>1.3</v>
      </c>
      <c r="V48" s="75">
        <v>2498</v>
      </c>
      <c r="W48" s="75">
        <v>2881</v>
      </c>
      <c r="X48" s="74">
        <v>2446</v>
      </c>
      <c r="Y48" s="71">
        <f t="shared" si="12"/>
        <v>0</v>
      </c>
      <c r="Z48" s="71">
        <f t="shared" si="13"/>
        <v>0</v>
      </c>
      <c r="AA48" s="71">
        <f t="shared" si="7"/>
        <v>0</v>
      </c>
      <c r="AB48" s="71">
        <f t="shared" si="8"/>
        <v>0</v>
      </c>
      <c r="AC48" s="71">
        <v>1500</v>
      </c>
      <c r="AD48" s="79" t="e">
        <f t="shared" si="9"/>
        <v>#DIV/0!</v>
      </c>
      <c r="AE48" s="67" t="e">
        <f t="shared" si="10"/>
        <v>#DIV/0!</v>
      </c>
    </row>
    <row r="49" spans="1:31" s="68" customFormat="1" ht="14.95" thickBot="1" x14ac:dyDescent="0.3">
      <c r="A49" s="77">
        <f>A48</f>
        <v>46007</v>
      </c>
      <c r="B49" s="78">
        <f t="shared" si="1"/>
        <v>16</v>
      </c>
      <c r="C49" s="79" t="s">
        <v>48</v>
      </c>
      <c r="D49" s="80">
        <v>3</v>
      </c>
      <c r="E49" s="79" t="s">
        <v>49</v>
      </c>
      <c r="F49" s="81">
        <v>5360</v>
      </c>
      <c r="G49" s="82">
        <v>0</v>
      </c>
      <c r="H49" s="56"/>
      <c r="I49" s="56"/>
      <c r="J49" s="88"/>
      <c r="K49" s="88"/>
      <c r="L49" s="88"/>
      <c r="M49" s="79">
        <f t="shared" si="2"/>
        <v>0</v>
      </c>
      <c r="N49" s="81" t="e">
        <f>[2]!Tabla1[[#This Row],[CONSUMO POL ANIONICO (KG)]]</f>
        <v>#REF!</v>
      </c>
      <c r="O49" s="83" t="e">
        <f>[2]!Tabla1[[#This Row],[CONSUMO POL CATIONICO (KG)]]</f>
        <v>#REF!</v>
      </c>
      <c r="P49" s="82" t="e">
        <f t="shared" si="11"/>
        <v>#DIV/0!</v>
      </c>
      <c r="Q49" s="79">
        <f t="shared" si="4"/>
        <v>0</v>
      </c>
      <c r="R49" s="79">
        <f t="shared" si="5"/>
        <v>0</v>
      </c>
      <c r="S49" s="81">
        <v>1.325</v>
      </c>
      <c r="T49" s="83">
        <v>1200</v>
      </c>
      <c r="U49" s="83">
        <v>1.3</v>
      </c>
      <c r="V49" s="83">
        <v>2498</v>
      </c>
      <c r="W49" s="83">
        <v>2881</v>
      </c>
      <c r="X49" s="82">
        <v>2446</v>
      </c>
      <c r="Y49" s="79">
        <f t="shared" si="12"/>
        <v>0</v>
      </c>
      <c r="Z49" s="79">
        <f t="shared" si="13"/>
        <v>0</v>
      </c>
      <c r="AA49" s="79">
        <f t="shared" si="7"/>
        <v>0</v>
      </c>
      <c r="AB49" s="79">
        <f t="shared" si="8"/>
        <v>0</v>
      </c>
      <c r="AC49" s="79">
        <v>1500</v>
      </c>
      <c r="AD49" s="62" t="e">
        <f t="shared" si="9"/>
        <v>#DIV/0!</v>
      </c>
      <c r="AE49" s="76" t="e">
        <f t="shared" si="10"/>
        <v>#DIV/0!</v>
      </c>
    </row>
    <row r="50" spans="1:31" s="68" customFormat="1" x14ac:dyDescent="0.25">
      <c r="A50" s="60">
        <f>A49+1</f>
        <v>46008</v>
      </c>
      <c r="B50" s="61">
        <f t="shared" si="1"/>
        <v>17</v>
      </c>
      <c r="C50" s="62" t="s">
        <v>44</v>
      </c>
      <c r="D50" s="63">
        <v>1</v>
      </c>
      <c r="E50" s="62" t="s">
        <v>45</v>
      </c>
      <c r="F50" s="64">
        <v>5360</v>
      </c>
      <c r="G50" s="65">
        <v>0</v>
      </c>
      <c r="H50" s="54"/>
      <c r="I50" s="54"/>
      <c r="J50" s="86"/>
      <c r="K50" s="86"/>
      <c r="L50" s="86"/>
      <c r="M50" s="62">
        <f t="shared" si="2"/>
        <v>0</v>
      </c>
      <c r="N50" s="64" t="e">
        <f>[2]!Tabla1[[#This Row],[CONSUMO POL ANIONICO (KG)]]</f>
        <v>#REF!</v>
      </c>
      <c r="O50" s="66" t="e">
        <f>[2]!Tabla1[[#This Row],[CONSUMO POL CATIONICO (KG)]]</f>
        <v>#REF!</v>
      </c>
      <c r="P50" s="65" t="e">
        <f t="shared" si="11"/>
        <v>#DIV/0!</v>
      </c>
      <c r="Q50" s="62">
        <f t="shared" si="4"/>
        <v>0</v>
      </c>
      <c r="R50" s="62">
        <f t="shared" si="5"/>
        <v>0</v>
      </c>
      <c r="S50" s="64">
        <v>1.325</v>
      </c>
      <c r="T50" s="66">
        <v>1200</v>
      </c>
      <c r="U50" s="66">
        <v>1.3</v>
      </c>
      <c r="V50" s="66">
        <v>2498</v>
      </c>
      <c r="W50" s="66">
        <v>2881</v>
      </c>
      <c r="X50" s="65">
        <v>2446</v>
      </c>
      <c r="Y50" s="62">
        <f t="shared" si="12"/>
        <v>0</v>
      </c>
      <c r="Z50" s="62">
        <f t="shared" si="13"/>
        <v>0</v>
      </c>
      <c r="AA50" s="62">
        <f t="shared" si="7"/>
        <v>0</v>
      </c>
      <c r="AB50" s="62">
        <f t="shared" si="8"/>
        <v>0</v>
      </c>
      <c r="AC50" s="62">
        <v>1500</v>
      </c>
      <c r="AD50" s="62" t="e">
        <f t="shared" si="9"/>
        <v>#DIV/0!</v>
      </c>
      <c r="AE50" s="67" t="e">
        <f t="shared" si="10"/>
        <v>#DIV/0!</v>
      </c>
    </row>
    <row r="51" spans="1:31" s="68" customFormat="1" ht="14.95" thickBot="1" x14ac:dyDescent="0.3">
      <c r="A51" s="69">
        <f>A50</f>
        <v>46008</v>
      </c>
      <c r="B51" s="70">
        <f t="shared" si="1"/>
        <v>17</v>
      </c>
      <c r="C51" s="71" t="s">
        <v>46</v>
      </c>
      <c r="D51" s="72">
        <v>2</v>
      </c>
      <c r="E51" s="71" t="s">
        <v>47</v>
      </c>
      <c r="F51" s="73">
        <v>5050</v>
      </c>
      <c r="G51" s="74">
        <v>8</v>
      </c>
      <c r="H51" s="55"/>
      <c r="I51" s="55"/>
      <c r="J51" s="87"/>
      <c r="K51" s="87"/>
      <c r="L51" s="87"/>
      <c r="M51" s="71">
        <f t="shared" si="2"/>
        <v>0</v>
      </c>
      <c r="N51" s="73" t="e">
        <f>[2]!Tabla1[[#This Row],[CONSUMO POL ANIONICO (KG)]]</f>
        <v>#REF!</v>
      </c>
      <c r="O51" s="75" t="e">
        <f>[2]!Tabla1[[#This Row],[CONSUMO POL CATIONICO (KG)]]</f>
        <v>#REF!</v>
      </c>
      <c r="P51" s="74" t="e">
        <f t="shared" si="11"/>
        <v>#DIV/0!</v>
      </c>
      <c r="Q51" s="71">
        <f t="shared" si="4"/>
        <v>0</v>
      </c>
      <c r="R51" s="71">
        <f t="shared" si="5"/>
        <v>0</v>
      </c>
      <c r="S51" s="73">
        <v>1.325</v>
      </c>
      <c r="T51" s="75">
        <v>1200</v>
      </c>
      <c r="U51" s="75">
        <v>1.3</v>
      </c>
      <c r="V51" s="75">
        <v>2498</v>
      </c>
      <c r="W51" s="75">
        <v>2881</v>
      </c>
      <c r="X51" s="74">
        <v>2446</v>
      </c>
      <c r="Y51" s="71">
        <f t="shared" si="12"/>
        <v>0</v>
      </c>
      <c r="Z51" s="71">
        <f t="shared" si="13"/>
        <v>0</v>
      </c>
      <c r="AA51" s="71">
        <f t="shared" si="7"/>
        <v>0</v>
      </c>
      <c r="AB51" s="71">
        <f t="shared" si="8"/>
        <v>0</v>
      </c>
      <c r="AC51" s="71">
        <v>1500</v>
      </c>
      <c r="AD51" s="71" t="e">
        <f t="shared" si="9"/>
        <v>#DIV/0!</v>
      </c>
      <c r="AE51" s="76" t="e">
        <f t="shared" si="10"/>
        <v>#DIV/0!</v>
      </c>
    </row>
    <row r="52" spans="1:31" s="68" customFormat="1" ht="14.95" thickBot="1" x14ac:dyDescent="0.3">
      <c r="A52" s="77">
        <f>A51</f>
        <v>46008</v>
      </c>
      <c r="B52" s="78">
        <f t="shared" si="1"/>
        <v>17</v>
      </c>
      <c r="C52" s="79" t="s">
        <v>48</v>
      </c>
      <c r="D52" s="80">
        <v>3</v>
      </c>
      <c r="E52" s="79" t="s">
        <v>49</v>
      </c>
      <c r="F52" s="81">
        <v>4710</v>
      </c>
      <c r="G52" s="82">
        <v>8</v>
      </c>
      <c r="H52" s="56"/>
      <c r="I52" s="56"/>
      <c r="J52" s="88"/>
      <c r="K52" s="88"/>
      <c r="L52" s="88"/>
      <c r="M52" s="79">
        <f t="shared" si="2"/>
        <v>0</v>
      </c>
      <c r="N52" s="81" t="e">
        <f>[2]!Tabla1[[#This Row],[CONSUMO POL ANIONICO (KG)]]</f>
        <v>#REF!</v>
      </c>
      <c r="O52" s="83" t="e">
        <f>[2]!Tabla1[[#This Row],[CONSUMO POL CATIONICO (KG)]]</f>
        <v>#REF!</v>
      </c>
      <c r="P52" s="82" t="e">
        <f t="shared" si="11"/>
        <v>#DIV/0!</v>
      </c>
      <c r="Q52" s="79">
        <f t="shared" si="4"/>
        <v>0</v>
      </c>
      <c r="R52" s="79">
        <f t="shared" si="5"/>
        <v>0</v>
      </c>
      <c r="S52" s="81">
        <v>1.325</v>
      </c>
      <c r="T52" s="83">
        <v>1200</v>
      </c>
      <c r="U52" s="83">
        <v>1.3</v>
      </c>
      <c r="V52" s="83">
        <v>2498</v>
      </c>
      <c r="W52" s="83">
        <v>2881</v>
      </c>
      <c r="X52" s="82">
        <v>2446</v>
      </c>
      <c r="Y52" s="79">
        <f t="shared" si="12"/>
        <v>0</v>
      </c>
      <c r="Z52" s="79">
        <f t="shared" si="13"/>
        <v>0</v>
      </c>
      <c r="AA52" s="79">
        <f t="shared" si="7"/>
        <v>0</v>
      </c>
      <c r="AB52" s="79">
        <f t="shared" si="8"/>
        <v>0</v>
      </c>
      <c r="AC52" s="79">
        <v>1500</v>
      </c>
      <c r="AD52" s="79" t="e">
        <f t="shared" si="9"/>
        <v>#DIV/0!</v>
      </c>
      <c r="AE52" s="67" t="e">
        <f t="shared" si="10"/>
        <v>#DIV/0!</v>
      </c>
    </row>
    <row r="53" spans="1:31" s="68" customFormat="1" ht="14.95" thickBot="1" x14ac:dyDescent="0.3">
      <c r="A53" s="60">
        <f>A52+1</f>
        <v>46009</v>
      </c>
      <c r="B53" s="61">
        <f t="shared" si="1"/>
        <v>18</v>
      </c>
      <c r="C53" s="62" t="s">
        <v>44</v>
      </c>
      <c r="D53" s="63">
        <v>1</v>
      </c>
      <c r="E53" s="62" t="s">
        <v>45</v>
      </c>
      <c r="F53" s="64">
        <v>4350</v>
      </c>
      <c r="G53" s="65">
        <v>0</v>
      </c>
      <c r="H53" s="54"/>
      <c r="I53" s="54"/>
      <c r="J53" s="86"/>
      <c r="K53" s="86"/>
      <c r="L53" s="86"/>
      <c r="M53" s="62">
        <f t="shared" si="2"/>
        <v>0</v>
      </c>
      <c r="N53" s="64" t="e">
        <f>[2]!Tabla1[[#This Row],[CONSUMO POL ANIONICO (KG)]]</f>
        <v>#REF!</v>
      </c>
      <c r="O53" s="66" t="e">
        <f>[2]!Tabla1[[#This Row],[CONSUMO POL CATIONICO (KG)]]</f>
        <v>#REF!</v>
      </c>
      <c r="P53" s="65" t="e">
        <f t="shared" si="11"/>
        <v>#DIV/0!</v>
      </c>
      <c r="Q53" s="62">
        <f t="shared" si="4"/>
        <v>0</v>
      </c>
      <c r="R53" s="62">
        <f t="shared" si="5"/>
        <v>0</v>
      </c>
      <c r="S53" s="64">
        <v>1.325</v>
      </c>
      <c r="T53" s="66">
        <v>1200</v>
      </c>
      <c r="U53" s="66">
        <v>1.3</v>
      </c>
      <c r="V53" s="66">
        <v>2498</v>
      </c>
      <c r="W53" s="66">
        <v>2881</v>
      </c>
      <c r="X53" s="65">
        <v>2446</v>
      </c>
      <c r="Y53" s="62">
        <f t="shared" si="12"/>
        <v>0</v>
      </c>
      <c r="Z53" s="62">
        <f t="shared" si="13"/>
        <v>0</v>
      </c>
      <c r="AA53" s="62">
        <f t="shared" si="7"/>
        <v>0</v>
      </c>
      <c r="AB53" s="62">
        <f t="shared" si="8"/>
        <v>0</v>
      </c>
      <c r="AC53" s="62">
        <v>1500</v>
      </c>
      <c r="AD53" s="62" t="e">
        <f t="shared" si="9"/>
        <v>#DIV/0!</v>
      </c>
      <c r="AE53" s="76" t="e">
        <f t="shared" si="10"/>
        <v>#DIV/0!</v>
      </c>
    </row>
    <row r="54" spans="1:31" s="68" customFormat="1" x14ac:dyDescent="0.25">
      <c r="A54" s="69">
        <f>A53</f>
        <v>46009</v>
      </c>
      <c r="B54" s="70">
        <f t="shared" si="1"/>
        <v>18</v>
      </c>
      <c r="C54" s="71" t="s">
        <v>46</v>
      </c>
      <c r="D54" s="72">
        <v>2</v>
      </c>
      <c r="E54" s="71" t="s">
        <v>47</v>
      </c>
      <c r="F54" s="73">
        <v>3980</v>
      </c>
      <c r="G54" s="74">
        <v>8</v>
      </c>
      <c r="H54" s="55"/>
      <c r="I54" s="55"/>
      <c r="J54" s="87"/>
      <c r="K54" s="87"/>
      <c r="L54" s="87"/>
      <c r="M54" s="71">
        <f t="shared" si="2"/>
        <v>0</v>
      </c>
      <c r="N54" s="73" t="e">
        <f>[2]!Tabla1[[#This Row],[CONSUMO POL ANIONICO (KG)]]</f>
        <v>#REF!</v>
      </c>
      <c r="O54" s="75" t="e">
        <f>[2]!Tabla1[[#This Row],[CONSUMO POL CATIONICO (KG)]]</f>
        <v>#REF!</v>
      </c>
      <c r="P54" s="74" t="e">
        <f t="shared" si="11"/>
        <v>#DIV/0!</v>
      </c>
      <c r="Q54" s="71">
        <f t="shared" si="4"/>
        <v>0</v>
      </c>
      <c r="R54" s="71">
        <f t="shared" si="5"/>
        <v>0</v>
      </c>
      <c r="S54" s="73">
        <v>1.325</v>
      </c>
      <c r="T54" s="75">
        <v>1200</v>
      </c>
      <c r="U54" s="75">
        <v>1.3</v>
      </c>
      <c r="V54" s="75">
        <v>2498</v>
      </c>
      <c r="W54" s="75">
        <v>2881</v>
      </c>
      <c r="X54" s="74">
        <v>2446</v>
      </c>
      <c r="Y54" s="71">
        <f t="shared" si="12"/>
        <v>0</v>
      </c>
      <c r="Z54" s="71">
        <f t="shared" si="13"/>
        <v>0</v>
      </c>
      <c r="AA54" s="71">
        <f t="shared" si="7"/>
        <v>0</v>
      </c>
      <c r="AB54" s="71">
        <f t="shared" si="8"/>
        <v>0</v>
      </c>
      <c r="AC54" s="71">
        <v>1500</v>
      </c>
      <c r="AD54" s="62" t="e">
        <f t="shared" si="9"/>
        <v>#DIV/0!</v>
      </c>
      <c r="AE54" s="67" t="e">
        <f t="shared" si="10"/>
        <v>#DIV/0!</v>
      </c>
    </row>
    <row r="55" spans="1:31" s="68" customFormat="1" ht="14.95" thickBot="1" x14ac:dyDescent="0.3">
      <c r="A55" s="77">
        <f>A54</f>
        <v>46009</v>
      </c>
      <c r="B55" s="78">
        <f t="shared" si="1"/>
        <v>18</v>
      </c>
      <c r="C55" s="79" t="s">
        <v>48</v>
      </c>
      <c r="D55" s="80">
        <v>3</v>
      </c>
      <c r="E55" s="79" t="s">
        <v>49</v>
      </c>
      <c r="F55" s="81">
        <v>3820</v>
      </c>
      <c r="G55" s="82">
        <v>8</v>
      </c>
      <c r="H55" s="56"/>
      <c r="I55" s="56"/>
      <c r="J55" s="88"/>
      <c r="K55" s="88"/>
      <c r="L55" s="88"/>
      <c r="M55" s="79">
        <f t="shared" si="2"/>
        <v>0</v>
      </c>
      <c r="N55" s="81" t="e">
        <f>[2]!Tabla1[[#This Row],[CONSUMO POL ANIONICO (KG)]]</f>
        <v>#REF!</v>
      </c>
      <c r="O55" s="83" t="e">
        <f>[2]!Tabla1[[#This Row],[CONSUMO POL CATIONICO (KG)]]</f>
        <v>#REF!</v>
      </c>
      <c r="P55" s="82" t="e">
        <f t="shared" si="11"/>
        <v>#DIV/0!</v>
      </c>
      <c r="Q55" s="79">
        <f t="shared" si="4"/>
        <v>0</v>
      </c>
      <c r="R55" s="79">
        <f t="shared" si="5"/>
        <v>0</v>
      </c>
      <c r="S55" s="81">
        <v>1.325</v>
      </c>
      <c r="T55" s="83">
        <v>1200</v>
      </c>
      <c r="U55" s="83">
        <v>1.3</v>
      </c>
      <c r="V55" s="83">
        <v>2498</v>
      </c>
      <c r="W55" s="83">
        <v>2881</v>
      </c>
      <c r="X55" s="82">
        <v>2446</v>
      </c>
      <c r="Y55" s="79">
        <f t="shared" si="12"/>
        <v>0</v>
      </c>
      <c r="Z55" s="79">
        <f t="shared" si="13"/>
        <v>0</v>
      </c>
      <c r="AA55" s="79">
        <f t="shared" si="7"/>
        <v>0</v>
      </c>
      <c r="AB55" s="79">
        <f t="shared" si="8"/>
        <v>0</v>
      </c>
      <c r="AC55" s="79">
        <v>1500</v>
      </c>
      <c r="AD55" s="71" t="e">
        <f t="shared" si="9"/>
        <v>#DIV/0!</v>
      </c>
      <c r="AE55" s="76" t="e">
        <f t="shared" si="10"/>
        <v>#DIV/0!</v>
      </c>
    </row>
    <row r="56" spans="1:31" s="68" customFormat="1" ht="14.95" thickBot="1" x14ac:dyDescent="0.3">
      <c r="A56" s="60">
        <f>A55+1</f>
        <v>46010</v>
      </c>
      <c r="B56" s="61">
        <f t="shared" si="1"/>
        <v>19</v>
      </c>
      <c r="C56" s="62" t="s">
        <v>44</v>
      </c>
      <c r="D56" s="63">
        <v>1</v>
      </c>
      <c r="E56" s="62" t="s">
        <v>45</v>
      </c>
      <c r="F56" s="64">
        <v>3490</v>
      </c>
      <c r="G56" s="65">
        <v>0</v>
      </c>
      <c r="H56" s="54"/>
      <c r="I56" s="54"/>
      <c r="J56" s="86"/>
      <c r="K56" s="86"/>
      <c r="L56" s="86"/>
      <c r="M56" s="62">
        <f t="shared" si="2"/>
        <v>0</v>
      </c>
      <c r="N56" s="64" t="e">
        <f>[2]!Tabla1[[#This Row],[CONSUMO POL ANIONICO (KG)]]</f>
        <v>#REF!</v>
      </c>
      <c r="O56" s="66" t="e">
        <f>[2]!Tabla1[[#This Row],[CONSUMO POL CATIONICO (KG)]]</f>
        <v>#REF!</v>
      </c>
      <c r="P56" s="65" t="e">
        <f t="shared" si="11"/>
        <v>#DIV/0!</v>
      </c>
      <c r="Q56" s="62">
        <f t="shared" si="4"/>
        <v>0</v>
      </c>
      <c r="R56" s="62">
        <f t="shared" si="5"/>
        <v>0</v>
      </c>
      <c r="S56" s="64">
        <v>1.325</v>
      </c>
      <c r="T56" s="66">
        <v>1200</v>
      </c>
      <c r="U56" s="66">
        <v>1.3</v>
      </c>
      <c r="V56" s="66">
        <v>2498</v>
      </c>
      <c r="W56" s="66">
        <v>2881</v>
      </c>
      <c r="X56" s="65">
        <v>2446</v>
      </c>
      <c r="Y56" s="62">
        <f t="shared" si="12"/>
        <v>0</v>
      </c>
      <c r="Z56" s="62">
        <f t="shared" si="13"/>
        <v>0</v>
      </c>
      <c r="AA56" s="62">
        <f t="shared" si="7"/>
        <v>0</v>
      </c>
      <c r="AB56" s="62">
        <f t="shared" si="8"/>
        <v>0</v>
      </c>
      <c r="AC56" s="62">
        <v>1500</v>
      </c>
      <c r="AD56" s="79" t="e">
        <f t="shared" si="9"/>
        <v>#DIV/0!</v>
      </c>
      <c r="AE56" s="67" t="e">
        <f t="shared" si="10"/>
        <v>#DIV/0!</v>
      </c>
    </row>
    <row r="57" spans="1:31" s="68" customFormat="1" ht="14.95" thickBot="1" x14ac:dyDescent="0.3">
      <c r="A57" s="69">
        <f>A56</f>
        <v>46010</v>
      </c>
      <c r="B57" s="70">
        <f t="shared" si="1"/>
        <v>19</v>
      </c>
      <c r="C57" s="71" t="s">
        <v>46</v>
      </c>
      <c r="D57" s="72">
        <v>2</v>
      </c>
      <c r="E57" s="71" t="s">
        <v>47</v>
      </c>
      <c r="F57" s="73">
        <v>3200</v>
      </c>
      <c r="G57" s="74">
        <v>8</v>
      </c>
      <c r="H57" s="55"/>
      <c r="I57" s="55"/>
      <c r="J57" s="87"/>
      <c r="K57" s="87"/>
      <c r="L57" s="87"/>
      <c r="M57" s="71">
        <f t="shared" si="2"/>
        <v>0</v>
      </c>
      <c r="N57" s="73" t="e">
        <f>[2]!Tabla1[[#This Row],[CONSUMO POL ANIONICO (KG)]]</f>
        <v>#REF!</v>
      </c>
      <c r="O57" s="75" t="e">
        <f>[2]!Tabla1[[#This Row],[CONSUMO POL CATIONICO (KG)]]</f>
        <v>#REF!</v>
      </c>
      <c r="P57" s="74" t="e">
        <f t="shared" si="11"/>
        <v>#DIV/0!</v>
      </c>
      <c r="Q57" s="71">
        <f t="shared" si="4"/>
        <v>0</v>
      </c>
      <c r="R57" s="71">
        <f t="shared" si="5"/>
        <v>0</v>
      </c>
      <c r="S57" s="73">
        <v>1.325</v>
      </c>
      <c r="T57" s="75">
        <v>1200</v>
      </c>
      <c r="U57" s="75">
        <v>1.3</v>
      </c>
      <c r="V57" s="75">
        <v>2498</v>
      </c>
      <c r="W57" s="75">
        <v>2881</v>
      </c>
      <c r="X57" s="74">
        <v>2446</v>
      </c>
      <c r="Y57" s="71">
        <f t="shared" si="12"/>
        <v>0</v>
      </c>
      <c r="Z57" s="71">
        <f t="shared" si="13"/>
        <v>0</v>
      </c>
      <c r="AA57" s="71">
        <f t="shared" si="7"/>
        <v>0</v>
      </c>
      <c r="AB57" s="71">
        <f t="shared" si="8"/>
        <v>0</v>
      </c>
      <c r="AC57" s="71">
        <v>1500</v>
      </c>
      <c r="AD57" s="62" t="e">
        <f t="shared" si="9"/>
        <v>#DIV/0!</v>
      </c>
      <c r="AE57" s="76" t="e">
        <f t="shared" si="10"/>
        <v>#DIV/0!</v>
      </c>
    </row>
    <row r="58" spans="1:31" s="68" customFormat="1" ht="14.95" thickBot="1" x14ac:dyDescent="0.3">
      <c r="A58" s="77">
        <f>A57</f>
        <v>46010</v>
      </c>
      <c r="B58" s="78">
        <f t="shared" si="1"/>
        <v>19</v>
      </c>
      <c r="C58" s="79" t="s">
        <v>48</v>
      </c>
      <c r="D58" s="80">
        <v>3</v>
      </c>
      <c r="E58" s="79" t="s">
        <v>49</v>
      </c>
      <c r="F58" s="81">
        <v>2960</v>
      </c>
      <c r="G58" s="82">
        <v>8</v>
      </c>
      <c r="H58" s="56"/>
      <c r="I58" s="56"/>
      <c r="J58" s="88"/>
      <c r="K58" s="88"/>
      <c r="L58" s="88"/>
      <c r="M58" s="79">
        <f t="shared" si="2"/>
        <v>0</v>
      </c>
      <c r="N58" s="81" t="e">
        <f>[2]!Tabla1[[#This Row],[CONSUMO POL ANIONICO (KG)]]</f>
        <v>#REF!</v>
      </c>
      <c r="O58" s="83" t="e">
        <f>[2]!Tabla1[[#This Row],[CONSUMO POL CATIONICO (KG)]]</f>
        <v>#REF!</v>
      </c>
      <c r="P58" s="82" t="e">
        <f t="shared" si="11"/>
        <v>#DIV/0!</v>
      </c>
      <c r="Q58" s="79">
        <f t="shared" si="4"/>
        <v>0</v>
      </c>
      <c r="R58" s="79">
        <f t="shared" si="5"/>
        <v>0</v>
      </c>
      <c r="S58" s="81">
        <v>1.325</v>
      </c>
      <c r="T58" s="83">
        <v>1200</v>
      </c>
      <c r="U58" s="83">
        <v>1.3</v>
      </c>
      <c r="V58" s="83">
        <v>2498</v>
      </c>
      <c r="W58" s="83">
        <v>2881</v>
      </c>
      <c r="X58" s="82">
        <v>2446</v>
      </c>
      <c r="Y58" s="79">
        <f t="shared" si="12"/>
        <v>0</v>
      </c>
      <c r="Z58" s="79">
        <f t="shared" si="13"/>
        <v>0</v>
      </c>
      <c r="AA58" s="79">
        <f t="shared" si="7"/>
        <v>0</v>
      </c>
      <c r="AB58" s="79">
        <f t="shared" si="8"/>
        <v>0</v>
      </c>
      <c r="AC58" s="79">
        <v>1500</v>
      </c>
      <c r="AD58" s="62" t="e">
        <f t="shared" si="9"/>
        <v>#DIV/0!</v>
      </c>
      <c r="AE58" s="67" t="e">
        <f t="shared" si="10"/>
        <v>#DIV/0!</v>
      </c>
    </row>
    <row r="59" spans="1:31" s="68" customFormat="1" ht="14.95" thickBot="1" x14ac:dyDescent="0.3">
      <c r="A59" s="60">
        <f>A58+1</f>
        <v>46011</v>
      </c>
      <c r="B59" s="61">
        <f t="shared" si="1"/>
        <v>20</v>
      </c>
      <c r="C59" s="62" t="s">
        <v>44</v>
      </c>
      <c r="D59" s="63">
        <v>1</v>
      </c>
      <c r="E59" s="62" t="s">
        <v>45</v>
      </c>
      <c r="F59" s="64">
        <v>2620</v>
      </c>
      <c r="G59" s="65">
        <v>6</v>
      </c>
      <c r="H59" s="54"/>
      <c r="I59" s="54"/>
      <c r="J59" s="86"/>
      <c r="K59" s="86"/>
      <c r="L59" s="86"/>
      <c r="M59" s="62">
        <f t="shared" si="2"/>
        <v>0</v>
      </c>
      <c r="N59" s="64" t="e">
        <f>[2]!Tabla1[[#This Row],[CONSUMO POL ANIONICO (KG)]]</f>
        <v>#REF!</v>
      </c>
      <c r="O59" s="66" t="e">
        <f>[2]!Tabla1[[#This Row],[CONSUMO POL CATIONICO (KG)]]</f>
        <v>#REF!</v>
      </c>
      <c r="P59" s="65" t="e">
        <f t="shared" si="11"/>
        <v>#DIV/0!</v>
      </c>
      <c r="Q59" s="62">
        <f t="shared" si="4"/>
        <v>0</v>
      </c>
      <c r="R59" s="62">
        <f t="shared" si="5"/>
        <v>0</v>
      </c>
      <c r="S59" s="64">
        <v>1.325</v>
      </c>
      <c r="T59" s="66">
        <v>1200</v>
      </c>
      <c r="U59" s="66">
        <v>1.3</v>
      </c>
      <c r="V59" s="66">
        <v>2498</v>
      </c>
      <c r="W59" s="66">
        <v>2881</v>
      </c>
      <c r="X59" s="65">
        <v>2446</v>
      </c>
      <c r="Y59" s="62">
        <f t="shared" si="12"/>
        <v>0</v>
      </c>
      <c r="Z59" s="62">
        <f t="shared" si="13"/>
        <v>0</v>
      </c>
      <c r="AA59" s="62">
        <f t="shared" si="7"/>
        <v>0</v>
      </c>
      <c r="AB59" s="62">
        <f t="shared" si="8"/>
        <v>0</v>
      </c>
      <c r="AC59" s="62">
        <v>1500</v>
      </c>
      <c r="AD59" s="71" t="e">
        <f t="shared" si="9"/>
        <v>#DIV/0!</v>
      </c>
      <c r="AE59" s="76" t="e">
        <f t="shared" si="10"/>
        <v>#DIV/0!</v>
      </c>
    </row>
    <row r="60" spans="1:31" s="68" customFormat="1" ht="14.95" thickBot="1" x14ac:dyDescent="0.3">
      <c r="A60" s="69">
        <f>A59</f>
        <v>46011</v>
      </c>
      <c r="B60" s="70">
        <f t="shared" si="1"/>
        <v>20</v>
      </c>
      <c r="C60" s="71" t="s">
        <v>46</v>
      </c>
      <c r="D60" s="72">
        <v>2</v>
      </c>
      <c r="E60" s="71" t="s">
        <v>47</v>
      </c>
      <c r="F60" s="73">
        <v>2260</v>
      </c>
      <c r="G60" s="74">
        <v>8</v>
      </c>
      <c r="H60" s="55"/>
      <c r="I60" s="55"/>
      <c r="J60" s="87"/>
      <c r="K60" s="87"/>
      <c r="L60" s="87"/>
      <c r="M60" s="71">
        <f t="shared" si="2"/>
        <v>0</v>
      </c>
      <c r="N60" s="73" t="e">
        <f>[2]!Tabla1[[#This Row],[CONSUMO POL ANIONICO (KG)]]</f>
        <v>#REF!</v>
      </c>
      <c r="O60" s="75" t="e">
        <f>[2]!Tabla1[[#This Row],[CONSUMO POL CATIONICO (KG)]]</f>
        <v>#REF!</v>
      </c>
      <c r="P60" s="74" t="e">
        <f t="shared" si="11"/>
        <v>#DIV/0!</v>
      </c>
      <c r="Q60" s="71">
        <f t="shared" si="4"/>
        <v>0</v>
      </c>
      <c r="R60" s="71">
        <f t="shared" si="5"/>
        <v>0</v>
      </c>
      <c r="S60" s="73">
        <v>1.325</v>
      </c>
      <c r="T60" s="75">
        <v>1200</v>
      </c>
      <c r="U60" s="75">
        <v>1.3</v>
      </c>
      <c r="V60" s="75">
        <v>2498</v>
      </c>
      <c r="W60" s="75">
        <v>2881</v>
      </c>
      <c r="X60" s="74">
        <v>2446</v>
      </c>
      <c r="Y60" s="71">
        <f t="shared" si="12"/>
        <v>0</v>
      </c>
      <c r="Z60" s="71">
        <f t="shared" si="13"/>
        <v>0</v>
      </c>
      <c r="AA60" s="71">
        <f t="shared" si="7"/>
        <v>0</v>
      </c>
      <c r="AB60" s="71">
        <f t="shared" si="8"/>
        <v>0</v>
      </c>
      <c r="AC60" s="71">
        <v>1500</v>
      </c>
      <c r="AD60" s="79" t="e">
        <f t="shared" si="9"/>
        <v>#DIV/0!</v>
      </c>
      <c r="AE60" s="67" t="e">
        <f t="shared" si="10"/>
        <v>#DIV/0!</v>
      </c>
    </row>
    <row r="61" spans="1:31" s="68" customFormat="1" ht="14.95" thickBot="1" x14ac:dyDescent="0.3">
      <c r="A61" s="77">
        <f>A60</f>
        <v>46011</v>
      </c>
      <c r="B61" s="78">
        <f t="shared" si="1"/>
        <v>20</v>
      </c>
      <c r="C61" s="79" t="s">
        <v>48</v>
      </c>
      <c r="D61" s="80">
        <v>3</v>
      </c>
      <c r="E61" s="79" t="s">
        <v>49</v>
      </c>
      <c r="F61" s="81">
        <v>1910</v>
      </c>
      <c r="G61" s="82">
        <v>8</v>
      </c>
      <c r="H61" s="56"/>
      <c r="I61" s="56"/>
      <c r="J61" s="88"/>
      <c r="K61" s="88"/>
      <c r="L61" s="88"/>
      <c r="M61" s="79">
        <f t="shared" si="2"/>
        <v>0</v>
      </c>
      <c r="N61" s="81" t="e">
        <f>[2]!Tabla1[[#This Row],[CONSUMO POL ANIONICO (KG)]]</f>
        <v>#REF!</v>
      </c>
      <c r="O61" s="83" t="e">
        <f>[2]!Tabla1[[#This Row],[CONSUMO POL CATIONICO (KG)]]</f>
        <v>#REF!</v>
      </c>
      <c r="P61" s="82" t="e">
        <f t="shared" si="11"/>
        <v>#DIV/0!</v>
      </c>
      <c r="Q61" s="79">
        <f t="shared" si="4"/>
        <v>0</v>
      </c>
      <c r="R61" s="79">
        <f t="shared" si="5"/>
        <v>0</v>
      </c>
      <c r="S61" s="81">
        <v>1.325</v>
      </c>
      <c r="T61" s="83">
        <v>1200</v>
      </c>
      <c r="U61" s="83">
        <v>1.3</v>
      </c>
      <c r="V61" s="83">
        <v>2498</v>
      </c>
      <c r="W61" s="83">
        <v>2881</v>
      </c>
      <c r="X61" s="82">
        <v>2446</v>
      </c>
      <c r="Y61" s="79">
        <f t="shared" si="12"/>
        <v>0</v>
      </c>
      <c r="Z61" s="79">
        <f t="shared" si="13"/>
        <v>0</v>
      </c>
      <c r="AA61" s="79">
        <f t="shared" si="7"/>
        <v>0</v>
      </c>
      <c r="AB61" s="79">
        <f t="shared" si="8"/>
        <v>0</v>
      </c>
      <c r="AC61" s="79">
        <v>1500</v>
      </c>
      <c r="AD61" s="62" t="e">
        <f t="shared" si="9"/>
        <v>#DIV/0!</v>
      </c>
      <c r="AE61" s="76" t="e">
        <f t="shared" si="10"/>
        <v>#DIV/0!</v>
      </c>
    </row>
    <row r="62" spans="1:31" s="68" customFormat="1" x14ac:dyDescent="0.25">
      <c r="A62" s="60">
        <f>A61+1</f>
        <v>46012</v>
      </c>
      <c r="B62" s="61">
        <f t="shared" si="1"/>
        <v>21</v>
      </c>
      <c r="C62" s="62" t="s">
        <v>44</v>
      </c>
      <c r="D62" s="63">
        <v>1</v>
      </c>
      <c r="E62" s="62" t="s">
        <v>45</v>
      </c>
      <c r="F62" s="64">
        <v>1400</v>
      </c>
      <c r="G62" s="65">
        <v>6</v>
      </c>
      <c r="H62" s="54"/>
      <c r="I62" s="54"/>
      <c r="J62" s="86"/>
      <c r="K62" s="86"/>
      <c r="L62" s="86"/>
      <c r="M62" s="62">
        <f t="shared" si="2"/>
        <v>0</v>
      </c>
      <c r="N62" s="64" t="e">
        <f>[2]!Tabla1[[#This Row],[CONSUMO POL ANIONICO (KG)]]</f>
        <v>#REF!</v>
      </c>
      <c r="O62" s="66" t="e">
        <f>[2]!Tabla1[[#This Row],[CONSUMO POL CATIONICO (KG)]]</f>
        <v>#REF!</v>
      </c>
      <c r="P62" s="65" t="e">
        <f t="shared" si="11"/>
        <v>#DIV/0!</v>
      </c>
      <c r="Q62" s="62">
        <f t="shared" si="4"/>
        <v>0</v>
      </c>
      <c r="R62" s="62">
        <f t="shared" si="5"/>
        <v>0</v>
      </c>
      <c r="S62" s="64">
        <v>1.325</v>
      </c>
      <c r="T62" s="66">
        <v>1200</v>
      </c>
      <c r="U62" s="66">
        <v>1.3</v>
      </c>
      <c r="V62" s="66">
        <v>2498</v>
      </c>
      <c r="W62" s="66">
        <v>2881</v>
      </c>
      <c r="X62" s="65">
        <v>2446</v>
      </c>
      <c r="Y62" s="62">
        <f t="shared" si="12"/>
        <v>0</v>
      </c>
      <c r="Z62" s="62">
        <f t="shared" si="13"/>
        <v>0</v>
      </c>
      <c r="AA62" s="62">
        <f t="shared" si="7"/>
        <v>0</v>
      </c>
      <c r="AB62" s="62">
        <f t="shared" si="8"/>
        <v>0</v>
      </c>
      <c r="AC62" s="62">
        <v>1500</v>
      </c>
      <c r="AD62" s="62" t="e">
        <f t="shared" si="9"/>
        <v>#DIV/0!</v>
      </c>
      <c r="AE62" s="67" t="e">
        <f t="shared" si="10"/>
        <v>#DIV/0!</v>
      </c>
    </row>
    <row r="63" spans="1:31" s="68" customFormat="1" ht="14.95" thickBot="1" x14ac:dyDescent="0.3">
      <c r="A63" s="69">
        <f>A62</f>
        <v>46012</v>
      </c>
      <c r="B63" s="70">
        <f t="shared" si="1"/>
        <v>21</v>
      </c>
      <c r="C63" s="71" t="s">
        <v>46</v>
      </c>
      <c r="D63" s="72">
        <v>2</v>
      </c>
      <c r="E63" s="71" t="s">
        <v>47</v>
      </c>
      <c r="F63" s="73">
        <v>1020</v>
      </c>
      <c r="G63" s="74">
        <v>8</v>
      </c>
      <c r="H63" s="55"/>
      <c r="I63" s="55"/>
      <c r="J63" s="87"/>
      <c r="K63" s="87"/>
      <c r="L63" s="87"/>
      <c r="M63" s="71">
        <f t="shared" si="2"/>
        <v>0</v>
      </c>
      <c r="N63" s="73" t="e">
        <f>[2]!Tabla1[[#This Row],[CONSUMO POL ANIONICO (KG)]]</f>
        <v>#REF!</v>
      </c>
      <c r="O63" s="75" t="e">
        <f>[2]!Tabla1[[#This Row],[CONSUMO POL CATIONICO (KG)]]</f>
        <v>#REF!</v>
      </c>
      <c r="P63" s="74" t="e">
        <f t="shared" si="11"/>
        <v>#DIV/0!</v>
      </c>
      <c r="Q63" s="71">
        <f t="shared" si="4"/>
        <v>0</v>
      </c>
      <c r="R63" s="71">
        <f t="shared" si="5"/>
        <v>0</v>
      </c>
      <c r="S63" s="73">
        <v>1.325</v>
      </c>
      <c r="T63" s="75">
        <v>1200</v>
      </c>
      <c r="U63" s="75">
        <v>1.3</v>
      </c>
      <c r="V63" s="75">
        <v>2498</v>
      </c>
      <c r="W63" s="75">
        <v>2881</v>
      </c>
      <c r="X63" s="74">
        <v>2446</v>
      </c>
      <c r="Y63" s="71">
        <f t="shared" si="12"/>
        <v>0</v>
      </c>
      <c r="Z63" s="71">
        <f t="shared" si="13"/>
        <v>0</v>
      </c>
      <c r="AA63" s="71">
        <f t="shared" si="7"/>
        <v>0</v>
      </c>
      <c r="AB63" s="71">
        <f t="shared" si="8"/>
        <v>0</v>
      </c>
      <c r="AC63" s="71">
        <v>1500</v>
      </c>
      <c r="AD63" s="71" t="e">
        <f t="shared" si="9"/>
        <v>#DIV/0!</v>
      </c>
      <c r="AE63" s="76" t="e">
        <f t="shared" si="10"/>
        <v>#DIV/0!</v>
      </c>
    </row>
    <row r="64" spans="1:31" s="68" customFormat="1" ht="14.95" thickBot="1" x14ac:dyDescent="0.3">
      <c r="A64" s="77">
        <f>A63</f>
        <v>46012</v>
      </c>
      <c r="B64" s="78">
        <f t="shared" si="1"/>
        <v>21</v>
      </c>
      <c r="C64" s="79" t="s">
        <v>48</v>
      </c>
      <c r="D64" s="80">
        <v>3</v>
      </c>
      <c r="E64" s="79" t="s">
        <v>49</v>
      </c>
      <c r="F64" s="81"/>
      <c r="G64" s="82">
        <v>8</v>
      </c>
      <c r="H64" s="56"/>
      <c r="I64" s="56"/>
      <c r="J64" s="88"/>
      <c r="K64" s="88"/>
      <c r="L64" s="88"/>
      <c r="M64" s="79">
        <f t="shared" si="2"/>
        <v>0</v>
      </c>
      <c r="N64" s="81" t="e">
        <f>[2]!Tabla1[[#This Row],[CONSUMO POL ANIONICO (KG)]]</f>
        <v>#REF!</v>
      </c>
      <c r="O64" s="83" t="e">
        <f>[2]!Tabla1[[#This Row],[CONSUMO POL CATIONICO (KG)]]</f>
        <v>#REF!</v>
      </c>
      <c r="P64" s="82" t="e">
        <f t="shared" si="11"/>
        <v>#DIV/0!</v>
      </c>
      <c r="Q64" s="79">
        <f t="shared" si="4"/>
        <v>0</v>
      </c>
      <c r="R64" s="79">
        <f t="shared" si="5"/>
        <v>0</v>
      </c>
      <c r="S64" s="81">
        <v>1.325</v>
      </c>
      <c r="T64" s="83">
        <v>1200</v>
      </c>
      <c r="U64" s="83">
        <v>1.3</v>
      </c>
      <c r="V64" s="83">
        <v>2498</v>
      </c>
      <c r="W64" s="83">
        <v>2881</v>
      </c>
      <c r="X64" s="82">
        <v>2446</v>
      </c>
      <c r="Y64" s="79">
        <f t="shared" si="12"/>
        <v>0</v>
      </c>
      <c r="Z64" s="79">
        <f t="shared" si="13"/>
        <v>0</v>
      </c>
      <c r="AA64" s="79">
        <f t="shared" si="7"/>
        <v>0</v>
      </c>
      <c r="AB64" s="79">
        <f t="shared" si="8"/>
        <v>0</v>
      </c>
      <c r="AC64" s="79">
        <v>1500</v>
      </c>
      <c r="AD64" s="79" t="e">
        <f t="shared" si="9"/>
        <v>#DIV/0!</v>
      </c>
      <c r="AE64" s="67" t="e">
        <f t="shared" si="10"/>
        <v>#DIV/0!</v>
      </c>
    </row>
    <row r="65" spans="1:33" s="68" customFormat="1" ht="14.95" thickBot="1" x14ac:dyDescent="0.3">
      <c r="A65" s="60">
        <f>A64+1</f>
        <v>46013</v>
      </c>
      <c r="B65" s="61">
        <f t="shared" si="1"/>
        <v>22</v>
      </c>
      <c r="C65" s="62" t="s">
        <v>44</v>
      </c>
      <c r="D65" s="63">
        <v>1</v>
      </c>
      <c r="E65" s="62" t="s">
        <v>45</v>
      </c>
      <c r="F65" s="64"/>
      <c r="G65" s="65">
        <v>0</v>
      </c>
      <c r="H65" s="54"/>
      <c r="I65" s="54"/>
      <c r="J65" s="86"/>
      <c r="K65" s="86"/>
      <c r="L65" s="86"/>
      <c r="M65" s="62">
        <f>(J65*$S$2)</f>
        <v>0</v>
      </c>
      <c r="N65" s="64" t="e">
        <f>[2]!Tabla1[[#This Row],[CONSUMO POL ANIONICO (KG)]]</f>
        <v>#REF!</v>
      </c>
      <c r="O65" s="66" t="e">
        <f>[2]!Tabla1[[#This Row],[CONSUMO POL CATIONICO (KG)]]</f>
        <v>#REF!</v>
      </c>
      <c r="P65" s="65" t="e">
        <f t="shared" si="11"/>
        <v>#DIV/0!</v>
      </c>
      <c r="Q65" s="62">
        <f t="shared" si="4"/>
        <v>0</v>
      </c>
      <c r="R65" s="62">
        <f t="shared" si="5"/>
        <v>0</v>
      </c>
      <c r="S65" s="64">
        <v>1.325</v>
      </c>
      <c r="T65" s="66">
        <v>1200</v>
      </c>
      <c r="U65" s="66">
        <v>1.3</v>
      </c>
      <c r="V65" s="66">
        <v>2498</v>
      </c>
      <c r="W65" s="66">
        <v>2881</v>
      </c>
      <c r="X65" s="65">
        <v>2446</v>
      </c>
      <c r="Y65" s="62">
        <f t="shared" si="12"/>
        <v>0</v>
      </c>
      <c r="Z65" s="62">
        <f t="shared" si="13"/>
        <v>0</v>
      </c>
      <c r="AA65" s="62">
        <f t="shared" si="7"/>
        <v>0</v>
      </c>
      <c r="AB65" s="62">
        <f t="shared" si="8"/>
        <v>0</v>
      </c>
      <c r="AC65" s="62">
        <v>1500</v>
      </c>
      <c r="AD65" s="62" t="e">
        <f t="shared" si="9"/>
        <v>#DIV/0!</v>
      </c>
      <c r="AE65" s="76" t="e">
        <f t="shared" si="10"/>
        <v>#DIV/0!</v>
      </c>
    </row>
    <row r="66" spans="1:33" s="68" customFormat="1" x14ac:dyDescent="0.25">
      <c r="A66" s="69">
        <f>A65</f>
        <v>46013</v>
      </c>
      <c r="B66" s="70">
        <f t="shared" si="1"/>
        <v>22</v>
      </c>
      <c r="C66" s="71" t="s">
        <v>46</v>
      </c>
      <c r="D66" s="72">
        <v>2</v>
      </c>
      <c r="E66" s="71" t="s">
        <v>47</v>
      </c>
      <c r="F66" s="73"/>
      <c r="G66" s="74">
        <v>8</v>
      </c>
      <c r="H66" s="55"/>
      <c r="I66" s="55"/>
      <c r="J66" s="87"/>
      <c r="K66" s="87"/>
      <c r="L66" s="87"/>
      <c r="M66" s="71">
        <f>(J66*$S$2)</f>
        <v>0</v>
      </c>
      <c r="N66" s="73" t="e">
        <f>[2]!Tabla1[[#This Row],[CONSUMO POL ANIONICO (KG)]]</f>
        <v>#REF!</v>
      </c>
      <c r="O66" s="75" t="e">
        <f>[2]!Tabla1[[#This Row],[CONSUMO POL CATIONICO (KG)]]</f>
        <v>#REF!</v>
      </c>
      <c r="P66" s="74" t="e">
        <f t="shared" ref="P66:P94" si="14">(M66*1000)/H66</f>
        <v>#DIV/0!</v>
      </c>
      <c r="Q66" s="71">
        <f t="shared" si="4"/>
        <v>0</v>
      </c>
      <c r="R66" s="71">
        <f t="shared" si="5"/>
        <v>0</v>
      </c>
      <c r="S66" s="73">
        <v>1.325</v>
      </c>
      <c r="T66" s="75">
        <v>1200</v>
      </c>
      <c r="U66" s="75">
        <v>1.3</v>
      </c>
      <c r="V66" s="75">
        <v>2498</v>
      </c>
      <c r="W66" s="75">
        <v>2881</v>
      </c>
      <c r="X66" s="74">
        <v>2446</v>
      </c>
      <c r="Y66" s="71">
        <f t="shared" ref="Y66:Y94" si="15">M66*V66</f>
        <v>0</v>
      </c>
      <c r="Z66" s="71">
        <f t="shared" si="13"/>
        <v>0</v>
      </c>
      <c r="AA66" s="71">
        <f t="shared" si="7"/>
        <v>0</v>
      </c>
      <c r="AB66" s="71">
        <f t="shared" si="8"/>
        <v>0</v>
      </c>
      <c r="AC66" s="71">
        <v>1500</v>
      </c>
      <c r="AD66" s="62" t="e">
        <f t="shared" si="9"/>
        <v>#DIV/0!</v>
      </c>
      <c r="AE66" s="67" t="e">
        <f t="shared" si="10"/>
        <v>#DIV/0!</v>
      </c>
      <c r="AG66" s="68">
        <f>+K66*1.1</f>
        <v>0</v>
      </c>
    </row>
    <row r="67" spans="1:33" s="68" customFormat="1" ht="14.95" thickBot="1" x14ac:dyDescent="0.3">
      <c r="A67" s="77">
        <f>A66</f>
        <v>46013</v>
      </c>
      <c r="B67" s="78">
        <f t="shared" ref="B67:B94" si="16">DAY(A67)</f>
        <v>22</v>
      </c>
      <c r="C67" s="79" t="s">
        <v>48</v>
      </c>
      <c r="D67" s="80">
        <v>3</v>
      </c>
      <c r="E67" s="79" t="s">
        <v>49</v>
      </c>
      <c r="F67" s="81"/>
      <c r="G67" s="82">
        <v>8</v>
      </c>
      <c r="H67" s="56"/>
      <c r="I67" s="56"/>
      <c r="J67" s="88"/>
      <c r="K67" s="88"/>
      <c r="L67" s="88"/>
      <c r="M67" s="79">
        <f t="shared" ref="M67:M93" si="17">(J67*$S$2)</f>
        <v>0</v>
      </c>
      <c r="N67" s="81" t="e">
        <f>[2]!Tabla1[[#This Row],[CONSUMO POL ANIONICO (KG)]]</f>
        <v>#REF!</v>
      </c>
      <c r="O67" s="83" t="e">
        <f>[2]!Tabla1[[#This Row],[CONSUMO POL CATIONICO (KG)]]</f>
        <v>#REF!</v>
      </c>
      <c r="P67" s="82" t="e">
        <f t="shared" si="14"/>
        <v>#DIV/0!</v>
      </c>
      <c r="Q67" s="79">
        <f t="shared" ref="Q67:Q94" si="18">(K67*$T$2)</f>
        <v>0</v>
      </c>
      <c r="R67" s="79">
        <f t="shared" ref="R67:R94" si="19">(L67*$U$2)</f>
        <v>0</v>
      </c>
      <c r="S67" s="81">
        <v>1.325</v>
      </c>
      <c r="T67" s="83">
        <v>1200</v>
      </c>
      <c r="U67" s="83">
        <v>1.3</v>
      </c>
      <c r="V67" s="83">
        <v>2498</v>
      </c>
      <c r="W67" s="83">
        <v>2881</v>
      </c>
      <c r="X67" s="82">
        <v>2446</v>
      </c>
      <c r="Y67" s="79">
        <f t="shared" si="15"/>
        <v>0</v>
      </c>
      <c r="Z67" s="79">
        <f t="shared" ref="Z67:Z94" si="20">Q67*W67</f>
        <v>0</v>
      </c>
      <c r="AA67" s="79">
        <f t="shared" ref="AA67:AA94" si="21">R67*X67</f>
        <v>0</v>
      </c>
      <c r="AB67" s="79">
        <f t="shared" ref="AB67:AB94" si="22">+Y67+Z67+AA67</f>
        <v>0</v>
      </c>
      <c r="AC67" s="79">
        <v>1500</v>
      </c>
      <c r="AD67" s="71" t="e">
        <f t="shared" ref="AD67:AD94" si="23">AB67/H67</f>
        <v>#DIV/0!</v>
      </c>
      <c r="AE67" s="76" t="e">
        <f t="shared" ref="AE67:AE94" si="24">+AB67/I67</f>
        <v>#DIV/0!</v>
      </c>
    </row>
    <row r="68" spans="1:33" s="68" customFormat="1" ht="14.95" thickBot="1" x14ac:dyDescent="0.3">
      <c r="A68" s="60">
        <f>A67+1</f>
        <v>46014</v>
      </c>
      <c r="B68" s="61">
        <f t="shared" si="16"/>
        <v>23</v>
      </c>
      <c r="C68" s="62" t="s">
        <v>44</v>
      </c>
      <c r="D68" s="63">
        <v>1</v>
      </c>
      <c r="E68" s="62" t="s">
        <v>45</v>
      </c>
      <c r="F68" s="64"/>
      <c r="G68" s="65">
        <v>0</v>
      </c>
      <c r="H68" s="54"/>
      <c r="I68" s="54"/>
      <c r="J68" s="86"/>
      <c r="K68" s="86"/>
      <c r="L68" s="86"/>
      <c r="M68" s="62">
        <f t="shared" si="17"/>
        <v>0</v>
      </c>
      <c r="N68" s="64" t="e">
        <f>[2]!Tabla1[[#This Row],[CONSUMO POL ANIONICO (KG)]]</f>
        <v>#REF!</v>
      </c>
      <c r="O68" s="66" t="e">
        <f>[2]!Tabla1[[#This Row],[CONSUMO POL CATIONICO (KG)]]</f>
        <v>#REF!</v>
      </c>
      <c r="P68" s="65" t="e">
        <f t="shared" si="14"/>
        <v>#DIV/0!</v>
      </c>
      <c r="Q68" s="62">
        <f t="shared" si="18"/>
        <v>0</v>
      </c>
      <c r="R68" s="62">
        <f t="shared" si="19"/>
        <v>0</v>
      </c>
      <c r="S68" s="64">
        <v>1.325</v>
      </c>
      <c r="T68" s="66">
        <v>1200</v>
      </c>
      <c r="U68" s="66">
        <v>1.3</v>
      </c>
      <c r="V68" s="66">
        <v>2498</v>
      </c>
      <c r="W68" s="66">
        <v>2881</v>
      </c>
      <c r="X68" s="65">
        <v>2446</v>
      </c>
      <c r="Y68" s="62">
        <f t="shared" si="15"/>
        <v>0</v>
      </c>
      <c r="Z68" s="62">
        <f t="shared" si="20"/>
        <v>0</v>
      </c>
      <c r="AA68" s="62">
        <f t="shared" si="21"/>
        <v>0</v>
      </c>
      <c r="AB68" s="62">
        <f t="shared" si="22"/>
        <v>0</v>
      </c>
      <c r="AC68" s="62">
        <v>1500</v>
      </c>
      <c r="AD68" s="79" t="e">
        <f t="shared" si="23"/>
        <v>#DIV/0!</v>
      </c>
      <c r="AE68" s="67" t="e">
        <f t="shared" si="24"/>
        <v>#DIV/0!</v>
      </c>
    </row>
    <row r="69" spans="1:33" s="68" customFormat="1" ht="14.95" thickBot="1" x14ac:dyDescent="0.3">
      <c r="A69" s="69">
        <f>A68</f>
        <v>46014</v>
      </c>
      <c r="B69" s="70">
        <f t="shared" si="16"/>
        <v>23</v>
      </c>
      <c r="C69" s="71" t="s">
        <v>46</v>
      </c>
      <c r="D69" s="72">
        <v>2</v>
      </c>
      <c r="E69" s="71" t="s">
        <v>47</v>
      </c>
      <c r="F69" s="73"/>
      <c r="G69" s="74">
        <v>0</v>
      </c>
      <c r="H69" s="55"/>
      <c r="I69" s="55"/>
      <c r="J69" s="87"/>
      <c r="K69" s="87"/>
      <c r="L69" s="87"/>
      <c r="M69" s="71">
        <f t="shared" si="17"/>
        <v>0</v>
      </c>
      <c r="N69" s="73" t="e">
        <f>[2]!Tabla1[[#This Row],[CONSUMO POL ANIONICO (KG)]]</f>
        <v>#REF!</v>
      </c>
      <c r="O69" s="75" t="e">
        <f>[2]!Tabla1[[#This Row],[CONSUMO POL CATIONICO (KG)]]</f>
        <v>#REF!</v>
      </c>
      <c r="P69" s="74" t="e">
        <f t="shared" si="14"/>
        <v>#DIV/0!</v>
      </c>
      <c r="Q69" s="71">
        <f t="shared" si="18"/>
        <v>0</v>
      </c>
      <c r="R69" s="71">
        <f t="shared" si="19"/>
        <v>0</v>
      </c>
      <c r="S69" s="73">
        <v>1.325</v>
      </c>
      <c r="T69" s="75">
        <v>1200</v>
      </c>
      <c r="U69" s="75">
        <v>1.3</v>
      </c>
      <c r="V69" s="75">
        <v>2498</v>
      </c>
      <c r="W69" s="75">
        <v>2881</v>
      </c>
      <c r="X69" s="74">
        <v>2446</v>
      </c>
      <c r="Y69" s="71">
        <f t="shared" si="15"/>
        <v>0</v>
      </c>
      <c r="Z69" s="71">
        <f t="shared" si="20"/>
        <v>0</v>
      </c>
      <c r="AA69" s="71">
        <f t="shared" si="21"/>
        <v>0</v>
      </c>
      <c r="AB69" s="71">
        <f t="shared" si="22"/>
        <v>0</v>
      </c>
      <c r="AC69" s="71">
        <v>1500</v>
      </c>
      <c r="AD69" s="62" t="e">
        <f t="shared" si="23"/>
        <v>#DIV/0!</v>
      </c>
      <c r="AE69" s="76" t="e">
        <f t="shared" si="24"/>
        <v>#DIV/0!</v>
      </c>
    </row>
    <row r="70" spans="1:33" s="68" customFormat="1" ht="14.95" thickBot="1" x14ac:dyDescent="0.3">
      <c r="A70" s="77">
        <f>A69</f>
        <v>46014</v>
      </c>
      <c r="B70" s="78">
        <f t="shared" si="16"/>
        <v>23</v>
      </c>
      <c r="C70" s="79" t="s">
        <v>48</v>
      </c>
      <c r="D70" s="80">
        <v>3</v>
      </c>
      <c r="E70" s="79" t="s">
        <v>49</v>
      </c>
      <c r="F70" s="81"/>
      <c r="G70" s="82">
        <v>0</v>
      </c>
      <c r="H70" s="56"/>
      <c r="I70" s="56"/>
      <c r="J70" s="88"/>
      <c r="K70" s="88"/>
      <c r="L70" s="88"/>
      <c r="M70" s="79">
        <f t="shared" si="17"/>
        <v>0</v>
      </c>
      <c r="N70" s="81" t="e">
        <f>[2]!Tabla1[[#This Row],[CONSUMO POL ANIONICO (KG)]]</f>
        <v>#REF!</v>
      </c>
      <c r="O70" s="83">
        <v>0</v>
      </c>
      <c r="P70" s="82" t="e">
        <f t="shared" si="14"/>
        <v>#DIV/0!</v>
      </c>
      <c r="Q70" s="79">
        <f t="shared" si="18"/>
        <v>0</v>
      </c>
      <c r="R70" s="79">
        <f t="shared" si="19"/>
        <v>0</v>
      </c>
      <c r="S70" s="81">
        <v>1.325</v>
      </c>
      <c r="T70" s="83">
        <v>1200</v>
      </c>
      <c r="U70" s="83">
        <v>1.3</v>
      </c>
      <c r="V70" s="83">
        <v>2498</v>
      </c>
      <c r="W70" s="83">
        <v>2881</v>
      </c>
      <c r="X70" s="82">
        <v>2446</v>
      </c>
      <c r="Y70" s="79">
        <f t="shared" si="15"/>
        <v>0</v>
      </c>
      <c r="Z70" s="79">
        <f t="shared" si="20"/>
        <v>0</v>
      </c>
      <c r="AA70" s="79">
        <f t="shared" si="21"/>
        <v>0</v>
      </c>
      <c r="AB70" s="79">
        <f t="shared" si="22"/>
        <v>0</v>
      </c>
      <c r="AC70" s="79">
        <v>1500</v>
      </c>
      <c r="AD70" s="62" t="e">
        <f t="shared" si="23"/>
        <v>#DIV/0!</v>
      </c>
      <c r="AE70" s="67" t="e">
        <f t="shared" si="24"/>
        <v>#DIV/0!</v>
      </c>
    </row>
    <row r="71" spans="1:33" s="68" customFormat="1" ht="14.95" thickBot="1" x14ac:dyDescent="0.3">
      <c r="A71" s="60">
        <f>A70+1</f>
        <v>46015</v>
      </c>
      <c r="B71" s="61">
        <f t="shared" si="16"/>
        <v>24</v>
      </c>
      <c r="C71" s="62" t="s">
        <v>44</v>
      </c>
      <c r="D71" s="63">
        <v>1</v>
      </c>
      <c r="E71" s="62" t="s">
        <v>45</v>
      </c>
      <c r="F71" s="64"/>
      <c r="G71" s="65">
        <v>0</v>
      </c>
      <c r="H71" s="54"/>
      <c r="I71" s="54"/>
      <c r="J71" s="86"/>
      <c r="K71" s="86"/>
      <c r="L71" s="86"/>
      <c r="M71" s="62">
        <f t="shared" si="17"/>
        <v>0</v>
      </c>
      <c r="N71" s="64" t="e">
        <f>[2]!Tabla1[[#This Row],[CONSUMO POL ANIONICO (KG)]]</f>
        <v>#REF!</v>
      </c>
      <c r="O71" s="66" t="e">
        <f>[2]!Tabla1[[#This Row],[CONSUMO POL CATIONICO (KG)]]</f>
        <v>#REF!</v>
      </c>
      <c r="P71" s="65" t="e">
        <f t="shared" si="14"/>
        <v>#DIV/0!</v>
      </c>
      <c r="Q71" s="62">
        <f t="shared" si="18"/>
        <v>0</v>
      </c>
      <c r="R71" s="62">
        <f t="shared" si="19"/>
        <v>0</v>
      </c>
      <c r="S71" s="64">
        <v>1.325</v>
      </c>
      <c r="T71" s="66">
        <v>1200</v>
      </c>
      <c r="U71" s="66">
        <v>1.3</v>
      </c>
      <c r="V71" s="66">
        <v>2498</v>
      </c>
      <c r="W71" s="66">
        <v>2881</v>
      </c>
      <c r="X71" s="65">
        <v>2446</v>
      </c>
      <c r="Y71" s="62">
        <f t="shared" si="15"/>
        <v>0</v>
      </c>
      <c r="Z71" s="62">
        <f t="shared" si="20"/>
        <v>0</v>
      </c>
      <c r="AA71" s="62">
        <f t="shared" si="21"/>
        <v>0</v>
      </c>
      <c r="AB71" s="62">
        <f t="shared" si="22"/>
        <v>0</v>
      </c>
      <c r="AC71" s="62">
        <v>1500</v>
      </c>
      <c r="AD71" s="71" t="e">
        <f t="shared" si="23"/>
        <v>#DIV/0!</v>
      </c>
      <c r="AE71" s="76" t="e">
        <f t="shared" si="24"/>
        <v>#DIV/0!</v>
      </c>
    </row>
    <row r="72" spans="1:33" s="68" customFormat="1" ht="14.95" thickBot="1" x14ac:dyDescent="0.3">
      <c r="A72" s="69">
        <f>A71</f>
        <v>46015</v>
      </c>
      <c r="B72" s="70">
        <f t="shared" si="16"/>
        <v>24</v>
      </c>
      <c r="C72" s="71" t="s">
        <v>46</v>
      </c>
      <c r="D72" s="72">
        <v>2</v>
      </c>
      <c r="E72" s="71" t="s">
        <v>47</v>
      </c>
      <c r="F72" s="73"/>
      <c r="G72" s="74">
        <v>0</v>
      </c>
      <c r="H72" s="55"/>
      <c r="I72" s="55"/>
      <c r="J72" s="87"/>
      <c r="K72" s="87"/>
      <c r="L72" s="87"/>
      <c r="M72" s="71">
        <f t="shared" si="17"/>
        <v>0</v>
      </c>
      <c r="N72" s="73" t="e">
        <f>[2]!Tabla1[[#This Row],[CONSUMO POL ANIONICO (KG)]]</f>
        <v>#REF!</v>
      </c>
      <c r="O72" s="75" t="e">
        <f>[2]!Tabla1[[#This Row],[CONSUMO POL CATIONICO (KG)]]</f>
        <v>#REF!</v>
      </c>
      <c r="P72" s="74" t="e">
        <f t="shared" si="14"/>
        <v>#DIV/0!</v>
      </c>
      <c r="Q72" s="71">
        <f t="shared" si="18"/>
        <v>0</v>
      </c>
      <c r="R72" s="71">
        <f t="shared" si="19"/>
        <v>0</v>
      </c>
      <c r="S72" s="73">
        <v>1.325</v>
      </c>
      <c r="T72" s="75">
        <v>1200</v>
      </c>
      <c r="U72" s="75">
        <v>1.3</v>
      </c>
      <c r="V72" s="75">
        <v>2498</v>
      </c>
      <c r="W72" s="75">
        <v>2881</v>
      </c>
      <c r="X72" s="74">
        <v>2446</v>
      </c>
      <c r="Y72" s="71">
        <f t="shared" si="15"/>
        <v>0</v>
      </c>
      <c r="Z72" s="71">
        <f t="shared" si="20"/>
        <v>0</v>
      </c>
      <c r="AA72" s="71">
        <f t="shared" si="21"/>
        <v>0</v>
      </c>
      <c r="AB72" s="71">
        <f t="shared" si="22"/>
        <v>0</v>
      </c>
      <c r="AC72" s="71">
        <v>1500</v>
      </c>
      <c r="AD72" s="79" t="e">
        <f t="shared" si="23"/>
        <v>#DIV/0!</v>
      </c>
      <c r="AE72" s="67" t="e">
        <f t="shared" si="24"/>
        <v>#DIV/0!</v>
      </c>
    </row>
    <row r="73" spans="1:33" s="68" customFormat="1" ht="14.95" thickBot="1" x14ac:dyDescent="0.3">
      <c r="A73" s="77">
        <f>A72</f>
        <v>46015</v>
      </c>
      <c r="B73" s="78">
        <f t="shared" si="16"/>
        <v>24</v>
      </c>
      <c r="C73" s="79" t="s">
        <v>48</v>
      </c>
      <c r="D73" s="80">
        <v>3</v>
      </c>
      <c r="E73" s="79" t="s">
        <v>49</v>
      </c>
      <c r="F73" s="81"/>
      <c r="G73" s="82">
        <v>0</v>
      </c>
      <c r="H73" s="56"/>
      <c r="I73" s="56"/>
      <c r="J73" s="88"/>
      <c r="K73" s="88"/>
      <c r="L73" s="88"/>
      <c r="M73" s="79">
        <f t="shared" si="17"/>
        <v>0</v>
      </c>
      <c r="N73" s="81" t="e">
        <f>[2]!Tabla1[[#This Row],[CONSUMO POL ANIONICO (KG)]]</f>
        <v>#REF!</v>
      </c>
      <c r="O73" s="83" t="e">
        <f>[2]!Tabla1[[#This Row],[CONSUMO POL CATIONICO (KG)]]</f>
        <v>#REF!</v>
      </c>
      <c r="P73" s="82" t="e">
        <f t="shared" si="14"/>
        <v>#DIV/0!</v>
      </c>
      <c r="Q73" s="79">
        <f t="shared" si="18"/>
        <v>0</v>
      </c>
      <c r="R73" s="79">
        <f t="shared" si="19"/>
        <v>0</v>
      </c>
      <c r="S73" s="81">
        <v>1.325</v>
      </c>
      <c r="T73" s="83">
        <v>1200</v>
      </c>
      <c r="U73" s="83">
        <v>1.3</v>
      </c>
      <c r="V73" s="83">
        <v>2498</v>
      </c>
      <c r="W73" s="83">
        <v>2881</v>
      </c>
      <c r="X73" s="82">
        <v>2446</v>
      </c>
      <c r="Y73" s="79">
        <f t="shared" si="15"/>
        <v>0</v>
      </c>
      <c r="Z73" s="79">
        <f t="shared" si="20"/>
        <v>0</v>
      </c>
      <c r="AA73" s="79">
        <f t="shared" si="21"/>
        <v>0</v>
      </c>
      <c r="AB73" s="79">
        <f t="shared" si="22"/>
        <v>0</v>
      </c>
      <c r="AC73" s="79">
        <v>1500</v>
      </c>
      <c r="AD73" s="62" t="e">
        <f t="shared" si="23"/>
        <v>#DIV/0!</v>
      </c>
      <c r="AE73" s="76" t="e">
        <f t="shared" si="24"/>
        <v>#DIV/0!</v>
      </c>
    </row>
    <row r="74" spans="1:33" s="68" customFormat="1" x14ac:dyDescent="0.25">
      <c r="A74" s="60">
        <f>A73+1</f>
        <v>46016</v>
      </c>
      <c r="B74" s="61">
        <f t="shared" si="16"/>
        <v>25</v>
      </c>
      <c r="C74" s="62" t="s">
        <v>44</v>
      </c>
      <c r="D74" s="63">
        <v>1</v>
      </c>
      <c r="E74" s="62" t="s">
        <v>45</v>
      </c>
      <c r="F74" s="64"/>
      <c r="G74" s="65">
        <v>6</v>
      </c>
      <c r="H74" s="54"/>
      <c r="I74" s="54"/>
      <c r="J74" s="86"/>
      <c r="K74" s="86"/>
      <c r="L74" s="86"/>
      <c r="M74" s="62">
        <f t="shared" si="17"/>
        <v>0</v>
      </c>
      <c r="N74" s="64" t="e">
        <f>[2]!Tabla1[[#This Row],[CONSUMO POL ANIONICO (KG)]]</f>
        <v>#REF!</v>
      </c>
      <c r="O74" s="66" t="e">
        <f>[2]!Tabla1[[#This Row],[CONSUMO POL CATIONICO (KG)]]</f>
        <v>#REF!</v>
      </c>
      <c r="P74" s="65" t="e">
        <f t="shared" si="14"/>
        <v>#DIV/0!</v>
      </c>
      <c r="Q74" s="62">
        <f t="shared" si="18"/>
        <v>0</v>
      </c>
      <c r="R74" s="62">
        <f t="shared" si="19"/>
        <v>0</v>
      </c>
      <c r="S74" s="64">
        <v>1.325</v>
      </c>
      <c r="T74" s="66">
        <v>1200</v>
      </c>
      <c r="U74" s="66">
        <v>1.3</v>
      </c>
      <c r="V74" s="66">
        <v>2498</v>
      </c>
      <c r="W74" s="66">
        <v>2881</v>
      </c>
      <c r="X74" s="65">
        <v>2446</v>
      </c>
      <c r="Y74" s="62">
        <f t="shared" si="15"/>
        <v>0</v>
      </c>
      <c r="Z74" s="62">
        <f t="shared" si="20"/>
        <v>0</v>
      </c>
      <c r="AA74" s="62">
        <f t="shared" si="21"/>
        <v>0</v>
      </c>
      <c r="AB74" s="62">
        <f t="shared" si="22"/>
        <v>0</v>
      </c>
      <c r="AC74" s="62">
        <v>1500</v>
      </c>
      <c r="AD74" s="62" t="e">
        <f t="shared" si="23"/>
        <v>#DIV/0!</v>
      </c>
      <c r="AE74" s="67" t="e">
        <f t="shared" si="24"/>
        <v>#DIV/0!</v>
      </c>
    </row>
    <row r="75" spans="1:33" s="68" customFormat="1" ht="14.95" thickBot="1" x14ac:dyDescent="0.3">
      <c r="A75" s="69">
        <f>A74</f>
        <v>46016</v>
      </c>
      <c r="B75" s="70">
        <f t="shared" si="16"/>
        <v>25</v>
      </c>
      <c r="C75" s="71" t="s">
        <v>46</v>
      </c>
      <c r="D75" s="72">
        <v>2</v>
      </c>
      <c r="E75" s="71" t="s">
        <v>47</v>
      </c>
      <c r="F75" s="73"/>
      <c r="G75" s="74">
        <v>4</v>
      </c>
      <c r="H75" s="55"/>
      <c r="I75" s="55"/>
      <c r="J75" s="87"/>
      <c r="K75" s="87"/>
      <c r="L75" s="87"/>
      <c r="M75" s="71">
        <f t="shared" si="17"/>
        <v>0</v>
      </c>
      <c r="N75" s="73" t="e">
        <f>[2]!Tabla1[[#This Row],[CONSUMO POL ANIONICO (KG)]]</f>
        <v>#REF!</v>
      </c>
      <c r="O75" s="75" t="e">
        <f>[2]!Tabla1[[#This Row],[CONSUMO POL CATIONICO (KG)]]</f>
        <v>#REF!</v>
      </c>
      <c r="P75" s="74" t="e">
        <f t="shared" si="14"/>
        <v>#DIV/0!</v>
      </c>
      <c r="Q75" s="71">
        <f t="shared" si="18"/>
        <v>0</v>
      </c>
      <c r="R75" s="71">
        <f t="shared" si="19"/>
        <v>0</v>
      </c>
      <c r="S75" s="73">
        <v>1.325</v>
      </c>
      <c r="T75" s="75">
        <v>1200</v>
      </c>
      <c r="U75" s="75">
        <v>1.3</v>
      </c>
      <c r="V75" s="75">
        <v>2498</v>
      </c>
      <c r="W75" s="75">
        <v>2881</v>
      </c>
      <c r="X75" s="74">
        <v>2446</v>
      </c>
      <c r="Y75" s="71">
        <f t="shared" si="15"/>
        <v>0</v>
      </c>
      <c r="Z75" s="71">
        <f t="shared" si="20"/>
        <v>0</v>
      </c>
      <c r="AA75" s="71">
        <f t="shared" si="21"/>
        <v>0</v>
      </c>
      <c r="AB75" s="71">
        <f t="shared" si="22"/>
        <v>0</v>
      </c>
      <c r="AC75" s="71">
        <v>1500</v>
      </c>
      <c r="AD75" s="71" t="e">
        <f t="shared" si="23"/>
        <v>#DIV/0!</v>
      </c>
      <c r="AE75" s="76" t="e">
        <f t="shared" si="24"/>
        <v>#DIV/0!</v>
      </c>
    </row>
    <row r="76" spans="1:33" s="68" customFormat="1" ht="14.95" thickBot="1" x14ac:dyDescent="0.3">
      <c r="A76" s="77">
        <f>A75</f>
        <v>46016</v>
      </c>
      <c r="B76" s="78">
        <f t="shared" si="16"/>
        <v>25</v>
      </c>
      <c r="C76" s="79" t="s">
        <v>48</v>
      </c>
      <c r="D76" s="80">
        <v>3</v>
      </c>
      <c r="E76" s="79" t="s">
        <v>49</v>
      </c>
      <c r="F76" s="81"/>
      <c r="G76" s="82">
        <v>8</v>
      </c>
      <c r="H76" s="56"/>
      <c r="I76" s="56"/>
      <c r="J76" s="88"/>
      <c r="K76" s="88"/>
      <c r="L76" s="88"/>
      <c r="M76" s="79">
        <f t="shared" si="17"/>
        <v>0</v>
      </c>
      <c r="N76" s="81" t="e">
        <f>[2]!Tabla1[[#This Row],[CONSUMO POL ANIONICO (KG)]]</f>
        <v>#REF!</v>
      </c>
      <c r="O76" s="83" t="e">
        <f>[2]!Tabla1[[#This Row],[CONSUMO POL CATIONICO (KG)]]</f>
        <v>#REF!</v>
      </c>
      <c r="P76" s="82" t="e">
        <f t="shared" si="14"/>
        <v>#DIV/0!</v>
      </c>
      <c r="Q76" s="79">
        <f t="shared" si="18"/>
        <v>0</v>
      </c>
      <c r="R76" s="79">
        <f t="shared" si="19"/>
        <v>0</v>
      </c>
      <c r="S76" s="81">
        <v>1.325</v>
      </c>
      <c r="T76" s="83">
        <v>1200</v>
      </c>
      <c r="U76" s="83">
        <v>1.3</v>
      </c>
      <c r="V76" s="83">
        <v>2498</v>
      </c>
      <c r="W76" s="83">
        <v>2881</v>
      </c>
      <c r="X76" s="82">
        <v>2446</v>
      </c>
      <c r="Y76" s="79">
        <f t="shared" si="15"/>
        <v>0</v>
      </c>
      <c r="Z76" s="79">
        <f t="shared" si="20"/>
        <v>0</v>
      </c>
      <c r="AA76" s="79">
        <f t="shared" si="21"/>
        <v>0</v>
      </c>
      <c r="AB76" s="79">
        <f t="shared" si="22"/>
        <v>0</v>
      </c>
      <c r="AC76" s="79">
        <v>1500</v>
      </c>
      <c r="AD76" s="79" t="e">
        <f t="shared" si="23"/>
        <v>#DIV/0!</v>
      </c>
      <c r="AE76" s="67" t="e">
        <f t="shared" si="24"/>
        <v>#DIV/0!</v>
      </c>
    </row>
    <row r="77" spans="1:33" s="68" customFormat="1" ht="14.95" thickBot="1" x14ac:dyDescent="0.3">
      <c r="A77" s="60">
        <f>A76+1</f>
        <v>46017</v>
      </c>
      <c r="B77" s="61">
        <f t="shared" si="16"/>
        <v>26</v>
      </c>
      <c r="C77" s="62" t="s">
        <v>44</v>
      </c>
      <c r="D77" s="63">
        <v>1</v>
      </c>
      <c r="E77" s="62" t="s">
        <v>45</v>
      </c>
      <c r="F77" s="64"/>
      <c r="G77" s="65">
        <v>8</v>
      </c>
      <c r="H77" s="54"/>
      <c r="I77" s="54"/>
      <c r="J77" s="86"/>
      <c r="K77" s="86"/>
      <c r="L77" s="86"/>
      <c r="M77" s="62">
        <f t="shared" si="17"/>
        <v>0</v>
      </c>
      <c r="N77" s="64" t="e">
        <f>[2]!Tabla1[[#This Row],[CONSUMO POL ANIONICO (KG)]]</f>
        <v>#REF!</v>
      </c>
      <c r="O77" s="66" t="e">
        <f>[2]!Tabla1[[#This Row],[CONSUMO POL CATIONICO (KG)]]</f>
        <v>#REF!</v>
      </c>
      <c r="P77" s="65" t="e">
        <f t="shared" si="14"/>
        <v>#DIV/0!</v>
      </c>
      <c r="Q77" s="62">
        <f t="shared" si="18"/>
        <v>0</v>
      </c>
      <c r="R77" s="62">
        <f t="shared" si="19"/>
        <v>0</v>
      </c>
      <c r="S77" s="64">
        <v>1.325</v>
      </c>
      <c r="T77" s="66">
        <v>1200</v>
      </c>
      <c r="U77" s="66">
        <v>1.3</v>
      </c>
      <c r="V77" s="66">
        <v>2498</v>
      </c>
      <c r="W77" s="66">
        <v>2881</v>
      </c>
      <c r="X77" s="65">
        <v>2446</v>
      </c>
      <c r="Y77" s="62">
        <f t="shared" si="15"/>
        <v>0</v>
      </c>
      <c r="Z77" s="62">
        <f t="shared" si="20"/>
        <v>0</v>
      </c>
      <c r="AA77" s="62">
        <f t="shared" si="21"/>
        <v>0</v>
      </c>
      <c r="AB77" s="62">
        <f t="shared" si="22"/>
        <v>0</v>
      </c>
      <c r="AC77" s="62">
        <v>1500</v>
      </c>
      <c r="AD77" s="62" t="e">
        <f t="shared" si="23"/>
        <v>#DIV/0!</v>
      </c>
      <c r="AE77" s="76" t="e">
        <f t="shared" si="24"/>
        <v>#DIV/0!</v>
      </c>
    </row>
    <row r="78" spans="1:33" s="68" customFormat="1" x14ac:dyDescent="0.25">
      <c r="A78" s="69">
        <f>A77</f>
        <v>46017</v>
      </c>
      <c r="B78" s="70">
        <f t="shared" si="16"/>
        <v>26</v>
      </c>
      <c r="C78" s="71" t="s">
        <v>46</v>
      </c>
      <c r="D78" s="72">
        <v>2</v>
      </c>
      <c r="E78" s="71" t="s">
        <v>47</v>
      </c>
      <c r="F78" s="73"/>
      <c r="G78" s="74">
        <v>6</v>
      </c>
      <c r="H78" s="55"/>
      <c r="I78" s="55"/>
      <c r="J78" s="87"/>
      <c r="K78" s="87"/>
      <c r="L78" s="87"/>
      <c r="M78" s="71">
        <f t="shared" si="17"/>
        <v>0</v>
      </c>
      <c r="N78" s="73" t="e">
        <f>[2]!Tabla1[[#This Row],[CONSUMO POL ANIONICO (KG)]]</f>
        <v>#REF!</v>
      </c>
      <c r="O78" s="75" t="e">
        <f>[2]!Tabla1[[#This Row],[CONSUMO POL CATIONICO (KG)]]</f>
        <v>#REF!</v>
      </c>
      <c r="P78" s="74" t="e">
        <f t="shared" si="14"/>
        <v>#DIV/0!</v>
      </c>
      <c r="Q78" s="71">
        <f t="shared" si="18"/>
        <v>0</v>
      </c>
      <c r="R78" s="71">
        <f t="shared" si="19"/>
        <v>0</v>
      </c>
      <c r="S78" s="73">
        <v>1.325</v>
      </c>
      <c r="T78" s="75">
        <v>1200</v>
      </c>
      <c r="U78" s="75">
        <v>1.3</v>
      </c>
      <c r="V78" s="75">
        <v>2498</v>
      </c>
      <c r="W78" s="75">
        <v>2881</v>
      </c>
      <c r="X78" s="74">
        <v>2446</v>
      </c>
      <c r="Y78" s="71">
        <f t="shared" si="15"/>
        <v>0</v>
      </c>
      <c r="Z78" s="71">
        <f t="shared" si="20"/>
        <v>0</v>
      </c>
      <c r="AA78" s="71">
        <f t="shared" si="21"/>
        <v>0</v>
      </c>
      <c r="AB78" s="71">
        <f t="shared" si="22"/>
        <v>0</v>
      </c>
      <c r="AC78" s="71">
        <v>1500</v>
      </c>
      <c r="AD78" s="62" t="e">
        <f t="shared" si="23"/>
        <v>#DIV/0!</v>
      </c>
      <c r="AE78" s="67" t="e">
        <f t="shared" si="24"/>
        <v>#DIV/0!</v>
      </c>
    </row>
    <row r="79" spans="1:33" s="68" customFormat="1" ht="14.95" thickBot="1" x14ac:dyDescent="0.3">
      <c r="A79" s="77">
        <f>A78</f>
        <v>46017</v>
      </c>
      <c r="B79" s="78">
        <f t="shared" si="16"/>
        <v>26</v>
      </c>
      <c r="C79" s="79" t="s">
        <v>48</v>
      </c>
      <c r="D79" s="80">
        <v>3</v>
      </c>
      <c r="E79" s="79" t="s">
        <v>49</v>
      </c>
      <c r="F79" s="81"/>
      <c r="G79" s="82">
        <v>8</v>
      </c>
      <c r="H79" s="56"/>
      <c r="I79" s="56"/>
      <c r="J79" s="88"/>
      <c r="K79" s="88"/>
      <c r="L79" s="88"/>
      <c r="M79" s="79">
        <f t="shared" si="17"/>
        <v>0</v>
      </c>
      <c r="N79" s="81" t="e">
        <f>[2]!Tabla1[[#This Row],[CONSUMO POL ANIONICO (KG)]]</f>
        <v>#REF!</v>
      </c>
      <c r="O79" s="83" t="e">
        <f>[2]!Tabla1[[#This Row],[CONSUMO POL CATIONICO (KG)]]</f>
        <v>#REF!</v>
      </c>
      <c r="P79" s="82" t="e">
        <f t="shared" si="14"/>
        <v>#DIV/0!</v>
      </c>
      <c r="Q79" s="79">
        <f t="shared" si="18"/>
        <v>0</v>
      </c>
      <c r="R79" s="79">
        <f t="shared" si="19"/>
        <v>0</v>
      </c>
      <c r="S79" s="81">
        <v>1.325</v>
      </c>
      <c r="T79" s="83">
        <v>1200</v>
      </c>
      <c r="U79" s="83">
        <v>1.3</v>
      </c>
      <c r="V79" s="83">
        <v>2498</v>
      </c>
      <c r="W79" s="83">
        <v>2881</v>
      </c>
      <c r="X79" s="82">
        <v>2446</v>
      </c>
      <c r="Y79" s="79">
        <f t="shared" si="15"/>
        <v>0</v>
      </c>
      <c r="Z79" s="79">
        <f t="shared" si="20"/>
        <v>0</v>
      </c>
      <c r="AA79" s="79">
        <f t="shared" si="21"/>
        <v>0</v>
      </c>
      <c r="AB79" s="79">
        <f t="shared" si="22"/>
        <v>0</v>
      </c>
      <c r="AC79" s="79">
        <v>1500</v>
      </c>
      <c r="AD79" s="71" t="e">
        <f t="shared" si="23"/>
        <v>#DIV/0!</v>
      </c>
      <c r="AE79" s="76" t="e">
        <f t="shared" si="24"/>
        <v>#DIV/0!</v>
      </c>
    </row>
    <row r="80" spans="1:33" s="68" customFormat="1" ht="14.95" thickBot="1" x14ac:dyDescent="0.3">
      <c r="A80" s="60">
        <f>A79+1</f>
        <v>46018</v>
      </c>
      <c r="B80" s="61">
        <f t="shared" si="16"/>
        <v>27</v>
      </c>
      <c r="C80" s="62" t="s">
        <v>44</v>
      </c>
      <c r="D80" s="63">
        <v>1</v>
      </c>
      <c r="E80" s="62" t="s">
        <v>45</v>
      </c>
      <c r="F80" s="64"/>
      <c r="G80" s="65">
        <v>4</v>
      </c>
      <c r="H80" s="54"/>
      <c r="I80" s="54"/>
      <c r="J80" s="86"/>
      <c r="K80" s="86"/>
      <c r="L80" s="86"/>
      <c r="M80" s="62">
        <f t="shared" si="17"/>
        <v>0</v>
      </c>
      <c r="N80" s="64" t="e">
        <f>[2]!Tabla1[[#This Row],[CONSUMO POL ANIONICO (KG)]]</f>
        <v>#REF!</v>
      </c>
      <c r="O80" s="66" t="e">
        <f>[2]!Tabla1[[#This Row],[CONSUMO POL CATIONICO (KG)]]</f>
        <v>#REF!</v>
      </c>
      <c r="P80" s="65" t="e">
        <f t="shared" si="14"/>
        <v>#DIV/0!</v>
      </c>
      <c r="Q80" s="62">
        <f t="shared" si="18"/>
        <v>0</v>
      </c>
      <c r="R80" s="62">
        <f t="shared" si="19"/>
        <v>0</v>
      </c>
      <c r="S80" s="64">
        <v>1.325</v>
      </c>
      <c r="T80" s="66">
        <v>1200</v>
      </c>
      <c r="U80" s="66">
        <v>1.3</v>
      </c>
      <c r="V80" s="66">
        <v>2498</v>
      </c>
      <c r="W80" s="66">
        <v>2881</v>
      </c>
      <c r="X80" s="65">
        <v>2446</v>
      </c>
      <c r="Y80" s="62">
        <f t="shared" si="15"/>
        <v>0</v>
      </c>
      <c r="Z80" s="62">
        <f t="shared" si="20"/>
        <v>0</v>
      </c>
      <c r="AA80" s="62">
        <f t="shared" si="21"/>
        <v>0</v>
      </c>
      <c r="AB80" s="62">
        <f t="shared" si="22"/>
        <v>0</v>
      </c>
      <c r="AC80" s="62">
        <v>1500</v>
      </c>
      <c r="AD80" s="79" t="e">
        <f t="shared" si="23"/>
        <v>#DIV/0!</v>
      </c>
      <c r="AE80" s="67" t="e">
        <f t="shared" si="24"/>
        <v>#DIV/0!</v>
      </c>
    </row>
    <row r="81" spans="1:31" s="68" customFormat="1" ht="14.95" thickBot="1" x14ac:dyDescent="0.3">
      <c r="A81" s="69">
        <f>A80</f>
        <v>46018</v>
      </c>
      <c r="B81" s="70">
        <f t="shared" si="16"/>
        <v>27</v>
      </c>
      <c r="C81" s="71" t="s">
        <v>46</v>
      </c>
      <c r="D81" s="72">
        <v>2</v>
      </c>
      <c r="E81" s="71" t="s">
        <v>47</v>
      </c>
      <c r="F81" s="73"/>
      <c r="G81" s="74">
        <v>6</v>
      </c>
      <c r="H81" s="55"/>
      <c r="I81" s="55"/>
      <c r="J81" s="87"/>
      <c r="K81" s="87"/>
      <c r="L81" s="87"/>
      <c r="M81" s="71">
        <f t="shared" si="17"/>
        <v>0</v>
      </c>
      <c r="N81" s="73" t="e">
        <f>[2]!Tabla1[[#This Row],[CONSUMO POL ANIONICO (KG)]]</f>
        <v>#REF!</v>
      </c>
      <c r="O81" s="75" t="e">
        <f>[2]!Tabla1[[#This Row],[CONSUMO POL CATIONICO (KG)]]</f>
        <v>#REF!</v>
      </c>
      <c r="P81" s="74" t="e">
        <f t="shared" si="14"/>
        <v>#DIV/0!</v>
      </c>
      <c r="Q81" s="71">
        <f t="shared" si="18"/>
        <v>0</v>
      </c>
      <c r="R81" s="71">
        <f t="shared" si="19"/>
        <v>0</v>
      </c>
      <c r="S81" s="73">
        <v>1.325</v>
      </c>
      <c r="T81" s="75">
        <v>1200</v>
      </c>
      <c r="U81" s="75">
        <v>1.3</v>
      </c>
      <c r="V81" s="75">
        <v>2498</v>
      </c>
      <c r="W81" s="75">
        <v>2881</v>
      </c>
      <c r="X81" s="74">
        <v>2446</v>
      </c>
      <c r="Y81" s="71">
        <f t="shared" si="15"/>
        <v>0</v>
      </c>
      <c r="Z81" s="71">
        <f t="shared" si="20"/>
        <v>0</v>
      </c>
      <c r="AA81" s="71">
        <f t="shared" si="21"/>
        <v>0</v>
      </c>
      <c r="AB81" s="71">
        <f t="shared" si="22"/>
        <v>0</v>
      </c>
      <c r="AC81" s="71">
        <v>1500</v>
      </c>
      <c r="AD81" s="62" t="e">
        <f t="shared" si="23"/>
        <v>#DIV/0!</v>
      </c>
      <c r="AE81" s="76" t="e">
        <f t="shared" si="24"/>
        <v>#DIV/0!</v>
      </c>
    </row>
    <row r="82" spans="1:31" s="68" customFormat="1" ht="14.95" thickBot="1" x14ac:dyDescent="0.3">
      <c r="A82" s="77">
        <f>A81</f>
        <v>46018</v>
      </c>
      <c r="B82" s="78">
        <f t="shared" si="16"/>
        <v>27</v>
      </c>
      <c r="C82" s="79" t="s">
        <v>48</v>
      </c>
      <c r="D82" s="80">
        <v>3</v>
      </c>
      <c r="E82" s="79" t="s">
        <v>49</v>
      </c>
      <c r="F82" s="81"/>
      <c r="G82" s="82">
        <v>6</v>
      </c>
      <c r="H82" s="56"/>
      <c r="I82" s="56"/>
      <c r="J82" s="88"/>
      <c r="K82" s="88"/>
      <c r="L82" s="88"/>
      <c r="M82" s="79">
        <f t="shared" si="17"/>
        <v>0</v>
      </c>
      <c r="N82" s="81" t="e">
        <f>[2]!Tabla1[[#This Row],[CONSUMO POL ANIONICO (KG)]]</f>
        <v>#REF!</v>
      </c>
      <c r="O82" s="83" t="e">
        <f>[2]!Tabla1[[#This Row],[CONSUMO POL CATIONICO (KG)]]</f>
        <v>#REF!</v>
      </c>
      <c r="P82" s="82" t="e">
        <f t="shared" si="14"/>
        <v>#DIV/0!</v>
      </c>
      <c r="Q82" s="79">
        <f t="shared" si="18"/>
        <v>0</v>
      </c>
      <c r="R82" s="79">
        <f t="shared" si="19"/>
        <v>0</v>
      </c>
      <c r="S82" s="81">
        <v>1.325</v>
      </c>
      <c r="T82" s="83">
        <v>1200</v>
      </c>
      <c r="U82" s="83">
        <v>1.3</v>
      </c>
      <c r="V82" s="83">
        <v>2498</v>
      </c>
      <c r="W82" s="83">
        <v>2881</v>
      </c>
      <c r="X82" s="82">
        <v>2446</v>
      </c>
      <c r="Y82" s="79">
        <f t="shared" si="15"/>
        <v>0</v>
      </c>
      <c r="Z82" s="79">
        <f t="shared" si="20"/>
        <v>0</v>
      </c>
      <c r="AA82" s="79">
        <f t="shared" si="21"/>
        <v>0</v>
      </c>
      <c r="AB82" s="79">
        <f t="shared" si="22"/>
        <v>0</v>
      </c>
      <c r="AC82" s="79">
        <v>1500</v>
      </c>
      <c r="AD82" s="62" t="e">
        <f t="shared" si="23"/>
        <v>#DIV/0!</v>
      </c>
      <c r="AE82" s="67" t="e">
        <f t="shared" si="24"/>
        <v>#DIV/0!</v>
      </c>
    </row>
    <row r="83" spans="1:31" s="68" customFormat="1" ht="14.95" thickBot="1" x14ac:dyDescent="0.3">
      <c r="A83" s="60">
        <f>A82+1</f>
        <v>46019</v>
      </c>
      <c r="B83" s="61">
        <f t="shared" si="16"/>
        <v>28</v>
      </c>
      <c r="C83" s="62" t="s">
        <v>44</v>
      </c>
      <c r="D83" s="63">
        <v>1</v>
      </c>
      <c r="E83" s="62" t="s">
        <v>45</v>
      </c>
      <c r="F83" s="64"/>
      <c r="G83" s="65">
        <v>8</v>
      </c>
      <c r="H83" s="54"/>
      <c r="I83" s="54"/>
      <c r="J83" s="86"/>
      <c r="K83" s="86"/>
      <c r="L83" s="86"/>
      <c r="M83" s="62">
        <f t="shared" si="17"/>
        <v>0</v>
      </c>
      <c r="N83" s="64" t="e">
        <f>[2]!Tabla1[[#This Row],[CONSUMO POL ANIONICO (KG)]]</f>
        <v>#REF!</v>
      </c>
      <c r="O83" s="66" t="e">
        <f>[2]!Tabla1[[#This Row],[CONSUMO POL CATIONICO (KG)]]</f>
        <v>#REF!</v>
      </c>
      <c r="P83" s="65" t="e">
        <f t="shared" si="14"/>
        <v>#DIV/0!</v>
      </c>
      <c r="Q83" s="62">
        <f t="shared" si="18"/>
        <v>0</v>
      </c>
      <c r="R83" s="62">
        <f t="shared" si="19"/>
        <v>0</v>
      </c>
      <c r="S83" s="64">
        <v>1.325</v>
      </c>
      <c r="T83" s="66">
        <v>1200</v>
      </c>
      <c r="U83" s="66">
        <v>1.3</v>
      </c>
      <c r="V83" s="66">
        <v>2498</v>
      </c>
      <c r="W83" s="66">
        <v>2881</v>
      </c>
      <c r="X83" s="65">
        <v>2446</v>
      </c>
      <c r="Y83" s="62">
        <f t="shared" si="15"/>
        <v>0</v>
      </c>
      <c r="Z83" s="62">
        <f t="shared" si="20"/>
        <v>0</v>
      </c>
      <c r="AA83" s="62">
        <f t="shared" si="21"/>
        <v>0</v>
      </c>
      <c r="AB83" s="62">
        <f t="shared" si="22"/>
        <v>0</v>
      </c>
      <c r="AC83" s="62">
        <v>1500</v>
      </c>
      <c r="AD83" s="71" t="e">
        <f t="shared" si="23"/>
        <v>#DIV/0!</v>
      </c>
      <c r="AE83" s="76" t="e">
        <f t="shared" si="24"/>
        <v>#DIV/0!</v>
      </c>
    </row>
    <row r="84" spans="1:31" s="68" customFormat="1" ht="14.95" thickBot="1" x14ac:dyDescent="0.3">
      <c r="A84" s="69">
        <f>A83</f>
        <v>46019</v>
      </c>
      <c r="B84" s="70">
        <f t="shared" si="16"/>
        <v>28</v>
      </c>
      <c r="C84" s="71" t="s">
        <v>46</v>
      </c>
      <c r="D84" s="72">
        <v>2</v>
      </c>
      <c r="E84" s="71" t="s">
        <v>47</v>
      </c>
      <c r="F84" s="73"/>
      <c r="G84" s="74">
        <v>8</v>
      </c>
      <c r="H84" s="55"/>
      <c r="I84" s="55"/>
      <c r="J84" s="87"/>
      <c r="K84" s="87"/>
      <c r="L84" s="87"/>
      <c r="M84" s="71">
        <f t="shared" si="17"/>
        <v>0</v>
      </c>
      <c r="N84" s="73" t="e">
        <f>[2]!Tabla1[[#This Row],[CONSUMO POL ANIONICO (KG)]]</f>
        <v>#REF!</v>
      </c>
      <c r="O84" s="75" t="e">
        <f>[2]!Tabla1[[#This Row],[CONSUMO POL CATIONICO (KG)]]</f>
        <v>#REF!</v>
      </c>
      <c r="P84" s="74" t="e">
        <f t="shared" si="14"/>
        <v>#DIV/0!</v>
      </c>
      <c r="Q84" s="71">
        <f t="shared" si="18"/>
        <v>0</v>
      </c>
      <c r="R84" s="71">
        <f t="shared" si="19"/>
        <v>0</v>
      </c>
      <c r="S84" s="73">
        <v>1.325</v>
      </c>
      <c r="T84" s="75">
        <v>1200</v>
      </c>
      <c r="U84" s="75">
        <v>1.3</v>
      </c>
      <c r="V84" s="75">
        <v>2498</v>
      </c>
      <c r="W84" s="75">
        <v>2881</v>
      </c>
      <c r="X84" s="74">
        <v>2446</v>
      </c>
      <c r="Y84" s="71">
        <f t="shared" si="15"/>
        <v>0</v>
      </c>
      <c r="Z84" s="71">
        <f t="shared" si="20"/>
        <v>0</v>
      </c>
      <c r="AA84" s="71">
        <f t="shared" si="21"/>
        <v>0</v>
      </c>
      <c r="AB84" s="71">
        <f t="shared" si="22"/>
        <v>0</v>
      </c>
      <c r="AC84" s="71">
        <v>1500</v>
      </c>
      <c r="AD84" s="79" t="e">
        <f t="shared" si="23"/>
        <v>#DIV/0!</v>
      </c>
      <c r="AE84" s="67" t="e">
        <f t="shared" si="24"/>
        <v>#DIV/0!</v>
      </c>
    </row>
    <row r="85" spans="1:31" s="68" customFormat="1" ht="14.95" thickBot="1" x14ac:dyDescent="0.3">
      <c r="A85" s="77">
        <f>A84</f>
        <v>46019</v>
      </c>
      <c r="B85" s="78">
        <f t="shared" si="16"/>
        <v>28</v>
      </c>
      <c r="C85" s="79" t="s">
        <v>48</v>
      </c>
      <c r="D85" s="80">
        <v>3</v>
      </c>
      <c r="E85" s="79" t="s">
        <v>49</v>
      </c>
      <c r="F85" s="81"/>
      <c r="G85" s="82">
        <v>6</v>
      </c>
      <c r="H85" s="56"/>
      <c r="I85" s="56"/>
      <c r="J85" s="88"/>
      <c r="K85" s="88"/>
      <c r="L85" s="88"/>
      <c r="M85" s="79">
        <f t="shared" si="17"/>
        <v>0</v>
      </c>
      <c r="N85" s="81" t="e">
        <f>[2]!Tabla1[[#This Row],[CONSUMO POL ANIONICO (KG)]]</f>
        <v>#REF!</v>
      </c>
      <c r="O85" s="83" t="e">
        <f>[2]!Tabla1[[#This Row],[CONSUMO POL CATIONICO (KG)]]</f>
        <v>#REF!</v>
      </c>
      <c r="P85" s="82" t="e">
        <f t="shared" si="14"/>
        <v>#DIV/0!</v>
      </c>
      <c r="Q85" s="79">
        <f t="shared" si="18"/>
        <v>0</v>
      </c>
      <c r="R85" s="79">
        <f t="shared" si="19"/>
        <v>0</v>
      </c>
      <c r="S85" s="81">
        <v>1.325</v>
      </c>
      <c r="T85" s="83">
        <v>1200</v>
      </c>
      <c r="U85" s="83">
        <v>1.3</v>
      </c>
      <c r="V85" s="83">
        <v>2498</v>
      </c>
      <c r="W85" s="83">
        <v>2881</v>
      </c>
      <c r="X85" s="82">
        <v>2446</v>
      </c>
      <c r="Y85" s="79">
        <f t="shared" si="15"/>
        <v>0</v>
      </c>
      <c r="Z85" s="79">
        <f t="shared" si="20"/>
        <v>0</v>
      </c>
      <c r="AA85" s="79">
        <f t="shared" si="21"/>
        <v>0</v>
      </c>
      <c r="AB85" s="79">
        <f t="shared" si="22"/>
        <v>0</v>
      </c>
      <c r="AC85" s="79">
        <v>1500</v>
      </c>
      <c r="AD85" s="62" t="e">
        <f t="shared" si="23"/>
        <v>#DIV/0!</v>
      </c>
      <c r="AE85" s="76" t="e">
        <f t="shared" si="24"/>
        <v>#DIV/0!</v>
      </c>
    </row>
    <row r="86" spans="1:31" s="68" customFormat="1" x14ac:dyDescent="0.25">
      <c r="A86" s="60">
        <f>A85+1</f>
        <v>46020</v>
      </c>
      <c r="B86" s="61">
        <f t="shared" si="16"/>
        <v>29</v>
      </c>
      <c r="C86" s="62" t="s">
        <v>44</v>
      </c>
      <c r="D86" s="63">
        <v>1</v>
      </c>
      <c r="E86" s="62" t="s">
        <v>45</v>
      </c>
      <c r="F86" s="64"/>
      <c r="G86" s="65">
        <v>8</v>
      </c>
      <c r="H86" s="54"/>
      <c r="I86" s="54"/>
      <c r="J86" s="86"/>
      <c r="K86" s="86"/>
      <c r="L86" s="86"/>
      <c r="M86" s="62">
        <f t="shared" si="17"/>
        <v>0</v>
      </c>
      <c r="N86" s="64" t="e">
        <f>[2]!Tabla1[[#This Row],[CONSUMO POL ANIONICO (KG)]]</f>
        <v>#REF!</v>
      </c>
      <c r="O86" s="66" t="e">
        <f>[2]!Tabla1[[#This Row],[CONSUMO POL CATIONICO (KG)]]</f>
        <v>#REF!</v>
      </c>
      <c r="P86" s="65" t="e">
        <f t="shared" si="14"/>
        <v>#DIV/0!</v>
      </c>
      <c r="Q86" s="62">
        <f t="shared" si="18"/>
        <v>0</v>
      </c>
      <c r="R86" s="62">
        <f t="shared" si="19"/>
        <v>0</v>
      </c>
      <c r="S86" s="64">
        <v>1.325</v>
      </c>
      <c r="T86" s="66">
        <v>1200</v>
      </c>
      <c r="U86" s="66">
        <v>1.3</v>
      </c>
      <c r="V86" s="66">
        <v>2498</v>
      </c>
      <c r="W86" s="66">
        <v>2881</v>
      </c>
      <c r="X86" s="65">
        <v>2446</v>
      </c>
      <c r="Y86" s="62">
        <f t="shared" si="15"/>
        <v>0</v>
      </c>
      <c r="Z86" s="62">
        <f t="shared" si="20"/>
        <v>0</v>
      </c>
      <c r="AA86" s="62">
        <f t="shared" si="21"/>
        <v>0</v>
      </c>
      <c r="AB86" s="62">
        <f t="shared" si="22"/>
        <v>0</v>
      </c>
      <c r="AC86" s="62">
        <v>1500</v>
      </c>
      <c r="AD86" s="62" t="e">
        <f t="shared" si="23"/>
        <v>#DIV/0!</v>
      </c>
      <c r="AE86" s="67" t="e">
        <f t="shared" si="24"/>
        <v>#DIV/0!</v>
      </c>
    </row>
    <row r="87" spans="1:31" s="68" customFormat="1" ht="14.95" thickBot="1" x14ac:dyDescent="0.3">
      <c r="A87" s="69">
        <f>A86</f>
        <v>46020</v>
      </c>
      <c r="B87" s="70">
        <f t="shared" si="16"/>
        <v>29</v>
      </c>
      <c r="C87" s="71" t="s">
        <v>46</v>
      </c>
      <c r="D87" s="72">
        <v>2</v>
      </c>
      <c r="E87" s="71" t="s">
        <v>47</v>
      </c>
      <c r="F87" s="73"/>
      <c r="G87" s="74">
        <v>8</v>
      </c>
      <c r="H87" s="55"/>
      <c r="I87" s="55"/>
      <c r="J87" s="87"/>
      <c r="K87" s="87"/>
      <c r="L87" s="87"/>
      <c r="M87" s="71">
        <f t="shared" si="17"/>
        <v>0</v>
      </c>
      <c r="N87" s="73" t="e">
        <f>[2]!Tabla1[[#This Row],[CONSUMO POL ANIONICO (KG)]]</f>
        <v>#REF!</v>
      </c>
      <c r="O87" s="75" t="e">
        <f>[2]!Tabla1[[#This Row],[CONSUMO POL CATIONICO (KG)]]</f>
        <v>#REF!</v>
      </c>
      <c r="P87" s="74" t="e">
        <f t="shared" si="14"/>
        <v>#DIV/0!</v>
      </c>
      <c r="Q87" s="71">
        <f t="shared" si="18"/>
        <v>0</v>
      </c>
      <c r="R87" s="71">
        <f t="shared" si="19"/>
        <v>0</v>
      </c>
      <c r="S87" s="73">
        <v>1.325</v>
      </c>
      <c r="T87" s="75">
        <v>1200</v>
      </c>
      <c r="U87" s="75">
        <v>1.3</v>
      </c>
      <c r="V87" s="75">
        <v>2498</v>
      </c>
      <c r="W87" s="75">
        <v>2881</v>
      </c>
      <c r="X87" s="74">
        <v>2446</v>
      </c>
      <c r="Y87" s="71">
        <f t="shared" si="15"/>
        <v>0</v>
      </c>
      <c r="Z87" s="71">
        <f t="shared" si="20"/>
        <v>0</v>
      </c>
      <c r="AA87" s="71">
        <f t="shared" si="21"/>
        <v>0</v>
      </c>
      <c r="AB87" s="71">
        <f t="shared" si="22"/>
        <v>0</v>
      </c>
      <c r="AC87" s="71">
        <v>1500</v>
      </c>
      <c r="AD87" s="71" t="e">
        <f t="shared" si="23"/>
        <v>#DIV/0!</v>
      </c>
      <c r="AE87" s="76" t="e">
        <f t="shared" si="24"/>
        <v>#DIV/0!</v>
      </c>
    </row>
    <row r="88" spans="1:31" s="68" customFormat="1" ht="14.95" thickBot="1" x14ac:dyDescent="0.3">
      <c r="A88" s="77">
        <f>A87</f>
        <v>46020</v>
      </c>
      <c r="B88" s="78">
        <f t="shared" si="16"/>
        <v>29</v>
      </c>
      <c r="C88" s="79" t="s">
        <v>48</v>
      </c>
      <c r="D88" s="80">
        <v>3</v>
      </c>
      <c r="E88" s="79" t="s">
        <v>49</v>
      </c>
      <c r="F88" s="81"/>
      <c r="G88" s="82">
        <v>6</v>
      </c>
      <c r="H88" s="56"/>
      <c r="I88" s="56"/>
      <c r="J88" s="88"/>
      <c r="K88" s="88"/>
      <c r="L88" s="88"/>
      <c r="M88" s="79">
        <f t="shared" si="17"/>
        <v>0</v>
      </c>
      <c r="N88" s="81" t="e">
        <f>[2]!Tabla1[[#This Row],[CONSUMO POL ANIONICO (KG)]]</f>
        <v>#REF!</v>
      </c>
      <c r="O88" s="83" t="e">
        <f>[2]!Tabla1[[#This Row],[CONSUMO POL CATIONICO (KG)]]</f>
        <v>#REF!</v>
      </c>
      <c r="P88" s="82" t="e">
        <f t="shared" si="14"/>
        <v>#DIV/0!</v>
      </c>
      <c r="Q88" s="79">
        <f t="shared" si="18"/>
        <v>0</v>
      </c>
      <c r="R88" s="79">
        <f t="shared" si="19"/>
        <v>0</v>
      </c>
      <c r="S88" s="81">
        <v>1.325</v>
      </c>
      <c r="T88" s="83">
        <v>1200</v>
      </c>
      <c r="U88" s="83">
        <v>1.3</v>
      </c>
      <c r="V88" s="83">
        <v>2498</v>
      </c>
      <c r="W88" s="83">
        <v>2881</v>
      </c>
      <c r="X88" s="82">
        <v>2446</v>
      </c>
      <c r="Y88" s="79">
        <f t="shared" si="15"/>
        <v>0</v>
      </c>
      <c r="Z88" s="79">
        <f t="shared" si="20"/>
        <v>0</v>
      </c>
      <c r="AA88" s="79">
        <f t="shared" si="21"/>
        <v>0</v>
      </c>
      <c r="AB88" s="79">
        <f t="shared" si="22"/>
        <v>0</v>
      </c>
      <c r="AC88" s="79">
        <v>1500</v>
      </c>
      <c r="AD88" s="79" t="e">
        <f t="shared" si="23"/>
        <v>#DIV/0!</v>
      </c>
      <c r="AE88" s="67" t="e">
        <f t="shared" si="24"/>
        <v>#DIV/0!</v>
      </c>
    </row>
    <row r="89" spans="1:31" s="68" customFormat="1" ht="14.95" thickBot="1" x14ac:dyDescent="0.3">
      <c r="A89" s="60">
        <f>A88+1</f>
        <v>46021</v>
      </c>
      <c r="B89" s="61">
        <f t="shared" si="16"/>
        <v>30</v>
      </c>
      <c r="C89" s="62" t="s">
        <v>44</v>
      </c>
      <c r="D89" s="63">
        <v>1</v>
      </c>
      <c r="E89" s="62" t="s">
        <v>45</v>
      </c>
      <c r="F89" s="64"/>
      <c r="G89" s="65">
        <v>7</v>
      </c>
      <c r="H89" s="54"/>
      <c r="I89" s="54"/>
      <c r="J89" s="86"/>
      <c r="K89" s="86"/>
      <c r="L89" s="86"/>
      <c r="M89" s="62">
        <f t="shared" si="17"/>
        <v>0</v>
      </c>
      <c r="N89" s="64" t="e">
        <f>[2]!Tabla1[[#This Row],[CONSUMO POL ANIONICO (KG)]]</f>
        <v>#REF!</v>
      </c>
      <c r="O89" s="66" t="e">
        <f>[2]!Tabla1[[#This Row],[CONSUMO POL CATIONICO (KG)]]</f>
        <v>#REF!</v>
      </c>
      <c r="P89" s="65" t="e">
        <f t="shared" si="14"/>
        <v>#DIV/0!</v>
      </c>
      <c r="Q89" s="62">
        <f t="shared" si="18"/>
        <v>0</v>
      </c>
      <c r="R89" s="62">
        <f t="shared" si="19"/>
        <v>0</v>
      </c>
      <c r="S89" s="64">
        <v>1.325</v>
      </c>
      <c r="T89" s="66">
        <v>1200</v>
      </c>
      <c r="U89" s="66">
        <v>1.3</v>
      </c>
      <c r="V89" s="66">
        <v>2498</v>
      </c>
      <c r="W89" s="66">
        <v>2881</v>
      </c>
      <c r="X89" s="65">
        <v>2446</v>
      </c>
      <c r="Y89" s="62">
        <f t="shared" si="15"/>
        <v>0</v>
      </c>
      <c r="Z89" s="62">
        <f t="shared" si="20"/>
        <v>0</v>
      </c>
      <c r="AA89" s="62">
        <f t="shared" si="21"/>
        <v>0</v>
      </c>
      <c r="AB89" s="62">
        <f t="shared" si="22"/>
        <v>0</v>
      </c>
      <c r="AC89" s="62">
        <v>1500</v>
      </c>
      <c r="AD89" s="62" t="e">
        <f t="shared" si="23"/>
        <v>#DIV/0!</v>
      </c>
      <c r="AE89" s="76" t="e">
        <f t="shared" si="24"/>
        <v>#DIV/0!</v>
      </c>
    </row>
    <row r="90" spans="1:31" s="68" customFormat="1" x14ac:dyDescent="0.25">
      <c r="A90" s="69">
        <f>A89</f>
        <v>46021</v>
      </c>
      <c r="B90" s="70">
        <f t="shared" si="16"/>
        <v>30</v>
      </c>
      <c r="C90" s="71" t="s">
        <v>46</v>
      </c>
      <c r="D90" s="72">
        <v>2</v>
      </c>
      <c r="E90" s="71" t="s">
        <v>47</v>
      </c>
      <c r="F90" s="73"/>
      <c r="G90" s="74">
        <v>0</v>
      </c>
      <c r="H90" s="55"/>
      <c r="I90" s="55"/>
      <c r="J90" s="87"/>
      <c r="K90" s="87"/>
      <c r="L90" s="87"/>
      <c r="M90" s="71">
        <f t="shared" si="17"/>
        <v>0</v>
      </c>
      <c r="N90" s="73" t="e">
        <f>[2]!Tabla1[[#This Row],[CONSUMO POL ANIONICO (KG)]]</f>
        <v>#REF!</v>
      </c>
      <c r="O90" s="75" t="e">
        <f>[2]!Tabla1[[#This Row],[CONSUMO POL CATIONICO (KG)]]</f>
        <v>#REF!</v>
      </c>
      <c r="P90" s="74" t="e">
        <f t="shared" si="14"/>
        <v>#DIV/0!</v>
      </c>
      <c r="Q90" s="71">
        <f t="shared" si="18"/>
        <v>0</v>
      </c>
      <c r="R90" s="71">
        <f t="shared" si="19"/>
        <v>0</v>
      </c>
      <c r="S90" s="73">
        <v>1.325</v>
      </c>
      <c r="T90" s="75">
        <v>1200</v>
      </c>
      <c r="U90" s="75">
        <v>1.3</v>
      </c>
      <c r="V90" s="75">
        <v>2498</v>
      </c>
      <c r="W90" s="75">
        <v>2881</v>
      </c>
      <c r="X90" s="74">
        <v>2446</v>
      </c>
      <c r="Y90" s="71">
        <f t="shared" si="15"/>
        <v>0</v>
      </c>
      <c r="Z90" s="71">
        <f t="shared" si="20"/>
        <v>0</v>
      </c>
      <c r="AA90" s="71">
        <f t="shared" si="21"/>
        <v>0</v>
      </c>
      <c r="AB90" s="71">
        <f t="shared" si="22"/>
        <v>0</v>
      </c>
      <c r="AC90" s="71">
        <v>1500</v>
      </c>
      <c r="AD90" s="62" t="e">
        <f t="shared" si="23"/>
        <v>#DIV/0!</v>
      </c>
      <c r="AE90" s="67" t="e">
        <f t="shared" si="24"/>
        <v>#DIV/0!</v>
      </c>
    </row>
    <row r="91" spans="1:31" s="68" customFormat="1" ht="14.95" thickBot="1" x14ac:dyDescent="0.3">
      <c r="A91" s="77">
        <f>A90</f>
        <v>46021</v>
      </c>
      <c r="B91" s="78">
        <f t="shared" si="16"/>
        <v>30</v>
      </c>
      <c r="C91" s="79" t="s">
        <v>48</v>
      </c>
      <c r="D91" s="80">
        <v>3</v>
      </c>
      <c r="E91" s="79" t="s">
        <v>49</v>
      </c>
      <c r="F91" s="81"/>
      <c r="G91" s="82">
        <v>0</v>
      </c>
      <c r="H91" s="56"/>
      <c r="I91" s="56"/>
      <c r="J91" s="88"/>
      <c r="K91" s="88"/>
      <c r="L91" s="88"/>
      <c r="M91" s="79">
        <f t="shared" si="17"/>
        <v>0</v>
      </c>
      <c r="N91" s="81" t="e">
        <f>[2]!Tabla1[[#This Row],[CONSUMO POL ANIONICO (KG)]]</f>
        <v>#REF!</v>
      </c>
      <c r="O91" s="83" t="e">
        <f>[2]!Tabla1[[#This Row],[CONSUMO POL CATIONICO (KG)]]</f>
        <v>#REF!</v>
      </c>
      <c r="P91" s="82" t="e">
        <f t="shared" si="14"/>
        <v>#DIV/0!</v>
      </c>
      <c r="Q91" s="79">
        <f t="shared" si="18"/>
        <v>0</v>
      </c>
      <c r="R91" s="79">
        <f t="shared" si="19"/>
        <v>0</v>
      </c>
      <c r="S91" s="81">
        <v>1.325</v>
      </c>
      <c r="T91" s="83">
        <v>1200</v>
      </c>
      <c r="U91" s="83">
        <v>1.3</v>
      </c>
      <c r="V91" s="83">
        <v>2498</v>
      </c>
      <c r="W91" s="83">
        <v>2881</v>
      </c>
      <c r="X91" s="82">
        <v>2446</v>
      </c>
      <c r="Y91" s="79">
        <f t="shared" si="15"/>
        <v>0</v>
      </c>
      <c r="Z91" s="79">
        <f t="shared" si="20"/>
        <v>0</v>
      </c>
      <c r="AA91" s="79">
        <f t="shared" si="21"/>
        <v>0</v>
      </c>
      <c r="AB91" s="79">
        <f t="shared" si="22"/>
        <v>0</v>
      </c>
      <c r="AC91" s="79">
        <v>1500</v>
      </c>
      <c r="AD91" s="71" t="e">
        <f t="shared" si="23"/>
        <v>#DIV/0!</v>
      </c>
      <c r="AE91" s="76" t="e">
        <f t="shared" si="24"/>
        <v>#DIV/0!</v>
      </c>
    </row>
    <row r="92" spans="1:31" s="68" customFormat="1" ht="14.95" thickBot="1" x14ac:dyDescent="0.3">
      <c r="A92" s="60">
        <f>A91+1</f>
        <v>46022</v>
      </c>
      <c r="B92" s="61">
        <f t="shared" si="16"/>
        <v>31</v>
      </c>
      <c r="C92" s="62" t="s">
        <v>44</v>
      </c>
      <c r="D92" s="63">
        <v>1</v>
      </c>
      <c r="E92" s="62" t="s">
        <v>45</v>
      </c>
      <c r="F92" s="64"/>
      <c r="G92" s="65">
        <v>5</v>
      </c>
      <c r="H92" s="54"/>
      <c r="I92" s="54"/>
      <c r="J92" s="86"/>
      <c r="K92" s="86"/>
      <c r="L92" s="86"/>
      <c r="M92" s="62">
        <f t="shared" si="17"/>
        <v>0</v>
      </c>
      <c r="N92" s="64" t="e">
        <f>[2]!Tabla1[[#This Row],[CONSUMO POL ANIONICO (KG)]]</f>
        <v>#REF!</v>
      </c>
      <c r="O92" s="66" t="e">
        <f>[2]!Tabla1[[#This Row],[CONSUMO POL CATIONICO (KG)]]</f>
        <v>#REF!</v>
      </c>
      <c r="P92" s="65" t="e">
        <f t="shared" si="14"/>
        <v>#DIV/0!</v>
      </c>
      <c r="Q92" s="62">
        <f t="shared" si="18"/>
        <v>0</v>
      </c>
      <c r="R92" s="62">
        <f t="shared" si="19"/>
        <v>0</v>
      </c>
      <c r="S92" s="64">
        <v>1.325</v>
      </c>
      <c r="T92" s="66">
        <v>1200</v>
      </c>
      <c r="U92" s="66">
        <v>1.3</v>
      </c>
      <c r="V92" s="66">
        <v>2498</v>
      </c>
      <c r="W92" s="66">
        <v>2881</v>
      </c>
      <c r="X92" s="65">
        <v>2446</v>
      </c>
      <c r="Y92" s="62">
        <f t="shared" si="15"/>
        <v>0</v>
      </c>
      <c r="Z92" s="62">
        <f t="shared" si="20"/>
        <v>0</v>
      </c>
      <c r="AA92" s="62">
        <f t="shared" si="21"/>
        <v>0</v>
      </c>
      <c r="AB92" s="62">
        <f t="shared" si="22"/>
        <v>0</v>
      </c>
      <c r="AC92" s="62">
        <v>1500</v>
      </c>
      <c r="AD92" s="79" t="e">
        <f t="shared" si="23"/>
        <v>#DIV/0!</v>
      </c>
      <c r="AE92" s="67" t="e">
        <f t="shared" si="24"/>
        <v>#DIV/0!</v>
      </c>
    </row>
    <row r="93" spans="1:31" s="68" customFormat="1" ht="14.95" thickBot="1" x14ac:dyDescent="0.3">
      <c r="A93" s="69">
        <f>A92</f>
        <v>46022</v>
      </c>
      <c r="B93" s="70">
        <f t="shared" si="16"/>
        <v>31</v>
      </c>
      <c r="C93" s="71" t="s">
        <v>46</v>
      </c>
      <c r="D93" s="72">
        <v>2</v>
      </c>
      <c r="E93" s="71" t="s">
        <v>47</v>
      </c>
      <c r="F93" s="73"/>
      <c r="G93" s="74">
        <v>8</v>
      </c>
      <c r="H93" s="55"/>
      <c r="I93" s="55"/>
      <c r="J93" s="87"/>
      <c r="K93" s="87"/>
      <c r="L93" s="87"/>
      <c r="M93" s="71">
        <f t="shared" si="17"/>
        <v>0</v>
      </c>
      <c r="N93" s="73" t="e">
        <f>[2]!Tabla1[[#This Row],[CONSUMO POL ANIONICO (KG)]]</f>
        <v>#REF!</v>
      </c>
      <c r="O93" s="75" t="e">
        <f>[2]!Tabla1[[#This Row],[CONSUMO POL CATIONICO (KG)]]</f>
        <v>#REF!</v>
      </c>
      <c r="P93" s="74" t="e">
        <f t="shared" si="14"/>
        <v>#DIV/0!</v>
      </c>
      <c r="Q93" s="71">
        <f t="shared" si="18"/>
        <v>0</v>
      </c>
      <c r="R93" s="71">
        <f t="shared" si="19"/>
        <v>0</v>
      </c>
      <c r="S93" s="73">
        <v>1.325</v>
      </c>
      <c r="T93" s="75">
        <v>1200</v>
      </c>
      <c r="U93" s="75">
        <v>1.3</v>
      </c>
      <c r="V93" s="75">
        <v>2498</v>
      </c>
      <c r="W93" s="75">
        <v>2881</v>
      </c>
      <c r="X93" s="74">
        <v>2446</v>
      </c>
      <c r="Y93" s="71">
        <f t="shared" si="15"/>
        <v>0</v>
      </c>
      <c r="Z93" s="71">
        <f t="shared" si="20"/>
        <v>0</v>
      </c>
      <c r="AA93" s="71">
        <f t="shared" si="21"/>
        <v>0</v>
      </c>
      <c r="AB93" s="71">
        <f t="shared" si="22"/>
        <v>0</v>
      </c>
      <c r="AC93" s="71">
        <v>1500</v>
      </c>
      <c r="AD93" s="62" t="e">
        <f t="shared" si="23"/>
        <v>#DIV/0!</v>
      </c>
      <c r="AE93" s="76" t="e">
        <f t="shared" si="24"/>
        <v>#DIV/0!</v>
      </c>
    </row>
    <row r="94" spans="1:31" s="68" customFormat="1" ht="14.95" thickBot="1" x14ac:dyDescent="0.3">
      <c r="A94" s="77">
        <f>A93</f>
        <v>46022</v>
      </c>
      <c r="B94" s="78">
        <f t="shared" si="16"/>
        <v>31</v>
      </c>
      <c r="C94" s="79" t="s">
        <v>48</v>
      </c>
      <c r="D94" s="80">
        <v>3</v>
      </c>
      <c r="E94" s="79" t="s">
        <v>49</v>
      </c>
      <c r="F94" s="81"/>
      <c r="G94" s="82"/>
      <c r="H94" s="56"/>
      <c r="I94" s="56"/>
      <c r="J94" s="88"/>
      <c r="K94" s="88"/>
      <c r="L94" s="88"/>
      <c r="M94" s="79">
        <f>(J94*$S$2)/1000000</f>
        <v>0</v>
      </c>
      <c r="N94" s="81" t="e">
        <f>[2]!Tabla1[[#This Row],[CONSUMO POL ANIONICO (KG)]]</f>
        <v>#REF!</v>
      </c>
      <c r="O94" s="83" t="e">
        <f>[2]!Tabla1[[#This Row],[CONSUMO POL CATIONICO (KG)]]</f>
        <v>#REF!</v>
      </c>
      <c r="P94" s="82" t="e">
        <f t="shared" si="14"/>
        <v>#DIV/0!</v>
      </c>
      <c r="Q94" s="79">
        <f t="shared" si="18"/>
        <v>0</v>
      </c>
      <c r="R94" s="79">
        <f t="shared" si="19"/>
        <v>0</v>
      </c>
      <c r="S94" s="81">
        <v>1.325</v>
      </c>
      <c r="T94" s="83">
        <v>1200</v>
      </c>
      <c r="U94" s="83">
        <v>1.3</v>
      </c>
      <c r="V94" s="83">
        <v>2498</v>
      </c>
      <c r="W94" s="83">
        <v>2881</v>
      </c>
      <c r="X94" s="82">
        <v>2446</v>
      </c>
      <c r="Y94" s="79">
        <f t="shared" si="15"/>
        <v>0</v>
      </c>
      <c r="Z94" s="79">
        <f t="shared" si="20"/>
        <v>0</v>
      </c>
      <c r="AA94" s="79">
        <f t="shared" si="21"/>
        <v>0</v>
      </c>
      <c r="AB94" s="79">
        <f t="shared" si="22"/>
        <v>0</v>
      </c>
      <c r="AC94" s="79">
        <v>1500</v>
      </c>
      <c r="AD94" s="62" t="e">
        <f t="shared" si="23"/>
        <v>#DIV/0!</v>
      </c>
      <c r="AE94" s="67" t="e">
        <f t="shared" si="24"/>
        <v>#DIV/0!</v>
      </c>
    </row>
    <row r="95" spans="1:31" x14ac:dyDescent="0.25">
      <c r="H95" s="5"/>
      <c r="I95" s="5"/>
      <c r="J95" s="5"/>
      <c r="K95" s="5"/>
      <c r="L95" s="5"/>
      <c r="M95" s="5"/>
      <c r="N95" s="5"/>
      <c r="O95" s="5"/>
      <c r="P95" s="5"/>
      <c r="Q95" s="18"/>
      <c r="R95" s="18"/>
      <c r="Y95" s="10"/>
      <c r="Z95" s="10"/>
      <c r="AA95" s="10"/>
      <c r="AB95" s="10"/>
      <c r="AD95" s="10"/>
    </row>
  </sheetData>
  <protectedRanges>
    <protectedRange sqref="G1:I1" name="Rango1_3_1_1_2"/>
  </protectedRanges>
  <conditionalFormatting sqref="J1:O1">
    <cfRule type="cellIs" dxfId="2" priority="24" operator="lessThan">
      <formula>0</formula>
    </cfRule>
  </conditionalFormatting>
  <conditionalFormatting sqref="Q1:R1">
    <cfRule type="cellIs" dxfId="1" priority="2" operator="lessThan">
      <formula>0</formula>
    </cfRule>
  </conditionalFormatting>
  <conditionalFormatting sqref="AD1:AE1">
    <cfRule type="cellIs" dxfId="0" priority="1" operator="greaterThan">
      <formula>5250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3C63-6FED-4347-937E-0C4C83546E07}">
  <dimension ref="A1:L38"/>
  <sheetViews>
    <sheetView zoomScale="85" zoomScaleNormal="85" workbookViewId="0">
      <selection activeCell="I2" sqref="I2"/>
    </sheetView>
  </sheetViews>
  <sheetFormatPr baseColWidth="10" defaultRowHeight="14.3" x14ac:dyDescent="0.25"/>
  <cols>
    <col min="2" max="2" width="20.375" customWidth="1"/>
    <col min="3" max="3" width="19.75" customWidth="1"/>
    <col min="4" max="4" width="11.375" customWidth="1"/>
    <col min="5" max="5" width="22.625" customWidth="1"/>
    <col min="6" max="6" width="15.125" customWidth="1"/>
    <col min="7" max="7" width="21" customWidth="1"/>
    <col min="8" max="8" width="14.375" customWidth="1"/>
    <col min="9" max="9" width="22.5" customWidth="1"/>
    <col min="11" max="11" width="18.625" customWidth="1"/>
    <col min="12" max="12" width="12.875" customWidth="1"/>
  </cols>
  <sheetData>
    <row r="1" spans="1:6" s="12" customFormat="1" ht="46.2" customHeight="1" x14ac:dyDescent="0.25">
      <c r="A1" s="30" t="s">
        <v>95</v>
      </c>
      <c r="B1" s="30" t="s">
        <v>53</v>
      </c>
      <c r="C1" s="30" t="s">
        <v>54</v>
      </c>
      <c r="D1" s="30" t="s">
        <v>55</v>
      </c>
      <c r="E1" s="30" t="s">
        <v>71</v>
      </c>
      <c r="F1" s="30" t="s">
        <v>72</v>
      </c>
    </row>
    <row r="2" spans="1:6" x14ac:dyDescent="0.25">
      <c r="A2" s="22">
        <v>1</v>
      </c>
      <c r="B2" s="22">
        <v>275</v>
      </c>
      <c r="C2" s="22">
        <v>1500</v>
      </c>
      <c r="D2" s="28">
        <v>6524.8258903133901</v>
      </c>
      <c r="E2" s="29">
        <v>195</v>
      </c>
      <c r="F2" s="29">
        <f>+B2-E2</f>
        <v>80</v>
      </c>
    </row>
    <row r="3" spans="1:6" x14ac:dyDescent="0.25">
      <c r="A3" s="22">
        <v>2</v>
      </c>
      <c r="B3" s="22">
        <v>367</v>
      </c>
      <c r="C3" s="22">
        <v>1500</v>
      </c>
      <c r="D3" s="28">
        <v>6805.188356726183</v>
      </c>
      <c r="E3" s="29">
        <v>272</v>
      </c>
      <c r="F3" s="29">
        <f t="shared" ref="F3:F32" si="0">+B3-E3</f>
        <v>95</v>
      </c>
    </row>
    <row r="4" spans="1:6" x14ac:dyDescent="0.25">
      <c r="A4" s="22">
        <v>3</v>
      </c>
      <c r="B4" s="22">
        <v>393</v>
      </c>
      <c r="C4" s="22">
        <v>1500</v>
      </c>
      <c r="D4" s="28">
        <v>4541.3605769230771</v>
      </c>
      <c r="E4" s="29">
        <v>291</v>
      </c>
      <c r="F4" s="29">
        <f t="shared" si="0"/>
        <v>102</v>
      </c>
    </row>
    <row r="5" spans="1:6" x14ac:dyDescent="0.25">
      <c r="A5" s="22">
        <v>4</v>
      </c>
      <c r="B5" s="22">
        <v>376</v>
      </c>
      <c r="C5" s="22">
        <v>1500</v>
      </c>
      <c r="D5" s="28">
        <v>4031.5543711726768</v>
      </c>
      <c r="E5" s="29">
        <v>276</v>
      </c>
      <c r="F5" s="29">
        <f t="shared" si="0"/>
        <v>100</v>
      </c>
    </row>
    <row r="6" spans="1:6" x14ac:dyDescent="0.25">
      <c r="A6" s="22">
        <v>5</v>
      </c>
      <c r="B6" s="22">
        <v>361</v>
      </c>
      <c r="C6" s="22">
        <v>1500</v>
      </c>
      <c r="D6" s="28">
        <v>794.56178359501689</v>
      </c>
      <c r="E6" s="29">
        <v>259</v>
      </c>
      <c r="F6" s="29">
        <f t="shared" si="0"/>
        <v>102</v>
      </c>
    </row>
    <row r="7" spans="1:6" x14ac:dyDescent="0.25">
      <c r="A7" s="22">
        <v>6</v>
      </c>
      <c r="B7" s="22">
        <v>374</v>
      </c>
      <c r="C7" s="22">
        <v>1500</v>
      </c>
      <c r="D7" s="28">
        <v>4748.5087281698952</v>
      </c>
      <c r="E7" s="29">
        <v>276</v>
      </c>
      <c r="F7" s="29">
        <f t="shared" si="0"/>
        <v>98</v>
      </c>
    </row>
    <row r="8" spans="1:6" x14ac:dyDescent="0.25">
      <c r="A8" s="22">
        <v>7</v>
      </c>
      <c r="B8" s="22">
        <v>68</v>
      </c>
      <c r="C8" s="22">
        <v>1500</v>
      </c>
      <c r="D8" s="28" t="e">
        <v>#DIV/0!</v>
      </c>
      <c r="E8" s="29">
        <v>51</v>
      </c>
      <c r="F8" s="29">
        <f t="shared" si="0"/>
        <v>17</v>
      </c>
    </row>
    <row r="9" spans="1:6" x14ac:dyDescent="0.25">
      <c r="A9" s="22">
        <v>8</v>
      </c>
      <c r="B9" s="22">
        <v>0</v>
      </c>
      <c r="C9" s="22">
        <v>1500</v>
      </c>
      <c r="D9" s="28" t="e">
        <v>#DIV/0!</v>
      </c>
      <c r="E9" s="29">
        <v>0</v>
      </c>
      <c r="F9" s="29">
        <f t="shared" si="0"/>
        <v>0</v>
      </c>
    </row>
    <row r="10" spans="1:6" x14ac:dyDescent="0.25">
      <c r="A10" s="22">
        <v>9</v>
      </c>
      <c r="B10" s="22">
        <v>307</v>
      </c>
      <c r="C10" s="22">
        <v>1500</v>
      </c>
      <c r="D10" s="28">
        <v>4894.6149922471832</v>
      </c>
      <c r="E10" s="29">
        <v>220</v>
      </c>
      <c r="F10" s="29">
        <f t="shared" si="0"/>
        <v>87</v>
      </c>
    </row>
    <row r="11" spans="1:6" x14ac:dyDescent="0.25">
      <c r="A11" s="22">
        <v>10</v>
      </c>
      <c r="B11" s="22">
        <v>366</v>
      </c>
      <c r="C11" s="22">
        <v>1500</v>
      </c>
      <c r="D11" s="28">
        <v>0</v>
      </c>
      <c r="E11" s="29">
        <v>254</v>
      </c>
      <c r="F11" s="29">
        <f t="shared" si="0"/>
        <v>112</v>
      </c>
    </row>
    <row r="12" spans="1:6" x14ac:dyDescent="0.25">
      <c r="A12" s="22">
        <v>11</v>
      </c>
      <c r="B12" s="22">
        <v>270</v>
      </c>
      <c r="C12" s="22">
        <v>1500</v>
      </c>
      <c r="D12" s="28">
        <v>0</v>
      </c>
      <c r="E12" s="29">
        <v>192</v>
      </c>
      <c r="F12" s="29">
        <f t="shared" si="0"/>
        <v>78</v>
      </c>
    </row>
    <row r="13" spans="1:6" x14ac:dyDescent="0.25">
      <c r="A13" s="22">
        <v>12</v>
      </c>
      <c r="B13" s="22">
        <v>301</v>
      </c>
      <c r="C13" s="22">
        <v>1500</v>
      </c>
      <c r="D13" s="28">
        <v>0</v>
      </c>
      <c r="E13" s="29">
        <v>208</v>
      </c>
      <c r="F13" s="29">
        <f t="shared" si="0"/>
        <v>93</v>
      </c>
    </row>
    <row r="14" spans="1:6" x14ac:dyDescent="0.25">
      <c r="A14" s="22">
        <v>13</v>
      </c>
      <c r="B14" s="22">
        <v>336</v>
      </c>
      <c r="C14" s="22">
        <v>1500</v>
      </c>
      <c r="D14" s="28">
        <v>5440.8942832625044</v>
      </c>
      <c r="E14" s="29">
        <v>239</v>
      </c>
      <c r="F14" s="29">
        <f t="shared" si="0"/>
        <v>97</v>
      </c>
    </row>
    <row r="15" spans="1:6" x14ac:dyDescent="0.25">
      <c r="A15" s="22">
        <v>14</v>
      </c>
      <c r="B15" s="22">
        <v>398</v>
      </c>
      <c r="C15" s="22">
        <v>1500</v>
      </c>
      <c r="D15" s="28">
        <v>4468.5409522006457</v>
      </c>
      <c r="E15" s="29">
        <v>273</v>
      </c>
      <c r="F15" s="29">
        <f t="shared" si="0"/>
        <v>125</v>
      </c>
    </row>
    <row r="16" spans="1:6" x14ac:dyDescent="0.25">
      <c r="A16" s="22">
        <v>15</v>
      </c>
      <c r="B16" s="22">
        <v>347</v>
      </c>
      <c r="C16" s="22">
        <v>1500</v>
      </c>
      <c r="D16" s="28" t="e">
        <v>#DIV/0!</v>
      </c>
      <c r="E16" s="29">
        <v>236</v>
      </c>
      <c r="F16" s="29">
        <f t="shared" si="0"/>
        <v>111</v>
      </c>
    </row>
    <row r="17" spans="1:6" x14ac:dyDescent="0.25">
      <c r="A17" s="22">
        <v>16</v>
      </c>
      <c r="B17" s="22">
        <v>262</v>
      </c>
      <c r="C17" s="22">
        <v>1500</v>
      </c>
      <c r="D17" s="28">
        <v>6289.8930860805867</v>
      </c>
      <c r="E17" s="29">
        <v>168</v>
      </c>
      <c r="F17" s="29">
        <f t="shared" si="0"/>
        <v>94</v>
      </c>
    </row>
    <row r="18" spans="1:6" x14ac:dyDescent="0.25">
      <c r="A18" s="22">
        <v>17</v>
      </c>
      <c r="B18" s="22">
        <v>354</v>
      </c>
      <c r="C18" s="22">
        <v>1500</v>
      </c>
      <c r="D18" s="28">
        <v>5032.4160871559634</v>
      </c>
      <c r="E18" s="29">
        <v>226</v>
      </c>
      <c r="F18" s="29">
        <f t="shared" si="0"/>
        <v>128</v>
      </c>
    </row>
    <row r="19" spans="1:6" x14ac:dyDescent="0.25">
      <c r="A19" s="22">
        <v>18</v>
      </c>
      <c r="B19" s="22">
        <v>304</v>
      </c>
      <c r="C19" s="22">
        <v>1500</v>
      </c>
      <c r="D19" s="28">
        <v>5842.4040650406505</v>
      </c>
      <c r="E19" s="29">
        <v>210</v>
      </c>
      <c r="F19" s="29">
        <f t="shared" si="0"/>
        <v>94</v>
      </c>
    </row>
    <row r="20" spans="1:6" x14ac:dyDescent="0.25">
      <c r="A20" s="22">
        <v>19</v>
      </c>
      <c r="B20" s="22">
        <v>346</v>
      </c>
      <c r="C20" s="22">
        <v>1500</v>
      </c>
      <c r="D20" s="28">
        <v>0</v>
      </c>
      <c r="E20" s="29">
        <v>248</v>
      </c>
      <c r="F20" s="29">
        <f t="shared" si="0"/>
        <v>98</v>
      </c>
    </row>
    <row r="21" spans="1:6" x14ac:dyDescent="0.25">
      <c r="A21" s="22">
        <v>20</v>
      </c>
      <c r="B21" s="22">
        <v>348</v>
      </c>
      <c r="C21" s="22">
        <v>1500</v>
      </c>
      <c r="D21" s="28">
        <v>0</v>
      </c>
      <c r="E21" s="29">
        <v>246</v>
      </c>
      <c r="F21" s="29">
        <f t="shared" si="0"/>
        <v>102</v>
      </c>
    </row>
    <row r="22" spans="1:6" x14ac:dyDescent="0.25">
      <c r="A22" s="22">
        <v>21</v>
      </c>
      <c r="B22" s="22">
        <v>97</v>
      </c>
      <c r="C22" s="22">
        <v>1500</v>
      </c>
      <c r="D22" s="28" t="e">
        <v>#DIV/0!</v>
      </c>
      <c r="E22" s="29">
        <v>71</v>
      </c>
      <c r="F22" s="29">
        <f t="shared" si="0"/>
        <v>26</v>
      </c>
    </row>
    <row r="23" spans="1:6" x14ac:dyDescent="0.25">
      <c r="A23" s="22">
        <v>22</v>
      </c>
      <c r="B23" s="22">
        <v>254</v>
      </c>
      <c r="C23" s="22">
        <v>1500</v>
      </c>
      <c r="D23" s="28" t="e">
        <v>#DIV/0!</v>
      </c>
      <c r="E23" s="29">
        <v>184</v>
      </c>
      <c r="F23" s="29">
        <f t="shared" si="0"/>
        <v>70</v>
      </c>
    </row>
    <row r="24" spans="1:6" x14ac:dyDescent="0.25">
      <c r="A24" s="22">
        <v>23</v>
      </c>
      <c r="B24" s="22">
        <v>382</v>
      </c>
      <c r="C24" s="22">
        <v>1500</v>
      </c>
      <c r="D24" s="28">
        <v>3905.9547855290384</v>
      </c>
      <c r="E24" s="29">
        <v>280</v>
      </c>
      <c r="F24" s="29">
        <f t="shared" si="0"/>
        <v>102</v>
      </c>
    </row>
    <row r="25" spans="1:6" x14ac:dyDescent="0.25">
      <c r="A25" s="22">
        <v>24</v>
      </c>
      <c r="B25" s="22">
        <v>223</v>
      </c>
      <c r="C25" s="22">
        <v>1500</v>
      </c>
      <c r="D25" s="28" t="e">
        <v>#DIV/0!</v>
      </c>
      <c r="E25" s="29">
        <v>160</v>
      </c>
      <c r="F25" s="29">
        <f t="shared" si="0"/>
        <v>63</v>
      </c>
    </row>
    <row r="26" spans="1:6" x14ac:dyDescent="0.25">
      <c r="A26" s="22">
        <v>25</v>
      </c>
      <c r="B26" s="22">
        <v>0</v>
      </c>
      <c r="C26" s="22">
        <v>1500</v>
      </c>
      <c r="D26" s="28" t="e">
        <v>#DIV/0!</v>
      </c>
      <c r="E26" s="29">
        <v>0</v>
      </c>
      <c r="F26" s="29">
        <f t="shared" si="0"/>
        <v>0</v>
      </c>
    </row>
    <row r="27" spans="1:6" x14ac:dyDescent="0.25">
      <c r="A27" s="22">
        <v>26</v>
      </c>
      <c r="B27" s="22">
        <v>154</v>
      </c>
      <c r="C27" s="22">
        <v>1500</v>
      </c>
      <c r="D27" s="28" t="e">
        <v>#DIV/0!</v>
      </c>
      <c r="E27" s="29">
        <v>115</v>
      </c>
      <c r="F27" s="29">
        <f t="shared" si="0"/>
        <v>39</v>
      </c>
    </row>
    <row r="28" spans="1:6" x14ac:dyDescent="0.25">
      <c r="A28" s="22">
        <v>27</v>
      </c>
      <c r="B28" s="22">
        <v>301</v>
      </c>
      <c r="C28" s="22">
        <v>1500</v>
      </c>
      <c r="D28" s="28">
        <v>5931.3363732748703</v>
      </c>
      <c r="E28" s="29">
        <v>223</v>
      </c>
      <c r="F28" s="29">
        <f t="shared" si="0"/>
        <v>78</v>
      </c>
    </row>
    <row r="29" spans="1:6" x14ac:dyDescent="0.25">
      <c r="A29" s="22">
        <v>28</v>
      </c>
      <c r="B29" s="22">
        <v>224</v>
      </c>
      <c r="C29" s="22">
        <v>1500</v>
      </c>
      <c r="D29" s="28" t="e">
        <v>#DIV/0!</v>
      </c>
      <c r="E29" s="29">
        <v>167</v>
      </c>
      <c r="F29" s="29">
        <f t="shared" si="0"/>
        <v>57</v>
      </c>
    </row>
    <row r="30" spans="1:6" x14ac:dyDescent="0.25">
      <c r="A30" s="22">
        <v>29</v>
      </c>
      <c r="B30" s="22">
        <v>249</v>
      </c>
      <c r="C30" s="22">
        <v>1500</v>
      </c>
      <c r="D30" s="28" t="e">
        <v>#DIV/0!</v>
      </c>
      <c r="E30" s="29">
        <v>186</v>
      </c>
      <c r="F30" s="29">
        <f t="shared" si="0"/>
        <v>63</v>
      </c>
    </row>
    <row r="31" spans="1:6" x14ac:dyDescent="0.25">
      <c r="A31" s="22">
        <v>30</v>
      </c>
      <c r="B31" s="22">
        <v>267.5</v>
      </c>
      <c r="C31" s="22">
        <v>1500</v>
      </c>
      <c r="D31" s="28">
        <v>0</v>
      </c>
      <c r="E31" s="29">
        <v>198.5</v>
      </c>
      <c r="F31" s="29">
        <f t="shared" si="0"/>
        <v>69</v>
      </c>
    </row>
    <row r="32" spans="1:6" x14ac:dyDescent="0.25">
      <c r="A32" s="22">
        <v>31</v>
      </c>
      <c r="B32" s="22">
        <v>58.5</v>
      </c>
      <c r="C32" s="22">
        <v>1500</v>
      </c>
      <c r="D32" s="28" t="e">
        <v>#DIV/0!</v>
      </c>
      <c r="E32" s="22">
        <v>43.5</v>
      </c>
      <c r="F32" s="29">
        <f t="shared" si="0"/>
        <v>15</v>
      </c>
    </row>
    <row r="33" spans="2:12" x14ac:dyDescent="0.25">
      <c r="B33">
        <f>+SUM(B2:B32)</f>
        <v>8363</v>
      </c>
      <c r="C33">
        <f>+SUM(C2:C32)</f>
        <v>46500</v>
      </c>
      <c r="D33" t="e">
        <f>+SUM(D2:D32)</f>
        <v>#DIV/0!</v>
      </c>
      <c r="E33">
        <f>+SUM(E2:E32)</f>
        <v>5968</v>
      </c>
      <c r="F33">
        <f>+SUM(F2:F32)</f>
        <v>2395</v>
      </c>
    </row>
    <row r="36" spans="2:12" x14ac:dyDescent="0.25">
      <c r="B36" s="57" t="s">
        <v>78</v>
      </c>
      <c r="C36" s="57"/>
      <c r="D36" s="57"/>
      <c r="E36" s="57"/>
      <c r="F36" s="57"/>
      <c r="G36" s="57"/>
      <c r="H36" s="57"/>
      <c r="I36" s="57"/>
      <c r="J36" s="57"/>
      <c r="K36" s="57"/>
      <c r="L36" s="10">
        <f>+Balance!AB95</f>
        <v>0</v>
      </c>
    </row>
    <row r="37" spans="2:12" ht="42.8" x14ac:dyDescent="0.25">
      <c r="B37" s="16" t="s">
        <v>97</v>
      </c>
      <c r="C37" s="16" t="s">
        <v>96</v>
      </c>
      <c r="D37" s="16" t="s">
        <v>76</v>
      </c>
      <c r="E37" s="16" t="s">
        <v>77</v>
      </c>
      <c r="F37" s="16" t="s">
        <v>79</v>
      </c>
      <c r="G37" s="16" t="s">
        <v>80</v>
      </c>
      <c r="H37" s="16" t="s">
        <v>91</v>
      </c>
      <c r="I37" s="16" t="s">
        <v>81</v>
      </c>
      <c r="J37" s="16" t="s">
        <v>92</v>
      </c>
      <c r="K37" s="16" t="s">
        <v>93</v>
      </c>
    </row>
    <row r="38" spans="2:12" x14ac:dyDescent="0.25">
      <c r="B38" s="17">
        <f>+B33</f>
        <v>8363</v>
      </c>
      <c r="C38" s="17">
        <f>+E33</f>
        <v>5968</v>
      </c>
      <c r="D38" s="19">
        <f>+L36/B38</f>
        <v>0</v>
      </c>
      <c r="E38" s="19">
        <f>+L36/C38</f>
        <v>0</v>
      </c>
      <c r="F38" s="20">
        <f>+MIN(E2:E5,E7:E12,E14:E19,E21:E32)</f>
        <v>0</v>
      </c>
      <c r="G38" s="20">
        <f>+MAX(E2:E5,E7:E12,E14:E19,E21:E32)</f>
        <v>291</v>
      </c>
      <c r="H38" s="20">
        <f>+AVERAGE(B2:B5,B7:B12,B14:B19,B21:B32)</f>
        <v>262.67857142857144</v>
      </c>
      <c r="I38" s="20">
        <f>+AVERAGE(E2:E5,E7:E12,E14:E19,E21:E32)</f>
        <v>187.60714285714286</v>
      </c>
      <c r="J38" s="24">
        <f>+I38/H38*100</f>
        <v>71.420802175390889</v>
      </c>
      <c r="K38" s="25">
        <f>+I38/3.6/24</f>
        <v>2.1713789682539684</v>
      </c>
    </row>
  </sheetData>
  <mergeCells count="1">
    <mergeCell ref="B36:K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65B8-DB06-46B9-96DD-D6A8027AF710}">
  <dimension ref="A1:G36"/>
  <sheetViews>
    <sheetView topLeftCell="A10" workbookViewId="0">
      <selection activeCell="E2" sqref="E2:E32"/>
    </sheetView>
  </sheetViews>
  <sheetFormatPr baseColWidth="10" defaultRowHeight="14.3" x14ac:dyDescent="0.25"/>
  <cols>
    <col min="1" max="1" width="11.25" style="4" bestFit="1" customWidth="1"/>
    <col min="2" max="2" width="35.625" style="4" bestFit="1" customWidth="1"/>
    <col min="3" max="3" width="27.625" style="4" bestFit="1" customWidth="1"/>
    <col min="4" max="4" width="30" bestFit="1" customWidth="1"/>
    <col min="5" max="5" width="18.75" bestFit="1" customWidth="1"/>
    <col min="6" max="6" width="19.25" bestFit="1" customWidth="1"/>
    <col min="7" max="7" width="18" bestFit="1" customWidth="1"/>
    <col min="8" max="10" width="2.875" bestFit="1" customWidth="1"/>
    <col min="11" max="13" width="3.875" bestFit="1" customWidth="1"/>
    <col min="14" max="14" width="6.875" bestFit="1" customWidth="1"/>
    <col min="15" max="31" width="3.875" bestFit="1" customWidth="1"/>
    <col min="32" max="32" width="6.875" bestFit="1" customWidth="1"/>
    <col min="33" max="41" width="3.875" bestFit="1" customWidth="1"/>
    <col min="42" max="42" width="6.875" bestFit="1" customWidth="1"/>
    <col min="43" max="50" width="3.875" bestFit="1" customWidth="1"/>
    <col min="51" max="51" width="10" bestFit="1" customWidth="1"/>
    <col min="52" max="52" width="26.875" bestFit="1" customWidth="1"/>
    <col min="53" max="63" width="6.75" bestFit="1" customWidth="1"/>
    <col min="64" max="64" width="6.875" bestFit="1" customWidth="1"/>
    <col min="65" max="91" width="6.75" bestFit="1" customWidth="1"/>
    <col min="92" max="92" width="6.875" bestFit="1" customWidth="1"/>
    <col min="93" max="100" width="6.75" bestFit="1" customWidth="1"/>
    <col min="101" max="101" width="10" bestFit="1" customWidth="1"/>
    <col min="102" max="102" width="13.375" bestFit="1" customWidth="1"/>
    <col min="103" max="110" width="2.875" bestFit="1" customWidth="1"/>
    <col min="111" max="113" width="3.875" bestFit="1" customWidth="1"/>
    <col min="114" max="114" width="6.875" bestFit="1" customWidth="1"/>
    <col min="115" max="141" width="3.875" bestFit="1" customWidth="1"/>
    <col min="142" max="142" width="6.875" bestFit="1" customWidth="1"/>
    <col min="143" max="150" width="3.875" bestFit="1" customWidth="1"/>
    <col min="151" max="151" width="10" bestFit="1" customWidth="1"/>
    <col min="152" max="152" width="48.125" bestFit="1" customWidth="1"/>
    <col min="153" max="153" width="31.375" bestFit="1" customWidth="1"/>
    <col min="154" max="154" width="18" bestFit="1" customWidth="1"/>
  </cols>
  <sheetData>
    <row r="1" spans="1:7" x14ac:dyDescent="0.25">
      <c r="A1" s="13" t="s">
        <v>73</v>
      </c>
      <c r="B1" s="14" t="s">
        <v>75</v>
      </c>
      <c r="C1" s="14" t="s">
        <v>74</v>
      </c>
      <c r="D1" t="s">
        <v>67</v>
      </c>
      <c r="E1" t="s">
        <v>70</v>
      </c>
    </row>
    <row r="2" spans="1:7" x14ac:dyDescent="0.25">
      <c r="A2" s="15">
        <v>1</v>
      </c>
      <c r="B2" s="14">
        <v>195</v>
      </c>
      <c r="C2" s="14">
        <v>275</v>
      </c>
      <c r="D2" s="10">
        <v>1500</v>
      </c>
      <c r="E2" s="9">
        <v>6524.8258903133901</v>
      </c>
    </row>
    <row r="3" spans="1:7" x14ac:dyDescent="0.25">
      <c r="A3" s="15">
        <v>2</v>
      </c>
      <c r="B3" s="14">
        <v>272</v>
      </c>
      <c r="C3" s="14">
        <v>367</v>
      </c>
      <c r="D3" s="10">
        <v>1500</v>
      </c>
      <c r="E3" s="9">
        <v>6805.188356726183</v>
      </c>
      <c r="G3">
        <f>+MIN(B2:B5,B7)</f>
        <v>195</v>
      </c>
    </row>
    <row r="4" spans="1:7" x14ac:dyDescent="0.25">
      <c r="A4" s="15">
        <v>3</v>
      </c>
      <c r="B4" s="14">
        <v>291</v>
      </c>
      <c r="C4" s="14">
        <v>393</v>
      </c>
      <c r="D4" s="10">
        <v>1500</v>
      </c>
      <c r="E4" s="9">
        <v>4541.3605769230771</v>
      </c>
      <c r="G4">
        <f>+MAX(B2:B5,B7)</f>
        <v>291</v>
      </c>
    </row>
    <row r="5" spans="1:7" x14ac:dyDescent="0.25">
      <c r="A5" s="15">
        <v>4</v>
      </c>
      <c r="B5" s="14">
        <v>276</v>
      </c>
      <c r="C5" s="14">
        <v>376</v>
      </c>
      <c r="D5" s="10">
        <v>1500</v>
      </c>
      <c r="E5" s="9">
        <v>4031.5543711726768</v>
      </c>
      <c r="G5">
        <f>+AVERAGE(B2:B5,B7)</f>
        <v>262</v>
      </c>
    </row>
    <row r="6" spans="1:7" x14ac:dyDescent="0.25">
      <c r="A6" s="15">
        <v>5</v>
      </c>
      <c r="B6" s="14">
        <v>259</v>
      </c>
      <c r="C6" s="14">
        <v>361</v>
      </c>
      <c r="D6" s="10">
        <v>1500</v>
      </c>
      <c r="E6" s="9">
        <v>794.56178359501689</v>
      </c>
    </row>
    <row r="7" spans="1:7" x14ac:dyDescent="0.25">
      <c r="A7" s="15">
        <v>6</v>
      </c>
      <c r="B7" s="14">
        <v>276</v>
      </c>
      <c r="C7" s="14">
        <v>374</v>
      </c>
      <c r="D7" s="10">
        <v>1500</v>
      </c>
      <c r="E7" s="9">
        <v>4748.5087281698952</v>
      </c>
    </row>
    <row r="8" spans="1:7" x14ac:dyDescent="0.25">
      <c r="A8" s="15">
        <v>7</v>
      </c>
      <c r="B8" s="14">
        <v>51</v>
      </c>
      <c r="C8" s="14">
        <v>68</v>
      </c>
      <c r="D8" s="10">
        <v>1500</v>
      </c>
      <c r="E8" s="9" t="e">
        <v>#DIV/0!</v>
      </c>
    </row>
    <row r="9" spans="1:7" x14ac:dyDescent="0.25">
      <c r="A9" s="15">
        <v>8</v>
      </c>
      <c r="B9" s="14">
        <v>0</v>
      </c>
      <c r="C9" s="14">
        <v>0</v>
      </c>
      <c r="D9" s="10">
        <v>1500</v>
      </c>
      <c r="E9" s="9" t="e">
        <v>#DIV/0!</v>
      </c>
    </row>
    <row r="10" spans="1:7" x14ac:dyDescent="0.25">
      <c r="A10" s="15">
        <v>9</v>
      </c>
      <c r="B10" s="14">
        <v>220</v>
      </c>
      <c r="C10" s="14">
        <v>307</v>
      </c>
      <c r="D10" s="10">
        <v>1500</v>
      </c>
      <c r="E10" s="9">
        <v>4894.6149922471832</v>
      </c>
    </row>
    <row r="11" spans="1:7" x14ac:dyDescent="0.25">
      <c r="A11" s="15">
        <v>10</v>
      </c>
      <c r="B11" s="14">
        <v>254</v>
      </c>
      <c r="C11" s="14">
        <v>366</v>
      </c>
      <c r="D11" s="10">
        <v>1500</v>
      </c>
      <c r="E11" s="9">
        <v>0</v>
      </c>
    </row>
    <row r="12" spans="1:7" x14ac:dyDescent="0.25">
      <c r="A12" s="15">
        <v>11</v>
      </c>
      <c r="B12" s="14">
        <v>192</v>
      </c>
      <c r="C12" s="14">
        <v>270</v>
      </c>
      <c r="D12" s="10">
        <v>1500</v>
      </c>
      <c r="E12" s="9">
        <v>0</v>
      </c>
    </row>
    <row r="13" spans="1:7" x14ac:dyDescent="0.25">
      <c r="A13" s="15">
        <v>12</v>
      </c>
      <c r="B13" s="14">
        <v>208</v>
      </c>
      <c r="C13" s="14">
        <v>301</v>
      </c>
      <c r="D13" s="10">
        <v>1500</v>
      </c>
      <c r="E13" s="9">
        <v>0</v>
      </c>
    </row>
    <row r="14" spans="1:7" x14ac:dyDescent="0.25">
      <c r="A14" s="15">
        <v>13</v>
      </c>
      <c r="B14" s="14">
        <v>239</v>
      </c>
      <c r="C14" s="14">
        <v>336</v>
      </c>
      <c r="D14" s="10">
        <v>1500</v>
      </c>
      <c r="E14" s="9">
        <v>5440.8942832625044</v>
      </c>
    </row>
    <row r="15" spans="1:7" x14ac:dyDescent="0.25">
      <c r="A15" s="15">
        <v>14</v>
      </c>
      <c r="B15" s="14">
        <v>273</v>
      </c>
      <c r="C15" s="14">
        <v>398</v>
      </c>
      <c r="D15" s="10">
        <v>1500</v>
      </c>
      <c r="E15" s="9">
        <v>4468.5409522006457</v>
      </c>
    </row>
    <row r="16" spans="1:7" x14ac:dyDescent="0.25">
      <c r="A16" s="15">
        <v>15</v>
      </c>
      <c r="B16" s="14">
        <v>236</v>
      </c>
      <c r="C16" s="14">
        <v>347</v>
      </c>
      <c r="D16" s="10">
        <v>1500</v>
      </c>
      <c r="E16" s="9" t="e">
        <v>#DIV/0!</v>
      </c>
    </row>
    <row r="17" spans="1:5" x14ac:dyDescent="0.25">
      <c r="A17" s="15">
        <v>16</v>
      </c>
      <c r="B17" s="14">
        <v>168</v>
      </c>
      <c r="C17" s="14">
        <v>262</v>
      </c>
      <c r="D17" s="10">
        <v>1500</v>
      </c>
      <c r="E17" s="9">
        <v>6289.8930860805867</v>
      </c>
    </row>
    <row r="18" spans="1:5" x14ac:dyDescent="0.25">
      <c r="A18" s="15">
        <v>17</v>
      </c>
      <c r="B18" s="14">
        <v>226</v>
      </c>
      <c r="C18" s="14">
        <v>354</v>
      </c>
      <c r="D18" s="10">
        <v>1500</v>
      </c>
      <c r="E18" s="9">
        <v>5032.4160871559634</v>
      </c>
    </row>
    <row r="19" spans="1:5" x14ac:dyDescent="0.25">
      <c r="A19" s="15">
        <v>18</v>
      </c>
      <c r="B19" s="14">
        <v>210</v>
      </c>
      <c r="C19" s="14">
        <v>304</v>
      </c>
      <c r="D19" s="10">
        <v>1500</v>
      </c>
      <c r="E19" s="9">
        <v>5842.4040650406505</v>
      </c>
    </row>
    <row r="20" spans="1:5" x14ac:dyDescent="0.25">
      <c r="A20" s="15">
        <v>19</v>
      </c>
      <c r="B20" s="14">
        <v>248</v>
      </c>
      <c r="C20" s="14">
        <v>346</v>
      </c>
      <c r="D20" s="10">
        <v>1500</v>
      </c>
      <c r="E20" s="9">
        <v>0</v>
      </c>
    </row>
    <row r="21" spans="1:5" x14ac:dyDescent="0.25">
      <c r="A21" s="15">
        <v>20</v>
      </c>
      <c r="B21" s="14">
        <v>246</v>
      </c>
      <c r="C21" s="14">
        <v>348</v>
      </c>
      <c r="D21" s="10">
        <v>1500</v>
      </c>
      <c r="E21" s="9">
        <v>0</v>
      </c>
    </row>
    <row r="22" spans="1:5" x14ac:dyDescent="0.25">
      <c r="A22" s="15">
        <v>21</v>
      </c>
      <c r="B22" s="14">
        <v>71</v>
      </c>
      <c r="C22" s="14">
        <v>97</v>
      </c>
      <c r="D22" s="10">
        <v>1500</v>
      </c>
      <c r="E22" s="9" t="e">
        <v>#DIV/0!</v>
      </c>
    </row>
    <row r="23" spans="1:5" x14ac:dyDescent="0.25">
      <c r="A23" s="15">
        <v>22</v>
      </c>
      <c r="B23" s="14">
        <v>184</v>
      </c>
      <c r="C23" s="14">
        <v>254</v>
      </c>
      <c r="D23" s="10">
        <v>1500</v>
      </c>
      <c r="E23" s="9" t="e">
        <v>#DIV/0!</v>
      </c>
    </row>
    <row r="24" spans="1:5" x14ac:dyDescent="0.25">
      <c r="A24" s="15">
        <v>23</v>
      </c>
      <c r="B24" s="14">
        <v>280</v>
      </c>
      <c r="C24" s="14">
        <v>382</v>
      </c>
      <c r="D24" s="10">
        <v>1500</v>
      </c>
      <c r="E24" s="9">
        <v>3905.9547855290384</v>
      </c>
    </row>
    <row r="25" spans="1:5" x14ac:dyDescent="0.25">
      <c r="A25" s="15">
        <v>24</v>
      </c>
      <c r="B25" s="14">
        <v>160</v>
      </c>
      <c r="C25" s="14">
        <v>223</v>
      </c>
      <c r="D25" s="10">
        <v>1500</v>
      </c>
      <c r="E25" s="9" t="e">
        <v>#DIV/0!</v>
      </c>
    </row>
    <row r="26" spans="1:5" x14ac:dyDescent="0.25">
      <c r="A26" s="15">
        <v>25</v>
      </c>
      <c r="B26" s="14">
        <v>0</v>
      </c>
      <c r="C26" s="14">
        <v>0</v>
      </c>
      <c r="D26" s="10">
        <v>1500</v>
      </c>
      <c r="E26" s="9" t="e">
        <v>#DIV/0!</v>
      </c>
    </row>
    <row r="27" spans="1:5" x14ac:dyDescent="0.25">
      <c r="A27" s="15">
        <v>26</v>
      </c>
      <c r="B27" s="14">
        <v>115</v>
      </c>
      <c r="C27" s="14">
        <v>154</v>
      </c>
      <c r="D27" s="10">
        <v>1500</v>
      </c>
      <c r="E27" s="9" t="e">
        <v>#DIV/0!</v>
      </c>
    </row>
    <row r="28" spans="1:5" x14ac:dyDescent="0.25">
      <c r="A28" s="15">
        <v>27</v>
      </c>
      <c r="B28" s="14">
        <v>223</v>
      </c>
      <c r="C28" s="14">
        <v>301</v>
      </c>
      <c r="D28" s="10">
        <v>1500</v>
      </c>
      <c r="E28" s="9">
        <v>5931.3363732748703</v>
      </c>
    </row>
    <row r="29" spans="1:5" x14ac:dyDescent="0.25">
      <c r="A29" s="15">
        <v>28</v>
      </c>
      <c r="B29" s="14">
        <v>167</v>
      </c>
      <c r="C29" s="14">
        <v>224</v>
      </c>
      <c r="D29" s="10">
        <v>1500</v>
      </c>
      <c r="E29" s="9" t="e">
        <v>#DIV/0!</v>
      </c>
    </row>
    <row r="30" spans="1:5" x14ac:dyDescent="0.25">
      <c r="A30" s="15">
        <v>29</v>
      </c>
      <c r="B30" s="14">
        <v>186</v>
      </c>
      <c r="C30" s="14">
        <v>249</v>
      </c>
      <c r="D30" s="10">
        <v>1500</v>
      </c>
      <c r="E30" s="9" t="e">
        <v>#DIV/0!</v>
      </c>
    </row>
    <row r="31" spans="1:5" x14ac:dyDescent="0.25">
      <c r="A31" s="15">
        <v>30</v>
      </c>
      <c r="B31" s="14">
        <v>198.5</v>
      </c>
      <c r="C31" s="14">
        <v>267.5</v>
      </c>
      <c r="D31" s="10">
        <v>1500</v>
      </c>
      <c r="E31" s="9">
        <v>0</v>
      </c>
    </row>
    <row r="32" spans="1:5" x14ac:dyDescent="0.25">
      <c r="A32" s="15">
        <v>31</v>
      </c>
      <c r="B32" s="14">
        <v>43.5</v>
      </c>
      <c r="C32" s="14">
        <v>58.5</v>
      </c>
      <c r="D32" s="10">
        <v>1500</v>
      </c>
      <c r="E32" s="9" t="e">
        <v>#DIV/0!</v>
      </c>
    </row>
    <row r="33" spans="1:6" x14ac:dyDescent="0.25">
      <c r="A33" s="15" t="s">
        <v>51</v>
      </c>
      <c r="B33" s="14">
        <v>5968</v>
      </c>
      <c r="C33" s="14">
        <v>8363</v>
      </c>
      <c r="D33" s="10">
        <v>1500</v>
      </c>
      <c r="E33" s="9" t="e">
        <v>#DIV/0!</v>
      </c>
    </row>
    <row r="34" spans="1:6" x14ac:dyDescent="0.25">
      <c r="B34" s="4">
        <f>+MIN(B2:B5,B7:B12,B14:B19,B21:B32)</f>
        <v>0</v>
      </c>
      <c r="C34" s="4">
        <f>+MIN(C2:C5,C7:C12,C14:C19,C21:C32)</f>
        <v>0</v>
      </c>
      <c r="D34" s="4">
        <f>+MIN(D2:D5,D7:D12,D14:D19,D21:D32)</f>
        <v>1500</v>
      </c>
      <c r="E34" s="27" t="e">
        <f>+MIN(E2:E5,E7:E12,E14:E19,E21:E32)</f>
        <v>#DIV/0!</v>
      </c>
    </row>
    <row r="35" spans="1:6" x14ac:dyDescent="0.25">
      <c r="B35" s="4">
        <f>+MAX(B2:B5,B7:B12,B14:B19,B21:B32)</f>
        <v>291</v>
      </c>
      <c r="C35" s="4">
        <f>+MAX(C2:C5,C7:C12,C14:C19,C21:C32)</f>
        <v>398</v>
      </c>
      <c r="D35" s="4">
        <f>+MAX(D2:D5,D7:D12,D14:D19,D21:D32)</f>
        <v>1500</v>
      </c>
      <c r="E35" s="27" t="e">
        <f>+MAX(E2:E5,E7:E12,E14:E19,E21:E32)</f>
        <v>#DIV/0!</v>
      </c>
      <c r="F35" s="9"/>
    </row>
    <row r="36" spans="1:6" x14ac:dyDescent="0.25">
      <c r="B36" s="27">
        <f>+AVERAGE(B2:B5,B7:B12,B14:B19,B21:B32)</f>
        <v>187.60714285714286</v>
      </c>
      <c r="C36" s="27">
        <f>+AVERAGE(C2:C5,C7:C12,C14:C19,C21:C32)</f>
        <v>262.67857142857144</v>
      </c>
      <c r="D36" s="27">
        <f>+AVERAGE(D2:D5,D7:D12,D14:D19,D21:D32)</f>
        <v>1500</v>
      </c>
      <c r="E36" s="27" t="e">
        <f>+AVERAGE(E2:E5,E7:E12,E14:E19,E21:E32)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C101-300E-4C49-BC1F-84F5BCAB4C6C}">
  <dimension ref="A1:F11"/>
  <sheetViews>
    <sheetView workbookViewId="0">
      <selection activeCell="D8" sqref="D8"/>
    </sheetView>
  </sheetViews>
  <sheetFormatPr baseColWidth="10" defaultRowHeight="14.3" x14ac:dyDescent="0.25"/>
  <cols>
    <col min="1" max="1" width="18.75" bestFit="1" customWidth="1"/>
    <col min="2" max="2" width="19.75" bestFit="1" customWidth="1"/>
    <col min="3" max="3" width="19.25" bestFit="1" customWidth="1"/>
    <col min="4" max="4" width="14" bestFit="1" customWidth="1"/>
    <col min="5" max="5" width="17.875" bestFit="1" customWidth="1"/>
    <col min="6" max="6" width="17.5" customWidth="1"/>
  </cols>
  <sheetData>
    <row r="1" spans="1:6" x14ac:dyDescent="0.25">
      <c r="A1" s="21" t="s">
        <v>82</v>
      </c>
      <c r="B1" s="21" t="s">
        <v>83</v>
      </c>
      <c r="C1" s="21" t="s">
        <v>84</v>
      </c>
      <c r="D1" s="21" t="s">
        <v>85</v>
      </c>
      <c r="E1" s="21" t="s">
        <v>86</v>
      </c>
    </row>
    <row r="2" spans="1:6" x14ac:dyDescent="0.25">
      <c r="A2" s="14" t="s">
        <v>87</v>
      </c>
      <c r="B2" s="11">
        <f>+Balance!R95</f>
        <v>0</v>
      </c>
      <c r="C2" s="11">
        <f>+B2/24</f>
        <v>0</v>
      </c>
      <c r="D2" s="8">
        <f>+Balance!AA95</f>
        <v>0</v>
      </c>
      <c r="E2" s="8">
        <f>+D2/28</f>
        <v>0</v>
      </c>
    </row>
    <row r="3" spans="1:6" x14ac:dyDescent="0.25">
      <c r="A3" s="14" t="s">
        <v>88</v>
      </c>
      <c r="B3" s="11">
        <f>+Balance!M95</f>
        <v>0</v>
      </c>
      <c r="C3" s="11">
        <f>+B3/24</f>
        <v>0</v>
      </c>
      <c r="D3" s="8">
        <f>+Balance!Y95</f>
        <v>0</v>
      </c>
      <c r="E3" s="8">
        <f>+D3/28</f>
        <v>0</v>
      </c>
    </row>
    <row r="4" spans="1:6" x14ac:dyDescent="0.25">
      <c r="A4" s="14" t="s">
        <v>90</v>
      </c>
      <c r="B4" s="14">
        <f>+Balance!Q95</f>
        <v>0</v>
      </c>
      <c r="C4" s="11">
        <f>+B4/24</f>
        <v>0</v>
      </c>
      <c r="D4" s="23">
        <f>+Balance!Z95</f>
        <v>0</v>
      </c>
      <c r="E4" s="8">
        <f>+D4/28</f>
        <v>0</v>
      </c>
    </row>
    <row r="5" spans="1:6" hidden="1" x14ac:dyDescent="0.25">
      <c r="A5" s="14" t="s">
        <v>89</v>
      </c>
      <c r="B5" s="22"/>
      <c r="C5" s="11">
        <f>+B5/24</f>
        <v>0</v>
      </c>
      <c r="D5" s="22"/>
      <c r="E5" s="8">
        <f>+D5/24</f>
        <v>0</v>
      </c>
    </row>
    <row r="6" spans="1:6" x14ac:dyDescent="0.25">
      <c r="A6" s="14" t="s">
        <v>94</v>
      </c>
      <c r="B6" s="14">
        <v>16</v>
      </c>
      <c r="C6" s="26">
        <f>+B6/24</f>
        <v>0.66666666666666663</v>
      </c>
      <c r="D6" s="23">
        <f>29000*B6</f>
        <v>464000</v>
      </c>
      <c r="E6" s="8">
        <f>+D6/28</f>
        <v>16571.428571428572</v>
      </c>
    </row>
    <row r="7" spans="1:6" x14ac:dyDescent="0.25">
      <c r="A7" s="58" t="s">
        <v>98</v>
      </c>
      <c r="B7" s="58"/>
      <c r="C7" s="58"/>
      <c r="D7" s="32">
        <f>+SUM(D2:D6)</f>
        <v>464000</v>
      </c>
      <c r="E7" s="7"/>
    </row>
    <row r="8" spans="1:6" x14ac:dyDescent="0.25">
      <c r="A8" s="58" t="s">
        <v>99</v>
      </c>
      <c r="B8" s="58"/>
      <c r="C8" s="58"/>
      <c r="D8" s="33">
        <f>+GETPIVOTDATA("VOL. TOTAL TRATADO PTAP (m3)",'Base de datos'!$A$1)</f>
        <v>8363</v>
      </c>
    </row>
    <row r="9" spans="1:6" x14ac:dyDescent="0.25">
      <c r="A9" s="58" t="s">
        <v>100</v>
      </c>
      <c r="B9" s="58"/>
      <c r="C9" s="58"/>
      <c r="D9" s="33">
        <f>+GETPIVOTDATA("VOL. ENVIADO A TK RECIRCULACIÓN (m3)",'Base de datos'!$A$1)</f>
        <v>5968</v>
      </c>
      <c r="F9" s="1"/>
    </row>
    <row r="10" spans="1:6" x14ac:dyDescent="0.25">
      <c r="A10" s="59" t="s">
        <v>101</v>
      </c>
      <c r="B10" s="59"/>
      <c r="C10" s="59"/>
      <c r="D10" s="34">
        <f>+D7/D8</f>
        <v>55.482482362788474</v>
      </c>
    </row>
    <row r="11" spans="1:6" x14ac:dyDescent="0.25">
      <c r="A11" s="59" t="s">
        <v>102</v>
      </c>
      <c r="B11" s="59"/>
      <c r="C11" s="59"/>
      <c r="D11" s="34">
        <f>+D7/D9</f>
        <v>77.747989276139407</v>
      </c>
    </row>
  </sheetData>
  <mergeCells count="5"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A243-14B3-4092-A0C2-D34C16C2C970}">
  <dimension ref="A1:D7"/>
  <sheetViews>
    <sheetView workbookViewId="0">
      <selection activeCell="B6" sqref="B6"/>
    </sheetView>
  </sheetViews>
  <sheetFormatPr baseColWidth="10" defaultRowHeight="14.3" x14ac:dyDescent="0.25"/>
  <cols>
    <col min="1" max="1" width="15.625" bestFit="1" customWidth="1"/>
  </cols>
  <sheetData>
    <row r="1" spans="1:4" x14ac:dyDescent="0.25">
      <c r="A1" s="31" t="s">
        <v>103</v>
      </c>
      <c r="B1" s="31" t="s">
        <v>105</v>
      </c>
      <c r="C1" s="31" t="s">
        <v>106</v>
      </c>
      <c r="D1" s="35"/>
    </row>
    <row r="2" spans="1:4" ht="62.5" x14ac:dyDescent="0.25">
      <c r="A2" s="37" t="s">
        <v>104</v>
      </c>
      <c r="B2" s="38">
        <v>11925</v>
      </c>
      <c r="C2" s="38">
        <v>2600</v>
      </c>
      <c r="D2" s="36"/>
    </row>
    <row r="5" spans="1:4" x14ac:dyDescent="0.25">
      <c r="A5" s="33" t="s">
        <v>107</v>
      </c>
      <c r="B5" s="39">
        <v>45968</v>
      </c>
      <c r="C5" s="22"/>
    </row>
    <row r="6" spans="1:4" x14ac:dyDescent="0.25">
      <c r="A6" s="22" t="s">
        <v>105</v>
      </c>
      <c r="B6" s="38">
        <v>5300</v>
      </c>
      <c r="C6" s="22"/>
    </row>
    <row r="7" spans="1:4" x14ac:dyDescent="0.25">
      <c r="A7" s="22" t="s">
        <v>108</v>
      </c>
      <c r="B7" s="22"/>
      <c r="C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5FB6-21D8-4007-BAA7-136351A94B9D}">
  <dimension ref="A1:T25"/>
  <sheetViews>
    <sheetView workbookViewId="0">
      <selection activeCell="C27" sqref="C27"/>
    </sheetView>
  </sheetViews>
  <sheetFormatPr baseColWidth="10" defaultRowHeight="14.3" x14ac:dyDescent="0.25"/>
  <sheetData>
    <row r="1" spans="1:20" ht="28.55" x14ac:dyDescent="0.25">
      <c r="A1" t="s">
        <v>0</v>
      </c>
      <c r="B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s="3">
        <v>45558</v>
      </c>
      <c r="B2" t="s">
        <v>7</v>
      </c>
    </row>
    <row r="3" spans="1:20" x14ac:dyDescent="0.25">
      <c r="A3" s="3">
        <v>45558</v>
      </c>
      <c r="B3" t="s">
        <v>8</v>
      </c>
    </row>
    <row r="4" spans="1:20" x14ac:dyDescent="0.25">
      <c r="A4" s="3">
        <v>45558</v>
      </c>
      <c r="B4" t="s">
        <v>9</v>
      </c>
    </row>
    <row r="5" spans="1:20" x14ac:dyDescent="0.25">
      <c r="A5" s="3">
        <v>45559</v>
      </c>
      <c r="B5" t="s">
        <v>7</v>
      </c>
    </row>
    <row r="6" spans="1:20" x14ac:dyDescent="0.25">
      <c r="A6" s="3">
        <v>45559</v>
      </c>
      <c r="B6" t="s">
        <v>8</v>
      </c>
    </row>
    <row r="7" spans="1:20" x14ac:dyDescent="0.25">
      <c r="A7" s="3">
        <v>45559</v>
      </c>
      <c r="B7" t="s">
        <v>9</v>
      </c>
    </row>
    <row r="8" spans="1:20" x14ac:dyDescent="0.25">
      <c r="A8" s="3">
        <v>45560</v>
      </c>
    </row>
    <row r="9" spans="1:20" x14ac:dyDescent="0.25">
      <c r="A9" s="3">
        <v>45560</v>
      </c>
    </row>
    <row r="10" spans="1:20" x14ac:dyDescent="0.25">
      <c r="A10" s="3">
        <v>45560</v>
      </c>
    </row>
    <row r="11" spans="1:20" x14ac:dyDescent="0.25">
      <c r="A11" s="3">
        <v>45561</v>
      </c>
    </row>
    <row r="12" spans="1:20" x14ac:dyDescent="0.25">
      <c r="A12" s="3">
        <v>45561</v>
      </c>
    </row>
    <row r="13" spans="1:20" x14ac:dyDescent="0.25">
      <c r="A13" s="3">
        <v>45561</v>
      </c>
    </row>
    <row r="14" spans="1:20" x14ac:dyDescent="0.25">
      <c r="A14" s="3">
        <v>45562</v>
      </c>
    </row>
    <row r="15" spans="1:20" x14ac:dyDescent="0.25">
      <c r="A15" s="3">
        <v>45562</v>
      </c>
    </row>
    <row r="16" spans="1:20" x14ac:dyDescent="0.25">
      <c r="A16" s="3">
        <v>45562</v>
      </c>
    </row>
    <row r="17" spans="1:1" x14ac:dyDescent="0.25">
      <c r="A17" s="3">
        <v>45563</v>
      </c>
    </row>
    <row r="18" spans="1:1" x14ac:dyDescent="0.25">
      <c r="A18" s="3">
        <v>45563</v>
      </c>
    </row>
    <row r="19" spans="1:1" x14ac:dyDescent="0.25">
      <c r="A19" s="3">
        <v>45563</v>
      </c>
    </row>
    <row r="20" spans="1:1" x14ac:dyDescent="0.25">
      <c r="A20" s="3">
        <v>45564</v>
      </c>
    </row>
    <row r="21" spans="1:1" x14ac:dyDescent="0.25">
      <c r="A21" s="3">
        <v>45564</v>
      </c>
    </row>
    <row r="22" spans="1:1" x14ac:dyDescent="0.25">
      <c r="A22" s="3">
        <v>45564</v>
      </c>
    </row>
    <row r="23" spans="1:1" x14ac:dyDescent="0.25">
      <c r="A23" s="3">
        <v>45565</v>
      </c>
    </row>
    <row r="24" spans="1:1" x14ac:dyDescent="0.25">
      <c r="A24" s="3">
        <v>45565</v>
      </c>
    </row>
    <row r="25" spans="1:1" x14ac:dyDescent="0.25">
      <c r="A25" s="3">
        <v>45565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B874-79B9-4736-9F0D-009B3F688C79}">
  <dimension ref="A3:C10"/>
  <sheetViews>
    <sheetView workbookViewId="0">
      <selection activeCell="B3" sqref="B3"/>
    </sheetView>
  </sheetViews>
  <sheetFormatPr baseColWidth="10" defaultRowHeight="14.3" x14ac:dyDescent="0.25"/>
  <cols>
    <col min="1" max="1" width="18.375" customWidth="1"/>
    <col min="2" max="2" width="11.625" bestFit="1" customWidth="1"/>
  </cols>
  <sheetData>
    <row r="3" spans="1:3" x14ac:dyDescent="0.25">
      <c r="A3" t="s">
        <v>1</v>
      </c>
      <c r="B3" t="e">
        <f>+#REF!-#REF!</f>
        <v>#REF!</v>
      </c>
    </row>
    <row r="4" spans="1:3" x14ac:dyDescent="0.25">
      <c r="A4" t="s">
        <v>2</v>
      </c>
      <c r="B4" t="e">
        <f>+#REF!-#REF!</f>
        <v>#REF!</v>
      </c>
    </row>
    <row r="5" spans="1:3" x14ac:dyDescent="0.25">
      <c r="A5" t="s">
        <v>3</v>
      </c>
      <c r="B5" t="e">
        <f>+#REF!-#REF!</f>
        <v>#REF!</v>
      </c>
    </row>
    <row r="8" spans="1:3" x14ac:dyDescent="0.25">
      <c r="A8" t="s">
        <v>4</v>
      </c>
      <c r="B8" s="1">
        <v>2498</v>
      </c>
      <c r="C8">
        <v>1.32</v>
      </c>
    </row>
    <row r="9" spans="1:3" x14ac:dyDescent="0.25">
      <c r="A9" t="s">
        <v>5</v>
      </c>
      <c r="B9" s="1">
        <v>23.8</v>
      </c>
      <c r="C9">
        <v>2.5</v>
      </c>
    </row>
    <row r="10" spans="1:3" x14ac:dyDescent="0.25">
      <c r="A10" t="s">
        <v>6</v>
      </c>
      <c r="B10" s="1">
        <v>2800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Gráfica</vt:lpstr>
      <vt:lpstr>Base de datos</vt:lpstr>
      <vt:lpstr>Desglose químico</vt:lpstr>
      <vt:lpstr>Pedido Química</vt:lpstr>
      <vt:lpstr>CHARACTERIZATION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Fernando Montaño Gomez</dc:creator>
  <cp:lastModifiedBy>Andrea Milena Landinez Ramirez</cp:lastModifiedBy>
  <dcterms:created xsi:type="dcterms:W3CDTF">2024-08-06T17:12:52Z</dcterms:created>
  <dcterms:modified xsi:type="dcterms:W3CDTF">2026-02-06T13:19:37Z</dcterms:modified>
</cp:coreProperties>
</file>