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ml.chartshape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0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1.xml" ContentType="application/vnd.openxmlformats-officedocument.drawingml.chartshape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2.xml" ContentType="application/vnd.openxmlformats-officedocument.drawingml.chartshape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4.xml" ContentType="application/vnd.openxmlformats-officedocument.drawingml.chartshapes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5.xml" ContentType="application/vnd.openxmlformats-officedocument.drawingml.chartshapes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6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7.xml" ContentType="application/vnd.openxmlformats-officedocument.drawingml.chartshapes+xml"/>
  <Override PartName="/xl/drawings/drawing18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9.xml" ContentType="application/vnd.openxmlformats-officedocument.drawingml.chartshapes+xml"/>
  <Override PartName="/xl/drawings/drawing20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1.xml" ContentType="application/vnd.openxmlformats-officedocument.drawingml.chartshapes+xml"/>
  <Override PartName="/xl/drawings/drawing22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3.xml" ContentType="application/vnd.openxmlformats-officedocument.drawingml.chartshapes+xml"/>
  <Override PartName="/xl/drawings/drawing24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5.xml" ContentType="application/vnd.openxmlformats-officedocument.drawingml.chartshapes+xml"/>
  <Override PartName="/xl/drawings/drawing26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2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26\BALANCES 2026\BALANCE ECONÓMICO\Lodos\"/>
    </mc:Choice>
  </mc:AlternateContent>
  <xr:revisionPtr revIDLastSave="0" documentId="13_ncr:1_{DBDE484D-90AF-40E8-B13F-B4C8B697592E}" xr6:coauthVersionLast="47" xr6:coauthVersionMax="47" xr10:uidLastSave="{00000000-0000-0000-0000-000000000000}"/>
  <bookViews>
    <workbookView xWindow="-26192" yWindow="-109" windowWidth="26301" windowHeight="14169" tabRatio="587" firstSheet="8" activeTab="12" xr2:uid="{6D90762C-4E1A-4DBE-B6D4-04D908162F33}"/>
  </bookViews>
  <sheets>
    <sheet name="CODIGO (2)" sheetId="22" r:id="rId1"/>
    <sheet name="Balance Agua Trata Vs Lodo Gene" sheetId="6" r:id="rId2"/>
    <sheet name="Costo Disposición Lodos - PTAR" sheetId="4" r:id="rId3"/>
    <sheet name="Disposición Lodos Díario- PTAR" sheetId="7" r:id="rId4"/>
    <sheet name="consolidado diario" sheetId="8" state="hidden" r:id="rId5"/>
    <sheet name="consolidado diario (2)" sheetId="9" state="hidden" r:id="rId6"/>
    <sheet name="consolidado diario (5)" sheetId="12" state="hidden" r:id="rId7"/>
    <sheet name="consolidado diario (3)" sheetId="10" state="hidden" r:id="rId8"/>
    <sheet name="ENERO" sheetId="28" r:id="rId9"/>
    <sheet name="FEBRERO" sheetId="30" r:id="rId10"/>
    <sheet name="MARZO" sheetId="31" r:id="rId11"/>
    <sheet name="ABRIL" sheetId="32" r:id="rId12"/>
    <sheet name="MAYO" sheetId="33" r:id="rId13"/>
    <sheet name="Hoja1" sheetId="26" r:id="rId14"/>
    <sheet name="Hoja2" sheetId="29" r:id="rId15"/>
  </sheets>
  <externalReferences>
    <externalReference r:id="rId16"/>
  </externalReferences>
  <definedNames>
    <definedName name="_xlnm._FilterDatabase" localSheetId="2" hidden="1">'Costo Disposición Lodos - PTAR'!$K$1:$Q$1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33" l="1"/>
  <c r="G9" i="33"/>
  <c r="G10" i="33"/>
  <c r="G11" i="33"/>
  <c r="G12" i="33"/>
  <c r="E8" i="33"/>
  <c r="E9" i="33"/>
  <c r="E10" i="33"/>
  <c r="E11" i="33"/>
  <c r="E12" i="33"/>
  <c r="C8" i="33"/>
  <c r="C9" i="33"/>
  <c r="C10" i="33"/>
  <c r="C11" i="33"/>
  <c r="C12" i="33"/>
  <c r="K8" i="33"/>
  <c r="L8" i="33"/>
  <c r="M8" i="33"/>
  <c r="Q8" i="33"/>
  <c r="K9" i="33"/>
  <c r="L9" i="33"/>
  <c r="M9" i="33"/>
  <c r="P9" i="33"/>
  <c r="Q9" i="33"/>
  <c r="K10" i="33"/>
  <c r="L10" i="33"/>
  <c r="M10" i="33"/>
  <c r="P10" i="33"/>
  <c r="Q10" i="33"/>
  <c r="K11" i="33"/>
  <c r="L11" i="33"/>
  <c r="M11" i="33"/>
  <c r="P11" i="33"/>
  <c r="Q11" i="33"/>
  <c r="K12" i="33"/>
  <c r="L12" i="33"/>
  <c r="M12" i="33"/>
  <c r="P12" i="33"/>
  <c r="Q12" i="33"/>
  <c r="AE30" i="33"/>
  <c r="R28" i="33"/>
  <c r="O28" i="33"/>
  <c r="N28" i="33"/>
  <c r="J28" i="33"/>
  <c r="Y30" i="33" s="1"/>
  <c r="I28" i="33"/>
  <c r="H28" i="33"/>
  <c r="V30" i="33" s="1"/>
  <c r="F28" i="33"/>
  <c r="D28" i="33"/>
  <c r="B26" i="33"/>
  <c r="B25" i="33"/>
  <c r="B24" i="33"/>
  <c r="B23" i="33"/>
  <c r="B22" i="33"/>
  <c r="B21" i="33"/>
  <c r="B20" i="33"/>
  <c r="B19" i="33"/>
  <c r="B18" i="33"/>
  <c r="B17" i="33"/>
  <c r="B16" i="33"/>
  <c r="B15" i="33"/>
  <c r="B14" i="33"/>
  <c r="B13" i="33"/>
  <c r="B12" i="33"/>
  <c r="B11" i="33"/>
  <c r="B10" i="33"/>
  <c r="B9" i="33"/>
  <c r="B8" i="33"/>
  <c r="K7" i="33"/>
  <c r="L7" i="33" s="1"/>
  <c r="M7" i="33" s="1"/>
  <c r="E7" i="33"/>
  <c r="G7" i="33" s="1"/>
  <c r="P7" i="33" s="1"/>
  <c r="C7" i="33"/>
  <c r="B7" i="33"/>
  <c r="K6" i="33"/>
  <c r="L6" i="33" s="1"/>
  <c r="C6" i="33"/>
  <c r="E6" i="33" s="1"/>
  <c r="G6" i="33" s="1"/>
  <c r="P6" i="33" s="1"/>
  <c r="B6" i="33"/>
  <c r="K5" i="33"/>
  <c r="L5" i="33" s="1"/>
  <c r="C5" i="33"/>
  <c r="E5" i="33" s="1"/>
  <c r="G5" i="33" s="1"/>
  <c r="P5" i="33" s="1"/>
  <c r="B5" i="33"/>
  <c r="K4" i="33"/>
  <c r="L4" i="33" s="1"/>
  <c r="M4" i="33" s="1"/>
  <c r="C4" i="33"/>
  <c r="E4" i="33" s="1"/>
  <c r="G4" i="33" s="1"/>
  <c r="P4" i="33" s="1"/>
  <c r="B4" i="33"/>
  <c r="K3" i="33"/>
  <c r="L3" i="33" s="1"/>
  <c r="M3" i="33" s="1"/>
  <c r="C3" i="33"/>
  <c r="E3" i="33" s="1"/>
  <c r="G3" i="33" s="1"/>
  <c r="P3" i="33" s="1"/>
  <c r="B3" i="33"/>
  <c r="K2" i="33"/>
  <c r="E2" i="33"/>
  <c r="B2" i="33"/>
  <c r="P8" i="33" l="1"/>
  <c r="K28" i="33"/>
  <c r="X30" i="33" s="1"/>
  <c r="Z30" i="33" s="1"/>
  <c r="AA30" i="33" s="1"/>
  <c r="E28" i="33"/>
  <c r="G2" i="33"/>
  <c r="P2" i="33" s="1"/>
  <c r="P28" i="33" s="1"/>
  <c r="C28" i="33"/>
  <c r="Q3" i="33"/>
  <c r="Q5" i="33"/>
  <c r="Q4" i="33"/>
  <c r="Q6" i="33"/>
  <c r="M6" i="33"/>
  <c r="L2" i="33"/>
  <c r="Q7" i="33"/>
  <c r="M5" i="33"/>
  <c r="G28" i="33" l="1"/>
  <c r="T30" i="33" s="1"/>
  <c r="AC30" i="33" s="1"/>
  <c r="Q2" i="33"/>
  <c r="Q28" i="33" s="1"/>
  <c r="M2" i="33"/>
  <c r="M28" i="33" s="1"/>
  <c r="L28" i="33"/>
  <c r="AB30" i="33" l="1"/>
  <c r="L52" i="7" l="1"/>
  <c r="M52" i="7" s="1"/>
  <c r="L53" i="7"/>
  <c r="M53" i="7" s="1"/>
  <c r="L54" i="7"/>
  <c r="M54" i="7" s="1"/>
  <c r="L55" i="7"/>
  <c r="M55" i="7"/>
  <c r="L56" i="7"/>
  <c r="M56" i="7" s="1"/>
  <c r="L57" i="7"/>
  <c r="M57" i="7" s="1"/>
  <c r="L58" i="7"/>
  <c r="M58" i="7"/>
  <c r="L59" i="7"/>
  <c r="M59" i="7"/>
  <c r="C6" i="32"/>
  <c r="E6" i="32" s="1"/>
  <c r="G6" i="32" s="1"/>
  <c r="P6" i="32" s="1"/>
  <c r="C7" i="32"/>
  <c r="E7" i="32" s="1"/>
  <c r="G7" i="32" s="1"/>
  <c r="P7" i="32" s="1"/>
  <c r="AE33" i="32"/>
  <c r="R31" i="32"/>
  <c r="O31" i="32"/>
  <c r="N31" i="32"/>
  <c r="J31" i="32"/>
  <c r="Y33" i="32" s="1"/>
  <c r="I31" i="32"/>
  <c r="H31" i="32"/>
  <c r="V33" i="32" s="1"/>
  <c r="F31" i="32"/>
  <c r="D31" i="32"/>
  <c r="B29" i="32"/>
  <c r="B28" i="32"/>
  <c r="B27" i="32"/>
  <c r="B26" i="32"/>
  <c r="B25" i="32"/>
  <c r="B24" i="32"/>
  <c r="B23" i="32"/>
  <c r="B22" i="32"/>
  <c r="B21" i="32"/>
  <c r="B20" i="32"/>
  <c r="B19" i="32"/>
  <c r="B18" i="32"/>
  <c r="B17" i="32"/>
  <c r="B16" i="32"/>
  <c r="B15" i="32"/>
  <c r="B14" i="32"/>
  <c r="B13" i="32"/>
  <c r="B12" i="32"/>
  <c r="B11" i="32"/>
  <c r="K7" i="32"/>
  <c r="L7" i="32" s="1"/>
  <c r="M7" i="32" s="1"/>
  <c r="B7" i="32"/>
  <c r="K6" i="32"/>
  <c r="L6" i="32" s="1"/>
  <c r="B6" i="32"/>
  <c r="K5" i="32"/>
  <c r="L5" i="32" s="1"/>
  <c r="C5" i="32"/>
  <c r="E5" i="32" s="1"/>
  <c r="G5" i="32" s="1"/>
  <c r="P5" i="32" s="1"/>
  <c r="B5" i="32"/>
  <c r="K4" i="32"/>
  <c r="L4" i="32" s="1"/>
  <c r="E4" i="32"/>
  <c r="G4" i="32" s="1"/>
  <c r="P4" i="32" s="1"/>
  <c r="C4" i="32"/>
  <c r="B4" i="32"/>
  <c r="K3" i="32"/>
  <c r="L3" i="32" s="1"/>
  <c r="C3" i="32"/>
  <c r="B3" i="32"/>
  <c r="K2" i="32"/>
  <c r="E2" i="32"/>
  <c r="G2" i="32" s="1"/>
  <c r="B2" i="32"/>
  <c r="L41" i="7"/>
  <c r="M41" i="7" s="1"/>
  <c r="L42" i="7"/>
  <c r="M42" i="7" s="1"/>
  <c r="L43" i="7"/>
  <c r="M43" i="7" s="1"/>
  <c r="L44" i="7"/>
  <c r="M44" i="7" s="1"/>
  <c r="L45" i="7"/>
  <c r="M45" i="7" s="1"/>
  <c r="L46" i="7"/>
  <c r="M46" i="7" s="1"/>
  <c r="L47" i="7"/>
  <c r="M47" i="7" s="1"/>
  <c r="L48" i="7"/>
  <c r="M48" i="7" s="1"/>
  <c r="L49" i="7"/>
  <c r="M49" i="7" s="1"/>
  <c r="L50" i="7"/>
  <c r="M50" i="7" s="1"/>
  <c r="L51" i="7"/>
  <c r="M51" i="7" s="1"/>
  <c r="H31" i="31"/>
  <c r="X33" i="31"/>
  <c r="C31" i="32" l="1"/>
  <c r="K31" i="32"/>
  <c r="X33" i="32" s="1"/>
  <c r="Z33" i="32" s="1"/>
  <c r="AA33" i="32" s="1"/>
  <c r="Q5" i="32"/>
  <c r="M5" i="32"/>
  <c r="Q4" i="32"/>
  <c r="M4" i="32"/>
  <c r="P2" i="32"/>
  <c r="Q6" i="32"/>
  <c r="M6" i="32"/>
  <c r="M3" i="32"/>
  <c r="L2" i="32"/>
  <c r="Q7" i="32"/>
  <c r="E3" i="32"/>
  <c r="G3" i="32" s="1"/>
  <c r="P3" i="32" s="1"/>
  <c r="K10" i="31"/>
  <c r="L10" i="31" s="1"/>
  <c r="K9" i="31"/>
  <c r="L9" i="31" s="1"/>
  <c r="K8" i="31"/>
  <c r="L8" i="31" s="1"/>
  <c r="E31" i="32" l="1"/>
  <c r="G31" i="32"/>
  <c r="T33" i="32" s="1"/>
  <c r="Q2" i="32"/>
  <c r="L31" i="32"/>
  <c r="M2" i="32"/>
  <c r="M31" i="32" s="1"/>
  <c r="P31" i="32"/>
  <c r="Q3" i="32"/>
  <c r="M8" i="31"/>
  <c r="M9" i="31"/>
  <c r="Q9" i="31"/>
  <c r="Q10" i="31"/>
  <c r="M10" i="31"/>
  <c r="C8" i="31"/>
  <c r="E8" i="31" s="1"/>
  <c r="G8" i="31" s="1"/>
  <c r="C9" i="31"/>
  <c r="E9" i="31" s="1"/>
  <c r="G9" i="31" s="1"/>
  <c r="P9" i="31" s="1"/>
  <c r="C10" i="31"/>
  <c r="E10" i="31" s="1"/>
  <c r="G10" i="31" s="1"/>
  <c r="P10" i="31" s="1"/>
  <c r="B2" i="31"/>
  <c r="B3" i="31"/>
  <c r="B4" i="31"/>
  <c r="B5" i="31"/>
  <c r="B6" i="31"/>
  <c r="B7" i="31"/>
  <c r="M40" i="7"/>
  <c r="M36" i="7"/>
  <c r="M24" i="7"/>
  <c r="L40" i="7"/>
  <c r="L39" i="7"/>
  <c r="M39" i="7" s="1"/>
  <c r="L38" i="7"/>
  <c r="M38" i="7" s="1"/>
  <c r="L37" i="7"/>
  <c r="M37" i="7" s="1"/>
  <c r="L36" i="7"/>
  <c r="L35" i="7"/>
  <c r="M35" i="7" s="1"/>
  <c r="L34" i="7"/>
  <c r="M34" i="7" s="1"/>
  <c r="L33" i="7"/>
  <c r="M33" i="7" s="1"/>
  <c r="L32" i="7"/>
  <c r="M32" i="7" s="1"/>
  <c r="L31" i="7"/>
  <c r="M31" i="7" s="1"/>
  <c r="L30" i="7"/>
  <c r="M30" i="7" s="1"/>
  <c r="L29" i="7"/>
  <c r="M29" i="7" s="1"/>
  <c r="L28" i="7"/>
  <c r="M28" i="7" s="1"/>
  <c r="L27" i="7"/>
  <c r="M27" i="7" s="1"/>
  <c r="L26" i="7"/>
  <c r="M26" i="7" s="1"/>
  <c r="L25" i="7"/>
  <c r="M25" i="7" s="1"/>
  <c r="L24" i="7"/>
  <c r="L23" i="7"/>
  <c r="M23" i="7" s="1"/>
  <c r="L22" i="7"/>
  <c r="M22" i="7" s="1"/>
  <c r="AE33" i="31"/>
  <c r="R31" i="31"/>
  <c r="N31" i="31"/>
  <c r="J31" i="31"/>
  <c r="Y33" i="31" s="1"/>
  <c r="I31" i="31"/>
  <c r="V33" i="31"/>
  <c r="F31" i="31"/>
  <c r="B29" i="31"/>
  <c r="B28" i="31"/>
  <c r="B27" i="31"/>
  <c r="B26" i="31"/>
  <c r="B25" i="31"/>
  <c r="B24" i="31"/>
  <c r="B23" i="31"/>
  <c r="B22" i="31"/>
  <c r="B21" i="31"/>
  <c r="B20" i="31"/>
  <c r="B19" i="31"/>
  <c r="B18" i="31"/>
  <c r="B17" i="31"/>
  <c r="B16" i="31"/>
  <c r="B15" i="31"/>
  <c r="B14" i="31"/>
  <c r="B13" i="31"/>
  <c r="B12" i="31"/>
  <c r="B11" i="31"/>
  <c r="B10" i="31"/>
  <c r="B9" i="31"/>
  <c r="B8" i="31"/>
  <c r="K7" i="31"/>
  <c r="L7" i="31" s="1"/>
  <c r="M7" i="31" s="1"/>
  <c r="K6" i="31"/>
  <c r="L6" i="31" s="1"/>
  <c r="K5" i="31"/>
  <c r="L5" i="31" s="1"/>
  <c r="M5" i="31" s="1"/>
  <c r="C7" i="31"/>
  <c r="C5" i="31"/>
  <c r="K4" i="31"/>
  <c r="L4" i="31" s="1"/>
  <c r="C4" i="31"/>
  <c r="E4" i="31" s="1"/>
  <c r="G4" i="31" s="1"/>
  <c r="K3" i="31"/>
  <c r="L3" i="31" s="1"/>
  <c r="C3" i="31"/>
  <c r="K2" i="31"/>
  <c r="E2" i="31"/>
  <c r="G2" i="31" s="1"/>
  <c r="P2" i="31" s="1"/>
  <c r="F35" i="28"/>
  <c r="Q31" i="32" l="1"/>
  <c r="AC33" i="32"/>
  <c r="AB33" i="32"/>
  <c r="P8" i="31"/>
  <c r="Q8" i="31"/>
  <c r="M6" i="31"/>
  <c r="M4" i="31"/>
  <c r="K31" i="31"/>
  <c r="Z33" i="31" s="1"/>
  <c r="L2" i="31"/>
  <c r="Q2" i="31" s="1"/>
  <c r="M3" i="31"/>
  <c r="Q4" i="31"/>
  <c r="P4" i="31"/>
  <c r="D31" i="31"/>
  <c r="E5" i="31"/>
  <c r="G5" i="31" s="1"/>
  <c r="P5" i="31" s="1"/>
  <c r="E3" i="31"/>
  <c r="G3" i="31" s="1"/>
  <c r="P3" i="31" s="1"/>
  <c r="C6" i="31"/>
  <c r="L31" i="31"/>
  <c r="AA43" i="28"/>
  <c r="Z43" i="28"/>
  <c r="X43" i="28"/>
  <c r="M2" i="31" l="1"/>
  <c r="Q5" i="31"/>
  <c r="O31" i="31"/>
  <c r="M31" i="31"/>
  <c r="AA33" i="31"/>
  <c r="Q3" i="31"/>
  <c r="E6" i="31"/>
  <c r="G6" i="31" s="1"/>
  <c r="E7" i="31"/>
  <c r="G7" i="31" s="1"/>
  <c r="G31" i="31" s="1"/>
  <c r="AG43" i="28"/>
  <c r="AB43" i="28"/>
  <c r="AG35" i="30"/>
  <c r="E31" i="31" l="1"/>
  <c r="Q6" i="31"/>
  <c r="P6" i="31"/>
  <c r="T33" i="31"/>
  <c r="P7" i="31"/>
  <c r="Q7" i="31"/>
  <c r="C31" i="31"/>
  <c r="AE43" i="28"/>
  <c r="AD43" i="28"/>
  <c r="AC43" i="28"/>
  <c r="Q31" i="31" l="1"/>
  <c r="P31" i="31"/>
  <c r="AC33" i="31"/>
  <c r="AB33" i="31"/>
  <c r="D12" i="30"/>
  <c r="C13" i="30" s="1"/>
  <c r="D9" i="30"/>
  <c r="C10" i="30" s="1"/>
  <c r="D5" i="30"/>
  <c r="D6" i="30" s="1"/>
  <c r="D7" i="30" s="1"/>
  <c r="S33" i="30"/>
  <c r="R33" i="30"/>
  <c r="N33" i="30"/>
  <c r="J33" i="30"/>
  <c r="AA35" i="30" s="1"/>
  <c r="I33" i="30"/>
  <c r="H33" i="30"/>
  <c r="X35" i="30" s="1"/>
  <c r="F33" i="30"/>
  <c r="B31" i="30"/>
  <c r="B30" i="30"/>
  <c r="B29" i="30"/>
  <c r="B28" i="30"/>
  <c r="B27" i="30"/>
  <c r="B26" i="30"/>
  <c r="B25" i="30"/>
  <c r="B24" i="30"/>
  <c r="B23" i="30"/>
  <c r="B22" i="30"/>
  <c r="B21" i="30"/>
  <c r="B20" i="30"/>
  <c r="B19" i="30"/>
  <c r="K18" i="30"/>
  <c r="L18" i="30" s="1"/>
  <c r="C18" i="30"/>
  <c r="E18" i="30" s="1"/>
  <c r="G18" i="30" s="1"/>
  <c r="P18" i="30" s="1"/>
  <c r="B18" i="30"/>
  <c r="K17" i="30"/>
  <c r="L17" i="30" s="1"/>
  <c r="T17" i="30" s="1"/>
  <c r="C17" i="30"/>
  <c r="E17" i="30" s="1"/>
  <c r="G17" i="30" s="1"/>
  <c r="P17" i="30" s="1"/>
  <c r="B17" i="30"/>
  <c r="K16" i="30"/>
  <c r="L16" i="30" s="1"/>
  <c r="C16" i="30"/>
  <c r="E16" i="30" s="1"/>
  <c r="G16" i="30" s="1"/>
  <c r="P16" i="30" s="1"/>
  <c r="B16" i="30"/>
  <c r="K15" i="30"/>
  <c r="L15" i="30" s="1"/>
  <c r="B15" i="30"/>
  <c r="K14" i="30"/>
  <c r="L14" i="30" s="1"/>
  <c r="B14" i="30"/>
  <c r="K13" i="30"/>
  <c r="L13" i="30" s="1"/>
  <c r="M13" i="30" s="1"/>
  <c r="B13" i="30"/>
  <c r="K12" i="30"/>
  <c r="L12" i="30" s="1"/>
  <c r="C12" i="30"/>
  <c r="B12" i="30"/>
  <c r="K11" i="30"/>
  <c r="L11" i="30" s="1"/>
  <c r="B11" i="30"/>
  <c r="K10" i="30"/>
  <c r="L10" i="30" s="1"/>
  <c r="B10" i="30"/>
  <c r="K9" i="30"/>
  <c r="L9" i="30" s="1"/>
  <c r="C9" i="30"/>
  <c r="B9" i="30"/>
  <c r="K8" i="30"/>
  <c r="L8" i="30" s="1"/>
  <c r="B8" i="30"/>
  <c r="K7" i="30"/>
  <c r="L7" i="30" s="1"/>
  <c r="B7" i="30"/>
  <c r="K6" i="30"/>
  <c r="L6" i="30" s="1"/>
  <c r="T6" i="30" s="1"/>
  <c r="C6" i="30"/>
  <c r="B6" i="30"/>
  <c r="K5" i="30"/>
  <c r="L5" i="30" s="1"/>
  <c r="C5" i="30"/>
  <c r="E5" i="30" s="1"/>
  <c r="G5" i="30" s="1"/>
  <c r="B5" i="30"/>
  <c r="O4" i="30"/>
  <c r="O5" i="30" s="1"/>
  <c r="K4" i="30"/>
  <c r="L4" i="30" s="1"/>
  <c r="C4" i="30"/>
  <c r="E4" i="30" s="1"/>
  <c r="G4" i="30" s="1"/>
  <c r="P4" i="30" s="1"/>
  <c r="B4" i="30"/>
  <c r="K3" i="30"/>
  <c r="L3" i="30" s="1"/>
  <c r="M3" i="30" s="1"/>
  <c r="C3" i="30"/>
  <c r="E3" i="30" s="1"/>
  <c r="G3" i="30" s="1"/>
  <c r="P3" i="30" s="1"/>
  <c r="B3" i="30"/>
  <c r="K2" i="30"/>
  <c r="L2" i="30" s="1"/>
  <c r="E2" i="30"/>
  <c r="B2" i="30"/>
  <c r="H35" i="28"/>
  <c r="L5" i="7"/>
  <c r="M5" i="7" s="1"/>
  <c r="L6" i="7"/>
  <c r="M6" i="7" s="1"/>
  <c r="L7" i="7"/>
  <c r="M7" i="7" s="1"/>
  <c r="L12" i="7"/>
  <c r="M12" i="7" s="1"/>
  <c r="L13" i="7"/>
  <c r="M13" i="7" s="1"/>
  <c r="L14" i="7"/>
  <c r="M14" i="7" s="1"/>
  <c r="L15" i="7"/>
  <c r="M15" i="7" s="1"/>
  <c r="L20" i="7"/>
  <c r="M20" i="7" s="1"/>
  <c r="L21" i="7"/>
  <c r="M21" i="7" s="1"/>
  <c r="L2" i="7"/>
  <c r="M2" i="7" s="1"/>
  <c r="L3" i="7"/>
  <c r="M3" i="7" s="1"/>
  <c r="L4" i="7"/>
  <c r="M4" i="7" s="1"/>
  <c r="L8" i="7"/>
  <c r="M8" i="7" s="1"/>
  <c r="L9" i="7"/>
  <c r="M9" i="7" s="1"/>
  <c r="L10" i="7"/>
  <c r="M10" i="7" s="1"/>
  <c r="L11" i="7"/>
  <c r="M11" i="7" s="1"/>
  <c r="L16" i="7"/>
  <c r="M16" i="7" s="1"/>
  <c r="L17" i="7"/>
  <c r="M17" i="7" s="1"/>
  <c r="L18" i="7"/>
  <c r="M18" i="7" s="1"/>
  <c r="L19" i="7"/>
  <c r="M19" i="7" s="1"/>
  <c r="S35" i="28"/>
  <c r="T14" i="28"/>
  <c r="K10" i="28"/>
  <c r="L10" i="28" s="1"/>
  <c r="M10" i="28" s="1"/>
  <c r="K11" i="28"/>
  <c r="L11" i="28" s="1"/>
  <c r="K12" i="28"/>
  <c r="L12" i="28"/>
  <c r="M12" i="28" s="1"/>
  <c r="K13" i="28"/>
  <c r="L13" i="28" s="1"/>
  <c r="K14" i="28"/>
  <c r="L14" i="28" s="1"/>
  <c r="M14" i="28" s="1"/>
  <c r="K15" i="28"/>
  <c r="L15" i="28" s="1"/>
  <c r="K16" i="28"/>
  <c r="L16" i="28" s="1"/>
  <c r="M16" i="28" s="1"/>
  <c r="K17" i="28"/>
  <c r="L17" i="28" s="1"/>
  <c r="M17" i="28" s="1"/>
  <c r="K18" i="28"/>
  <c r="L18" i="28" s="1"/>
  <c r="M18" i="28" s="1"/>
  <c r="K19" i="28"/>
  <c r="L19" i="28"/>
  <c r="M19" i="28" s="1"/>
  <c r="K20" i="28"/>
  <c r="L20" i="28"/>
  <c r="T20" i="28" s="1"/>
  <c r="C20" i="28"/>
  <c r="E20" i="28" s="1"/>
  <c r="G20" i="28" s="1"/>
  <c r="E15" i="28"/>
  <c r="G15" i="28" s="1"/>
  <c r="P15" i="28" s="1"/>
  <c r="E14" i="28"/>
  <c r="G14" i="28" s="1"/>
  <c r="P14" i="28" s="1"/>
  <c r="C10" i="28"/>
  <c r="E10" i="28" s="1"/>
  <c r="G10" i="28" s="1"/>
  <c r="P10" i="28" s="1"/>
  <c r="C11" i="28"/>
  <c r="E11" i="28" s="1"/>
  <c r="G11" i="28" s="1"/>
  <c r="P11" i="28" s="1"/>
  <c r="C12" i="28"/>
  <c r="E12" i="28" s="1"/>
  <c r="G12" i="28" s="1"/>
  <c r="P12" i="28" s="1"/>
  <c r="C13" i="28"/>
  <c r="E13" i="28" s="1"/>
  <c r="G13" i="28" s="1"/>
  <c r="P13" i="28" s="1"/>
  <c r="C14" i="28"/>
  <c r="C15" i="28"/>
  <c r="C16" i="28"/>
  <c r="E16" i="28" s="1"/>
  <c r="G16" i="28" s="1"/>
  <c r="P16" i="28" s="1"/>
  <c r="C17" i="28"/>
  <c r="E17" i="28" s="1"/>
  <c r="G17" i="28" s="1"/>
  <c r="P17" i="28" s="1"/>
  <c r="C18" i="28"/>
  <c r="E18" i="28" s="1"/>
  <c r="G18" i="28" s="1"/>
  <c r="P18" i="28" s="1"/>
  <c r="C19" i="28"/>
  <c r="E19" i="28" s="1"/>
  <c r="G19" i="28" s="1"/>
  <c r="P19" i="28" s="1"/>
  <c r="L80" i="26"/>
  <c r="L81" i="26"/>
  <c r="L82" i="26"/>
  <c r="L83" i="26"/>
  <c r="L84" i="26"/>
  <c r="L85" i="26"/>
  <c r="L86" i="26"/>
  <c r="L87" i="26"/>
  <c r="L88" i="26"/>
  <c r="L89" i="26"/>
  <c r="L90" i="26"/>
  <c r="L79" i="26"/>
  <c r="K80" i="26"/>
  <c r="K81" i="26"/>
  <c r="K82" i="26"/>
  <c r="K83" i="26"/>
  <c r="K84" i="26"/>
  <c r="K85" i="26"/>
  <c r="K86" i="26"/>
  <c r="K87" i="26"/>
  <c r="K88" i="26"/>
  <c r="K89" i="26"/>
  <c r="K90" i="26"/>
  <c r="K79" i="26"/>
  <c r="J80" i="26"/>
  <c r="J81" i="26"/>
  <c r="J82" i="26"/>
  <c r="J83" i="26"/>
  <c r="J84" i="26"/>
  <c r="J85" i="26"/>
  <c r="J86" i="26"/>
  <c r="J87" i="26"/>
  <c r="J88" i="26"/>
  <c r="J89" i="26"/>
  <c r="J90" i="26"/>
  <c r="J79" i="26"/>
  <c r="I80" i="26"/>
  <c r="I81" i="26"/>
  <c r="I82" i="26"/>
  <c r="I83" i="26"/>
  <c r="I84" i="26"/>
  <c r="I85" i="26"/>
  <c r="I86" i="26"/>
  <c r="I87" i="26"/>
  <c r="I88" i="26"/>
  <c r="I89" i="26"/>
  <c r="I90" i="26"/>
  <c r="I79" i="26"/>
  <c r="F91" i="26"/>
  <c r="G91" i="26"/>
  <c r="H91" i="26"/>
  <c r="E91" i="26"/>
  <c r="W37" i="28"/>
  <c r="I35" i="28"/>
  <c r="J35" i="28"/>
  <c r="Y37" i="28" s="1"/>
  <c r="N35" i="28"/>
  <c r="R35" i="28"/>
  <c r="C4" i="28"/>
  <c r="E4" i="28" s="1"/>
  <c r="G4" i="28" s="1"/>
  <c r="P4" i="28" s="1"/>
  <c r="B3" i="28"/>
  <c r="B4" i="28"/>
  <c r="B5" i="28"/>
  <c r="B6" i="28"/>
  <c r="B7" i="28"/>
  <c r="B8" i="28"/>
  <c r="B9" i="28"/>
  <c r="B10" i="28"/>
  <c r="B11" i="28"/>
  <c r="B12" i="28"/>
  <c r="B13" i="28"/>
  <c r="B14" i="28"/>
  <c r="B15" i="28"/>
  <c r="B16" i="28"/>
  <c r="B17" i="28"/>
  <c r="B18" i="28"/>
  <c r="B19" i="28"/>
  <c r="B20" i="28"/>
  <c r="B21" i="28"/>
  <c r="B22" i="28"/>
  <c r="B23" i="28"/>
  <c r="B24" i="28"/>
  <c r="B25" i="28"/>
  <c r="B26" i="28"/>
  <c r="B27" i="28"/>
  <c r="B28" i="28"/>
  <c r="B29" i="28"/>
  <c r="B30" i="28"/>
  <c r="B31" i="28"/>
  <c r="B32" i="28"/>
  <c r="B33" i="28"/>
  <c r="K9" i="28"/>
  <c r="L9" i="28" s="1"/>
  <c r="K8" i="28"/>
  <c r="L8" i="28" s="1"/>
  <c r="T8" i="28" s="1"/>
  <c r="C8" i="28"/>
  <c r="E8" i="28" s="1"/>
  <c r="G8" i="28" s="1"/>
  <c r="P8" i="28" s="1"/>
  <c r="K7" i="28"/>
  <c r="L7" i="28" s="1"/>
  <c r="C7" i="28"/>
  <c r="E7" i="28" s="1"/>
  <c r="G7" i="28" s="1"/>
  <c r="P7" i="28" s="1"/>
  <c r="K6" i="28"/>
  <c r="L6" i="28" s="1"/>
  <c r="C6" i="28"/>
  <c r="E6" i="28" s="1"/>
  <c r="G6" i="28" s="1"/>
  <c r="P6" i="28" s="1"/>
  <c r="K5" i="28"/>
  <c r="L5" i="28" s="1"/>
  <c r="C5" i="28"/>
  <c r="E5" i="28" s="1"/>
  <c r="G5" i="28" s="1"/>
  <c r="P5" i="28" s="1"/>
  <c r="O4" i="28"/>
  <c r="O5" i="28" s="1"/>
  <c r="O7" i="28" s="1"/>
  <c r="O8" i="28" s="1"/>
  <c r="O9" i="28" s="1"/>
  <c r="O10" i="28" s="1"/>
  <c r="O11" i="28" s="1"/>
  <c r="O12" i="28" s="1"/>
  <c r="O13" i="28" s="1"/>
  <c r="O14" i="28" s="1"/>
  <c r="O15" i="28" s="1"/>
  <c r="O16" i="28" s="1"/>
  <c r="O17" i="28" s="1"/>
  <c r="O18" i="28" s="1"/>
  <c r="O19" i="28" s="1"/>
  <c r="O20" i="28" s="1"/>
  <c r="K4" i="28"/>
  <c r="L4" i="28" s="1"/>
  <c r="K3" i="28"/>
  <c r="L3" i="28" s="1"/>
  <c r="C3" i="28"/>
  <c r="K2" i="28"/>
  <c r="E2" i="28"/>
  <c r="B2" i="28"/>
  <c r="M99" i="26"/>
  <c r="D10" i="30" l="1"/>
  <c r="C11" i="30" s="1"/>
  <c r="E11" i="30" s="1"/>
  <c r="G11" i="30" s="1"/>
  <c r="P11" i="30" s="1"/>
  <c r="D13" i="30"/>
  <c r="E12" i="30"/>
  <c r="G12" i="30" s="1"/>
  <c r="P12" i="30" s="1"/>
  <c r="E9" i="30"/>
  <c r="G9" i="30" s="1"/>
  <c r="P9" i="30" s="1"/>
  <c r="C8" i="30"/>
  <c r="E8" i="30" s="1"/>
  <c r="G8" i="30" s="1"/>
  <c r="P8" i="30" s="1"/>
  <c r="C7" i="30"/>
  <c r="E7" i="30" s="1"/>
  <c r="G7" i="30" s="1"/>
  <c r="P7" i="30" s="1"/>
  <c r="E6" i="30"/>
  <c r="G6" i="30" s="1"/>
  <c r="P6" i="30" s="1"/>
  <c r="Q18" i="30"/>
  <c r="T18" i="30"/>
  <c r="M5" i="30"/>
  <c r="T5" i="30"/>
  <c r="M17" i="30"/>
  <c r="M7" i="30"/>
  <c r="T7" i="30"/>
  <c r="Q16" i="30"/>
  <c r="T16" i="30"/>
  <c r="M16" i="30"/>
  <c r="M2" i="30"/>
  <c r="L33" i="30"/>
  <c r="T2" i="30"/>
  <c r="T4" i="30"/>
  <c r="Q4" i="30"/>
  <c r="M4" i="30"/>
  <c r="M10" i="30"/>
  <c r="T10" i="30"/>
  <c r="O7" i="30"/>
  <c r="O8" i="30" s="1"/>
  <c r="O9" i="30" s="1"/>
  <c r="O10" i="30" s="1"/>
  <c r="O11" i="30" s="1"/>
  <c r="O12" i="30" s="1"/>
  <c r="O13" i="30" s="1"/>
  <c r="O14" i="30" s="1"/>
  <c r="O15" i="30" s="1"/>
  <c r="O16" i="30" s="1"/>
  <c r="O17" i="30" s="1"/>
  <c r="O18" i="30" s="1"/>
  <c r="O6" i="30"/>
  <c r="M8" i="30"/>
  <c r="T8" i="30"/>
  <c r="Q5" i="30"/>
  <c r="P5" i="30"/>
  <c r="T11" i="30"/>
  <c r="M11" i="30"/>
  <c r="M15" i="30"/>
  <c r="T15" i="30"/>
  <c r="T12" i="30"/>
  <c r="M12" i="30"/>
  <c r="T14" i="30"/>
  <c r="M14" i="30"/>
  <c r="T9" i="30"/>
  <c r="M9" i="30"/>
  <c r="Q17" i="30"/>
  <c r="M18" i="30"/>
  <c r="T13" i="30"/>
  <c r="Q3" i="30"/>
  <c r="G2" i="30"/>
  <c r="T3" i="30"/>
  <c r="K33" i="30"/>
  <c r="M6" i="30"/>
  <c r="M20" i="28"/>
  <c r="T19" i="28"/>
  <c r="Q14" i="28"/>
  <c r="M13" i="28"/>
  <c r="Q13" i="28"/>
  <c r="T13" i="28"/>
  <c r="P20" i="28"/>
  <c r="Q20" i="28"/>
  <c r="M15" i="28"/>
  <c r="Q15" i="28"/>
  <c r="T15" i="28"/>
  <c r="Q11" i="28"/>
  <c r="M11" i="28"/>
  <c r="T11" i="28"/>
  <c r="T17" i="28"/>
  <c r="Q12" i="28"/>
  <c r="Q17" i="28"/>
  <c r="Q19" i="28"/>
  <c r="T16" i="28"/>
  <c r="Q16" i="28"/>
  <c r="T18" i="28"/>
  <c r="T10" i="28"/>
  <c r="Q18" i="28"/>
  <c r="Q10" i="28"/>
  <c r="T12" i="28"/>
  <c r="D35" i="28"/>
  <c r="E3" i="28"/>
  <c r="G3" i="28" s="1"/>
  <c r="P3" i="28" s="1"/>
  <c r="K35" i="28"/>
  <c r="X37" i="28" s="1"/>
  <c r="Z37" i="28" s="1"/>
  <c r="M9" i="28"/>
  <c r="T9" i="28"/>
  <c r="M4" i="28"/>
  <c r="T4" i="28"/>
  <c r="L2" i="28"/>
  <c r="L35" i="28" s="1"/>
  <c r="M7" i="28"/>
  <c r="T7" i="28"/>
  <c r="Q7" i="28"/>
  <c r="T5" i="28"/>
  <c r="Q5" i="28"/>
  <c r="M5" i="28"/>
  <c r="T6" i="28"/>
  <c r="Q6" i="28"/>
  <c r="M6" i="28"/>
  <c r="T3" i="28"/>
  <c r="M3" i="28"/>
  <c r="Q4" i="28"/>
  <c r="C9" i="28"/>
  <c r="E9" i="28" s="1"/>
  <c r="G9" i="28" s="1"/>
  <c r="P9" i="28" s="1"/>
  <c r="M8" i="28"/>
  <c r="O6" i="28"/>
  <c r="O35" i="28" s="1"/>
  <c r="Q8" i="28"/>
  <c r="G2" i="28"/>
  <c r="F98" i="26"/>
  <c r="G98" i="26"/>
  <c r="H98" i="26"/>
  <c r="E98" i="26"/>
  <c r="Z35" i="30" l="1"/>
  <c r="AB35" i="30" s="1"/>
  <c r="AC35" i="30" s="1"/>
  <c r="Q11" i="30"/>
  <c r="Q6" i="30"/>
  <c r="E10" i="30"/>
  <c r="G10" i="30" s="1"/>
  <c r="P10" i="30" s="1"/>
  <c r="D14" i="30"/>
  <c r="D33" i="30" s="1"/>
  <c r="C14" i="30"/>
  <c r="E13" i="30"/>
  <c r="G13" i="30" s="1"/>
  <c r="Q12" i="30"/>
  <c r="Q10" i="30"/>
  <c r="Q9" i="30"/>
  <c r="Q8" i="30"/>
  <c r="Q7" i="30"/>
  <c r="O33" i="30"/>
  <c r="T33" i="30"/>
  <c r="M33" i="30"/>
  <c r="P2" i="30"/>
  <c r="Q2" i="30"/>
  <c r="Q3" i="28"/>
  <c r="AA37" i="28"/>
  <c r="C35" i="28"/>
  <c r="E35" i="28"/>
  <c r="G35" i="28"/>
  <c r="L98" i="26"/>
  <c r="Q9" i="28"/>
  <c r="T2" i="28"/>
  <c r="T35" i="28" s="1"/>
  <c r="M2" i="28"/>
  <c r="M35" i="28" s="1"/>
  <c r="Q2" i="28"/>
  <c r="P2" i="28"/>
  <c r="P35" i="28" s="1"/>
  <c r="I98" i="26"/>
  <c r="J98" i="26" s="1"/>
  <c r="V37" i="28" l="1"/>
  <c r="AB37" i="28" s="1"/>
  <c r="Q13" i="30"/>
  <c r="P13" i="30"/>
  <c r="E14" i="30"/>
  <c r="C15" i="30"/>
  <c r="Q35" i="28"/>
  <c r="M98" i="26"/>
  <c r="K98" i="26"/>
  <c r="E15" i="30" l="1"/>
  <c r="G15" i="30" s="1"/>
  <c r="C33" i="30"/>
  <c r="G14" i="30"/>
  <c r="K9" i="22"/>
  <c r="L9" i="22" s="1"/>
  <c r="E9" i="22"/>
  <c r="G9" i="22" s="1"/>
  <c r="P9" i="22" s="1"/>
  <c r="K8" i="22"/>
  <c r="L8" i="22" s="1"/>
  <c r="E8" i="22"/>
  <c r="G8" i="22" s="1"/>
  <c r="P8" i="22" s="1"/>
  <c r="K7" i="22"/>
  <c r="L7" i="22" s="1"/>
  <c r="S7" i="22" s="1"/>
  <c r="E7" i="22"/>
  <c r="G7" i="22" s="1"/>
  <c r="P7" i="22" s="1"/>
  <c r="K6" i="22"/>
  <c r="L6" i="22" s="1"/>
  <c r="G6" i="22"/>
  <c r="P6" i="22" s="1"/>
  <c r="E6" i="22"/>
  <c r="O5" i="22"/>
  <c r="O6" i="22" s="1"/>
  <c r="O7" i="22" s="1"/>
  <c r="O8" i="22" s="1"/>
  <c r="O9" i="22" s="1"/>
  <c r="L5" i="22"/>
  <c r="M5" i="22" s="1"/>
  <c r="K5" i="22"/>
  <c r="G5" i="22"/>
  <c r="P5" i="22" s="1"/>
  <c r="E5" i="22"/>
  <c r="O4" i="22"/>
  <c r="K4" i="22"/>
  <c r="L4" i="22" s="1"/>
  <c r="E4" i="22"/>
  <c r="G4" i="22" s="1"/>
  <c r="P4" i="22" s="1"/>
  <c r="K3" i="22"/>
  <c r="L3" i="22" s="1"/>
  <c r="E3" i="22"/>
  <c r="G3" i="22" s="1"/>
  <c r="P3" i="22" s="1"/>
  <c r="K2" i="22"/>
  <c r="L2" i="22" s="1"/>
  <c r="E2" i="22"/>
  <c r="G2" i="22" s="1"/>
  <c r="P2" i="22" s="1"/>
  <c r="K75" i="6"/>
  <c r="G75" i="6"/>
  <c r="R210" i="4"/>
  <c r="Q210" i="4"/>
  <c r="P210" i="4"/>
  <c r="O210" i="4"/>
  <c r="N210" i="4"/>
  <c r="M210" i="4"/>
  <c r="L210" i="4"/>
  <c r="K210" i="4"/>
  <c r="J239" i="4"/>
  <c r="J237" i="4"/>
  <c r="J236" i="4"/>
  <c r="J231" i="4"/>
  <c r="G242" i="4"/>
  <c r="G238" i="4"/>
  <c r="G237" i="4"/>
  <c r="G234" i="4"/>
  <c r="G230" i="4"/>
  <c r="F243" i="4"/>
  <c r="J243" i="4" s="1"/>
  <c r="F242" i="4"/>
  <c r="J242" i="4" s="1"/>
  <c r="F241" i="4"/>
  <c r="G241" i="4" s="1"/>
  <c r="F240" i="4"/>
  <c r="G240" i="4" s="1"/>
  <c r="F239" i="4"/>
  <c r="G239" i="4" s="1"/>
  <c r="F238" i="4"/>
  <c r="J238" i="4" s="1"/>
  <c r="F237" i="4"/>
  <c r="F236" i="4"/>
  <c r="G236" i="4" s="1"/>
  <c r="F235" i="4"/>
  <c r="J235" i="4" s="1"/>
  <c r="F234" i="4"/>
  <c r="J234" i="4" s="1"/>
  <c r="F233" i="4"/>
  <c r="G233" i="4" s="1"/>
  <c r="F232" i="4"/>
  <c r="G232" i="4" s="1"/>
  <c r="F231" i="4"/>
  <c r="G231" i="4" s="1"/>
  <c r="F230" i="4"/>
  <c r="J230" i="4" s="1"/>
  <c r="E33" i="30" l="1"/>
  <c r="P15" i="30"/>
  <c r="Q15" i="30"/>
  <c r="P14" i="30"/>
  <c r="Q14" i="30"/>
  <c r="G33" i="30"/>
  <c r="V35" i="30" s="1"/>
  <c r="S2" i="22"/>
  <c r="M2" i="22"/>
  <c r="Q2" i="22"/>
  <c r="S6" i="22"/>
  <c r="Q6" i="22"/>
  <c r="M6" i="22"/>
  <c r="S3" i="22"/>
  <c r="Q3" i="22"/>
  <c r="M3" i="22"/>
  <c r="Q9" i="22"/>
  <c r="M9" i="22"/>
  <c r="S9" i="22"/>
  <c r="M4" i="22"/>
  <c r="Q4" i="22"/>
  <c r="S4" i="22"/>
  <c r="S8" i="22"/>
  <c r="Q8" i="22"/>
  <c r="M8" i="22"/>
  <c r="Q5" i="22"/>
  <c r="S5" i="22"/>
  <c r="M7" i="22"/>
  <c r="Q7" i="22"/>
  <c r="G235" i="4"/>
  <c r="G243" i="4"/>
  <c r="J240" i="4"/>
  <c r="J232" i="4"/>
  <c r="J233" i="4"/>
  <c r="J241" i="4"/>
  <c r="AE35" i="30" l="1"/>
  <c r="AD35" i="30"/>
  <c r="Q33" i="30"/>
  <c r="P33" i="30"/>
  <c r="J214" i="4"/>
  <c r="G210" i="4"/>
  <c r="G211" i="4"/>
  <c r="G212" i="4"/>
  <c r="G218" i="4"/>
  <c r="G219" i="4"/>
  <c r="G220" i="4"/>
  <c r="G221" i="4"/>
  <c r="G226" i="4"/>
  <c r="G227" i="4"/>
  <c r="G229" i="4"/>
  <c r="F210" i="4"/>
  <c r="J210" i="4" s="1"/>
  <c r="F211" i="4"/>
  <c r="J211" i="4" s="1"/>
  <c r="F212" i="4"/>
  <c r="J212" i="4" s="1"/>
  <c r="F214" i="4"/>
  <c r="G214" i="4" s="1"/>
  <c r="F215" i="4"/>
  <c r="G215" i="4" s="1"/>
  <c r="F216" i="4"/>
  <c r="G216" i="4" s="1"/>
  <c r="F217" i="4"/>
  <c r="G217" i="4" s="1"/>
  <c r="F218" i="4"/>
  <c r="J218" i="4" s="1"/>
  <c r="F219" i="4"/>
  <c r="J219" i="4" s="1"/>
  <c r="F220" i="4"/>
  <c r="J220" i="4" s="1"/>
  <c r="F221" i="4"/>
  <c r="J221" i="4" s="1"/>
  <c r="F222" i="4"/>
  <c r="G222" i="4" s="1"/>
  <c r="F223" i="4"/>
  <c r="G223" i="4" s="1"/>
  <c r="F224" i="4"/>
  <c r="G224" i="4" s="1"/>
  <c r="F225" i="4"/>
  <c r="G225" i="4" s="1"/>
  <c r="F226" i="4"/>
  <c r="J226" i="4" s="1"/>
  <c r="F227" i="4"/>
  <c r="J227" i="4" s="1"/>
  <c r="F229" i="4"/>
  <c r="J229" i="4" s="1"/>
  <c r="J215" i="4" l="1"/>
  <c r="J224" i="4"/>
  <c r="J225" i="4"/>
  <c r="J217" i="4"/>
  <c r="J216" i="4"/>
  <c r="J223" i="4"/>
  <c r="J222" i="4"/>
  <c r="O177" i="4" l="1"/>
  <c r="M177" i="4"/>
  <c r="L177" i="4"/>
  <c r="K177" i="4"/>
  <c r="J183" i="4"/>
  <c r="J184" i="4"/>
  <c r="J191" i="4"/>
  <c r="J192" i="4"/>
  <c r="J199" i="4"/>
  <c r="J200" i="4"/>
  <c r="J207" i="4"/>
  <c r="J208" i="4"/>
  <c r="G180" i="4"/>
  <c r="G183" i="4"/>
  <c r="G188" i="4"/>
  <c r="G191" i="4"/>
  <c r="G196" i="4"/>
  <c r="G199" i="4"/>
  <c r="G204" i="4"/>
  <c r="G207" i="4"/>
  <c r="F177" i="4"/>
  <c r="J177" i="4" s="1"/>
  <c r="F178" i="4"/>
  <c r="J178" i="4" s="1"/>
  <c r="F179" i="4"/>
  <c r="J179" i="4" s="1"/>
  <c r="F180" i="4"/>
  <c r="J180" i="4" s="1"/>
  <c r="F181" i="4"/>
  <c r="J181" i="4" s="1"/>
  <c r="F182" i="4"/>
  <c r="J182" i="4" s="1"/>
  <c r="F183" i="4"/>
  <c r="F184" i="4"/>
  <c r="G184" i="4" s="1"/>
  <c r="F185" i="4"/>
  <c r="J185" i="4" s="1"/>
  <c r="F186" i="4"/>
  <c r="J186" i="4" s="1"/>
  <c r="F187" i="4"/>
  <c r="J187" i="4" s="1"/>
  <c r="F188" i="4"/>
  <c r="J188" i="4" s="1"/>
  <c r="F189" i="4"/>
  <c r="J189" i="4" s="1"/>
  <c r="F190" i="4"/>
  <c r="G190" i="4" s="1"/>
  <c r="F191" i="4"/>
  <c r="F192" i="4"/>
  <c r="G192" i="4" s="1"/>
  <c r="F193" i="4"/>
  <c r="J193" i="4" s="1"/>
  <c r="F194" i="4"/>
  <c r="J194" i="4" s="1"/>
  <c r="F195" i="4"/>
  <c r="J195" i="4" s="1"/>
  <c r="F196" i="4"/>
  <c r="J196" i="4" s="1"/>
  <c r="F197" i="4"/>
  <c r="J197" i="4" s="1"/>
  <c r="F198" i="4"/>
  <c r="J198" i="4" s="1"/>
  <c r="F199" i="4"/>
  <c r="F200" i="4"/>
  <c r="G200" i="4" s="1"/>
  <c r="F201" i="4"/>
  <c r="J201" i="4" s="1"/>
  <c r="F202" i="4"/>
  <c r="J202" i="4" s="1"/>
  <c r="F203" i="4"/>
  <c r="J203" i="4" s="1"/>
  <c r="F204" i="4"/>
  <c r="J204" i="4" s="1"/>
  <c r="F205" i="4"/>
  <c r="J205" i="4" s="1"/>
  <c r="F206" i="4"/>
  <c r="G206" i="4" s="1"/>
  <c r="F207" i="4"/>
  <c r="F208" i="4"/>
  <c r="G208" i="4" s="1"/>
  <c r="F209" i="4"/>
  <c r="J209" i="4" s="1"/>
  <c r="N177" i="4" l="1"/>
  <c r="Q177" i="4" s="1"/>
  <c r="P177" i="4"/>
  <c r="R177" i="4" s="1"/>
  <c r="G198" i="4"/>
  <c r="G182" i="4"/>
  <c r="G205" i="4"/>
  <c r="G197" i="4"/>
  <c r="G189" i="4"/>
  <c r="G181" i="4"/>
  <c r="J206" i="4"/>
  <c r="J190" i="4"/>
  <c r="G203" i="4"/>
  <c r="G195" i="4"/>
  <c r="G187" i="4"/>
  <c r="G179" i="4"/>
  <c r="G202" i="4"/>
  <c r="G194" i="4"/>
  <c r="G186" i="4"/>
  <c r="G178" i="4"/>
  <c r="G209" i="4"/>
  <c r="G201" i="4"/>
  <c r="G193" i="4"/>
  <c r="G185" i="4"/>
  <c r="G177" i="4"/>
  <c r="F146" i="4" l="1"/>
  <c r="G146" i="4" s="1"/>
  <c r="J159" i="4"/>
  <c r="G159" i="4"/>
  <c r="F159" i="4"/>
  <c r="F166" i="4"/>
  <c r="O143" i="4"/>
  <c r="L143" i="4"/>
  <c r="K143" i="4"/>
  <c r="J160" i="4"/>
  <c r="J161" i="4"/>
  <c r="J162" i="4"/>
  <c r="J163" i="4"/>
  <c r="J164" i="4"/>
  <c r="J165" i="4"/>
  <c r="J167" i="4"/>
  <c r="J168" i="4"/>
  <c r="J169" i="4"/>
  <c r="J170" i="4"/>
  <c r="J171" i="4"/>
  <c r="J172" i="4"/>
  <c r="J173" i="4"/>
  <c r="J174" i="4"/>
  <c r="J175" i="4"/>
  <c r="J176" i="4"/>
  <c r="G161" i="4"/>
  <c r="G165" i="4"/>
  <c r="G167" i="4"/>
  <c r="G168" i="4"/>
  <c r="G169" i="4"/>
  <c r="G173" i="4"/>
  <c r="G174" i="4"/>
  <c r="G175" i="4"/>
  <c r="G176" i="4"/>
  <c r="F164" i="4"/>
  <c r="G164" i="4" s="1"/>
  <c r="F165" i="4"/>
  <c r="F167" i="4"/>
  <c r="F168" i="4"/>
  <c r="F169" i="4"/>
  <c r="F170" i="4"/>
  <c r="G170" i="4" s="1"/>
  <c r="F171" i="4"/>
  <c r="G171" i="4" s="1"/>
  <c r="F172" i="4"/>
  <c r="G172" i="4" s="1"/>
  <c r="F173" i="4"/>
  <c r="F174" i="4"/>
  <c r="F175" i="4"/>
  <c r="F176" i="4"/>
  <c r="F160" i="4"/>
  <c r="G160" i="4" s="1"/>
  <c r="F161" i="4"/>
  <c r="F162" i="4"/>
  <c r="G162" i="4" s="1"/>
  <c r="F163" i="4"/>
  <c r="G163" i="4" s="1"/>
  <c r="J146" i="4" l="1"/>
  <c r="J166" i="4"/>
  <c r="G166" i="4"/>
  <c r="M143" i="4"/>
  <c r="F158" i="4" l="1"/>
  <c r="G158" i="4" s="1"/>
  <c r="F144" i="4"/>
  <c r="F145" i="4"/>
  <c r="F147" i="4"/>
  <c r="F148" i="4"/>
  <c r="J148" i="4" s="1"/>
  <c r="F149" i="4"/>
  <c r="J149" i="4" s="1"/>
  <c r="F150" i="4"/>
  <c r="F151" i="4"/>
  <c r="J151" i="4" s="1"/>
  <c r="F152" i="4"/>
  <c r="F153" i="4"/>
  <c r="F154" i="4"/>
  <c r="F155" i="4"/>
  <c r="J155" i="4" s="1"/>
  <c r="F156" i="4"/>
  <c r="G156" i="4" s="1"/>
  <c r="F157" i="4"/>
  <c r="G157" i="4" s="1"/>
  <c r="F143" i="4"/>
  <c r="G155" i="4"/>
  <c r="G152" i="4"/>
  <c r="G153" i="4"/>
  <c r="G154" i="4"/>
  <c r="J154" i="4"/>
  <c r="J143" i="4"/>
  <c r="J144" i="4"/>
  <c r="J145" i="4"/>
  <c r="J147" i="4"/>
  <c r="J150" i="4"/>
  <c r="G151" i="4"/>
  <c r="G149" i="4"/>
  <c r="G144" i="4"/>
  <c r="G145" i="4"/>
  <c r="G147" i="4"/>
  <c r="G150" i="4"/>
  <c r="P143" i="4" l="1"/>
  <c r="R143" i="4" s="1"/>
  <c r="G148" i="4"/>
  <c r="G143" i="4"/>
  <c r="J158" i="4"/>
  <c r="J157" i="4"/>
  <c r="J156" i="4"/>
  <c r="J153" i="4"/>
  <c r="J152" i="4"/>
  <c r="N143" i="4" l="1"/>
  <c r="Q143" i="4" s="1"/>
  <c r="L114" i="4" l="1"/>
  <c r="K114" i="4"/>
  <c r="F131" i="4" l="1"/>
  <c r="G131" i="4" s="1"/>
  <c r="F132" i="4"/>
  <c r="G132" i="4" s="1"/>
  <c r="F133" i="4"/>
  <c r="G133" i="4" s="1"/>
  <c r="F134" i="4"/>
  <c r="G134" i="4" s="1"/>
  <c r="F135" i="4"/>
  <c r="G135" i="4" s="1"/>
  <c r="F136" i="4"/>
  <c r="G136" i="4" s="1"/>
  <c r="F137" i="4"/>
  <c r="G137" i="4" s="1"/>
  <c r="F138" i="4"/>
  <c r="G138" i="4" s="1"/>
  <c r="F139" i="4"/>
  <c r="G139" i="4" s="1"/>
  <c r="F140" i="4"/>
  <c r="G140" i="4" s="1"/>
  <c r="F141" i="4"/>
  <c r="G141" i="4" s="1"/>
  <c r="F142" i="4"/>
  <c r="G142" i="4" s="1"/>
  <c r="J140" i="4" l="1"/>
  <c r="J132" i="4"/>
  <c r="J139" i="4"/>
  <c r="J131" i="4"/>
  <c r="J138" i="4"/>
  <c r="J137" i="4"/>
  <c r="J136" i="4"/>
  <c r="J135" i="4"/>
  <c r="J142" i="4"/>
  <c r="J134" i="4"/>
  <c r="J141" i="4"/>
  <c r="J133" i="4"/>
  <c r="O114" i="4"/>
  <c r="F130" i="4"/>
  <c r="J130" i="4" s="1"/>
  <c r="F129" i="4"/>
  <c r="J129" i="4" s="1"/>
  <c r="F128" i="4"/>
  <c r="G128" i="4" s="1"/>
  <c r="F127" i="4"/>
  <c r="J127" i="4" s="1"/>
  <c r="F126" i="4"/>
  <c r="J126" i="4" s="1"/>
  <c r="F125" i="4"/>
  <c r="G125" i="4" s="1"/>
  <c r="F124" i="4"/>
  <c r="G124" i="4" s="1"/>
  <c r="F123" i="4"/>
  <c r="J123" i="4" s="1"/>
  <c r="F122" i="4"/>
  <c r="J122" i="4" s="1"/>
  <c r="F121" i="4"/>
  <c r="J121" i="4" s="1"/>
  <c r="F120" i="4"/>
  <c r="G120" i="4" s="1"/>
  <c r="F119" i="4"/>
  <c r="J119" i="4" s="1"/>
  <c r="F118" i="4"/>
  <c r="J118" i="4" s="1"/>
  <c r="F117" i="4"/>
  <c r="G117" i="4" s="1"/>
  <c r="F116" i="4"/>
  <c r="G116" i="4" s="1"/>
  <c r="F115" i="4"/>
  <c r="J115" i="4" s="1"/>
  <c r="F114" i="4"/>
  <c r="J125" i="4" l="1"/>
  <c r="G115" i="4"/>
  <c r="J117" i="4"/>
  <c r="J124" i="4"/>
  <c r="G123" i="4"/>
  <c r="J116" i="4"/>
  <c r="J114" i="4"/>
  <c r="M114" i="4"/>
  <c r="G127" i="4"/>
  <c r="G119" i="4"/>
  <c r="J128" i="4"/>
  <c r="J120" i="4"/>
  <c r="G126" i="4"/>
  <c r="G118" i="4"/>
  <c r="G130" i="4"/>
  <c r="G122" i="4"/>
  <c r="G114" i="4"/>
  <c r="G129" i="4"/>
  <c r="G121" i="4"/>
  <c r="N114" i="4" l="1"/>
  <c r="Q114" i="4" s="1"/>
  <c r="P114" i="4"/>
  <c r="R114" i="4" s="1"/>
  <c r="J88" i="4" l="1"/>
  <c r="F88" i="4"/>
  <c r="G88" i="4" s="1"/>
  <c r="O84" i="4"/>
  <c r="L84" i="4"/>
  <c r="K84" i="4"/>
  <c r="F113" i="4"/>
  <c r="G113" i="4" s="1"/>
  <c r="J113" i="4"/>
  <c r="F110" i="4"/>
  <c r="G110" i="4" s="1"/>
  <c r="F111" i="4"/>
  <c r="F112" i="4"/>
  <c r="G112" i="4" s="1"/>
  <c r="F107" i="4"/>
  <c r="G107" i="4" s="1"/>
  <c r="F108" i="4"/>
  <c r="G108" i="4" s="1"/>
  <c r="F109" i="4"/>
  <c r="G109" i="4" s="1"/>
  <c r="F98" i="4"/>
  <c r="G98" i="4"/>
  <c r="J98" i="4"/>
  <c r="F99" i="4"/>
  <c r="G99" i="4" s="1"/>
  <c r="F100" i="4"/>
  <c r="F101" i="4"/>
  <c r="J101" i="4" s="1"/>
  <c r="F102" i="4"/>
  <c r="J102" i="4" s="1"/>
  <c r="G102" i="4"/>
  <c r="F103" i="4"/>
  <c r="G103" i="4" s="1"/>
  <c r="F104" i="4"/>
  <c r="F105" i="4"/>
  <c r="J105" i="4" s="1"/>
  <c r="F106" i="4"/>
  <c r="G106" i="4" s="1"/>
  <c r="G105" i="4" l="1"/>
  <c r="G101" i="4"/>
  <c r="J107" i="4"/>
  <c r="J108" i="4"/>
  <c r="J110" i="4"/>
  <c r="J99" i="4"/>
  <c r="J103" i="4"/>
  <c r="J106" i="4"/>
  <c r="J111" i="4"/>
  <c r="G111" i="4"/>
  <c r="J112" i="4"/>
  <c r="J109" i="4"/>
  <c r="G100" i="4"/>
  <c r="J100" i="4"/>
  <c r="G104" i="4"/>
  <c r="J104" i="4"/>
  <c r="F84" i="4" l="1"/>
  <c r="M84" i="4" s="1"/>
  <c r="F85" i="4"/>
  <c r="G85" i="4" s="1"/>
  <c r="F86" i="4"/>
  <c r="G86" i="4" s="1"/>
  <c r="F87" i="4"/>
  <c r="G87" i="4" s="1"/>
  <c r="F89" i="4"/>
  <c r="G89" i="4" s="1"/>
  <c r="F90" i="4"/>
  <c r="G90" i="4" s="1"/>
  <c r="F91" i="4"/>
  <c r="G91" i="4" s="1"/>
  <c r="F92" i="4"/>
  <c r="G92" i="4" s="1"/>
  <c r="F93" i="4"/>
  <c r="G93" i="4" s="1"/>
  <c r="F94" i="4"/>
  <c r="G94" i="4" s="1"/>
  <c r="F95" i="4"/>
  <c r="G95" i="4" s="1"/>
  <c r="F96" i="4"/>
  <c r="G96" i="4" s="1"/>
  <c r="F97" i="4"/>
  <c r="G97" i="4" s="1"/>
  <c r="J85" i="4" l="1"/>
  <c r="J92" i="4"/>
  <c r="J94" i="4"/>
  <c r="J91" i="4"/>
  <c r="N84" i="4"/>
  <c r="J90" i="4"/>
  <c r="J97" i="4"/>
  <c r="J96" i="4"/>
  <c r="J87" i="4"/>
  <c r="J93" i="4"/>
  <c r="J89" i="4"/>
  <c r="J95" i="4"/>
  <c r="J86" i="4"/>
  <c r="G84" i="4"/>
  <c r="J84" i="4"/>
  <c r="P84" i="4"/>
  <c r="R84" i="4" l="1"/>
  <c r="Q84" i="4"/>
  <c r="J75" i="6" l="1"/>
  <c r="I75" i="6"/>
  <c r="H75" i="6" l="1"/>
  <c r="I4" i="6" l="1"/>
  <c r="L60" i="4"/>
  <c r="O60" i="4"/>
  <c r="F4" i="6" s="1"/>
  <c r="O31" i="4"/>
  <c r="O2" i="4"/>
  <c r="L31" i="4"/>
  <c r="L2" i="4"/>
  <c r="B31" i="4"/>
  <c r="C31" i="4"/>
  <c r="D31" i="4"/>
  <c r="F31" i="4" s="1"/>
  <c r="G31" i="4" s="1"/>
  <c r="B32" i="4"/>
  <c r="C32" i="4"/>
  <c r="D32" i="4"/>
  <c r="F32" i="4" s="1"/>
  <c r="J32" i="4" s="1"/>
  <c r="B33" i="4"/>
  <c r="C33" i="4"/>
  <c r="D33" i="4"/>
  <c r="F33" i="4" s="1"/>
  <c r="G33" i="4" s="1"/>
  <c r="B34" i="4"/>
  <c r="C34" i="4"/>
  <c r="D34" i="4"/>
  <c r="F34" i="4" s="1"/>
  <c r="B35" i="4"/>
  <c r="C35" i="4"/>
  <c r="D35" i="4"/>
  <c r="F35" i="4" s="1"/>
  <c r="G35" i="4" s="1"/>
  <c r="B36" i="4"/>
  <c r="C36" i="4"/>
  <c r="D36" i="4"/>
  <c r="F36" i="4" s="1"/>
  <c r="G36" i="4" s="1"/>
  <c r="B37" i="4"/>
  <c r="C37" i="4"/>
  <c r="D37" i="4"/>
  <c r="F37" i="4" s="1"/>
  <c r="G37" i="4" s="1"/>
  <c r="B38" i="4"/>
  <c r="C38" i="4"/>
  <c r="D38" i="4"/>
  <c r="F38" i="4" s="1"/>
  <c r="B39" i="4"/>
  <c r="C39" i="4"/>
  <c r="D39" i="4"/>
  <c r="F39" i="4" s="1"/>
  <c r="G39" i="4" s="1"/>
  <c r="B40" i="4"/>
  <c r="C40" i="4"/>
  <c r="D40" i="4"/>
  <c r="F40" i="4" s="1"/>
  <c r="B41" i="4"/>
  <c r="C41" i="4"/>
  <c r="D41" i="4"/>
  <c r="F41" i="4" s="1"/>
  <c r="G41" i="4" s="1"/>
  <c r="B42" i="4"/>
  <c r="C42" i="4"/>
  <c r="D42" i="4"/>
  <c r="F42" i="4" s="1"/>
  <c r="B43" i="4"/>
  <c r="C43" i="4"/>
  <c r="D43" i="4"/>
  <c r="F43" i="4" s="1"/>
  <c r="G43" i="4" s="1"/>
  <c r="B44" i="4"/>
  <c r="C44" i="4"/>
  <c r="D44" i="4"/>
  <c r="F44" i="4" s="1"/>
  <c r="B45" i="4"/>
  <c r="C45" i="4"/>
  <c r="D45" i="4"/>
  <c r="F45" i="4" s="1"/>
  <c r="G45" i="4" s="1"/>
  <c r="B46" i="4"/>
  <c r="C46" i="4"/>
  <c r="D46" i="4"/>
  <c r="F46" i="4" s="1"/>
  <c r="G46" i="4" s="1"/>
  <c r="B47" i="4"/>
  <c r="C47" i="4"/>
  <c r="D47" i="4"/>
  <c r="F47" i="4" s="1"/>
  <c r="G47" i="4" s="1"/>
  <c r="B48" i="4"/>
  <c r="C48" i="4"/>
  <c r="D48" i="4"/>
  <c r="F48" i="4" s="1"/>
  <c r="B49" i="4"/>
  <c r="C49" i="4"/>
  <c r="D49" i="4"/>
  <c r="F49" i="4" s="1"/>
  <c r="G49" i="4" s="1"/>
  <c r="B50" i="4"/>
  <c r="C50" i="4"/>
  <c r="D50" i="4"/>
  <c r="F50" i="4" s="1"/>
  <c r="G50" i="4" s="1"/>
  <c r="B52" i="4"/>
  <c r="C52" i="4"/>
  <c r="D52" i="4"/>
  <c r="F52" i="4" s="1"/>
  <c r="B53" i="4"/>
  <c r="C53" i="4"/>
  <c r="D53" i="4"/>
  <c r="F53" i="4" s="1"/>
  <c r="G53" i="4" s="1"/>
  <c r="B54" i="4"/>
  <c r="C54" i="4"/>
  <c r="D54" i="4"/>
  <c r="F54" i="4" s="1"/>
  <c r="G54" i="4" s="1"/>
  <c r="B55" i="4"/>
  <c r="C55" i="4"/>
  <c r="D55" i="4"/>
  <c r="F55" i="4" s="1"/>
  <c r="G55" i="4" s="1"/>
  <c r="B56" i="4"/>
  <c r="C56" i="4"/>
  <c r="D56" i="4"/>
  <c r="F56" i="4" s="1"/>
  <c r="B57" i="4"/>
  <c r="C57" i="4"/>
  <c r="D57" i="4"/>
  <c r="F57" i="4" s="1"/>
  <c r="G57" i="4" s="1"/>
  <c r="B58" i="4"/>
  <c r="C58" i="4"/>
  <c r="D58" i="4"/>
  <c r="F58" i="4" s="1"/>
  <c r="B59" i="4"/>
  <c r="C59" i="4"/>
  <c r="D59" i="4"/>
  <c r="F59" i="4" s="1"/>
  <c r="G59" i="4" s="1"/>
  <c r="B60" i="4"/>
  <c r="C60" i="4"/>
  <c r="D60" i="4"/>
  <c r="B61" i="4"/>
  <c r="C61" i="4"/>
  <c r="D61" i="4"/>
  <c r="F61" i="4" s="1"/>
  <c r="G61" i="4" s="1"/>
  <c r="B62" i="4"/>
  <c r="C62" i="4"/>
  <c r="D62" i="4"/>
  <c r="F62" i="4" s="1"/>
  <c r="G62" i="4" s="1"/>
  <c r="B63" i="4"/>
  <c r="C63" i="4"/>
  <c r="D63" i="4"/>
  <c r="F63" i="4" s="1"/>
  <c r="G63" i="4" s="1"/>
  <c r="B65" i="4"/>
  <c r="C65" i="4"/>
  <c r="D65" i="4"/>
  <c r="F65" i="4" s="1"/>
  <c r="G65" i="4" s="1"/>
  <c r="B66" i="4"/>
  <c r="C66" i="4"/>
  <c r="D66" i="4"/>
  <c r="F66" i="4" s="1"/>
  <c r="B67" i="4"/>
  <c r="C67" i="4"/>
  <c r="D67" i="4"/>
  <c r="F67" i="4" s="1"/>
  <c r="G67" i="4" s="1"/>
  <c r="B68" i="4"/>
  <c r="C68" i="4"/>
  <c r="D68" i="4"/>
  <c r="F68" i="4" s="1"/>
  <c r="G68" i="4" s="1"/>
  <c r="B69" i="4"/>
  <c r="C69" i="4"/>
  <c r="D69" i="4"/>
  <c r="F69" i="4"/>
  <c r="G69" i="4" s="1"/>
  <c r="B70" i="4"/>
  <c r="C70" i="4"/>
  <c r="D70" i="4"/>
  <c r="F70" i="4" s="1"/>
  <c r="B71" i="4"/>
  <c r="C71" i="4"/>
  <c r="D71" i="4"/>
  <c r="F71" i="4" s="1"/>
  <c r="G71" i="4" s="1"/>
  <c r="B72" i="4"/>
  <c r="C72" i="4"/>
  <c r="D72" i="4"/>
  <c r="F72" i="4" s="1"/>
  <c r="B73" i="4"/>
  <c r="C73" i="4"/>
  <c r="D73" i="4"/>
  <c r="F73" i="4" s="1"/>
  <c r="G73" i="4" s="1"/>
  <c r="B75" i="4"/>
  <c r="C75" i="4"/>
  <c r="D75" i="4"/>
  <c r="F75" i="4" s="1"/>
  <c r="G75" i="4" s="1"/>
  <c r="B76" i="4"/>
  <c r="C76" i="4"/>
  <c r="D76" i="4"/>
  <c r="F76" i="4" s="1"/>
  <c r="B77" i="4"/>
  <c r="C77" i="4"/>
  <c r="D77" i="4"/>
  <c r="F77" i="4" s="1"/>
  <c r="G77" i="4" s="1"/>
  <c r="B78" i="4"/>
  <c r="C78" i="4"/>
  <c r="D78" i="4"/>
  <c r="F78" i="4" s="1"/>
  <c r="G78" i="4" s="1"/>
  <c r="B79" i="4"/>
  <c r="C79" i="4"/>
  <c r="D79" i="4"/>
  <c r="F79" i="4" s="1"/>
  <c r="G79" i="4" s="1"/>
  <c r="B80" i="4"/>
  <c r="C80" i="4"/>
  <c r="D80" i="4"/>
  <c r="F80" i="4" s="1"/>
  <c r="J80" i="4" s="1"/>
  <c r="B81" i="4"/>
  <c r="C81" i="4"/>
  <c r="D81" i="4"/>
  <c r="F81" i="4" s="1"/>
  <c r="J81" i="4" s="1"/>
  <c r="B82" i="4"/>
  <c r="C82" i="4"/>
  <c r="D82" i="4"/>
  <c r="F82" i="4" s="1"/>
  <c r="J82" i="4" s="1"/>
  <c r="B83" i="4"/>
  <c r="C83" i="4"/>
  <c r="D83" i="4"/>
  <c r="F83" i="4" s="1"/>
  <c r="J83" i="4" s="1"/>
  <c r="G40" i="4" l="1"/>
  <c r="J40" i="4"/>
  <c r="G76" i="4"/>
  <c r="J76" i="4"/>
  <c r="G42" i="4"/>
  <c r="J42" i="4"/>
  <c r="J72" i="4"/>
  <c r="G72" i="4"/>
  <c r="G83" i="4"/>
  <c r="J62" i="4"/>
  <c r="G81" i="4"/>
  <c r="G44" i="4"/>
  <c r="J44" i="4"/>
  <c r="K31" i="4"/>
  <c r="D3" i="6" s="1"/>
  <c r="M31" i="4"/>
  <c r="N31" i="4" s="1"/>
  <c r="K60" i="4"/>
  <c r="G32" i="4"/>
  <c r="G58" i="4"/>
  <c r="J58" i="4"/>
  <c r="G66" i="4"/>
  <c r="J66" i="4"/>
  <c r="G80" i="4"/>
  <c r="G70" i="4"/>
  <c r="J70" i="4"/>
  <c r="G38" i="4"/>
  <c r="J38" i="4"/>
  <c r="G48" i="4"/>
  <c r="J48" i="4"/>
  <c r="G82" i="4"/>
  <c r="G34" i="4"/>
  <c r="J34" i="4"/>
  <c r="G52" i="4"/>
  <c r="J52" i="4"/>
  <c r="J56" i="4"/>
  <c r="G56" i="4"/>
  <c r="J54" i="4"/>
  <c r="J50" i="4"/>
  <c r="J68" i="4"/>
  <c r="F60" i="4"/>
  <c r="M60" i="4" s="1"/>
  <c r="E4" i="6" s="1"/>
  <c r="G4" i="6" s="1"/>
  <c r="J4" i="6" s="1"/>
  <c r="J36" i="4"/>
  <c r="J78" i="4"/>
  <c r="J46" i="4"/>
  <c r="J77" i="4"/>
  <c r="J73" i="4"/>
  <c r="J69" i="4"/>
  <c r="J65" i="4"/>
  <c r="J61" i="4"/>
  <c r="J57" i="4"/>
  <c r="J53" i="4"/>
  <c r="J49" i="4"/>
  <c r="J45" i="4"/>
  <c r="J41" i="4"/>
  <c r="J37" i="4"/>
  <c r="J33" i="4"/>
  <c r="J79" i="4"/>
  <c r="J75" i="4"/>
  <c r="J71" i="4"/>
  <c r="J67" i="4"/>
  <c r="J63" i="4"/>
  <c r="J59" i="4"/>
  <c r="J55" i="4"/>
  <c r="J47" i="4"/>
  <c r="J43" i="4"/>
  <c r="J39" i="4"/>
  <c r="J35" i="4"/>
  <c r="J31" i="4"/>
  <c r="N60" i="4" l="1"/>
  <c r="Q60" i="4" s="1"/>
  <c r="P60" i="4"/>
  <c r="R60" i="4" s="1"/>
  <c r="D4" i="6"/>
  <c r="K4" i="6" s="1"/>
  <c r="H4" i="6"/>
  <c r="Q31" i="4"/>
  <c r="P31" i="4"/>
  <c r="R31" i="4" s="1"/>
  <c r="G60" i="4"/>
  <c r="J60" i="4"/>
  <c r="F3" i="6" l="1"/>
  <c r="E3" i="6"/>
  <c r="B27" i="4" l="1"/>
  <c r="C27" i="4"/>
  <c r="D27" i="4"/>
  <c r="F27" i="4" s="1"/>
  <c r="G27" i="4" s="1"/>
  <c r="B28" i="4"/>
  <c r="C28" i="4"/>
  <c r="D28" i="4"/>
  <c r="F28" i="4" s="1"/>
  <c r="B29" i="4"/>
  <c r="C29" i="4"/>
  <c r="D29" i="4"/>
  <c r="F29" i="4" s="1"/>
  <c r="G29" i="4" s="1"/>
  <c r="B30" i="4"/>
  <c r="C30" i="4"/>
  <c r="D30" i="4"/>
  <c r="F30" i="4" s="1"/>
  <c r="G30" i="4" s="1"/>
  <c r="B24" i="4"/>
  <c r="C24" i="4"/>
  <c r="D24" i="4"/>
  <c r="F24" i="4" s="1"/>
  <c r="B25" i="4"/>
  <c r="C25" i="4"/>
  <c r="D25" i="4"/>
  <c r="F25" i="4" s="1"/>
  <c r="B26" i="4"/>
  <c r="C26" i="4"/>
  <c r="D26" i="4"/>
  <c r="F26" i="4" s="1"/>
  <c r="B2" i="4"/>
  <c r="C2" i="4"/>
  <c r="D2" i="4"/>
  <c r="B3" i="4"/>
  <c r="C3" i="4"/>
  <c r="D3" i="4"/>
  <c r="F3" i="4" s="1"/>
  <c r="G3" i="4" s="1"/>
  <c r="B4" i="4"/>
  <c r="C4" i="4"/>
  <c r="D4" i="4"/>
  <c r="F4" i="4" s="1"/>
  <c r="B5" i="4"/>
  <c r="C5" i="4"/>
  <c r="D5" i="4"/>
  <c r="B6" i="4"/>
  <c r="C6" i="4"/>
  <c r="D6" i="4"/>
  <c r="F6" i="4" s="1"/>
  <c r="B7" i="4"/>
  <c r="C7" i="4"/>
  <c r="D7" i="4"/>
  <c r="F7" i="4" s="1"/>
  <c r="G7" i="4" s="1"/>
  <c r="B8" i="4"/>
  <c r="C8" i="4"/>
  <c r="D8" i="4"/>
  <c r="F8" i="4" s="1"/>
  <c r="G8" i="4" s="1"/>
  <c r="B9" i="4"/>
  <c r="C9" i="4"/>
  <c r="D9" i="4"/>
  <c r="F9" i="4" s="1"/>
  <c r="G9" i="4" s="1"/>
  <c r="B10" i="4"/>
  <c r="C10" i="4"/>
  <c r="D10" i="4"/>
  <c r="F10" i="4" s="1"/>
  <c r="G10" i="4" s="1"/>
  <c r="B11" i="4"/>
  <c r="C11" i="4"/>
  <c r="D11" i="4"/>
  <c r="F11" i="4" s="1"/>
  <c r="G11" i="4" s="1"/>
  <c r="B12" i="4"/>
  <c r="C12" i="4"/>
  <c r="D12" i="4"/>
  <c r="F12" i="4" s="1"/>
  <c r="J12" i="4" s="1"/>
  <c r="B13" i="4"/>
  <c r="C13" i="4"/>
  <c r="D13" i="4"/>
  <c r="F13" i="4" s="1"/>
  <c r="G13" i="4" s="1"/>
  <c r="B14" i="4"/>
  <c r="C14" i="4"/>
  <c r="D14" i="4"/>
  <c r="F14" i="4" s="1"/>
  <c r="G14" i="4" s="1"/>
  <c r="B15" i="4"/>
  <c r="C15" i="4"/>
  <c r="D15" i="4"/>
  <c r="F15" i="4" s="1"/>
  <c r="G15" i="4" s="1"/>
  <c r="B16" i="4"/>
  <c r="C16" i="4"/>
  <c r="D16" i="4"/>
  <c r="F16" i="4" s="1"/>
  <c r="J16" i="4" s="1"/>
  <c r="B17" i="4"/>
  <c r="C17" i="4"/>
  <c r="D17" i="4"/>
  <c r="F17" i="4" s="1"/>
  <c r="G17" i="4" s="1"/>
  <c r="B18" i="4"/>
  <c r="C18" i="4"/>
  <c r="D18" i="4"/>
  <c r="F18" i="4" s="1"/>
  <c r="J18" i="4" s="1"/>
  <c r="B19" i="4"/>
  <c r="C19" i="4"/>
  <c r="D19" i="4"/>
  <c r="F19" i="4" s="1"/>
  <c r="G19" i="4" s="1"/>
  <c r="B20" i="4"/>
  <c r="C20" i="4"/>
  <c r="D20" i="4"/>
  <c r="F20" i="4" s="1"/>
  <c r="B21" i="4"/>
  <c r="C21" i="4"/>
  <c r="D21" i="4"/>
  <c r="F21" i="4" s="1"/>
  <c r="B22" i="4"/>
  <c r="C22" i="4"/>
  <c r="D22" i="4"/>
  <c r="F22" i="4" s="1"/>
  <c r="B23" i="4"/>
  <c r="C23" i="4"/>
  <c r="D23" i="4"/>
  <c r="F23" i="4" s="1"/>
  <c r="G23" i="4" s="1"/>
  <c r="I4" i="12"/>
  <c r="I5" i="12"/>
  <c r="I6" i="12"/>
  <c r="I8" i="12"/>
  <c r="I10" i="12"/>
  <c r="G4" i="12"/>
  <c r="G5" i="12"/>
  <c r="G6" i="12"/>
  <c r="G7" i="12"/>
  <c r="I7" i="12" s="1"/>
  <c r="G8" i="12"/>
  <c r="G9" i="12"/>
  <c r="I9" i="12" s="1"/>
  <c r="G10" i="12"/>
  <c r="K2" i="4" l="1"/>
  <c r="F2" i="4"/>
  <c r="G2" i="4" s="1"/>
  <c r="F5" i="4"/>
  <c r="J27" i="4"/>
  <c r="J30" i="4"/>
  <c r="G21" i="4"/>
  <c r="J21" i="4"/>
  <c r="G28" i="4"/>
  <c r="J28" i="4"/>
  <c r="J26" i="4"/>
  <c r="G26" i="4"/>
  <c r="J22" i="4"/>
  <c r="G22" i="4"/>
  <c r="G18" i="4"/>
  <c r="J29" i="4"/>
  <c r="G16" i="4"/>
  <c r="G12" i="4"/>
  <c r="J10" i="4"/>
  <c r="J4" i="4"/>
  <c r="G4" i="4"/>
  <c r="J6" i="4"/>
  <c r="G6" i="4"/>
  <c r="G20" i="4"/>
  <c r="J20" i="4"/>
  <c r="G25" i="4"/>
  <c r="J25" i="4"/>
  <c r="J24" i="4"/>
  <c r="G24" i="4"/>
  <c r="J13" i="4"/>
  <c r="J14" i="4"/>
  <c r="J8" i="4"/>
  <c r="J17" i="4"/>
  <c r="J9" i="4"/>
  <c r="J23" i="4"/>
  <c r="J15" i="4"/>
  <c r="J11" i="4"/>
  <c r="J7" i="4"/>
  <c r="J3" i="4"/>
  <c r="J19" i="4"/>
  <c r="J10" i="12"/>
  <c r="E10" i="12"/>
  <c r="B10" i="12"/>
  <c r="J9" i="12"/>
  <c r="E9" i="12"/>
  <c r="B9" i="12"/>
  <c r="J8" i="12"/>
  <c r="E8" i="12"/>
  <c r="B8" i="12"/>
  <c r="J7" i="12"/>
  <c r="E7" i="12"/>
  <c r="B7" i="12"/>
  <c r="J6" i="12"/>
  <c r="E6" i="12"/>
  <c r="B6" i="12"/>
  <c r="J5" i="12"/>
  <c r="E5" i="12"/>
  <c r="B5" i="12"/>
  <c r="J4" i="12"/>
  <c r="E4" i="12"/>
  <c r="B4" i="12"/>
  <c r="G3" i="12"/>
  <c r="I3" i="12" s="1"/>
  <c r="J3" i="12" s="1"/>
  <c r="E3" i="12"/>
  <c r="B3" i="12"/>
  <c r="I15" i="10"/>
  <c r="I20" i="10"/>
  <c r="J20" i="10" s="1"/>
  <c r="I23" i="10"/>
  <c r="I24" i="10"/>
  <c r="G20" i="10"/>
  <c r="G21" i="10"/>
  <c r="I21" i="10" s="1"/>
  <c r="G22" i="10"/>
  <c r="I22" i="10" s="1"/>
  <c r="J22" i="10" s="1"/>
  <c r="G23" i="10"/>
  <c r="G24" i="10"/>
  <c r="E20" i="10"/>
  <c r="E21" i="10"/>
  <c r="E22" i="10"/>
  <c r="E23" i="10"/>
  <c r="E24" i="10"/>
  <c r="B24" i="10"/>
  <c r="B22" i="10"/>
  <c r="B20" i="10"/>
  <c r="B19" i="10"/>
  <c r="B21" i="10"/>
  <c r="B23" i="10"/>
  <c r="B25" i="10"/>
  <c r="B26" i="10"/>
  <c r="B27" i="10"/>
  <c r="B28" i="10"/>
  <c r="G16" i="10"/>
  <c r="I16" i="10" s="1"/>
  <c r="E18" i="10"/>
  <c r="E17" i="10"/>
  <c r="E16" i="10"/>
  <c r="E15" i="10"/>
  <c r="E14" i="10"/>
  <c r="E13" i="10"/>
  <c r="E3" i="10"/>
  <c r="E4" i="10"/>
  <c r="E5" i="10"/>
  <c r="E6" i="10"/>
  <c r="E7" i="10"/>
  <c r="E8" i="10"/>
  <c r="E9" i="10"/>
  <c r="E10" i="10"/>
  <c r="E11" i="10"/>
  <c r="G14" i="10"/>
  <c r="I14" i="10" s="1"/>
  <c r="J14" i="10" s="1"/>
  <c r="G15" i="10"/>
  <c r="G10" i="10"/>
  <c r="I10" i="10" s="1"/>
  <c r="J10" i="10" s="1"/>
  <c r="H11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2" i="10"/>
  <c r="J2" i="4" l="1"/>
  <c r="M2" i="4"/>
  <c r="J15" i="10"/>
  <c r="J16" i="10"/>
  <c r="G5" i="4"/>
  <c r="J5" i="4"/>
  <c r="J21" i="10"/>
  <c r="J24" i="10"/>
  <c r="J23" i="10"/>
  <c r="D41" i="9"/>
  <c r="E3" i="9"/>
  <c r="E4" i="9"/>
  <c r="E6" i="9"/>
  <c r="E7" i="9"/>
  <c r="E10" i="9"/>
  <c r="E11" i="9"/>
  <c r="E12" i="9"/>
  <c r="E13" i="9"/>
  <c r="E14" i="9"/>
  <c r="E17" i="9"/>
  <c r="E18" i="9"/>
  <c r="E19" i="9"/>
  <c r="E21" i="9"/>
  <c r="E22" i="9"/>
  <c r="E25" i="9"/>
  <c r="E28" i="9"/>
  <c r="E29" i="9"/>
  <c r="E30" i="9"/>
  <c r="E31" i="9"/>
  <c r="E32" i="9"/>
  <c r="E33" i="9"/>
  <c r="E34" i="9"/>
  <c r="J34" i="9"/>
  <c r="L29" i="9"/>
  <c r="L28" i="9"/>
  <c r="G29" i="9"/>
  <c r="G30" i="9"/>
  <c r="G31" i="9"/>
  <c r="C30" i="9"/>
  <c r="C28" i="9"/>
  <c r="M29" i="9" s="1"/>
  <c r="H29" i="9" s="1"/>
  <c r="M27" i="9"/>
  <c r="M26" i="9"/>
  <c r="L27" i="9"/>
  <c r="C27" i="9" s="1"/>
  <c r="E27" i="9" s="1"/>
  <c r="L26" i="9"/>
  <c r="C26" i="9" s="1"/>
  <c r="E26" i="9" s="1"/>
  <c r="M24" i="9"/>
  <c r="M23" i="9"/>
  <c r="C24" i="9"/>
  <c r="E24" i="9" s="1"/>
  <c r="C23" i="9"/>
  <c r="E23" i="9" s="1"/>
  <c r="M22" i="9"/>
  <c r="M20" i="9"/>
  <c r="L20" i="9"/>
  <c r="L22" i="9"/>
  <c r="C22" i="9" s="1"/>
  <c r="M15" i="9"/>
  <c r="M16" i="9"/>
  <c r="M14" i="9"/>
  <c r="C16" i="9"/>
  <c r="L16" i="9" s="1"/>
  <c r="C15" i="9"/>
  <c r="E15" i="9" s="1"/>
  <c r="C14" i="9"/>
  <c r="E2" i="9"/>
  <c r="G26" i="10"/>
  <c r="I26" i="10" s="1"/>
  <c r="E26" i="10"/>
  <c r="G19" i="10"/>
  <c r="E19" i="10"/>
  <c r="G18" i="10"/>
  <c r="I18" i="10" s="1"/>
  <c r="G17" i="10"/>
  <c r="I17" i="10" s="1"/>
  <c r="G13" i="10"/>
  <c r="I13" i="10" s="1"/>
  <c r="J13" i="10" s="1"/>
  <c r="E12" i="10"/>
  <c r="H12" i="10"/>
  <c r="G11" i="10"/>
  <c r="G8" i="10"/>
  <c r="G7" i="10"/>
  <c r="I7" i="10" s="1"/>
  <c r="J7" i="10" s="1"/>
  <c r="G6" i="10"/>
  <c r="G3" i="10"/>
  <c r="I3" i="10" s="1"/>
  <c r="J3" i="10" s="1"/>
  <c r="G2" i="10"/>
  <c r="E2" i="10"/>
  <c r="C8" i="9"/>
  <c r="E8" i="9" s="1"/>
  <c r="C9" i="9"/>
  <c r="E9" i="9" s="1"/>
  <c r="M9" i="9"/>
  <c r="G2" i="9"/>
  <c r="I2" i="9" s="1"/>
  <c r="J2" i="9" s="1"/>
  <c r="H19" i="9"/>
  <c r="G7" i="9"/>
  <c r="M5" i="9"/>
  <c r="L5" i="9"/>
  <c r="C4" i="9" s="1"/>
  <c r="P2" i="4" l="1"/>
  <c r="R2" i="4" s="1"/>
  <c r="N2" i="4"/>
  <c r="Q2" i="4" s="1"/>
  <c r="I19" i="10"/>
  <c r="J19" i="10" s="1"/>
  <c r="I29" i="9"/>
  <c r="J29" i="9" s="1"/>
  <c r="E16" i="9"/>
  <c r="J26" i="10"/>
  <c r="I6" i="10"/>
  <c r="J6" i="10" s="1"/>
  <c r="J17" i="10"/>
  <c r="J18" i="10"/>
  <c r="C20" i="9"/>
  <c r="E20" i="9" s="1"/>
  <c r="H14" i="9"/>
  <c r="H23" i="9"/>
  <c r="M28" i="9"/>
  <c r="H28" i="9" s="1"/>
  <c r="M30" i="9"/>
  <c r="H30" i="9" s="1"/>
  <c r="I30" i="9" s="1"/>
  <c r="J30" i="9" s="1"/>
  <c r="M31" i="9"/>
  <c r="H31" i="9" s="1"/>
  <c r="I31" i="9" s="1"/>
  <c r="J31" i="9" s="1"/>
  <c r="H24" i="9"/>
  <c r="H22" i="9"/>
  <c r="L14" i="9"/>
  <c r="H26" i="9"/>
  <c r="C5" i="9"/>
  <c r="E5" i="9" s="1"/>
  <c r="H20" i="9"/>
  <c r="H16" i="9"/>
  <c r="H15" i="9"/>
  <c r="L15" i="9"/>
  <c r="H21" i="9"/>
  <c r="H27" i="9"/>
  <c r="G5" i="10"/>
  <c r="G27" i="10"/>
  <c r="I27" i="10" s="1"/>
  <c r="E27" i="10"/>
  <c r="G28" i="10"/>
  <c r="I28" i="10" s="1"/>
  <c r="E28" i="10"/>
  <c r="I2" i="10"/>
  <c r="G4" i="10"/>
  <c r="I4" i="10" s="1"/>
  <c r="J4" i="10" s="1"/>
  <c r="G9" i="10"/>
  <c r="I9" i="10" s="1"/>
  <c r="J9" i="10" s="1"/>
  <c r="G12" i="10"/>
  <c r="I12" i="10" s="1"/>
  <c r="J12" i="10" s="1"/>
  <c r="I8" i="10"/>
  <c r="J8" i="10" s="1"/>
  <c r="I11" i="10"/>
  <c r="J11" i="10" s="1"/>
  <c r="H4" i="9"/>
  <c r="J27" i="10" l="1"/>
  <c r="I5" i="10"/>
  <c r="J5" i="10" s="1"/>
  <c r="J28" i="10"/>
  <c r="C35" i="9"/>
  <c r="G5" i="9"/>
  <c r="H5" i="9"/>
  <c r="J2" i="10"/>
  <c r="G28" i="9"/>
  <c r="I28" i="9" s="1"/>
  <c r="J28" i="9" s="1"/>
  <c r="G27" i="9"/>
  <c r="I27" i="9" s="1"/>
  <c r="J27" i="9" s="1"/>
  <c r="G26" i="9"/>
  <c r="I26" i="9" s="1"/>
  <c r="J26" i="9" s="1"/>
  <c r="G22" i="9"/>
  <c r="I22" i="9" s="1"/>
  <c r="J22" i="9" s="1"/>
  <c r="G21" i="9"/>
  <c r="I21" i="9" s="1"/>
  <c r="J21" i="9" s="1"/>
  <c r="G20" i="9"/>
  <c r="I20" i="9" s="1"/>
  <c r="J20" i="9" s="1"/>
  <c r="G19" i="9"/>
  <c r="I19" i="9" s="1"/>
  <c r="J19" i="9" s="1"/>
  <c r="G18" i="9"/>
  <c r="G17" i="9"/>
  <c r="G15" i="9"/>
  <c r="G14" i="9"/>
  <c r="I14" i="9" s="1"/>
  <c r="J14" i="9" s="1"/>
  <c r="G13" i="9"/>
  <c r="I13" i="9" s="1"/>
  <c r="J13" i="9" s="1"/>
  <c r="G8" i="9"/>
  <c r="I8" i="9" s="1"/>
  <c r="J8" i="9" s="1"/>
  <c r="G6" i="9"/>
  <c r="G4" i="9"/>
  <c r="I4" i="9" s="1"/>
  <c r="J4" i="9" s="1"/>
  <c r="G3" i="9"/>
  <c r="H31" i="8"/>
  <c r="H30" i="8"/>
  <c r="L31" i="8"/>
  <c r="M31" i="8" s="1"/>
  <c r="C31" i="8" s="1"/>
  <c r="L23" i="8"/>
  <c r="G27" i="8"/>
  <c r="G28" i="8"/>
  <c r="G29" i="8"/>
  <c r="E29" i="8"/>
  <c r="E28" i="8"/>
  <c r="E27" i="8"/>
  <c r="E35" i="9" l="1"/>
  <c r="E41" i="9" s="1"/>
  <c r="I5" i="9"/>
  <c r="J5" i="9" s="1"/>
  <c r="G31" i="8"/>
  <c r="E31" i="8"/>
  <c r="C30" i="8"/>
  <c r="I6" i="9"/>
  <c r="J6" i="9" s="1"/>
  <c r="I17" i="9"/>
  <c r="J17" i="9" s="1"/>
  <c r="I18" i="9"/>
  <c r="J18" i="9" s="1"/>
  <c r="I15" i="9"/>
  <c r="J15" i="9" s="1"/>
  <c r="G25" i="9"/>
  <c r="G11" i="9"/>
  <c r="I11" i="9" s="1"/>
  <c r="J11" i="9" s="1"/>
  <c r="G23" i="9"/>
  <c r="I3" i="9"/>
  <c r="G12" i="9"/>
  <c r="G24" i="9"/>
  <c r="G10" i="9"/>
  <c r="I10" i="9" s="1"/>
  <c r="J10" i="9" s="1"/>
  <c r="G16" i="9"/>
  <c r="I16" i="9" s="1"/>
  <c r="J16" i="9" s="1"/>
  <c r="G20" i="8"/>
  <c r="G21" i="8"/>
  <c r="G22" i="8"/>
  <c r="I22" i="8" s="1"/>
  <c r="J22" i="8" s="1"/>
  <c r="G26" i="8"/>
  <c r="I26" i="8" s="1"/>
  <c r="J26" i="8" s="1"/>
  <c r="H23" i="8"/>
  <c r="C24" i="8"/>
  <c r="G24" i="8" s="1"/>
  <c r="C23" i="8"/>
  <c r="G23" i="8" s="1"/>
  <c r="M24" i="8"/>
  <c r="M25" i="8"/>
  <c r="M23" i="8"/>
  <c r="L24" i="8"/>
  <c r="L25" i="8"/>
  <c r="C25" i="8" s="1"/>
  <c r="L11" i="8"/>
  <c r="C11" i="8" s="1"/>
  <c r="E20" i="8"/>
  <c r="E21" i="8"/>
  <c r="E22" i="8"/>
  <c r="E26" i="8"/>
  <c r="E19" i="8"/>
  <c r="D32" i="8"/>
  <c r="H17" i="8"/>
  <c r="H18" i="8" s="1"/>
  <c r="C18" i="8"/>
  <c r="E18" i="8" s="1"/>
  <c r="G19" i="8"/>
  <c r="I19" i="8" s="1"/>
  <c r="J19" i="8" s="1"/>
  <c r="L12" i="8"/>
  <c r="M12" i="8"/>
  <c r="M10" i="8"/>
  <c r="L9" i="8"/>
  <c r="C9" i="8" s="1"/>
  <c r="L10" i="8"/>
  <c r="C10" i="8" s="1"/>
  <c r="H10" i="8" s="1"/>
  <c r="M7" i="8"/>
  <c r="L7" i="8"/>
  <c r="C5" i="8" s="1"/>
  <c r="M9" i="8"/>
  <c r="M11" i="8"/>
  <c r="I20" i="8"/>
  <c r="J20" i="8" s="1"/>
  <c r="I21" i="8"/>
  <c r="J21" i="8" s="1"/>
  <c r="I27" i="8"/>
  <c r="J27" i="8" s="1"/>
  <c r="I28" i="8"/>
  <c r="J28" i="8" s="1"/>
  <c r="I29" i="8"/>
  <c r="J29" i="8" s="1"/>
  <c r="I31" i="8"/>
  <c r="J31" i="8" s="1"/>
  <c r="G4" i="8"/>
  <c r="I4" i="8" s="1"/>
  <c r="J4" i="8" s="1"/>
  <c r="G8" i="8"/>
  <c r="I8" i="8" s="1"/>
  <c r="J8" i="8" s="1"/>
  <c r="G13" i="8"/>
  <c r="I13" i="8" s="1"/>
  <c r="J13" i="8" s="1"/>
  <c r="G3" i="8"/>
  <c r="C7" i="8" l="1"/>
  <c r="E23" i="8"/>
  <c r="I23" i="8"/>
  <c r="J23" i="8" s="1"/>
  <c r="G25" i="8"/>
  <c r="H25" i="8"/>
  <c r="E25" i="8"/>
  <c r="E24" i="8"/>
  <c r="H24" i="8"/>
  <c r="I24" i="8" s="1"/>
  <c r="J24" i="8" s="1"/>
  <c r="G30" i="8"/>
  <c r="I30" i="8" s="1"/>
  <c r="J30" i="8" s="1"/>
  <c r="E30" i="8"/>
  <c r="I25" i="9"/>
  <c r="J25" i="9" s="1"/>
  <c r="I12" i="9"/>
  <c r="J12" i="9" s="1"/>
  <c r="I23" i="9"/>
  <c r="J23" i="9" s="1"/>
  <c r="I24" i="9"/>
  <c r="J24" i="9" s="1"/>
  <c r="G33" i="9"/>
  <c r="I33" i="9" s="1"/>
  <c r="J33" i="9" s="1"/>
  <c r="J3" i="9"/>
  <c r="G32" i="9"/>
  <c r="I32" i="9" s="1"/>
  <c r="J32" i="9" s="1"/>
  <c r="H7" i="9"/>
  <c r="I7" i="9" s="1"/>
  <c r="J7" i="9" s="1"/>
  <c r="C12" i="8"/>
  <c r="H12" i="8" s="1"/>
  <c r="G18" i="8"/>
  <c r="I18" i="8" s="1"/>
  <c r="J18" i="8" s="1"/>
  <c r="G15" i="8"/>
  <c r="E15" i="8"/>
  <c r="G14" i="8"/>
  <c r="G17" i="8"/>
  <c r="H9" i="8"/>
  <c r="H11" i="8"/>
  <c r="H5" i="8"/>
  <c r="I3" i="8"/>
  <c r="J3" i="8" s="1"/>
  <c r="H7" i="8"/>
  <c r="C16" i="8"/>
  <c r="H15" i="8"/>
  <c r="C6" i="8"/>
  <c r="H6" i="8" s="1"/>
  <c r="E4" i="8"/>
  <c r="E8" i="8"/>
  <c r="E13" i="8"/>
  <c r="E3" i="8"/>
  <c r="C32" i="8" l="1"/>
  <c r="E32" i="8" s="1"/>
  <c r="I25" i="8"/>
  <c r="J25" i="8" s="1"/>
  <c r="I15" i="8"/>
  <c r="I17" i="8"/>
  <c r="J17" i="8" s="1"/>
  <c r="I14" i="8"/>
  <c r="J14" i="8" s="1"/>
  <c r="E17" i="8"/>
  <c r="E14" i="8"/>
  <c r="G16" i="8"/>
  <c r="H16" i="8"/>
  <c r="G10" i="8"/>
  <c r="E12" i="8"/>
  <c r="G12" i="8"/>
  <c r="E10" i="8"/>
  <c r="H32" i="8" l="1"/>
  <c r="I16" i="8"/>
  <c r="I10" i="8"/>
  <c r="J10" i="8" s="1"/>
  <c r="I12" i="8"/>
  <c r="J12" i="8" s="1"/>
  <c r="E9" i="8"/>
  <c r="G9" i="8"/>
  <c r="E6" i="8"/>
  <c r="G6" i="8"/>
  <c r="E11" i="8"/>
  <c r="G11" i="8"/>
  <c r="E5" i="8"/>
  <c r="G5" i="8"/>
  <c r="I6" i="8" l="1"/>
  <c r="J6" i="8" s="1"/>
  <c r="I5" i="8"/>
  <c r="J5" i="8" s="1"/>
  <c r="I9" i="8"/>
  <c r="J9" i="8" s="1"/>
  <c r="I11" i="8"/>
  <c r="J11" i="8" s="1"/>
  <c r="C3" i="6"/>
  <c r="K3" i="6" s="1"/>
  <c r="N24" i="6" l="1"/>
  <c r="F15" i="6" l="1"/>
  <c r="E15" i="6" l="1"/>
  <c r="D15" i="6" l="1"/>
  <c r="G3" i="6" l="1"/>
  <c r="H3" i="6" l="1"/>
  <c r="G15" i="6"/>
  <c r="H15" i="6" l="1"/>
  <c r="C15" i="6" l="1"/>
  <c r="J3" i="6"/>
  <c r="I3" i="6"/>
  <c r="K15" i="6" l="1"/>
  <c r="J15" i="6"/>
  <c r="I15" i="6"/>
  <c r="G7" i="8" l="1"/>
  <c r="E7" i="8"/>
  <c r="I7" i="8" l="1"/>
  <c r="G32" i="8"/>
  <c r="J7" i="8" l="1"/>
  <c r="I32" i="8"/>
  <c r="J32" i="8" s="1"/>
  <c r="G9" i="9" l="1"/>
  <c r="G35" i="9" s="1"/>
  <c r="H9" i="9"/>
  <c r="H35" i="9" s="1"/>
  <c r="I9" i="9" l="1"/>
  <c r="I35" i="9" l="1"/>
  <c r="J35" i="9" s="1"/>
  <c r="F41" i="9" s="1"/>
  <c r="J9" i="9"/>
  <c r="E25" i="10"/>
  <c r="G25" i="10"/>
  <c r="I25" i="10" s="1"/>
  <c r="J25" i="10" l="1"/>
  <c r="AC37" i="28" l="1"/>
  <c r="AD37" i="28"/>
</calcChain>
</file>

<file path=xl/sharedStrings.xml><?xml version="1.0" encoding="utf-8"?>
<sst xmlns="http://schemas.openxmlformats.org/spreadsheetml/2006/main" count="900" uniqueCount="212">
  <si>
    <t>Remisión</t>
  </si>
  <si>
    <t>Fecha</t>
  </si>
  <si>
    <t>Valor Disposición Kg ($)</t>
  </si>
  <si>
    <t>Costo Viaje ($)</t>
  </si>
  <si>
    <t>Precio Unitario Disposición ($)</t>
  </si>
  <si>
    <t xml:space="preserve">Cantidad Lodos Generados (Kg) </t>
  </si>
  <si>
    <t xml:space="preserve">MES </t>
  </si>
  <si>
    <t>Cantidad Total de Lodo Generado (Kg)</t>
  </si>
  <si>
    <t>Cantidad Total de Viajes</t>
  </si>
  <si>
    <t xml:space="preserve">Cantidad de Viajes </t>
  </si>
  <si>
    <t>Valor Total Viajes ($)</t>
  </si>
  <si>
    <t xml:space="preserve">Valor Total de Disposición Lodo ($) SIN IVA </t>
  </si>
  <si>
    <t>Costo Total + IVA</t>
  </si>
  <si>
    <t>(m3)</t>
  </si>
  <si>
    <t>COSTO TOTAL ($) + IVA</t>
  </si>
  <si>
    <t>INDICADOR FINAL ($/KG)</t>
  </si>
  <si>
    <t>Planeta S.A.S</t>
  </si>
  <si>
    <t xml:space="preserve">Disposición Final </t>
  </si>
  <si>
    <t xml:space="preserve">Lodos PTAR </t>
  </si>
  <si>
    <t>Bogotá</t>
  </si>
  <si>
    <t xml:space="preserve">PTAR </t>
  </si>
  <si>
    <t>Costo total (SIN IVA)</t>
  </si>
  <si>
    <t>COSTO TOTAL ($) (SIN IVA)</t>
  </si>
  <si>
    <t>IVA (Disposición)</t>
  </si>
  <si>
    <t>Indicador Disposición de Lodos Generados PTAR ($/m3)</t>
  </si>
  <si>
    <t xml:space="preserve">Valor ($/m3 Tratado) </t>
  </si>
  <si>
    <t>Indicador Total (Transporte + Disposición Final)</t>
  </si>
  <si>
    <t>($)</t>
  </si>
  <si>
    <t>Valor Disposición de Lodo (SIN IVA)</t>
  </si>
  <si>
    <t>Valor Transporte</t>
  </si>
  <si>
    <t xml:space="preserve">Consolidado Anual </t>
  </si>
  <si>
    <t>Valor ($/m3 de Agua Tratada)</t>
  </si>
  <si>
    <t>Sede</t>
  </si>
  <si>
    <t>Ciudad</t>
  </si>
  <si>
    <t xml:space="preserve">Tpo de Residuo </t>
  </si>
  <si>
    <t xml:space="preserve">Manejo Final </t>
  </si>
  <si>
    <t>Empresa Transportadora</t>
  </si>
  <si>
    <t xml:space="preserve">Empresa de Gestión Final </t>
  </si>
  <si>
    <t>Costo Total Servicio (Transporte + Disposición)(SIN IVA)</t>
  </si>
  <si>
    <t>MES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</si>
  <si>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</si>
  <si>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</si>
  <si>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</si>
  <si>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</si>
  <si>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</si>
  <si>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</si>
  <si>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</si>
  <si>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</si>
  <si>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</si>
  <si>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</si>
  <si>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</si>
  <si>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</si>
  <si>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 xml:space="preserve">Agua Tratada PTAR </t>
  </si>
  <si>
    <t xml:space="preserve">Indicador de Generación </t>
  </si>
  <si>
    <t>Kg/m3</t>
  </si>
  <si>
    <t xml:space="preserve">Lodos Generados </t>
  </si>
  <si>
    <t>(Kg)</t>
  </si>
  <si>
    <t>($/Kg)</t>
  </si>
  <si>
    <t>Indicador Global (Generado: Disposición+Transporte)</t>
  </si>
  <si>
    <t>FECHA</t>
  </si>
  <si>
    <t>Kg</t>
  </si>
  <si>
    <t>GEM m3</t>
  </si>
  <si>
    <t>kg/m3</t>
  </si>
  <si>
    <t>N</t>
  </si>
  <si>
    <t>valor kg</t>
  </si>
  <si>
    <t>transporte</t>
  </si>
  <si>
    <t>$/kg</t>
  </si>
  <si>
    <t>$/dia</t>
  </si>
  <si>
    <t>factor Kg/m3</t>
  </si>
  <si>
    <t>factor $/kg</t>
  </si>
  <si>
    <t>ajuste de factor</t>
  </si>
  <si>
    <t>ajuste de transporte</t>
  </si>
  <si>
    <t>Caudal</t>
  </si>
  <si>
    <t>costo /m3</t>
  </si>
  <si>
    <t xml:space="preserve"> Gene kg/m3</t>
  </si>
  <si>
    <t>ACUMULADO LODOS SEP</t>
  </si>
  <si>
    <t>AÑO 2024</t>
  </si>
  <si>
    <t xml:space="preserve">ACUMULADO LODOS </t>
  </si>
  <si>
    <t>DICIEMBRE</t>
  </si>
  <si>
    <t>ENERO</t>
  </si>
  <si>
    <t>FEBRERO</t>
  </si>
  <si>
    <t>BALANCE DE LODOS</t>
  </si>
  <si>
    <t xml:space="preserve">Agua Tratada GEM (m3) </t>
  </si>
  <si>
    <t>Lodos Generados (Kg)</t>
  </si>
  <si>
    <t>Valor Disposición de Lodo (SIN IVA) $</t>
  </si>
  <si>
    <t>Valor Transporte $</t>
  </si>
  <si>
    <t>Costo Total Servicio (Transporte + Disposición)(SIN IVA) $</t>
  </si>
  <si>
    <t>Indicador costo disposición ($/Kg)</t>
  </si>
  <si>
    <t>Indicador costo tratamiento ($/m3)</t>
  </si>
  <si>
    <t xml:space="preserve">Indicador de Generación (Kg/m3) </t>
  </si>
  <si>
    <t>MARZO</t>
  </si>
  <si>
    <t>Indicador costo disposición ($/m3)</t>
  </si>
  <si>
    <t>ABRIL</t>
  </si>
  <si>
    <t>MAYO</t>
  </si>
  <si>
    <t>JUNIO</t>
  </si>
  <si>
    <t>HORAS DE OPERACIÓN</t>
  </si>
  <si>
    <t>VOLUMEN TRATADO</t>
  </si>
  <si>
    <t>KG GENERADOS</t>
  </si>
  <si>
    <t>$ Kg</t>
  </si>
  <si>
    <t>$ TRANSPORTE</t>
  </si>
  <si>
    <t>Q TRATAMIENTO</t>
  </si>
  <si>
    <t>HOROMETRO INICIAL</t>
  </si>
  <si>
    <t>HOROMETRO FINAL</t>
  </si>
  <si>
    <t>$ / KG</t>
  </si>
  <si>
    <t>META FACTOR ($/KG)</t>
  </si>
  <si>
    <t>FACTOR GENERACIÓN KG/M3</t>
  </si>
  <si>
    <t>$/ M3</t>
  </si>
  <si>
    <t>VIAJE</t>
  </si>
  <si>
    <t>VOL TRATADO DIA</t>
  </si>
  <si>
    <t xml:space="preserve"> </t>
  </si>
  <si>
    <t>$ AMPLIRROL</t>
  </si>
  <si>
    <t>FACTOR 2024 KG/M3</t>
  </si>
  <si>
    <t>FACTOR ($/KG</t>
  </si>
  <si>
    <t>$/M3</t>
  </si>
  <si>
    <t>JULIO</t>
  </si>
  <si>
    <t>Día</t>
  </si>
  <si>
    <t>FACTOR $/m3 2024</t>
  </si>
  <si>
    <t>VOLUMEN TRATADO (m3)</t>
  </si>
  <si>
    <t xml:space="preserve"> ($/KG)</t>
  </si>
  <si>
    <t>FACTOR ($/KG)</t>
  </si>
  <si>
    <t>AGOSTO</t>
  </si>
  <si>
    <t>SEPTIEMBRE</t>
  </si>
  <si>
    <t>OCTUBRE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</si>
  <si>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</si>
  <si>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</si>
  <si>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</si>
  <si>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</si>
  <si>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</si>
  <si>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</si>
  <si>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</si>
  <si>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</si>
  <si>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</si>
  <si>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</si>
  <si>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</si>
  <si>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NOVIEMBRE</t>
  </si>
  <si>
    <t>AÑO</t>
  </si>
  <si>
    <t>INDICADOR $/Kg</t>
  </si>
  <si>
    <t>Indicador Kg/m3</t>
  </si>
  <si>
    <t>M3 TRATADOS</t>
  </si>
  <si>
    <t>INDICADOR $/M3</t>
  </si>
  <si>
    <t>2026-01-03</t>
  </si>
  <si>
    <t>2026-01-06</t>
  </si>
  <si>
    <t>2026-01-08</t>
  </si>
  <si>
    <t>2026-01-12</t>
  </si>
  <si>
    <t>2026-01-13</t>
  </si>
  <si>
    <t>2026-01-14</t>
  </si>
  <si>
    <t>2026-01-15</t>
  </si>
  <si>
    <t>2026-01-16</t>
  </si>
  <si>
    <t>2026-01-17</t>
  </si>
  <si>
    <t>2026-01-19</t>
  </si>
  <si>
    <t>2026-01-20</t>
  </si>
  <si>
    <t>2026-01-22</t>
  </si>
  <si>
    <t>2026-01-24</t>
  </si>
  <si>
    <t>2026-01-27</t>
  </si>
  <si>
    <t>2026-01-28</t>
  </si>
  <si>
    <t>2026-01-29</t>
  </si>
  <si>
    <t>2026-01-30</t>
  </si>
  <si>
    <t>MF</t>
  </si>
  <si>
    <t>Servicio</t>
  </si>
  <si>
    <t>Contenedor</t>
  </si>
  <si>
    <t>Canecas</t>
  </si>
  <si>
    <t>2026-02-02</t>
  </si>
  <si>
    <t>2026-02-03</t>
  </si>
  <si>
    <t>2026-02-04</t>
  </si>
  <si>
    <t>2026-02-05</t>
  </si>
  <si>
    <t>2026-02-06</t>
  </si>
  <si>
    <t>2026-02-07</t>
  </si>
  <si>
    <t>2026-02-09</t>
  </si>
  <si>
    <t>2026-02-11</t>
  </si>
  <si>
    <t>2026-02-12</t>
  </si>
  <si>
    <t>2026-02-14</t>
  </si>
  <si>
    <t>2026-02-17</t>
  </si>
  <si>
    <t>2026-02-19</t>
  </si>
  <si>
    <t>2026-02-23</t>
  </si>
  <si>
    <t>2026-02-25</t>
  </si>
  <si>
    <t>Indicador costo proyectado ($/m3)</t>
  </si>
  <si>
    <t>Agua Tratada proyectada (m3)</t>
  </si>
  <si>
    <t>Lodos proyectados (Kg)</t>
  </si>
  <si>
    <t xml:space="preserve">Indicador de Generación proyectado (Kg/m3) </t>
  </si>
  <si>
    <t xml:space="preserve">Indicador de Generación proyectado  (Kg/m3) </t>
  </si>
  <si>
    <t>2026-03-02</t>
  </si>
  <si>
    <t>2026-03-05</t>
  </si>
  <si>
    <t>2026-03-07</t>
  </si>
  <si>
    <t>2026-03-10</t>
  </si>
  <si>
    <t>2026-03-12</t>
  </si>
  <si>
    <t>2026-03-14</t>
  </si>
  <si>
    <t>2026-02-18</t>
  </si>
  <si>
    <t>PLANETA SAS ESP</t>
  </si>
  <si>
    <t>2026-03-17</t>
  </si>
  <si>
    <t>2026-03-23</t>
  </si>
  <si>
    <t>2026-03-26</t>
  </si>
  <si>
    <t>PROYECIÓN $/m3 2026</t>
  </si>
  <si>
    <t>FACTOR 2026 KG/M3</t>
  </si>
  <si>
    <t>2026-03-31</t>
  </si>
  <si>
    <t>2026-04-06</t>
  </si>
  <si>
    <t>2026-04-13</t>
  </si>
  <si>
    <t>2026-04-18</t>
  </si>
  <si>
    <t>2026-04-20</t>
  </si>
  <si>
    <t>2026-04-27</t>
  </si>
  <si>
    <t>2026-04-29</t>
  </si>
  <si>
    <t>2026-04-28</t>
  </si>
  <si>
    <t>2026-05-08</t>
  </si>
  <si>
    <t>2026-05-12</t>
  </si>
  <si>
    <t>2026-05-13</t>
  </si>
  <si>
    <t>2026-05-14</t>
  </si>
  <si>
    <t>2026-05-16</t>
  </si>
  <si>
    <t>2026-05-20</t>
  </si>
  <si>
    <t>2026-05-21</t>
  </si>
  <si>
    <t>2026-05-22</t>
  </si>
  <si>
    <t>2026-05-26</t>
  </si>
  <si>
    <t>2026-05-27</t>
  </si>
  <si>
    <t>2026-05-28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</si>
</sst>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"/>
    <numFmt numFmtId="165" formatCode="0.0"/>
    <numFmt numFmtId="166" formatCode="_-&quot;$&quot;\ * #,##0_-;\-&quot;$&quot;\ * #,##0_-;_-&quot;$&quot;\ * &quot;-&quot;??_-;_-@_-"/>
    <numFmt numFmtId="167" formatCode="_-&quot;$&quot;\ * #,##0.00000_-;\-&quot;$&quot;\ * #,##0.00000_-;_-&quot;$&quot;\ * &quot;-&quot;??_-;_-@_-"/>
    <numFmt numFmtId="168" formatCode="_-&quot;$&quot;\ * #,##0_-;\-&quot;$&quot;\ * #,##0_-;_-&quot;$&quot;\ * &quot;-&quot;?????_-;_-@_-"/>
    <numFmt numFmtId="169" formatCode="#,##0.0"/>
    <numFmt numFmtId="170" formatCode="_-* #,##0_-;\-* #,##0_-;_-* &quot;-&quot;??_-;_-@_-"/>
    <numFmt numFmtId="171" formatCode="_-* #,##0.0_-;\-* #,##0.0_-;_-* &quot;-&quot;??_-;_-@_-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theme="4" tint="0.59999389629810485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</borders>
  <cellStyleXfs count="77">
    <xf numFmtId="0" fontId="0" fillId="0" borderId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0" fontId="6" fillId="5" borderId="0" applyNumberFormat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9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/>
    </xf>
    <xf numFmtId="42" fontId="0" fillId="0" borderId="0" xfId="0" applyNumberFormat="1"/>
    <xf numFmtId="164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14" fontId="6" fillId="5" borderId="4" xfId="5" applyNumberFormat="1" applyBorder="1" applyAlignment="1">
      <alignment horizontal="center" vertical="center" wrapText="1"/>
    </xf>
    <xf numFmtId="4" fontId="6" fillId="5" borderId="4" xfId="5" applyNumberFormat="1" applyBorder="1" applyAlignment="1">
      <alignment horizontal="center" vertical="center" wrapText="1"/>
    </xf>
    <xf numFmtId="164" fontId="6" fillId="5" borderId="4" xfId="5" applyNumberFormat="1" applyBorder="1" applyAlignment="1">
      <alignment horizontal="center" wrapText="1"/>
    </xf>
    <xf numFmtId="1" fontId="6" fillId="5" borderId="4" xfId="5" applyNumberFormat="1" applyBorder="1" applyAlignment="1">
      <alignment horizontal="center" wrapText="1"/>
    </xf>
    <xf numFmtId="164" fontId="6" fillId="5" borderId="4" xfId="5" applyNumberFormat="1" applyBorder="1" applyAlignment="1">
      <alignment horizontal="center" vertical="center" wrapText="1"/>
    </xf>
    <xf numFmtId="14" fontId="6" fillId="5" borderId="1" xfId="5" applyNumberFormat="1" applyBorder="1" applyAlignment="1">
      <alignment horizontal="center" vertical="center" wrapText="1"/>
    </xf>
    <xf numFmtId="4" fontId="6" fillId="5" borderId="1" xfId="5" applyNumberFormat="1" applyBorder="1" applyAlignment="1">
      <alignment horizontal="center" vertical="center" wrapText="1"/>
    </xf>
    <xf numFmtId="164" fontId="6" fillId="5" borderId="1" xfId="5" applyNumberFormat="1" applyBorder="1" applyAlignment="1">
      <alignment horizontal="center" wrapText="1"/>
    </xf>
    <xf numFmtId="1" fontId="6" fillId="5" borderId="1" xfId="5" applyNumberFormat="1" applyBorder="1" applyAlignment="1">
      <alignment horizontal="center" wrapText="1"/>
    </xf>
    <xf numFmtId="164" fontId="6" fillId="5" borderId="1" xfId="5" applyNumberForma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42" fontId="0" fillId="0" borderId="13" xfId="4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2" fontId="5" fillId="3" borderId="2" xfId="1" applyNumberFormat="1" applyFont="1" applyFill="1" applyBorder="1" applyAlignment="1">
      <alignment horizontal="center" vertical="center" wrapText="1"/>
    </xf>
    <xf numFmtId="164" fontId="0" fillId="0" borderId="1" xfId="4" applyNumberFormat="1" applyFont="1" applyFill="1" applyBorder="1" applyAlignment="1">
      <alignment horizontal="center" vertical="center" wrapText="1"/>
    </xf>
    <xf numFmtId="164" fontId="5" fillId="3" borderId="2" xfId="4" applyNumberFormat="1" applyFont="1" applyFill="1" applyBorder="1" applyAlignment="1">
      <alignment horizontal="center" vertical="center" wrapText="1"/>
    </xf>
    <xf numFmtId="164" fontId="5" fillId="3" borderId="2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4" fontId="6" fillId="5" borderId="7" xfId="5" applyNumberFormat="1" applyBorder="1" applyAlignment="1">
      <alignment horizontal="center" vertical="center" wrapText="1"/>
    </xf>
    <xf numFmtId="4" fontId="6" fillId="5" borderId="7" xfId="5" applyNumberFormat="1" applyBorder="1" applyAlignment="1">
      <alignment horizontal="center" vertical="center" wrapText="1"/>
    </xf>
    <xf numFmtId="164" fontId="6" fillId="5" borderId="7" xfId="5" applyNumberFormat="1" applyBorder="1" applyAlignment="1">
      <alignment horizontal="center" wrapText="1"/>
    </xf>
    <xf numFmtId="1" fontId="6" fillId="5" borderId="7" xfId="5" applyNumberFormat="1" applyBorder="1" applyAlignment="1">
      <alignment horizontal="center" wrapText="1"/>
    </xf>
    <xf numFmtId="164" fontId="6" fillId="5" borderId="7" xfId="5" applyNumberFormat="1" applyBorder="1" applyAlignment="1">
      <alignment horizontal="center" vertical="center" wrapText="1"/>
    </xf>
    <xf numFmtId="165" fontId="0" fillId="0" borderId="0" xfId="0" applyNumberFormat="1"/>
    <xf numFmtId="1" fontId="0" fillId="0" borderId="1" xfId="0" applyNumberFormat="1" applyBorder="1" applyAlignment="1">
      <alignment horizontal="center" vertical="center" wrapText="1"/>
    </xf>
    <xf numFmtId="165" fontId="0" fillId="0" borderId="9" xfId="4" applyNumberFormat="1" applyFont="1" applyFill="1" applyBorder="1" applyAlignment="1">
      <alignment horizontal="center" vertical="center" wrapText="1"/>
    </xf>
    <xf numFmtId="14" fontId="0" fillId="0" borderId="0" xfId="0" applyNumberFormat="1"/>
    <xf numFmtId="1" fontId="0" fillId="0" borderId="0" xfId="0" applyNumberFormat="1"/>
    <xf numFmtId="1" fontId="0" fillId="8" borderId="0" xfId="0" applyNumberFormat="1" applyFill="1"/>
    <xf numFmtId="0" fontId="0" fillId="8" borderId="0" xfId="0" applyFill="1"/>
    <xf numFmtId="0" fontId="0" fillId="7" borderId="0" xfId="0" applyFill="1"/>
    <xf numFmtId="0" fontId="0" fillId="9" borderId="0" xfId="0" applyFill="1"/>
    <xf numFmtId="166" fontId="0" fillId="0" borderId="0" xfId="1" applyNumberFormat="1" applyFont="1"/>
    <xf numFmtId="2" fontId="0" fillId="0" borderId="0" xfId="0" applyNumberFormat="1"/>
    <xf numFmtId="166" fontId="0" fillId="0" borderId="0" xfId="0" applyNumberFormat="1"/>
    <xf numFmtId="1" fontId="0" fillId="9" borderId="0" xfId="0" applyNumberFormat="1" applyFill="1"/>
    <xf numFmtId="166" fontId="0" fillId="0" borderId="1" xfId="1" applyNumberFormat="1" applyFont="1" applyBorder="1" applyAlignment="1">
      <alignment horizontal="center" vertical="center"/>
    </xf>
    <xf numFmtId="166" fontId="0" fillId="8" borderId="0" xfId="1" applyNumberFormat="1" applyFont="1" applyFill="1"/>
    <xf numFmtId="3" fontId="0" fillId="0" borderId="0" xfId="0" applyNumberFormat="1"/>
    <xf numFmtId="3" fontId="0" fillId="8" borderId="0" xfId="0" applyNumberFormat="1" applyFill="1"/>
    <xf numFmtId="3" fontId="0" fillId="0" borderId="1" xfId="0" applyNumberFormat="1" applyBorder="1" applyAlignment="1">
      <alignment horizontal="center" vertical="center"/>
    </xf>
    <xf numFmtId="3" fontId="0" fillId="7" borderId="0" xfId="0" applyNumberFormat="1" applyFill="1"/>
    <xf numFmtId="0" fontId="0" fillId="10" borderId="0" xfId="0" applyFill="1"/>
    <xf numFmtId="165" fontId="0" fillId="10" borderId="0" xfId="0" applyNumberFormat="1" applyFill="1"/>
    <xf numFmtId="14" fontId="0" fillId="11" borderId="0" xfId="0" applyNumberFormat="1" applyFill="1"/>
    <xf numFmtId="0" fontId="0" fillId="11" borderId="0" xfId="0" applyFill="1"/>
    <xf numFmtId="0" fontId="0" fillId="11" borderId="0" xfId="0" applyFill="1" applyAlignment="1">
      <alignment horizontal="center" vertical="center" wrapText="1"/>
    </xf>
    <xf numFmtId="165" fontId="0" fillId="11" borderId="0" xfId="0" applyNumberFormat="1" applyFill="1"/>
    <xf numFmtId="166" fontId="0" fillId="11" borderId="0" xfId="1" applyNumberFormat="1" applyFont="1" applyFill="1"/>
    <xf numFmtId="1" fontId="0" fillId="6" borderId="0" xfId="0" applyNumberFormat="1" applyFill="1"/>
    <xf numFmtId="166" fontId="0" fillId="0" borderId="0" xfId="1" applyNumberFormat="1" applyFont="1" applyFill="1"/>
    <xf numFmtId="167" fontId="0" fillId="0" borderId="0" xfId="1" applyNumberFormat="1" applyFont="1"/>
    <xf numFmtId="168" fontId="0" fillId="0" borderId="0" xfId="0" applyNumberFormat="1"/>
    <xf numFmtId="42" fontId="0" fillId="0" borderId="1" xfId="4" applyFont="1" applyFill="1" applyBorder="1" applyAlignment="1">
      <alignment horizontal="center" vertical="center" wrapText="1"/>
    </xf>
    <xf numFmtId="42" fontId="0" fillId="0" borderId="9" xfId="4" applyFont="1" applyFill="1" applyBorder="1" applyAlignment="1">
      <alignment horizontal="center" vertical="center" wrapText="1"/>
    </xf>
    <xf numFmtId="3" fontId="6" fillId="5" borderId="10" xfId="5" applyNumberFormat="1" applyBorder="1" applyAlignment="1">
      <alignment horizontal="center" vertical="center" wrapText="1"/>
    </xf>
    <xf numFmtId="164" fontId="6" fillId="5" borderId="5" xfId="5" applyNumberFormat="1" applyBorder="1" applyAlignment="1">
      <alignment horizontal="center" vertical="center" wrapText="1"/>
    </xf>
    <xf numFmtId="3" fontId="6" fillId="5" borderId="11" xfId="5" applyNumberFormat="1" applyBorder="1" applyAlignment="1">
      <alignment horizontal="center" vertical="center" wrapText="1"/>
    </xf>
    <xf numFmtId="164" fontId="6" fillId="5" borderId="6" xfId="5" applyNumberFormat="1" applyBorder="1" applyAlignment="1">
      <alignment horizontal="center" vertical="center" wrapText="1"/>
    </xf>
    <xf numFmtId="3" fontId="6" fillId="5" borderId="21" xfId="5" applyNumberFormat="1" applyBorder="1" applyAlignment="1">
      <alignment horizontal="center" vertical="center" wrapText="1"/>
    </xf>
    <xf numFmtId="164" fontId="6" fillId="5" borderId="8" xfId="5" applyNumberFormat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 wrapText="1"/>
    </xf>
    <xf numFmtId="164" fontId="8" fillId="0" borderId="1" xfId="4" applyNumberFormat="1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 wrapText="1"/>
    </xf>
    <xf numFmtId="0" fontId="0" fillId="0" borderId="1" xfId="0" applyBorder="1"/>
    <xf numFmtId="165" fontId="0" fillId="0" borderId="1" xfId="0" applyNumberFormat="1" applyBorder="1"/>
    <xf numFmtId="166" fontId="0" fillId="0" borderId="1" xfId="1" applyNumberFormat="1" applyFont="1" applyBorder="1"/>
    <xf numFmtId="0" fontId="0" fillId="6" borderId="0" xfId="0" applyFill="1"/>
    <xf numFmtId="164" fontId="6" fillId="5" borderId="34" xfId="5" applyNumberFormat="1" applyBorder="1" applyAlignment="1">
      <alignment horizontal="center" vertical="center" wrapText="1"/>
    </xf>
    <xf numFmtId="164" fontId="6" fillId="5" borderId="9" xfId="5" applyNumberFormat="1" applyBorder="1" applyAlignment="1">
      <alignment horizontal="center" vertical="center" wrapText="1"/>
    </xf>
    <xf numFmtId="3" fontId="6" fillId="5" borderId="36" xfId="5" applyNumberFormat="1" applyBorder="1" applyAlignment="1">
      <alignment horizontal="center" vertical="center" wrapText="1"/>
    </xf>
    <xf numFmtId="3" fontId="6" fillId="5" borderId="15" xfId="5" applyNumberFormat="1" applyBorder="1" applyAlignment="1">
      <alignment horizontal="center" vertical="center" wrapText="1"/>
    </xf>
    <xf numFmtId="14" fontId="6" fillId="5" borderId="3" xfId="5" applyNumberFormat="1" applyBorder="1" applyAlignment="1">
      <alignment horizontal="center" vertical="center" wrapText="1"/>
    </xf>
    <xf numFmtId="4" fontId="6" fillId="5" borderId="3" xfId="5" applyNumberFormat="1" applyBorder="1" applyAlignment="1">
      <alignment horizontal="center" vertical="center" wrapText="1"/>
    </xf>
    <xf numFmtId="164" fontId="6" fillId="5" borderId="3" xfId="5" applyNumberFormat="1" applyBorder="1" applyAlignment="1">
      <alignment horizontal="center" wrapText="1"/>
    </xf>
    <xf numFmtId="1" fontId="6" fillId="5" borderId="3" xfId="5" applyNumberFormat="1" applyBorder="1" applyAlignment="1">
      <alignment horizontal="center" wrapText="1"/>
    </xf>
    <xf numFmtId="164" fontId="6" fillId="5" borderId="3" xfId="5" applyNumberFormat="1" applyBorder="1" applyAlignment="1">
      <alignment horizontal="center" vertical="center" wrapText="1"/>
    </xf>
    <xf numFmtId="164" fontId="6" fillId="5" borderId="19" xfId="5" applyNumberFormat="1" applyBorder="1" applyAlignment="1">
      <alignment horizontal="center" vertical="center" wrapText="1"/>
    </xf>
    <xf numFmtId="3" fontId="6" fillId="5" borderId="17" xfId="5" applyNumberFormat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3" fontId="6" fillId="5" borderId="1" xfId="5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12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4" fontId="0" fillId="0" borderId="1" xfId="1" applyFont="1" applyBorder="1"/>
    <xf numFmtId="14" fontId="0" fillId="0" borderId="1" xfId="0" applyNumberFormat="1" applyBorder="1" applyAlignment="1">
      <alignment horizontal="center"/>
    </xf>
    <xf numFmtId="166" fontId="0" fillId="0" borderId="1" xfId="1" applyNumberFormat="1" applyFont="1" applyBorder="1" applyAlignment="1">
      <alignment horizontal="center"/>
    </xf>
    <xf numFmtId="166" fontId="0" fillId="0" borderId="1" xfId="0" applyNumberFormat="1" applyBorder="1"/>
    <xf numFmtId="0" fontId="0" fillId="13" borderId="15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166" fontId="0" fillId="13" borderId="1" xfId="1" applyNumberFormat="1" applyFont="1" applyFill="1" applyBorder="1" applyAlignment="1">
      <alignment horizontal="center"/>
    </xf>
    <xf numFmtId="166" fontId="0" fillId="13" borderId="1" xfId="1" applyNumberFormat="1" applyFont="1" applyFill="1" applyBorder="1"/>
    <xf numFmtId="0" fontId="0" fillId="13" borderId="1" xfId="0" applyFill="1" applyBorder="1"/>
    <xf numFmtId="0" fontId="0" fillId="11" borderId="1" xfId="0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/>
    </xf>
    <xf numFmtId="0" fontId="0" fillId="9" borderId="1" xfId="0" applyFill="1" applyBorder="1" applyAlignment="1">
      <alignment horizontal="center"/>
    </xf>
    <xf numFmtId="170" fontId="0" fillId="0" borderId="0" xfId="27" applyNumberFormat="1" applyFont="1"/>
    <xf numFmtId="0" fontId="10" fillId="0" borderId="39" xfId="0" applyFont="1" applyBorder="1"/>
    <xf numFmtId="0" fontId="0" fillId="0" borderId="40" xfId="0" applyBorder="1" applyAlignment="1">
      <alignment horizontal="center"/>
    </xf>
    <xf numFmtId="171" fontId="0" fillId="0" borderId="0" xfId="27" applyNumberFormat="1" applyFont="1"/>
    <xf numFmtId="0" fontId="11" fillId="0" borderId="39" xfId="0" applyFont="1" applyBorder="1"/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/>
    </xf>
    <xf numFmtId="0" fontId="0" fillId="6" borderId="40" xfId="0" applyFill="1" applyBorder="1" applyAlignment="1">
      <alignment horizontal="center"/>
    </xf>
    <xf numFmtId="0" fontId="0" fillId="6" borderId="35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166" fontId="0" fillId="6" borderId="1" xfId="1" applyNumberFormat="1" applyFont="1" applyFill="1" applyBorder="1" applyAlignment="1">
      <alignment horizontal="center"/>
    </xf>
    <xf numFmtId="166" fontId="0" fillId="6" borderId="1" xfId="1" applyNumberFormat="1" applyFont="1" applyFill="1" applyBorder="1"/>
    <xf numFmtId="0" fontId="0" fillId="6" borderId="1" xfId="0" applyFill="1" applyBorder="1"/>
    <xf numFmtId="3" fontId="8" fillId="17" borderId="1" xfId="0" applyNumberFormat="1" applyFont="1" applyFill="1" applyBorder="1" applyAlignment="1">
      <alignment horizontal="center" vertical="center" wrapText="1"/>
    </xf>
    <xf numFmtId="164" fontId="8" fillId="17" borderId="1" xfId="4" applyNumberFormat="1" applyFont="1" applyFill="1" applyBorder="1" applyAlignment="1">
      <alignment horizontal="center" vertical="center" wrapText="1"/>
    </xf>
    <xf numFmtId="169" fontId="0" fillId="17" borderId="1" xfId="0" applyNumberFormat="1" applyFill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44" fontId="0" fillId="17" borderId="1" xfId="1" applyFont="1" applyFill="1" applyBorder="1" applyAlignment="1">
      <alignment horizontal="center" vertical="center" wrapText="1"/>
    </xf>
    <xf numFmtId="14" fontId="0" fillId="18" borderId="1" xfId="0" applyNumberFormat="1" applyFill="1" applyBorder="1" applyAlignment="1">
      <alignment horizontal="center" vertical="center"/>
    </xf>
    <xf numFmtId="3" fontId="0" fillId="18" borderId="1" xfId="0" applyNumberFormat="1" applyFill="1" applyBorder="1" applyAlignment="1">
      <alignment horizontal="center" vertical="center"/>
    </xf>
    <xf numFmtId="164" fontId="0" fillId="18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/>
    </xf>
    <xf numFmtId="0" fontId="0" fillId="18" borderId="1" xfId="0" applyFill="1" applyBorder="1"/>
    <xf numFmtId="0" fontId="12" fillId="0" borderId="39" xfId="0" applyFont="1" applyBorder="1"/>
    <xf numFmtId="0" fontId="7" fillId="13" borderId="1" xfId="0" applyFont="1" applyFill="1" applyBorder="1" applyAlignment="1">
      <alignment horizontal="center" wrapText="1"/>
    </xf>
    <xf numFmtId="0" fontId="0" fillId="7" borderId="1" xfId="0" applyFill="1" applyBorder="1" applyAlignment="1">
      <alignment horizontal="center"/>
    </xf>
    <xf numFmtId="164" fontId="0" fillId="0" borderId="25" xfId="1" applyNumberFormat="1" applyFont="1" applyBorder="1" applyAlignment="1">
      <alignment horizontal="center" vertical="center" wrapText="1"/>
    </xf>
    <xf numFmtId="44" fontId="0" fillId="0" borderId="23" xfId="1" applyFont="1" applyBorder="1" applyAlignment="1">
      <alignment horizontal="center" vertical="center" wrapText="1"/>
    </xf>
    <xf numFmtId="44" fontId="0" fillId="0" borderId="26" xfId="1" applyFont="1" applyBorder="1" applyAlignment="1">
      <alignment horizontal="center" vertical="center" wrapText="1"/>
    </xf>
    <xf numFmtId="44" fontId="0" fillId="0" borderId="25" xfId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44" fontId="0" fillId="0" borderId="24" xfId="1" applyFont="1" applyBorder="1" applyAlignment="1">
      <alignment horizontal="center" vertical="center" wrapText="1"/>
    </xf>
    <xf numFmtId="44" fontId="0" fillId="0" borderId="0" xfId="1" applyFont="1" applyBorder="1" applyAlignment="1">
      <alignment horizontal="center" vertical="center" wrapText="1"/>
    </xf>
    <xf numFmtId="44" fontId="0" fillId="0" borderId="31" xfId="1" applyFont="1" applyBorder="1" applyAlignment="1">
      <alignment horizontal="center" vertical="center" wrapText="1"/>
    </xf>
    <xf numFmtId="44" fontId="0" fillId="0" borderId="28" xfId="1" applyFont="1" applyBorder="1" applyAlignment="1">
      <alignment horizontal="center" vertical="center" wrapText="1"/>
    </xf>
    <xf numFmtId="44" fontId="0" fillId="0" borderId="29" xfId="1" applyFont="1" applyBorder="1" applyAlignment="1">
      <alignment horizontal="center" vertical="center" wrapText="1"/>
    </xf>
    <xf numFmtId="44" fontId="0" fillId="0" borderId="20" xfId="1" applyFont="1" applyBorder="1" applyAlignment="1">
      <alignment horizontal="center" vertical="center" wrapText="1"/>
    </xf>
    <xf numFmtId="44" fontId="0" fillId="0" borderId="22" xfId="1" applyFont="1" applyBorder="1" applyAlignment="1">
      <alignment horizontal="center" vertical="center" wrapText="1"/>
    </xf>
    <xf numFmtId="44" fontId="0" fillId="0" borderId="27" xfId="1" applyFont="1" applyBorder="1" applyAlignment="1">
      <alignment horizontal="center" vertical="center" wrapText="1"/>
    </xf>
    <xf numFmtId="44" fontId="0" fillId="0" borderId="32" xfId="1" applyFont="1" applyBorder="1" applyAlignment="1">
      <alignment horizontal="center" vertical="center" wrapText="1"/>
    </xf>
    <xf numFmtId="44" fontId="0" fillId="0" borderId="33" xfId="1" applyFont="1" applyBorder="1" applyAlignment="1">
      <alignment horizontal="center" vertical="center" wrapText="1"/>
    </xf>
    <xf numFmtId="44" fontId="0" fillId="0" borderId="2" xfId="1" applyFont="1" applyBorder="1" applyAlignment="1">
      <alignment horizontal="center" vertical="center" wrapText="1"/>
    </xf>
    <xf numFmtId="44" fontId="0" fillId="0" borderId="35" xfId="1" applyFont="1" applyBorder="1" applyAlignment="1">
      <alignment horizontal="center" vertical="center" wrapText="1"/>
    </xf>
    <xf numFmtId="44" fontId="0" fillId="0" borderId="3" xfId="1" applyFont="1" applyBorder="1" applyAlignment="1">
      <alignment horizontal="center" vertical="center" wrapText="1"/>
    </xf>
    <xf numFmtId="164" fontId="0" fillId="0" borderId="2" xfId="1" applyNumberFormat="1" applyFont="1" applyBorder="1" applyAlignment="1">
      <alignment horizontal="center" vertical="center" wrapText="1"/>
    </xf>
    <xf numFmtId="164" fontId="0" fillId="0" borderId="35" xfId="1" applyNumberFormat="1" applyFont="1" applyBorder="1" applyAlignment="1">
      <alignment horizontal="center" vertical="center" wrapText="1"/>
    </xf>
    <xf numFmtId="164" fontId="0" fillId="0" borderId="3" xfId="1" applyNumberFormat="1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77">
    <cellStyle name="Énfasis1" xfId="5" builtinId="29"/>
    <cellStyle name="Millares" xfId="27" builtinId="3"/>
    <cellStyle name="Millares 2" xfId="17" xr:uid="{C1534EBF-4717-4377-A166-33369B066A65}"/>
    <cellStyle name="Millares 2 2" xfId="53" xr:uid="{B7F95724-5CCA-4F4C-9EEA-AC3053520221}"/>
    <cellStyle name="Millares 3" xfId="26" xr:uid="{71349B33-D5C8-4495-9FB7-8862A219D76B}"/>
    <cellStyle name="Millares 3 2" xfId="62" xr:uid="{961ACD6C-AD20-4D56-B098-8AECFB72EEA7}"/>
    <cellStyle name="Millares 4" xfId="35" xr:uid="{9F2C088C-8FB8-4FEF-9F1D-DAB5211B905D}"/>
    <cellStyle name="Millares 4 2" xfId="71" xr:uid="{BBF0B075-EAA1-490C-9517-B26197E30A86}"/>
    <cellStyle name="Millares 5" xfId="63" xr:uid="{5A0C368C-290A-4F6C-99C5-95639AB1460E}"/>
    <cellStyle name="Moneda" xfId="1" builtinId="4"/>
    <cellStyle name="Moneda [0]" xfId="4" builtinId="7"/>
    <cellStyle name="Moneda [0] 2" xfId="2" xr:uid="{34657162-17BF-4D3D-AD3F-8638C1AA1DC2}"/>
    <cellStyle name="Moneda [0] 2 2" xfId="8" xr:uid="{2308E73E-EBA4-4CB5-8BDE-39802C9FA1E1}"/>
    <cellStyle name="Moneda [0] 2 2 2" xfId="44" xr:uid="{3B2D5B3D-B98E-402B-8224-AE626563B449}"/>
    <cellStyle name="Moneda [0] 2 3" xfId="14" xr:uid="{9584A17A-B818-4D26-B0FA-D3239A66B350}"/>
    <cellStyle name="Moneda [0] 2 3 2" xfId="50" xr:uid="{D1761D5C-C94D-492A-B263-39407AA1C56C}"/>
    <cellStyle name="Moneda [0] 2 4" xfId="23" xr:uid="{8977C4FF-BB7E-4039-B9BD-9DBCE822F537}"/>
    <cellStyle name="Moneda [0] 2 4 2" xfId="59" xr:uid="{2641DCF5-1132-4406-8B1B-19EE55068448}"/>
    <cellStyle name="Moneda [0] 2 5" xfId="32" xr:uid="{07B8F464-ED13-4788-AB04-306AA42AB557}"/>
    <cellStyle name="Moneda [0] 2 5 2" xfId="68" xr:uid="{37B43809-6A7E-46F5-8BBA-3036242E531E}"/>
    <cellStyle name="Moneda [0] 2 6" xfId="38" xr:uid="{E25DA4AB-CACD-4758-ACCA-4AF336F2E1C5}"/>
    <cellStyle name="Moneda [0] 3" xfId="6" xr:uid="{1FC55FF1-9B89-4D80-961F-1626CC604C46}"/>
    <cellStyle name="Moneda [0] 3 2" xfId="42" xr:uid="{D04DCCC8-25B2-48FB-BA0E-55062CFB4516}"/>
    <cellStyle name="Moneda [0] 4" xfId="12" xr:uid="{243DF11D-A3EC-486D-80CA-5D443A0F674A}"/>
    <cellStyle name="Moneda [0] 4 2" xfId="48" xr:uid="{22E24BEB-E094-4A17-A52E-547B554AEC71}"/>
    <cellStyle name="Moneda [0] 5" xfId="21" xr:uid="{3A7518ED-6BAE-4136-9DCF-77A96E7EB14F}"/>
    <cellStyle name="Moneda [0] 5 2" xfId="57" xr:uid="{90898BEB-8251-412F-9355-D305153D7300}"/>
    <cellStyle name="Moneda [0] 6" xfId="30" xr:uid="{309F148B-2EE3-4B78-B94B-385954D904BE}"/>
    <cellStyle name="Moneda [0] 6 2" xfId="66" xr:uid="{A5F3EF89-59AC-4E4E-8FDD-0D6BA4846C2F}"/>
    <cellStyle name="Moneda [0] 7" xfId="40" xr:uid="{809DB7A5-4FF3-4D34-805C-CBD920ED2C72}"/>
    <cellStyle name="Moneda 10" xfId="22" xr:uid="{237600F0-FA59-4018-B7B0-5F18BD9EF842}"/>
    <cellStyle name="Moneda 10 2" xfId="58" xr:uid="{AAC040E0-2BF6-4145-A199-BFC93636C5FE}"/>
    <cellStyle name="Moneda 11" xfId="29" xr:uid="{949C84A5-6A33-439B-9FD5-5598B47604C4}"/>
    <cellStyle name="Moneda 11 2" xfId="65" xr:uid="{ECE08924-0B5B-40C3-A162-7D7D6CF3D9E5}"/>
    <cellStyle name="Moneda 12" xfId="31" xr:uid="{A8CCDDB0-2D2D-4A0C-8844-A495F223B39E}"/>
    <cellStyle name="Moneda 12 2" xfId="67" xr:uid="{73CFC901-E887-449B-91F4-AF1EB9E6B2F3}"/>
    <cellStyle name="Moneda 13" xfId="37" xr:uid="{06EE3D89-ECAF-48F7-88D5-BC7C9D3EAEA2}"/>
    <cellStyle name="Moneda 14" xfId="36" xr:uid="{EE3F238C-E411-457F-8E21-ABD89912ADDF}"/>
    <cellStyle name="Moneda 15" xfId="64" xr:uid="{0B9E5165-2FC1-415D-9FB0-0EC0EE4F9F27}"/>
    <cellStyle name="Moneda 16" xfId="75" xr:uid="{0B037CCB-70E0-4880-8894-CDF4920EB6C6}"/>
    <cellStyle name="Moneda 17" xfId="41" xr:uid="{C72B6F49-D407-4313-A803-9BD234335EC6}"/>
    <cellStyle name="Moneda 18" xfId="73" xr:uid="{99CB5A01-1072-4E21-802B-C08FF75037D2}"/>
    <cellStyle name="Moneda 19" xfId="76" xr:uid="{806BE8C3-933B-4707-96F9-731FD9F69BBB}"/>
    <cellStyle name="Moneda 2" xfId="3" xr:uid="{BB88CC65-1233-478D-B027-A0F5BD59EC92}"/>
    <cellStyle name="Moneda 2 2" xfId="9" xr:uid="{527AF1FC-DE6F-4C5F-9512-6E3727C03410}"/>
    <cellStyle name="Moneda 2 2 2" xfId="45" xr:uid="{DC6CF21B-47BD-415F-A8B8-1691E0B89993}"/>
    <cellStyle name="Moneda 2 3" xfId="15" xr:uid="{C6B16A27-F8D3-4917-BFAC-1DB87E9E7B2C}"/>
    <cellStyle name="Moneda 2 3 2" xfId="51" xr:uid="{8AB7A90B-637E-485B-9283-F8E7E2893DB9}"/>
    <cellStyle name="Moneda 2 4" xfId="24" xr:uid="{193DF8B7-106E-4535-8E02-B6BBB6E4C204}"/>
    <cellStyle name="Moneda 2 4 2" xfId="60" xr:uid="{84B6BAF6-3B00-4617-927C-D8E702453720}"/>
    <cellStyle name="Moneda 2 5" xfId="33" xr:uid="{9BA06ED3-AF2B-4855-9A9B-09E9C37B7D28}"/>
    <cellStyle name="Moneda 2 5 2" xfId="69" xr:uid="{0264DFB0-9541-41C9-9CAC-462A7F737B9D}"/>
    <cellStyle name="Moneda 2 6" xfId="39" xr:uid="{CB2D31D7-EB66-4344-A5CB-4029E4D658F8}"/>
    <cellStyle name="Moneda 20" xfId="72" xr:uid="{3C709A5D-1034-4CC0-A8C7-F6B68E42BE21}"/>
    <cellStyle name="Moneda 21" xfId="74" xr:uid="{10AF242E-267B-4A8C-859A-F1CC21FA03E3}"/>
    <cellStyle name="Moneda 3" xfId="10" xr:uid="{28C1B636-2523-4466-9B2D-910465FA63FD}"/>
    <cellStyle name="Moneda 3 2" xfId="16" xr:uid="{72684F5A-2998-47EE-BE8D-563ED0ACF011}"/>
    <cellStyle name="Moneda 3 2 2" xfId="52" xr:uid="{E0174DD5-2668-477A-9C12-6043CEC91F99}"/>
    <cellStyle name="Moneda 3 3" xfId="25" xr:uid="{DB5A074A-6113-4231-8D1B-25539AA5893B}"/>
    <cellStyle name="Moneda 3 3 2" xfId="61" xr:uid="{BFCF8F3F-32D8-43AE-9BA6-EE458A8EA1EB}"/>
    <cellStyle name="Moneda 3 4" xfId="34" xr:uid="{9962A3CC-FB70-4986-A6E8-FA88A8B495E8}"/>
    <cellStyle name="Moneda 3 4 2" xfId="70" xr:uid="{5D1D147D-0CB7-4538-8A93-972537BC234E}"/>
    <cellStyle name="Moneda 3 5" xfId="46" xr:uid="{A2925E2A-DAE8-4537-B232-371632908014}"/>
    <cellStyle name="Moneda 4" xfId="7" xr:uid="{B45B6F78-8CA2-490D-9A4D-4C0ABAE87ECB}"/>
    <cellStyle name="Moneda 4 2" xfId="43" xr:uid="{C2E77B6E-C8B7-49B2-B110-5F630473A407}"/>
    <cellStyle name="Moneda 5" xfId="11" xr:uid="{33B11A7D-BE82-4992-85AF-2727637DBC7C}"/>
    <cellStyle name="Moneda 5 2" xfId="47" xr:uid="{4D5DF27C-407D-4EEC-82EC-AC47A6C7EFE2}"/>
    <cellStyle name="Moneda 6" xfId="13" xr:uid="{2BBCDC73-D96F-4B68-8B63-FEDF644F9258}"/>
    <cellStyle name="Moneda 6 2" xfId="49" xr:uid="{BF60A68D-E68D-4624-AC74-B076ECFC1EB8}"/>
    <cellStyle name="Moneda 7" xfId="19" xr:uid="{2CAAE174-8D81-4871-AF86-347560E5E3C5}"/>
    <cellStyle name="Moneda 7 2" xfId="55" xr:uid="{502A12FC-08A8-41E3-A6FC-67B1A68DFCB2}"/>
    <cellStyle name="Moneda 8" xfId="20" xr:uid="{6EFC7056-797F-405B-BE25-03241117E4A2}"/>
    <cellStyle name="Moneda 8 2" xfId="56" xr:uid="{76CD4584-BEBE-443D-B783-F6163FC19E7F}"/>
    <cellStyle name="Moneda 9" xfId="18" xr:uid="{CADE6804-1355-4335-83B9-564734A66973}"/>
    <cellStyle name="Moneda 9 2" xfId="54" xr:uid="{A7A63196-CC54-43AA-ACFC-FC0AFC0CCB85}"/>
    <cellStyle name="Normal" xfId="0" builtinId="0"/>
    <cellStyle name="Porcentaje 2" xfId="28" xr:uid="{485B8FE6-1103-432B-993A-4C7C1478D9C5}"/>
  </cellStyles>
  <dxfs count="60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\ 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\ #,##0"/>
      <alignment horizontal="center" vertical="bottom" textRotation="0" wrapText="0" indent="0" justifyLastLine="0" shrinkToFit="0" readingOrder="0"/>
    </dxf>
    <dxf>
      <numFmt numFmtId="164" formatCode="&quot;$&quot;\ 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\ #,##0"/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\ 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/mm/yyyy"/>
      <alignment horizontal="center" vertical="center" textRotation="0" wrapText="0" indent="0" justifyLastLine="0" shrinkToFit="0" readingOrder="0"/>
    </dxf>
    <dxf>
      <numFmt numFmtId="19" formatCode="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/mm/yyyy"/>
      <alignment horizontal="center" vertical="center" textRotation="0" wrapText="0" indent="0" justifyLastLine="0" shrinkToFit="0" readingOrder="0"/>
    </dxf>
    <dxf>
      <numFmt numFmtId="19" formatCode="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/mm/yyyy"/>
      <alignment horizontal="center" vertical="center" textRotation="0" wrapText="0" indent="0" justifyLastLine="0" shrinkToFit="0" readingOrder="0"/>
    </dxf>
    <dxf>
      <numFmt numFmtId="19" formatCode="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/mm/yyyy"/>
      <alignment horizontal="center" vertical="center" textRotation="0" wrapText="0" indent="0" justifyLastLine="0" shrinkToFit="0" readingOrder="0"/>
    </dxf>
    <dxf>
      <numFmt numFmtId="19" formatCode="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/mm/yyyy"/>
      <alignment horizontal="center" vertical="center" textRotation="0" wrapText="0" indent="0" justifyLastLine="0" shrinkToFit="0" readingOrder="0"/>
    </dxf>
    <dxf>
      <numFmt numFmtId="19" formatCode="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/mm/yyyy"/>
      <alignment horizontal="center" vertical="center" textRotation="0" wrapText="0" indent="0" justifyLastLine="0" shrinkToFit="0" readingOrder="0"/>
    </dxf>
    <dxf>
      <numFmt numFmtId="19" formatCode="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/mm/yyyy"/>
      <alignment horizontal="center" vertical="center" textRotation="0" wrapText="0" indent="0" justifyLastLine="0" shrinkToFit="0" readingOrder="0"/>
    </dxf>
    <dxf>
      <numFmt numFmtId="19" formatCode="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4" formatCode="&quot;$&quot;\ #,##0"/>
      <alignment horizontal="center" vertical="center" textRotation="0" wrapText="0" indent="0" justifyLastLine="0" shrinkToFit="0" readingOrder="0"/>
    </dxf>
    <dxf>
      <numFmt numFmtId="164" formatCode="&quot;$&quot;\ #,##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\ #,##0"/>
      <alignment horizontal="center" vertical="center" textRotation="0" wrapText="0" indent="0" justifyLastLine="0" shrinkToFit="0" readingOrder="0"/>
    </dxf>
    <dxf>
      <numFmt numFmtId="164" formatCode="&quot;$&quot;\ #,##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\ #,##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\ #,##0"/>
      <alignment horizontal="center" vertical="bottom" textRotation="0" wrapText="0" indent="0" justifyLastLine="0" shrinkToFit="0" readingOrder="0"/>
    </dxf>
    <dxf>
      <numFmt numFmtId="164" formatCode="&quot;$&quot;\ #,##0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\ #,##0"/>
      <alignment horizontal="center" vertical="bottom" textRotation="0" wrapText="0" indent="0" justifyLastLine="0" shrinkToFit="0" readingOrder="0"/>
    </dxf>
    <dxf>
      <numFmt numFmtId="164" formatCode="&quot;$&quot;\ #,##0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\ #,##0"/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\ #,##0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/mm/yyyy"/>
      <alignment horizontal="center" vertical="center" textRotation="0" wrapText="0" indent="0" justifyLastLine="0" shrinkToFit="0" readingOrder="0"/>
    </dxf>
    <dxf>
      <numFmt numFmtId="19" formatCode="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2" formatCode="_-&quot;$&quot;\ * #,##0_-;\-&quot;$&quot;\ * #,##0_-;_-&quot;$&quot;\ * &quot;-&quot;_-;_-@_-"/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\ 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fill>
        <patternFill patternType="none">
          <fgColor theme="4" tint="0.59999389629810485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fill>
        <patternFill patternType="none">
          <fgColor theme="4" tint="0.79998168889431442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vertical="center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theme="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7BC4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9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3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5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Disposición Lodos VS Transporte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CEE-4694-A147-E4908E9F0EA1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CEE-4694-A147-E4908E9F0EA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'Balance Agua Trata Vs Lodo Gene'!$E$1:$F$2</c15:sqref>
                  </c15:fullRef>
                  <c15:levelRef>
                    <c15:sqref>'Balance Agua Trata Vs Lodo Gene'!$E$1:$F$1</c15:sqref>
                  </c15:levelRef>
                </c:ext>
              </c:extLst>
              <c:f>'Balance Agua Trata Vs Lodo Gene'!$E$1:$F$1</c:f>
              <c:strCache>
                <c:ptCount val="2"/>
                <c:pt idx="0">
                  <c:v>Valor Disposición de Lodo (SIN IVA)</c:v>
                </c:pt>
                <c:pt idx="1">
                  <c:v>Valor Transporte</c:v>
                </c:pt>
              </c:strCache>
            </c:strRef>
          </c:cat>
          <c:val>
            <c:numRef>
              <c:f>'Balance Agua Trata Vs Lodo Gene'!$E$15:$F$15</c:f>
              <c:numCache>
                <c:formatCode>"$"\ #,##0</c:formatCode>
                <c:ptCount val="2"/>
                <c:pt idx="0">
                  <c:v>0</c:v>
                </c:pt>
                <c:pt idx="1">
                  <c:v>37040000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FD-41B6-AB8C-EF742AB173F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INDICADOR</a:t>
            </a:r>
            <a:r>
              <a:rPr lang="es-CO" b="1" baseline="0"/>
              <a:t> GENERACION Kg/m3</a:t>
            </a:r>
            <a:endParaRPr lang="es-CO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'Balance Agua Trata Vs Lodo Gene'!$C$1:$C$2</c:f>
              <c:strCache>
                <c:ptCount val="2"/>
                <c:pt idx="0">
                  <c:v>Agua Tratada PTAR </c:v>
                </c:pt>
                <c:pt idx="1">
                  <c:v>(m3)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#" sourceLinked="0"/>
            <c:spPr>
              <a:solidFill>
                <a:schemeClr val="l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'Balance Agua Trata Vs Lodo Gene'!$B$3:$B$14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'Balance Agua Trata Vs Lodo Gene'!$C$3:$C$14</c:f>
              <c:numCache>
                <c:formatCode>0</c:formatCode>
                <c:ptCount val="12"/>
                <c:pt idx="0">
                  <c:v>43573.271397220189</c:v>
                </c:pt>
                <c:pt idx="1">
                  <c:v>48224.5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FE-43FF-A3FF-DF05EDAE4172}"/>
            </c:ext>
          </c:extLst>
        </c:ser>
        <c:ser>
          <c:idx val="6"/>
          <c:order val="6"/>
          <c:tx>
            <c:strRef>
              <c:f>'Balance Agua Trata Vs Lodo Gene'!$I$1:$I$2</c:f>
              <c:strCache>
                <c:ptCount val="2"/>
                <c:pt idx="0">
                  <c:v>Indicador Disposición de Lodos Generados PTAR ($/m3)</c:v>
                </c:pt>
                <c:pt idx="1">
                  <c:v>Valor ($/m3 Tratado)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'Balance Agua Trata Vs Lodo Gene'!$B$3:$B$14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'Balance Agua Trata Vs Lodo Gene'!$I$3:$I$14</c:f>
            </c:numRef>
          </c:val>
          <c:extLst>
            <c:ext xmlns:c16="http://schemas.microsoft.com/office/drawing/2014/chart" uri="{C3380CC4-5D6E-409C-BE32-E72D297353CC}">
              <c16:uniqueId val="{00000006-9BFE-43FF-A3FF-DF05EDAE4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35099984"/>
        <c:axId val="153509374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'Balance Agua Trata Vs Lodo Gene'!$D$1:$D$2</c15:sqref>
                        </c15:formulaRef>
                      </c:ext>
                    </c:extLst>
                    <c:strCache>
                      <c:ptCount val="2"/>
                      <c:pt idx="0">
                        <c:v>Lodos Generados </c:v>
                      </c:pt>
                      <c:pt idx="1">
                        <c:v>(Kg)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'Balance Agua Trata Vs Lodo Gene'!$B$3:$B$14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'Balance Agua Trata Vs Lodo Gene'!$D$3:$D$13</c15:sqref>
                        </c15:formulaRef>
                      </c:ext>
                    </c:extLst>
                    <c:numCache>
                      <c:formatCode>#,##0</c:formatCode>
                      <c:ptCount val="11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BFE-43FF-A3FF-DF05EDAE4172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'Balance Agua Trata Vs Lodo Gene'!$E$1:$E$2</c15:sqref>
                        </c15:formulaRef>
                      </c:ext>
                    </c:extLst>
                    <c:strCache>
                      <c:ptCount val="2"/>
                      <c:pt idx="0">
                        <c:v>Valor Disposición de Lodo (SIN IVA)</c:v>
                      </c:pt>
                      <c:pt idx="1">
                        <c:v>($)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'Balance Agua Trata Vs Lodo Gene'!$B$3:$B$14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'Balance Agua Trata Vs Lodo Gene'!$E$3:$E$13</c15:sqref>
                        </c15:formulaRef>
                      </c:ext>
                    </c:extLst>
                    <c:numCache>
                      <c:formatCode>"$"\ #,##0</c:formatCode>
                      <c:ptCount val="11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BFE-43FF-A3FF-DF05EDAE4172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'Balance Agua Trata Vs Lodo Gene'!$F$1:$F$2</c15:sqref>
                        </c15:formulaRef>
                      </c:ext>
                    </c:extLst>
                    <c:strCache>
                      <c:ptCount val="2"/>
                      <c:pt idx="0">
                        <c:v>Valor Transporte</c:v>
                      </c:pt>
                      <c:pt idx="1">
                        <c:v>($)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'Balance Agua Trata Vs Lodo Gene'!$B$3:$B$14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'Balance Agua Trata Vs Lodo Gene'!$F$3:$F$13</c15:sqref>
                        </c15:formulaRef>
                      </c:ext>
                    </c:extLst>
                    <c:numCache>
                      <c:formatCode>"$"\ #,##0</c:formatCode>
                      <c:ptCount val="11"/>
                      <c:pt idx="0">
                        <c:v>20540000</c:v>
                      </c:pt>
                      <c:pt idx="1">
                        <c:v>16500000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BFE-43FF-A3FF-DF05EDAE4172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'Balance Agua Trata Vs Lodo Gene'!$G$1:$G$2</c15:sqref>
                        </c15:formulaRef>
                      </c:ext>
                    </c:extLst>
                    <c:strCache>
                      <c:ptCount val="2"/>
                      <c:pt idx="0">
                        <c:v>Costo Total Servicio (Transporte + Disposición)(SIN IVA)</c:v>
                      </c:pt>
                      <c:pt idx="1">
                        <c:v>($)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'Balance Agua Trata Vs Lodo Gene'!$B$3:$B$14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'Balance Agua Trata Vs Lodo Gene'!$G$3:$G$14</c15:sqref>
                        </c15:formulaRef>
                      </c:ext>
                    </c:extLst>
                    <c:numCache>
                      <c:formatCode>"$"\ #,##0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BFE-43FF-A3FF-DF05EDAE4172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'Balance Agua Trata Vs Lodo Gene'!$H$1:$H$2</c15:sqref>
                        </c15:formulaRef>
                      </c:ext>
                    </c:extLst>
                    <c:strCache>
                      <c:ptCount val="2"/>
                      <c:pt idx="0">
                        <c:v>Indicador Global (Generado: Disposición+Transporte)</c:v>
                      </c:pt>
                      <c:pt idx="1">
                        <c:v>($/Kg)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'Balance Agua Trata Vs Lodo Gene'!$B$3:$B$14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'Balance Agua Trata Vs Lodo Gene'!$H$3:$H$14</c15:sqref>
                        </c15:formulaRef>
                      </c:ext>
                    </c:extLst>
                    <c:numCache>
                      <c:formatCode>"$"\ #,##0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BFE-43FF-A3FF-DF05EDAE4172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'Balance Agua Trata Vs Lodo Gene'!$J$1:$J$2</c15:sqref>
                        </c15:formulaRef>
                      </c:ext>
                    </c:extLst>
                    <c:strCache>
                      <c:ptCount val="2"/>
                      <c:pt idx="0">
                        <c:v>Indicador Total (Transporte + Disposición Final)</c:v>
                      </c:pt>
                      <c:pt idx="1">
                        <c:v>Valor ($/m3 de Agua Tratada)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'Balance Agua Trata Vs Lodo Gene'!$B$3:$B$14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'Balance Agua Trata Vs Lodo Gene'!$J$3:$J$14</c15:sqref>
                        </c15:formulaRef>
                      </c:ext>
                    </c:extLst>
                    <c:numCache>
                      <c:formatCode>"$"\ #,##0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BFE-43FF-A3FF-DF05EDAE4172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8"/>
          <c:order val="8"/>
          <c:tx>
            <c:strRef>
              <c:f>'Balance Agua Trata Vs Lodo Gene'!$K$1:$K$2</c:f>
              <c:strCache>
                <c:ptCount val="2"/>
                <c:pt idx="0">
                  <c:v>Indicador de Generación </c:v>
                </c:pt>
                <c:pt idx="1">
                  <c:v>Kg/m3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'Balance Agua Trata Vs Lodo Gene'!$B$3:$B$14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'Balance Agua Trata Vs Lodo Gene'!$K$3:$K$13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BFE-43FF-A3FF-DF05EDAE4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4730415"/>
        <c:axId val="574756815"/>
      </c:lineChart>
      <c:catAx>
        <c:axId val="153509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5093744"/>
        <c:crosses val="autoZero"/>
        <c:auto val="1"/>
        <c:lblAlgn val="ctr"/>
        <c:lblOffset val="100"/>
        <c:noMultiLvlLbl val="0"/>
      </c:catAx>
      <c:valAx>
        <c:axId val="153509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5099984"/>
        <c:crosses val="autoZero"/>
        <c:crossBetween val="between"/>
        <c:majorUnit val="10000"/>
      </c:valAx>
      <c:valAx>
        <c:axId val="574756815"/>
        <c:scaling>
          <c:orientation val="minMax"/>
          <c:min val="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kg/m3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74730415"/>
        <c:crosses val="max"/>
        <c:crossBetween val="between"/>
      </c:valAx>
      <c:catAx>
        <c:axId val="5747304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47568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INDICADOR</a:t>
            </a:r>
            <a:r>
              <a:rPr lang="es-CO" b="1" baseline="0"/>
              <a:t> GENERACION $/Kg</a:t>
            </a:r>
            <a:endParaRPr lang="es-CO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'Balance Agua Trata Vs Lodo Gene'!$D$1:$D$2</c:f>
              <c:strCache>
                <c:ptCount val="2"/>
                <c:pt idx="0">
                  <c:v>Lodos Generados </c:v>
                </c:pt>
                <c:pt idx="1">
                  <c:v>(Kg)</c:v>
                </c:pt>
              </c:strCache>
              <c:extLst xmlns:c15="http://schemas.microsoft.com/office/drawing/2012/chart"/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'Balance Agua Trata Vs Lodo Gene'!$B$3:$B$14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  <c:extLst xmlns:c15="http://schemas.microsoft.com/office/drawing/2012/chart"/>
            </c:strRef>
          </c:cat>
          <c:val>
            <c:numRef>
              <c:f>'Balance Agua Trata Vs Lodo Gene'!$D$3:$D$13</c:f>
              <c:numCache>
                <c:formatCode>#,##0</c:formatCode>
                <c:ptCount val="11"/>
                <c:pt idx="0">
                  <c:v>0</c:v>
                </c:pt>
                <c:pt idx="1">
                  <c:v>0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3-F685-4CB3-90C0-4544B73EF893}"/>
            </c:ext>
          </c:extLst>
        </c:ser>
        <c:ser>
          <c:idx val="6"/>
          <c:order val="6"/>
          <c:tx>
            <c:strRef>
              <c:f>'Balance Agua Trata Vs Lodo Gene'!$I$1:$I$2</c:f>
              <c:strCache>
                <c:ptCount val="2"/>
                <c:pt idx="0">
                  <c:v>Indicador Disposición de Lodos Generados PTAR ($/m3)</c:v>
                </c:pt>
                <c:pt idx="1">
                  <c:v>Valor ($/m3 Tratado)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'Balance Agua Trata Vs Lodo Gene'!$B$3:$B$14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'Balance Agua Trata Vs Lodo Gene'!$I$3:$I$14</c:f>
            </c:numRef>
          </c:val>
          <c:extLst>
            <c:ext xmlns:c16="http://schemas.microsoft.com/office/drawing/2014/chart" uri="{C3380CC4-5D6E-409C-BE32-E72D297353CC}">
              <c16:uniqueId val="{00000001-F685-4CB3-90C0-4544B73EF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35099984"/>
        <c:axId val="153509374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'Balance Agua Trata Vs Lodo Gene'!$C$1:$C$2</c15:sqref>
                        </c15:formulaRef>
                      </c:ext>
                    </c:extLst>
                    <c:strCache>
                      <c:ptCount val="2"/>
                      <c:pt idx="0">
                        <c:v>Agua Tratada PTAR </c:v>
                      </c:pt>
                      <c:pt idx="1">
                        <c:v>(m3)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#,###" sourceLinked="0"/>
                  <c:spPr>
                    <a:solidFill>
                      <a:schemeClr val="l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'Balance Agua Trata Vs Lodo Gene'!$B$3:$B$14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'Balance Agua Trata Vs Lodo Gene'!$C$3:$C$14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43573.271397220189</c:v>
                      </c:pt>
                      <c:pt idx="1">
                        <c:v>48224.5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F685-4CB3-90C0-4544B73EF893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'Balance Agua Trata Vs Lodo Gene'!$E$1:$E$2</c15:sqref>
                        </c15:formulaRef>
                      </c:ext>
                    </c:extLst>
                    <c:strCache>
                      <c:ptCount val="2"/>
                      <c:pt idx="0">
                        <c:v>Valor Disposición de Lodo (SIN IVA)</c:v>
                      </c:pt>
                      <c:pt idx="1">
                        <c:v>($)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'Balance Agua Trata Vs Lodo Gene'!$B$3:$B$14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'Balance Agua Trata Vs Lodo Gene'!$E$3:$E$13</c15:sqref>
                        </c15:formulaRef>
                      </c:ext>
                    </c:extLst>
                    <c:numCache>
                      <c:formatCode>"$"\ #,##0</c:formatCode>
                      <c:ptCount val="11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685-4CB3-90C0-4544B73EF89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'Balance Agua Trata Vs Lodo Gene'!$F$1:$F$2</c15:sqref>
                        </c15:formulaRef>
                      </c:ext>
                    </c:extLst>
                    <c:strCache>
                      <c:ptCount val="2"/>
                      <c:pt idx="0">
                        <c:v>Valor Transporte</c:v>
                      </c:pt>
                      <c:pt idx="1">
                        <c:v>($)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'Balance Agua Trata Vs Lodo Gene'!$B$3:$B$14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'Balance Agua Trata Vs Lodo Gene'!$F$3:$F$13</c15:sqref>
                        </c15:formulaRef>
                      </c:ext>
                    </c:extLst>
                    <c:numCache>
                      <c:formatCode>"$"\ #,##0</c:formatCode>
                      <c:ptCount val="11"/>
                      <c:pt idx="0">
                        <c:v>20540000</c:v>
                      </c:pt>
                      <c:pt idx="1">
                        <c:v>16500000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685-4CB3-90C0-4544B73EF893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'Balance Agua Trata Vs Lodo Gene'!$G$1:$G$2</c15:sqref>
                        </c15:formulaRef>
                      </c:ext>
                    </c:extLst>
                    <c:strCache>
                      <c:ptCount val="2"/>
                      <c:pt idx="0">
                        <c:v>Costo Total Servicio (Transporte + Disposición)(SIN IVA)</c:v>
                      </c:pt>
                      <c:pt idx="1">
                        <c:v>($)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'Balance Agua Trata Vs Lodo Gene'!$B$3:$B$14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'Balance Agua Trata Vs Lodo Gene'!$G$3:$G$14</c15:sqref>
                        </c15:formulaRef>
                      </c:ext>
                    </c:extLst>
                    <c:numCache>
                      <c:formatCode>"$"\ #,##0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685-4CB3-90C0-4544B73EF893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'Balance Agua Trata Vs Lodo Gene'!$J$1:$J$2</c15:sqref>
                        </c15:formulaRef>
                      </c:ext>
                    </c:extLst>
                    <c:strCache>
                      <c:ptCount val="2"/>
                      <c:pt idx="0">
                        <c:v>Indicador Total (Transporte + Disposición Final)</c:v>
                      </c:pt>
                      <c:pt idx="1">
                        <c:v>Valor ($/m3 de Agua Tratada)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'Balance Agua Trata Vs Lodo Gene'!$B$3:$B$14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'Balance Agua Trata Vs Lodo Gene'!$J$3:$J$14</c15:sqref>
                        </c15:formulaRef>
                      </c:ext>
                    </c:extLst>
                    <c:numCache>
                      <c:formatCode>"$"\ #,##0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685-4CB3-90C0-4544B73EF893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5"/>
          <c:order val="5"/>
          <c:tx>
            <c:strRef>
              <c:f>'Balance Agua Trata Vs Lodo Gene'!$H$1:$H$2</c:f>
              <c:strCache>
                <c:ptCount val="2"/>
                <c:pt idx="0">
                  <c:v>Indicador Global (Generado: Disposición+Transporte)</c:v>
                </c:pt>
                <c:pt idx="1">
                  <c:v>($/Kg)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'Balance Agua Trata Vs Lodo Gene'!$B$3:$B$14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  <c:extLst xmlns:c15="http://schemas.microsoft.com/office/drawing/2012/chart"/>
            </c:strRef>
          </c:cat>
          <c:val>
            <c:numRef>
              <c:f>'Balance Agua Trata Vs Lodo Gene'!$H$3:$H$14</c:f>
              <c:numCache>
                <c:formatCode>"$"\ #,##0</c:formatCode>
                <c:ptCount val="12"/>
                <c:pt idx="0">
                  <c:v>0</c:v>
                </c:pt>
                <c:pt idx="1">
                  <c:v>0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7-F685-4CB3-90C0-4544B73EF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4730415"/>
        <c:axId val="574756815"/>
        <c:extLst>
          <c:ext xmlns:c15="http://schemas.microsoft.com/office/drawing/2012/chart" uri="{02D57815-91ED-43cb-92C2-25804820EDAC}">
            <c15:filteredLineSeries>
              <c15:ser>
                <c:idx val="8"/>
                <c:order val="8"/>
                <c:tx>
                  <c:strRef>
                    <c:extLst>
                      <c:ext uri="{02D57815-91ED-43cb-92C2-25804820EDAC}">
                        <c15:formulaRef>
                          <c15:sqref>'Balance Agua Trata Vs Lodo Gene'!$K$1:$K$2</c15:sqref>
                        </c15:formulaRef>
                      </c:ext>
                    </c:extLst>
                    <c:strCache>
                      <c:ptCount val="2"/>
                      <c:pt idx="0">
                        <c:v>Indicador de Generación </c:v>
                      </c:pt>
                      <c:pt idx="1">
                        <c:v>Kg/m3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numFmt formatCode="#,##0.0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'Balance Agua Trata Vs Lodo Gene'!$B$3:$B$14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'Balance Agua Trata Vs Lodo Gene'!$K$3:$K$13</c15:sqref>
                        </c15:formulaRef>
                      </c:ext>
                    </c:extLst>
                    <c:numCache>
                      <c:formatCode>0.0</c:formatCode>
                      <c:ptCount val="11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F685-4CB3-90C0-4544B73EF893}"/>
                  </c:ext>
                </c:extLst>
              </c15:ser>
            </c15:filteredLineSeries>
          </c:ext>
        </c:extLst>
      </c:lineChart>
      <c:catAx>
        <c:axId val="153509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5093744"/>
        <c:crosses val="autoZero"/>
        <c:auto val="1"/>
        <c:lblAlgn val="ctr"/>
        <c:lblOffset val="100"/>
        <c:noMultiLvlLbl val="0"/>
      </c:catAx>
      <c:valAx>
        <c:axId val="153509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5099984"/>
        <c:crosses val="autoZero"/>
        <c:crossBetween val="between"/>
        <c:majorUnit val="20000"/>
      </c:valAx>
      <c:valAx>
        <c:axId val="574756815"/>
        <c:scaling>
          <c:orientation val="minMax"/>
          <c:min val="2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$/kg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&quot;$&quot;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74730415"/>
        <c:crosses val="max"/>
        <c:crossBetween val="between"/>
        <c:majorUnit val="25"/>
      </c:valAx>
      <c:catAx>
        <c:axId val="5747304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47568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Indicador</a:t>
            </a:r>
            <a:r>
              <a:rPr lang="es-CO" b="1" baseline="0"/>
              <a:t> generacion</a:t>
            </a:r>
            <a:r>
              <a:rPr lang="es-CO" b="1"/>
              <a:t> Kg/m3 - SEP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'consolidado diario'!$D$1</c:f>
              <c:strCache>
                <c:ptCount val="1"/>
                <c:pt idx="0">
                  <c:v>GEM m3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'consolidado diario'!$B$2:$B$19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'consolidado diario'!$D$2:$D$19</c:f>
              <c:numCache>
                <c:formatCode>General</c:formatCode>
                <c:ptCount val="18"/>
                <c:pt idx="0">
                  <c:v>0</c:v>
                </c:pt>
                <c:pt idx="1">
                  <c:v>1520</c:v>
                </c:pt>
                <c:pt idx="2">
                  <c:v>1680</c:v>
                </c:pt>
                <c:pt idx="3">
                  <c:v>1360</c:v>
                </c:pt>
                <c:pt idx="4">
                  <c:v>1360</c:v>
                </c:pt>
                <c:pt idx="5">
                  <c:v>1280</c:v>
                </c:pt>
                <c:pt idx="6">
                  <c:v>1520</c:v>
                </c:pt>
                <c:pt idx="7">
                  <c:v>1360</c:v>
                </c:pt>
                <c:pt idx="8">
                  <c:v>1360</c:v>
                </c:pt>
                <c:pt idx="9">
                  <c:v>1440</c:v>
                </c:pt>
                <c:pt idx="10">
                  <c:v>1600</c:v>
                </c:pt>
                <c:pt idx="11">
                  <c:v>1680</c:v>
                </c:pt>
                <c:pt idx="12">
                  <c:v>1920</c:v>
                </c:pt>
                <c:pt idx="13">
                  <c:v>160</c:v>
                </c:pt>
                <c:pt idx="14">
                  <c:v>0</c:v>
                </c:pt>
                <c:pt idx="15">
                  <c:v>1280</c:v>
                </c:pt>
                <c:pt idx="16">
                  <c:v>1760</c:v>
                </c:pt>
                <c:pt idx="17">
                  <c:v>1680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EC-497C-B771-634AC54CA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00465503"/>
        <c:axId val="1800489983"/>
      </c:barChart>
      <c:lineChart>
        <c:grouping val="standard"/>
        <c:varyColors val="0"/>
        <c:ser>
          <c:idx val="2"/>
          <c:order val="1"/>
          <c:tx>
            <c:strRef>
              <c:f>'consolidado diario'!$E$1</c:f>
              <c:strCache>
                <c:ptCount val="1"/>
                <c:pt idx="0">
                  <c:v>kg/m3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12"/>
              <c:layout>
                <c:manualLayout>
                  <c:x val="-3.6397930015833121E-2"/>
                  <c:y val="-0.1492864281292902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8054342397483713E-2"/>
                      <c:h val="6.581044958313017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BEC-497C-B771-634AC54CA924}"/>
                </c:ext>
              </c:extLst>
            </c:dLbl>
            <c:dLbl>
              <c:idx val="14"/>
              <c:layout>
                <c:manualLayout>
                  <c:x val="-3.0280235589108064E-2"/>
                  <c:y val="-0.1574296725883317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BEC-497C-B771-634AC54CA924}"/>
                </c:ext>
              </c:extLst>
            </c:dLbl>
            <c:dLbl>
              <c:idx val="15"/>
              <c:layout>
                <c:manualLayout>
                  <c:x val="-2.3246540676880464E-2"/>
                  <c:y val="-9.31312439699979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BEC-497C-B771-634AC54CA924}"/>
                </c:ext>
              </c:extLst>
            </c:dLbl>
            <c:dLbl>
              <c:idx val="16"/>
              <c:layout>
                <c:manualLayout>
                  <c:x val="-2.6678122799225743E-2"/>
                  <c:y val="-9.43896341020614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BEC-497C-B771-634AC54CA9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'consolidado diario'!$B$2:$B$19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'consolidado diario'!$E$2:$E$19</c:f>
              <c:numCache>
                <c:formatCode>0.0</c:formatCode>
                <c:ptCount val="18"/>
                <c:pt idx="1">
                  <c:v>2.4539473684210527</c:v>
                </c:pt>
                <c:pt idx="2">
                  <c:v>3</c:v>
                </c:pt>
                <c:pt idx="3">
                  <c:v>2.6339999999999999</c:v>
                </c:pt>
                <c:pt idx="4">
                  <c:v>2.6339999999999999</c:v>
                </c:pt>
                <c:pt idx="5">
                  <c:v>2.6339999999999999</c:v>
                </c:pt>
                <c:pt idx="6">
                  <c:v>2.6578947368421053</c:v>
                </c:pt>
                <c:pt idx="7">
                  <c:v>2.0183823529411766</c:v>
                </c:pt>
                <c:pt idx="8">
                  <c:v>2.0183823529411766</c:v>
                </c:pt>
                <c:pt idx="9">
                  <c:v>2.1875</c:v>
                </c:pt>
                <c:pt idx="10">
                  <c:v>2.1875</c:v>
                </c:pt>
                <c:pt idx="11">
                  <c:v>2.3154761904761907</c:v>
                </c:pt>
                <c:pt idx="12">
                  <c:v>2.0416666666666665</c:v>
                </c:pt>
                <c:pt idx="13">
                  <c:v>0</c:v>
                </c:pt>
                <c:pt idx="14">
                  <c:v>0</c:v>
                </c:pt>
                <c:pt idx="15">
                  <c:v>1.315625</c:v>
                </c:pt>
                <c:pt idx="16">
                  <c:v>1.3159090909090909</c:v>
                </c:pt>
                <c:pt idx="17">
                  <c:v>2.7083333333333335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BEC-497C-B771-634AC54CA924}"/>
            </c:ext>
          </c:extLst>
        </c:ser>
        <c:ser>
          <c:idx val="0"/>
          <c:order val="2"/>
          <c:tx>
            <c:strRef>
              <c:f>'consolidado diario'!$F$1</c:f>
              <c:strCache>
                <c:ptCount val="1"/>
                <c:pt idx="0">
                  <c:v>factor Kg/m3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'consolidado diario'!$B$2:$B$19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'consolidado diario'!$F$2:$F$19</c:f>
              <c:numCache>
                <c:formatCode>General</c:formatCode>
                <c:ptCount val="18"/>
                <c:pt idx="0">
                  <c:v>2.8</c:v>
                </c:pt>
                <c:pt idx="1">
                  <c:v>2.8</c:v>
                </c:pt>
                <c:pt idx="2">
                  <c:v>2.8</c:v>
                </c:pt>
                <c:pt idx="3">
                  <c:v>2.8</c:v>
                </c:pt>
                <c:pt idx="4">
                  <c:v>2.8</c:v>
                </c:pt>
                <c:pt idx="5">
                  <c:v>2.8</c:v>
                </c:pt>
                <c:pt idx="6">
                  <c:v>2.8</c:v>
                </c:pt>
                <c:pt idx="7">
                  <c:v>2.8</c:v>
                </c:pt>
                <c:pt idx="8">
                  <c:v>2.8</c:v>
                </c:pt>
                <c:pt idx="9">
                  <c:v>2.8</c:v>
                </c:pt>
                <c:pt idx="10">
                  <c:v>2.8</c:v>
                </c:pt>
                <c:pt idx="11">
                  <c:v>2.8</c:v>
                </c:pt>
                <c:pt idx="12">
                  <c:v>2.8</c:v>
                </c:pt>
                <c:pt idx="13">
                  <c:v>2.8</c:v>
                </c:pt>
                <c:pt idx="14">
                  <c:v>2.8</c:v>
                </c:pt>
                <c:pt idx="15">
                  <c:v>2.8</c:v>
                </c:pt>
                <c:pt idx="16">
                  <c:v>2.8</c:v>
                </c:pt>
                <c:pt idx="17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BEC-497C-B771-634AC54CA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0522143"/>
        <c:axId val="1800504383"/>
      </c:lineChart>
      <c:catAx>
        <c:axId val="18004655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489983"/>
        <c:crosses val="autoZero"/>
        <c:auto val="1"/>
        <c:lblAlgn val="ctr"/>
        <c:lblOffset val="100"/>
        <c:noMultiLvlLbl val="0"/>
      </c:catAx>
      <c:valAx>
        <c:axId val="180048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m3 GEM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465503"/>
        <c:crosses val="autoZero"/>
        <c:crossBetween val="between"/>
        <c:majorUnit val="500"/>
      </c:valAx>
      <c:valAx>
        <c:axId val="1800504383"/>
        <c:scaling>
          <c:orientation val="minMax"/>
          <c:max val="4"/>
          <c:min val="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Kg/m3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522143"/>
        <c:crosses val="max"/>
        <c:crossBetween val="between"/>
        <c:majorUnit val="0.4"/>
      </c:valAx>
      <c:catAx>
        <c:axId val="18005221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00504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Indicador costo $/Kg - SEP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'consolidado diario'!$C$1</c:f>
              <c:strCache>
                <c:ptCount val="1"/>
                <c:pt idx="0">
                  <c:v>Kg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'consolidado diario'!$B$2:$B$19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'consolidado diario'!$C$2:$C$19</c:f>
              <c:numCache>
                <c:formatCode>General</c:formatCode>
                <c:ptCount val="18"/>
                <c:pt idx="0">
                  <c:v>0</c:v>
                </c:pt>
                <c:pt idx="1">
                  <c:v>3730</c:v>
                </c:pt>
                <c:pt idx="2">
                  <c:v>5040</c:v>
                </c:pt>
                <c:pt idx="3" formatCode="0">
                  <c:v>3582.24</c:v>
                </c:pt>
                <c:pt idx="4" formatCode="0">
                  <c:v>3582.24</c:v>
                </c:pt>
                <c:pt idx="5" formatCode="0">
                  <c:v>3371.52</c:v>
                </c:pt>
                <c:pt idx="6" formatCode="0">
                  <c:v>4040</c:v>
                </c:pt>
                <c:pt idx="7">
                  <c:v>2745</c:v>
                </c:pt>
                <c:pt idx="8">
                  <c:v>2745</c:v>
                </c:pt>
                <c:pt idx="9">
                  <c:v>3150</c:v>
                </c:pt>
                <c:pt idx="10">
                  <c:v>3500</c:v>
                </c:pt>
                <c:pt idx="11">
                  <c:v>3890</c:v>
                </c:pt>
                <c:pt idx="12" formatCode="0">
                  <c:v>3920</c:v>
                </c:pt>
                <c:pt idx="13" formatCode="0">
                  <c:v>0</c:v>
                </c:pt>
                <c:pt idx="14" formatCode="0">
                  <c:v>0</c:v>
                </c:pt>
                <c:pt idx="15" formatCode="0">
                  <c:v>1684</c:v>
                </c:pt>
                <c:pt idx="16" formatCode="0">
                  <c:v>2316</c:v>
                </c:pt>
                <c:pt idx="17" formatCode="0">
                  <c:v>4550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88-469E-A5BA-B0ED2AFBF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00465503"/>
        <c:axId val="1800489983"/>
      </c:barChart>
      <c:lineChart>
        <c:grouping val="standard"/>
        <c:varyColors val="0"/>
        <c:ser>
          <c:idx val="2"/>
          <c:order val="1"/>
          <c:tx>
            <c:strRef>
              <c:f>'consolidado diario'!$J$1</c:f>
              <c:strCache>
                <c:ptCount val="1"/>
                <c:pt idx="0">
                  <c:v>$/kg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D88-469E-A5BA-B0ED2AFBF1ED}"/>
                </c:ext>
              </c:extLst>
            </c:dLbl>
            <c:dLbl>
              <c:idx val="14"/>
              <c:layout>
                <c:manualLayout>
                  <c:x val="-3.1704095112285467E-2"/>
                  <c:y val="-5.76624528720337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D88-469E-A5BA-B0ED2AFBF1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'consolidado diario'!$B$2:$B$18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cat>
          <c:val>
            <c:numRef>
              <c:f>'consolidado diario'!$J$2:$J$19</c:f>
              <c:numCache>
                <c:formatCode>_-"$"\ * #,##0_-;\-"$"\ * #,##0_-;_-"$"\ * "-"??_-;_-@_-</c:formatCode>
                <c:ptCount val="18"/>
                <c:pt idx="1">
                  <c:v>297.07238605898124</c:v>
                </c:pt>
                <c:pt idx="2">
                  <c:v>244.8095238095238</c:v>
                </c:pt>
                <c:pt idx="3">
                  <c:v>194.70918754745634</c:v>
                </c:pt>
                <c:pt idx="4">
                  <c:v>194.70918754745634</c:v>
                </c:pt>
                <c:pt idx="5">
                  <c:v>194.70918754745631</c:v>
                </c:pt>
                <c:pt idx="6">
                  <c:v>281.64356435643566</c:v>
                </c:pt>
                <c:pt idx="7">
                  <c:v>232.61202185792351</c:v>
                </c:pt>
                <c:pt idx="8">
                  <c:v>232.61202185792351</c:v>
                </c:pt>
                <c:pt idx="9">
                  <c:v>208.78195488721803</c:v>
                </c:pt>
                <c:pt idx="10">
                  <c:v>208.78195488721803</c:v>
                </c:pt>
                <c:pt idx="11">
                  <c:v>288.80205655526993</c:v>
                </c:pt>
                <c:pt idx="12">
                  <c:v>287.32653061224488</c:v>
                </c:pt>
                <c:pt idx="13">
                  <c:v>0</c:v>
                </c:pt>
                <c:pt idx="14">
                  <c:v>0</c:v>
                </c:pt>
                <c:pt idx="15">
                  <c:v>283.5</c:v>
                </c:pt>
                <c:pt idx="16">
                  <c:v>283.5</c:v>
                </c:pt>
                <c:pt idx="17">
                  <c:v>260.83516483516485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88-469E-A5BA-B0ED2AFBF1ED}"/>
            </c:ext>
          </c:extLst>
        </c:ser>
        <c:ser>
          <c:idx val="0"/>
          <c:order val="2"/>
          <c:tx>
            <c:strRef>
              <c:f>'consolidado diario'!$K$1</c:f>
              <c:strCache>
                <c:ptCount val="1"/>
                <c:pt idx="0">
                  <c:v>factor $/kg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'consolidado diario'!$K$2:$K$19</c:f>
              <c:numCache>
                <c:formatCode>_-"$"\ * #,##0_-;\-"$"\ * #,##0_-;_-"$"\ * "-"??_-;_-@_-</c:formatCode>
                <c:ptCount val="18"/>
                <c:pt idx="0">
                  <c:v>283</c:v>
                </c:pt>
                <c:pt idx="1">
                  <c:v>283</c:v>
                </c:pt>
                <c:pt idx="2">
                  <c:v>283</c:v>
                </c:pt>
                <c:pt idx="3">
                  <c:v>283</c:v>
                </c:pt>
                <c:pt idx="4">
                  <c:v>283</c:v>
                </c:pt>
                <c:pt idx="5">
                  <c:v>283</c:v>
                </c:pt>
                <c:pt idx="6">
                  <c:v>283</c:v>
                </c:pt>
                <c:pt idx="7">
                  <c:v>283</c:v>
                </c:pt>
                <c:pt idx="8">
                  <c:v>283</c:v>
                </c:pt>
                <c:pt idx="9">
                  <c:v>283</c:v>
                </c:pt>
                <c:pt idx="10">
                  <c:v>283</c:v>
                </c:pt>
                <c:pt idx="11">
                  <c:v>283</c:v>
                </c:pt>
                <c:pt idx="12">
                  <c:v>283</c:v>
                </c:pt>
                <c:pt idx="13">
                  <c:v>283</c:v>
                </c:pt>
                <c:pt idx="14">
                  <c:v>283</c:v>
                </c:pt>
                <c:pt idx="15">
                  <c:v>283</c:v>
                </c:pt>
                <c:pt idx="16">
                  <c:v>283</c:v>
                </c:pt>
                <c:pt idx="17">
                  <c:v>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88-469E-A5BA-B0ED2AFBF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1537295"/>
        <c:axId val="1071532975"/>
      </c:lineChart>
      <c:catAx>
        <c:axId val="18004655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489983"/>
        <c:crosses val="autoZero"/>
        <c:auto val="1"/>
        <c:lblAlgn val="ctr"/>
        <c:lblOffset val="100"/>
        <c:noMultiLvlLbl val="0"/>
      </c:catAx>
      <c:valAx>
        <c:axId val="1800489983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Kg</a:t>
                </a:r>
                <a:r>
                  <a:rPr lang="es-CO" baseline="0"/>
                  <a:t> dia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465503"/>
        <c:crosses val="autoZero"/>
        <c:crossBetween val="between"/>
        <c:majorUnit val="1000"/>
      </c:valAx>
      <c:valAx>
        <c:axId val="1071532975"/>
        <c:scaling>
          <c:orientation val="minMax"/>
          <c:max val="400"/>
          <c:min val="15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$/kg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71537295"/>
        <c:crosses val="max"/>
        <c:crossBetween val="between"/>
      </c:valAx>
      <c:catAx>
        <c:axId val="10715372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715329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Indicador Kg/m3 - SEP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'consolidado diario'!$D$1</c:f>
              <c:strCache>
                <c:ptCount val="1"/>
                <c:pt idx="0">
                  <c:v>GEM m3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'consolidado diario'!$B$2:$B$31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'consolidado diario'!$D$2:$D$31</c:f>
              <c:numCache>
                <c:formatCode>General</c:formatCode>
                <c:ptCount val="30"/>
                <c:pt idx="0">
                  <c:v>0</c:v>
                </c:pt>
                <c:pt idx="1">
                  <c:v>1520</c:v>
                </c:pt>
                <c:pt idx="2">
                  <c:v>1680</c:v>
                </c:pt>
                <c:pt idx="3">
                  <c:v>1360</c:v>
                </c:pt>
                <c:pt idx="4">
                  <c:v>1360</c:v>
                </c:pt>
                <c:pt idx="5">
                  <c:v>1280</c:v>
                </c:pt>
                <c:pt idx="6">
                  <c:v>1520</c:v>
                </c:pt>
                <c:pt idx="7">
                  <c:v>1360</c:v>
                </c:pt>
                <c:pt idx="8">
                  <c:v>1360</c:v>
                </c:pt>
                <c:pt idx="9">
                  <c:v>1440</c:v>
                </c:pt>
                <c:pt idx="10">
                  <c:v>1600</c:v>
                </c:pt>
                <c:pt idx="11">
                  <c:v>1680</c:v>
                </c:pt>
                <c:pt idx="12">
                  <c:v>1920</c:v>
                </c:pt>
                <c:pt idx="13">
                  <c:v>160</c:v>
                </c:pt>
                <c:pt idx="14">
                  <c:v>0</c:v>
                </c:pt>
                <c:pt idx="15">
                  <c:v>1280</c:v>
                </c:pt>
                <c:pt idx="16">
                  <c:v>1760</c:v>
                </c:pt>
                <c:pt idx="17">
                  <c:v>1680</c:v>
                </c:pt>
                <c:pt idx="18">
                  <c:v>1520</c:v>
                </c:pt>
                <c:pt idx="19">
                  <c:v>1760</c:v>
                </c:pt>
                <c:pt idx="20">
                  <c:v>1760</c:v>
                </c:pt>
                <c:pt idx="21">
                  <c:v>240</c:v>
                </c:pt>
                <c:pt idx="22">
                  <c:v>1120</c:v>
                </c:pt>
                <c:pt idx="23">
                  <c:v>1360</c:v>
                </c:pt>
                <c:pt idx="24">
                  <c:v>1680</c:v>
                </c:pt>
                <c:pt idx="25">
                  <c:v>1680</c:v>
                </c:pt>
                <c:pt idx="26">
                  <c:v>1600</c:v>
                </c:pt>
                <c:pt idx="27">
                  <c:v>1600</c:v>
                </c:pt>
                <c:pt idx="28">
                  <c:v>1360</c:v>
                </c:pt>
                <c:pt idx="29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A3-4CA9-833A-8CC067A6A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00465503"/>
        <c:axId val="1800489983"/>
      </c:barChart>
      <c:lineChart>
        <c:grouping val="standard"/>
        <c:varyColors val="0"/>
        <c:ser>
          <c:idx val="2"/>
          <c:order val="1"/>
          <c:tx>
            <c:strRef>
              <c:f>'consolidado diario'!$E$1</c:f>
              <c:strCache>
                <c:ptCount val="1"/>
                <c:pt idx="0">
                  <c:v>kg/m3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12"/>
              <c:layout>
                <c:manualLayout>
                  <c:x val="-3.6397930015833121E-2"/>
                  <c:y val="-0.1492864281292902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8054342397483713E-2"/>
                      <c:h val="6.581044958313017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0BB1-49CF-8312-59B5059F6873}"/>
                </c:ext>
              </c:extLst>
            </c:dLbl>
            <c:dLbl>
              <c:idx val="14"/>
              <c:layout>
                <c:manualLayout>
                  <c:x val="-3.0280235589108064E-2"/>
                  <c:y val="-0.1574296725883317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132-4044-8BF4-05A6DF1AEC96}"/>
                </c:ext>
              </c:extLst>
            </c:dLbl>
            <c:dLbl>
              <c:idx val="15"/>
              <c:layout>
                <c:manualLayout>
                  <c:x val="-2.3246540676880464E-2"/>
                  <c:y val="-9.31312439699979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32-4044-8BF4-05A6DF1AEC96}"/>
                </c:ext>
              </c:extLst>
            </c:dLbl>
            <c:dLbl>
              <c:idx val="16"/>
              <c:layout>
                <c:manualLayout>
                  <c:x val="-2.6678122799225743E-2"/>
                  <c:y val="-9.43896341020614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759-4F4E-B5CA-958811530D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'consolidado diario'!$B$2:$B$26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'consolidado diario'!$E$2:$E$31</c:f>
              <c:numCache>
                <c:formatCode>0.0</c:formatCode>
                <c:ptCount val="30"/>
                <c:pt idx="1">
                  <c:v>2.4539473684210527</c:v>
                </c:pt>
                <c:pt idx="2">
                  <c:v>3</c:v>
                </c:pt>
                <c:pt idx="3">
                  <c:v>2.6339999999999999</c:v>
                </c:pt>
                <c:pt idx="4">
                  <c:v>2.6339999999999999</c:v>
                </c:pt>
                <c:pt idx="5">
                  <c:v>2.6339999999999999</c:v>
                </c:pt>
                <c:pt idx="6">
                  <c:v>2.6578947368421053</c:v>
                </c:pt>
                <c:pt idx="7">
                  <c:v>2.0183823529411766</c:v>
                </c:pt>
                <c:pt idx="8">
                  <c:v>2.0183823529411766</c:v>
                </c:pt>
                <c:pt idx="9">
                  <c:v>2.1875</c:v>
                </c:pt>
                <c:pt idx="10">
                  <c:v>2.1875</c:v>
                </c:pt>
                <c:pt idx="11">
                  <c:v>2.3154761904761907</c:v>
                </c:pt>
                <c:pt idx="12">
                  <c:v>2.0416666666666665</c:v>
                </c:pt>
                <c:pt idx="13">
                  <c:v>0</c:v>
                </c:pt>
                <c:pt idx="14">
                  <c:v>0</c:v>
                </c:pt>
                <c:pt idx="15">
                  <c:v>1.315625</c:v>
                </c:pt>
                <c:pt idx="16">
                  <c:v>1.3159090909090909</c:v>
                </c:pt>
                <c:pt idx="17">
                  <c:v>2.7083333333333335</c:v>
                </c:pt>
                <c:pt idx="18">
                  <c:v>2.8486842105263159</c:v>
                </c:pt>
                <c:pt idx="19">
                  <c:v>2.1818181818181817</c:v>
                </c:pt>
                <c:pt idx="20">
                  <c:v>3.0340909090909092</c:v>
                </c:pt>
                <c:pt idx="21">
                  <c:v>1.6029411764705883</c:v>
                </c:pt>
                <c:pt idx="22">
                  <c:v>1.6029411764705883</c:v>
                </c:pt>
                <c:pt idx="23">
                  <c:v>1.6029411764705883</c:v>
                </c:pt>
                <c:pt idx="24">
                  <c:v>3.1071428571428572</c:v>
                </c:pt>
                <c:pt idx="25">
                  <c:v>2.3511904761904763</c:v>
                </c:pt>
                <c:pt idx="26">
                  <c:v>2.85</c:v>
                </c:pt>
                <c:pt idx="27">
                  <c:v>3.0437500000000002</c:v>
                </c:pt>
                <c:pt idx="28">
                  <c:v>2.0438878676470589</c:v>
                </c:pt>
                <c:pt idx="29">
                  <c:v>2.31640625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A3-4CA9-833A-8CC067A6A529}"/>
            </c:ext>
          </c:extLst>
        </c:ser>
        <c:ser>
          <c:idx val="0"/>
          <c:order val="2"/>
          <c:tx>
            <c:strRef>
              <c:f>'consolidado diario'!$F$1</c:f>
              <c:strCache>
                <c:ptCount val="1"/>
                <c:pt idx="0">
                  <c:v>factor Kg/m3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'consolidado diario'!$B$2:$B$26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'consolidado diario'!$F$2:$F$31</c:f>
              <c:numCache>
                <c:formatCode>General</c:formatCode>
                <c:ptCount val="30"/>
                <c:pt idx="0">
                  <c:v>2.8</c:v>
                </c:pt>
                <c:pt idx="1">
                  <c:v>2.8</c:v>
                </c:pt>
                <c:pt idx="2">
                  <c:v>2.8</c:v>
                </c:pt>
                <c:pt idx="3">
                  <c:v>2.8</c:v>
                </c:pt>
                <c:pt idx="4">
                  <c:v>2.8</c:v>
                </c:pt>
                <c:pt idx="5">
                  <c:v>2.8</c:v>
                </c:pt>
                <c:pt idx="6">
                  <c:v>2.8</c:v>
                </c:pt>
                <c:pt idx="7">
                  <c:v>2.8</c:v>
                </c:pt>
                <c:pt idx="8">
                  <c:v>2.8</c:v>
                </c:pt>
                <c:pt idx="9">
                  <c:v>2.8</c:v>
                </c:pt>
                <c:pt idx="10">
                  <c:v>2.8</c:v>
                </c:pt>
                <c:pt idx="11">
                  <c:v>2.8</c:v>
                </c:pt>
                <c:pt idx="12">
                  <c:v>2.8</c:v>
                </c:pt>
                <c:pt idx="13">
                  <c:v>2.8</c:v>
                </c:pt>
                <c:pt idx="14">
                  <c:v>2.8</c:v>
                </c:pt>
                <c:pt idx="15">
                  <c:v>2.8</c:v>
                </c:pt>
                <c:pt idx="16">
                  <c:v>2.8</c:v>
                </c:pt>
                <c:pt idx="17">
                  <c:v>2.8</c:v>
                </c:pt>
                <c:pt idx="18">
                  <c:v>2.8</c:v>
                </c:pt>
                <c:pt idx="19">
                  <c:v>2.8</c:v>
                </c:pt>
                <c:pt idx="20">
                  <c:v>2.8</c:v>
                </c:pt>
                <c:pt idx="21">
                  <c:v>2.8</c:v>
                </c:pt>
                <c:pt idx="22">
                  <c:v>2.8</c:v>
                </c:pt>
                <c:pt idx="23">
                  <c:v>2.8</c:v>
                </c:pt>
                <c:pt idx="24">
                  <c:v>2.8</c:v>
                </c:pt>
                <c:pt idx="25">
                  <c:v>2.8</c:v>
                </c:pt>
                <c:pt idx="26">
                  <c:v>2.8</c:v>
                </c:pt>
                <c:pt idx="27">
                  <c:v>2.8</c:v>
                </c:pt>
                <c:pt idx="28">
                  <c:v>2.8</c:v>
                </c:pt>
                <c:pt idx="29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59-4F4E-B5CA-958811530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0522143"/>
        <c:axId val="1800504383"/>
      </c:lineChart>
      <c:catAx>
        <c:axId val="18004655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489983"/>
        <c:crosses val="autoZero"/>
        <c:auto val="1"/>
        <c:lblAlgn val="ctr"/>
        <c:lblOffset val="100"/>
        <c:noMultiLvlLbl val="0"/>
      </c:catAx>
      <c:valAx>
        <c:axId val="180048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m3 GEM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465503"/>
        <c:crosses val="autoZero"/>
        <c:crossBetween val="between"/>
        <c:majorUnit val="500"/>
      </c:valAx>
      <c:valAx>
        <c:axId val="1800504383"/>
        <c:scaling>
          <c:orientation val="minMax"/>
          <c:max val="4"/>
          <c:min val="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Kg/m3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522143"/>
        <c:crosses val="max"/>
        <c:crossBetween val="between"/>
        <c:majorUnit val="0.4"/>
      </c:valAx>
      <c:catAx>
        <c:axId val="18005221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00504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Indicador $/Kg - SEP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'consolidado diario'!$C$1</c:f>
              <c:strCache>
                <c:ptCount val="1"/>
                <c:pt idx="0">
                  <c:v>Kg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'consolidado diario'!$B$2:$B$31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'consolidado diario'!$C$2:$C$31</c:f>
              <c:numCache>
                <c:formatCode>General</c:formatCode>
                <c:ptCount val="30"/>
                <c:pt idx="0">
                  <c:v>0</c:v>
                </c:pt>
                <c:pt idx="1">
                  <c:v>3730</c:v>
                </c:pt>
                <c:pt idx="2">
                  <c:v>5040</c:v>
                </c:pt>
                <c:pt idx="3" formatCode="0">
                  <c:v>3582.24</c:v>
                </c:pt>
                <c:pt idx="4" formatCode="0">
                  <c:v>3582.24</c:v>
                </c:pt>
                <c:pt idx="5" formatCode="0">
                  <c:v>3371.52</c:v>
                </c:pt>
                <c:pt idx="6" formatCode="0">
                  <c:v>4040</c:v>
                </c:pt>
                <c:pt idx="7">
                  <c:v>2745</c:v>
                </c:pt>
                <c:pt idx="8">
                  <c:v>2745</c:v>
                </c:pt>
                <c:pt idx="9">
                  <c:v>3150</c:v>
                </c:pt>
                <c:pt idx="10">
                  <c:v>3500</c:v>
                </c:pt>
                <c:pt idx="11">
                  <c:v>3890</c:v>
                </c:pt>
                <c:pt idx="12" formatCode="0">
                  <c:v>3920</c:v>
                </c:pt>
                <c:pt idx="13" formatCode="0">
                  <c:v>0</c:v>
                </c:pt>
                <c:pt idx="14" formatCode="0">
                  <c:v>0</c:v>
                </c:pt>
                <c:pt idx="15" formatCode="0">
                  <c:v>1684</c:v>
                </c:pt>
                <c:pt idx="16" formatCode="0">
                  <c:v>2316</c:v>
                </c:pt>
                <c:pt idx="17" formatCode="0">
                  <c:v>4550</c:v>
                </c:pt>
                <c:pt idx="18" formatCode="0">
                  <c:v>4330</c:v>
                </c:pt>
                <c:pt idx="19" formatCode="0">
                  <c:v>3840</c:v>
                </c:pt>
                <c:pt idx="20" formatCode="0">
                  <c:v>5340</c:v>
                </c:pt>
                <c:pt idx="21" formatCode="0">
                  <c:v>384.70588235294122</c:v>
                </c:pt>
                <c:pt idx="22" formatCode="0">
                  <c:v>1795.294117647059</c:v>
                </c:pt>
                <c:pt idx="23" formatCode="0">
                  <c:v>2180</c:v>
                </c:pt>
                <c:pt idx="24" formatCode="0">
                  <c:v>5220</c:v>
                </c:pt>
                <c:pt idx="25">
                  <c:v>3950</c:v>
                </c:pt>
                <c:pt idx="26">
                  <c:v>4560</c:v>
                </c:pt>
                <c:pt idx="27">
                  <c:v>4870</c:v>
                </c:pt>
                <c:pt idx="28" formatCode="0">
                  <c:v>2779.6875</c:v>
                </c:pt>
                <c:pt idx="29" formatCode="0">
                  <c:v>2779.6875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1F-446D-A274-EB6600673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00465503"/>
        <c:axId val="1800489983"/>
      </c:barChart>
      <c:lineChart>
        <c:grouping val="standard"/>
        <c:varyColors val="0"/>
        <c:ser>
          <c:idx val="2"/>
          <c:order val="1"/>
          <c:tx>
            <c:strRef>
              <c:f>'consolidado diario'!$J$1</c:f>
              <c:strCache>
                <c:ptCount val="1"/>
                <c:pt idx="0">
                  <c:v>$/kg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91F-446D-A274-EB66006735E1}"/>
                </c:ext>
              </c:extLst>
            </c:dLbl>
            <c:dLbl>
              <c:idx val="14"/>
              <c:layout>
                <c:manualLayout>
                  <c:x val="-3.1704095112285467E-2"/>
                  <c:y val="-5.76624528720337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91F-446D-A274-EB66006735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'consolidado diario'!$B$2:$B$26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'consolidado diario'!$J$2:$J$31</c:f>
              <c:numCache>
                <c:formatCode>_-"$"\ * #,##0_-;\-"$"\ * #,##0_-;_-"$"\ * "-"??_-;_-@_-</c:formatCode>
                <c:ptCount val="30"/>
                <c:pt idx="1">
                  <c:v>297.07238605898124</c:v>
                </c:pt>
                <c:pt idx="2">
                  <c:v>244.8095238095238</c:v>
                </c:pt>
                <c:pt idx="3">
                  <c:v>194.70918754745634</c:v>
                </c:pt>
                <c:pt idx="4">
                  <c:v>194.70918754745634</c:v>
                </c:pt>
                <c:pt idx="5">
                  <c:v>194.70918754745631</c:v>
                </c:pt>
                <c:pt idx="6">
                  <c:v>281.64356435643566</c:v>
                </c:pt>
                <c:pt idx="7">
                  <c:v>232.61202185792351</c:v>
                </c:pt>
                <c:pt idx="8">
                  <c:v>232.61202185792351</c:v>
                </c:pt>
                <c:pt idx="9">
                  <c:v>208.78195488721803</c:v>
                </c:pt>
                <c:pt idx="10">
                  <c:v>208.78195488721803</c:v>
                </c:pt>
                <c:pt idx="11">
                  <c:v>288.80205655526993</c:v>
                </c:pt>
                <c:pt idx="12">
                  <c:v>287.32653061224488</c:v>
                </c:pt>
                <c:pt idx="13">
                  <c:v>0</c:v>
                </c:pt>
                <c:pt idx="14">
                  <c:v>0</c:v>
                </c:pt>
                <c:pt idx="15">
                  <c:v>283.5</c:v>
                </c:pt>
                <c:pt idx="16">
                  <c:v>283.5</c:v>
                </c:pt>
                <c:pt idx="17">
                  <c:v>260.83516483516485</c:v>
                </c:pt>
                <c:pt idx="18">
                  <c:v>269.21016166281754</c:v>
                </c:pt>
                <c:pt idx="19">
                  <c:v>291.3125</c:v>
                </c:pt>
                <c:pt idx="20">
                  <c:v>236.44943820224719</c:v>
                </c:pt>
                <c:pt idx="21">
                  <c:v>268.01834862385317</c:v>
                </c:pt>
                <c:pt idx="22">
                  <c:v>268.01834862385317</c:v>
                </c:pt>
                <c:pt idx="23">
                  <c:v>268.01834862385323</c:v>
                </c:pt>
                <c:pt idx="24">
                  <c:v>239.67816091954023</c:v>
                </c:pt>
                <c:pt idx="25">
                  <c:v>285.87341772151899</c:v>
                </c:pt>
                <c:pt idx="26">
                  <c:v>260.4736842105263</c:v>
                </c:pt>
                <c:pt idx="27">
                  <c:v>250.00410677618069</c:v>
                </c:pt>
                <c:pt idx="28">
                  <c:v>230.90725126475547</c:v>
                </c:pt>
                <c:pt idx="29">
                  <c:v>230.90725126475547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1F-446D-A274-EB66006735E1}"/>
            </c:ext>
          </c:extLst>
        </c:ser>
        <c:ser>
          <c:idx val="0"/>
          <c:order val="2"/>
          <c:tx>
            <c:strRef>
              <c:f>'consolidado diario'!$K$1</c:f>
              <c:strCache>
                <c:ptCount val="1"/>
                <c:pt idx="0">
                  <c:v>factor $/kg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'consolidado diario'!$B$2:$B$26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'consolidado diario'!$K$2:$K$31</c:f>
              <c:numCache>
                <c:formatCode>_-"$"\ * #,##0_-;\-"$"\ * #,##0_-;_-"$"\ * "-"??_-;_-@_-</c:formatCode>
                <c:ptCount val="30"/>
                <c:pt idx="0">
                  <c:v>283</c:v>
                </c:pt>
                <c:pt idx="1">
                  <c:v>283</c:v>
                </c:pt>
                <c:pt idx="2">
                  <c:v>283</c:v>
                </c:pt>
                <c:pt idx="3">
                  <c:v>283</c:v>
                </c:pt>
                <c:pt idx="4">
                  <c:v>283</c:v>
                </c:pt>
                <c:pt idx="5">
                  <c:v>283</c:v>
                </c:pt>
                <c:pt idx="6">
                  <c:v>283</c:v>
                </c:pt>
                <c:pt idx="7">
                  <c:v>283</c:v>
                </c:pt>
                <c:pt idx="8">
                  <c:v>283</c:v>
                </c:pt>
                <c:pt idx="9">
                  <c:v>283</c:v>
                </c:pt>
                <c:pt idx="10">
                  <c:v>283</c:v>
                </c:pt>
                <c:pt idx="11">
                  <c:v>283</c:v>
                </c:pt>
                <c:pt idx="12">
                  <c:v>283</c:v>
                </c:pt>
                <c:pt idx="13">
                  <c:v>283</c:v>
                </c:pt>
                <c:pt idx="14">
                  <c:v>283</c:v>
                </c:pt>
                <c:pt idx="15">
                  <c:v>283</c:v>
                </c:pt>
                <c:pt idx="16">
                  <c:v>283</c:v>
                </c:pt>
                <c:pt idx="17">
                  <c:v>283</c:v>
                </c:pt>
                <c:pt idx="18">
                  <c:v>283</c:v>
                </c:pt>
                <c:pt idx="19">
                  <c:v>283</c:v>
                </c:pt>
                <c:pt idx="20">
                  <c:v>283</c:v>
                </c:pt>
                <c:pt idx="21">
                  <c:v>283</c:v>
                </c:pt>
                <c:pt idx="22">
                  <c:v>283</c:v>
                </c:pt>
                <c:pt idx="23">
                  <c:v>283</c:v>
                </c:pt>
                <c:pt idx="24">
                  <c:v>283</c:v>
                </c:pt>
                <c:pt idx="25">
                  <c:v>283</c:v>
                </c:pt>
                <c:pt idx="26">
                  <c:v>283</c:v>
                </c:pt>
                <c:pt idx="27">
                  <c:v>283</c:v>
                </c:pt>
                <c:pt idx="28">
                  <c:v>283</c:v>
                </c:pt>
                <c:pt idx="29">
                  <c:v>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78-42D0-9B26-F72368D27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1537295"/>
        <c:axId val="1071532975"/>
      </c:lineChart>
      <c:catAx>
        <c:axId val="18004655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489983"/>
        <c:crosses val="autoZero"/>
        <c:auto val="1"/>
        <c:lblAlgn val="ctr"/>
        <c:lblOffset val="100"/>
        <c:noMultiLvlLbl val="0"/>
      </c:catAx>
      <c:valAx>
        <c:axId val="1800489983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Kg</a:t>
                </a:r>
                <a:r>
                  <a:rPr lang="es-CO" baseline="0"/>
                  <a:t> dia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465503"/>
        <c:crosses val="autoZero"/>
        <c:crossBetween val="between"/>
        <c:majorUnit val="1000"/>
      </c:valAx>
      <c:valAx>
        <c:axId val="1071532975"/>
        <c:scaling>
          <c:orientation val="minMax"/>
          <c:max val="400"/>
          <c:min val="15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$/kg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71537295"/>
        <c:crosses val="max"/>
        <c:crossBetween val="between"/>
      </c:valAx>
      <c:catAx>
        <c:axId val="10715372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715329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Indicador Kg/m3 - SEP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'consolidado diario'!$D$1</c:f>
              <c:strCache>
                <c:ptCount val="1"/>
                <c:pt idx="0">
                  <c:v>GEM m3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'consolidado diario'!$B$2:$B$31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'consolidado diario'!$D$2:$D$31</c:f>
              <c:numCache>
                <c:formatCode>General</c:formatCode>
                <c:ptCount val="30"/>
                <c:pt idx="0">
                  <c:v>0</c:v>
                </c:pt>
                <c:pt idx="1">
                  <c:v>1520</c:v>
                </c:pt>
                <c:pt idx="2">
                  <c:v>1680</c:v>
                </c:pt>
                <c:pt idx="3">
                  <c:v>1360</c:v>
                </c:pt>
                <c:pt idx="4">
                  <c:v>1360</c:v>
                </c:pt>
                <c:pt idx="5">
                  <c:v>1280</c:v>
                </c:pt>
                <c:pt idx="6">
                  <c:v>1520</c:v>
                </c:pt>
                <c:pt idx="7">
                  <c:v>1360</c:v>
                </c:pt>
                <c:pt idx="8">
                  <c:v>1360</c:v>
                </c:pt>
                <c:pt idx="9">
                  <c:v>1440</c:v>
                </c:pt>
                <c:pt idx="10">
                  <c:v>1600</c:v>
                </c:pt>
                <c:pt idx="11">
                  <c:v>1680</c:v>
                </c:pt>
                <c:pt idx="12">
                  <c:v>1920</c:v>
                </c:pt>
                <c:pt idx="13">
                  <c:v>160</c:v>
                </c:pt>
                <c:pt idx="14">
                  <c:v>0</c:v>
                </c:pt>
                <c:pt idx="15">
                  <c:v>1280</c:v>
                </c:pt>
                <c:pt idx="16">
                  <c:v>1760</c:v>
                </c:pt>
                <c:pt idx="17">
                  <c:v>1680</c:v>
                </c:pt>
                <c:pt idx="18">
                  <c:v>1520</c:v>
                </c:pt>
                <c:pt idx="19">
                  <c:v>1760</c:v>
                </c:pt>
                <c:pt idx="20">
                  <c:v>1760</c:v>
                </c:pt>
                <c:pt idx="21">
                  <c:v>240</c:v>
                </c:pt>
                <c:pt idx="22">
                  <c:v>1120</c:v>
                </c:pt>
                <c:pt idx="23">
                  <c:v>1360</c:v>
                </c:pt>
                <c:pt idx="24">
                  <c:v>1680</c:v>
                </c:pt>
                <c:pt idx="25">
                  <c:v>1680</c:v>
                </c:pt>
                <c:pt idx="26">
                  <c:v>1600</c:v>
                </c:pt>
                <c:pt idx="27">
                  <c:v>1600</c:v>
                </c:pt>
                <c:pt idx="28">
                  <c:v>1360</c:v>
                </c:pt>
                <c:pt idx="29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EE-4271-9F4C-AE3E34E2C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00465503"/>
        <c:axId val="1800489983"/>
      </c:barChart>
      <c:lineChart>
        <c:grouping val="standard"/>
        <c:varyColors val="0"/>
        <c:ser>
          <c:idx val="2"/>
          <c:order val="1"/>
          <c:tx>
            <c:strRef>
              <c:f>'consolidado diario'!$J$1</c:f>
              <c:strCache>
                <c:ptCount val="1"/>
                <c:pt idx="0">
                  <c:v>$/kg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'consolidado diario'!$B$2:$B$31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'consolidado diario'!$J$2:$J$31</c:f>
              <c:numCache>
                <c:formatCode>_-"$"\ * #,##0_-;\-"$"\ * #,##0_-;_-"$"\ * "-"??_-;_-@_-</c:formatCode>
                <c:ptCount val="30"/>
                <c:pt idx="1">
                  <c:v>297.07238605898124</c:v>
                </c:pt>
                <c:pt idx="2">
                  <c:v>244.8095238095238</c:v>
                </c:pt>
                <c:pt idx="3">
                  <c:v>194.70918754745634</c:v>
                </c:pt>
                <c:pt idx="4">
                  <c:v>194.70918754745634</c:v>
                </c:pt>
                <c:pt idx="5">
                  <c:v>194.70918754745631</c:v>
                </c:pt>
                <c:pt idx="6">
                  <c:v>281.64356435643566</c:v>
                </c:pt>
                <c:pt idx="7">
                  <c:v>232.61202185792351</c:v>
                </c:pt>
                <c:pt idx="8">
                  <c:v>232.61202185792351</c:v>
                </c:pt>
                <c:pt idx="9">
                  <c:v>208.78195488721803</c:v>
                </c:pt>
                <c:pt idx="10">
                  <c:v>208.78195488721803</c:v>
                </c:pt>
                <c:pt idx="11">
                  <c:v>288.80205655526993</c:v>
                </c:pt>
                <c:pt idx="12">
                  <c:v>287.32653061224488</c:v>
                </c:pt>
                <c:pt idx="13">
                  <c:v>0</c:v>
                </c:pt>
                <c:pt idx="14">
                  <c:v>0</c:v>
                </c:pt>
                <c:pt idx="15">
                  <c:v>283.5</c:v>
                </c:pt>
                <c:pt idx="16">
                  <c:v>283.5</c:v>
                </c:pt>
                <c:pt idx="17">
                  <c:v>260.83516483516485</c:v>
                </c:pt>
                <c:pt idx="18">
                  <c:v>269.21016166281754</c:v>
                </c:pt>
                <c:pt idx="19">
                  <c:v>291.3125</c:v>
                </c:pt>
                <c:pt idx="20">
                  <c:v>236.44943820224719</c:v>
                </c:pt>
                <c:pt idx="21">
                  <c:v>268.01834862385317</c:v>
                </c:pt>
                <c:pt idx="22">
                  <c:v>268.01834862385317</c:v>
                </c:pt>
                <c:pt idx="23">
                  <c:v>268.01834862385323</c:v>
                </c:pt>
                <c:pt idx="24">
                  <c:v>239.67816091954023</c:v>
                </c:pt>
                <c:pt idx="25">
                  <c:v>285.87341772151899</c:v>
                </c:pt>
                <c:pt idx="26">
                  <c:v>260.4736842105263</c:v>
                </c:pt>
                <c:pt idx="27">
                  <c:v>250.00410677618069</c:v>
                </c:pt>
                <c:pt idx="28">
                  <c:v>230.90725126475547</c:v>
                </c:pt>
                <c:pt idx="29">
                  <c:v>230.90725126475547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EE-4271-9F4C-AE3E34E2C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0522143"/>
        <c:axId val="1800504383"/>
      </c:lineChart>
      <c:catAx>
        <c:axId val="18004655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489983"/>
        <c:crosses val="autoZero"/>
        <c:auto val="1"/>
        <c:lblAlgn val="ctr"/>
        <c:lblOffset val="100"/>
        <c:noMultiLvlLbl val="0"/>
      </c:catAx>
      <c:valAx>
        <c:axId val="180048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m3 GEM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465503"/>
        <c:crosses val="autoZero"/>
        <c:crossBetween val="between"/>
      </c:valAx>
      <c:valAx>
        <c:axId val="1800504383"/>
        <c:scaling>
          <c:orientation val="minMax"/>
          <c:max val="400"/>
          <c:min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Kg/m3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522143"/>
        <c:crosses val="max"/>
        <c:crossBetween val="between"/>
      </c:valAx>
      <c:catAx>
        <c:axId val="18005221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00504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Indicador Kg/m3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'consolidado diario (2)'!$D$1</c:f>
              <c:strCache>
                <c:ptCount val="1"/>
                <c:pt idx="0">
                  <c:v>GEM m3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3"/>
              <c:layout>
                <c:manualLayout>
                  <c:x val="-1.2311480455524776E-3"/>
                  <c:y val="4.21407501053511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49F-4CBA-A004-D028F2986A33}"/>
                </c:ext>
              </c:extLst>
            </c:dLbl>
            <c:dLbl>
              <c:idx val="18"/>
              <c:layout>
                <c:manualLayout>
                  <c:x val="-1.2311480455524776E-3"/>
                  <c:y val="-5.47829751369574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49F-4CBA-A004-D028F2986A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'consolidado diario (2)'!$B$2:$B$33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numCache>
            </c:numRef>
          </c:cat>
          <c:val>
            <c:numRef>
              <c:f>'consolidado diario (2)'!$D$2:$D$33</c:f>
              <c:numCache>
                <c:formatCode>#,##0</c:formatCode>
                <c:ptCount val="32"/>
                <c:pt idx="0">
                  <c:v>960</c:v>
                </c:pt>
                <c:pt idx="1">
                  <c:v>1840</c:v>
                </c:pt>
                <c:pt idx="2">
                  <c:v>1920</c:v>
                </c:pt>
                <c:pt idx="3">
                  <c:v>1760</c:v>
                </c:pt>
                <c:pt idx="4">
                  <c:v>480</c:v>
                </c:pt>
                <c:pt idx="5">
                  <c:v>0</c:v>
                </c:pt>
                <c:pt idx="6">
                  <c:v>1440</c:v>
                </c:pt>
                <c:pt idx="7">
                  <c:v>1440</c:v>
                </c:pt>
                <c:pt idx="8">
                  <c:v>1680</c:v>
                </c:pt>
                <c:pt idx="9">
                  <c:v>1840</c:v>
                </c:pt>
                <c:pt idx="10">
                  <c:v>1600</c:v>
                </c:pt>
                <c:pt idx="11">
                  <c:v>1680</c:v>
                </c:pt>
                <c:pt idx="12">
                  <c:v>320</c:v>
                </c:pt>
                <c:pt idx="13">
                  <c:v>240</c:v>
                </c:pt>
                <c:pt idx="14">
                  <c:v>1600</c:v>
                </c:pt>
                <c:pt idx="15">
                  <c:v>1440</c:v>
                </c:pt>
                <c:pt idx="16">
                  <c:v>1360</c:v>
                </c:pt>
                <c:pt idx="17">
                  <c:v>0</c:v>
                </c:pt>
                <c:pt idx="18">
                  <c:v>320</c:v>
                </c:pt>
                <c:pt idx="19">
                  <c:v>0</c:v>
                </c:pt>
                <c:pt idx="20">
                  <c:v>720</c:v>
                </c:pt>
                <c:pt idx="21">
                  <c:v>1760</c:v>
                </c:pt>
                <c:pt idx="22">
                  <c:v>1360</c:v>
                </c:pt>
                <c:pt idx="23">
                  <c:v>400</c:v>
                </c:pt>
                <c:pt idx="24">
                  <c:v>1360</c:v>
                </c:pt>
                <c:pt idx="25">
                  <c:v>1440</c:v>
                </c:pt>
                <c:pt idx="26">
                  <c:v>480</c:v>
                </c:pt>
                <c:pt idx="27">
                  <c:v>480</c:v>
                </c:pt>
                <c:pt idx="28">
                  <c:v>760</c:v>
                </c:pt>
                <c:pt idx="29">
                  <c:v>760</c:v>
                </c:pt>
                <c:pt idx="30">
                  <c:v>1600</c:v>
                </c:pt>
                <c:pt idx="31">
                  <c:v>1520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E0-437C-ADF0-0F05E83D5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00465503"/>
        <c:axId val="1800489983"/>
      </c:barChart>
      <c:lineChart>
        <c:grouping val="standard"/>
        <c:varyColors val="0"/>
        <c:ser>
          <c:idx val="2"/>
          <c:order val="1"/>
          <c:tx>
            <c:strRef>
              <c:f>'consolidado diario (2)'!$E$1</c:f>
              <c:strCache>
                <c:ptCount val="1"/>
                <c:pt idx="0">
                  <c:v>kg/m3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4"/>
              <c:layout>
                <c:manualLayout>
                  <c:x val="-2.2385373573455696E-2"/>
                  <c:y val="-4.42162650022729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49F-4CBA-A004-D028F2986A33}"/>
                </c:ext>
              </c:extLst>
            </c:dLbl>
            <c:dLbl>
              <c:idx val="12"/>
              <c:layout>
                <c:manualLayout>
                  <c:x val="-3.6397971029244656E-2"/>
                  <c:y val="2.770455684189903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8054342397483713E-2"/>
                      <c:h val="6.581044958313017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3FE0-437C-ADF0-0F05E83D577B}"/>
                </c:ext>
              </c:extLst>
            </c:dLbl>
            <c:dLbl>
              <c:idx val="13"/>
              <c:layout>
                <c:manualLayout>
                  <c:x val="-1.4998485300140807E-2"/>
                  <c:y val="1.47807851452196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49F-4CBA-A004-D028F2986A33}"/>
                </c:ext>
              </c:extLst>
            </c:dLbl>
            <c:dLbl>
              <c:idx val="14"/>
              <c:layout>
                <c:manualLayout>
                  <c:x val="-2.2893343318234807E-2"/>
                  <c:y val="-9.00043468017824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FE0-437C-ADF0-0F05E83D577B}"/>
                </c:ext>
              </c:extLst>
            </c:dLbl>
            <c:dLbl>
              <c:idx val="15"/>
              <c:layout>
                <c:manualLayout>
                  <c:x val="-2.3246540676880464E-2"/>
                  <c:y val="-9.31312439699979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FE0-437C-ADF0-0F05E83D577B}"/>
                </c:ext>
              </c:extLst>
            </c:dLbl>
            <c:dLbl>
              <c:idx val="16"/>
              <c:layout>
                <c:manualLayout>
                  <c:x val="-2.6678122799225743E-2"/>
                  <c:y val="-9.43896341020614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FE0-437C-ADF0-0F05E83D577B}"/>
                </c:ext>
              </c:extLst>
            </c:dLbl>
            <c:dLbl>
              <c:idx val="18"/>
              <c:layout>
                <c:manualLayout>
                  <c:x val="-3.1003409892323017E-2"/>
                  <c:y val="-2.075514896921148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49F-4CBA-A004-D028F2986A33}"/>
                </c:ext>
              </c:extLst>
            </c:dLbl>
            <c:dLbl>
              <c:idx val="28"/>
              <c:layout>
                <c:manualLayout>
                  <c:x val="-1.9923077482350716E-2"/>
                  <c:y val="3.5851160197895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49F-4CBA-A004-D028F2986A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'consolidado diario (2)'!$B$2:$B$26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'consolidado diario (2)'!$E$2:$E$33</c:f>
              <c:numCache>
                <c:formatCode>0.0</c:formatCode>
                <c:ptCount val="32"/>
                <c:pt idx="0">
                  <c:v>3.0729166666666665</c:v>
                </c:pt>
                <c:pt idx="1">
                  <c:v>2.2880434782608696</c:v>
                </c:pt>
                <c:pt idx="2">
                  <c:v>1.4592391304347827</c:v>
                </c:pt>
                <c:pt idx="3">
                  <c:v>1.4592391304347827</c:v>
                </c:pt>
                <c:pt idx="4">
                  <c:v>10.354166666666666</c:v>
                </c:pt>
                <c:pt idx="5">
                  <c:v>0</c:v>
                </c:pt>
                <c:pt idx="6">
                  <c:v>2.3125</c:v>
                </c:pt>
                <c:pt idx="7">
                  <c:v>2.3125</c:v>
                </c:pt>
                <c:pt idx="8">
                  <c:v>2.7261904761904763</c:v>
                </c:pt>
                <c:pt idx="9">
                  <c:v>1.9728260869565217</c:v>
                </c:pt>
                <c:pt idx="10">
                  <c:v>2.78125</c:v>
                </c:pt>
                <c:pt idx="11">
                  <c:v>3.0535714285714284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4.0486111111111107</c:v>
                </c:pt>
                <c:pt idx="16">
                  <c:v>3.3308823529411766</c:v>
                </c:pt>
                <c:pt idx="17">
                  <c:v>0</c:v>
                </c:pt>
                <c:pt idx="18">
                  <c:v>4.5288461538461542</c:v>
                </c:pt>
                <c:pt idx="19">
                  <c:v>0</c:v>
                </c:pt>
                <c:pt idx="20">
                  <c:v>4.5288461538461542</c:v>
                </c:pt>
                <c:pt idx="21">
                  <c:v>1.8269230769230769</c:v>
                </c:pt>
                <c:pt idx="22">
                  <c:v>1.8269230769230771</c:v>
                </c:pt>
                <c:pt idx="23">
                  <c:v>11.025</c:v>
                </c:pt>
                <c:pt idx="24">
                  <c:v>1.6428571428571428</c:v>
                </c:pt>
                <c:pt idx="25">
                  <c:v>1.6428571428571428</c:v>
                </c:pt>
                <c:pt idx="26">
                  <c:v>15.333333333333334</c:v>
                </c:pt>
                <c:pt idx="27">
                  <c:v>19.104166666666668</c:v>
                </c:pt>
                <c:pt idx="28">
                  <c:v>8.1315789473684212</c:v>
                </c:pt>
                <c:pt idx="29">
                  <c:v>2.4210526315789473</c:v>
                </c:pt>
                <c:pt idx="30">
                  <c:v>3.3187500000000001</c:v>
                </c:pt>
                <c:pt idx="31">
                  <c:v>2.9539473684210527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FE0-437C-ADF0-0F05E83D577B}"/>
            </c:ext>
          </c:extLst>
        </c:ser>
        <c:ser>
          <c:idx val="0"/>
          <c:order val="2"/>
          <c:tx>
            <c:strRef>
              <c:f>'consolidado diario (2)'!$F$1</c:f>
              <c:strCache>
                <c:ptCount val="1"/>
                <c:pt idx="0">
                  <c:v>factor Kg/m3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'consolidado diario (2)'!$B$2:$B$26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'consolidado diario (2)'!$F$2:$F$33</c:f>
              <c:numCache>
                <c:formatCode>General</c:formatCode>
                <c:ptCount val="32"/>
                <c:pt idx="0">
                  <c:v>2.8</c:v>
                </c:pt>
                <c:pt idx="1">
                  <c:v>2.8</c:v>
                </c:pt>
                <c:pt idx="2">
                  <c:v>2.8</c:v>
                </c:pt>
                <c:pt idx="3">
                  <c:v>2.8</c:v>
                </c:pt>
                <c:pt idx="4">
                  <c:v>2.8</c:v>
                </c:pt>
                <c:pt idx="5">
                  <c:v>2.8</c:v>
                </c:pt>
                <c:pt idx="6">
                  <c:v>2.8</c:v>
                </c:pt>
                <c:pt idx="7">
                  <c:v>2.8</c:v>
                </c:pt>
                <c:pt idx="8">
                  <c:v>2.8</c:v>
                </c:pt>
                <c:pt idx="9">
                  <c:v>2.8</c:v>
                </c:pt>
                <c:pt idx="10">
                  <c:v>2.8</c:v>
                </c:pt>
                <c:pt idx="11">
                  <c:v>2.8</c:v>
                </c:pt>
                <c:pt idx="12">
                  <c:v>2.8</c:v>
                </c:pt>
                <c:pt idx="13">
                  <c:v>2.8</c:v>
                </c:pt>
                <c:pt idx="14">
                  <c:v>2.8</c:v>
                </c:pt>
                <c:pt idx="15">
                  <c:v>2.8</c:v>
                </c:pt>
                <c:pt idx="16">
                  <c:v>2.8</c:v>
                </c:pt>
                <c:pt idx="17">
                  <c:v>2.8</c:v>
                </c:pt>
                <c:pt idx="18">
                  <c:v>2.8</c:v>
                </c:pt>
                <c:pt idx="19">
                  <c:v>2.8</c:v>
                </c:pt>
                <c:pt idx="20">
                  <c:v>2.8</c:v>
                </c:pt>
                <c:pt idx="21">
                  <c:v>2.8</c:v>
                </c:pt>
                <c:pt idx="22">
                  <c:v>2.8</c:v>
                </c:pt>
                <c:pt idx="23">
                  <c:v>2.8</c:v>
                </c:pt>
                <c:pt idx="24">
                  <c:v>2.8</c:v>
                </c:pt>
                <c:pt idx="25">
                  <c:v>2.8</c:v>
                </c:pt>
                <c:pt idx="26">
                  <c:v>2.8</c:v>
                </c:pt>
                <c:pt idx="27">
                  <c:v>2.8</c:v>
                </c:pt>
                <c:pt idx="28">
                  <c:v>2.8</c:v>
                </c:pt>
                <c:pt idx="29">
                  <c:v>2.8</c:v>
                </c:pt>
                <c:pt idx="30">
                  <c:v>2.8</c:v>
                </c:pt>
                <c:pt idx="31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FE0-437C-ADF0-0F05E83D5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0522143"/>
        <c:axId val="1800504383"/>
      </c:lineChart>
      <c:catAx>
        <c:axId val="18004655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489983"/>
        <c:crosses val="autoZero"/>
        <c:auto val="1"/>
        <c:lblAlgn val="ctr"/>
        <c:lblOffset val="100"/>
        <c:noMultiLvlLbl val="0"/>
      </c:catAx>
      <c:valAx>
        <c:axId val="1800489983"/>
        <c:scaling>
          <c:orientation val="minMax"/>
          <c:max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m3 GEM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465503"/>
        <c:crosses val="autoZero"/>
        <c:crossBetween val="between"/>
        <c:majorUnit val="500"/>
      </c:valAx>
      <c:valAx>
        <c:axId val="1800504383"/>
        <c:scaling>
          <c:orientation val="minMax"/>
          <c:max val="2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Kg/m3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522143"/>
        <c:crosses val="max"/>
        <c:crossBetween val="between"/>
      </c:valAx>
      <c:catAx>
        <c:axId val="18005221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00504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Indicador $/Kg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'consolidado diario (2)'!$C$1</c:f>
              <c:strCache>
                <c:ptCount val="1"/>
                <c:pt idx="0">
                  <c:v>Kg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'consolidado diario (2)'!$B$2:$B$33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numCache>
            </c:numRef>
          </c:cat>
          <c:val>
            <c:numRef>
              <c:f>'consolidado diario (2)'!$C$2:$C$33</c:f>
              <c:numCache>
                <c:formatCode>#,##0</c:formatCode>
                <c:ptCount val="32"/>
                <c:pt idx="0">
                  <c:v>2950</c:v>
                </c:pt>
                <c:pt idx="1">
                  <c:v>4210</c:v>
                </c:pt>
                <c:pt idx="2">
                  <c:v>2801.739130434783</c:v>
                </c:pt>
                <c:pt idx="3">
                  <c:v>2568.2608695652175</c:v>
                </c:pt>
                <c:pt idx="4">
                  <c:v>4970</c:v>
                </c:pt>
                <c:pt idx="5">
                  <c:v>0</c:v>
                </c:pt>
                <c:pt idx="6">
                  <c:v>3330</c:v>
                </c:pt>
                <c:pt idx="7">
                  <c:v>3330</c:v>
                </c:pt>
                <c:pt idx="8">
                  <c:v>4580</c:v>
                </c:pt>
                <c:pt idx="9">
                  <c:v>3630</c:v>
                </c:pt>
                <c:pt idx="10">
                  <c:v>4450</c:v>
                </c:pt>
                <c:pt idx="11">
                  <c:v>5130</c:v>
                </c:pt>
                <c:pt idx="12">
                  <c:v>640</c:v>
                </c:pt>
                <c:pt idx="13">
                  <c:v>480</c:v>
                </c:pt>
                <c:pt idx="14">
                  <c:v>3200</c:v>
                </c:pt>
                <c:pt idx="15">
                  <c:v>5830</c:v>
                </c:pt>
                <c:pt idx="16">
                  <c:v>4530</c:v>
                </c:pt>
                <c:pt idx="17">
                  <c:v>0</c:v>
                </c:pt>
                <c:pt idx="18">
                  <c:v>1449.2307692307693</c:v>
                </c:pt>
                <c:pt idx="19">
                  <c:v>0</c:v>
                </c:pt>
                <c:pt idx="20">
                  <c:v>3260.7692307692309</c:v>
                </c:pt>
                <c:pt idx="21">
                  <c:v>3215.3846153846152</c:v>
                </c:pt>
                <c:pt idx="22">
                  <c:v>2484.6153846153848</c:v>
                </c:pt>
                <c:pt idx="23">
                  <c:v>4410</c:v>
                </c:pt>
                <c:pt idx="24">
                  <c:v>2234.2857142857142</c:v>
                </c:pt>
                <c:pt idx="25">
                  <c:v>2365.7142857142858</c:v>
                </c:pt>
                <c:pt idx="26">
                  <c:v>7360</c:v>
                </c:pt>
                <c:pt idx="27">
                  <c:v>9170</c:v>
                </c:pt>
                <c:pt idx="28">
                  <c:v>6180</c:v>
                </c:pt>
                <c:pt idx="29">
                  <c:v>1840</c:v>
                </c:pt>
                <c:pt idx="30">
                  <c:v>5310</c:v>
                </c:pt>
                <c:pt idx="31">
                  <c:v>4490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28-4A63-A79F-5F68A39956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800465503"/>
        <c:axId val="1800489983"/>
      </c:barChart>
      <c:lineChart>
        <c:grouping val="standard"/>
        <c:varyColors val="0"/>
        <c:ser>
          <c:idx val="2"/>
          <c:order val="1"/>
          <c:tx>
            <c:strRef>
              <c:f>'consolidado diario (2)'!$J$1</c:f>
              <c:strCache>
                <c:ptCount val="1"/>
                <c:pt idx="0">
                  <c:v>$/kg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7334652777777779E-2"/>
                  <c:y val="-1.30953119049095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A11-41B6-9FE4-B4576CA04550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A11-41B6-9FE4-B4576CA04550}"/>
                </c:ext>
              </c:extLst>
            </c:dLbl>
            <c:dLbl>
              <c:idx val="18"/>
              <c:layout>
                <c:manualLayout>
                  <c:x val="-1.9098541666666795E-2"/>
                  <c:y val="2.44000011809546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A11-41B6-9FE4-B4576CA04550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A11-41B6-9FE4-B4576CA04550}"/>
                </c:ext>
              </c:extLst>
            </c:dLbl>
            <c:dLbl>
              <c:idx val="24"/>
              <c:layout>
                <c:manualLayout>
                  <c:x val="-1.7334652777777779E-2"/>
                  <c:y val="3.18990637981275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A11-41B6-9FE4-B4576CA04550}"/>
                </c:ext>
              </c:extLst>
            </c:dLbl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'consolidado diario (2)'!$B$2:$B$26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'consolidado diario (2)'!$J$2:$J$33</c:f>
              <c:numCache>
                <c:formatCode>_-"$"\ * #,##0_-;\-"$"\ * #,##0_-;_-"$"\ * "-"??_-;_-@_-</c:formatCode>
                <c:ptCount val="32"/>
                <c:pt idx="0">
                  <c:v>350.23728813559325</c:v>
                </c:pt>
                <c:pt idx="1">
                  <c:v>274.14726840855104</c:v>
                </c:pt>
                <c:pt idx="2">
                  <c:v>235.66480446927375</c:v>
                </c:pt>
                <c:pt idx="3">
                  <c:v>235.66480446927375</c:v>
                </c:pt>
                <c:pt idx="4">
                  <c:v>200.51369084069634</c:v>
                </c:pt>
                <c:pt idx="5">
                  <c:v>0</c:v>
                </c:pt>
                <c:pt idx="6">
                  <c:v>208.61261261261262</c:v>
                </c:pt>
                <c:pt idx="7">
                  <c:v>208.61261261261262</c:v>
                </c:pt>
                <c:pt idx="8">
                  <c:v>259.75545851528386</c:v>
                </c:pt>
                <c:pt idx="9">
                  <c:v>302.61157024793391</c:v>
                </c:pt>
                <c:pt idx="10">
                  <c:v>264.53932584269666</c:v>
                </c:pt>
                <c:pt idx="11">
                  <c:v>242.19883040935673</c:v>
                </c:pt>
                <c:pt idx="12">
                  <c:v>269.61111111111114</c:v>
                </c:pt>
                <c:pt idx="13">
                  <c:v>269.61111111111109</c:v>
                </c:pt>
                <c:pt idx="14">
                  <c:v>269.61111111111114</c:v>
                </c:pt>
                <c:pt idx="15">
                  <c:v>224.64493996569468</c:v>
                </c:pt>
                <c:pt idx="16">
                  <c:v>261.56291390728478</c:v>
                </c:pt>
                <c:pt idx="17">
                  <c:v>0</c:v>
                </c:pt>
                <c:pt idx="18">
                  <c:v>255.23566878980893</c:v>
                </c:pt>
                <c:pt idx="19">
                  <c:v>0</c:v>
                </c:pt>
                <c:pt idx="20">
                  <c:v>255.23566878980893</c:v>
                </c:pt>
                <c:pt idx="21">
                  <c:v>227.57894736842101</c:v>
                </c:pt>
                <c:pt idx="22">
                  <c:v>227.57894736842104</c:v>
                </c:pt>
                <c:pt idx="23">
                  <c:v>266.06802721088434</c:v>
                </c:pt>
                <c:pt idx="24">
                  <c:v>259.04347826086956</c:v>
                </c:pt>
                <c:pt idx="25">
                  <c:v>259.04347826086956</c:v>
                </c:pt>
                <c:pt idx="26">
                  <c:v>186.74410163339383</c:v>
                </c:pt>
                <c:pt idx="27">
                  <c:v>186.74410163339383</c:v>
                </c:pt>
                <c:pt idx="28">
                  <c:v>283.03241895261846</c:v>
                </c:pt>
                <c:pt idx="29">
                  <c:v>283.03241895261846</c:v>
                </c:pt>
                <c:pt idx="30">
                  <c:v>237.24293785310735</c:v>
                </c:pt>
                <c:pt idx="31">
                  <c:v>263.0378619153675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328-4A63-A79F-5F68A39956EC}"/>
            </c:ext>
          </c:extLst>
        </c:ser>
        <c:ser>
          <c:idx val="0"/>
          <c:order val="2"/>
          <c:tx>
            <c:strRef>
              <c:f>'consolidado diario (2)'!$K$1</c:f>
              <c:strCache>
                <c:ptCount val="1"/>
                <c:pt idx="0">
                  <c:v>factor $/kg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'consolidado diario (2)'!$B$2:$B$26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'consolidado diario (2)'!$K$2:$K$33</c:f>
              <c:numCache>
                <c:formatCode>_-"$"\ * #,##0_-;\-"$"\ * #,##0_-;_-"$"\ * "-"??_-;_-@_-</c:formatCode>
                <c:ptCount val="32"/>
                <c:pt idx="0">
                  <c:v>283</c:v>
                </c:pt>
                <c:pt idx="1">
                  <c:v>283</c:v>
                </c:pt>
                <c:pt idx="2">
                  <c:v>283</c:v>
                </c:pt>
                <c:pt idx="3">
                  <c:v>283</c:v>
                </c:pt>
                <c:pt idx="4">
                  <c:v>283</c:v>
                </c:pt>
                <c:pt idx="5">
                  <c:v>283</c:v>
                </c:pt>
                <c:pt idx="6">
                  <c:v>283</c:v>
                </c:pt>
                <c:pt idx="7">
                  <c:v>283</c:v>
                </c:pt>
                <c:pt idx="8">
                  <c:v>283</c:v>
                </c:pt>
                <c:pt idx="9">
                  <c:v>283</c:v>
                </c:pt>
                <c:pt idx="10">
                  <c:v>283</c:v>
                </c:pt>
                <c:pt idx="11">
                  <c:v>283</c:v>
                </c:pt>
                <c:pt idx="12">
                  <c:v>283</c:v>
                </c:pt>
                <c:pt idx="13">
                  <c:v>283</c:v>
                </c:pt>
                <c:pt idx="14">
                  <c:v>283</c:v>
                </c:pt>
                <c:pt idx="15">
                  <c:v>283</c:v>
                </c:pt>
                <c:pt idx="16">
                  <c:v>283</c:v>
                </c:pt>
                <c:pt idx="17">
                  <c:v>283</c:v>
                </c:pt>
                <c:pt idx="18">
                  <c:v>283</c:v>
                </c:pt>
                <c:pt idx="19">
                  <c:v>283</c:v>
                </c:pt>
                <c:pt idx="20">
                  <c:v>283</c:v>
                </c:pt>
                <c:pt idx="21">
                  <c:v>283</c:v>
                </c:pt>
                <c:pt idx="22">
                  <c:v>283</c:v>
                </c:pt>
                <c:pt idx="23">
                  <c:v>283</c:v>
                </c:pt>
                <c:pt idx="24">
                  <c:v>283</c:v>
                </c:pt>
                <c:pt idx="25">
                  <c:v>283</c:v>
                </c:pt>
                <c:pt idx="26">
                  <c:v>283</c:v>
                </c:pt>
                <c:pt idx="27">
                  <c:v>283</c:v>
                </c:pt>
                <c:pt idx="28">
                  <c:v>283</c:v>
                </c:pt>
                <c:pt idx="29">
                  <c:v>283</c:v>
                </c:pt>
                <c:pt idx="30">
                  <c:v>283</c:v>
                </c:pt>
                <c:pt idx="31">
                  <c:v>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328-4A63-A79F-5F68A39956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71537295"/>
        <c:axId val="1071532975"/>
      </c:lineChart>
      <c:catAx>
        <c:axId val="18004655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489983"/>
        <c:crosses val="autoZero"/>
        <c:auto val="1"/>
        <c:lblAlgn val="ctr"/>
        <c:lblOffset val="100"/>
        <c:noMultiLvlLbl val="0"/>
      </c:catAx>
      <c:valAx>
        <c:axId val="180048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Kg</a:t>
                </a:r>
                <a:r>
                  <a:rPr lang="es-CO" baseline="0"/>
                  <a:t> dia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465503"/>
        <c:crosses val="autoZero"/>
        <c:crossBetween val="between"/>
        <c:majorUnit val="1000"/>
      </c:valAx>
      <c:valAx>
        <c:axId val="1071532975"/>
        <c:scaling>
          <c:orientation val="minMax"/>
          <c:max val="150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$/kg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&quot;$&quot;\ * #,##0_-;\-&quot;$&quot;\ * #,##0_-;_-&quot;$&quot;\ 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71537295"/>
        <c:crosses val="max"/>
        <c:crossBetween val="between"/>
      </c:valAx>
      <c:catAx>
        <c:axId val="10715372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715329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Indicador Kg/m3 - SEP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'consolidado diario (2)'!$D$1</c:f>
              <c:strCache>
                <c:ptCount val="1"/>
                <c:pt idx="0">
                  <c:v>GEM m3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'consolidado diario (2)'!$B$2:$B$33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numCache>
            </c:numRef>
          </c:cat>
          <c:val>
            <c:numRef>
              <c:f>'consolidado diario (2)'!$D$2:$D$33</c:f>
              <c:numCache>
                <c:formatCode>#,##0</c:formatCode>
                <c:ptCount val="32"/>
                <c:pt idx="0">
                  <c:v>960</c:v>
                </c:pt>
                <c:pt idx="1">
                  <c:v>1840</c:v>
                </c:pt>
                <c:pt idx="2">
                  <c:v>1920</c:v>
                </c:pt>
                <c:pt idx="3">
                  <c:v>1760</c:v>
                </c:pt>
                <c:pt idx="4">
                  <c:v>480</c:v>
                </c:pt>
                <c:pt idx="5">
                  <c:v>0</c:v>
                </c:pt>
                <c:pt idx="6">
                  <c:v>1440</c:v>
                </c:pt>
                <c:pt idx="7">
                  <c:v>1440</c:v>
                </c:pt>
                <c:pt idx="8">
                  <c:v>1680</c:v>
                </c:pt>
                <c:pt idx="9">
                  <c:v>1840</c:v>
                </c:pt>
                <c:pt idx="10">
                  <c:v>1600</c:v>
                </c:pt>
                <c:pt idx="11">
                  <c:v>1680</c:v>
                </c:pt>
                <c:pt idx="12">
                  <c:v>320</c:v>
                </c:pt>
                <c:pt idx="13">
                  <c:v>240</c:v>
                </c:pt>
                <c:pt idx="14">
                  <c:v>1600</c:v>
                </c:pt>
                <c:pt idx="15">
                  <c:v>1440</c:v>
                </c:pt>
                <c:pt idx="16">
                  <c:v>1360</c:v>
                </c:pt>
                <c:pt idx="17">
                  <c:v>0</c:v>
                </c:pt>
                <c:pt idx="18">
                  <c:v>320</c:v>
                </c:pt>
                <c:pt idx="19">
                  <c:v>0</c:v>
                </c:pt>
                <c:pt idx="20">
                  <c:v>720</c:v>
                </c:pt>
                <c:pt idx="21">
                  <c:v>1760</c:v>
                </c:pt>
                <c:pt idx="22">
                  <c:v>1360</c:v>
                </c:pt>
                <c:pt idx="23">
                  <c:v>400</c:v>
                </c:pt>
                <c:pt idx="24">
                  <c:v>1360</c:v>
                </c:pt>
                <c:pt idx="25">
                  <c:v>1440</c:v>
                </c:pt>
                <c:pt idx="26">
                  <c:v>480</c:v>
                </c:pt>
                <c:pt idx="27">
                  <c:v>480</c:v>
                </c:pt>
                <c:pt idx="28">
                  <c:v>760</c:v>
                </c:pt>
                <c:pt idx="29">
                  <c:v>760</c:v>
                </c:pt>
                <c:pt idx="30">
                  <c:v>1600</c:v>
                </c:pt>
                <c:pt idx="31">
                  <c:v>1520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61-49F7-96F8-99959172F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00465503"/>
        <c:axId val="1800489983"/>
      </c:barChart>
      <c:lineChart>
        <c:grouping val="standard"/>
        <c:varyColors val="0"/>
        <c:ser>
          <c:idx val="2"/>
          <c:order val="1"/>
          <c:tx>
            <c:strRef>
              <c:f>'consolidado diario (2)'!$J$1</c:f>
              <c:strCache>
                <c:ptCount val="1"/>
                <c:pt idx="0">
                  <c:v>$/kg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'consolidado diario (2)'!$B$2:$B$33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numCache>
            </c:numRef>
          </c:cat>
          <c:val>
            <c:numRef>
              <c:f>'consolidado diario (2)'!$J$2:$J$33</c:f>
              <c:numCache>
                <c:formatCode>_-"$"\ * #,##0_-;\-"$"\ * #,##0_-;_-"$"\ * "-"??_-;_-@_-</c:formatCode>
                <c:ptCount val="32"/>
                <c:pt idx="0">
                  <c:v>350.23728813559325</c:v>
                </c:pt>
                <c:pt idx="1">
                  <c:v>274.14726840855104</c:v>
                </c:pt>
                <c:pt idx="2">
                  <c:v>235.66480446927375</c:v>
                </c:pt>
                <c:pt idx="3">
                  <c:v>235.66480446927375</c:v>
                </c:pt>
                <c:pt idx="4">
                  <c:v>200.51369084069634</c:v>
                </c:pt>
                <c:pt idx="5">
                  <c:v>0</c:v>
                </c:pt>
                <c:pt idx="6">
                  <c:v>208.61261261261262</c:v>
                </c:pt>
                <c:pt idx="7">
                  <c:v>208.61261261261262</c:v>
                </c:pt>
                <c:pt idx="8">
                  <c:v>259.75545851528386</c:v>
                </c:pt>
                <c:pt idx="9">
                  <c:v>302.61157024793391</c:v>
                </c:pt>
                <c:pt idx="10">
                  <c:v>264.53932584269666</c:v>
                </c:pt>
                <c:pt idx="11">
                  <c:v>242.19883040935673</c:v>
                </c:pt>
                <c:pt idx="12">
                  <c:v>269.61111111111114</c:v>
                </c:pt>
                <c:pt idx="13">
                  <c:v>269.61111111111109</c:v>
                </c:pt>
                <c:pt idx="14">
                  <c:v>269.61111111111114</c:v>
                </c:pt>
                <c:pt idx="15">
                  <c:v>224.64493996569468</c:v>
                </c:pt>
                <c:pt idx="16">
                  <c:v>261.56291390728478</c:v>
                </c:pt>
                <c:pt idx="17">
                  <c:v>0</c:v>
                </c:pt>
                <c:pt idx="18">
                  <c:v>255.23566878980893</c:v>
                </c:pt>
                <c:pt idx="19">
                  <c:v>0</c:v>
                </c:pt>
                <c:pt idx="20">
                  <c:v>255.23566878980893</c:v>
                </c:pt>
                <c:pt idx="21">
                  <c:v>227.57894736842101</c:v>
                </c:pt>
                <c:pt idx="22">
                  <c:v>227.57894736842104</c:v>
                </c:pt>
                <c:pt idx="23">
                  <c:v>266.06802721088434</c:v>
                </c:pt>
                <c:pt idx="24">
                  <c:v>259.04347826086956</c:v>
                </c:pt>
                <c:pt idx="25">
                  <c:v>259.04347826086956</c:v>
                </c:pt>
                <c:pt idx="26">
                  <c:v>186.74410163339383</c:v>
                </c:pt>
                <c:pt idx="27">
                  <c:v>186.74410163339383</c:v>
                </c:pt>
                <c:pt idx="28">
                  <c:v>283.03241895261846</c:v>
                </c:pt>
                <c:pt idx="29">
                  <c:v>283.03241895261846</c:v>
                </c:pt>
                <c:pt idx="30">
                  <c:v>237.24293785310735</c:v>
                </c:pt>
                <c:pt idx="31">
                  <c:v>263.0378619153675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61-49F7-96F8-99959172F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0522143"/>
        <c:axId val="1800504383"/>
      </c:lineChart>
      <c:catAx>
        <c:axId val="18004655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489983"/>
        <c:crosses val="autoZero"/>
        <c:auto val="1"/>
        <c:lblAlgn val="ctr"/>
        <c:lblOffset val="100"/>
        <c:noMultiLvlLbl val="0"/>
      </c:catAx>
      <c:valAx>
        <c:axId val="180048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m3 GEM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465503"/>
        <c:crosses val="autoZero"/>
        <c:crossBetween val="between"/>
      </c:valAx>
      <c:valAx>
        <c:axId val="1800504383"/>
        <c:scaling>
          <c:orientation val="minMax"/>
          <c:max val="400"/>
          <c:min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Kg/m3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&quot;$&quot;\ * #,##0_-;\-&quot;$&quot;\ * #,##0_-;_-&quot;$&quot;\ 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522143"/>
        <c:crosses val="max"/>
        <c:crossBetween val="between"/>
      </c:valAx>
      <c:catAx>
        <c:axId val="18005221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00504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Indicador Kg/m3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'consolidado diario (5)'!$D$1</c:f>
              <c:strCache>
                <c:ptCount val="1"/>
                <c:pt idx="0">
                  <c:v>GEM m3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'consolidado diario (5)'!$B$3:$B$33</c:f>
              <c:numCache>
                <c:formatCode>General</c:formatCode>
                <c:ptCount val="31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</c:numCache>
            </c:numRef>
          </c:cat>
          <c:val>
            <c:numRef>
              <c:f>'consolidado diario (5)'!$D$3:$D$33</c:f>
              <c:numCache>
                <c:formatCode>0</c:formatCode>
                <c:ptCount val="31"/>
                <c:pt idx="0" formatCode="General">
                  <c:v>1360</c:v>
                </c:pt>
                <c:pt idx="1">
                  <c:v>783.61610968294769</c:v>
                </c:pt>
                <c:pt idx="2">
                  <c:v>1056.3838903170522</c:v>
                </c:pt>
                <c:pt idx="3" formatCode="General">
                  <c:v>1920</c:v>
                </c:pt>
                <c:pt idx="4" formatCode="General">
                  <c:v>1760</c:v>
                </c:pt>
                <c:pt idx="5" formatCode="General">
                  <c:v>1200</c:v>
                </c:pt>
                <c:pt idx="6" formatCode="General">
                  <c:v>1840</c:v>
                </c:pt>
                <c:pt idx="7" formatCode="General">
                  <c:v>1840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77-42EF-9389-3C353F9D5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00465503"/>
        <c:axId val="1800489983"/>
      </c:barChart>
      <c:lineChart>
        <c:grouping val="standard"/>
        <c:varyColors val="0"/>
        <c:ser>
          <c:idx val="2"/>
          <c:order val="1"/>
          <c:tx>
            <c:strRef>
              <c:f>'consolidado diario (5)'!$E$1</c:f>
              <c:strCache>
                <c:ptCount val="1"/>
                <c:pt idx="0">
                  <c:v>kg/m3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10"/>
              <c:layout>
                <c:manualLayout>
                  <c:x val="-3.6397930015833121E-2"/>
                  <c:y val="-0.1492864281292902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8054342397483713E-2"/>
                      <c:h val="6.581044958313017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7016-47D0-8AA9-83E07F92C4B6}"/>
                </c:ext>
              </c:extLst>
            </c:dLbl>
            <c:dLbl>
              <c:idx val="13"/>
              <c:layout>
                <c:manualLayout>
                  <c:x val="-3.0280235589108064E-2"/>
                  <c:y val="-0.1574296725883317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877-42EF-9389-3C353F9D5104}"/>
                </c:ext>
              </c:extLst>
            </c:dLbl>
            <c:dLbl>
              <c:idx val="14"/>
              <c:layout>
                <c:manualLayout>
                  <c:x val="-2.3246540676880464E-2"/>
                  <c:y val="-9.31312439699979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016-47D0-8AA9-83E07F92C4B6}"/>
                </c:ext>
              </c:extLst>
            </c:dLbl>
            <c:dLbl>
              <c:idx val="16"/>
              <c:layout>
                <c:manualLayout>
                  <c:x val="-2.6678122799225743E-2"/>
                  <c:y val="-9.43896341020614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877-42EF-9389-3C353F9D51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'consolidado diario (5)'!$B$3:$B$28</c:f>
              <c:numCache>
                <c:formatCode>General</c:formatCode>
                <c:ptCount val="26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</c:numCache>
            </c:numRef>
          </c:cat>
          <c:val>
            <c:numRef>
              <c:f>'consolidado diario (5)'!$E$3:$E$33</c:f>
              <c:numCache>
                <c:formatCode>0.0</c:formatCode>
                <c:ptCount val="31"/>
                <c:pt idx="0">
                  <c:v>5.0367647058823533</c:v>
                </c:pt>
                <c:pt idx="1">
                  <c:v>6.3423913043478262</c:v>
                </c:pt>
                <c:pt idx="2">
                  <c:v>6.3423913043478262</c:v>
                </c:pt>
                <c:pt idx="3">
                  <c:v>2.3072916666666665</c:v>
                </c:pt>
                <c:pt idx="4">
                  <c:v>2.7556818181818183</c:v>
                </c:pt>
                <c:pt idx="5">
                  <c:v>1.5916666666666666</c:v>
                </c:pt>
                <c:pt idx="6">
                  <c:v>2.6793478260869565</c:v>
                </c:pt>
                <c:pt idx="7">
                  <c:v>2.4510869565217392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877-42EF-9389-3C353F9D5104}"/>
            </c:ext>
          </c:extLst>
        </c:ser>
        <c:ser>
          <c:idx val="0"/>
          <c:order val="2"/>
          <c:tx>
            <c:strRef>
              <c:f>'consolidado diario (5)'!$F$1</c:f>
              <c:strCache>
                <c:ptCount val="1"/>
                <c:pt idx="0">
                  <c:v>factor Kg/m3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'consolidado diario (5)'!$B$3:$B$28</c:f>
              <c:numCache>
                <c:formatCode>General</c:formatCode>
                <c:ptCount val="26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</c:numCache>
            </c:numRef>
          </c:cat>
          <c:val>
            <c:numRef>
              <c:f>'consolidado diario (5)'!$F$3:$F$33</c:f>
              <c:numCache>
                <c:formatCode>General</c:formatCode>
                <c:ptCount val="31"/>
                <c:pt idx="0">
                  <c:v>2.8</c:v>
                </c:pt>
                <c:pt idx="1">
                  <c:v>2.8</c:v>
                </c:pt>
                <c:pt idx="2">
                  <c:v>2.8</c:v>
                </c:pt>
                <c:pt idx="3">
                  <c:v>2.8</c:v>
                </c:pt>
                <c:pt idx="4">
                  <c:v>2.8</c:v>
                </c:pt>
                <c:pt idx="5">
                  <c:v>2.8</c:v>
                </c:pt>
                <c:pt idx="6">
                  <c:v>2.8</c:v>
                </c:pt>
                <c:pt idx="7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877-42EF-9389-3C353F9D5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0522143"/>
        <c:axId val="1800504383"/>
      </c:lineChart>
      <c:catAx>
        <c:axId val="18004655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489983"/>
        <c:crosses val="autoZero"/>
        <c:auto val="1"/>
        <c:lblAlgn val="ctr"/>
        <c:lblOffset val="100"/>
        <c:noMultiLvlLbl val="0"/>
      </c:catAx>
      <c:valAx>
        <c:axId val="180048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m3 GEM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465503"/>
        <c:crosses val="autoZero"/>
        <c:crossBetween val="between"/>
        <c:majorUnit val="500"/>
      </c:valAx>
      <c:valAx>
        <c:axId val="180050438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Kg/m3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522143"/>
        <c:crosses val="max"/>
        <c:crossBetween val="between"/>
      </c:valAx>
      <c:catAx>
        <c:axId val="18005221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00504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Indicador $/Kg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'consolidado diario (5)'!$C$1</c:f>
              <c:strCache>
                <c:ptCount val="1"/>
                <c:pt idx="0">
                  <c:v>Kg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'consolidado diario (5)'!$B$3:$B$33</c:f>
              <c:numCache>
                <c:formatCode>General</c:formatCode>
                <c:ptCount val="31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</c:numCache>
            </c:numRef>
          </c:cat>
          <c:val>
            <c:numRef>
              <c:f>'consolidado diario (5)'!$C$3:$C$33</c:f>
              <c:numCache>
                <c:formatCode>0</c:formatCode>
                <c:ptCount val="31"/>
                <c:pt idx="0" formatCode="General">
                  <c:v>6850</c:v>
                </c:pt>
                <c:pt idx="1">
                  <c:v>4970</c:v>
                </c:pt>
                <c:pt idx="2">
                  <c:v>6700</c:v>
                </c:pt>
                <c:pt idx="3">
                  <c:v>4430</c:v>
                </c:pt>
                <c:pt idx="4" formatCode="General">
                  <c:v>4850</c:v>
                </c:pt>
                <c:pt idx="5" formatCode="General">
                  <c:v>1910</c:v>
                </c:pt>
                <c:pt idx="6" formatCode="General">
                  <c:v>4930</c:v>
                </c:pt>
                <c:pt idx="7" formatCode="General">
                  <c:v>4510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64-4548-9809-5194348C2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00465503"/>
        <c:axId val="1800489983"/>
      </c:barChart>
      <c:lineChart>
        <c:grouping val="standard"/>
        <c:varyColors val="0"/>
        <c:ser>
          <c:idx val="2"/>
          <c:order val="1"/>
          <c:tx>
            <c:strRef>
              <c:f>'consolidado diario (5)'!$J$1</c:f>
              <c:strCache>
                <c:ptCount val="1"/>
                <c:pt idx="0">
                  <c:v>$/kg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D47-49E6-B3FC-E20FD2A30289}"/>
                </c:ext>
              </c:extLst>
            </c:dLbl>
            <c:dLbl>
              <c:idx val="13"/>
              <c:layout>
                <c:manualLayout>
                  <c:x val="-3.1704095112285467E-2"/>
                  <c:y val="-5.76624528720337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D47-49E6-B3FC-E20FD2A30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'consolidado diario (5)'!$B$3:$B$28</c:f>
              <c:numCache>
                <c:formatCode>General</c:formatCode>
                <c:ptCount val="26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</c:numCache>
            </c:numRef>
          </c:cat>
          <c:val>
            <c:numRef>
              <c:f>'consolidado diario (5)'!$J$3:$J$33</c:f>
              <c:numCache>
                <c:formatCode>_-"$"\ * #,##0_-;\-"$"\ * #,##0_-;_-"$"\ * "-"??_-;_-@_-</c:formatCode>
                <c:ptCount val="31"/>
                <c:pt idx="0">
                  <c:v>205.4890510948905</c:v>
                </c:pt>
                <c:pt idx="1">
                  <c:v>246.90543259557344</c:v>
                </c:pt>
                <c:pt idx="2">
                  <c:v>207.9402985074627</c:v>
                </c:pt>
                <c:pt idx="3">
                  <c:v>265.30022573363431</c:v>
                </c:pt>
                <c:pt idx="4">
                  <c:v>250.63917525773195</c:v>
                </c:pt>
                <c:pt idx="5">
                  <c:v>488.67015706806285</c:v>
                </c:pt>
                <c:pt idx="6">
                  <c:v>248.12981744421907</c:v>
                </c:pt>
                <c:pt idx="7">
                  <c:v>262.29711751662973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64-4548-9809-5194348C2A8B}"/>
            </c:ext>
          </c:extLst>
        </c:ser>
        <c:ser>
          <c:idx val="0"/>
          <c:order val="2"/>
          <c:tx>
            <c:strRef>
              <c:f>'consolidado diario (5)'!$K$1</c:f>
              <c:strCache>
                <c:ptCount val="1"/>
                <c:pt idx="0">
                  <c:v>factor $/kg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'consolidado diario (5)'!$B$3:$B$28</c:f>
              <c:numCache>
                <c:formatCode>General</c:formatCode>
                <c:ptCount val="26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</c:numCache>
            </c:numRef>
          </c:cat>
          <c:val>
            <c:numRef>
              <c:f>'consolidado diario (5)'!$K$3:$K$33</c:f>
              <c:numCache>
                <c:formatCode>_-"$"\ * #,##0_-;\-"$"\ * #,##0_-;_-"$"\ * "-"??_-;_-@_-</c:formatCode>
                <c:ptCount val="31"/>
                <c:pt idx="0">
                  <c:v>283</c:v>
                </c:pt>
                <c:pt idx="1">
                  <c:v>283</c:v>
                </c:pt>
                <c:pt idx="2">
                  <c:v>283</c:v>
                </c:pt>
                <c:pt idx="3">
                  <c:v>283</c:v>
                </c:pt>
                <c:pt idx="4">
                  <c:v>283</c:v>
                </c:pt>
                <c:pt idx="5">
                  <c:v>283</c:v>
                </c:pt>
                <c:pt idx="6">
                  <c:v>283</c:v>
                </c:pt>
                <c:pt idx="7">
                  <c:v>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64-4548-9809-5194348C2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1537295"/>
        <c:axId val="1071532975"/>
      </c:lineChart>
      <c:catAx>
        <c:axId val="18004655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489983"/>
        <c:crosses val="autoZero"/>
        <c:auto val="1"/>
        <c:lblAlgn val="ctr"/>
        <c:lblOffset val="100"/>
        <c:noMultiLvlLbl val="0"/>
      </c:catAx>
      <c:valAx>
        <c:axId val="1800489983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Kg</a:t>
                </a:r>
                <a:r>
                  <a:rPr lang="es-CO" baseline="0"/>
                  <a:t> dia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465503"/>
        <c:crosses val="autoZero"/>
        <c:crossBetween val="between"/>
        <c:majorUnit val="1000"/>
      </c:valAx>
      <c:valAx>
        <c:axId val="1071532975"/>
        <c:scaling>
          <c:orientation val="minMax"/>
          <c:min val="15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$/kg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&quot;$&quot;\ * #,##0_-;\-&quot;$&quot;\ * #,##0_-;_-&quot;$&quot;\ 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71537295"/>
        <c:crosses val="max"/>
        <c:crossBetween val="between"/>
      </c:valAx>
      <c:catAx>
        <c:axId val="10715372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715329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Indicador Kg/m3 - SEP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'consolidado diario (5)'!$D$1</c:f>
              <c:strCache>
                <c:ptCount val="1"/>
                <c:pt idx="0">
                  <c:v>GEM m3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'consolidado diario (5)'!$B$3:$B$33</c:f>
              <c:numCache>
                <c:formatCode>General</c:formatCode>
                <c:ptCount val="31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</c:numCache>
            </c:numRef>
          </c:cat>
          <c:val>
            <c:numRef>
              <c:f>'consolidado diario (5)'!$D$3:$D$33</c:f>
              <c:numCache>
                <c:formatCode>0</c:formatCode>
                <c:ptCount val="31"/>
                <c:pt idx="0" formatCode="General">
                  <c:v>1360</c:v>
                </c:pt>
                <c:pt idx="1">
                  <c:v>783.61610968294769</c:v>
                </c:pt>
                <c:pt idx="2">
                  <c:v>1056.3838903170522</c:v>
                </c:pt>
                <c:pt idx="3" formatCode="General">
                  <c:v>1920</c:v>
                </c:pt>
                <c:pt idx="4" formatCode="General">
                  <c:v>1760</c:v>
                </c:pt>
                <c:pt idx="5" formatCode="General">
                  <c:v>1200</c:v>
                </c:pt>
                <c:pt idx="6" formatCode="General">
                  <c:v>1840</c:v>
                </c:pt>
                <c:pt idx="7" formatCode="General">
                  <c:v>1840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BD-42B9-9A4B-74B40B755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00465503"/>
        <c:axId val="1800489983"/>
      </c:barChart>
      <c:lineChart>
        <c:grouping val="standard"/>
        <c:varyColors val="0"/>
        <c:ser>
          <c:idx val="2"/>
          <c:order val="1"/>
          <c:tx>
            <c:strRef>
              <c:f>'consolidado diario (5)'!$J$1</c:f>
              <c:strCache>
                <c:ptCount val="1"/>
                <c:pt idx="0">
                  <c:v>$/kg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'consolidado diario (5)'!$B$3:$B$33</c:f>
              <c:numCache>
                <c:formatCode>General</c:formatCode>
                <c:ptCount val="31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</c:numCache>
            </c:numRef>
          </c:cat>
          <c:val>
            <c:numRef>
              <c:f>'consolidado diario (5)'!$J$3:$J$33</c:f>
              <c:numCache>
                <c:formatCode>_-"$"\ * #,##0_-;\-"$"\ * #,##0_-;_-"$"\ * "-"??_-;_-@_-</c:formatCode>
                <c:ptCount val="31"/>
                <c:pt idx="0">
                  <c:v>205.4890510948905</c:v>
                </c:pt>
                <c:pt idx="1">
                  <c:v>246.90543259557344</c:v>
                </c:pt>
                <c:pt idx="2">
                  <c:v>207.9402985074627</c:v>
                </c:pt>
                <c:pt idx="3">
                  <c:v>265.30022573363431</c:v>
                </c:pt>
                <c:pt idx="4">
                  <c:v>250.63917525773195</c:v>
                </c:pt>
                <c:pt idx="5">
                  <c:v>488.67015706806285</c:v>
                </c:pt>
                <c:pt idx="6">
                  <c:v>248.12981744421907</c:v>
                </c:pt>
                <c:pt idx="7">
                  <c:v>262.29711751662973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BD-42B9-9A4B-74B40B755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0522143"/>
        <c:axId val="1800504383"/>
      </c:lineChart>
      <c:catAx>
        <c:axId val="18004655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489983"/>
        <c:crosses val="autoZero"/>
        <c:auto val="1"/>
        <c:lblAlgn val="ctr"/>
        <c:lblOffset val="100"/>
        <c:noMultiLvlLbl val="0"/>
      </c:catAx>
      <c:valAx>
        <c:axId val="180048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m3 GEM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465503"/>
        <c:crosses val="autoZero"/>
        <c:crossBetween val="between"/>
      </c:valAx>
      <c:valAx>
        <c:axId val="1800504383"/>
        <c:scaling>
          <c:orientation val="minMax"/>
          <c:max val="400"/>
          <c:min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Kg/m3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&quot;$&quot;\ * #,##0_-;\-&quot;$&quot;\ * #,##0_-;_-&quot;$&quot;\ 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522143"/>
        <c:crosses val="max"/>
        <c:crossBetween val="between"/>
      </c:valAx>
      <c:catAx>
        <c:axId val="18005221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00504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Indicador Kg/m3 - SEP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'consolidado diario (3)'!$D$1</c:f>
              <c:strCache>
                <c:ptCount val="1"/>
                <c:pt idx="0">
                  <c:v>GEM m3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'consolidado diario (3)'!$B$2:$B$35</c:f>
              <c:numCache>
                <c:formatCode>General</c:formatCode>
                <c:ptCount val="34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</c:numCache>
            </c:numRef>
          </c:cat>
          <c:val>
            <c:numRef>
              <c:f>'consolidado diario (3)'!$D$2:$D$35</c:f>
              <c:numCache>
                <c:formatCode>General</c:formatCode>
                <c:ptCount val="34"/>
                <c:pt idx="0">
                  <c:v>1760</c:v>
                </c:pt>
                <c:pt idx="1">
                  <c:v>0</c:v>
                </c:pt>
                <c:pt idx="2">
                  <c:v>1600</c:v>
                </c:pt>
                <c:pt idx="3">
                  <c:v>1760</c:v>
                </c:pt>
                <c:pt idx="4">
                  <c:v>1680</c:v>
                </c:pt>
                <c:pt idx="5">
                  <c:v>1840</c:v>
                </c:pt>
                <c:pt idx="6">
                  <c:v>1760</c:v>
                </c:pt>
                <c:pt idx="7">
                  <c:v>480</c:v>
                </c:pt>
                <c:pt idx="8">
                  <c:v>960</c:v>
                </c:pt>
                <c:pt idx="9">
                  <c:v>720</c:v>
                </c:pt>
                <c:pt idx="10">
                  <c:v>560</c:v>
                </c:pt>
                <c:pt idx="11">
                  <c:v>1280</c:v>
                </c:pt>
                <c:pt idx="12">
                  <c:v>400</c:v>
                </c:pt>
                <c:pt idx="13">
                  <c:v>1920</c:v>
                </c:pt>
                <c:pt idx="14">
                  <c:v>640</c:v>
                </c:pt>
                <c:pt idx="15">
                  <c:v>1680</c:v>
                </c:pt>
                <c:pt idx="16">
                  <c:v>1680</c:v>
                </c:pt>
                <c:pt idx="17">
                  <c:v>1840</c:v>
                </c:pt>
                <c:pt idx="18">
                  <c:v>1840</c:v>
                </c:pt>
                <c:pt idx="19">
                  <c:v>1840</c:v>
                </c:pt>
                <c:pt idx="20">
                  <c:v>560</c:v>
                </c:pt>
                <c:pt idx="21">
                  <c:v>960</c:v>
                </c:pt>
                <c:pt idx="22">
                  <c:v>1760</c:v>
                </c:pt>
                <c:pt idx="23">
                  <c:v>1760</c:v>
                </c:pt>
                <c:pt idx="24">
                  <c:v>1760</c:v>
                </c:pt>
                <c:pt idx="25">
                  <c:v>1840</c:v>
                </c:pt>
                <c:pt idx="26">
                  <c:v>1760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57-4693-B3EF-457A46B4B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00465503"/>
        <c:axId val="1800489983"/>
      </c:barChart>
      <c:lineChart>
        <c:grouping val="standard"/>
        <c:varyColors val="0"/>
        <c:ser>
          <c:idx val="2"/>
          <c:order val="1"/>
          <c:tx>
            <c:strRef>
              <c:f>'consolidado diario (3)'!$E$1</c:f>
              <c:strCache>
                <c:ptCount val="1"/>
                <c:pt idx="0">
                  <c:v>kg/m3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13"/>
              <c:layout>
                <c:manualLayout>
                  <c:x val="-3.6397930015833121E-2"/>
                  <c:y val="-0.1492864281292902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8054342397483713E-2"/>
                      <c:h val="6.581044958313017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FDC5-4757-8C54-964F5646100A}"/>
                </c:ext>
              </c:extLst>
            </c:dLbl>
            <c:dLbl>
              <c:idx val="16"/>
              <c:layout>
                <c:manualLayout>
                  <c:x val="-3.0280235589108064E-2"/>
                  <c:y val="-0.1574296725883317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357-4693-B3EF-457A46B4BC01}"/>
                </c:ext>
              </c:extLst>
            </c:dLbl>
            <c:dLbl>
              <c:idx val="17"/>
              <c:layout>
                <c:manualLayout>
                  <c:x val="-2.3246540676880464E-2"/>
                  <c:y val="-9.31312439699979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DC5-4757-8C54-964F5646100A}"/>
                </c:ext>
              </c:extLst>
            </c:dLbl>
            <c:dLbl>
              <c:idx val="19"/>
              <c:layout>
                <c:manualLayout>
                  <c:x val="-2.6678122799225743E-2"/>
                  <c:y val="-9.43896341020614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16F-4180-80AF-89ECB9AE85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'consolidado diario (3)'!$B$2:$B$30</c:f>
              <c:numCache>
                <c:formatCode>General</c:formatCode>
                <c:ptCount val="29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</c:numCache>
            </c:numRef>
          </c:cat>
          <c:val>
            <c:numRef>
              <c:f>'consolidado diario (3)'!$E$2:$E$35</c:f>
              <c:numCache>
                <c:formatCode>0.0</c:formatCode>
                <c:ptCount val="34"/>
                <c:pt idx="0">
                  <c:v>3.8125</c:v>
                </c:pt>
                <c:pt idx="1">
                  <c:v>0</c:v>
                </c:pt>
                <c:pt idx="2">
                  <c:v>1.6937500000000001</c:v>
                </c:pt>
                <c:pt idx="3">
                  <c:v>2.4659090909090908</c:v>
                </c:pt>
                <c:pt idx="4">
                  <c:v>2.7976190476190474</c:v>
                </c:pt>
                <c:pt idx="5">
                  <c:v>3.2119565217391304</c:v>
                </c:pt>
                <c:pt idx="6">
                  <c:v>2.1534090909090908</c:v>
                </c:pt>
                <c:pt idx="7">
                  <c:v>8.9583333333333339</c:v>
                </c:pt>
                <c:pt idx="8">
                  <c:v>3.6479166666666667</c:v>
                </c:pt>
                <c:pt idx="9">
                  <c:v>3.65</c:v>
                </c:pt>
                <c:pt idx="10">
                  <c:v>0</c:v>
                </c:pt>
                <c:pt idx="11">
                  <c:v>3.734375</c:v>
                </c:pt>
                <c:pt idx="12">
                  <c:v>1.9924999999999999</c:v>
                </c:pt>
                <c:pt idx="13">
                  <c:v>1.9911458333333334</c:v>
                </c:pt>
                <c:pt idx="14">
                  <c:v>2.1906249999999998</c:v>
                </c:pt>
                <c:pt idx="15">
                  <c:v>2.1892857142857145</c:v>
                </c:pt>
                <c:pt idx="16">
                  <c:v>1.7619047619047619</c:v>
                </c:pt>
                <c:pt idx="17">
                  <c:v>1.5271739130434783</c:v>
                </c:pt>
                <c:pt idx="18">
                  <c:v>0.75271739130434778</c:v>
                </c:pt>
                <c:pt idx="19">
                  <c:v>0.75271739130434778</c:v>
                </c:pt>
                <c:pt idx="20">
                  <c:v>2.9671052631578947</c:v>
                </c:pt>
                <c:pt idx="21">
                  <c:v>2.9671052631578947</c:v>
                </c:pt>
                <c:pt idx="22">
                  <c:v>0.86647727272727271</c:v>
                </c:pt>
                <c:pt idx="23">
                  <c:v>0.86647727272727271</c:v>
                </c:pt>
                <c:pt idx="24">
                  <c:v>3.2954545454545454</c:v>
                </c:pt>
                <c:pt idx="25">
                  <c:v>3.2608695652173911</c:v>
                </c:pt>
                <c:pt idx="26">
                  <c:v>3.6420454545454546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357-4693-B3EF-457A46B4BC01}"/>
            </c:ext>
          </c:extLst>
        </c:ser>
        <c:ser>
          <c:idx val="0"/>
          <c:order val="2"/>
          <c:tx>
            <c:strRef>
              <c:f>'consolidado diario (3)'!$F$1</c:f>
              <c:strCache>
                <c:ptCount val="1"/>
                <c:pt idx="0">
                  <c:v>factor Kg/m3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'consolidado diario (3)'!$B$2:$B$30</c:f>
              <c:numCache>
                <c:formatCode>General</c:formatCode>
                <c:ptCount val="29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</c:numCache>
            </c:numRef>
          </c:cat>
          <c:val>
            <c:numRef>
              <c:f>'consolidado diario (3)'!$F$2:$F$35</c:f>
              <c:numCache>
                <c:formatCode>General</c:formatCode>
                <c:ptCount val="34"/>
                <c:pt idx="0">
                  <c:v>2.8</c:v>
                </c:pt>
                <c:pt idx="1">
                  <c:v>2.8</c:v>
                </c:pt>
                <c:pt idx="2">
                  <c:v>2.8</c:v>
                </c:pt>
                <c:pt idx="3">
                  <c:v>2.8</c:v>
                </c:pt>
                <c:pt idx="4">
                  <c:v>2.8</c:v>
                </c:pt>
                <c:pt idx="5">
                  <c:v>2.8</c:v>
                </c:pt>
                <c:pt idx="6">
                  <c:v>2.8</c:v>
                </c:pt>
                <c:pt idx="7">
                  <c:v>2.8</c:v>
                </c:pt>
                <c:pt idx="8">
                  <c:v>2.8</c:v>
                </c:pt>
                <c:pt idx="9">
                  <c:v>2.8</c:v>
                </c:pt>
                <c:pt idx="10">
                  <c:v>2.8</c:v>
                </c:pt>
                <c:pt idx="11">
                  <c:v>2.8</c:v>
                </c:pt>
                <c:pt idx="12">
                  <c:v>2.8</c:v>
                </c:pt>
                <c:pt idx="13">
                  <c:v>2.8</c:v>
                </c:pt>
                <c:pt idx="14">
                  <c:v>2.8</c:v>
                </c:pt>
                <c:pt idx="15">
                  <c:v>2.8</c:v>
                </c:pt>
                <c:pt idx="16">
                  <c:v>2.8</c:v>
                </c:pt>
                <c:pt idx="17">
                  <c:v>2.8</c:v>
                </c:pt>
                <c:pt idx="18">
                  <c:v>2.8</c:v>
                </c:pt>
                <c:pt idx="19">
                  <c:v>2.8</c:v>
                </c:pt>
                <c:pt idx="20">
                  <c:v>2.8</c:v>
                </c:pt>
                <c:pt idx="21">
                  <c:v>2.8</c:v>
                </c:pt>
                <c:pt idx="22">
                  <c:v>2.8</c:v>
                </c:pt>
                <c:pt idx="23">
                  <c:v>2.8</c:v>
                </c:pt>
                <c:pt idx="24">
                  <c:v>2.8</c:v>
                </c:pt>
                <c:pt idx="25">
                  <c:v>2.8</c:v>
                </c:pt>
                <c:pt idx="26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357-4693-B3EF-457A46B4B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0522143"/>
        <c:axId val="1800504383"/>
      </c:lineChart>
      <c:catAx>
        <c:axId val="18004655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489983"/>
        <c:crosses val="autoZero"/>
        <c:auto val="1"/>
        <c:lblAlgn val="ctr"/>
        <c:lblOffset val="100"/>
        <c:noMultiLvlLbl val="0"/>
      </c:catAx>
      <c:valAx>
        <c:axId val="180048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m3 GEM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465503"/>
        <c:crosses val="autoZero"/>
        <c:crossBetween val="between"/>
        <c:majorUnit val="500"/>
      </c:valAx>
      <c:valAx>
        <c:axId val="180050438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Kg/m3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522143"/>
        <c:crosses val="max"/>
        <c:crossBetween val="between"/>
      </c:valAx>
      <c:catAx>
        <c:axId val="18005221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00504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Indicador $/Kg - SEP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'consolidado diario (3)'!$C$1</c:f>
              <c:strCache>
                <c:ptCount val="1"/>
                <c:pt idx="0">
                  <c:v>Kg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'consolidado diario (3)'!$B$2:$B$35</c:f>
              <c:numCache>
                <c:formatCode>General</c:formatCode>
                <c:ptCount val="34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</c:numCache>
            </c:numRef>
          </c:cat>
          <c:val>
            <c:numRef>
              <c:f>'consolidado diario (3)'!$C$2:$C$35</c:f>
              <c:numCache>
                <c:formatCode>General</c:formatCode>
                <c:ptCount val="34"/>
                <c:pt idx="0">
                  <c:v>6710</c:v>
                </c:pt>
                <c:pt idx="1">
                  <c:v>6490</c:v>
                </c:pt>
                <c:pt idx="2" formatCode="0">
                  <c:v>2710</c:v>
                </c:pt>
                <c:pt idx="3" formatCode="0">
                  <c:v>4340</c:v>
                </c:pt>
                <c:pt idx="4" formatCode="0">
                  <c:v>4700</c:v>
                </c:pt>
                <c:pt idx="5" formatCode="0">
                  <c:v>5910</c:v>
                </c:pt>
                <c:pt idx="6">
                  <c:v>3790</c:v>
                </c:pt>
                <c:pt idx="7">
                  <c:v>4300</c:v>
                </c:pt>
                <c:pt idx="8">
                  <c:v>3502</c:v>
                </c:pt>
                <c:pt idx="9">
                  <c:v>2628</c:v>
                </c:pt>
                <c:pt idx="10">
                  <c:v>0</c:v>
                </c:pt>
                <c:pt idx="11">
                  <c:v>4780</c:v>
                </c:pt>
                <c:pt idx="12">
                  <c:v>797</c:v>
                </c:pt>
                <c:pt idx="13" formatCode="0">
                  <c:v>3823</c:v>
                </c:pt>
                <c:pt idx="14" formatCode="0">
                  <c:v>1402</c:v>
                </c:pt>
                <c:pt idx="15" formatCode="0">
                  <c:v>3678</c:v>
                </c:pt>
                <c:pt idx="16" formatCode="0">
                  <c:v>2960</c:v>
                </c:pt>
                <c:pt idx="17" formatCode="0">
                  <c:v>2810</c:v>
                </c:pt>
                <c:pt idx="18" formatCode="0">
                  <c:v>1385</c:v>
                </c:pt>
                <c:pt idx="19" formatCode="0">
                  <c:v>1385</c:v>
                </c:pt>
                <c:pt idx="20" formatCode="0">
                  <c:v>1661.578947368421</c:v>
                </c:pt>
                <c:pt idx="21" formatCode="0">
                  <c:v>2848.4210526315787</c:v>
                </c:pt>
                <c:pt idx="22" formatCode="0">
                  <c:v>1525</c:v>
                </c:pt>
                <c:pt idx="23" formatCode="0">
                  <c:v>1525</c:v>
                </c:pt>
                <c:pt idx="24" formatCode="0">
                  <c:v>5800</c:v>
                </c:pt>
                <c:pt idx="25" formatCode="0">
                  <c:v>6000</c:v>
                </c:pt>
                <c:pt idx="26" formatCode="0">
                  <c:v>6410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2B-4BF9-A979-36BA67260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00465503"/>
        <c:axId val="1800489983"/>
      </c:barChart>
      <c:lineChart>
        <c:grouping val="standard"/>
        <c:varyColors val="0"/>
        <c:ser>
          <c:idx val="2"/>
          <c:order val="1"/>
          <c:tx>
            <c:strRef>
              <c:f>'consolidado diario (3)'!$J$1</c:f>
              <c:strCache>
                <c:ptCount val="1"/>
                <c:pt idx="0">
                  <c:v>$/kg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3B3-4EC3-AEA4-11729850EFBC}"/>
                </c:ext>
              </c:extLst>
            </c:dLbl>
            <c:dLbl>
              <c:idx val="16"/>
              <c:layout>
                <c:manualLayout>
                  <c:x val="-3.1704095112285467E-2"/>
                  <c:y val="-5.76624528720337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3B3-4EC3-AEA4-11729850EF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'consolidado diario (3)'!$B$2:$B$30</c:f>
              <c:numCache>
                <c:formatCode>General</c:formatCode>
                <c:ptCount val="29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</c:numCache>
            </c:numRef>
          </c:cat>
          <c:val>
            <c:numRef>
              <c:f>'consolidado diario (3)'!$J$2:$J$35</c:f>
              <c:numCache>
                <c:formatCode>_-"$"\ * #,##0_-;\-"$"\ * #,##0_-;_-"$"\ * "-"??_-;_-@_-</c:formatCode>
                <c:ptCount val="34"/>
                <c:pt idx="0">
                  <c:v>207.77347242921013</c:v>
                </c:pt>
                <c:pt idx="1">
                  <c:v>211.56240369799693</c:v>
                </c:pt>
                <c:pt idx="2">
                  <c:v>372.7527675276753</c:v>
                </c:pt>
                <c:pt idx="3">
                  <c:v>268.81105990783408</c:v>
                </c:pt>
                <c:pt idx="4">
                  <c:v>255.57446808510639</c:v>
                </c:pt>
                <c:pt idx="5">
                  <c:v>222.90355329949239</c:v>
                </c:pt>
                <c:pt idx="6">
                  <c:v>293.88918205804748</c:v>
                </c:pt>
                <c:pt idx="7">
                  <c:v>270.41860465116281</c:v>
                </c:pt>
                <c:pt idx="8">
                  <c:v>218.34922901199315</c:v>
                </c:pt>
                <c:pt idx="9">
                  <c:v>218.34893455098936</c:v>
                </c:pt>
                <c:pt idx="10">
                  <c:v>0</c:v>
                </c:pt>
                <c:pt idx="11">
                  <c:v>252.90376569037656</c:v>
                </c:pt>
                <c:pt idx="12">
                  <c:v>258.33751568381433</c:v>
                </c:pt>
                <c:pt idx="13">
                  <c:v>258.3376929113262</c:v>
                </c:pt>
                <c:pt idx="14">
                  <c:v>243.6376604850214</c:v>
                </c:pt>
                <c:pt idx="15">
                  <c:v>243.63757476889614</c:v>
                </c:pt>
                <c:pt idx="16">
                  <c:v>349.37837837837839</c:v>
                </c:pt>
                <c:pt idx="17">
                  <c:v>362.90391459074732</c:v>
                </c:pt>
                <c:pt idx="18">
                  <c:v>366.75812274368229</c:v>
                </c:pt>
                <c:pt idx="19">
                  <c:v>366.75812274368229</c:v>
                </c:pt>
                <c:pt idx="20">
                  <c:v>262.29711751662973</c:v>
                </c:pt>
                <c:pt idx="21">
                  <c:v>262.29711751662973</c:v>
                </c:pt>
                <c:pt idx="22">
                  <c:v>341.90163934426232</c:v>
                </c:pt>
                <c:pt idx="23">
                  <c:v>341.90163934426232</c:v>
                </c:pt>
                <c:pt idx="24">
                  <c:v>225.31034482758622</c:v>
                </c:pt>
                <c:pt idx="25">
                  <c:v>221</c:v>
                </c:pt>
                <c:pt idx="26">
                  <c:v>213.0046801872075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2B-4BF9-A979-36BA672603D0}"/>
            </c:ext>
          </c:extLst>
        </c:ser>
        <c:ser>
          <c:idx val="0"/>
          <c:order val="2"/>
          <c:tx>
            <c:strRef>
              <c:f>'consolidado diario (3)'!$K$1</c:f>
              <c:strCache>
                <c:ptCount val="1"/>
                <c:pt idx="0">
                  <c:v>factor $/kg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'consolidado diario (3)'!$B$2:$B$30</c:f>
              <c:numCache>
                <c:formatCode>General</c:formatCode>
                <c:ptCount val="29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</c:numCache>
            </c:numRef>
          </c:cat>
          <c:val>
            <c:numRef>
              <c:f>'consolidado diario (3)'!$K$2:$K$35</c:f>
              <c:numCache>
                <c:formatCode>_-"$"\ * #,##0_-;\-"$"\ * #,##0_-;_-"$"\ * "-"??_-;_-@_-</c:formatCode>
                <c:ptCount val="34"/>
                <c:pt idx="0">
                  <c:v>283</c:v>
                </c:pt>
                <c:pt idx="1">
                  <c:v>283</c:v>
                </c:pt>
                <c:pt idx="2">
                  <c:v>283</c:v>
                </c:pt>
                <c:pt idx="3">
                  <c:v>283</c:v>
                </c:pt>
                <c:pt idx="4">
                  <c:v>283</c:v>
                </c:pt>
                <c:pt idx="5">
                  <c:v>283</c:v>
                </c:pt>
                <c:pt idx="6">
                  <c:v>283</c:v>
                </c:pt>
                <c:pt idx="7">
                  <c:v>283</c:v>
                </c:pt>
                <c:pt idx="8">
                  <c:v>283</c:v>
                </c:pt>
                <c:pt idx="9">
                  <c:v>283</c:v>
                </c:pt>
                <c:pt idx="10">
                  <c:v>283</c:v>
                </c:pt>
                <c:pt idx="11">
                  <c:v>283</c:v>
                </c:pt>
                <c:pt idx="12">
                  <c:v>283</c:v>
                </c:pt>
                <c:pt idx="13">
                  <c:v>283</c:v>
                </c:pt>
                <c:pt idx="14">
                  <c:v>283</c:v>
                </c:pt>
                <c:pt idx="15">
                  <c:v>283</c:v>
                </c:pt>
                <c:pt idx="16">
                  <c:v>283</c:v>
                </c:pt>
                <c:pt idx="17">
                  <c:v>283</c:v>
                </c:pt>
                <c:pt idx="18">
                  <c:v>283</c:v>
                </c:pt>
                <c:pt idx="19">
                  <c:v>283</c:v>
                </c:pt>
                <c:pt idx="20">
                  <c:v>283</c:v>
                </c:pt>
                <c:pt idx="21">
                  <c:v>283</c:v>
                </c:pt>
                <c:pt idx="22">
                  <c:v>283</c:v>
                </c:pt>
                <c:pt idx="23">
                  <c:v>283</c:v>
                </c:pt>
                <c:pt idx="24">
                  <c:v>283</c:v>
                </c:pt>
                <c:pt idx="25">
                  <c:v>283</c:v>
                </c:pt>
                <c:pt idx="26">
                  <c:v>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72B-4BF9-A979-36BA67260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1537295"/>
        <c:axId val="1071532975"/>
      </c:lineChart>
      <c:catAx>
        <c:axId val="18004655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489983"/>
        <c:crosses val="autoZero"/>
        <c:auto val="1"/>
        <c:lblAlgn val="ctr"/>
        <c:lblOffset val="100"/>
        <c:noMultiLvlLbl val="0"/>
      </c:catAx>
      <c:valAx>
        <c:axId val="1800489983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Kg</a:t>
                </a:r>
                <a:r>
                  <a:rPr lang="es-CO" baseline="0"/>
                  <a:t> dia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465503"/>
        <c:crosses val="autoZero"/>
        <c:crossBetween val="between"/>
        <c:majorUnit val="1000"/>
      </c:valAx>
      <c:valAx>
        <c:axId val="1071532975"/>
        <c:scaling>
          <c:orientation val="minMax"/>
          <c:max val="400"/>
          <c:min val="15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$/kg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&quot;$&quot;\ * #,##0_-;\-&quot;$&quot;\ * #,##0_-;_-&quot;$&quot;\ 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71537295"/>
        <c:crosses val="max"/>
        <c:crossBetween val="between"/>
      </c:valAx>
      <c:catAx>
        <c:axId val="10715372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715329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Indicador Kg/m3 - SEP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'consolidado diario (3)'!$D$1</c:f>
              <c:strCache>
                <c:ptCount val="1"/>
                <c:pt idx="0">
                  <c:v>GEM m3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'consolidado diario (3)'!$B$2:$B$35</c:f>
              <c:numCache>
                <c:formatCode>General</c:formatCode>
                <c:ptCount val="34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</c:numCache>
            </c:numRef>
          </c:cat>
          <c:val>
            <c:numRef>
              <c:f>'consolidado diario (3)'!$D$2:$D$35</c:f>
              <c:numCache>
                <c:formatCode>General</c:formatCode>
                <c:ptCount val="34"/>
                <c:pt idx="0">
                  <c:v>1760</c:v>
                </c:pt>
                <c:pt idx="1">
                  <c:v>0</c:v>
                </c:pt>
                <c:pt idx="2">
                  <c:v>1600</c:v>
                </c:pt>
                <c:pt idx="3">
                  <c:v>1760</c:v>
                </c:pt>
                <c:pt idx="4">
                  <c:v>1680</c:v>
                </c:pt>
                <c:pt idx="5">
                  <c:v>1840</c:v>
                </c:pt>
                <c:pt idx="6">
                  <c:v>1760</c:v>
                </c:pt>
                <c:pt idx="7">
                  <c:v>480</c:v>
                </c:pt>
                <c:pt idx="8">
                  <c:v>960</c:v>
                </c:pt>
                <c:pt idx="9">
                  <c:v>720</c:v>
                </c:pt>
                <c:pt idx="10">
                  <c:v>560</c:v>
                </c:pt>
                <c:pt idx="11">
                  <c:v>1280</c:v>
                </c:pt>
                <c:pt idx="12">
                  <c:v>400</c:v>
                </c:pt>
                <c:pt idx="13">
                  <c:v>1920</c:v>
                </c:pt>
                <c:pt idx="14">
                  <c:v>640</c:v>
                </c:pt>
                <c:pt idx="15">
                  <c:v>1680</c:v>
                </c:pt>
                <c:pt idx="16">
                  <c:v>1680</c:v>
                </c:pt>
                <c:pt idx="17">
                  <c:v>1840</c:v>
                </c:pt>
                <c:pt idx="18">
                  <c:v>1840</c:v>
                </c:pt>
                <c:pt idx="19">
                  <c:v>1840</c:v>
                </c:pt>
                <c:pt idx="20">
                  <c:v>560</c:v>
                </c:pt>
                <c:pt idx="21">
                  <c:v>960</c:v>
                </c:pt>
                <c:pt idx="22">
                  <c:v>1760</c:v>
                </c:pt>
                <c:pt idx="23">
                  <c:v>1760</c:v>
                </c:pt>
                <c:pt idx="24">
                  <c:v>1760</c:v>
                </c:pt>
                <c:pt idx="25">
                  <c:v>1840</c:v>
                </c:pt>
                <c:pt idx="26">
                  <c:v>1760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E7-4AC2-A220-28AB3E5E1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00465503"/>
        <c:axId val="1800489983"/>
      </c:barChart>
      <c:lineChart>
        <c:grouping val="standard"/>
        <c:varyColors val="0"/>
        <c:ser>
          <c:idx val="2"/>
          <c:order val="1"/>
          <c:tx>
            <c:strRef>
              <c:f>'consolidado diario (3)'!$J$1</c:f>
              <c:strCache>
                <c:ptCount val="1"/>
                <c:pt idx="0">
                  <c:v>$/kg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'consolidado diario (3)'!$B$2:$B$35</c:f>
              <c:numCache>
                <c:formatCode>General</c:formatCode>
                <c:ptCount val="34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</c:numCache>
            </c:numRef>
          </c:cat>
          <c:val>
            <c:numRef>
              <c:f>'consolidado diario (3)'!$J$2:$J$35</c:f>
              <c:numCache>
                <c:formatCode>_-"$"\ * #,##0_-;\-"$"\ * #,##0_-;_-"$"\ * "-"??_-;_-@_-</c:formatCode>
                <c:ptCount val="34"/>
                <c:pt idx="0">
                  <c:v>207.77347242921013</c:v>
                </c:pt>
                <c:pt idx="1">
                  <c:v>211.56240369799693</c:v>
                </c:pt>
                <c:pt idx="2">
                  <c:v>372.7527675276753</c:v>
                </c:pt>
                <c:pt idx="3">
                  <c:v>268.81105990783408</c:v>
                </c:pt>
                <c:pt idx="4">
                  <c:v>255.57446808510639</c:v>
                </c:pt>
                <c:pt idx="5">
                  <c:v>222.90355329949239</c:v>
                </c:pt>
                <c:pt idx="6">
                  <c:v>293.88918205804748</c:v>
                </c:pt>
                <c:pt idx="7">
                  <c:v>270.41860465116281</c:v>
                </c:pt>
                <c:pt idx="8">
                  <c:v>218.34922901199315</c:v>
                </c:pt>
                <c:pt idx="9">
                  <c:v>218.34893455098936</c:v>
                </c:pt>
                <c:pt idx="10">
                  <c:v>0</c:v>
                </c:pt>
                <c:pt idx="11">
                  <c:v>252.90376569037656</c:v>
                </c:pt>
                <c:pt idx="12">
                  <c:v>258.33751568381433</c:v>
                </c:pt>
                <c:pt idx="13">
                  <c:v>258.3376929113262</c:v>
                </c:pt>
                <c:pt idx="14">
                  <c:v>243.6376604850214</c:v>
                </c:pt>
                <c:pt idx="15">
                  <c:v>243.63757476889614</c:v>
                </c:pt>
                <c:pt idx="16">
                  <c:v>349.37837837837839</c:v>
                </c:pt>
                <c:pt idx="17">
                  <c:v>362.90391459074732</c:v>
                </c:pt>
                <c:pt idx="18">
                  <c:v>366.75812274368229</c:v>
                </c:pt>
                <c:pt idx="19">
                  <c:v>366.75812274368229</c:v>
                </c:pt>
                <c:pt idx="20">
                  <c:v>262.29711751662973</c:v>
                </c:pt>
                <c:pt idx="21">
                  <c:v>262.29711751662973</c:v>
                </c:pt>
                <c:pt idx="22">
                  <c:v>341.90163934426232</c:v>
                </c:pt>
                <c:pt idx="23">
                  <c:v>341.90163934426232</c:v>
                </c:pt>
                <c:pt idx="24">
                  <c:v>225.31034482758622</c:v>
                </c:pt>
                <c:pt idx="25">
                  <c:v>221</c:v>
                </c:pt>
                <c:pt idx="26">
                  <c:v>213.0046801872075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E7-4AC2-A220-28AB3E5E1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0522143"/>
        <c:axId val="1800504383"/>
      </c:lineChart>
      <c:catAx>
        <c:axId val="18004655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489983"/>
        <c:crosses val="autoZero"/>
        <c:auto val="1"/>
        <c:lblAlgn val="ctr"/>
        <c:lblOffset val="100"/>
        <c:noMultiLvlLbl val="0"/>
      </c:catAx>
      <c:valAx>
        <c:axId val="180048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m3 GEM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465503"/>
        <c:crosses val="autoZero"/>
        <c:crossBetween val="between"/>
      </c:valAx>
      <c:valAx>
        <c:axId val="1800504383"/>
        <c:scaling>
          <c:orientation val="minMax"/>
          <c:max val="400"/>
          <c:min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Kg/m3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&quot;$&quot;\ * #,##0_-;\-&quot;$&quot;\ * #,##0_-;_-&quot;$&quot;\ 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522143"/>
        <c:crosses val="max"/>
        <c:crossBetween val="between"/>
      </c:valAx>
      <c:catAx>
        <c:axId val="18005221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00504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Indicador $/Kg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5.1910664415791223E-2"/>
          <c:y val="0.1014870946336294"/>
          <c:w val="0.89034156713689727"/>
          <c:h val="0.784087735803156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ENERO!$H$1</c:f>
              <c:strCache>
                <c:ptCount val="1"/>
                <c:pt idx="0">
                  <c:v>KG GENERADOS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ENERO!$B$2:$B$33</c15:sqref>
                  </c15:fullRef>
                </c:ext>
              </c:extLst>
              <c:f>ENERO!$B$2:$B$20</c:f>
              <c:numCache>
                <c:formatCode>General</c:formatCode>
                <c:ptCount val="19"/>
                <c:pt idx="0">
                  <c:v>3</c:v>
                </c:pt>
                <c:pt idx="1">
                  <c:v>6</c:v>
                </c:pt>
                <c:pt idx="2">
                  <c:v>8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19</c:v>
                </c:pt>
                <c:pt idx="11">
                  <c:v>19</c:v>
                </c:pt>
                <c:pt idx="12">
                  <c:v>20</c:v>
                </c:pt>
                <c:pt idx="13">
                  <c:v>22</c:v>
                </c:pt>
                <c:pt idx="14">
                  <c:v>24</c:v>
                </c:pt>
                <c:pt idx="15">
                  <c:v>27</c:v>
                </c:pt>
                <c:pt idx="16">
                  <c:v>28</c:v>
                </c:pt>
                <c:pt idx="17">
                  <c:v>29</c:v>
                </c:pt>
                <c:pt idx="18">
                  <c:v>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ENERO!$H$2:$H$33</c15:sqref>
                  </c15:fullRef>
                </c:ext>
              </c:extLst>
              <c:f>ENERO!$H$2:$H$20</c:f>
              <c:numCache>
                <c:formatCode>General</c:formatCode>
                <c:ptCount val="19"/>
                <c:pt idx="0">
                  <c:v>6100</c:v>
                </c:pt>
                <c:pt idx="1">
                  <c:v>5830</c:v>
                </c:pt>
                <c:pt idx="2">
                  <c:v>5630</c:v>
                </c:pt>
                <c:pt idx="3">
                  <c:v>3730</c:v>
                </c:pt>
                <c:pt idx="4">
                  <c:v>5320</c:v>
                </c:pt>
                <c:pt idx="5">
                  <c:v>4390</c:v>
                </c:pt>
                <c:pt idx="6">
                  <c:v>5800</c:v>
                </c:pt>
                <c:pt idx="7">
                  <c:v>5190</c:v>
                </c:pt>
                <c:pt idx="8">
                  <c:v>3560</c:v>
                </c:pt>
                <c:pt idx="9">
                  <c:v>3970</c:v>
                </c:pt>
                <c:pt idx="10">
                  <c:v>7920</c:v>
                </c:pt>
                <c:pt idx="11">
                  <c:v>4600</c:v>
                </c:pt>
                <c:pt idx="12">
                  <c:v>6970</c:v>
                </c:pt>
                <c:pt idx="13">
                  <c:v>5370</c:v>
                </c:pt>
                <c:pt idx="14">
                  <c:v>5730</c:v>
                </c:pt>
                <c:pt idx="15">
                  <c:v>5020</c:v>
                </c:pt>
                <c:pt idx="16">
                  <c:v>4380</c:v>
                </c:pt>
                <c:pt idx="17">
                  <c:v>5670</c:v>
                </c:pt>
                <c:pt idx="18">
                  <c:v>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23-41AB-934F-4D22C49CB2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800465503"/>
        <c:axId val="1800489983"/>
      </c:barChart>
      <c:lineChart>
        <c:grouping val="standard"/>
        <c:varyColors val="0"/>
        <c:ser>
          <c:idx val="2"/>
          <c:order val="1"/>
          <c:tx>
            <c:strRef>
              <c:f>ENERO!$M$1</c:f>
              <c:strCache>
                <c:ptCount val="1"/>
                <c:pt idx="0">
                  <c:v> ($/KG)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  <a:alpha val="97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ENERO!$B$2:$B$28</c15:sqref>
                  </c15:fullRef>
                </c:ext>
              </c:extLst>
              <c:f>ENERO!$B$2:$B$20</c:f>
              <c:numCache>
                <c:formatCode>General</c:formatCode>
                <c:ptCount val="19"/>
                <c:pt idx="0">
                  <c:v>3</c:v>
                </c:pt>
                <c:pt idx="1">
                  <c:v>6</c:v>
                </c:pt>
                <c:pt idx="2">
                  <c:v>8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19</c:v>
                </c:pt>
                <c:pt idx="11">
                  <c:v>19</c:v>
                </c:pt>
                <c:pt idx="12">
                  <c:v>20</c:v>
                </c:pt>
                <c:pt idx="13">
                  <c:v>22</c:v>
                </c:pt>
                <c:pt idx="14">
                  <c:v>24</c:v>
                </c:pt>
                <c:pt idx="15">
                  <c:v>27</c:v>
                </c:pt>
                <c:pt idx="16">
                  <c:v>28</c:v>
                </c:pt>
                <c:pt idx="17">
                  <c:v>29</c:v>
                </c:pt>
                <c:pt idx="18">
                  <c:v>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ENERO!$M$2:$M$33</c15:sqref>
                  </c15:fullRef>
                </c:ext>
              </c:extLst>
              <c:f>ENERO!$M$2:$M$20</c:f>
              <c:numCache>
                <c:formatCode>_("$"* #,##0.00_);_("$"* \(#,##0.00\);_("$"* "-"??_);_(@_)</c:formatCode>
                <c:ptCount val="19"/>
                <c:pt idx="0">
                  <c:v>194.36065573770492</c:v>
                </c:pt>
                <c:pt idx="1">
                  <c:v>198.91595197255575</c:v>
                </c:pt>
                <c:pt idx="2">
                  <c:v>202.57193605683835</c:v>
                </c:pt>
                <c:pt idx="3">
                  <c:v>256.857908847185</c:v>
                </c:pt>
                <c:pt idx="4">
                  <c:v>208.78195488721803</c:v>
                </c:pt>
                <c:pt idx="5">
                  <c:v>232.67425968109339</c:v>
                </c:pt>
                <c:pt idx="6">
                  <c:v>199.44827586206895</c:v>
                </c:pt>
                <c:pt idx="7">
                  <c:v>211.60693641618496</c:v>
                </c:pt>
                <c:pt idx="8">
                  <c:v>264.53932584269666</c:v>
                </c:pt>
                <c:pt idx="9">
                  <c:v>247.13350125944584</c:v>
                </c:pt>
                <c:pt idx="10">
                  <c:v>171.75757575757575</c:v>
                </c:pt>
                <c:pt idx="11">
                  <c:v>226.43478260869566</c:v>
                </c:pt>
                <c:pt idx="12">
                  <c:v>182.08321377331421</c:v>
                </c:pt>
                <c:pt idx="13">
                  <c:v>207.73184357541899</c:v>
                </c:pt>
                <c:pt idx="14">
                  <c:v>200.71204188481676</c:v>
                </c:pt>
                <c:pt idx="15">
                  <c:v>215.5219123505976</c:v>
                </c:pt>
                <c:pt idx="16">
                  <c:v>232.98630136986301</c:v>
                </c:pt>
                <c:pt idx="17">
                  <c:v>201.82010582010582</c:v>
                </c:pt>
                <c:pt idx="18">
                  <c:v>242.34146341463415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23-41AB-934F-4D22C49CB2E5}"/>
            </c:ext>
          </c:extLst>
        </c:ser>
        <c:ser>
          <c:idx val="0"/>
          <c:order val="2"/>
          <c:tx>
            <c:strRef>
              <c:f>ENERO!$N$1</c:f>
              <c:strCache>
                <c:ptCount val="1"/>
                <c:pt idx="0">
                  <c:v>FACTOR ($/KG)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  <a:alpha val="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8150052090431652E-2"/>
                      <c:h val="2.6333139717487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F923-41AB-934F-4D22C49CB2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  <a:alpha val="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ENERO!$B$2:$B$28</c15:sqref>
                  </c15:fullRef>
                </c:ext>
              </c:extLst>
              <c:f>ENERO!$B$2:$B$20</c:f>
              <c:numCache>
                <c:formatCode>General</c:formatCode>
                <c:ptCount val="19"/>
                <c:pt idx="0">
                  <c:v>3</c:v>
                </c:pt>
                <c:pt idx="1">
                  <c:v>6</c:v>
                </c:pt>
                <c:pt idx="2">
                  <c:v>8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19</c:v>
                </c:pt>
                <c:pt idx="11">
                  <c:v>19</c:v>
                </c:pt>
                <c:pt idx="12">
                  <c:v>20</c:v>
                </c:pt>
                <c:pt idx="13">
                  <c:v>22</c:v>
                </c:pt>
                <c:pt idx="14">
                  <c:v>24</c:v>
                </c:pt>
                <c:pt idx="15">
                  <c:v>27</c:v>
                </c:pt>
                <c:pt idx="16">
                  <c:v>28</c:v>
                </c:pt>
                <c:pt idx="17">
                  <c:v>29</c:v>
                </c:pt>
                <c:pt idx="18">
                  <c:v>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ENERO!$N$2:$N$33</c15:sqref>
                  </c15:fullRef>
                </c:ext>
              </c:extLst>
              <c:f>ENERO!$N$2:$N$20</c:f>
              <c:numCache>
                <c:formatCode>_-"$"\ * #,##0_-;\-"$"\ * #,##0_-;_-"$"\ * "-"??_-;_-@_-</c:formatCode>
                <c:ptCount val="19"/>
                <c:pt idx="0">
                  <c:v>267</c:v>
                </c:pt>
                <c:pt idx="1">
                  <c:v>267</c:v>
                </c:pt>
                <c:pt idx="2">
                  <c:v>267</c:v>
                </c:pt>
                <c:pt idx="3">
                  <c:v>267</c:v>
                </c:pt>
                <c:pt idx="4">
                  <c:v>267</c:v>
                </c:pt>
                <c:pt idx="5">
                  <c:v>267</c:v>
                </c:pt>
                <c:pt idx="6">
                  <c:v>267</c:v>
                </c:pt>
                <c:pt idx="7">
                  <c:v>267</c:v>
                </c:pt>
                <c:pt idx="8">
                  <c:v>267</c:v>
                </c:pt>
                <c:pt idx="9">
                  <c:v>267</c:v>
                </c:pt>
                <c:pt idx="10">
                  <c:v>267</c:v>
                </c:pt>
                <c:pt idx="11">
                  <c:v>267</c:v>
                </c:pt>
                <c:pt idx="12">
                  <c:v>267</c:v>
                </c:pt>
                <c:pt idx="13">
                  <c:v>267</c:v>
                </c:pt>
                <c:pt idx="14">
                  <c:v>267</c:v>
                </c:pt>
                <c:pt idx="15">
                  <c:v>267</c:v>
                </c:pt>
                <c:pt idx="16">
                  <c:v>267</c:v>
                </c:pt>
                <c:pt idx="17">
                  <c:v>267</c:v>
                </c:pt>
                <c:pt idx="18">
                  <c:v>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23-41AB-934F-4D22C49CB2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71537295"/>
        <c:axId val="1071532975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ENERO!$O$1</c15:sqref>
                        </c15:formulaRef>
                      </c:ext>
                    </c:extLst>
                    <c:strCache>
                      <c:ptCount val="1"/>
                      <c:pt idx="0">
                        <c:v>FACTOR 2024 KG/M3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rgbClr val="7030A0">
                              <a:alpha val="0"/>
                            </a:srgb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ullRef>
                          <c15:sqref>ENERO!$B$2:$B$28</c15:sqref>
                        </c15:fullRef>
                        <c15:formulaRef>
                          <c15:sqref>ENERO!$B$2:$B$20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>
                        <c:v>3</c:v>
                      </c:pt>
                      <c:pt idx="1">
                        <c:v>6</c:v>
                      </c:pt>
                      <c:pt idx="2">
                        <c:v>8</c:v>
                      </c:pt>
                      <c:pt idx="3">
                        <c:v>12</c:v>
                      </c:pt>
                      <c:pt idx="4">
                        <c:v>13</c:v>
                      </c:pt>
                      <c:pt idx="5">
                        <c:v>14</c:v>
                      </c:pt>
                      <c:pt idx="6">
                        <c:v>14</c:v>
                      </c:pt>
                      <c:pt idx="7">
                        <c:v>15</c:v>
                      </c:pt>
                      <c:pt idx="8">
                        <c:v>16</c:v>
                      </c:pt>
                      <c:pt idx="9">
                        <c:v>17</c:v>
                      </c:pt>
                      <c:pt idx="10">
                        <c:v>19</c:v>
                      </c:pt>
                      <c:pt idx="11">
                        <c:v>19</c:v>
                      </c:pt>
                      <c:pt idx="12">
                        <c:v>20</c:v>
                      </c:pt>
                      <c:pt idx="13">
                        <c:v>22</c:v>
                      </c:pt>
                      <c:pt idx="14">
                        <c:v>24</c:v>
                      </c:pt>
                      <c:pt idx="15">
                        <c:v>27</c:v>
                      </c:pt>
                      <c:pt idx="16">
                        <c:v>28</c:v>
                      </c:pt>
                      <c:pt idx="17">
                        <c:v>29</c:v>
                      </c:pt>
                      <c:pt idx="18">
                        <c:v>30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ENERO!$O$2:$O$28</c15:sqref>
                        </c15:fullRef>
                        <c15:formulaRef>
                          <c15:sqref>ENERO!$O$2:$O$20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>
                        <c:v>2.2999999999999998</c:v>
                      </c:pt>
                      <c:pt idx="1">
                        <c:v>2.2999999999999998</c:v>
                      </c:pt>
                      <c:pt idx="2">
                        <c:v>2.2999999999999998</c:v>
                      </c:pt>
                      <c:pt idx="3">
                        <c:v>2.2999999999999998</c:v>
                      </c:pt>
                      <c:pt idx="4">
                        <c:v>2.2999999999999998</c:v>
                      </c:pt>
                      <c:pt idx="5">
                        <c:v>2.2999999999999998</c:v>
                      </c:pt>
                      <c:pt idx="6">
                        <c:v>2.2999999999999998</c:v>
                      </c:pt>
                      <c:pt idx="7">
                        <c:v>2.2999999999999998</c:v>
                      </c:pt>
                      <c:pt idx="8">
                        <c:v>2.2999999999999998</c:v>
                      </c:pt>
                      <c:pt idx="9">
                        <c:v>2.2999999999999998</c:v>
                      </c:pt>
                      <c:pt idx="10">
                        <c:v>2.2999999999999998</c:v>
                      </c:pt>
                      <c:pt idx="11">
                        <c:v>2.2999999999999998</c:v>
                      </c:pt>
                      <c:pt idx="12">
                        <c:v>2.2999999999999998</c:v>
                      </c:pt>
                      <c:pt idx="13">
                        <c:v>2.2999999999999998</c:v>
                      </c:pt>
                      <c:pt idx="14">
                        <c:v>2.2999999999999998</c:v>
                      </c:pt>
                      <c:pt idx="15">
                        <c:v>2.2999999999999998</c:v>
                      </c:pt>
                      <c:pt idx="16">
                        <c:v>2.2999999999999998</c:v>
                      </c:pt>
                      <c:pt idx="17">
                        <c:v>2.2999999999999998</c:v>
                      </c:pt>
                      <c:pt idx="18">
                        <c:v>2.2999999999999998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F923-41AB-934F-4D22C49CB2E5}"/>
                  </c:ext>
                </c:extLst>
              </c15:ser>
            </c15:filteredLineSeries>
          </c:ext>
        </c:extLst>
      </c:lineChart>
      <c:catAx>
        <c:axId val="18004655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489983"/>
        <c:crosses val="autoZero"/>
        <c:auto val="1"/>
        <c:lblAlgn val="ctr"/>
        <c:lblOffset val="100"/>
        <c:noMultiLvlLbl val="0"/>
      </c:catAx>
      <c:valAx>
        <c:axId val="1800489983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Kg</a:t>
                </a:r>
                <a:r>
                  <a:rPr lang="es-CO" baseline="0"/>
                  <a:t> dia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465503"/>
        <c:crosses val="autoZero"/>
        <c:crossBetween val="between"/>
        <c:majorUnit val="1000"/>
      </c:valAx>
      <c:valAx>
        <c:axId val="1071532975"/>
        <c:scaling>
          <c:orientation val="minMax"/>
          <c:min val="15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$/kg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71537295"/>
        <c:crosses val="max"/>
        <c:crossBetween val="between"/>
      </c:valAx>
      <c:catAx>
        <c:axId val="10715372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715329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Indicador $/m3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1238764489821601E-2"/>
          <c:y val="0.13482977757320541"/>
          <c:w val="0.86356390491335944"/>
          <c:h val="0.6710794715969995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ENERO!$G$1</c:f>
              <c:strCache>
                <c:ptCount val="1"/>
                <c:pt idx="0">
                  <c:v>VOLUMEN TRATADO (m3)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ENERO!$B$2:$B$20</c:f>
              <c:numCache>
                <c:formatCode>General</c:formatCode>
                <c:ptCount val="19"/>
                <c:pt idx="0">
                  <c:v>3</c:v>
                </c:pt>
                <c:pt idx="1">
                  <c:v>6</c:v>
                </c:pt>
                <c:pt idx="2">
                  <c:v>8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19</c:v>
                </c:pt>
                <c:pt idx="11">
                  <c:v>19</c:v>
                </c:pt>
                <c:pt idx="12">
                  <c:v>20</c:v>
                </c:pt>
                <c:pt idx="13">
                  <c:v>22</c:v>
                </c:pt>
                <c:pt idx="14">
                  <c:v>24</c:v>
                </c:pt>
                <c:pt idx="15">
                  <c:v>27</c:v>
                </c:pt>
                <c:pt idx="16">
                  <c:v>28</c:v>
                </c:pt>
                <c:pt idx="17">
                  <c:v>29</c:v>
                </c:pt>
                <c:pt idx="18">
                  <c:v>30</c:v>
                </c:pt>
              </c:numCache>
            </c:numRef>
          </c:cat>
          <c:val>
            <c:numRef>
              <c:f>ENERO!$G$2:$G$20</c:f>
              <c:numCache>
                <c:formatCode>General</c:formatCode>
                <c:ptCount val="19"/>
                <c:pt idx="0">
                  <c:v>1496</c:v>
                </c:pt>
                <c:pt idx="1">
                  <c:v>1496</c:v>
                </c:pt>
                <c:pt idx="2">
                  <c:v>1936</c:v>
                </c:pt>
                <c:pt idx="3">
                  <c:v>2552</c:v>
                </c:pt>
                <c:pt idx="4">
                  <c:v>792</c:v>
                </c:pt>
                <c:pt idx="5">
                  <c:v>1408</c:v>
                </c:pt>
                <c:pt idx="6">
                  <c:v>880</c:v>
                </c:pt>
                <c:pt idx="7">
                  <c:v>1232</c:v>
                </c:pt>
                <c:pt idx="8">
                  <c:v>1232</c:v>
                </c:pt>
                <c:pt idx="9">
                  <c:v>1496</c:v>
                </c:pt>
                <c:pt idx="10">
                  <c:v>968</c:v>
                </c:pt>
                <c:pt idx="11">
                  <c:v>1232</c:v>
                </c:pt>
                <c:pt idx="12">
                  <c:v>1232</c:v>
                </c:pt>
                <c:pt idx="13">
                  <c:v>2552</c:v>
                </c:pt>
                <c:pt idx="14">
                  <c:v>2552</c:v>
                </c:pt>
                <c:pt idx="15">
                  <c:v>2200</c:v>
                </c:pt>
                <c:pt idx="16">
                  <c:v>1408</c:v>
                </c:pt>
                <c:pt idx="17">
                  <c:v>1144</c:v>
                </c:pt>
                <c:pt idx="18">
                  <c:v>1056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7A-477B-94B9-6E0DA9DE489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800465503"/>
        <c:axId val="1800489983"/>
      </c:barChart>
      <c:lineChart>
        <c:grouping val="standard"/>
        <c:varyColors val="0"/>
        <c:ser>
          <c:idx val="2"/>
          <c:order val="1"/>
          <c:tx>
            <c:strRef>
              <c:f>ENERO!$Q$1</c:f>
              <c:strCache>
                <c:ptCount val="1"/>
                <c:pt idx="0">
                  <c:v>$/ M3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1.9650217976537331E-2"/>
                  <c:y val="-5.91207151382393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77A-477B-94B9-6E0DA9DE489A}"/>
                </c:ext>
              </c:extLst>
            </c:dLbl>
            <c:dLbl>
              <c:idx val="7"/>
              <c:layout>
                <c:manualLayout>
                  <c:x val="-3.1026659962954057E-3"/>
                  <c:y val="-5.58362309638926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77A-477B-94B9-6E0DA9DE489A}"/>
                </c:ext>
              </c:extLst>
            </c:dLbl>
            <c:spPr>
              <a:solidFill>
                <a:schemeClr val="bg1">
                  <a:alpha val="69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  <a:alpha val="97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mc:AlternateContent xmlns:mc="http://schemas.openxmlformats.org/markup-compatibility/2006">
              <mc:Choice xmlns:c16ac="http://schemas.microsoft.com/office/drawing/2014/chart/ac" Requires="c16ac">
                <c16ac:multiLvlStrLit>
                  <c:ptCount val="0"/>
                </c16ac:multiLvlStrLit>
              </mc:Choice>
              <mc:Fallback>
                <c:strLit/>
              </mc:Fallback>
            </mc:AlternateContent>
          </c:cat>
          <c:val>
            <c:numRef>
              <c:f>ENERO!$Q$2:$Q$20</c:f>
              <c:numCache>
                <c:formatCode>_-"$"\ * #,##0_-;\-"$"\ * #,##0_-;_-"$"\ * "-"??_-;_-@_-</c:formatCode>
                <c:ptCount val="19"/>
                <c:pt idx="0">
                  <c:v>792.51336898395721</c:v>
                </c:pt>
                <c:pt idx="1">
                  <c:v>775.18716577540101</c:v>
                </c:pt>
                <c:pt idx="2">
                  <c:v>589.09090909090912</c:v>
                </c:pt>
                <c:pt idx="3">
                  <c:v>375.42319749216301</c:v>
                </c:pt>
                <c:pt idx="4">
                  <c:v>1402.4242424242425</c:v>
                </c:pt>
                <c:pt idx="5">
                  <c:v>725.4545454545455</c:v>
                </c:pt>
                <c:pt idx="6">
                  <c:v>1314.5454545454545</c:v>
                </c:pt>
                <c:pt idx="7">
                  <c:v>891.42857142857144</c:v>
                </c:pt>
                <c:pt idx="8">
                  <c:v>764.41558441558436</c:v>
                </c:pt>
                <c:pt idx="9">
                  <c:v>655.82887700534764</c:v>
                </c:pt>
                <c:pt idx="10">
                  <c:v>1405.2892561983472</c:v>
                </c:pt>
                <c:pt idx="11">
                  <c:v>845.4545454545455</c:v>
                </c:pt>
                <c:pt idx="12">
                  <c:v>1030.1298701298701</c:v>
                </c:pt>
                <c:pt idx="13">
                  <c:v>437.11598746081506</c:v>
                </c:pt>
                <c:pt idx="14">
                  <c:v>450.65830721003135</c:v>
                </c:pt>
                <c:pt idx="15">
                  <c:v>491.78181818181821</c:v>
                </c:pt>
                <c:pt idx="16">
                  <c:v>724.77272727272725</c:v>
                </c:pt>
                <c:pt idx="17">
                  <c:v>1000.2797202797203</c:v>
                </c:pt>
                <c:pt idx="18">
                  <c:v>940.90909090909088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77A-477B-94B9-6E0DA9DE489A}"/>
            </c:ext>
          </c:extLst>
        </c:ser>
        <c:ser>
          <c:idx val="3"/>
          <c:order val="2"/>
          <c:tx>
            <c:strRef>
              <c:f>ENERO!$R$1</c:f>
              <c:strCache>
                <c:ptCount val="1"/>
                <c:pt idx="0">
                  <c:v>FACTOR $/m3 2024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mc:AlternateContent xmlns:mc="http://schemas.openxmlformats.org/markup-compatibility/2006">
              <mc:Choice xmlns:c16ac="http://schemas.microsoft.com/office/drawing/2014/chart/ac" Requires="c16ac">
                <c16ac:multiLvlStrLit>
                  <c:ptCount val="0"/>
                </c16ac:multiLvlStrLit>
              </mc:Choice>
              <mc:Fallback>
                <c:strLit/>
              </mc:Fallback>
            </mc:AlternateContent>
          </c:cat>
          <c:val>
            <c:numRef>
              <c:f>ENERO!$R$2:$R$20</c:f>
              <c:numCache>
                <c:formatCode>_-"$"\ * #,##0_-;\-"$"\ * #,##0_-;_-"$"\ * "-"??_-;_-@_-</c:formatCode>
                <c:ptCount val="19"/>
                <c:pt idx="0">
                  <c:v>629</c:v>
                </c:pt>
                <c:pt idx="1">
                  <c:v>629</c:v>
                </c:pt>
                <c:pt idx="2">
                  <c:v>629</c:v>
                </c:pt>
                <c:pt idx="3">
                  <c:v>629</c:v>
                </c:pt>
                <c:pt idx="4">
                  <c:v>629</c:v>
                </c:pt>
                <c:pt idx="5">
                  <c:v>629</c:v>
                </c:pt>
                <c:pt idx="6">
                  <c:v>629</c:v>
                </c:pt>
                <c:pt idx="7">
                  <c:v>629</c:v>
                </c:pt>
                <c:pt idx="8">
                  <c:v>629</c:v>
                </c:pt>
                <c:pt idx="9">
                  <c:v>629</c:v>
                </c:pt>
                <c:pt idx="10">
                  <c:v>629</c:v>
                </c:pt>
                <c:pt idx="11">
                  <c:v>629</c:v>
                </c:pt>
                <c:pt idx="12">
                  <c:v>629</c:v>
                </c:pt>
                <c:pt idx="13">
                  <c:v>629</c:v>
                </c:pt>
                <c:pt idx="14">
                  <c:v>629</c:v>
                </c:pt>
                <c:pt idx="15">
                  <c:v>629</c:v>
                </c:pt>
                <c:pt idx="16">
                  <c:v>629</c:v>
                </c:pt>
                <c:pt idx="17">
                  <c:v>629</c:v>
                </c:pt>
                <c:pt idx="18">
                  <c:v>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77A-477B-94B9-6E0DA9DE489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71537295"/>
        <c:axId val="1071532975"/>
      </c:lineChart>
      <c:catAx>
        <c:axId val="18004655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489983"/>
        <c:crosses val="autoZero"/>
        <c:auto val="1"/>
        <c:lblAlgn val="ctr"/>
        <c:lblOffset val="100"/>
        <c:noMultiLvlLbl val="0"/>
      </c:catAx>
      <c:valAx>
        <c:axId val="1800489983"/>
        <c:scaling>
          <c:orientation val="minMax"/>
          <c:max val="6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465503"/>
        <c:crosses val="autoZero"/>
        <c:crossBetween val="between"/>
      </c:valAx>
      <c:valAx>
        <c:axId val="1071532975"/>
        <c:scaling>
          <c:orientation val="minMax"/>
          <c:max val="4000"/>
          <c:min val="15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$/m3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&quot;$&quot;\ * #,##0_-;\-&quot;$&quot;\ * #,##0_-;_-&quot;$&quot;\ 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71537295"/>
        <c:crosses val="max"/>
        <c:crossBetween val="between"/>
      </c:valAx>
      <c:catAx>
        <c:axId val="10715372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715329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Indicador $/Kg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5.1910664415791223E-2"/>
          <c:y val="0.1014870946336294"/>
          <c:w val="0.89034156713689727"/>
          <c:h val="0.784087735803156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FEBRERO!$H$1</c:f>
              <c:strCache>
                <c:ptCount val="1"/>
                <c:pt idx="0">
                  <c:v>KG GENERADOS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FEBRERO!$B$2:$B$31</c15:sqref>
                  </c15:fullRef>
                </c:ext>
              </c:extLst>
              <c:f>FEBRERO!$B$2:$B$18</c:f>
              <c:numCache>
                <c:formatCode>General</c:formatCode>
                <c:ptCount val="1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9</c:v>
                </c:pt>
                <c:pt idx="9">
                  <c:v>11</c:v>
                </c:pt>
                <c:pt idx="10">
                  <c:v>12</c:v>
                </c:pt>
                <c:pt idx="11">
                  <c:v>12</c:v>
                </c:pt>
                <c:pt idx="12">
                  <c:v>14</c:v>
                </c:pt>
                <c:pt idx="13">
                  <c:v>17</c:v>
                </c:pt>
                <c:pt idx="14">
                  <c:v>19</c:v>
                </c:pt>
                <c:pt idx="15">
                  <c:v>23</c:v>
                </c:pt>
                <c:pt idx="16">
                  <c:v>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FEBRERO!$H$2:$H$31</c15:sqref>
                  </c15:fullRef>
                </c:ext>
              </c:extLst>
              <c:f>FEBRERO!$H$2:$H$18</c:f>
              <c:numCache>
                <c:formatCode>General</c:formatCode>
                <c:ptCount val="17"/>
                <c:pt idx="0">
                  <c:v>5260</c:v>
                </c:pt>
                <c:pt idx="1">
                  <c:v>5860</c:v>
                </c:pt>
                <c:pt idx="2">
                  <c:v>4610</c:v>
                </c:pt>
                <c:pt idx="3">
                  <c:v>5490</c:v>
                </c:pt>
                <c:pt idx="4">
                  <c:v>5760</c:v>
                </c:pt>
                <c:pt idx="5">
                  <c:v>5220</c:v>
                </c:pt>
                <c:pt idx="6">
                  <c:v>4170</c:v>
                </c:pt>
                <c:pt idx="7">
                  <c:v>4960</c:v>
                </c:pt>
                <c:pt idx="8">
                  <c:v>4190</c:v>
                </c:pt>
                <c:pt idx="9">
                  <c:v>5410</c:v>
                </c:pt>
                <c:pt idx="10">
                  <c:v>4700</c:v>
                </c:pt>
                <c:pt idx="11">
                  <c:v>2960</c:v>
                </c:pt>
                <c:pt idx="12">
                  <c:v>4600</c:v>
                </c:pt>
                <c:pt idx="13">
                  <c:v>2410</c:v>
                </c:pt>
                <c:pt idx="14">
                  <c:v>3670</c:v>
                </c:pt>
                <c:pt idx="15">
                  <c:v>2990</c:v>
                </c:pt>
                <c:pt idx="16">
                  <c:v>3916.6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02-4F39-AF3B-2691C16AA2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800465503"/>
        <c:axId val="1800489983"/>
      </c:barChart>
      <c:lineChart>
        <c:grouping val="standard"/>
        <c:varyColors val="0"/>
        <c:ser>
          <c:idx val="2"/>
          <c:order val="1"/>
          <c:tx>
            <c:strRef>
              <c:f>FEBRERO!$M$1</c:f>
              <c:strCache>
                <c:ptCount val="1"/>
                <c:pt idx="0">
                  <c:v> ($/KG)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  <a:alpha val="97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FEBRERO!$B$2:$B$26</c15:sqref>
                  </c15:fullRef>
                </c:ext>
              </c:extLst>
              <c:f>FEBRERO!$B$2:$B$18</c:f>
              <c:numCache>
                <c:formatCode>General</c:formatCode>
                <c:ptCount val="1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9</c:v>
                </c:pt>
                <c:pt idx="9">
                  <c:v>11</c:v>
                </c:pt>
                <c:pt idx="10">
                  <c:v>12</c:v>
                </c:pt>
                <c:pt idx="11">
                  <c:v>12</c:v>
                </c:pt>
                <c:pt idx="12">
                  <c:v>14</c:v>
                </c:pt>
                <c:pt idx="13">
                  <c:v>17</c:v>
                </c:pt>
                <c:pt idx="14">
                  <c:v>19</c:v>
                </c:pt>
                <c:pt idx="15">
                  <c:v>23</c:v>
                </c:pt>
                <c:pt idx="16">
                  <c:v>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FEBRERO!$M$2:$M$31</c15:sqref>
                  </c15:fullRef>
                </c:ext>
              </c:extLst>
              <c:f>FEBRERO!$M$2:$M$18</c:f>
              <c:numCache>
                <c:formatCode>_("$"* #,##0.00_);_("$"* \(#,##0.00\);_("$"* "-"??_);_(@_)</c:formatCode>
                <c:ptCount val="17"/>
                <c:pt idx="0">
                  <c:v>210.06844106463879</c:v>
                </c:pt>
                <c:pt idx="1">
                  <c:v>198.38907849829351</c:v>
                </c:pt>
                <c:pt idx="2">
                  <c:v>226.15184381778741</c:v>
                </c:pt>
                <c:pt idx="3">
                  <c:v>205.28961748633878</c:v>
                </c:pt>
                <c:pt idx="4">
                  <c:v>200.16666666666666</c:v>
                </c:pt>
                <c:pt idx="5">
                  <c:v>210.94252873563218</c:v>
                </c:pt>
                <c:pt idx="6">
                  <c:v>239.88489208633092</c:v>
                </c:pt>
                <c:pt idx="7">
                  <c:v>216.96774193548387</c:v>
                </c:pt>
                <c:pt idx="8">
                  <c:v>239.19809069212411</c:v>
                </c:pt>
                <c:pt idx="9">
                  <c:v>206.90573012939001</c:v>
                </c:pt>
                <c:pt idx="10">
                  <c:v>223.65957446808511</c:v>
                </c:pt>
                <c:pt idx="11">
                  <c:v>298.70270270270271</c:v>
                </c:pt>
                <c:pt idx="12">
                  <c:v>226.43478260869566</c:v>
                </c:pt>
                <c:pt idx="13">
                  <c:v>344.96265560165978</c:v>
                </c:pt>
                <c:pt idx="14">
                  <c:v>259.48773841961855</c:v>
                </c:pt>
                <c:pt idx="15">
                  <c:v>296.66889632107024</c:v>
                </c:pt>
                <c:pt idx="16">
                  <c:v>249.19409692079864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02-4F39-AF3B-2691C16AA207}"/>
            </c:ext>
          </c:extLst>
        </c:ser>
        <c:ser>
          <c:idx val="0"/>
          <c:order val="2"/>
          <c:tx>
            <c:strRef>
              <c:f>FEBRERO!$N$1</c:f>
              <c:strCache>
                <c:ptCount val="1"/>
                <c:pt idx="0">
                  <c:v>FACTOR ($/KG)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  <a:alpha val="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8150052090431652E-2"/>
                      <c:h val="2.6333139717487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2002-4F39-AF3B-2691C16AA2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  <a:alpha val="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FEBRERO!$B$2:$B$26</c15:sqref>
                  </c15:fullRef>
                </c:ext>
              </c:extLst>
              <c:f>FEBRERO!$B$2:$B$18</c:f>
              <c:numCache>
                <c:formatCode>General</c:formatCode>
                <c:ptCount val="1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9</c:v>
                </c:pt>
                <c:pt idx="9">
                  <c:v>11</c:v>
                </c:pt>
                <c:pt idx="10">
                  <c:v>12</c:v>
                </c:pt>
                <c:pt idx="11">
                  <c:v>12</c:v>
                </c:pt>
                <c:pt idx="12">
                  <c:v>14</c:v>
                </c:pt>
                <c:pt idx="13">
                  <c:v>17</c:v>
                </c:pt>
                <c:pt idx="14">
                  <c:v>19</c:v>
                </c:pt>
                <c:pt idx="15">
                  <c:v>23</c:v>
                </c:pt>
                <c:pt idx="16">
                  <c:v>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FEBRERO!$N$2:$N$31</c15:sqref>
                  </c15:fullRef>
                </c:ext>
              </c:extLst>
              <c:f>FEBRERO!$N$2:$N$18</c:f>
              <c:numCache>
                <c:formatCode>_-"$"\ * #,##0_-;\-"$"\ * #,##0_-;_-"$"\ * "-"??_-;_-@_-</c:formatCode>
                <c:ptCount val="17"/>
                <c:pt idx="0">
                  <c:v>267</c:v>
                </c:pt>
                <c:pt idx="1">
                  <c:v>267</c:v>
                </c:pt>
                <c:pt idx="2">
                  <c:v>267</c:v>
                </c:pt>
                <c:pt idx="3">
                  <c:v>267</c:v>
                </c:pt>
                <c:pt idx="4">
                  <c:v>267</c:v>
                </c:pt>
                <c:pt idx="5">
                  <c:v>267</c:v>
                </c:pt>
                <c:pt idx="6">
                  <c:v>267</c:v>
                </c:pt>
                <c:pt idx="7">
                  <c:v>267</c:v>
                </c:pt>
                <c:pt idx="8">
                  <c:v>267</c:v>
                </c:pt>
                <c:pt idx="9">
                  <c:v>267</c:v>
                </c:pt>
                <c:pt idx="10">
                  <c:v>267</c:v>
                </c:pt>
                <c:pt idx="11">
                  <c:v>267</c:v>
                </c:pt>
                <c:pt idx="12">
                  <c:v>267</c:v>
                </c:pt>
                <c:pt idx="13">
                  <c:v>267</c:v>
                </c:pt>
                <c:pt idx="14">
                  <c:v>267</c:v>
                </c:pt>
                <c:pt idx="15">
                  <c:v>267</c:v>
                </c:pt>
                <c:pt idx="16">
                  <c:v>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02-4F39-AF3B-2691C16AA2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71537295"/>
        <c:axId val="1071532975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FEBRERO!$O$1</c15:sqref>
                        </c15:formulaRef>
                      </c:ext>
                    </c:extLst>
                    <c:strCache>
                      <c:ptCount val="1"/>
                      <c:pt idx="0">
                        <c:v>FACTOR 2024 KG/M3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rgbClr val="7030A0">
                              <a:alpha val="0"/>
                            </a:srgb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ullRef>
                          <c15:sqref>FEBRERO!$B$2:$B$26</c15:sqref>
                        </c15:fullRef>
                        <c15:formulaRef>
                          <c15:sqref>FEBRERO!$B$2:$B$18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9</c:v>
                      </c:pt>
                      <c:pt idx="9">
                        <c:v>11</c:v>
                      </c:pt>
                      <c:pt idx="10">
                        <c:v>12</c:v>
                      </c:pt>
                      <c:pt idx="11">
                        <c:v>12</c:v>
                      </c:pt>
                      <c:pt idx="12">
                        <c:v>14</c:v>
                      </c:pt>
                      <c:pt idx="13">
                        <c:v>17</c:v>
                      </c:pt>
                      <c:pt idx="14">
                        <c:v>19</c:v>
                      </c:pt>
                      <c:pt idx="15">
                        <c:v>23</c:v>
                      </c:pt>
                      <c:pt idx="16">
                        <c:v>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FEBRERO!$O$2:$O$26</c15:sqref>
                        </c15:fullRef>
                        <c15:formulaRef>
                          <c15:sqref>FEBRERO!$O$2:$O$18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2.2999999999999998</c:v>
                      </c:pt>
                      <c:pt idx="1">
                        <c:v>2.2999999999999998</c:v>
                      </c:pt>
                      <c:pt idx="2">
                        <c:v>2.2999999999999998</c:v>
                      </c:pt>
                      <c:pt idx="3">
                        <c:v>2.2999999999999998</c:v>
                      </c:pt>
                      <c:pt idx="4">
                        <c:v>2.2999999999999998</c:v>
                      </c:pt>
                      <c:pt idx="5">
                        <c:v>2.2999999999999998</c:v>
                      </c:pt>
                      <c:pt idx="6">
                        <c:v>2.2999999999999998</c:v>
                      </c:pt>
                      <c:pt idx="7">
                        <c:v>2.2999999999999998</c:v>
                      </c:pt>
                      <c:pt idx="8">
                        <c:v>2.2999999999999998</c:v>
                      </c:pt>
                      <c:pt idx="9">
                        <c:v>2.2999999999999998</c:v>
                      </c:pt>
                      <c:pt idx="10">
                        <c:v>2.2999999999999998</c:v>
                      </c:pt>
                      <c:pt idx="11">
                        <c:v>2.2999999999999998</c:v>
                      </c:pt>
                      <c:pt idx="12">
                        <c:v>2.2999999999999998</c:v>
                      </c:pt>
                      <c:pt idx="13">
                        <c:v>2.2999999999999998</c:v>
                      </c:pt>
                      <c:pt idx="14">
                        <c:v>2.2999999999999998</c:v>
                      </c:pt>
                      <c:pt idx="15">
                        <c:v>2.2999999999999998</c:v>
                      </c:pt>
                      <c:pt idx="16">
                        <c:v>2.2999999999999998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2002-4F39-AF3B-2691C16AA207}"/>
                  </c:ext>
                </c:extLst>
              </c15:ser>
            </c15:filteredLineSeries>
          </c:ext>
        </c:extLst>
      </c:lineChart>
      <c:catAx>
        <c:axId val="18004655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489983"/>
        <c:crosses val="autoZero"/>
        <c:auto val="1"/>
        <c:lblAlgn val="ctr"/>
        <c:lblOffset val="100"/>
        <c:noMultiLvlLbl val="0"/>
      </c:catAx>
      <c:valAx>
        <c:axId val="1800489983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Kg</a:t>
                </a:r>
                <a:r>
                  <a:rPr lang="es-CO" baseline="0"/>
                  <a:t> dia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465503"/>
        <c:crosses val="autoZero"/>
        <c:crossBetween val="between"/>
        <c:majorUnit val="1000"/>
      </c:valAx>
      <c:valAx>
        <c:axId val="1071532975"/>
        <c:scaling>
          <c:orientation val="minMax"/>
          <c:min val="15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$/kg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71537295"/>
        <c:crosses val="max"/>
        <c:crossBetween val="between"/>
      </c:valAx>
      <c:catAx>
        <c:axId val="10715372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715329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Indicador $/m3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1238764489821601E-2"/>
          <c:y val="0.13482977757320541"/>
          <c:w val="0.86356390491335944"/>
          <c:h val="0.6710794715969995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FEBRERO!$G$1</c:f>
              <c:strCache>
                <c:ptCount val="1"/>
                <c:pt idx="0">
                  <c:v>VOLUMEN TRATADO (m3)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FEBRERO!$B$2:$B$18</c:f>
              <c:numCache>
                <c:formatCode>General</c:formatCode>
                <c:ptCount val="1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9</c:v>
                </c:pt>
                <c:pt idx="9">
                  <c:v>11</c:v>
                </c:pt>
                <c:pt idx="10">
                  <c:v>12</c:v>
                </c:pt>
                <c:pt idx="11">
                  <c:v>12</c:v>
                </c:pt>
                <c:pt idx="12">
                  <c:v>14</c:v>
                </c:pt>
                <c:pt idx="13">
                  <c:v>17</c:v>
                </c:pt>
                <c:pt idx="14">
                  <c:v>19</c:v>
                </c:pt>
                <c:pt idx="15">
                  <c:v>23</c:v>
                </c:pt>
                <c:pt idx="16">
                  <c:v>25</c:v>
                </c:pt>
              </c:numCache>
            </c:numRef>
          </c:cat>
          <c:val>
            <c:numRef>
              <c:f>FEBRERO!$G$2:$G$18</c:f>
              <c:numCache>
                <c:formatCode>General</c:formatCode>
                <c:ptCount val="17"/>
                <c:pt idx="0">
                  <c:v>3680</c:v>
                </c:pt>
                <c:pt idx="1">
                  <c:v>1120</c:v>
                </c:pt>
                <c:pt idx="2">
                  <c:v>1840</c:v>
                </c:pt>
                <c:pt idx="3">
                  <c:v>600</c:v>
                </c:pt>
                <c:pt idx="4">
                  <c:v>600</c:v>
                </c:pt>
                <c:pt idx="5">
                  <c:v>600</c:v>
                </c:pt>
                <c:pt idx="6">
                  <c:v>600</c:v>
                </c:pt>
                <c:pt idx="7">
                  <c:v>1727.9999999998836</c:v>
                </c:pt>
                <c:pt idx="8">
                  <c:v>1727.9999999998836</c:v>
                </c:pt>
                <c:pt idx="9">
                  <c:v>1744.0000000002328</c:v>
                </c:pt>
                <c:pt idx="10">
                  <c:v>1760</c:v>
                </c:pt>
                <c:pt idx="11">
                  <c:v>1760</c:v>
                </c:pt>
                <c:pt idx="12">
                  <c:v>1760</c:v>
                </c:pt>
                <c:pt idx="13">
                  <c:v>1760</c:v>
                </c:pt>
                <c:pt idx="14">
                  <c:v>2480</c:v>
                </c:pt>
                <c:pt idx="15">
                  <c:v>3040</c:v>
                </c:pt>
                <c:pt idx="16">
                  <c:v>1520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0A-45C2-B880-F6C0C4F4D6B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800465503"/>
        <c:axId val="1800489983"/>
      </c:barChart>
      <c:lineChart>
        <c:grouping val="standard"/>
        <c:varyColors val="0"/>
        <c:ser>
          <c:idx val="2"/>
          <c:order val="1"/>
          <c:tx>
            <c:strRef>
              <c:f>FEBRERO!$Q$1</c:f>
              <c:strCache>
                <c:ptCount val="1"/>
                <c:pt idx="0">
                  <c:v>$/ M3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1.9650217976537331E-2"/>
                  <c:y val="-5.91207151382393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20A-45C2-B880-F6C0C4F4D6BE}"/>
                </c:ext>
              </c:extLst>
            </c:dLbl>
            <c:dLbl>
              <c:idx val="7"/>
              <c:layout>
                <c:manualLayout>
                  <c:x val="-3.1026659962954057E-3"/>
                  <c:y val="-5.58362309638926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20A-45C2-B880-F6C0C4F4D6BE}"/>
                </c:ext>
              </c:extLst>
            </c:dLbl>
            <c:spPr>
              <a:solidFill>
                <a:schemeClr val="bg1">
                  <a:alpha val="69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  <a:alpha val="97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mc:AlternateContent xmlns:mc="http://schemas.openxmlformats.org/markup-compatibility/2006">
              <mc:Choice xmlns:c16ac="http://schemas.microsoft.com/office/drawing/2014/chart/ac" Requires="c16ac">
                <c16ac:multiLvlStrLit>
                  <c:ptCount val="0"/>
                </c16ac:multiLvlStrLit>
              </mc:Choice>
              <mc:Fallback>
                <c:strLit/>
              </mc:Fallback>
            </mc:AlternateContent>
          </c:cat>
          <c:val>
            <c:numRef>
              <c:f>FEBRERO!$Q$2:$Q$18</c:f>
              <c:numCache>
                <c:formatCode>_-"$"\ * #,##0_-;\-"$"\ * #,##0_-;_-"$"\ * "-"??_-;_-@_-</c:formatCode>
                <c:ptCount val="17"/>
                <c:pt idx="0">
                  <c:v>300.26086956521738</c:v>
                </c:pt>
                <c:pt idx="1">
                  <c:v>1038</c:v>
                </c:pt>
                <c:pt idx="2">
                  <c:v>566.60869565217388</c:v>
                </c:pt>
                <c:pt idx="3">
                  <c:v>1878.4</c:v>
                </c:pt>
                <c:pt idx="4">
                  <c:v>1921.6</c:v>
                </c:pt>
                <c:pt idx="5">
                  <c:v>1835.2</c:v>
                </c:pt>
                <c:pt idx="6">
                  <c:v>1667.2</c:v>
                </c:pt>
                <c:pt idx="7">
                  <c:v>622.77777777781978</c:v>
                </c:pt>
                <c:pt idx="8">
                  <c:v>580.00000000003911</c:v>
                </c:pt>
                <c:pt idx="9">
                  <c:v>641.8348623852354</c:v>
                </c:pt>
                <c:pt idx="10">
                  <c:v>597.27272727272725</c:v>
                </c:pt>
                <c:pt idx="11">
                  <c:v>502.36363636363637</c:v>
                </c:pt>
                <c:pt idx="12">
                  <c:v>591.81818181818187</c:v>
                </c:pt>
                <c:pt idx="13">
                  <c:v>472.36363636363637</c:v>
                </c:pt>
                <c:pt idx="14">
                  <c:v>384</c:v>
                </c:pt>
                <c:pt idx="15">
                  <c:v>291.78947368421052</c:v>
                </c:pt>
                <c:pt idx="16">
                  <c:v>642.10105263157891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0A-45C2-B880-F6C0C4F4D6BE}"/>
            </c:ext>
          </c:extLst>
        </c:ser>
        <c:ser>
          <c:idx val="3"/>
          <c:order val="2"/>
          <c:tx>
            <c:strRef>
              <c:f>FEBRERO!$R$1</c:f>
              <c:strCache>
                <c:ptCount val="1"/>
                <c:pt idx="0">
                  <c:v>FACTOR $/m3 2024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mc:AlternateContent xmlns:mc="http://schemas.openxmlformats.org/markup-compatibility/2006">
              <mc:Choice xmlns:c16ac="http://schemas.microsoft.com/office/drawing/2014/chart/ac" Requires="c16ac">
                <c16ac:multiLvlStrLit>
                  <c:ptCount val="0"/>
                </c16ac:multiLvlStrLit>
              </mc:Choice>
              <mc:Fallback>
                <c:strLit/>
              </mc:Fallback>
            </mc:AlternateContent>
          </c:cat>
          <c:val>
            <c:numRef>
              <c:f>FEBRERO!$R$2:$R$18</c:f>
              <c:numCache>
                <c:formatCode>_-"$"\ * #,##0_-;\-"$"\ * #,##0_-;_-"$"\ * "-"??_-;_-@_-</c:formatCode>
                <c:ptCount val="17"/>
                <c:pt idx="0">
                  <c:v>629</c:v>
                </c:pt>
                <c:pt idx="1">
                  <c:v>629</c:v>
                </c:pt>
                <c:pt idx="2">
                  <c:v>629</c:v>
                </c:pt>
                <c:pt idx="3">
                  <c:v>629</c:v>
                </c:pt>
                <c:pt idx="4">
                  <c:v>629</c:v>
                </c:pt>
                <c:pt idx="5">
                  <c:v>629</c:v>
                </c:pt>
                <c:pt idx="6">
                  <c:v>629</c:v>
                </c:pt>
                <c:pt idx="7">
                  <c:v>629</c:v>
                </c:pt>
                <c:pt idx="8">
                  <c:v>629</c:v>
                </c:pt>
                <c:pt idx="9">
                  <c:v>629</c:v>
                </c:pt>
                <c:pt idx="10">
                  <c:v>629</c:v>
                </c:pt>
                <c:pt idx="11">
                  <c:v>629</c:v>
                </c:pt>
                <c:pt idx="12">
                  <c:v>629</c:v>
                </c:pt>
                <c:pt idx="13">
                  <c:v>629</c:v>
                </c:pt>
                <c:pt idx="14">
                  <c:v>629</c:v>
                </c:pt>
                <c:pt idx="15">
                  <c:v>629</c:v>
                </c:pt>
                <c:pt idx="16">
                  <c:v>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0A-45C2-B880-F6C0C4F4D6B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71537295"/>
        <c:axId val="1071532975"/>
      </c:lineChart>
      <c:catAx>
        <c:axId val="18004655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489983"/>
        <c:crosses val="autoZero"/>
        <c:auto val="1"/>
        <c:lblAlgn val="ctr"/>
        <c:lblOffset val="100"/>
        <c:noMultiLvlLbl val="0"/>
      </c:catAx>
      <c:valAx>
        <c:axId val="1800489983"/>
        <c:scaling>
          <c:orientation val="minMax"/>
          <c:max val="6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465503"/>
        <c:crosses val="autoZero"/>
        <c:crossBetween val="between"/>
      </c:valAx>
      <c:valAx>
        <c:axId val="1071532975"/>
        <c:scaling>
          <c:orientation val="minMax"/>
          <c:max val="4000"/>
          <c:min val="15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$/m3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&quot;$&quot;\ * #,##0_-;\-&quot;$&quot;\ * #,##0_-;_-&quot;$&quot;\ 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71537295"/>
        <c:crosses val="max"/>
        <c:crossBetween val="between"/>
      </c:valAx>
      <c:catAx>
        <c:axId val="10715372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715329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Indicador $/Kg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5.1910664415791223E-2"/>
          <c:y val="0.1014870946336294"/>
          <c:w val="0.89034156713689727"/>
          <c:h val="0.784087735803156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MARZO!$H$1</c:f>
              <c:strCache>
                <c:ptCount val="1"/>
                <c:pt idx="0">
                  <c:v>KG GENERADOS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MARZO!$B$2:$B$29</c15:sqref>
                  </c15:fullRef>
                </c:ext>
              </c:extLst>
              <c:f>MARZO!$B$2:$B$10</c:f>
              <c:numCache>
                <c:formatCode>General</c:formatCode>
                <c:ptCount val="9"/>
                <c:pt idx="0">
                  <c:v>2</c:v>
                </c:pt>
                <c:pt idx="1">
                  <c:v>5</c:v>
                </c:pt>
                <c:pt idx="2">
                  <c:v>7</c:v>
                </c:pt>
                <c:pt idx="3">
                  <c:v>10</c:v>
                </c:pt>
                <c:pt idx="4">
                  <c:v>12</c:v>
                </c:pt>
                <c:pt idx="5">
                  <c:v>14</c:v>
                </c:pt>
                <c:pt idx="6">
                  <c:v>17</c:v>
                </c:pt>
                <c:pt idx="7">
                  <c:v>23</c:v>
                </c:pt>
                <c:pt idx="8">
                  <c:v>26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MARZO!$H$2:$H$29</c15:sqref>
                  </c15:fullRef>
                </c:ext>
              </c:extLst>
              <c:f>MARZO!$H$2:$H$10</c:f>
              <c:numCache>
                <c:formatCode>General</c:formatCode>
                <c:ptCount val="9"/>
                <c:pt idx="0">
                  <c:v>5580</c:v>
                </c:pt>
                <c:pt idx="1">
                  <c:v>4440</c:v>
                </c:pt>
                <c:pt idx="2">
                  <c:v>4530</c:v>
                </c:pt>
                <c:pt idx="3">
                  <c:v>5060</c:v>
                </c:pt>
                <c:pt idx="4">
                  <c:v>5490</c:v>
                </c:pt>
                <c:pt idx="5">
                  <c:v>4580</c:v>
                </c:pt>
                <c:pt idx="6">
                  <c:v>3770</c:v>
                </c:pt>
                <c:pt idx="7">
                  <c:v>5080</c:v>
                </c:pt>
                <c:pt idx="8">
                  <c:v>3570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8E-4907-9587-2011B0CC4BF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800465503"/>
        <c:axId val="1800489983"/>
      </c:barChart>
      <c:lineChart>
        <c:grouping val="standard"/>
        <c:varyColors val="0"/>
        <c:ser>
          <c:idx val="2"/>
          <c:order val="1"/>
          <c:tx>
            <c:strRef>
              <c:f>MARZO!$M$1</c:f>
              <c:strCache>
                <c:ptCount val="1"/>
                <c:pt idx="0">
                  <c:v> ($/KG)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  <a:alpha val="97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MARZO!$B$2:$B$24</c15:sqref>
                  </c15:fullRef>
                </c:ext>
              </c:extLst>
              <c:f>MARZO!$B$2:$B$10</c:f>
              <c:numCache>
                <c:formatCode>General</c:formatCode>
                <c:ptCount val="9"/>
                <c:pt idx="0">
                  <c:v>2</c:v>
                </c:pt>
                <c:pt idx="1">
                  <c:v>5</c:v>
                </c:pt>
                <c:pt idx="2">
                  <c:v>7</c:v>
                </c:pt>
                <c:pt idx="3">
                  <c:v>10</c:v>
                </c:pt>
                <c:pt idx="4">
                  <c:v>12</c:v>
                </c:pt>
                <c:pt idx="5">
                  <c:v>14</c:v>
                </c:pt>
                <c:pt idx="6">
                  <c:v>17</c:v>
                </c:pt>
                <c:pt idx="7">
                  <c:v>23</c:v>
                </c:pt>
                <c:pt idx="8">
                  <c:v>26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MARZO!$M$2:$M$29</c15:sqref>
                  </c15:fullRef>
                </c:ext>
              </c:extLst>
              <c:f>MARZO!$M$2:$M$10</c:f>
              <c:numCache>
                <c:formatCode>_("$"* #,##0.00_);_("$"* \(#,##0.00\);_("$"* "-"??_);_(@_)</c:formatCode>
                <c:ptCount val="9"/>
                <c:pt idx="0">
                  <c:v>203.52688172043011</c:v>
                </c:pt>
                <c:pt idx="1">
                  <c:v>231.13513513513513</c:v>
                </c:pt>
                <c:pt idx="2">
                  <c:v>228.4503311258278</c:v>
                </c:pt>
                <c:pt idx="3">
                  <c:v>214.57707509881422</c:v>
                </c:pt>
                <c:pt idx="4">
                  <c:v>205.28961748633878</c:v>
                </c:pt>
                <c:pt idx="5">
                  <c:v>227.00436681222706</c:v>
                </c:pt>
                <c:pt idx="6">
                  <c:v>255.15119363395226</c:v>
                </c:pt>
                <c:pt idx="7">
                  <c:v>214.11023622047244</c:v>
                </c:pt>
                <c:pt idx="8">
                  <c:v>264.06722689075633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8E-4907-9587-2011B0CC4BFE}"/>
            </c:ext>
          </c:extLst>
        </c:ser>
        <c:ser>
          <c:idx val="0"/>
          <c:order val="2"/>
          <c:tx>
            <c:strRef>
              <c:f>MARZO!$N$1</c:f>
              <c:strCache>
                <c:ptCount val="1"/>
                <c:pt idx="0">
                  <c:v>FACTOR ($/KG)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  <a:alpha val="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8150052090431652E-2"/>
                      <c:h val="2.6333139717487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858E-4907-9587-2011B0CC4B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  <a:alpha val="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MARZO!$B$2:$B$24</c15:sqref>
                  </c15:fullRef>
                </c:ext>
              </c:extLst>
              <c:f>MARZO!$B$2:$B$10</c:f>
              <c:numCache>
                <c:formatCode>General</c:formatCode>
                <c:ptCount val="9"/>
                <c:pt idx="0">
                  <c:v>2</c:v>
                </c:pt>
                <c:pt idx="1">
                  <c:v>5</c:v>
                </c:pt>
                <c:pt idx="2">
                  <c:v>7</c:v>
                </c:pt>
                <c:pt idx="3">
                  <c:v>10</c:v>
                </c:pt>
                <c:pt idx="4">
                  <c:v>12</c:v>
                </c:pt>
                <c:pt idx="5">
                  <c:v>14</c:v>
                </c:pt>
                <c:pt idx="6">
                  <c:v>17</c:v>
                </c:pt>
                <c:pt idx="7">
                  <c:v>23</c:v>
                </c:pt>
                <c:pt idx="8">
                  <c:v>26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MARZO!$N$2:$N$29</c15:sqref>
                  </c15:fullRef>
                </c:ext>
              </c:extLst>
              <c:f>MARZO!$N$2:$N$10</c:f>
              <c:numCache>
                <c:formatCode>_-"$"\ * #,##0_-;\-"$"\ * #,##0_-;_-"$"\ * "-"??_-;_-@_-</c:formatCode>
                <c:ptCount val="9"/>
                <c:pt idx="0">
                  <c:v>267</c:v>
                </c:pt>
                <c:pt idx="1">
                  <c:v>267</c:v>
                </c:pt>
                <c:pt idx="2">
                  <c:v>267</c:v>
                </c:pt>
                <c:pt idx="3">
                  <c:v>267</c:v>
                </c:pt>
                <c:pt idx="4">
                  <c:v>267</c:v>
                </c:pt>
                <c:pt idx="5">
                  <c:v>267</c:v>
                </c:pt>
                <c:pt idx="6">
                  <c:v>267</c:v>
                </c:pt>
                <c:pt idx="7">
                  <c:v>267</c:v>
                </c:pt>
                <c:pt idx="8">
                  <c:v>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58E-4907-9587-2011B0CC4BF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71537295"/>
        <c:axId val="1071532975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MARZO!$O$1</c15:sqref>
                        </c15:formulaRef>
                      </c:ext>
                    </c:extLst>
                    <c:strCache>
                      <c:ptCount val="1"/>
                      <c:pt idx="0">
                        <c:v>FACTOR 2026 KG/M3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rgbClr val="7030A0">
                              <a:alpha val="0"/>
                            </a:srgb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ullRef>
                          <c15:sqref>MARZO!$B$2:$B$24</c15:sqref>
                        </c15:fullRef>
                        <c15:formulaRef>
                          <c15:sqref>MARZO!$B$2:$B$10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2</c:v>
                      </c:pt>
                      <c:pt idx="1">
                        <c:v>5</c:v>
                      </c:pt>
                      <c:pt idx="2">
                        <c:v>7</c:v>
                      </c:pt>
                      <c:pt idx="3">
                        <c:v>10</c:v>
                      </c:pt>
                      <c:pt idx="4">
                        <c:v>12</c:v>
                      </c:pt>
                      <c:pt idx="5">
                        <c:v>14</c:v>
                      </c:pt>
                      <c:pt idx="6">
                        <c:v>17</c:v>
                      </c:pt>
                      <c:pt idx="7">
                        <c:v>23</c:v>
                      </c:pt>
                      <c:pt idx="8">
                        <c:v>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MARZO!$O$2:$O$24</c15:sqref>
                        </c15:fullRef>
                        <c15:formulaRef>
                          <c15:sqref>MARZO!$O$2:$O$10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3.4</c:v>
                      </c:pt>
                      <c:pt idx="1">
                        <c:v>3.4</c:v>
                      </c:pt>
                      <c:pt idx="2">
                        <c:v>3.4</c:v>
                      </c:pt>
                      <c:pt idx="3">
                        <c:v>3.4</c:v>
                      </c:pt>
                      <c:pt idx="4">
                        <c:v>3.4</c:v>
                      </c:pt>
                      <c:pt idx="5">
                        <c:v>3.4</c:v>
                      </c:pt>
                      <c:pt idx="6">
                        <c:v>3.4</c:v>
                      </c:pt>
                      <c:pt idx="7">
                        <c:v>3.4</c:v>
                      </c:pt>
                      <c:pt idx="8">
                        <c:v>3.4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858E-4907-9587-2011B0CC4BFE}"/>
                  </c:ext>
                </c:extLst>
              </c15:ser>
            </c15:filteredLineSeries>
          </c:ext>
        </c:extLst>
      </c:lineChart>
      <c:catAx>
        <c:axId val="18004655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489983"/>
        <c:crosses val="autoZero"/>
        <c:auto val="1"/>
        <c:lblAlgn val="ctr"/>
        <c:lblOffset val="100"/>
        <c:noMultiLvlLbl val="0"/>
      </c:catAx>
      <c:valAx>
        <c:axId val="1800489983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Kg</a:t>
                </a:r>
                <a:r>
                  <a:rPr lang="es-CO" baseline="0"/>
                  <a:t> dia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465503"/>
        <c:crosses val="autoZero"/>
        <c:crossBetween val="between"/>
        <c:majorUnit val="1000"/>
      </c:valAx>
      <c:valAx>
        <c:axId val="1071532975"/>
        <c:scaling>
          <c:orientation val="minMax"/>
          <c:min val="15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$/kg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71537295"/>
        <c:crosses val="max"/>
        <c:crossBetween val="between"/>
      </c:valAx>
      <c:catAx>
        <c:axId val="10715372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715329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Indicador $/m3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1238764489821601E-2"/>
          <c:y val="0.13482977757320541"/>
          <c:w val="0.86356390491335944"/>
          <c:h val="0.6710794715969995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MARZO!$G$1</c:f>
              <c:strCache>
                <c:ptCount val="1"/>
                <c:pt idx="0">
                  <c:v>VOLUMEN TRATADO (m3)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MARZO!$B$2:$B$10</c:f>
              <c:numCache>
                <c:formatCode>General</c:formatCode>
                <c:ptCount val="9"/>
                <c:pt idx="0">
                  <c:v>2</c:v>
                </c:pt>
                <c:pt idx="1">
                  <c:v>5</c:v>
                </c:pt>
                <c:pt idx="2">
                  <c:v>7</c:v>
                </c:pt>
                <c:pt idx="3">
                  <c:v>10</c:v>
                </c:pt>
                <c:pt idx="4">
                  <c:v>12</c:v>
                </c:pt>
                <c:pt idx="5">
                  <c:v>14</c:v>
                </c:pt>
                <c:pt idx="6">
                  <c:v>17</c:v>
                </c:pt>
                <c:pt idx="7">
                  <c:v>23</c:v>
                </c:pt>
                <c:pt idx="8">
                  <c:v>26</c:v>
                </c:pt>
              </c:numCache>
            </c:numRef>
          </c:cat>
          <c:val>
            <c:numRef>
              <c:f>MARZO!$G$2:$G$10</c:f>
              <c:numCache>
                <c:formatCode>General</c:formatCode>
                <c:ptCount val="9"/>
                <c:pt idx="0">
                  <c:v>1600</c:v>
                </c:pt>
                <c:pt idx="1">
                  <c:v>4800</c:v>
                </c:pt>
                <c:pt idx="2">
                  <c:v>2800</c:v>
                </c:pt>
                <c:pt idx="3">
                  <c:v>3040</c:v>
                </c:pt>
                <c:pt idx="4">
                  <c:v>2800</c:v>
                </c:pt>
                <c:pt idx="5">
                  <c:v>2560</c:v>
                </c:pt>
                <c:pt idx="6">
                  <c:v>2080</c:v>
                </c:pt>
                <c:pt idx="7">
                  <c:v>5040</c:v>
                </c:pt>
                <c:pt idx="8">
                  <c:v>3440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66-4829-8A35-952FC026514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800465503"/>
        <c:axId val="1800489983"/>
      </c:barChart>
      <c:lineChart>
        <c:grouping val="standard"/>
        <c:varyColors val="0"/>
        <c:ser>
          <c:idx val="2"/>
          <c:order val="1"/>
          <c:tx>
            <c:strRef>
              <c:f>MARZO!$Q$1</c:f>
              <c:strCache>
                <c:ptCount val="1"/>
                <c:pt idx="0">
                  <c:v>$/ M3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1.9650217976537331E-2"/>
                  <c:y val="-5.91207151382393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866-4829-8A35-952FC026514A}"/>
                </c:ext>
              </c:extLst>
            </c:dLbl>
            <c:spPr>
              <a:solidFill>
                <a:schemeClr val="bg1">
                  <a:alpha val="69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  <a:alpha val="97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mc:AlternateContent xmlns:mc="http://schemas.openxmlformats.org/markup-compatibility/2006">
              <mc:Choice xmlns:c16ac="http://schemas.microsoft.com/office/drawing/2014/chart/ac" Requires="c16ac">
                <c16ac:multiLvlStrLit>
                  <c:ptCount val="0"/>
                </c16ac:multiLvlStrLit>
              </mc:Choice>
              <mc:Fallback>
                <c:strLit/>
              </mc:Fallback>
            </mc:AlternateContent>
          </c:cat>
          <c:val>
            <c:numRef>
              <c:f>MARZO!$Q$2:$Q$10</c:f>
              <c:numCache>
                <c:formatCode>_-"$"\ * #,##0_-;\-"$"\ * #,##0_-;_-"$"\ * "-"??_-;_-@_-</c:formatCode>
                <c:ptCount val="9"/>
                <c:pt idx="0">
                  <c:v>709.8</c:v>
                </c:pt>
                <c:pt idx="1">
                  <c:v>213.8</c:v>
                </c:pt>
                <c:pt idx="2">
                  <c:v>369.6</c:v>
                </c:pt>
                <c:pt idx="3">
                  <c:v>357.15789473684208</c:v>
                </c:pt>
                <c:pt idx="4">
                  <c:v>402.51428571428573</c:v>
                </c:pt>
                <c:pt idx="5">
                  <c:v>406.125</c:v>
                </c:pt>
                <c:pt idx="6">
                  <c:v>462.46153846153845</c:v>
                </c:pt>
                <c:pt idx="7">
                  <c:v>215.8095238095238</c:v>
                </c:pt>
                <c:pt idx="8">
                  <c:v>274.04651162790697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66-4829-8A35-952FC026514A}"/>
            </c:ext>
          </c:extLst>
        </c:ser>
        <c:ser>
          <c:idx val="3"/>
          <c:order val="2"/>
          <c:tx>
            <c:strRef>
              <c:f>MARZO!$R$1</c:f>
              <c:strCache>
                <c:ptCount val="1"/>
                <c:pt idx="0">
                  <c:v>PROYECIÓN $/m3 2026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mc:AlternateContent xmlns:mc="http://schemas.openxmlformats.org/markup-compatibility/2006">
              <mc:Choice xmlns:c16ac="http://schemas.microsoft.com/office/drawing/2014/chart/ac" Requires="c16ac">
                <c16ac:multiLvlStrLit>
                  <c:ptCount val="0"/>
                </c16ac:multiLvlStrLit>
              </mc:Choice>
              <mc:Fallback>
                <c:strLit/>
              </mc:Fallback>
            </mc:AlternateContent>
          </c:cat>
          <c:val>
            <c:numRef>
              <c:f>MARZO!$R$2:$R$10</c:f>
              <c:numCache>
                <c:formatCode>_-"$"\ * #,##0_-;\-"$"\ * #,##0_-;_-"$"\ * "-"??_-;_-@_-</c:formatCode>
                <c:ptCount val="9"/>
                <c:pt idx="0">
                  <c:v>726</c:v>
                </c:pt>
                <c:pt idx="1">
                  <c:v>726</c:v>
                </c:pt>
                <c:pt idx="2">
                  <c:v>726</c:v>
                </c:pt>
                <c:pt idx="3">
                  <c:v>726</c:v>
                </c:pt>
                <c:pt idx="4">
                  <c:v>726</c:v>
                </c:pt>
                <c:pt idx="5">
                  <c:v>726</c:v>
                </c:pt>
                <c:pt idx="6">
                  <c:v>726</c:v>
                </c:pt>
                <c:pt idx="7">
                  <c:v>726</c:v>
                </c:pt>
                <c:pt idx="8">
                  <c:v>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66-4829-8A35-952FC026514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71537295"/>
        <c:axId val="1071532975"/>
      </c:lineChart>
      <c:catAx>
        <c:axId val="18004655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489983"/>
        <c:crosses val="autoZero"/>
        <c:auto val="1"/>
        <c:lblAlgn val="ctr"/>
        <c:lblOffset val="100"/>
        <c:noMultiLvlLbl val="0"/>
      </c:catAx>
      <c:valAx>
        <c:axId val="1800489983"/>
        <c:scaling>
          <c:orientation val="minMax"/>
          <c:max val="6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465503"/>
        <c:crosses val="autoZero"/>
        <c:crossBetween val="between"/>
      </c:valAx>
      <c:valAx>
        <c:axId val="1071532975"/>
        <c:scaling>
          <c:orientation val="minMax"/>
          <c:max val="4000"/>
          <c:min val="15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$/m3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&quot;$&quot;\ * #,##0_-;\-&quot;$&quot;\ * #,##0_-;_-&quot;$&quot;\ 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71537295"/>
        <c:crosses val="max"/>
        <c:crossBetween val="between"/>
      </c:valAx>
      <c:catAx>
        <c:axId val="10715372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715329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Indicador $/Kg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5.1910664415791223E-2"/>
          <c:y val="0.1014870946336294"/>
          <c:w val="0.89034156713689727"/>
          <c:h val="0.784087735803156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ABRIL!$H$1</c:f>
              <c:strCache>
                <c:ptCount val="1"/>
                <c:pt idx="0">
                  <c:v>KG GENERADOS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ABRIL!$B$2:$B$29</c15:sqref>
                  </c15:fullRef>
                </c:ext>
              </c:extLst>
              <c:f>ABRIL!$B$2:$B$7</c:f>
              <c:numCache>
                <c:formatCode>General</c:formatCode>
                <c:ptCount val="6"/>
                <c:pt idx="0">
                  <c:v>6</c:v>
                </c:pt>
                <c:pt idx="1">
                  <c:v>13</c:v>
                </c:pt>
                <c:pt idx="2">
                  <c:v>18</c:v>
                </c:pt>
                <c:pt idx="3">
                  <c:v>20</c:v>
                </c:pt>
                <c:pt idx="4">
                  <c:v>27</c:v>
                </c:pt>
                <c:pt idx="5">
                  <c:v>29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ABRIL!$H$2:$H$29</c15:sqref>
                  </c15:fullRef>
                </c:ext>
              </c:extLst>
              <c:f>ABRIL!$H$2:$H$7</c:f>
              <c:numCache>
                <c:formatCode>General</c:formatCode>
                <c:ptCount val="6"/>
                <c:pt idx="0">
                  <c:v>4510</c:v>
                </c:pt>
                <c:pt idx="1">
                  <c:v>3510</c:v>
                </c:pt>
                <c:pt idx="2">
                  <c:v>4920</c:v>
                </c:pt>
                <c:pt idx="3">
                  <c:v>3450</c:v>
                </c:pt>
                <c:pt idx="4">
                  <c:v>4730</c:v>
                </c:pt>
                <c:pt idx="5">
                  <c:v>4490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9A-4BB5-80CD-D2645D2107C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800465503"/>
        <c:axId val="1800489983"/>
      </c:barChart>
      <c:lineChart>
        <c:grouping val="standard"/>
        <c:varyColors val="0"/>
        <c:ser>
          <c:idx val="2"/>
          <c:order val="1"/>
          <c:tx>
            <c:strRef>
              <c:f>ABRIL!$M$1</c:f>
              <c:strCache>
                <c:ptCount val="1"/>
                <c:pt idx="0">
                  <c:v> ($/KG)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  <a:alpha val="97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ABRIL!$B$2:$B$24</c15:sqref>
                  </c15:fullRef>
                </c:ext>
              </c:extLst>
              <c:f>ABRIL!$B$2:$B$7</c:f>
              <c:numCache>
                <c:formatCode>General</c:formatCode>
                <c:ptCount val="6"/>
                <c:pt idx="0">
                  <c:v>6</c:v>
                </c:pt>
                <c:pt idx="1">
                  <c:v>13</c:v>
                </c:pt>
                <c:pt idx="2">
                  <c:v>18</c:v>
                </c:pt>
                <c:pt idx="3">
                  <c:v>20</c:v>
                </c:pt>
                <c:pt idx="4">
                  <c:v>27</c:v>
                </c:pt>
                <c:pt idx="5">
                  <c:v>29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ABRIL!$M$2:$M$29</c15:sqref>
                  </c15:fullRef>
                </c:ext>
              </c:extLst>
              <c:f>ABRIL!$M$2:$M$7</c:f>
              <c:numCache>
                <c:formatCode>_("$"* #,##0.00_);_("$"* \(#,##0.00\);_("$"* "-"??_);_(@_)</c:formatCode>
                <c:ptCount val="6"/>
                <c:pt idx="0">
                  <c:v>229.03769401330376</c:v>
                </c:pt>
                <c:pt idx="1">
                  <c:v>266.94017094017096</c:v>
                </c:pt>
                <c:pt idx="2">
                  <c:v>217.95121951219511</c:v>
                </c:pt>
                <c:pt idx="3">
                  <c:v>269.91304347826087</c:v>
                </c:pt>
                <c:pt idx="4">
                  <c:v>222.84989429175477</c:v>
                </c:pt>
                <c:pt idx="5">
                  <c:v>229.630289532294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9A-4BB5-80CD-D2645D2107CF}"/>
            </c:ext>
          </c:extLst>
        </c:ser>
        <c:ser>
          <c:idx val="0"/>
          <c:order val="2"/>
          <c:tx>
            <c:strRef>
              <c:f>ABRIL!$N$1</c:f>
              <c:strCache>
                <c:ptCount val="1"/>
                <c:pt idx="0">
                  <c:v>FACTOR ($/KG)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  <a:alpha val="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8150052090431652E-2"/>
                      <c:h val="2.6333139717487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189A-4BB5-80CD-D2645D2107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  <a:alpha val="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ABRIL!$B$2:$B$24</c15:sqref>
                  </c15:fullRef>
                </c:ext>
              </c:extLst>
              <c:f>ABRIL!$B$2:$B$7</c:f>
              <c:numCache>
                <c:formatCode>General</c:formatCode>
                <c:ptCount val="6"/>
                <c:pt idx="0">
                  <c:v>6</c:v>
                </c:pt>
                <c:pt idx="1">
                  <c:v>13</c:v>
                </c:pt>
                <c:pt idx="2">
                  <c:v>18</c:v>
                </c:pt>
                <c:pt idx="3">
                  <c:v>20</c:v>
                </c:pt>
                <c:pt idx="4">
                  <c:v>27</c:v>
                </c:pt>
                <c:pt idx="5">
                  <c:v>29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ABRIL!$N$2:$N$29</c15:sqref>
                  </c15:fullRef>
                </c:ext>
              </c:extLst>
              <c:f>ABRIL!$N$2:$N$7</c:f>
              <c:numCache>
                <c:formatCode>_-"$"\ * #,##0_-;\-"$"\ * #,##0_-;_-"$"\ * "-"??_-;_-@_-</c:formatCode>
                <c:ptCount val="6"/>
                <c:pt idx="0">
                  <c:v>267</c:v>
                </c:pt>
                <c:pt idx="1">
                  <c:v>267</c:v>
                </c:pt>
                <c:pt idx="2">
                  <c:v>267</c:v>
                </c:pt>
                <c:pt idx="3">
                  <c:v>267</c:v>
                </c:pt>
                <c:pt idx="4">
                  <c:v>267</c:v>
                </c:pt>
                <c:pt idx="5">
                  <c:v>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9A-4BB5-80CD-D2645D2107C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71537295"/>
        <c:axId val="1071532975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ABRIL!$O$1</c15:sqref>
                        </c15:formulaRef>
                      </c:ext>
                    </c:extLst>
                    <c:strCache>
                      <c:ptCount val="1"/>
                      <c:pt idx="0">
                        <c:v>FACTOR 2026 KG/M3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rgbClr val="7030A0">
                              <a:alpha val="0"/>
                            </a:srgb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ullRef>
                          <c15:sqref>ABRIL!$B$2:$B$24</c15:sqref>
                        </c15:fullRef>
                        <c15:formulaRef>
                          <c15:sqref>ABRIL!$B$2:$B$7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6</c:v>
                      </c:pt>
                      <c:pt idx="1">
                        <c:v>13</c:v>
                      </c:pt>
                      <c:pt idx="2">
                        <c:v>18</c:v>
                      </c:pt>
                      <c:pt idx="3">
                        <c:v>20</c:v>
                      </c:pt>
                      <c:pt idx="4">
                        <c:v>27</c:v>
                      </c:pt>
                      <c:pt idx="5">
                        <c:v>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ABRIL!$O$2:$O$24</c15:sqref>
                        </c15:fullRef>
                        <c15:formulaRef>
                          <c15:sqref>ABRIL!$O$2:$O$7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3.4</c:v>
                      </c:pt>
                      <c:pt idx="1">
                        <c:v>3.4</c:v>
                      </c:pt>
                      <c:pt idx="2">
                        <c:v>3.4</c:v>
                      </c:pt>
                      <c:pt idx="3">
                        <c:v>3.4</c:v>
                      </c:pt>
                      <c:pt idx="4">
                        <c:v>3.4</c:v>
                      </c:pt>
                      <c:pt idx="5">
                        <c:v>3.4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189A-4BB5-80CD-D2645D2107CF}"/>
                  </c:ext>
                </c:extLst>
              </c15:ser>
            </c15:filteredLineSeries>
          </c:ext>
        </c:extLst>
      </c:lineChart>
      <c:catAx>
        <c:axId val="18004655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489983"/>
        <c:crosses val="autoZero"/>
        <c:auto val="1"/>
        <c:lblAlgn val="ctr"/>
        <c:lblOffset val="100"/>
        <c:noMultiLvlLbl val="0"/>
      </c:catAx>
      <c:valAx>
        <c:axId val="1800489983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Kg</a:t>
                </a:r>
                <a:r>
                  <a:rPr lang="es-CO" baseline="0"/>
                  <a:t> dia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465503"/>
        <c:crosses val="autoZero"/>
        <c:crossBetween val="between"/>
        <c:majorUnit val="1000"/>
      </c:valAx>
      <c:valAx>
        <c:axId val="1071532975"/>
        <c:scaling>
          <c:orientation val="minMax"/>
          <c:min val="15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$/kg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71537295"/>
        <c:crosses val="max"/>
        <c:crossBetween val="between"/>
      </c:valAx>
      <c:catAx>
        <c:axId val="10715372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715329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Indicador $/m3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1238764489821601E-2"/>
          <c:y val="0.13482977757320541"/>
          <c:w val="0.86356390491335944"/>
          <c:h val="0.6710794715969995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ABRIL!$G$1</c:f>
              <c:strCache>
                <c:ptCount val="1"/>
                <c:pt idx="0">
                  <c:v>VOLUMEN TRATADO (m3)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ABRIL!$B$2:$B$7</c:f>
              <c:numCache>
                <c:formatCode>General</c:formatCode>
                <c:ptCount val="6"/>
                <c:pt idx="0">
                  <c:v>6</c:v>
                </c:pt>
                <c:pt idx="1">
                  <c:v>13</c:v>
                </c:pt>
                <c:pt idx="2">
                  <c:v>18</c:v>
                </c:pt>
                <c:pt idx="3">
                  <c:v>20</c:v>
                </c:pt>
                <c:pt idx="4">
                  <c:v>27</c:v>
                </c:pt>
                <c:pt idx="5">
                  <c:v>29</c:v>
                </c:pt>
              </c:numCache>
              <c:extLst/>
            </c:numRef>
          </c:cat>
          <c:val>
            <c:numRef>
              <c:f>ABRIL!$G$2:$G$7</c:f>
              <c:numCache>
                <c:formatCode>General</c:formatCode>
                <c:ptCount val="6"/>
                <c:pt idx="0">
                  <c:v>6160</c:v>
                </c:pt>
                <c:pt idx="1">
                  <c:v>7440</c:v>
                </c:pt>
                <c:pt idx="2">
                  <c:v>7200</c:v>
                </c:pt>
                <c:pt idx="3">
                  <c:v>2960</c:v>
                </c:pt>
                <c:pt idx="4">
                  <c:v>7920</c:v>
                </c:pt>
                <c:pt idx="5">
                  <c:v>3280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3BE2-4240-B36D-40873A7BC5F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800465503"/>
        <c:axId val="1800489983"/>
      </c:barChart>
      <c:lineChart>
        <c:grouping val="standard"/>
        <c:varyColors val="0"/>
        <c:ser>
          <c:idx val="2"/>
          <c:order val="1"/>
          <c:tx>
            <c:strRef>
              <c:f>ABRIL!$Q$1</c:f>
              <c:strCache>
                <c:ptCount val="1"/>
                <c:pt idx="0">
                  <c:v>$/ M3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1.9650217976537331E-2"/>
                  <c:y val="-5.91207151382393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BE2-4240-B36D-40873A7BC5FB}"/>
                </c:ext>
              </c:extLst>
            </c:dLbl>
            <c:spPr>
              <a:solidFill>
                <a:schemeClr val="bg1">
                  <a:alpha val="69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  <a:alpha val="97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mc:AlternateContent xmlns:mc="http://schemas.openxmlformats.org/markup-compatibility/2006">
              <mc:Choice xmlns:c16ac="http://schemas.microsoft.com/office/drawing/2014/chart/ac" Requires="c16ac">
                <c16ac:multiLvlStrLit>
                  <c:ptCount val="0"/>
                </c16ac:multiLvlStrLit>
              </mc:Choice>
              <mc:Fallback>
                <c:strLit/>
              </mc:Fallback>
            </mc:AlternateContent>
          </c:cat>
          <c:val>
            <c:numRef>
              <c:f>ABRIL!$Q$2:$Q$7</c:f>
              <c:numCache>
                <c:formatCode>_-"$"\ * #,##0_-;\-"$"\ * #,##0_-;_-"$"\ * "-"??_-;_-@_-</c:formatCode>
                <c:ptCount val="6"/>
                <c:pt idx="0">
                  <c:v>167.6883116883117</c:v>
                </c:pt>
                <c:pt idx="1">
                  <c:v>125.93548387096774</c:v>
                </c:pt>
                <c:pt idx="2">
                  <c:v>148.93333333333334</c:v>
                </c:pt>
                <c:pt idx="3">
                  <c:v>314.59459459459458</c:v>
                </c:pt>
                <c:pt idx="4">
                  <c:v>133.09090909090909</c:v>
                </c:pt>
                <c:pt idx="5">
                  <c:v>314.34146341463412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3BE2-4240-B36D-40873A7BC5FB}"/>
            </c:ext>
          </c:extLst>
        </c:ser>
        <c:ser>
          <c:idx val="3"/>
          <c:order val="2"/>
          <c:tx>
            <c:strRef>
              <c:f>ABRIL!$R$1</c:f>
              <c:strCache>
                <c:ptCount val="1"/>
                <c:pt idx="0">
                  <c:v>PROYECIÓN $/m3 2026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mc:AlternateContent xmlns:mc="http://schemas.openxmlformats.org/markup-compatibility/2006">
              <mc:Choice xmlns:c16ac="http://schemas.microsoft.com/office/drawing/2014/chart/ac" Requires="c16ac">
                <c16ac:multiLvlStrLit>
                  <c:ptCount val="0"/>
                </c16ac:multiLvlStrLit>
              </mc:Choice>
              <mc:Fallback>
                <c:strLit/>
              </mc:Fallback>
            </mc:AlternateContent>
          </c:cat>
          <c:val>
            <c:numRef>
              <c:f>ABRIL!$R$2:$R$7</c:f>
              <c:numCache>
                <c:formatCode>_-"$"\ * #,##0_-;\-"$"\ * #,##0_-;_-"$"\ * "-"??_-;_-@_-</c:formatCode>
                <c:ptCount val="6"/>
                <c:pt idx="0">
                  <c:v>726</c:v>
                </c:pt>
                <c:pt idx="1">
                  <c:v>726</c:v>
                </c:pt>
                <c:pt idx="2">
                  <c:v>726</c:v>
                </c:pt>
                <c:pt idx="3">
                  <c:v>726</c:v>
                </c:pt>
                <c:pt idx="4">
                  <c:v>726</c:v>
                </c:pt>
                <c:pt idx="5">
                  <c:v>726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3-3BE2-4240-B36D-40873A7BC5F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71537295"/>
        <c:axId val="1071532975"/>
      </c:lineChart>
      <c:catAx>
        <c:axId val="18004655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489983"/>
        <c:crosses val="autoZero"/>
        <c:auto val="1"/>
        <c:lblAlgn val="ctr"/>
        <c:lblOffset val="100"/>
        <c:noMultiLvlLbl val="0"/>
      </c:catAx>
      <c:valAx>
        <c:axId val="1800489983"/>
        <c:scaling>
          <c:orientation val="minMax"/>
          <c:max val="6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465503"/>
        <c:crosses val="autoZero"/>
        <c:crossBetween val="between"/>
      </c:valAx>
      <c:valAx>
        <c:axId val="1071532975"/>
        <c:scaling>
          <c:orientation val="minMax"/>
          <c:max val="4000"/>
          <c:min val="15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$/m3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&quot;$&quot;\ * #,##0_-;\-&quot;$&quot;\ * #,##0_-;_-&quot;$&quot;\ 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71537295"/>
        <c:crosses val="max"/>
        <c:crossBetween val="between"/>
      </c:valAx>
      <c:catAx>
        <c:axId val="10715372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715329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Indicador $/Kg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5.1910664415791223E-2"/>
          <c:y val="0.1014870946336294"/>
          <c:w val="0.89034156713689727"/>
          <c:h val="0.784087735803156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MAYO!$H$1</c:f>
              <c:strCache>
                <c:ptCount val="1"/>
                <c:pt idx="0">
                  <c:v>KG GENERADOS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MAYO!$B$2:$B$26</c15:sqref>
                  </c15:fullRef>
                </c:ext>
              </c:extLst>
              <c:f>MAYO!$B$2:$B$12</c:f>
              <c:numCache>
                <c:formatCode>General</c:formatCode>
                <c:ptCount val="11"/>
                <c:pt idx="0">
                  <c:v>8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16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MAYO!$H$2:$H$26</c15:sqref>
                  </c15:fullRef>
                </c:ext>
              </c:extLst>
              <c:f>MAYO!$H$2:$H$12</c:f>
              <c:numCache>
                <c:formatCode>General</c:formatCode>
                <c:ptCount val="11"/>
                <c:pt idx="0">
                  <c:v>5180</c:v>
                </c:pt>
                <c:pt idx="1">
                  <c:v>4480</c:v>
                </c:pt>
                <c:pt idx="2">
                  <c:v>5610</c:v>
                </c:pt>
                <c:pt idx="3">
                  <c:v>5280</c:v>
                </c:pt>
                <c:pt idx="4">
                  <c:v>5060</c:v>
                </c:pt>
                <c:pt idx="5">
                  <c:v>4530</c:v>
                </c:pt>
                <c:pt idx="6">
                  <c:v>4890</c:v>
                </c:pt>
                <c:pt idx="7">
                  <c:v>4510</c:v>
                </c:pt>
                <c:pt idx="8">
                  <c:v>4490</c:v>
                </c:pt>
                <c:pt idx="9">
                  <c:v>5340</c:v>
                </c:pt>
                <c:pt idx="10">
                  <c:v>3840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2B-4923-A05D-00F3E5BE56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800465503"/>
        <c:axId val="1800489983"/>
      </c:barChart>
      <c:lineChart>
        <c:grouping val="standard"/>
        <c:varyColors val="0"/>
        <c:ser>
          <c:idx val="2"/>
          <c:order val="1"/>
          <c:tx>
            <c:strRef>
              <c:f>MAYO!$M$1</c:f>
              <c:strCache>
                <c:ptCount val="1"/>
                <c:pt idx="0">
                  <c:v> ($/KG)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  <a:alpha val="97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MAYO!$B$2:$B$21</c15:sqref>
                  </c15:fullRef>
                </c:ext>
              </c:extLst>
              <c:f>MAYO!$B$2:$B$12</c:f>
              <c:numCache>
                <c:formatCode>General</c:formatCode>
                <c:ptCount val="11"/>
                <c:pt idx="0">
                  <c:v>8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16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MAYO!$M$2:$M$26</c15:sqref>
                  </c15:fullRef>
                </c:ext>
              </c:extLst>
              <c:f>MAYO!$M$2:$M$12</c:f>
              <c:numCache>
                <c:formatCode>_("$"* #,##0.00_);_("$"* \(#,##0.00\);_("$"* "-"??_);_(@_)</c:formatCode>
                <c:ptCount val="11"/>
                <c:pt idx="0">
                  <c:v>211.83011583011583</c:v>
                </c:pt>
                <c:pt idx="1">
                  <c:v>229.92857142857142</c:v>
                </c:pt>
                <c:pt idx="2">
                  <c:v>202.951871657754</c:v>
                </c:pt>
                <c:pt idx="3">
                  <c:v>209.63636363636363</c:v>
                </c:pt>
                <c:pt idx="4">
                  <c:v>214.57707509881422</c:v>
                </c:pt>
                <c:pt idx="5">
                  <c:v>228.4503311258278</c:v>
                </c:pt>
                <c:pt idx="6">
                  <c:v>218.69938650306747</c:v>
                </c:pt>
                <c:pt idx="7">
                  <c:v>229.03769401330376</c:v>
                </c:pt>
                <c:pt idx="8">
                  <c:v>229.630289532294</c:v>
                </c:pt>
                <c:pt idx="9">
                  <c:v>208.35955056179776</c:v>
                </c:pt>
                <c:pt idx="10">
                  <c:v>252.25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2B-4923-A05D-00F3E5BE565C}"/>
            </c:ext>
          </c:extLst>
        </c:ser>
        <c:ser>
          <c:idx val="0"/>
          <c:order val="2"/>
          <c:tx>
            <c:strRef>
              <c:f>MAYO!$N$1</c:f>
              <c:strCache>
                <c:ptCount val="1"/>
                <c:pt idx="0">
                  <c:v>FACTOR ($/KG)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  <a:alpha val="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8150052090431652E-2"/>
                      <c:h val="2.6333139717487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AA2B-4923-A05D-00F3E5BE56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  <a:alpha val="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MAYO!$B$2:$B$21</c15:sqref>
                  </c15:fullRef>
                </c:ext>
              </c:extLst>
              <c:f>MAYO!$B$2:$B$12</c:f>
              <c:numCache>
                <c:formatCode>General</c:formatCode>
                <c:ptCount val="11"/>
                <c:pt idx="0">
                  <c:v>8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16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MAYO!$N$2:$N$26</c15:sqref>
                  </c15:fullRef>
                </c:ext>
              </c:extLst>
              <c:f>MAYO!$N$2:$N$12</c:f>
              <c:numCache>
                <c:formatCode>_-"$"\ * #,##0_-;\-"$"\ * #,##0_-;_-"$"\ * "-"??_-;_-@_-</c:formatCode>
                <c:ptCount val="11"/>
                <c:pt idx="0">
                  <c:v>267</c:v>
                </c:pt>
                <c:pt idx="1">
                  <c:v>267</c:v>
                </c:pt>
                <c:pt idx="2">
                  <c:v>267</c:v>
                </c:pt>
                <c:pt idx="3">
                  <c:v>267</c:v>
                </c:pt>
                <c:pt idx="4">
                  <c:v>267</c:v>
                </c:pt>
                <c:pt idx="5">
                  <c:v>267</c:v>
                </c:pt>
                <c:pt idx="6">
                  <c:v>267</c:v>
                </c:pt>
                <c:pt idx="7">
                  <c:v>267</c:v>
                </c:pt>
                <c:pt idx="8">
                  <c:v>267</c:v>
                </c:pt>
                <c:pt idx="9">
                  <c:v>267</c:v>
                </c:pt>
                <c:pt idx="10">
                  <c:v>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2B-4923-A05D-00F3E5BE56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71537295"/>
        <c:axId val="1071532975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MAYO!$O$1</c15:sqref>
                        </c15:formulaRef>
                      </c:ext>
                    </c:extLst>
                    <c:strCache>
                      <c:ptCount val="1"/>
                      <c:pt idx="0">
                        <c:v>FACTOR 2026 KG/M3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rgbClr val="7030A0">
                              <a:alpha val="0"/>
                            </a:srgb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ullRef>
                          <c15:sqref>MAYO!$B$2:$B$21</c15:sqref>
                        </c15:fullRef>
                        <c15:formulaRef>
                          <c15:sqref>MAYO!$B$2:$B$12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8</c:v>
                      </c:pt>
                      <c:pt idx="1">
                        <c:v>12</c:v>
                      </c:pt>
                      <c:pt idx="2">
                        <c:v>13</c:v>
                      </c:pt>
                      <c:pt idx="3">
                        <c:v>14</c:v>
                      </c:pt>
                      <c:pt idx="4">
                        <c:v>16</c:v>
                      </c:pt>
                      <c:pt idx="5">
                        <c:v>20</c:v>
                      </c:pt>
                      <c:pt idx="6">
                        <c:v>21</c:v>
                      </c:pt>
                      <c:pt idx="7">
                        <c:v>22</c:v>
                      </c:pt>
                      <c:pt idx="8">
                        <c:v>26</c:v>
                      </c:pt>
                      <c:pt idx="9">
                        <c:v>27</c:v>
                      </c:pt>
                      <c:pt idx="10">
                        <c:v>28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MAYO!$O$2:$O$21</c15:sqref>
                        </c15:fullRef>
                        <c15:formulaRef>
                          <c15:sqref>MAYO!$O$2:$O$12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3.4</c:v>
                      </c:pt>
                      <c:pt idx="1">
                        <c:v>3.4</c:v>
                      </c:pt>
                      <c:pt idx="2">
                        <c:v>3.4</c:v>
                      </c:pt>
                      <c:pt idx="3">
                        <c:v>3.4</c:v>
                      </c:pt>
                      <c:pt idx="4">
                        <c:v>3.4</c:v>
                      </c:pt>
                      <c:pt idx="5">
                        <c:v>3.4</c:v>
                      </c:pt>
                      <c:pt idx="6">
                        <c:v>3.4</c:v>
                      </c:pt>
                      <c:pt idx="7">
                        <c:v>3.4</c:v>
                      </c:pt>
                      <c:pt idx="8">
                        <c:v>3.4</c:v>
                      </c:pt>
                      <c:pt idx="9">
                        <c:v>3.4</c:v>
                      </c:pt>
                      <c:pt idx="10">
                        <c:v>3.4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AA2B-4923-A05D-00F3E5BE565C}"/>
                  </c:ext>
                </c:extLst>
              </c15:ser>
            </c15:filteredLineSeries>
          </c:ext>
        </c:extLst>
      </c:lineChart>
      <c:catAx>
        <c:axId val="18004655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489983"/>
        <c:crosses val="autoZero"/>
        <c:auto val="1"/>
        <c:lblAlgn val="ctr"/>
        <c:lblOffset val="100"/>
        <c:noMultiLvlLbl val="0"/>
      </c:catAx>
      <c:valAx>
        <c:axId val="1800489983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Kg</a:t>
                </a:r>
                <a:r>
                  <a:rPr lang="es-CO" baseline="0"/>
                  <a:t> dia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465503"/>
        <c:crosses val="autoZero"/>
        <c:crossBetween val="between"/>
        <c:majorUnit val="1000"/>
      </c:valAx>
      <c:valAx>
        <c:axId val="1071532975"/>
        <c:scaling>
          <c:orientation val="minMax"/>
          <c:min val="15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$/kg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71537295"/>
        <c:crosses val="max"/>
        <c:crossBetween val="between"/>
      </c:valAx>
      <c:catAx>
        <c:axId val="10715372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715329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Indicador $/m3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1238764489821601E-2"/>
          <c:y val="0.13482977757320541"/>
          <c:w val="0.86356390491335944"/>
          <c:h val="0.6710794715969995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MAYO!$G$1</c:f>
              <c:strCache>
                <c:ptCount val="1"/>
                <c:pt idx="0">
                  <c:v>VOLUMEN TRATADO (m3)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MAYO!$B$2:$B$12</c:f>
              <c:numCache>
                <c:formatCode>General</c:formatCode>
                <c:ptCount val="11"/>
                <c:pt idx="0">
                  <c:v>8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16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</c:numCache>
            </c:numRef>
          </c:cat>
          <c:val>
            <c:numRef>
              <c:f>MAYO!$G$2:$G$12</c:f>
              <c:numCache>
                <c:formatCode>General</c:formatCode>
                <c:ptCount val="11"/>
                <c:pt idx="0">
                  <c:v>7840</c:v>
                </c:pt>
                <c:pt idx="1">
                  <c:v>4320</c:v>
                </c:pt>
                <c:pt idx="2">
                  <c:v>1520</c:v>
                </c:pt>
                <c:pt idx="3">
                  <c:v>1520</c:v>
                </c:pt>
                <c:pt idx="4">
                  <c:v>2240</c:v>
                </c:pt>
                <c:pt idx="5">
                  <c:v>2800</c:v>
                </c:pt>
                <c:pt idx="6">
                  <c:v>1760</c:v>
                </c:pt>
                <c:pt idx="7">
                  <c:v>1520</c:v>
                </c:pt>
                <c:pt idx="8">
                  <c:v>3920</c:v>
                </c:pt>
                <c:pt idx="9">
                  <c:v>1440</c:v>
                </c:pt>
                <c:pt idx="10">
                  <c:v>1440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6D-4008-ACF4-3C9CF4AC1E8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800465503"/>
        <c:axId val="1800489983"/>
      </c:barChart>
      <c:lineChart>
        <c:grouping val="standard"/>
        <c:varyColors val="0"/>
        <c:ser>
          <c:idx val="2"/>
          <c:order val="1"/>
          <c:tx>
            <c:strRef>
              <c:f>MAYO!$Q$1</c:f>
              <c:strCache>
                <c:ptCount val="1"/>
                <c:pt idx="0">
                  <c:v>$/ M3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1.9650217976537331E-2"/>
                  <c:y val="-5.91207151382393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66D-4008-ACF4-3C9CF4AC1E83}"/>
                </c:ext>
              </c:extLst>
            </c:dLbl>
            <c:spPr>
              <a:solidFill>
                <a:schemeClr val="bg1">
                  <a:alpha val="69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  <a:alpha val="97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mc:AlternateContent xmlns:mc="http://schemas.openxmlformats.org/markup-compatibility/2006">
              <mc:Choice xmlns:c16ac="http://schemas.microsoft.com/office/drawing/2014/chart/ac" Requires="c16ac">
                <c16ac:multiLvlStrLit>
                  <c:ptCount val="0"/>
                </c16ac:multiLvlStrLit>
              </mc:Choice>
              <mc:Fallback>
                <c:strLit/>
              </mc:Fallback>
            </mc:AlternateContent>
          </c:cat>
          <c:val>
            <c:numRef>
              <c:f>MAYO!$Q$2:$Q$12</c:f>
              <c:numCache>
                <c:formatCode>_-"$"\ * #,##0_-;\-"$"\ * #,##0_-;_-"$"\ * "-"??_-;_-@_-</c:formatCode>
                <c:ptCount val="11"/>
                <c:pt idx="0">
                  <c:v>139.9591836734694</c:v>
                </c:pt>
                <c:pt idx="1">
                  <c:v>238.44444444444446</c:v>
                </c:pt>
                <c:pt idx="2">
                  <c:v>749.0526315789474</c:v>
                </c:pt>
                <c:pt idx="3">
                  <c:v>728.21052631578948</c:v>
                </c:pt>
                <c:pt idx="4">
                  <c:v>484.71428571428572</c:v>
                </c:pt>
                <c:pt idx="5">
                  <c:v>369.6</c:v>
                </c:pt>
                <c:pt idx="6">
                  <c:v>607.63636363636363</c:v>
                </c:pt>
                <c:pt idx="7">
                  <c:v>679.57894736842104</c:v>
                </c:pt>
                <c:pt idx="8">
                  <c:v>263.0204081632653</c:v>
                </c:pt>
                <c:pt idx="9">
                  <c:v>772.66666666666663</c:v>
                </c:pt>
                <c:pt idx="10">
                  <c:v>672.66666666666663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6D-4008-ACF4-3C9CF4AC1E83}"/>
            </c:ext>
          </c:extLst>
        </c:ser>
        <c:ser>
          <c:idx val="3"/>
          <c:order val="2"/>
          <c:tx>
            <c:strRef>
              <c:f>MAYO!$R$1</c:f>
              <c:strCache>
                <c:ptCount val="1"/>
                <c:pt idx="0">
                  <c:v>PROYECIÓN $/m3 2026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mc:AlternateContent xmlns:mc="http://schemas.openxmlformats.org/markup-compatibility/2006">
              <mc:Choice xmlns:c16ac="http://schemas.microsoft.com/office/drawing/2014/chart/ac" Requires="c16ac">
                <c16ac:multiLvlStrLit>
                  <c:ptCount val="0"/>
                </c16ac:multiLvlStrLit>
              </mc:Choice>
              <mc:Fallback>
                <c:strLit/>
              </mc:Fallback>
            </mc:AlternateContent>
          </c:cat>
          <c:val>
            <c:numRef>
              <c:f>MAYO!$R$2:$R$12</c:f>
              <c:numCache>
                <c:formatCode>_-"$"\ * #,##0_-;\-"$"\ * #,##0_-;_-"$"\ * "-"??_-;_-@_-</c:formatCode>
                <c:ptCount val="11"/>
                <c:pt idx="0">
                  <c:v>726</c:v>
                </c:pt>
                <c:pt idx="1">
                  <c:v>726</c:v>
                </c:pt>
                <c:pt idx="2">
                  <c:v>726</c:v>
                </c:pt>
                <c:pt idx="3">
                  <c:v>726</c:v>
                </c:pt>
                <c:pt idx="4">
                  <c:v>726</c:v>
                </c:pt>
                <c:pt idx="5">
                  <c:v>726</c:v>
                </c:pt>
                <c:pt idx="6">
                  <c:v>726</c:v>
                </c:pt>
                <c:pt idx="7">
                  <c:v>726</c:v>
                </c:pt>
                <c:pt idx="8">
                  <c:v>726</c:v>
                </c:pt>
                <c:pt idx="9">
                  <c:v>726</c:v>
                </c:pt>
                <c:pt idx="10">
                  <c:v>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6D-4008-ACF4-3C9CF4AC1E8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71537295"/>
        <c:axId val="1071532975"/>
      </c:lineChart>
      <c:catAx>
        <c:axId val="18004655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489983"/>
        <c:crosses val="autoZero"/>
        <c:auto val="1"/>
        <c:lblAlgn val="ctr"/>
        <c:lblOffset val="100"/>
        <c:noMultiLvlLbl val="0"/>
      </c:catAx>
      <c:valAx>
        <c:axId val="1800489983"/>
        <c:scaling>
          <c:orientation val="minMax"/>
          <c:max val="6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0465503"/>
        <c:crosses val="autoZero"/>
        <c:crossBetween val="between"/>
      </c:valAx>
      <c:valAx>
        <c:axId val="1071532975"/>
        <c:scaling>
          <c:orientation val="minMax"/>
          <c:max val="4000"/>
          <c:min val="15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$/m3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&quot;$&quot;\ * #,##0_-;\-&quot;$&quot;\ * #,##0_-;_-&quot;$&quot;\ 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71537295"/>
        <c:crosses val="max"/>
        <c:crossBetween val="between"/>
      </c:valAx>
      <c:catAx>
        <c:axId val="10715372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715329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INDICADOR</a:t>
            </a:r>
            <a:r>
              <a:rPr lang="es-CO" baseline="0"/>
              <a:t> DE $ DE DISPOSICIÓN DE LODO / M3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Hoja1!$F$78</c:f>
              <c:strCache>
                <c:ptCount val="1"/>
                <c:pt idx="0">
                  <c:v>KG GENERADOS</c:v>
                </c:pt>
              </c:strCache>
            </c:strRef>
          </c:tx>
          <c:spPr>
            <a:solidFill>
              <a:srgbClr val="7BC4D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Hoja1!$D$79:$D$90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Hoja1!$F$79:$F$90</c:f>
              <c:numCache>
                <c:formatCode>General</c:formatCode>
                <c:ptCount val="12"/>
                <c:pt idx="0">
                  <c:v>101860</c:v>
                </c:pt>
                <c:pt idx="1">
                  <c:v>81070</c:v>
                </c:pt>
                <c:pt idx="2">
                  <c:v>123280</c:v>
                </c:pt>
                <c:pt idx="3">
                  <c:v>123410</c:v>
                </c:pt>
                <c:pt idx="4">
                  <c:v>153400</c:v>
                </c:pt>
                <c:pt idx="5">
                  <c:v>139760</c:v>
                </c:pt>
                <c:pt idx="6">
                  <c:v>146650</c:v>
                </c:pt>
                <c:pt idx="7">
                  <c:v>118720</c:v>
                </c:pt>
                <c:pt idx="8">
                  <c:v>115670</c:v>
                </c:pt>
                <c:pt idx="9">
                  <c:v>142490</c:v>
                </c:pt>
                <c:pt idx="10">
                  <c:v>138007</c:v>
                </c:pt>
                <c:pt idx="11">
                  <c:v>161306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F2-4436-ABF8-9B8E730BD16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754518383"/>
        <c:axId val="1754522703"/>
      </c:barChart>
      <c:lineChart>
        <c:grouping val="standard"/>
        <c:varyColors val="0"/>
        <c:ser>
          <c:idx val="1"/>
          <c:order val="1"/>
          <c:tx>
            <c:strRef>
              <c:f>Hoja1!$J$78</c:f>
              <c:strCache>
                <c:ptCount val="1"/>
                <c:pt idx="0">
                  <c:v>INDICADOR $/Kg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Hoja1!$D$79:$D$90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Hoja1!$L$79:$L$90</c:f>
              <c:numCache>
                <c:formatCode>0</c:formatCode>
                <c:ptCount val="12"/>
                <c:pt idx="0">
                  <c:v>574.25235075442822</c:v>
                </c:pt>
                <c:pt idx="1">
                  <c:v>503.52970451010884</c:v>
                </c:pt>
                <c:pt idx="2">
                  <c:v>565.12191602943301</c:v>
                </c:pt>
                <c:pt idx="3">
                  <c:v>695.41044885330211</c:v>
                </c:pt>
                <c:pt idx="4">
                  <c:v>692.34303215926491</c:v>
                </c:pt>
                <c:pt idx="5">
                  <c:v>803.88845040778745</c:v>
                </c:pt>
                <c:pt idx="6">
                  <c:v>701.72497420020636</c:v>
                </c:pt>
                <c:pt idx="7">
                  <c:v>675.88379965922343</c:v>
                </c:pt>
                <c:pt idx="8">
                  <c:v>830.99485052608134</c:v>
                </c:pt>
                <c:pt idx="9">
                  <c:v>820.65266558966073</c:v>
                </c:pt>
                <c:pt idx="10">
                  <c:v>903.61075359355266</c:v>
                </c:pt>
                <c:pt idx="11">
                  <c:v>1053.1463792318202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F2-4436-ABF8-9B8E730BD16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58424176"/>
        <c:axId val="918120847"/>
      </c:lineChart>
      <c:catAx>
        <c:axId val="1754518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54522703"/>
        <c:crosses val="autoZero"/>
        <c:auto val="1"/>
        <c:lblAlgn val="ctr"/>
        <c:lblOffset val="100"/>
        <c:noMultiLvlLbl val="0"/>
      </c:catAx>
      <c:valAx>
        <c:axId val="175452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Kg Generados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54518383"/>
        <c:crosses val="autoZero"/>
        <c:crossBetween val="between"/>
      </c:valAx>
      <c:valAx>
        <c:axId val="918120847"/>
        <c:scaling>
          <c:orientation val="minMax"/>
          <c:max val="30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Indicador $/m3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58424176"/>
        <c:crosses val="max"/>
        <c:crossBetween val="between"/>
      </c:valAx>
      <c:catAx>
        <c:axId val="4584241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181208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INDICADOR</a:t>
            </a:r>
            <a:r>
              <a:rPr lang="es-CO" baseline="0"/>
              <a:t> DE GENERACIÓN DE LODO / M3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Hoja1!$F$78</c:f>
              <c:strCache>
                <c:ptCount val="1"/>
                <c:pt idx="0">
                  <c:v>KG GENERADOS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Hoja1!$D$79:$D$90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Hoja1!$F$79:$F$90</c:f>
              <c:numCache>
                <c:formatCode>General</c:formatCode>
                <c:ptCount val="12"/>
                <c:pt idx="0">
                  <c:v>101860</c:v>
                </c:pt>
                <c:pt idx="1">
                  <c:v>81070</c:v>
                </c:pt>
                <c:pt idx="2">
                  <c:v>123280</c:v>
                </c:pt>
                <c:pt idx="3">
                  <c:v>123410</c:v>
                </c:pt>
                <c:pt idx="4">
                  <c:v>153400</c:v>
                </c:pt>
                <c:pt idx="5">
                  <c:v>139760</c:v>
                </c:pt>
                <c:pt idx="6">
                  <c:v>146650</c:v>
                </c:pt>
                <c:pt idx="7">
                  <c:v>118720</c:v>
                </c:pt>
                <c:pt idx="8">
                  <c:v>115670</c:v>
                </c:pt>
                <c:pt idx="9">
                  <c:v>142490</c:v>
                </c:pt>
                <c:pt idx="10">
                  <c:v>138007</c:v>
                </c:pt>
                <c:pt idx="11">
                  <c:v>161306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45-493E-A120-44F0024F6FC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754518383"/>
        <c:axId val="1754522703"/>
      </c:barChart>
      <c:lineChart>
        <c:grouping val="standard"/>
        <c:varyColors val="0"/>
        <c:ser>
          <c:idx val="1"/>
          <c:order val="1"/>
          <c:tx>
            <c:strRef>
              <c:f>Hoja1!$J$78</c:f>
              <c:strCache>
                <c:ptCount val="1"/>
                <c:pt idx="0">
                  <c:v>INDICADOR $/Kg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-2.348068490261308E-2"/>
                  <c:y val="-2.15758233894837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C45-493E-A120-44F0024F6F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Hoja1!$D$79:$D$90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Hoja1!$K$79:$K$90</c:f>
              <c:numCache>
                <c:formatCode>_-* #,##0.0_-;\-* #,##0.0_-;_-* "-"??_-;_-@_-</c:formatCode>
                <c:ptCount val="12"/>
                <c:pt idx="0">
                  <c:v>2.2274218237480867</c:v>
                </c:pt>
                <c:pt idx="1">
                  <c:v>1.681078278900985</c:v>
                </c:pt>
                <c:pt idx="2">
                  <c:v>2.2233443947482328</c:v>
                </c:pt>
                <c:pt idx="3">
                  <c:v>2.5800179792193676</c:v>
                </c:pt>
                <c:pt idx="4">
                  <c:v>2.7966163494494274</c:v>
                </c:pt>
                <c:pt idx="5">
                  <c:v>3.0641059370341139</c:v>
                </c:pt>
                <c:pt idx="6">
                  <c:v>2.702528379772962</c:v>
                </c:pt>
                <c:pt idx="7">
                  <c:v>2.6616446955430004</c:v>
                </c:pt>
                <c:pt idx="8">
                  <c:v>3.2196737738685073</c:v>
                </c:pt>
                <c:pt idx="9">
                  <c:v>3.8365643511039309</c:v>
                </c:pt>
                <c:pt idx="10">
                  <c:v>4.1500872075539785</c:v>
                </c:pt>
                <c:pt idx="11">
                  <c:v>4.8977076058903899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45-493E-A120-44F0024F6FC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58424176"/>
        <c:axId val="918120847"/>
      </c:lineChart>
      <c:catAx>
        <c:axId val="1754518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54522703"/>
        <c:crosses val="autoZero"/>
        <c:auto val="1"/>
        <c:lblAlgn val="ctr"/>
        <c:lblOffset val="100"/>
        <c:noMultiLvlLbl val="0"/>
      </c:catAx>
      <c:valAx>
        <c:axId val="175452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Kg Generados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54518383"/>
        <c:crosses val="autoZero"/>
        <c:crossBetween val="between"/>
      </c:valAx>
      <c:valAx>
        <c:axId val="918120847"/>
        <c:scaling>
          <c:orientation val="minMax"/>
          <c:max val="1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Indicador Kg/m3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* #,##0.0_-;\-* #,##0.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58424176"/>
        <c:crosses val="max"/>
        <c:crossBetween val="between"/>
      </c:valAx>
      <c:catAx>
        <c:axId val="4584241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181208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2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chart" Target="../charts/chart28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3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png"/><Relationship Id="rId14" Type="http://schemas.openxmlformats.org/officeDocument/2006/relationships/chart" Target="../charts/chart29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5.emf"/><Relationship Id="rId1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10583</xdr:colOff>
      <xdr:row>57</xdr:row>
      <xdr:rowOff>10583</xdr:rowOff>
    </xdr:from>
    <xdr:to>
      <xdr:col>22</xdr:col>
      <xdr:colOff>730250</xdr:colOff>
      <xdr:row>79</xdr:row>
      <xdr:rowOff>166159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1AF8874-B34A-C232-3AFA-6379E5F12D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15</xdr:row>
      <xdr:rowOff>171450</xdr:rowOff>
    </xdr:from>
    <xdr:to>
      <xdr:col>6</xdr:col>
      <xdr:colOff>525780</xdr:colOff>
      <xdr:row>32</xdr:row>
      <xdr:rowOff>22860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4598FF3-30D4-F626-77DA-D5565FF99A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647700</xdr:colOff>
      <xdr:row>15</xdr:row>
      <xdr:rowOff>175260</xdr:rowOff>
    </xdr:from>
    <xdr:to>
      <xdr:col>11</xdr:col>
      <xdr:colOff>381000</xdr:colOff>
      <xdr:row>32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2704F86-6D5E-4185-82FC-426A26E9E1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7</xdr:col>
      <xdr:colOff>415290</xdr:colOff>
      <xdr:row>48</xdr:row>
      <xdr:rowOff>148590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DEF7DC0-BA09-478B-A023-4B68C84C25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49</xdr:row>
      <xdr:rowOff>165100</xdr:rowOff>
    </xdr:from>
    <xdr:to>
      <xdr:col>7</xdr:col>
      <xdr:colOff>419100</xdr:colOff>
      <xdr:row>65</xdr:row>
      <xdr:rowOff>129540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FAE1AC3-E40F-4FDC-AD7A-722067BD38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0.08197</cdr:x>
      <cdr:y>0.33136</cdr:y>
    </cdr:from>
    <cdr:to>
      <cdr:x>0.15261</cdr:x>
      <cdr:y>0.44466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10240D17-EC2F-7CC6-1D43-480F525E1D1D}"/>
            </a:ext>
          </a:extLst>
        </cdr:cNvPr>
        <cdr:cNvSpPr txBox="1"/>
      </cdr:nvSpPr>
      <cdr:spPr>
        <a:xfrm xmlns:a="http://schemas.openxmlformats.org/drawingml/2006/main">
          <a:off x="592455" y="958215"/>
          <a:ext cx="510540" cy="327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CO" sz="1100" b="1">
              <a:solidFill>
                <a:srgbClr val="FF0000"/>
              </a:solidFill>
            </a:rPr>
            <a:t>2,8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0.0843</cdr:x>
      <cdr:y>0.36891</cdr:y>
    </cdr:from>
    <cdr:to>
      <cdr:x>0.16228</cdr:x>
      <cdr:y>0.46377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5EB745DE-458E-B8C2-762F-396F97D3EDE2}"/>
            </a:ext>
          </a:extLst>
        </cdr:cNvPr>
        <cdr:cNvSpPr txBox="1"/>
      </cdr:nvSpPr>
      <cdr:spPr>
        <a:xfrm xmlns:a="http://schemas.openxmlformats.org/drawingml/2006/main">
          <a:off x="609600" y="1066800"/>
          <a:ext cx="563880" cy="2743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CO" sz="1100" b="1">
              <a:solidFill>
                <a:srgbClr val="FF0000"/>
              </a:solidFill>
            </a:rPr>
            <a:t>$283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314324</xdr:colOff>
      <xdr:row>0</xdr:row>
      <xdr:rowOff>62865</xdr:rowOff>
    </xdr:from>
    <xdr:to>
      <xdr:col>26</xdr:col>
      <xdr:colOff>723899</xdr:colOff>
      <xdr:row>16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4384572-902F-40BE-A05E-269538BEDB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327660</xdr:colOff>
      <xdr:row>17</xdr:row>
      <xdr:rowOff>7620</xdr:rowOff>
    </xdr:from>
    <xdr:to>
      <xdr:col>26</xdr:col>
      <xdr:colOff>746760</xdr:colOff>
      <xdr:row>32</xdr:row>
      <xdr:rowOff>156210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5DD3053-067F-431E-981B-21B5DC390B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342898</xdr:colOff>
      <xdr:row>34</xdr:row>
      <xdr:rowOff>112395</xdr:rowOff>
    </xdr:from>
    <xdr:to>
      <xdr:col>26</xdr:col>
      <xdr:colOff>769619</xdr:colOff>
      <xdr:row>50</xdr:row>
      <xdr:rowOff>81915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C17F09C-A0E7-420D-88C2-F591943BD1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0.08197</cdr:x>
      <cdr:y>0.33136</cdr:y>
    </cdr:from>
    <cdr:to>
      <cdr:x>0.15261</cdr:x>
      <cdr:y>0.44466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10240D17-EC2F-7CC6-1D43-480F525E1D1D}"/>
            </a:ext>
          </a:extLst>
        </cdr:cNvPr>
        <cdr:cNvSpPr txBox="1"/>
      </cdr:nvSpPr>
      <cdr:spPr>
        <a:xfrm xmlns:a="http://schemas.openxmlformats.org/drawingml/2006/main">
          <a:off x="592455" y="958215"/>
          <a:ext cx="510540" cy="327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CO" sz="1100" b="1">
              <a:solidFill>
                <a:srgbClr val="FF0000"/>
              </a:solidFill>
            </a:rPr>
            <a:t>2,8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0.0843</cdr:x>
      <cdr:y>0.36891</cdr:y>
    </cdr:from>
    <cdr:to>
      <cdr:x>0.16228</cdr:x>
      <cdr:y>0.46377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5EB745DE-458E-B8C2-762F-396F97D3EDE2}"/>
            </a:ext>
          </a:extLst>
        </cdr:cNvPr>
        <cdr:cNvSpPr txBox="1"/>
      </cdr:nvSpPr>
      <cdr:spPr>
        <a:xfrm xmlns:a="http://schemas.openxmlformats.org/drawingml/2006/main">
          <a:off x="609600" y="1066800"/>
          <a:ext cx="563880" cy="2743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CO" sz="1100" b="1">
              <a:solidFill>
                <a:srgbClr val="FF0000"/>
              </a:solidFill>
            </a:rPr>
            <a:t>$283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314323</xdr:colOff>
      <xdr:row>0</xdr:row>
      <xdr:rowOff>62865</xdr:rowOff>
    </xdr:from>
    <xdr:to>
      <xdr:col>29</xdr:col>
      <xdr:colOff>362323</xdr:colOff>
      <xdr:row>15</xdr:row>
      <xdr:rowOff>85365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C88B8C3-5843-4C38-A3FB-66868ABCA8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356235</xdr:colOff>
      <xdr:row>17</xdr:row>
      <xdr:rowOff>121920</xdr:rowOff>
    </xdr:from>
    <xdr:to>
      <xdr:col>32</xdr:col>
      <xdr:colOff>278235</xdr:colOff>
      <xdr:row>35</xdr:row>
      <xdr:rowOff>80010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B6D5532-FE4E-4219-88C2-ABEA5D6E08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342898</xdr:colOff>
      <xdr:row>36</xdr:row>
      <xdr:rowOff>112395</xdr:rowOff>
    </xdr:from>
    <xdr:to>
      <xdr:col>26</xdr:col>
      <xdr:colOff>769619</xdr:colOff>
      <xdr:row>52</xdr:row>
      <xdr:rowOff>81915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BB3D71C-12F1-4C31-B19F-FA084454E5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0.04688</cdr:x>
      <cdr:y>0.68218</cdr:y>
    </cdr:from>
    <cdr:to>
      <cdr:x>0.11752</cdr:x>
      <cdr:y>0.79548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10240D17-EC2F-7CC6-1D43-480F525E1D1D}"/>
            </a:ext>
          </a:extLst>
        </cdr:cNvPr>
        <cdr:cNvSpPr txBox="1"/>
      </cdr:nvSpPr>
      <cdr:spPr>
        <a:xfrm xmlns:a="http://schemas.openxmlformats.org/drawingml/2006/main">
          <a:off x="483629" y="2055906"/>
          <a:ext cx="728692" cy="3414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CO" sz="1100" b="1">
              <a:solidFill>
                <a:srgbClr val="FF0000"/>
              </a:solidFill>
            </a:rPr>
            <a:t>2,8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0.0391</cdr:x>
      <cdr:y>0.6771</cdr:y>
    </cdr:from>
    <cdr:to>
      <cdr:x>0.11707</cdr:x>
      <cdr:y>0.77196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5EB745DE-458E-B8C2-762F-396F97D3EDE2}"/>
            </a:ext>
          </a:extLst>
        </cdr:cNvPr>
        <cdr:cNvSpPr txBox="1"/>
      </cdr:nvSpPr>
      <cdr:spPr>
        <a:xfrm xmlns:a="http://schemas.openxmlformats.org/drawingml/2006/main">
          <a:off x="403660" y="2293397"/>
          <a:ext cx="805151" cy="3213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CO" sz="1100" b="1">
              <a:solidFill>
                <a:srgbClr val="FF0000"/>
              </a:solidFill>
            </a:rPr>
            <a:t>$283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6059</xdr:colOff>
      <xdr:row>0</xdr:row>
      <xdr:rowOff>155517</xdr:rowOff>
    </xdr:from>
    <xdr:to>
      <xdr:col>26</xdr:col>
      <xdr:colOff>432954</xdr:colOff>
      <xdr:row>18</xdr:row>
      <xdr:rowOff>103909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81EE88D-DE16-4523-ACA1-3CF70668F4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34636</xdr:colOff>
      <xdr:row>20</xdr:row>
      <xdr:rowOff>17318</xdr:rowOff>
    </xdr:from>
    <xdr:to>
      <xdr:col>26</xdr:col>
      <xdr:colOff>513120</xdr:colOff>
      <xdr:row>37</xdr:row>
      <xdr:rowOff>132727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162582D-27D0-4FC8-AF2A-E65A4BDB00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83125</xdr:colOff>
      <xdr:row>38</xdr:row>
      <xdr:rowOff>129712</xdr:rowOff>
    </xdr:from>
    <xdr:to>
      <xdr:col>26</xdr:col>
      <xdr:colOff>500321</xdr:colOff>
      <xdr:row>54</xdr:row>
      <xdr:rowOff>99232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6A29B37-C779-4678-8E32-D1925CE14A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0.08197</cdr:x>
      <cdr:y>0.33136</cdr:y>
    </cdr:from>
    <cdr:to>
      <cdr:x>0.15261</cdr:x>
      <cdr:y>0.44466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10240D17-EC2F-7CC6-1D43-480F525E1D1D}"/>
            </a:ext>
          </a:extLst>
        </cdr:cNvPr>
        <cdr:cNvSpPr txBox="1"/>
      </cdr:nvSpPr>
      <cdr:spPr>
        <a:xfrm xmlns:a="http://schemas.openxmlformats.org/drawingml/2006/main">
          <a:off x="592455" y="958215"/>
          <a:ext cx="510540" cy="327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CO" sz="1100" b="1">
              <a:solidFill>
                <a:srgbClr val="FF0000"/>
              </a:solidFill>
            </a:rPr>
            <a:t>2,8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0.03485</cdr:x>
      <cdr:y>0.43559</cdr:y>
    </cdr:from>
    <cdr:to>
      <cdr:x>0.11283</cdr:x>
      <cdr:y>0.53045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5EB745DE-458E-B8C2-762F-396F97D3EDE2}"/>
            </a:ext>
          </a:extLst>
        </cdr:cNvPr>
        <cdr:cNvSpPr txBox="1"/>
      </cdr:nvSpPr>
      <cdr:spPr>
        <a:xfrm xmlns:a="http://schemas.openxmlformats.org/drawingml/2006/main">
          <a:off x="361890" y="1460922"/>
          <a:ext cx="809782" cy="3181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CO" sz="1100" b="1">
              <a:solidFill>
                <a:srgbClr val="FF0000"/>
              </a:solidFill>
            </a:rPr>
            <a:t>$283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6059</xdr:colOff>
      <xdr:row>0</xdr:row>
      <xdr:rowOff>155517</xdr:rowOff>
    </xdr:from>
    <xdr:to>
      <xdr:col>26</xdr:col>
      <xdr:colOff>432954</xdr:colOff>
      <xdr:row>20</xdr:row>
      <xdr:rowOff>103909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522136F-512C-4BE7-BA19-578C97BE35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34636</xdr:colOff>
      <xdr:row>22</xdr:row>
      <xdr:rowOff>17318</xdr:rowOff>
    </xdr:from>
    <xdr:to>
      <xdr:col>26</xdr:col>
      <xdr:colOff>513120</xdr:colOff>
      <xdr:row>39</xdr:row>
      <xdr:rowOff>132727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48A2B9E-096E-45EC-972E-CBFD0713E1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83125</xdr:colOff>
      <xdr:row>40</xdr:row>
      <xdr:rowOff>129712</xdr:rowOff>
    </xdr:from>
    <xdr:to>
      <xdr:col>26</xdr:col>
      <xdr:colOff>500321</xdr:colOff>
      <xdr:row>56</xdr:row>
      <xdr:rowOff>99232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5219C05-EA40-4AA1-BF5C-B3A2E1AC5C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0.08197</cdr:x>
      <cdr:y>0.33136</cdr:y>
    </cdr:from>
    <cdr:to>
      <cdr:x>0.15261</cdr:x>
      <cdr:y>0.44466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10240D17-EC2F-7CC6-1D43-480F525E1D1D}"/>
            </a:ext>
          </a:extLst>
        </cdr:cNvPr>
        <cdr:cNvSpPr txBox="1"/>
      </cdr:nvSpPr>
      <cdr:spPr>
        <a:xfrm xmlns:a="http://schemas.openxmlformats.org/drawingml/2006/main">
          <a:off x="592455" y="958215"/>
          <a:ext cx="510540" cy="327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CO" sz="1100" b="1">
              <a:solidFill>
                <a:srgbClr val="FF0000"/>
              </a:solidFill>
            </a:rPr>
            <a:t>2,8</a:t>
          </a: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0.0843</cdr:x>
      <cdr:y>0.36891</cdr:y>
    </cdr:from>
    <cdr:to>
      <cdr:x>0.16228</cdr:x>
      <cdr:y>0.46377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5EB745DE-458E-B8C2-762F-396F97D3EDE2}"/>
            </a:ext>
          </a:extLst>
        </cdr:cNvPr>
        <cdr:cNvSpPr txBox="1"/>
      </cdr:nvSpPr>
      <cdr:spPr>
        <a:xfrm xmlns:a="http://schemas.openxmlformats.org/drawingml/2006/main">
          <a:off x="609600" y="1066800"/>
          <a:ext cx="563880" cy="2743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CO" sz="1100" b="1">
              <a:solidFill>
                <a:srgbClr val="FF0000"/>
              </a:solidFill>
            </a:rPr>
            <a:t>$283</a:t>
          </a:r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464667</xdr:colOff>
      <xdr:row>58</xdr:row>
      <xdr:rowOff>97878</xdr:rowOff>
    </xdr:from>
    <xdr:to>
      <xdr:col>16</xdr:col>
      <xdr:colOff>162541</xdr:colOff>
      <xdr:row>82</xdr:row>
      <xdr:rowOff>46951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7EF4171-197A-4D4F-96AB-7C65EE14BC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233420</xdr:colOff>
      <xdr:row>35</xdr:row>
      <xdr:rowOff>426246</xdr:rowOff>
    </xdr:from>
    <xdr:to>
      <xdr:col>17</xdr:col>
      <xdr:colOff>283239</xdr:colOff>
      <xdr:row>57</xdr:row>
      <xdr:rowOff>172527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FADB61D-1D19-4B11-9A74-9FB2BFEAD9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336430</xdr:colOff>
      <xdr:row>66</xdr:row>
      <xdr:rowOff>43132</xdr:rowOff>
    </xdr:from>
    <xdr:to>
      <xdr:col>6</xdr:col>
      <xdr:colOff>181491</xdr:colOff>
      <xdr:row>67</xdr:row>
      <xdr:rowOff>173400</xdr:rowOff>
    </xdr:to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C436EC07-87BE-46D4-B222-EE7051C3A886}"/>
            </a:ext>
          </a:extLst>
        </xdr:cNvPr>
        <xdr:cNvSpPr txBox="1"/>
      </xdr:nvSpPr>
      <xdr:spPr>
        <a:xfrm>
          <a:off x="5374256" y="12723962"/>
          <a:ext cx="897484" cy="311423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s-CO" sz="1100" b="1">
              <a:solidFill>
                <a:schemeClr val="accent6">
                  <a:lumMod val="75000"/>
                </a:schemeClr>
              </a:solidFill>
            </a:rPr>
            <a:t>$267</a:t>
          </a:r>
        </a:p>
      </xdr:txBody>
    </xdr:sp>
    <xdr:clientData/>
  </xdr:twoCellAnchor>
  <xdr:oneCellAnchor>
    <xdr:from>
      <xdr:col>13</xdr:col>
      <xdr:colOff>294312</xdr:colOff>
      <xdr:row>35</xdr:row>
      <xdr:rowOff>233422</xdr:rowOff>
    </xdr:from>
    <xdr:ext cx="1698222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5B6B0273-9C31-C392-94F7-97A9A2EB1CD5}"/>
            </a:ext>
          </a:extLst>
        </xdr:cNvPr>
        <xdr:cNvSpPr txBox="1"/>
      </xdr:nvSpPr>
      <xdr:spPr>
        <a:xfrm>
          <a:off x="12361145" y="6992471"/>
          <a:ext cx="16982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1100" u="sng">
              <a:solidFill>
                <a:srgbClr val="FF0000"/>
              </a:solidFill>
            </a:rPr>
            <a:t>Se</a:t>
          </a:r>
          <a:r>
            <a:rPr lang="es-CO" sz="1100" u="sng" baseline="0">
              <a:solidFill>
                <a:srgbClr val="FF0000"/>
              </a:solidFill>
            </a:rPr>
            <a:t> realiza purga MBR 1 y 2</a:t>
          </a:r>
          <a:endParaRPr lang="es-CO" sz="1100" u="sng">
            <a:solidFill>
              <a:srgbClr val="FF0000"/>
            </a:solidFill>
          </a:endParaRPr>
        </a:p>
      </xdr:txBody>
    </xdr:sp>
    <xdr:clientData/>
  </xdr:oneCell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0.03828</cdr:x>
      <cdr:y>0.63841</cdr:y>
    </cdr:from>
    <cdr:to>
      <cdr:x>0.11626</cdr:x>
      <cdr:y>0.73327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5EB745DE-458E-B8C2-762F-396F97D3EDE2}"/>
            </a:ext>
          </a:extLst>
        </cdr:cNvPr>
        <cdr:cNvSpPr txBox="1"/>
      </cdr:nvSpPr>
      <cdr:spPr>
        <a:xfrm xmlns:a="http://schemas.openxmlformats.org/drawingml/2006/main">
          <a:off x="469709" y="2215828"/>
          <a:ext cx="956785" cy="3292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CO" sz="1100" b="1">
              <a:solidFill>
                <a:schemeClr val="accent6">
                  <a:lumMod val="75000"/>
                </a:schemeClr>
              </a:solidFill>
            </a:rPr>
            <a:t>$629</a:t>
          </a:r>
        </a:p>
      </cdr:txBody>
    </cdr: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464667</xdr:colOff>
      <xdr:row>56</xdr:row>
      <xdr:rowOff>97878</xdr:rowOff>
    </xdr:from>
    <xdr:to>
      <xdr:col>16</xdr:col>
      <xdr:colOff>162541</xdr:colOff>
      <xdr:row>80</xdr:row>
      <xdr:rowOff>46951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D446713-6259-443A-A1F9-20F5E56DB9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233420</xdr:colOff>
      <xdr:row>33</xdr:row>
      <xdr:rowOff>426246</xdr:rowOff>
    </xdr:from>
    <xdr:to>
      <xdr:col>17</xdr:col>
      <xdr:colOff>283239</xdr:colOff>
      <xdr:row>55</xdr:row>
      <xdr:rowOff>172527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A74EE00-DBE4-4BB7-BCFF-97039485E0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336430</xdr:colOff>
      <xdr:row>64</xdr:row>
      <xdr:rowOff>43132</xdr:rowOff>
    </xdr:from>
    <xdr:to>
      <xdr:col>6</xdr:col>
      <xdr:colOff>181491</xdr:colOff>
      <xdr:row>65</xdr:row>
      <xdr:rowOff>173400</xdr:rowOff>
    </xdr:to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9E89E416-A836-447E-A44E-50114A20FA25}"/>
            </a:ext>
          </a:extLst>
        </xdr:cNvPr>
        <xdr:cNvSpPr txBox="1"/>
      </xdr:nvSpPr>
      <xdr:spPr>
        <a:xfrm>
          <a:off x="4710022" y="12723962"/>
          <a:ext cx="897484" cy="311423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s-CO" sz="1100" b="1">
              <a:solidFill>
                <a:schemeClr val="accent6">
                  <a:lumMod val="75000"/>
                </a:schemeClr>
              </a:solidFill>
            </a:rPr>
            <a:t>$267</a:t>
          </a:r>
        </a:p>
      </xdr:txBody>
    </xdr:sp>
    <xdr:clientData/>
  </xdr:twoCellAnchor>
  <xdr:oneCellAnchor>
    <xdr:from>
      <xdr:col>13</xdr:col>
      <xdr:colOff>294312</xdr:colOff>
      <xdr:row>33</xdr:row>
      <xdr:rowOff>233422</xdr:rowOff>
    </xdr:from>
    <xdr:ext cx="1698222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F30CF253-0E4B-45E4-8529-DDB6BB1CC7AD}"/>
            </a:ext>
          </a:extLst>
        </xdr:cNvPr>
        <xdr:cNvSpPr txBox="1"/>
      </xdr:nvSpPr>
      <xdr:spPr>
        <a:xfrm>
          <a:off x="11698433" y="6936147"/>
          <a:ext cx="16982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1100" u="sng">
              <a:solidFill>
                <a:srgbClr val="FF0000"/>
              </a:solidFill>
            </a:rPr>
            <a:t>Se</a:t>
          </a:r>
          <a:r>
            <a:rPr lang="es-CO" sz="1100" u="sng" baseline="0">
              <a:solidFill>
                <a:srgbClr val="FF0000"/>
              </a:solidFill>
            </a:rPr>
            <a:t> realiza purga MBR 1 y 2</a:t>
          </a:r>
          <a:endParaRPr lang="es-CO" sz="1100" u="sng">
            <a:solidFill>
              <a:srgbClr val="FF0000"/>
            </a:solidFill>
          </a:endParaRPr>
        </a:p>
      </xdr:txBody>
    </xdr:sp>
    <xdr:clientData/>
  </xdr:oneCellAnchor>
</xdr:wsDr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0.03828</cdr:x>
      <cdr:y>0.63841</cdr:y>
    </cdr:from>
    <cdr:to>
      <cdr:x>0.11626</cdr:x>
      <cdr:y>0.73327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5EB745DE-458E-B8C2-762F-396F97D3EDE2}"/>
            </a:ext>
          </a:extLst>
        </cdr:cNvPr>
        <cdr:cNvSpPr txBox="1"/>
      </cdr:nvSpPr>
      <cdr:spPr>
        <a:xfrm xmlns:a="http://schemas.openxmlformats.org/drawingml/2006/main">
          <a:off x="469709" y="2215828"/>
          <a:ext cx="956785" cy="3292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CO" sz="1100" b="1">
              <a:solidFill>
                <a:schemeClr val="accent6">
                  <a:lumMod val="75000"/>
                </a:schemeClr>
              </a:solidFill>
            </a:rPr>
            <a:t>$629</a:t>
          </a:r>
        </a:p>
      </cdr:txBody>
    </cdr:sp>
  </cdr:relSizeAnchor>
</c:userShapes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464667</xdr:colOff>
      <xdr:row>54</xdr:row>
      <xdr:rowOff>97878</xdr:rowOff>
    </xdr:from>
    <xdr:to>
      <xdr:col>16</xdr:col>
      <xdr:colOff>162541</xdr:colOff>
      <xdr:row>78</xdr:row>
      <xdr:rowOff>46951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9A99163-B295-40BE-AEB0-3271172914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233420</xdr:colOff>
      <xdr:row>31</xdr:row>
      <xdr:rowOff>426246</xdr:rowOff>
    </xdr:from>
    <xdr:to>
      <xdr:col>17</xdr:col>
      <xdr:colOff>283239</xdr:colOff>
      <xdr:row>53</xdr:row>
      <xdr:rowOff>172527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0CB0BF9-D289-4EB7-A244-972484939B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336430</xdr:colOff>
      <xdr:row>62</xdr:row>
      <xdr:rowOff>43132</xdr:rowOff>
    </xdr:from>
    <xdr:to>
      <xdr:col>6</xdr:col>
      <xdr:colOff>181491</xdr:colOff>
      <xdr:row>63</xdr:row>
      <xdr:rowOff>173400</xdr:rowOff>
    </xdr:to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4FC50DCA-0506-4B4E-B3C3-85D636A936AD}"/>
            </a:ext>
          </a:extLst>
        </xdr:cNvPr>
        <xdr:cNvSpPr txBox="1"/>
      </xdr:nvSpPr>
      <xdr:spPr>
        <a:xfrm>
          <a:off x="5175849" y="12361653"/>
          <a:ext cx="897484" cy="311422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s-CO" sz="1100" b="1">
              <a:solidFill>
                <a:schemeClr val="accent6">
                  <a:lumMod val="75000"/>
                </a:schemeClr>
              </a:solidFill>
            </a:rPr>
            <a:t>$267</a:t>
          </a:r>
        </a:p>
      </xdr:txBody>
    </xdr:sp>
    <xdr:clientData/>
  </xdr:twoCellAnchor>
  <xdr:oneCellAnchor>
    <xdr:from>
      <xdr:col>13</xdr:col>
      <xdr:colOff>294312</xdr:colOff>
      <xdr:row>31</xdr:row>
      <xdr:rowOff>233422</xdr:rowOff>
    </xdr:from>
    <xdr:ext cx="1698222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4C548976-F4BC-40C6-92C7-4480C80D1CC3}"/>
            </a:ext>
          </a:extLst>
        </xdr:cNvPr>
        <xdr:cNvSpPr txBox="1"/>
      </xdr:nvSpPr>
      <xdr:spPr>
        <a:xfrm>
          <a:off x="12164259" y="6573837"/>
          <a:ext cx="16982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1100" u="sng">
              <a:solidFill>
                <a:srgbClr val="FF0000"/>
              </a:solidFill>
            </a:rPr>
            <a:t>Se</a:t>
          </a:r>
          <a:r>
            <a:rPr lang="es-CO" sz="1100" u="sng" baseline="0">
              <a:solidFill>
                <a:srgbClr val="FF0000"/>
              </a:solidFill>
            </a:rPr>
            <a:t> realiza purga MBR 1 y 2</a:t>
          </a:r>
          <a:endParaRPr lang="es-CO" sz="1100" u="sng">
            <a:solidFill>
              <a:srgbClr val="FF0000"/>
            </a:solidFill>
          </a:endParaRPr>
        </a:p>
      </xdr:txBody>
    </xdr:sp>
    <xdr:clientData/>
  </xdr:oneCell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0.05642</cdr:x>
      <cdr:y>0.66052</cdr:y>
    </cdr:from>
    <cdr:to>
      <cdr:x>0.1344</cdr:x>
      <cdr:y>0.75538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5EB745DE-458E-B8C2-762F-396F97D3EDE2}"/>
            </a:ext>
          </a:extLst>
        </cdr:cNvPr>
        <cdr:cNvSpPr txBox="1"/>
      </cdr:nvSpPr>
      <cdr:spPr>
        <a:xfrm xmlns:a="http://schemas.openxmlformats.org/drawingml/2006/main">
          <a:off x="725994" y="2728310"/>
          <a:ext cx="1003420" cy="3918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CO" sz="1100" b="1">
              <a:solidFill>
                <a:schemeClr val="accent6">
                  <a:lumMod val="75000"/>
                </a:schemeClr>
              </a:solidFill>
            </a:rPr>
            <a:t>$726</a:t>
          </a:r>
        </a:p>
      </cdr:txBody>
    </cdr:sp>
  </cdr:relSizeAnchor>
</c:userShapes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464667</xdr:colOff>
      <xdr:row>54</xdr:row>
      <xdr:rowOff>97878</xdr:rowOff>
    </xdr:from>
    <xdr:to>
      <xdr:col>16</xdr:col>
      <xdr:colOff>162541</xdr:colOff>
      <xdr:row>78</xdr:row>
      <xdr:rowOff>46951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EE04272-69FD-43EF-A38F-7C6168CD6B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233420</xdr:colOff>
      <xdr:row>31</xdr:row>
      <xdr:rowOff>426246</xdr:rowOff>
    </xdr:from>
    <xdr:to>
      <xdr:col>17</xdr:col>
      <xdr:colOff>283239</xdr:colOff>
      <xdr:row>53</xdr:row>
      <xdr:rowOff>172527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52D3735-46C3-4167-A6FE-48D74099CD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336430</xdr:colOff>
      <xdr:row>62</xdr:row>
      <xdr:rowOff>43132</xdr:rowOff>
    </xdr:from>
    <xdr:to>
      <xdr:col>6</xdr:col>
      <xdr:colOff>181491</xdr:colOff>
      <xdr:row>63</xdr:row>
      <xdr:rowOff>173400</xdr:rowOff>
    </xdr:to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C5EDB3EB-15ED-4418-B379-E45B72A959D6}"/>
            </a:ext>
          </a:extLst>
        </xdr:cNvPr>
        <xdr:cNvSpPr txBox="1"/>
      </xdr:nvSpPr>
      <xdr:spPr>
        <a:xfrm>
          <a:off x="5175849" y="11999343"/>
          <a:ext cx="897484" cy="311423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s-CO" sz="1100" b="1">
              <a:solidFill>
                <a:schemeClr val="accent6">
                  <a:lumMod val="75000"/>
                </a:schemeClr>
              </a:solidFill>
            </a:rPr>
            <a:t>$267</a:t>
          </a:r>
        </a:p>
      </xdr:txBody>
    </xdr:sp>
    <xdr:clientData/>
  </xdr:twoCellAnchor>
  <xdr:oneCellAnchor>
    <xdr:from>
      <xdr:col>13</xdr:col>
      <xdr:colOff>294312</xdr:colOff>
      <xdr:row>31</xdr:row>
      <xdr:rowOff>233422</xdr:rowOff>
    </xdr:from>
    <xdr:ext cx="1698222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77DABC23-545B-47CC-9ADF-BBE044190012}"/>
            </a:ext>
          </a:extLst>
        </xdr:cNvPr>
        <xdr:cNvSpPr txBox="1"/>
      </xdr:nvSpPr>
      <xdr:spPr>
        <a:xfrm>
          <a:off x="12164259" y="6211528"/>
          <a:ext cx="16982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1100" u="sng">
              <a:solidFill>
                <a:srgbClr val="FF0000"/>
              </a:solidFill>
            </a:rPr>
            <a:t>Se</a:t>
          </a:r>
          <a:r>
            <a:rPr lang="es-CO" sz="1100" u="sng" baseline="0">
              <a:solidFill>
                <a:srgbClr val="FF0000"/>
              </a:solidFill>
            </a:rPr>
            <a:t> realiza purga MBR 1 y 2</a:t>
          </a:r>
          <a:endParaRPr lang="es-CO" sz="1100" u="sng">
            <a:solidFill>
              <a:srgbClr val="FF0000"/>
            </a:solidFill>
          </a:endParaRPr>
        </a:p>
      </xdr:txBody>
    </xdr:sp>
    <xdr:clientData/>
  </xdr:oneCellAnchor>
</xdr:wsDr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0.05642</cdr:x>
      <cdr:y>0.66052</cdr:y>
    </cdr:from>
    <cdr:to>
      <cdr:x>0.1344</cdr:x>
      <cdr:y>0.75538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5EB745DE-458E-B8C2-762F-396F97D3EDE2}"/>
            </a:ext>
          </a:extLst>
        </cdr:cNvPr>
        <cdr:cNvSpPr txBox="1"/>
      </cdr:nvSpPr>
      <cdr:spPr>
        <a:xfrm xmlns:a="http://schemas.openxmlformats.org/drawingml/2006/main">
          <a:off x="725994" y="2728310"/>
          <a:ext cx="1003420" cy="3918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CO" sz="1100" b="1">
              <a:solidFill>
                <a:schemeClr val="accent6">
                  <a:lumMod val="75000"/>
                </a:schemeClr>
              </a:solidFill>
            </a:rPr>
            <a:t>$726</a:t>
          </a:r>
        </a:p>
      </cdr:txBody>
    </cdr:sp>
  </cdr:relSizeAnchor>
</c:userShapes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464667</xdr:colOff>
      <xdr:row>51</xdr:row>
      <xdr:rowOff>97878</xdr:rowOff>
    </xdr:from>
    <xdr:to>
      <xdr:col>16</xdr:col>
      <xdr:colOff>162541</xdr:colOff>
      <xdr:row>75</xdr:row>
      <xdr:rowOff>46951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CCB31BE-1268-43B4-B05F-796B3B987A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233420</xdr:colOff>
      <xdr:row>28</xdr:row>
      <xdr:rowOff>426246</xdr:rowOff>
    </xdr:from>
    <xdr:to>
      <xdr:col>17</xdr:col>
      <xdr:colOff>283239</xdr:colOff>
      <xdr:row>50</xdr:row>
      <xdr:rowOff>172527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21DD702-9B17-4FF5-8337-59854273A9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336430</xdr:colOff>
      <xdr:row>59</xdr:row>
      <xdr:rowOff>43132</xdr:rowOff>
    </xdr:from>
    <xdr:to>
      <xdr:col>6</xdr:col>
      <xdr:colOff>181491</xdr:colOff>
      <xdr:row>60</xdr:row>
      <xdr:rowOff>173400</xdr:rowOff>
    </xdr:to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98B27327-4DB3-49A1-969F-BE1ADFD24E01}"/>
            </a:ext>
          </a:extLst>
        </xdr:cNvPr>
        <xdr:cNvSpPr txBox="1"/>
      </xdr:nvSpPr>
      <xdr:spPr>
        <a:xfrm>
          <a:off x="5175849" y="11999343"/>
          <a:ext cx="897484" cy="311423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s-CO" sz="1100" b="1">
              <a:solidFill>
                <a:schemeClr val="accent6">
                  <a:lumMod val="75000"/>
                </a:schemeClr>
              </a:solidFill>
            </a:rPr>
            <a:t>$267</a:t>
          </a:r>
        </a:p>
      </xdr:txBody>
    </xdr:sp>
    <xdr:clientData/>
  </xdr:twoCellAnchor>
  <xdr:oneCellAnchor>
    <xdr:from>
      <xdr:col>13</xdr:col>
      <xdr:colOff>294312</xdr:colOff>
      <xdr:row>28</xdr:row>
      <xdr:rowOff>233422</xdr:rowOff>
    </xdr:from>
    <xdr:ext cx="1698222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59FA8F74-8A24-4616-885D-2CCFFFD2C836}"/>
            </a:ext>
          </a:extLst>
        </xdr:cNvPr>
        <xdr:cNvSpPr txBox="1"/>
      </xdr:nvSpPr>
      <xdr:spPr>
        <a:xfrm>
          <a:off x="12164259" y="6211528"/>
          <a:ext cx="16982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1100" u="sng">
              <a:solidFill>
                <a:srgbClr val="FF0000"/>
              </a:solidFill>
            </a:rPr>
            <a:t>Se</a:t>
          </a:r>
          <a:r>
            <a:rPr lang="es-CO" sz="1100" u="sng" baseline="0">
              <a:solidFill>
                <a:srgbClr val="FF0000"/>
              </a:solidFill>
            </a:rPr>
            <a:t> realiza purga MBR 1 y 2</a:t>
          </a:r>
          <a:endParaRPr lang="es-CO" sz="1100" u="sng">
            <a:solidFill>
              <a:srgbClr val="FF0000"/>
            </a:solidFill>
          </a:endParaRPr>
        </a:p>
      </xdr:txBody>
    </xdr:sp>
    <xdr:clientData/>
  </xdr:oneCellAnchor>
</xdr:wsDr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0.05642</cdr:x>
      <cdr:y>0.66052</cdr:y>
    </cdr:from>
    <cdr:to>
      <cdr:x>0.1344</cdr:x>
      <cdr:y>0.75538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5EB745DE-458E-B8C2-762F-396F97D3EDE2}"/>
            </a:ext>
          </a:extLst>
        </cdr:cNvPr>
        <cdr:cNvSpPr txBox="1"/>
      </cdr:nvSpPr>
      <cdr:spPr>
        <a:xfrm xmlns:a="http://schemas.openxmlformats.org/drawingml/2006/main">
          <a:off x="725994" y="2728310"/>
          <a:ext cx="1003420" cy="3918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CO" sz="1100" b="1">
              <a:solidFill>
                <a:schemeClr val="accent6">
                  <a:lumMod val="75000"/>
                </a:schemeClr>
              </a:solidFill>
            </a:rPr>
            <a:t>$726</a:t>
          </a:r>
        </a:p>
      </cdr:txBody>
    </cdr:sp>
  </cdr:relSizeAnchor>
</c:userShapes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103516</xdr:colOff>
      <xdr:row>1</xdr:row>
      <xdr:rowOff>172528</xdr:rowOff>
    </xdr:from>
    <xdr:to>
      <xdr:col>11</xdr:col>
      <xdr:colOff>90971</xdr:colOff>
      <xdr:row>7</xdr:row>
      <xdr:rowOff>67009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FEE6069-B6C5-4368-873A-298C6F63C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641" y="353683"/>
          <a:ext cx="11520972" cy="9814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69011</xdr:colOff>
      <xdr:row>9</xdr:row>
      <xdr:rowOff>25880</xdr:rowOff>
    </xdr:from>
    <xdr:to>
      <xdr:col>11</xdr:col>
      <xdr:colOff>134922</xdr:colOff>
      <xdr:row>14</xdr:row>
      <xdr:rowOff>38189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477EDA-C08E-4AFA-9B50-38EAC2A78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136" y="1656272"/>
          <a:ext cx="11599428" cy="9180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138022</xdr:colOff>
      <xdr:row>16</xdr:row>
      <xdr:rowOff>8627</xdr:rowOff>
    </xdr:from>
    <xdr:to>
      <xdr:col>11</xdr:col>
      <xdr:colOff>408145</xdr:colOff>
      <xdr:row>20</xdr:row>
      <xdr:rowOff>136587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F069E94-0001-45AC-AC4C-5DE011CD2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7147" y="2907102"/>
          <a:ext cx="11803640" cy="85257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129395</xdr:colOff>
          <xdr:row>22</xdr:row>
          <xdr:rowOff>129397</xdr:rowOff>
        </xdr:from>
        <xdr:to>
          <xdr:col>11</xdr:col>
          <xdr:colOff>806051</xdr:colOff>
          <xdr:row>27</xdr:row>
          <xdr:rowOff>24716</xdr:rowOff>
        </xdr:to>
        <xdr:pic>
          <xdr:nvPicPr>
            <xdr:cNvPr id="5" name="Imagen 4">
              <a:extLst>
                <a:ext uri="{FF2B5EF4-FFF2-40B4-BE49-F238E27FC236}">
                  <a16:creationId xmlns:a16="http://schemas.microsoft.com/office/drawing/2014/main" id="{46BB4D65-51CB-4AB7-8EC9-75F37330CCF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22868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888520" y="4114801"/>
              <a:ext cx="12210173" cy="801092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577970</xdr:colOff>
          <xdr:row>29</xdr:row>
          <xdr:rowOff>112143</xdr:rowOff>
        </xdr:from>
        <xdr:to>
          <xdr:col>11</xdr:col>
          <xdr:colOff>315656</xdr:colOff>
          <xdr:row>33</xdr:row>
          <xdr:rowOff>131261</xdr:rowOff>
        </xdr:to>
        <xdr:pic>
          <xdr:nvPicPr>
            <xdr:cNvPr id="6" name="Imagen 5">
              <a:extLst>
                <a:ext uri="{FF2B5EF4-FFF2-40B4-BE49-F238E27FC236}">
                  <a16:creationId xmlns:a16="http://schemas.microsoft.com/office/drawing/2014/main" id="{2DC78872-9524-43B3-9EF1-F687B75E746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22869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337095" y="5365630"/>
              <a:ext cx="11271203" cy="743737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2</xdr:col>
      <xdr:colOff>51759</xdr:colOff>
      <xdr:row>35</xdr:row>
      <xdr:rowOff>77639</xdr:rowOff>
    </xdr:from>
    <xdr:to>
      <xdr:col>11</xdr:col>
      <xdr:colOff>354084</xdr:colOff>
      <xdr:row>39</xdr:row>
      <xdr:rowOff>68086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8E03777-2D09-4AE1-B10F-5AFB796CC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0008" y="6418054"/>
          <a:ext cx="11076718" cy="7150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715992</xdr:colOff>
      <xdr:row>48</xdr:row>
      <xdr:rowOff>112144</xdr:rowOff>
    </xdr:from>
    <xdr:to>
      <xdr:col>11</xdr:col>
      <xdr:colOff>271122</xdr:colOff>
      <xdr:row>54</xdr:row>
      <xdr:rowOff>149322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0DB722E-F989-A479-A3BC-8AB2F18BF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5117" y="8807570"/>
          <a:ext cx="11088647" cy="1124107"/>
        </a:xfrm>
        <a:prstGeom prst="rect">
          <a:avLst/>
        </a:prstGeom>
      </xdr:spPr>
    </xdr:pic>
    <xdr:clientData/>
  </xdr:twoCellAnchor>
  <xdr:twoCellAnchor editAs="oneCell">
    <xdr:from>
      <xdr:col>2</xdr:col>
      <xdr:colOff>146649</xdr:colOff>
      <xdr:row>57</xdr:row>
      <xdr:rowOff>25880</xdr:rowOff>
    </xdr:from>
    <xdr:to>
      <xdr:col>11</xdr:col>
      <xdr:colOff>112143</xdr:colOff>
      <xdr:row>62</xdr:row>
      <xdr:rowOff>24834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BAE697B6-3F4A-4C78-B8DF-E54AB50D1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64898" y="10351699"/>
          <a:ext cx="10739887" cy="904727"/>
        </a:xfrm>
        <a:prstGeom prst="rect">
          <a:avLst/>
        </a:prstGeom>
      </xdr:spPr>
    </xdr:pic>
    <xdr:clientData/>
  </xdr:twoCellAnchor>
  <xdr:twoCellAnchor editAs="oneCell">
    <xdr:from>
      <xdr:col>2</xdr:col>
      <xdr:colOff>250166</xdr:colOff>
      <xdr:row>64</xdr:row>
      <xdr:rowOff>129396</xdr:rowOff>
    </xdr:from>
    <xdr:to>
      <xdr:col>10</xdr:col>
      <xdr:colOff>948905</xdr:colOff>
      <xdr:row>69</xdr:row>
      <xdr:rowOff>60985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340219C-C8CB-4068-BD4E-8624D74FB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68415" y="11723298"/>
          <a:ext cx="10256807" cy="837362"/>
        </a:xfrm>
        <a:prstGeom prst="rect">
          <a:avLst/>
        </a:prstGeom>
      </xdr:spPr>
    </xdr:pic>
    <xdr:clientData/>
  </xdr:twoCellAnchor>
  <xdr:twoCellAnchor editAs="oneCell">
    <xdr:from>
      <xdr:col>2</xdr:col>
      <xdr:colOff>414067</xdr:colOff>
      <xdr:row>71</xdr:row>
      <xdr:rowOff>34506</xdr:rowOff>
    </xdr:from>
    <xdr:to>
      <xdr:col>11</xdr:col>
      <xdr:colOff>3225</xdr:colOff>
      <xdr:row>75</xdr:row>
      <xdr:rowOff>146648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1FFFCCDA-D9B8-79B2-0FE1-6531C86D8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2316" y="12896491"/>
          <a:ext cx="10356901" cy="8367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552449</xdr:colOff>
      <xdr:row>105</xdr:row>
      <xdr:rowOff>29115</xdr:rowOff>
    </xdr:from>
    <xdr:to>
      <xdr:col>12</xdr:col>
      <xdr:colOff>1001023</xdr:colOff>
      <xdr:row>109</xdr:row>
      <xdr:rowOff>37740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A867CF8E-6DB9-8A70-CB6E-C72DFFA47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49" y="19983990"/>
          <a:ext cx="11516624" cy="770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698738</xdr:colOff>
      <xdr:row>42</xdr:row>
      <xdr:rowOff>86264</xdr:rowOff>
    </xdr:from>
    <xdr:to>
      <xdr:col>11</xdr:col>
      <xdr:colOff>146648</xdr:colOff>
      <xdr:row>47</xdr:row>
      <xdr:rowOff>13726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1D1AA87B-88B2-BB5F-90B5-6AAFA74BD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863" y="7694762"/>
          <a:ext cx="10981427" cy="8332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245664</xdr:colOff>
      <xdr:row>73</xdr:row>
      <xdr:rowOff>169901</xdr:rowOff>
    </xdr:from>
    <xdr:to>
      <xdr:col>20</xdr:col>
      <xdr:colOff>232538</xdr:colOff>
      <xdr:row>90</xdr:row>
      <xdr:rowOff>52508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E796EC4-595C-43BA-EE4B-32068DF312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13</xdr:col>
      <xdr:colOff>585096</xdr:colOff>
      <xdr:row>91</xdr:row>
      <xdr:rowOff>90015</xdr:rowOff>
    </xdr:from>
    <xdr:to>
      <xdr:col>22</xdr:col>
      <xdr:colOff>256919</xdr:colOff>
      <xdr:row>106</xdr:row>
      <xdr:rowOff>152652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9899103D-8C47-4A63-B493-9D9941973A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3</xdr:col>
      <xdr:colOff>472578</xdr:colOff>
      <xdr:row>112</xdr:row>
      <xdr:rowOff>15003</xdr:rowOff>
    </xdr:from>
    <xdr:to>
      <xdr:col>13</xdr:col>
      <xdr:colOff>331002</xdr:colOff>
      <xdr:row>118</xdr:row>
      <xdr:rowOff>71483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A36A9260-E511-49D6-8891-B3C414B62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5451" y="20358340"/>
          <a:ext cx="12505499" cy="11366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120770</xdr:colOff>
      <xdr:row>8</xdr:row>
      <xdr:rowOff>103517</xdr:rowOff>
    </xdr:from>
    <xdr:to>
      <xdr:col>17</xdr:col>
      <xdr:colOff>646981</xdr:colOff>
      <xdr:row>33</xdr:row>
      <xdr:rowOff>120770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9B6192-725E-45B3-F36F-F92252FC9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895" y="1552755"/>
          <a:ext cx="12672203" cy="45461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2025/BALANCES%202025/BALANCE%20H&#205;DRICO%20PTAR%202024-1.xlsx" TargetMode="External"/><Relationship Id="rId2" Type="http://schemas.openxmlformats.org/officeDocument/2006/relationships/externalLinkPath" Target="file:///F:\2024\BALANCES%202024\BALANCE%20H&#205;DRICO%20PTAR%202024-1.xlsx" TargetMode="External"/><Relationship Id="rId1" Type="http://schemas.openxmlformats.org/officeDocument/2006/relationships/externalLinkPath" Target="/2025/BALANCES%202025/BALANCE%20H&#205;DRICO%20PTAR%202024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odelo de Consumo - Graficas "/>
      <sheetName val="Agua P."/>
      <sheetName val="Balance RO"/>
      <sheetName val="Indicadores Consumo"/>
      <sheetName val="Lectura Contadores "/>
      <sheetName val="Hoja1"/>
    </sheetNames>
    <sheetDataSet>
      <sheetData sheetId="0">
        <row r="4">
          <cell r="M4">
            <v>0.27139722019019752</v>
          </cell>
          <cell r="P4">
            <v>43573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C82837-677B-473C-A91E-E427B657CB44}" name="Tabla2" displayName="Tabla2" ref="B1:K15" totalsRowShown="0" headerRowDxfId="59" dataDxfId="57" headerRowBorderDxfId="58" tableBorderDxfId="56" totalsRowBorderDxfId="55" dataCellStyle="Moneda [0]">
  <autoFilter ref="B1:K15" xr:uid="{84C82837-677B-473C-A91E-E427B657CB44}"/>
  <tableColumns count="10">
    <tableColumn id="1" xr3:uid="{C348364F-28D9-454D-88B1-9DF862321FDD}" name="AÑO 2024" dataDxfId="54"/>
    <tableColumn id="2" xr3:uid="{A1534A5D-199B-414E-A52B-72A30C7FE9AD}" name="Agua Tratada PTAR " dataDxfId="53"/>
    <tableColumn id="3" xr3:uid="{835E3695-CCFC-47CB-989D-5870639A2DE5}" name="Lodos Generados " dataDxfId="52"/>
    <tableColumn id="4" xr3:uid="{9083AE23-18F2-4559-AE30-9BBF41D5239F}" name="Valor Disposición de Lodo (SIN IVA)" dataDxfId="51" dataCellStyle="Moneda [0]"/>
    <tableColumn id="5" xr3:uid="{D9F1E13C-562E-4F87-80C2-DB02A36C6AD8}" name="Valor Transporte" dataDxfId="50" dataCellStyle="Moneda [0]"/>
    <tableColumn id="9" xr3:uid="{402C355A-E6BB-44BE-AB80-1EA4A2249621}" name="Costo Total Servicio (Transporte + Disposición)(SIN IVA)" dataDxfId="49" dataCellStyle="Moneda [0]"/>
    <tableColumn id="10" xr3:uid="{3C758AD4-36FD-4C8C-ACB2-C994DF8DA454}" name="Indicador Global (Generado: Disposición+Transporte)" dataDxfId="48" dataCellStyle="Moneda [0]"/>
    <tableColumn id="6" xr3:uid="{73EBC696-FF30-4174-8505-B40CB1C068D0}" name="Indicador Disposición de Lodos Generados PTAR ($/m3)" dataDxfId="47"/>
    <tableColumn id="7" xr3:uid="{3DFADA7F-20FE-463C-B67C-56054EC7F6A8}" name="Indicador Total (Transporte + Disposición Final)" dataDxfId="46" dataCellStyle="Moneda [0]"/>
    <tableColumn id="8" xr3:uid="{E4BE869C-99EF-4287-A60D-B9DE45A82B74}" name="Indicador de Generación " dataDxfId="45" dataCellStyle="Moneda [0]"/>
  </tableColumns>
  <tableStyleInfo name="TableStyleDark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CA41D4C-43F1-4AB1-B1C6-6D9198569752}" name="Tabla5" displayName="Tabla5" ref="B1:J83" totalsRowShown="0" headerRowDxfId="44" dataDxfId="43">
  <autoFilter ref="B1:J83" xr:uid="{F921D9A3-F709-401B-981D-8D70424F3FA3}"/>
  <tableColumns count="9">
    <tableColumn id="1" xr3:uid="{9BC50151-BCAF-427B-98A6-2049771021F1}" name="Remisión" dataDxfId="42" totalsRowDxfId="41">
      <calculatedColumnFormula>#REF!</calculatedColumnFormula>
    </tableColumn>
    <tableColumn id="2" xr3:uid="{16D3A1EA-8779-4849-A87A-4633EDBCB37B}" name="Fecha" dataDxfId="40" totalsRowDxfId="39">
      <calculatedColumnFormula>+#REF!</calculatedColumnFormula>
    </tableColumn>
    <tableColumn id="3" xr3:uid="{559DF0F4-7713-429E-AF0A-779D26D80FE4}" name="Cantidad Lodos Generados (Kg) " dataDxfId="38" totalsRowDxfId="37">
      <calculatedColumnFormula>+#REF!</calculatedColumnFormula>
    </tableColumn>
    <tableColumn id="4" xr3:uid="{77422C9C-EFE3-4600-AC91-47848B95338F}" name="Precio Unitario Disposición ($)" dataDxfId="36" totalsRowDxfId="35"/>
    <tableColumn id="5" xr3:uid="{B8AFF535-4756-48A8-A6BD-E93E46463BCC}" name="Valor Disposición Kg ($)" dataDxfId="34" totalsRowDxfId="33">
      <calculatedColumnFormula>+Tabla5[[#This Row],[Cantidad Lodos Generados (Kg) ]]*Tabla5[[#This Row],[Precio Unitario Disposición ($)]]</calculatedColumnFormula>
    </tableColumn>
    <tableColumn id="13" xr3:uid="{86878171-FC0E-453E-9EB1-C214C64DFE73}" name="Costo Total + IVA" dataDxfId="32" totalsRowDxfId="31">
      <calculatedColumnFormula>Tabla5[[#This Row],[Valor Disposición Kg ($)]]*1.19</calculatedColumnFormula>
    </tableColumn>
    <tableColumn id="11" xr3:uid="{99195FA0-484D-40F3-8ABD-E19874A878A9}" name="Cantidad de Viajes " dataDxfId="30" totalsRowDxfId="29">
      <calculatedColumnFormula>#REF!</calculatedColumnFormula>
    </tableColumn>
    <tableColumn id="6" xr3:uid="{4E2CCE0A-D672-4E0F-BE80-B13D7619CCC3}" name="Costo Viaje ($)" dataDxfId="28" totalsRowDxfId="27"/>
    <tableColumn id="7" xr3:uid="{113DFFB9-4B06-4205-9CA2-931F9394BF23}" name="Costo total (SIN IVA)" dataDxfId="26" totalsRowDxfId="25">
      <calculatedColumnFormula>Tabla5[[#This Row],[Valor Disposición Kg ($)]]+(Tabla5[[#This Row],[Cantidad de Viajes ]]*Tabla5[[#This Row],[Costo Viaje ($)]])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6C3816-AD0B-46E6-A16B-9EE92FB794D7}" name="Tabla52" displayName="Tabla52" ref="B1:N22" totalsRowShown="0" headerRowDxfId="24">
  <autoFilter ref="B1:N22" xr:uid="{F921D9A3-F709-401B-981D-8D70424F3FA3}"/>
  <tableColumns count="13">
    <tableColumn id="1" xr3:uid="{9BC50151-BCAF-427B-98A6-2049771021F1}" name="MF" dataDxfId="23" totalsRowDxfId="22">
      <calculatedColumnFormula>#REF!</calculatedColumnFormula>
    </tableColumn>
    <tableColumn id="2" xr3:uid="{16D3A1EA-8779-4849-A87A-4633EDBCB37B}" name="Fecha" dataDxfId="21" totalsRowDxfId="20">
      <calculatedColumnFormula>#REF!</calculatedColumnFormula>
    </tableColumn>
    <tableColumn id="9" xr3:uid="{E579BAFA-1D35-4001-8AF2-DBABD83BED23}" name="Sede" dataDxfId="19" totalsRowDxfId="18"/>
    <tableColumn id="10" xr3:uid="{E998FD85-5BA6-4244-AE6F-CC0DEE68705A}" name="Ciudad" dataDxfId="17" totalsRowDxfId="16"/>
    <tableColumn id="12" xr3:uid="{56488AD0-76C3-4A3E-9656-005D28F20573}" name="Tpo de Residuo " dataDxfId="15" totalsRowDxfId="14"/>
    <tableColumn id="14" xr3:uid="{D5F042CF-B319-4F35-9B10-8103C8D7AE5A}" name="Manejo Final " dataDxfId="13" totalsRowDxfId="12"/>
    <tableColumn id="15" xr3:uid="{5C189872-C896-4A1B-BB9D-BDFE5B5FCFD9}" name="Empresa Transportadora" dataDxfId="11" totalsRowDxfId="10"/>
    <tableColumn id="16" xr3:uid="{4448BB60-4795-4E8D-98C4-8A572C06C895}" name="Empresa de Gestión Final " dataDxfId="9" totalsRowDxfId="8"/>
    <tableColumn id="3" xr3:uid="{559DF0F4-7713-429E-AF0A-779D26D80FE4}" name="Cantidad Lodos Generados (Kg) " dataDxfId="7" totalsRowDxfId="6">
      <calculatedColumnFormula>#REF!</calculatedColumnFormula>
    </tableColumn>
    <tableColumn id="4" xr3:uid="{77422C9C-EFE3-4600-AC91-47848B95338F}" name="Precio Unitario Disposición ($)" dataDxfId="5" totalsRowDxfId="4"/>
    <tableColumn id="5" xr3:uid="{B8AFF535-4756-48A8-A6BD-E93E46463BCC}" name="Valor Disposición Kg ($)" dataDxfId="3" totalsRowDxfId="2">
      <calculatedColumnFormula>+Tabla52[[#This Row],[Cantidad Lodos Generados (Kg) ]]*Tabla52[[#This Row],[Precio Unitario Disposición ($)]]</calculatedColumnFormula>
    </tableColumn>
    <tableColumn id="13" xr3:uid="{86878171-FC0E-453E-9EB1-C214C64DFE73}" name="Costo Total + IVA" dataDxfId="1">
      <calculatedColumnFormula>Tabla52[[#This Row],[Valor Disposición Kg ($)]]*1.19</calculatedColumnFormula>
    </tableColumn>
    <tableColumn id="6" xr3:uid="{B408EDD1-4A21-4096-9857-BCF56BE7CEA8}" name="Servicio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8FF60-9892-4120-9222-925D450CF9C8}">
  <dimension ref="A1:S13"/>
  <sheetViews>
    <sheetView workbookViewId="0">
      <selection activeCell="I11" sqref="I11"/>
    </sheetView>
  </sheetViews>
  <sheetFormatPr baseColWidth="10" defaultRowHeight="14.3" x14ac:dyDescent="0.25"/>
  <cols>
    <col min="1" max="1" width="15.125" customWidth="1"/>
    <col min="2" max="2" width="9.625" customWidth="1"/>
    <col min="3" max="3" width="12.25" customWidth="1"/>
    <col min="4" max="4" width="14.375" customWidth="1"/>
    <col min="6" max="6" width="15.25" customWidth="1"/>
    <col min="8" max="8" width="12.625" customWidth="1"/>
    <col min="10" max="10" width="14.625" customWidth="1"/>
    <col min="11" max="11" width="13.375" customWidth="1"/>
    <col min="12" max="12" width="13" bestFit="1" customWidth="1"/>
    <col min="16" max="16" width="13.125" customWidth="1"/>
  </cols>
  <sheetData>
    <row r="1" spans="1:19" s="113" customFormat="1" ht="42.8" x14ac:dyDescent="0.25">
      <c r="A1" s="114" t="s">
        <v>59</v>
      </c>
      <c r="B1" s="114" t="s">
        <v>107</v>
      </c>
      <c r="C1" s="114" t="s">
        <v>101</v>
      </c>
      <c r="D1" s="114" t="s">
        <v>102</v>
      </c>
      <c r="E1" s="115" t="s">
        <v>95</v>
      </c>
      <c r="F1" s="116" t="s">
        <v>100</v>
      </c>
      <c r="G1" s="115" t="s">
        <v>96</v>
      </c>
      <c r="H1" s="114" t="s">
        <v>97</v>
      </c>
      <c r="I1" s="116" t="s">
        <v>98</v>
      </c>
      <c r="J1" s="116" t="s">
        <v>99</v>
      </c>
      <c r="K1" s="115" t="s">
        <v>103</v>
      </c>
      <c r="L1" s="115" t="s">
        <v>110</v>
      </c>
      <c r="M1" s="115" t="s">
        <v>104</v>
      </c>
      <c r="N1" s="116" t="s">
        <v>112</v>
      </c>
      <c r="O1" s="116" t="s">
        <v>111</v>
      </c>
      <c r="P1" s="115" t="s">
        <v>105</v>
      </c>
      <c r="Q1" s="115" t="s">
        <v>106</v>
      </c>
      <c r="R1" s="127" t="s">
        <v>108</v>
      </c>
      <c r="S1" s="127" t="s">
        <v>113</v>
      </c>
    </row>
    <row r="2" spans="1:19" x14ac:dyDescent="0.25">
      <c r="A2" s="119"/>
      <c r="B2" s="117"/>
      <c r="C2" s="117"/>
      <c r="D2" s="117"/>
      <c r="E2" s="117">
        <f>D2-C2</f>
        <v>0</v>
      </c>
      <c r="F2" s="122">
        <v>84</v>
      </c>
      <c r="G2" s="117">
        <f>E2*F2</f>
        <v>0</v>
      </c>
      <c r="H2" s="117"/>
      <c r="I2" s="124">
        <v>96</v>
      </c>
      <c r="J2" s="124">
        <v>750000</v>
      </c>
      <c r="K2" s="120">
        <f>H2*I2</f>
        <v>0</v>
      </c>
      <c r="L2" s="120">
        <f>K2+J2</f>
        <v>750000</v>
      </c>
      <c r="M2" s="118" t="e">
        <f>L2/H2</f>
        <v>#DIV/0!</v>
      </c>
      <c r="N2" s="125">
        <v>267</v>
      </c>
      <c r="O2" s="126">
        <v>2.2999999999999998</v>
      </c>
      <c r="P2" s="97" t="e">
        <f t="shared" ref="P2:P9" si="0">H2/G2</f>
        <v>#DIV/0!</v>
      </c>
      <c r="Q2" s="121" t="e">
        <f t="shared" ref="Q2:Q9" si="1">L2/G2</f>
        <v>#DIV/0!</v>
      </c>
      <c r="R2" s="117">
        <v>2000</v>
      </c>
      <c r="S2" s="117">
        <f>L2/R2</f>
        <v>375</v>
      </c>
    </row>
    <row r="3" spans="1:19" x14ac:dyDescent="0.25">
      <c r="A3" s="119"/>
      <c r="B3" s="117"/>
      <c r="C3" s="117"/>
      <c r="D3" s="117"/>
      <c r="E3" s="117">
        <f t="shared" ref="E3:E9" si="2">D3-C3</f>
        <v>0</v>
      </c>
      <c r="F3" s="122">
        <v>84</v>
      </c>
      <c r="G3" s="117">
        <f t="shared" ref="G3:G9" si="3">E3*F3</f>
        <v>0</v>
      </c>
      <c r="H3" s="117"/>
      <c r="I3" s="124">
        <v>96</v>
      </c>
      <c r="J3" s="124">
        <v>750000</v>
      </c>
      <c r="K3" s="120">
        <f t="shared" ref="K3:K9" si="4">H3*I3</f>
        <v>0</v>
      </c>
      <c r="L3" s="120">
        <f t="shared" ref="L3:L9" si="5">K3+J3</f>
        <v>750000</v>
      </c>
      <c r="M3" s="118" t="e">
        <f t="shared" ref="M3:M9" si="6">L3/H3</f>
        <v>#DIV/0!</v>
      </c>
      <c r="N3" s="125">
        <v>267</v>
      </c>
      <c r="O3" s="126">
        <v>2.2999999999999998</v>
      </c>
      <c r="P3" s="97" t="e">
        <f t="shared" si="0"/>
        <v>#DIV/0!</v>
      </c>
      <c r="Q3" s="121" t="e">
        <f t="shared" si="1"/>
        <v>#DIV/0!</v>
      </c>
      <c r="R3" s="117">
        <v>2000</v>
      </c>
      <c r="S3" s="117">
        <f t="shared" ref="S3:S9" si="7">L3/R3</f>
        <v>375</v>
      </c>
    </row>
    <row r="4" spans="1:19" x14ac:dyDescent="0.25">
      <c r="A4" s="119"/>
      <c r="B4" s="117"/>
      <c r="C4" s="117"/>
      <c r="D4" s="117"/>
      <c r="E4" s="117">
        <f t="shared" si="2"/>
        <v>0</v>
      </c>
      <c r="F4" s="122">
        <v>84</v>
      </c>
      <c r="G4" s="117">
        <f t="shared" si="3"/>
        <v>0</v>
      </c>
      <c r="H4" s="117"/>
      <c r="I4" s="124">
        <v>96</v>
      </c>
      <c r="J4" s="124">
        <v>750000</v>
      </c>
      <c r="K4" s="120">
        <f t="shared" si="4"/>
        <v>0</v>
      </c>
      <c r="L4" s="120">
        <f t="shared" si="5"/>
        <v>750000</v>
      </c>
      <c r="M4" s="118" t="e">
        <f t="shared" si="6"/>
        <v>#DIV/0!</v>
      </c>
      <c r="N4" s="125">
        <v>267</v>
      </c>
      <c r="O4" s="126">
        <f t="shared" ref="O4:O9" si="8">+O3</f>
        <v>2.2999999999999998</v>
      </c>
      <c r="P4" s="97" t="e">
        <f t="shared" si="0"/>
        <v>#DIV/0!</v>
      </c>
      <c r="Q4" s="121" t="e">
        <f t="shared" si="1"/>
        <v>#DIV/0!</v>
      </c>
      <c r="R4" s="117">
        <v>2000</v>
      </c>
      <c r="S4" s="117">
        <f t="shared" si="7"/>
        <v>375</v>
      </c>
    </row>
    <row r="5" spans="1:19" x14ac:dyDescent="0.25">
      <c r="A5" s="119"/>
      <c r="B5" s="117"/>
      <c r="C5" s="117"/>
      <c r="D5" s="117"/>
      <c r="E5" s="117">
        <f t="shared" si="2"/>
        <v>0</v>
      </c>
      <c r="F5" s="122">
        <v>84</v>
      </c>
      <c r="G5" s="117">
        <f t="shared" si="3"/>
        <v>0</v>
      </c>
      <c r="H5" s="117"/>
      <c r="I5" s="124">
        <v>96</v>
      </c>
      <c r="J5" s="124">
        <v>750000</v>
      </c>
      <c r="K5" s="120">
        <f t="shared" si="4"/>
        <v>0</v>
      </c>
      <c r="L5" s="120">
        <f t="shared" si="5"/>
        <v>750000</v>
      </c>
      <c r="M5" s="118" t="e">
        <f t="shared" si="6"/>
        <v>#DIV/0!</v>
      </c>
      <c r="N5" s="125">
        <v>267</v>
      </c>
      <c r="O5" s="126">
        <f t="shared" si="8"/>
        <v>2.2999999999999998</v>
      </c>
      <c r="P5" s="97" t="e">
        <f t="shared" si="0"/>
        <v>#DIV/0!</v>
      </c>
      <c r="Q5" s="121" t="e">
        <f t="shared" si="1"/>
        <v>#DIV/0!</v>
      </c>
      <c r="R5" s="117">
        <v>2000</v>
      </c>
      <c r="S5" s="117">
        <f t="shared" si="7"/>
        <v>375</v>
      </c>
    </row>
    <row r="6" spans="1:19" x14ac:dyDescent="0.25">
      <c r="A6" s="119"/>
      <c r="B6" s="117"/>
      <c r="C6" s="117"/>
      <c r="D6" s="117"/>
      <c r="E6" s="117">
        <f t="shared" si="2"/>
        <v>0</v>
      </c>
      <c r="F6" s="122">
        <v>84</v>
      </c>
      <c r="G6" s="117">
        <f t="shared" si="3"/>
        <v>0</v>
      </c>
      <c r="H6" s="117"/>
      <c r="I6" s="124">
        <v>96</v>
      </c>
      <c r="J6" s="124">
        <v>750000</v>
      </c>
      <c r="K6" s="120">
        <f t="shared" si="4"/>
        <v>0</v>
      </c>
      <c r="L6" s="120">
        <f t="shared" si="5"/>
        <v>750000</v>
      </c>
      <c r="M6" s="118" t="e">
        <f t="shared" si="6"/>
        <v>#DIV/0!</v>
      </c>
      <c r="N6" s="125">
        <v>267</v>
      </c>
      <c r="O6" s="126">
        <f t="shared" si="8"/>
        <v>2.2999999999999998</v>
      </c>
      <c r="P6" s="97" t="e">
        <f t="shared" si="0"/>
        <v>#DIV/0!</v>
      </c>
      <c r="Q6" s="121" t="e">
        <f t="shared" si="1"/>
        <v>#DIV/0!</v>
      </c>
      <c r="R6" s="117">
        <v>2000</v>
      </c>
      <c r="S6" s="117">
        <f t="shared" si="7"/>
        <v>375</v>
      </c>
    </row>
    <row r="7" spans="1:19" x14ac:dyDescent="0.25">
      <c r="A7" s="119"/>
      <c r="B7" s="117"/>
      <c r="C7" s="117"/>
      <c r="D7" s="117"/>
      <c r="E7" s="117">
        <f t="shared" si="2"/>
        <v>0</v>
      </c>
      <c r="F7" s="122">
        <v>84</v>
      </c>
      <c r="G7" s="117">
        <f t="shared" si="3"/>
        <v>0</v>
      </c>
      <c r="H7" s="117"/>
      <c r="I7" s="124">
        <v>96</v>
      </c>
      <c r="J7" s="124">
        <v>750000</v>
      </c>
      <c r="K7" s="120">
        <f t="shared" si="4"/>
        <v>0</v>
      </c>
      <c r="L7" s="120">
        <f t="shared" si="5"/>
        <v>750000</v>
      </c>
      <c r="M7" s="118" t="e">
        <f t="shared" si="6"/>
        <v>#DIV/0!</v>
      </c>
      <c r="N7" s="125">
        <v>267</v>
      </c>
      <c r="O7" s="126">
        <f t="shared" si="8"/>
        <v>2.2999999999999998</v>
      </c>
      <c r="P7" s="97" t="e">
        <f t="shared" si="0"/>
        <v>#DIV/0!</v>
      </c>
      <c r="Q7" s="121" t="e">
        <f t="shared" si="1"/>
        <v>#DIV/0!</v>
      </c>
      <c r="R7" s="117">
        <v>2000</v>
      </c>
      <c r="S7" s="117">
        <f t="shared" si="7"/>
        <v>375</v>
      </c>
    </row>
    <row r="8" spans="1:19" x14ac:dyDescent="0.25">
      <c r="A8" s="119"/>
      <c r="B8" s="117"/>
      <c r="C8" s="117"/>
      <c r="D8" s="117"/>
      <c r="E8" s="117">
        <f t="shared" si="2"/>
        <v>0</v>
      </c>
      <c r="F8" s="123">
        <v>84</v>
      </c>
      <c r="G8" s="117">
        <f t="shared" si="3"/>
        <v>0</v>
      </c>
      <c r="H8" s="117"/>
      <c r="I8" s="124">
        <v>96</v>
      </c>
      <c r="J8" s="124">
        <v>750000</v>
      </c>
      <c r="K8" s="120">
        <f t="shared" si="4"/>
        <v>0</v>
      </c>
      <c r="L8" s="120">
        <f t="shared" si="5"/>
        <v>750000</v>
      </c>
      <c r="M8" s="118" t="e">
        <f t="shared" si="6"/>
        <v>#DIV/0!</v>
      </c>
      <c r="N8" s="125">
        <v>267</v>
      </c>
      <c r="O8" s="126">
        <f t="shared" si="8"/>
        <v>2.2999999999999998</v>
      </c>
      <c r="P8" s="97" t="e">
        <f t="shared" si="0"/>
        <v>#DIV/0!</v>
      </c>
      <c r="Q8" s="121" t="e">
        <f t="shared" si="1"/>
        <v>#DIV/0!</v>
      </c>
      <c r="R8" s="117">
        <v>2000</v>
      </c>
      <c r="S8" s="117">
        <f t="shared" si="7"/>
        <v>375</v>
      </c>
    </row>
    <row r="9" spans="1:19" x14ac:dyDescent="0.25">
      <c r="A9" s="119"/>
      <c r="B9" s="117"/>
      <c r="C9" s="117"/>
      <c r="D9" s="117"/>
      <c r="E9" s="117">
        <f t="shared" si="2"/>
        <v>0</v>
      </c>
      <c r="F9" s="123">
        <v>84</v>
      </c>
      <c r="G9" s="117">
        <f t="shared" si="3"/>
        <v>0</v>
      </c>
      <c r="H9" s="117"/>
      <c r="I9" s="124">
        <v>96</v>
      </c>
      <c r="J9" s="124">
        <v>750000</v>
      </c>
      <c r="K9" s="120">
        <f t="shared" si="4"/>
        <v>0</v>
      </c>
      <c r="L9" s="120">
        <f t="shared" si="5"/>
        <v>750000</v>
      </c>
      <c r="M9" s="118" t="e">
        <f t="shared" si="6"/>
        <v>#DIV/0!</v>
      </c>
      <c r="N9" s="125">
        <v>267</v>
      </c>
      <c r="O9" s="126">
        <f t="shared" si="8"/>
        <v>2.2999999999999998</v>
      </c>
      <c r="P9" s="97" t="e">
        <f t="shared" si="0"/>
        <v>#DIV/0!</v>
      </c>
      <c r="Q9" s="121" t="e">
        <f t="shared" si="1"/>
        <v>#DIV/0!</v>
      </c>
      <c r="R9" s="117">
        <v>2000</v>
      </c>
      <c r="S9" s="117">
        <f t="shared" si="7"/>
        <v>375</v>
      </c>
    </row>
    <row r="13" spans="1:19" x14ac:dyDescent="0.25">
      <c r="F13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D1EBF-7A3B-43B2-99E0-7EB70244506F}">
  <dimension ref="B1:O75"/>
  <sheetViews>
    <sheetView showGridLines="0" zoomScale="55" zoomScaleNormal="55" zoomScaleSheetLayoutView="100" workbookViewId="0">
      <selection activeCell="C73" sqref="C73:K75"/>
    </sheetView>
  </sheetViews>
  <sheetFormatPr baseColWidth="10" defaultRowHeight="14.3" x14ac:dyDescent="0.25"/>
  <cols>
    <col min="2" max="2" width="17.875" customWidth="1"/>
    <col min="3" max="3" width="13" customWidth="1"/>
    <col min="4" max="4" width="15.75" customWidth="1"/>
    <col min="5" max="5" width="17" customWidth="1"/>
    <col min="6" max="6" width="13.25" customWidth="1"/>
    <col min="7" max="7" width="37.75" customWidth="1"/>
    <col min="8" max="8" width="23.625" customWidth="1"/>
    <col min="9" max="9" width="23.875" hidden="1" customWidth="1"/>
    <col min="10" max="10" width="23.375" customWidth="1"/>
    <col min="11" max="11" width="19" customWidth="1"/>
    <col min="14" max="14" width="11.25" bestFit="1" customWidth="1"/>
    <col min="18" max="18" width="10.75" bestFit="1" customWidth="1"/>
    <col min="20" max="20" width="12" bestFit="1" customWidth="1"/>
    <col min="21" max="21" width="25.25" customWidth="1"/>
  </cols>
  <sheetData>
    <row r="1" spans="2:11" ht="51.8" customHeight="1" x14ac:dyDescent="0.25">
      <c r="B1" s="36" t="s">
        <v>76</v>
      </c>
      <c r="C1" s="41" t="s">
        <v>52</v>
      </c>
      <c r="D1" s="31" t="s">
        <v>55</v>
      </c>
      <c r="E1" s="31" t="s">
        <v>28</v>
      </c>
      <c r="F1" s="31" t="s">
        <v>29</v>
      </c>
      <c r="G1" s="31" t="s">
        <v>38</v>
      </c>
      <c r="H1" s="31" t="s">
        <v>58</v>
      </c>
      <c r="I1" s="31" t="s">
        <v>24</v>
      </c>
      <c r="J1" s="31" t="s">
        <v>26</v>
      </c>
      <c r="K1" s="32" t="s">
        <v>53</v>
      </c>
    </row>
    <row r="2" spans="2:11" ht="32.950000000000003" customHeight="1" x14ac:dyDescent="0.25">
      <c r="B2" s="37" t="s">
        <v>39</v>
      </c>
      <c r="C2" s="33" t="s">
        <v>13</v>
      </c>
      <c r="D2" s="33" t="s">
        <v>56</v>
      </c>
      <c r="E2" s="33" t="s">
        <v>27</v>
      </c>
      <c r="F2" s="33" t="s">
        <v>27</v>
      </c>
      <c r="G2" s="33" t="s">
        <v>27</v>
      </c>
      <c r="H2" s="33" t="s">
        <v>57</v>
      </c>
      <c r="I2" s="33" t="s">
        <v>25</v>
      </c>
      <c r="J2" s="33" t="s">
        <v>31</v>
      </c>
      <c r="K2" s="34" t="s">
        <v>54</v>
      </c>
    </row>
    <row r="3" spans="2:11" x14ac:dyDescent="0.25">
      <c r="B3" s="35" t="s">
        <v>40</v>
      </c>
      <c r="C3" s="55">
        <f>'[1]Modelo de Consumo - Graficas '!P4+'[1]Modelo de Consumo - Graficas '!$M$4</f>
        <v>43573.271397220189</v>
      </c>
      <c r="D3" s="38" t="e">
        <f>'Costo Disposición Lodos - PTAR'!K31</f>
        <v>#REF!</v>
      </c>
      <c r="E3" s="45" t="e">
        <f>'Costo Disposición Lodos - PTAR'!M31</f>
        <v>#REF!</v>
      </c>
      <c r="F3" s="45">
        <f>'Costo Disposición Lodos - PTAR'!O31</f>
        <v>20540000</v>
      </c>
      <c r="G3" s="45" t="e">
        <f>SUM(Tabla2[[#This Row],[Valor Transporte]]+Tabla2[[#This Row],[Valor Disposición de Lodo (SIN IVA)]])</f>
        <v>#REF!</v>
      </c>
      <c r="H3" s="45" t="e">
        <f>Tabla2[[#This Row],[Costo Total Servicio (Transporte + Disposición)(SIN IVA)]]/Tabla2[[#This Row],[Lodos Generados ]]</f>
        <v>#REF!</v>
      </c>
      <c r="I3" s="48" t="e">
        <f>#REF!/C3</f>
        <v>#REF!</v>
      </c>
      <c r="J3" s="45" t="e">
        <f>Tabla2[[#This Row],[Costo Total Servicio (Transporte + Disposición)(SIN IVA)]]/Tabla2[[#This Row],[Agua Tratada PTAR ]]</f>
        <v>#REF!</v>
      </c>
      <c r="K3" s="56" t="e">
        <f>D3/C3</f>
        <v>#REF!</v>
      </c>
    </row>
    <row r="4" spans="2:11" x14ac:dyDescent="0.25">
      <c r="B4" s="35" t="s">
        <v>41</v>
      </c>
      <c r="C4" s="55">
        <v>48224.5</v>
      </c>
      <c r="D4" s="38" t="e">
        <f>'Costo Disposición Lodos - PTAR'!K60</f>
        <v>#REF!</v>
      </c>
      <c r="E4" s="45" t="e">
        <f>'Costo Disposición Lodos - PTAR'!M60</f>
        <v>#REF!</v>
      </c>
      <c r="F4" s="45">
        <f>'Costo Disposición Lodos - PTAR'!O60</f>
        <v>16500000</v>
      </c>
      <c r="G4" s="45" t="e">
        <f>SUM(Tabla2[[#This Row],[Valor Transporte]]+Tabla2[[#This Row],[Valor Disposición de Lodo (SIN IVA)]])</f>
        <v>#REF!</v>
      </c>
      <c r="H4" s="45" t="e">
        <f>Tabla2[[#This Row],[Costo Total Servicio (Transporte + Disposición)(SIN IVA)]]/Tabla2[[#This Row],[Lodos Generados ]]</f>
        <v>#REF!</v>
      </c>
      <c r="I4" s="48" t="e">
        <f>#REF!/C4</f>
        <v>#REF!</v>
      </c>
      <c r="J4" s="45" t="e">
        <f>Tabla2[[#This Row],[Costo Total Servicio (Transporte + Disposición)(SIN IVA)]]/Tabla2[[#This Row],[Agua Tratada PTAR ]]</f>
        <v>#REF!</v>
      </c>
      <c r="K4" s="56" t="e">
        <f>D4/C4</f>
        <v>#REF!</v>
      </c>
    </row>
    <row r="5" spans="2:11" x14ac:dyDescent="0.25">
      <c r="B5" s="35" t="s">
        <v>42</v>
      </c>
      <c r="C5" s="55"/>
      <c r="D5" s="38"/>
      <c r="E5" s="45"/>
      <c r="F5" s="45"/>
      <c r="G5" s="45"/>
      <c r="H5" s="45"/>
      <c r="I5" s="48"/>
      <c r="J5" s="45"/>
      <c r="K5" s="56"/>
    </row>
    <row r="6" spans="2:11" x14ac:dyDescent="0.25">
      <c r="B6" s="35" t="s">
        <v>43</v>
      </c>
      <c r="C6" s="55"/>
      <c r="D6" s="38"/>
      <c r="E6" s="45"/>
      <c r="F6" s="45"/>
      <c r="G6" s="45"/>
      <c r="H6" s="45"/>
      <c r="I6" s="48"/>
      <c r="J6" s="45"/>
      <c r="K6" s="56"/>
    </row>
    <row r="7" spans="2:11" x14ac:dyDescent="0.25">
      <c r="B7" s="35" t="s">
        <v>44</v>
      </c>
      <c r="C7" s="55"/>
      <c r="D7" s="38"/>
      <c r="E7" s="45"/>
      <c r="F7" s="45"/>
      <c r="G7" s="45"/>
      <c r="H7" s="45"/>
      <c r="I7" s="48"/>
      <c r="J7" s="45"/>
      <c r="K7" s="56"/>
    </row>
    <row r="8" spans="2:11" x14ac:dyDescent="0.25">
      <c r="B8" s="35" t="s">
        <v>45</v>
      </c>
      <c r="C8" s="55"/>
      <c r="D8" s="38"/>
      <c r="E8" s="45"/>
      <c r="F8" s="45"/>
      <c r="G8" s="45"/>
      <c r="H8" s="45"/>
      <c r="I8" s="48"/>
      <c r="J8" s="45"/>
      <c r="K8" s="56"/>
    </row>
    <row r="9" spans="2:11" x14ac:dyDescent="0.25">
      <c r="B9" s="35" t="s">
        <v>46</v>
      </c>
      <c r="C9" s="55"/>
      <c r="D9" s="38"/>
      <c r="E9" s="45"/>
      <c r="F9" s="45"/>
      <c r="G9" s="45"/>
      <c r="H9" s="45"/>
      <c r="I9" s="48"/>
      <c r="J9" s="45"/>
      <c r="K9" s="56"/>
    </row>
    <row r="10" spans="2:11" x14ac:dyDescent="0.25">
      <c r="B10" s="35" t="s">
        <v>47</v>
      </c>
      <c r="C10" s="55"/>
      <c r="D10" s="38"/>
      <c r="E10" s="45"/>
      <c r="F10" s="45"/>
      <c r="G10" s="45"/>
      <c r="H10" s="45"/>
      <c r="I10" s="48"/>
      <c r="J10" s="45"/>
      <c r="K10" s="56"/>
    </row>
    <row r="11" spans="2:11" x14ac:dyDescent="0.25">
      <c r="B11" s="35" t="s">
        <v>48</v>
      </c>
      <c r="C11" s="55"/>
      <c r="D11" s="38"/>
      <c r="E11" s="45"/>
      <c r="F11" s="45"/>
      <c r="G11" s="45"/>
      <c r="H11" s="45"/>
      <c r="I11" s="48"/>
      <c r="J11" s="45"/>
      <c r="K11" s="56"/>
    </row>
    <row r="12" spans="2:11" x14ac:dyDescent="0.25">
      <c r="B12" s="35" t="s">
        <v>49</v>
      </c>
      <c r="C12" s="38"/>
      <c r="D12" s="38"/>
      <c r="E12" s="45"/>
      <c r="F12" s="45"/>
      <c r="G12" s="45"/>
      <c r="H12" s="45"/>
      <c r="I12" s="48"/>
      <c r="J12" s="45"/>
      <c r="K12" s="56"/>
    </row>
    <row r="13" spans="2:11" x14ac:dyDescent="0.25">
      <c r="B13" s="35" t="s">
        <v>50</v>
      </c>
      <c r="C13" s="38"/>
      <c r="D13" s="38"/>
      <c r="E13" s="45"/>
      <c r="F13" s="45"/>
      <c r="G13" s="45"/>
      <c r="H13" s="45"/>
      <c r="I13" s="48"/>
      <c r="J13" s="45"/>
      <c r="K13" s="56"/>
    </row>
    <row r="14" spans="2:11" x14ac:dyDescent="0.25">
      <c r="B14" s="35" t="s">
        <v>51</v>
      </c>
      <c r="C14" s="38"/>
      <c r="D14" s="38"/>
      <c r="E14" s="84"/>
      <c r="F14" s="84"/>
      <c r="G14" s="45"/>
      <c r="H14" s="45"/>
      <c r="I14" s="48"/>
      <c r="J14" s="45"/>
      <c r="K14" s="85"/>
    </row>
    <row r="15" spans="2:11" x14ac:dyDescent="0.25">
      <c r="B15" s="42" t="s">
        <v>30</v>
      </c>
      <c r="C15" s="43">
        <f>SUM(C3:C13)</f>
        <v>91797.771397220189</v>
      </c>
      <c r="D15" s="43" t="e">
        <f>+SUM(D3:D13)</f>
        <v>#REF!</v>
      </c>
      <c r="E15" s="46" t="e">
        <f>SUM(E3:E13)</f>
        <v>#REF!</v>
      </c>
      <c r="F15" s="46">
        <f>SUM(F3:F13)</f>
        <v>37040000</v>
      </c>
      <c r="G15" s="46" t="e">
        <f>SUM(G3:G13)</f>
        <v>#REF!</v>
      </c>
      <c r="H15" s="46" t="e">
        <f>Tabla2[[#This Row],[Costo Total Servicio (Transporte + Disposición)(SIN IVA)]]/Tabla2[[#This Row],[Lodos Generados ]]</f>
        <v>#REF!</v>
      </c>
      <c r="I15" s="47" t="e">
        <f>Tabla2[[#This Row],[Valor Disposición de Lodo (SIN IVA)]]/Tabla2[[#This Row],[Agua Tratada PTAR ]]</f>
        <v>#REF!</v>
      </c>
      <c r="J15" s="47" t="e">
        <f>Tabla2[[#This Row],[Costo Total Servicio (Transporte + Disposición)(SIN IVA)]]/Tabla2[[#This Row],[Agua Tratada PTAR ]]</f>
        <v>#REF!</v>
      </c>
      <c r="K15" s="44" t="e">
        <f>Tabla2[[#This Row],[Lodos Generados ]]/Tabla2[[#This Row],[Agua Tratada PTAR ]]</f>
        <v>#REF!</v>
      </c>
    </row>
    <row r="16" spans="2:11" x14ac:dyDescent="0.25">
      <c r="B16" s="39"/>
      <c r="C16" s="9"/>
      <c r="D16" s="9"/>
      <c r="E16" s="9"/>
      <c r="F16" s="9"/>
      <c r="G16" s="9"/>
      <c r="H16" s="9"/>
      <c r="I16" s="40"/>
      <c r="J16" s="9"/>
      <c r="K16" s="9"/>
    </row>
    <row r="17" spans="9:15" x14ac:dyDescent="0.25">
      <c r="I17" s="12"/>
    </row>
    <row r="22" spans="9:15" x14ac:dyDescent="0.25">
      <c r="M22" s="162" t="s">
        <v>75</v>
      </c>
      <c r="N22" s="162"/>
      <c r="O22" s="162"/>
    </row>
    <row r="23" spans="9:15" x14ac:dyDescent="0.25">
      <c r="M23" s="1" t="s">
        <v>72</v>
      </c>
      <c r="N23" s="1" t="s">
        <v>74</v>
      </c>
      <c r="O23" s="1" t="s">
        <v>73</v>
      </c>
    </row>
    <row r="24" spans="9:15" x14ac:dyDescent="0.25">
      <c r="M24" s="1">
        <v>8400</v>
      </c>
      <c r="N24" s="8" t="e">
        <f>D11/C11</f>
        <v>#DIV/0!</v>
      </c>
      <c r="O24" s="67">
        <v>250.88619885672892</v>
      </c>
    </row>
    <row r="73" spans="3:11" ht="14.45" customHeight="1" x14ac:dyDescent="0.25">
      <c r="C73" s="161" t="s">
        <v>81</v>
      </c>
      <c r="D73" s="161"/>
      <c r="E73" s="161"/>
      <c r="F73" s="161"/>
      <c r="G73" s="161"/>
      <c r="H73" s="161"/>
      <c r="I73" s="161"/>
      <c r="J73" s="161"/>
      <c r="K73" s="161"/>
    </row>
    <row r="74" spans="3:11" ht="42.8" x14ac:dyDescent="0.25">
      <c r="C74" s="92" t="s">
        <v>82</v>
      </c>
      <c r="D74" s="92" t="s">
        <v>83</v>
      </c>
      <c r="E74" s="92" t="s">
        <v>84</v>
      </c>
      <c r="F74" s="92" t="s">
        <v>85</v>
      </c>
      <c r="G74" s="92" t="s">
        <v>86</v>
      </c>
      <c r="H74" s="92" t="s">
        <v>87</v>
      </c>
      <c r="I74" s="92" t="s">
        <v>88</v>
      </c>
      <c r="J74" s="92" t="s">
        <v>89</v>
      </c>
      <c r="K74" s="92" t="s">
        <v>91</v>
      </c>
    </row>
    <row r="75" spans="3:11" x14ac:dyDescent="0.25">
      <c r="C75" s="93">
        <v>54264</v>
      </c>
      <c r="D75" s="93">
        <v>146650</v>
      </c>
      <c r="E75" s="94">
        <v>14078400</v>
      </c>
      <c r="F75" s="94">
        <v>24000000</v>
      </c>
      <c r="G75" s="94">
        <f>+E75+F75</f>
        <v>38078400</v>
      </c>
      <c r="H75" s="94">
        <f>+G75/D75</f>
        <v>259.65496079099898</v>
      </c>
      <c r="I75" s="94">
        <f>+G75/C75</f>
        <v>701.72490048651036</v>
      </c>
      <c r="J75" s="95">
        <f>+D75/C75</f>
        <v>2.702528379772962</v>
      </c>
      <c r="K75" s="98">
        <f>+G75/C75</f>
        <v>701.72490048651036</v>
      </c>
    </row>
  </sheetData>
  <mergeCells count="2">
    <mergeCell ref="M22:O22"/>
    <mergeCell ref="C73:K73"/>
  </mergeCells>
  <phoneticPr fontId="4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5C651-2D70-4E26-9C1B-259BF9E02942}">
  <dimension ref="A1:R243"/>
  <sheetViews>
    <sheetView showGridLines="0" zoomScale="70" zoomScaleNormal="70" workbookViewId="0">
      <pane ySplit="1" topLeftCell="A6" activePane="bottomLeft" state="frozen"/>
      <selection pane="bottomLeft" activeCell="A177" sqref="A177:A209"/>
    </sheetView>
  </sheetViews>
  <sheetFormatPr baseColWidth="10" defaultRowHeight="14.3" x14ac:dyDescent="0.25"/>
  <cols>
    <col min="1" max="1" width="13.625" customWidth="1"/>
    <col min="2" max="2" width="11.875" style="2" customWidth="1"/>
    <col min="3" max="3" width="12.25" style="3" customWidth="1"/>
    <col min="4" max="4" width="19" style="4" customWidth="1"/>
    <col min="5" max="5" width="19" style="7" customWidth="1"/>
    <col min="6" max="6" width="17.875" style="5" customWidth="1"/>
    <col min="7" max="7" width="14.625" style="5" customWidth="1"/>
    <col min="8" max="8" width="12.625" style="11" customWidth="1"/>
    <col min="9" max="9" width="10.875" style="6" customWidth="1"/>
    <col min="10" max="10" width="18.75" style="2" bestFit="1" customWidth="1"/>
    <col min="11" max="11" width="19.125" customWidth="1"/>
    <col min="12" max="12" width="14" customWidth="1"/>
    <col min="13" max="13" width="19.75" customWidth="1"/>
    <col min="14" max="14" width="22" bestFit="1" customWidth="1"/>
    <col min="15" max="15" width="17.375" customWidth="1"/>
    <col min="16" max="16" width="19.75" bestFit="1" customWidth="1"/>
    <col min="17" max="17" width="21.75" bestFit="1" customWidth="1"/>
    <col min="18" max="18" width="14.375" customWidth="1"/>
  </cols>
  <sheetData>
    <row r="1" spans="1:18" ht="53.5" customHeight="1" thickBot="1" x14ac:dyDescent="0.3">
      <c r="A1" s="17" t="s">
        <v>6</v>
      </c>
      <c r="B1" s="14" t="s">
        <v>0</v>
      </c>
      <c r="C1" s="15" t="s">
        <v>1</v>
      </c>
      <c r="D1" s="16" t="s">
        <v>5</v>
      </c>
      <c r="E1" s="13" t="s">
        <v>4</v>
      </c>
      <c r="F1" s="9" t="s">
        <v>2</v>
      </c>
      <c r="G1" s="9" t="s">
        <v>12</v>
      </c>
      <c r="H1" s="10" t="s">
        <v>9</v>
      </c>
      <c r="I1" s="13" t="s">
        <v>3</v>
      </c>
      <c r="J1" s="9" t="s">
        <v>21</v>
      </c>
      <c r="K1" s="18" t="s">
        <v>7</v>
      </c>
      <c r="L1" s="18" t="s">
        <v>8</v>
      </c>
      <c r="M1" s="18" t="s">
        <v>11</v>
      </c>
      <c r="N1" s="18" t="s">
        <v>23</v>
      </c>
      <c r="O1" s="18" t="s">
        <v>10</v>
      </c>
      <c r="P1" s="19" t="s">
        <v>22</v>
      </c>
      <c r="Q1" s="19" t="s">
        <v>14</v>
      </c>
      <c r="R1" s="20" t="s">
        <v>15</v>
      </c>
    </row>
    <row r="2" spans="1:18" x14ac:dyDescent="0.25">
      <c r="A2" s="170" t="s">
        <v>78</v>
      </c>
      <c r="B2" s="86" t="e">
        <f>#REF!</f>
        <v>#REF!</v>
      </c>
      <c r="C2" s="21" t="e">
        <f>+#REF!</f>
        <v>#REF!</v>
      </c>
      <c r="D2" s="22" t="e">
        <f>+#REF!</f>
        <v>#REF!</v>
      </c>
      <c r="E2" s="23">
        <v>96</v>
      </c>
      <c r="F2" s="23" t="e">
        <f>+Tabla5[[#This Row],[Cantidad Lodos Generados (Kg) ]]*Tabla5[[#This Row],[Precio Unitario Disposición ($)]]</f>
        <v>#REF!</v>
      </c>
      <c r="G2" s="23" t="e">
        <f>Tabla5[[#This Row],[Valor Disposición Kg ($)]]*1.19</f>
        <v>#REF!</v>
      </c>
      <c r="H2" s="24">
        <v>1</v>
      </c>
      <c r="I2" s="25">
        <v>750000</v>
      </c>
      <c r="J2" s="87" t="e">
        <f>Tabla5[[#This Row],[Valor Disposición Kg ($)]]+(Tabla5[[#This Row],[Cantidad de Viajes ]]*Tabla5[[#This Row],[Costo Viaje ($)]])</f>
        <v>#REF!</v>
      </c>
      <c r="K2" s="173" t="e">
        <f>SUM(D2:D83)</f>
        <v>#REF!</v>
      </c>
      <c r="L2" s="166">
        <f>SUM(H2:H30)</f>
        <v>29</v>
      </c>
      <c r="M2" s="163" t="e">
        <f>SUM(F2:F30)</f>
        <v>#REF!</v>
      </c>
      <c r="N2" s="166" t="e">
        <f>M2*19%</f>
        <v>#REF!</v>
      </c>
      <c r="O2" s="163">
        <f>SUM(I2:I30)</f>
        <v>20830000</v>
      </c>
      <c r="P2" s="163" t="e">
        <f>M2+O2</f>
        <v>#REF!</v>
      </c>
      <c r="Q2" s="166" t="e">
        <f>SUM(M2+N2+O2)</f>
        <v>#REF!</v>
      </c>
      <c r="R2" s="178" t="e">
        <f>P2/K2</f>
        <v>#REF!</v>
      </c>
    </row>
    <row r="3" spans="1:18" x14ac:dyDescent="0.25">
      <c r="A3" s="171"/>
      <c r="B3" s="88" t="e">
        <f>#REF!</f>
        <v>#REF!</v>
      </c>
      <c r="C3" s="26" t="e">
        <f>+#REF!</f>
        <v>#REF!</v>
      </c>
      <c r="D3" s="27" t="e">
        <f>+#REF!</f>
        <v>#REF!</v>
      </c>
      <c r="E3" s="28">
        <v>96</v>
      </c>
      <c r="F3" s="28" t="e">
        <f>+Tabla5[[#This Row],[Cantidad Lodos Generados (Kg) ]]*Tabla5[[#This Row],[Precio Unitario Disposición ($)]]</f>
        <v>#REF!</v>
      </c>
      <c r="G3" s="28" t="e">
        <f>Tabla5[[#This Row],[Valor Disposición Kg ($)]]*1.19</f>
        <v>#REF!</v>
      </c>
      <c r="H3" s="29">
        <v>1</v>
      </c>
      <c r="I3" s="30">
        <v>750000</v>
      </c>
      <c r="J3" s="89" t="e">
        <f>Tabla5[[#This Row],[Valor Disposición Kg ($)]]+(Tabla5[[#This Row],[Cantidad de Viajes ]]*Tabla5[[#This Row],[Costo Viaje ($)]])</f>
        <v>#REF!</v>
      </c>
      <c r="K3" s="174"/>
      <c r="L3" s="164"/>
      <c r="M3" s="164"/>
      <c r="N3" s="164"/>
      <c r="O3" s="164"/>
      <c r="P3" s="164"/>
      <c r="Q3" s="164"/>
      <c r="R3" s="179"/>
    </row>
    <row r="4" spans="1:18" x14ac:dyDescent="0.25">
      <c r="A4" s="171"/>
      <c r="B4" s="88" t="e">
        <f>#REF!</f>
        <v>#REF!</v>
      </c>
      <c r="C4" s="26" t="e">
        <f>+#REF!</f>
        <v>#REF!</v>
      </c>
      <c r="D4" s="27" t="e">
        <f>+#REF!</f>
        <v>#REF!</v>
      </c>
      <c r="E4" s="28">
        <v>96</v>
      </c>
      <c r="F4" s="28" t="e">
        <f>+Tabla5[[#This Row],[Cantidad Lodos Generados (Kg) ]]*Tabla5[[#This Row],[Precio Unitario Disposición ($)]]</f>
        <v>#REF!</v>
      </c>
      <c r="G4" s="28" t="e">
        <f>Tabla5[[#This Row],[Valor Disposición Kg ($)]]*1.19</f>
        <v>#REF!</v>
      </c>
      <c r="H4" s="29">
        <v>1</v>
      </c>
      <c r="I4" s="30">
        <v>750000</v>
      </c>
      <c r="J4" s="89" t="e">
        <f>Tabla5[[#This Row],[Valor Disposición Kg ($)]]+(Tabla5[[#This Row],[Cantidad de Viajes ]]*Tabla5[[#This Row],[Costo Viaje ($)]])</f>
        <v>#REF!</v>
      </c>
      <c r="K4" s="174"/>
      <c r="L4" s="164"/>
      <c r="M4" s="164"/>
      <c r="N4" s="164"/>
      <c r="O4" s="164"/>
      <c r="P4" s="164"/>
      <c r="Q4" s="164"/>
      <c r="R4" s="179"/>
    </row>
    <row r="5" spans="1:18" x14ac:dyDescent="0.25">
      <c r="A5" s="171"/>
      <c r="B5" s="88" t="e">
        <f>#REF!</f>
        <v>#REF!</v>
      </c>
      <c r="C5" s="26" t="e">
        <f>+#REF!</f>
        <v>#REF!</v>
      </c>
      <c r="D5" s="27" t="e">
        <f>+#REF!</f>
        <v>#REF!</v>
      </c>
      <c r="E5" s="28">
        <v>96</v>
      </c>
      <c r="F5" s="28" t="e">
        <f>+Tabla5[[#This Row],[Cantidad Lodos Generados (Kg) ]]*Tabla5[[#This Row],[Precio Unitario Disposición ($)]]</f>
        <v>#REF!</v>
      </c>
      <c r="G5" s="28" t="e">
        <f>Tabla5[[#This Row],[Valor Disposición Kg ($)]]*1.19</f>
        <v>#REF!</v>
      </c>
      <c r="H5" s="29">
        <v>1</v>
      </c>
      <c r="I5" s="30">
        <v>750000</v>
      </c>
      <c r="J5" s="89" t="e">
        <f>Tabla5[[#This Row],[Valor Disposición Kg ($)]]+(Tabla5[[#This Row],[Cantidad de Viajes ]]*Tabla5[[#This Row],[Costo Viaje ($)]])</f>
        <v>#REF!</v>
      </c>
      <c r="K5" s="174"/>
      <c r="L5" s="164"/>
      <c r="M5" s="164"/>
      <c r="N5" s="164"/>
      <c r="O5" s="164"/>
      <c r="P5" s="164"/>
      <c r="Q5" s="164"/>
      <c r="R5" s="179"/>
    </row>
    <row r="6" spans="1:18" x14ac:dyDescent="0.25">
      <c r="A6" s="171"/>
      <c r="B6" s="88" t="e">
        <f>#REF!</f>
        <v>#REF!</v>
      </c>
      <c r="C6" s="26" t="e">
        <f>+#REF!</f>
        <v>#REF!</v>
      </c>
      <c r="D6" s="27" t="e">
        <f>+#REF!</f>
        <v>#REF!</v>
      </c>
      <c r="E6" s="28">
        <v>96</v>
      </c>
      <c r="F6" s="28" t="e">
        <f>+Tabla5[[#This Row],[Cantidad Lodos Generados (Kg) ]]*Tabla5[[#This Row],[Precio Unitario Disposición ($)]]</f>
        <v>#REF!</v>
      </c>
      <c r="G6" s="28" t="e">
        <f>Tabla5[[#This Row],[Valor Disposición Kg ($)]]*1.19</f>
        <v>#REF!</v>
      </c>
      <c r="H6" s="29">
        <v>1</v>
      </c>
      <c r="I6" s="30">
        <v>750000</v>
      </c>
      <c r="J6" s="89" t="e">
        <f>Tabla5[[#This Row],[Valor Disposición Kg ($)]]+(Tabla5[[#This Row],[Cantidad de Viajes ]]*Tabla5[[#This Row],[Costo Viaje ($)]])</f>
        <v>#REF!</v>
      </c>
      <c r="K6" s="174"/>
      <c r="L6" s="164"/>
      <c r="M6" s="164"/>
      <c r="N6" s="164"/>
      <c r="O6" s="164"/>
      <c r="P6" s="164"/>
      <c r="Q6" s="164"/>
      <c r="R6" s="179"/>
    </row>
    <row r="7" spans="1:18" x14ac:dyDescent="0.25">
      <c r="A7" s="171"/>
      <c r="B7" s="88" t="e">
        <f>#REF!</f>
        <v>#REF!</v>
      </c>
      <c r="C7" s="26" t="e">
        <f>+#REF!</f>
        <v>#REF!</v>
      </c>
      <c r="D7" s="27" t="e">
        <f>+#REF!</f>
        <v>#REF!</v>
      </c>
      <c r="E7" s="28">
        <v>96</v>
      </c>
      <c r="F7" s="28" t="e">
        <f>+Tabla5[[#This Row],[Cantidad Lodos Generados (Kg) ]]*Tabla5[[#This Row],[Precio Unitario Disposición ($)]]</f>
        <v>#REF!</v>
      </c>
      <c r="G7" s="28" t="e">
        <f>Tabla5[[#This Row],[Valor Disposición Kg ($)]]*1.19</f>
        <v>#REF!</v>
      </c>
      <c r="H7" s="29">
        <v>1</v>
      </c>
      <c r="I7" s="30">
        <v>750000</v>
      </c>
      <c r="J7" s="89" t="e">
        <f>Tabla5[[#This Row],[Valor Disposición Kg ($)]]+(Tabla5[[#This Row],[Cantidad de Viajes ]]*Tabla5[[#This Row],[Costo Viaje ($)]])</f>
        <v>#REF!</v>
      </c>
      <c r="K7" s="174"/>
      <c r="L7" s="164"/>
      <c r="M7" s="164"/>
      <c r="N7" s="164"/>
      <c r="O7" s="164"/>
      <c r="P7" s="164"/>
      <c r="Q7" s="164"/>
      <c r="R7" s="179"/>
    </row>
    <row r="8" spans="1:18" x14ac:dyDescent="0.25">
      <c r="A8" s="171"/>
      <c r="B8" s="88" t="e">
        <f>#REF!</f>
        <v>#REF!</v>
      </c>
      <c r="C8" s="26" t="e">
        <f>+#REF!</f>
        <v>#REF!</v>
      </c>
      <c r="D8" s="27" t="e">
        <f>+#REF!</f>
        <v>#REF!</v>
      </c>
      <c r="E8" s="28">
        <v>96</v>
      </c>
      <c r="F8" s="28" t="e">
        <f>+Tabla5[[#This Row],[Cantidad Lodos Generados (Kg) ]]*Tabla5[[#This Row],[Precio Unitario Disposición ($)]]</f>
        <v>#REF!</v>
      </c>
      <c r="G8" s="28" t="e">
        <f>Tabla5[[#This Row],[Valor Disposición Kg ($)]]*1.19</f>
        <v>#REF!</v>
      </c>
      <c r="H8" s="29">
        <v>1</v>
      </c>
      <c r="I8" s="30">
        <v>750000</v>
      </c>
      <c r="J8" s="89" t="e">
        <f>Tabla5[[#This Row],[Valor Disposición Kg ($)]]+(Tabla5[[#This Row],[Cantidad de Viajes ]]*Tabla5[[#This Row],[Costo Viaje ($)]])</f>
        <v>#REF!</v>
      </c>
      <c r="K8" s="174"/>
      <c r="L8" s="164"/>
      <c r="M8" s="164"/>
      <c r="N8" s="164"/>
      <c r="O8" s="164"/>
      <c r="P8" s="164"/>
      <c r="Q8" s="164"/>
      <c r="R8" s="179"/>
    </row>
    <row r="9" spans="1:18" x14ac:dyDescent="0.25">
      <c r="A9" s="171"/>
      <c r="B9" s="88" t="e">
        <f>#REF!</f>
        <v>#REF!</v>
      </c>
      <c r="C9" s="26" t="e">
        <f>+#REF!</f>
        <v>#REF!</v>
      </c>
      <c r="D9" s="27" t="e">
        <f>+#REF!</f>
        <v>#REF!</v>
      </c>
      <c r="E9" s="28">
        <v>96</v>
      </c>
      <c r="F9" s="28" t="e">
        <f>+Tabla5[[#This Row],[Cantidad Lodos Generados (Kg) ]]*Tabla5[[#This Row],[Precio Unitario Disposición ($)]]</f>
        <v>#REF!</v>
      </c>
      <c r="G9" s="28" t="e">
        <f>Tabla5[[#This Row],[Valor Disposición Kg ($)]]*1.19</f>
        <v>#REF!</v>
      </c>
      <c r="H9" s="29">
        <v>1</v>
      </c>
      <c r="I9" s="30">
        <v>750000</v>
      </c>
      <c r="J9" s="89" t="e">
        <f>Tabla5[[#This Row],[Valor Disposición Kg ($)]]+(Tabla5[[#This Row],[Cantidad de Viajes ]]*Tabla5[[#This Row],[Costo Viaje ($)]])</f>
        <v>#REF!</v>
      </c>
      <c r="K9" s="174"/>
      <c r="L9" s="164"/>
      <c r="M9" s="164"/>
      <c r="N9" s="164"/>
      <c r="O9" s="164"/>
      <c r="P9" s="164"/>
      <c r="Q9" s="164"/>
      <c r="R9" s="179"/>
    </row>
    <row r="10" spans="1:18" x14ac:dyDescent="0.25">
      <c r="A10" s="171"/>
      <c r="B10" s="88" t="e">
        <f>#REF!</f>
        <v>#REF!</v>
      </c>
      <c r="C10" s="26" t="e">
        <f>+#REF!</f>
        <v>#REF!</v>
      </c>
      <c r="D10" s="27" t="e">
        <f>+#REF!</f>
        <v>#REF!</v>
      </c>
      <c r="E10" s="28">
        <v>96</v>
      </c>
      <c r="F10" s="28" t="e">
        <f>+Tabla5[[#This Row],[Cantidad Lodos Generados (Kg) ]]*Tabla5[[#This Row],[Precio Unitario Disposición ($)]]</f>
        <v>#REF!</v>
      </c>
      <c r="G10" s="28" t="e">
        <f>Tabla5[[#This Row],[Valor Disposición Kg ($)]]*1.19</f>
        <v>#REF!</v>
      </c>
      <c r="H10" s="29">
        <v>1</v>
      </c>
      <c r="I10" s="30">
        <v>750000</v>
      </c>
      <c r="J10" s="89" t="e">
        <f>Tabla5[[#This Row],[Valor Disposición Kg ($)]]+(Tabla5[[#This Row],[Cantidad de Viajes ]]*Tabla5[[#This Row],[Costo Viaje ($)]])</f>
        <v>#REF!</v>
      </c>
      <c r="K10" s="174"/>
      <c r="L10" s="164"/>
      <c r="M10" s="164"/>
      <c r="N10" s="164"/>
      <c r="O10" s="164"/>
      <c r="P10" s="164"/>
      <c r="Q10" s="164"/>
      <c r="R10" s="179"/>
    </row>
    <row r="11" spans="1:18" x14ac:dyDescent="0.25">
      <c r="A11" s="171"/>
      <c r="B11" s="88" t="e">
        <f>#REF!</f>
        <v>#REF!</v>
      </c>
      <c r="C11" s="26" t="e">
        <f>+#REF!</f>
        <v>#REF!</v>
      </c>
      <c r="D11" s="27" t="e">
        <f>+#REF!</f>
        <v>#REF!</v>
      </c>
      <c r="E11" s="28">
        <v>96</v>
      </c>
      <c r="F11" s="28" t="e">
        <f>+Tabla5[[#This Row],[Cantidad Lodos Generados (Kg) ]]*Tabla5[[#This Row],[Precio Unitario Disposición ($)]]</f>
        <v>#REF!</v>
      </c>
      <c r="G11" s="28" t="e">
        <f>Tabla5[[#This Row],[Valor Disposición Kg ($)]]*1.19</f>
        <v>#REF!</v>
      </c>
      <c r="H11" s="29">
        <v>1</v>
      </c>
      <c r="I11" s="30">
        <v>750000</v>
      </c>
      <c r="J11" s="89" t="e">
        <f>Tabla5[[#This Row],[Valor Disposición Kg ($)]]+(Tabla5[[#This Row],[Cantidad de Viajes ]]*Tabla5[[#This Row],[Costo Viaje ($)]])</f>
        <v>#REF!</v>
      </c>
      <c r="K11" s="174"/>
      <c r="L11" s="164"/>
      <c r="M11" s="164"/>
      <c r="N11" s="164"/>
      <c r="O11" s="164"/>
      <c r="P11" s="164"/>
      <c r="Q11" s="164"/>
      <c r="R11" s="179"/>
    </row>
    <row r="12" spans="1:18" x14ac:dyDescent="0.25">
      <c r="A12" s="171"/>
      <c r="B12" s="88" t="e">
        <f>#REF!</f>
        <v>#REF!</v>
      </c>
      <c r="C12" s="26" t="e">
        <f>+#REF!</f>
        <v>#REF!</v>
      </c>
      <c r="D12" s="27" t="e">
        <f>+#REF!</f>
        <v>#REF!</v>
      </c>
      <c r="E12" s="28">
        <v>96</v>
      </c>
      <c r="F12" s="28" t="e">
        <f>+Tabla5[[#This Row],[Cantidad Lodos Generados (Kg) ]]*Tabla5[[#This Row],[Precio Unitario Disposición ($)]]</f>
        <v>#REF!</v>
      </c>
      <c r="G12" s="28" t="e">
        <f>Tabla5[[#This Row],[Valor Disposición Kg ($)]]*1.19</f>
        <v>#REF!</v>
      </c>
      <c r="H12" s="29">
        <v>1</v>
      </c>
      <c r="I12" s="30">
        <v>750000</v>
      </c>
      <c r="J12" s="89" t="e">
        <f>Tabla5[[#This Row],[Valor Disposición Kg ($)]]+(Tabla5[[#This Row],[Cantidad de Viajes ]]*Tabla5[[#This Row],[Costo Viaje ($)]])</f>
        <v>#REF!</v>
      </c>
      <c r="K12" s="174"/>
      <c r="L12" s="164"/>
      <c r="M12" s="164"/>
      <c r="N12" s="164"/>
      <c r="O12" s="164"/>
      <c r="P12" s="164"/>
      <c r="Q12" s="164"/>
      <c r="R12" s="179"/>
    </row>
    <row r="13" spans="1:18" x14ac:dyDescent="0.25">
      <c r="A13" s="171"/>
      <c r="B13" s="88" t="e">
        <f>#REF!</f>
        <v>#REF!</v>
      </c>
      <c r="C13" s="26" t="e">
        <f>+#REF!</f>
        <v>#REF!</v>
      </c>
      <c r="D13" s="27" t="e">
        <f>+#REF!</f>
        <v>#REF!</v>
      </c>
      <c r="E13" s="28">
        <v>96</v>
      </c>
      <c r="F13" s="28" t="e">
        <f>+Tabla5[[#This Row],[Cantidad Lodos Generados (Kg) ]]*Tabla5[[#This Row],[Precio Unitario Disposición ($)]]</f>
        <v>#REF!</v>
      </c>
      <c r="G13" s="28" t="e">
        <f>Tabla5[[#This Row],[Valor Disposición Kg ($)]]*1.19</f>
        <v>#REF!</v>
      </c>
      <c r="H13" s="29">
        <v>1</v>
      </c>
      <c r="I13" s="30">
        <v>750000</v>
      </c>
      <c r="J13" s="89" t="e">
        <f>Tabla5[[#This Row],[Valor Disposición Kg ($)]]+(Tabla5[[#This Row],[Cantidad de Viajes ]]*Tabla5[[#This Row],[Costo Viaje ($)]])</f>
        <v>#REF!</v>
      </c>
      <c r="K13" s="174"/>
      <c r="L13" s="164"/>
      <c r="M13" s="164"/>
      <c r="N13" s="164"/>
      <c r="O13" s="164"/>
      <c r="P13" s="164"/>
      <c r="Q13" s="164"/>
      <c r="R13" s="179"/>
    </row>
    <row r="14" spans="1:18" x14ac:dyDescent="0.25">
      <c r="A14" s="171"/>
      <c r="B14" s="88" t="e">
        <f>#REF!</f>
        <v>#REF!</v>
      </c>
      <c r="C14" s="26" t="e">
        <f>+#REF!</f>
        <v>#REF!</v>
      </c>
      <c r="D14" s="27" t="e">
        <f>+#REF!</f>
        <v>#REF!</v>
      </c>
      <c r="E14" s="28">
        <v>96</v>
      </c>
      <c r="F14" s="28" t="e">
        <f>+Tabla5[[#This Row],[Cantidad Lodos Generados (Kg) ]]*Tabla5[[#This Row],[Precio Unitario Disposición ($)]]</f>
        <v>#REF!</v>
      </c>
      <c r="G14" s="28" t="e">
        <f>Tabla5[[#This Row],[Valor Disposición Kg ($)]]*1.19</f>
        <v>#REF!</v>
      </c>
      <c r="H14" s="29">
        <v>1</v>
      </c>
      <c r="I14" s="30">
        <v>750000</v>
      </c>
      <c r="J14" s="89" t="e">
        <f>Tabla5[[#This Row],[Valor Disposición Kg ($)]]+(Tabla5[[#This Row],[Cantidad de Viajes ]]*Tabla5[[#This Row],[Costo Viaje ($)]])</f>
        <v>#REF!</v>
      </c>
      <c r="K14" s="174"/>
      <c r="L14" s="164"/>
      <c r="M14" s="164"/>
      <c r="N14" s="164"/>
      <c r="O14" s="164"/>
      <c r="P14" s="164"/>
      <c r="Q14" s="164"/>
      <c r="R14" s="179"/>
    </row>
    <row r="15" spans="1:18" x14ac:dyDescent="0.25">
      <c r="A15" s="171"/>
      <c r="B15" s="88" t="e">
        <f>#REF!</f>
        <v>#REF!</v>
      </c>
      <c r="C15" s="26" t="e">
        <f>+#REF!</f>
        <v>#REF!</v>
      </c>
      <c r="D15" s="27" t="e">
        <f>+#REF!</f>
        <v>#REF!</v>
      </c>
      <c r="E15" s="28">
        <v>96</v>
      </c>
      <c r="F15" s="28" t="e">
        <f>+Tabla5[[#This Row],[Cantidad Lodos Generados (Kg) ]]*Tabla5[[#This Row],[Precio Unitario Disposición ($)]]</f>
        <v>#REF!</v>
      </c>
      <c r="G15" s="28" t="e">
        <f>Tabla5[[#This Row],[Valor Disposición Kg ($)]]*1.19</f>
        <v>#REF!</v>
      </c>
      <c r="H15" s="29">
        <v>1</v>
      </c>
      <c r="I15" s="30">
        <v>750000</v>
      </c>
      <c r="J15" s="89" t="e">
        <f>Tabla5[[#This Row],[Valor Disposición Kg ($)]]+(Tabla5[[#This Row],[Cantidad de Viajes ]]*Tabla5[[#This Row],[Costo Viaje ($)]])</f>
        <v>#REF!</v>
      </c>
      <c r="K15" s="174"/>
      <c r="L15" s="164"/>
      <c r="M15" s="164"/>
      <c r="N15" s="164"/>
      <c r="O15" s="164"/>
      <c r="P15" s="164"/>
      <c r="Q15" s="164"/>
      <c r="R15" s="179"/>
    </row>
    <row r="16" spans="1:18" x14ac:dyDescent="0.25">
      <c r="A16" s="171"/>
      <c r="B16" s="88" t="e">
        <f>#REF!</f>
        <v>#REF!</v>
      </c>
      <c r="C16" s="26" t="e">
        <f>+#REF!</f>
        <v>#REF!</v>
      </c>
      <c r="D16" s="27" t="e">
        <f>+#REF!</f>
        <v>#REF!</v>
      </c>
      <c r="E16" s="28">
        <v>96</v>
      </c>
      <c r="F16" s="28" t="e">
        <f>+Tabla5[[#This Row],[Cantidad Lodos Generados (Kg) ]]*Tabla5[[#This Row],[Precio Unitario Disposición ($)]]</f>
        <v>#REF!</v>
      </c>
      <c r="G16" s="28" t="e">
        <f>Tabla5[[#This Row],[Valor Disposición Kg ($)]]*1.19</f>
        <v>#REF!</v>
      </c>
      <c r="H16" s="29">
        <v>1</v>
      </c>
      <c r="I16" s="30">
        <v>750000</v>
      </c>
      <c r="J16" s="89" t="e">
        <f>Tabla5[[#This Row],[Valor Disposición Kg ($)]]+(Tabla5[[#This Row],[Cantidad de Viajes ]]*Tabla5[[#This Row],[Costo Viaje ($)]])</f>
        <v>#REF!</v>
      </c>
      <c r="K16" s="174"/>
      <c r="L16" s="164"/>
      <c r="M16" s="164"/>
      <c r="N16" s="164"/>
      <c r="O16" s="164"/>
      <c r="P16" s="164"/>
      <c r="Q16" s="164"/>
      <c r="R16" s="179"/>
    </row>
    <row r="17" spans="1:18" x14ac:dyDescent="0.25">
      <c r="A17" s="171"/>
      <c r="B17" s="88" t="e">
        <f>#REF!</f>
        <v>#REF!</v>
      </c>
      <c r="C17" s="26" t="e">
        <f>+#REF!</f>
        <v>#REF!</v>
      </c>
      <c r="D17" s="27" t="e">
        <f>+#REF!</f>
        <v>#REF!</v>
      </c>
      <c r="E17" s="28">
        <v>96</v>
      </c>
      <c r="F17" s="28" t="e">
        <f>+Tabla5[[#This Row],[Cantidad Lodos Generados (Kg) ]]*Tabla5[[#This Row],[Precio Unitario Disposición ($)]]</f>
        <v>#REF!</v>
      </c>
      <c r="G17" s="28" t="e">
        <f>Tabla5[[#This Row],[Valor Disposición Kg ($)]]*1.19</f>
        <v>#REF!</v>
      </c>
      <c r="H17" s="29">
        <v>1</v>
      </c>
      <c r="I17" s="30">
        <v>750000</v>
      </c>
      <c r="J17" s="89" t="e">
        <f>Tabla5[[#This Row],[Valor Disposición Kg ($)]]+(Tabla5[[#This Row],[Cantidad de Viajes ]]*Tabla5[[#This Row],[Costo Viaje ($)]])</f>
        <v>#REF!</v>
      </c>
      <c r="K17" s="174"/>
      <c r="L17" s="164"/>
      <c r="M17" s="164"/>
      <c r="N17" s="164"/>
      <c r="O17" s="164"/>
      <c r="P17" s="164"/>
      <c r="Q17" s="164"/>
      <c r="R17" s="179"/>
    </row>
    <row r="18" spans="1:18" x14ac:dyDescent="0.25">
      <c r="A18" s="171"/>
      <c r="B18" s="88" t="e">
        <f>#REF!</f>
        <v>#REF!</v>
      </c>
      <c r="C18" s="26" t="e">
        <f>+#REF!</f>
        <v>#REF!</v>
      </c>
      <c r="D18" s="27" t="e">
        <f>+#REF!</f>
        <v>#REF!</v>
      </c>
      <c r="E18" s="28">
        <v>96</v>
      </c>
      <c r="F18" s="28" t="e">
        <f>+Tabla5[[#This Row],[Cantidad Lodos Generados (Kg) ]]*Tabla5[[#This Row],[Precio Unitario Disposición ($)]]</f>
        <v>#REF!</v>
      </c>
      <c r="G18" s="28" t="e">
        <f>Tabla5[[#This Row],[Valor Disposición Kg ($)]]*1.19</f>
        <v>#REF!</v>
      </c>
      <c r="H18" s="29">
        <v>1</v>
      </c>
      <c r="I18" s="30">
        <v>290000</v>
      </c>
      <c r="J18" s="89" t="e">
        <f>Tabla5[[#This Row],[Valor Disposición Kg ($)]]+(Tabla5[[#This Row],[Cantidad de Viajes ]]*Tabla5[[#This Row],[Costo Viaje ($)]])</f>
        <v>#REF!</v>
      </c>
      <c r="K18" s="174"/>
      <c r="L18" s="164"/>
      <c r="M18" s="164"/>
      <c r="N18" s="164"/>
      <c r="O18" s="164"/>
      <c r="P18" s="164"/>
      <c r="Q18" s="164"/>
      <c r="R18" s="179"/>
    </row>
    <row r="19" spans="1:18" x14ac:dyDescent="0.25">
      <c r="A19" s="171"/>
      <c r="B19" s="88" t="e">
        <f>#REF!</f>
        <v>#REF!</v>
      </c>
      <c r="C19" s="26" t="e">
        <f>+#REF!</f>
        <v>#REF!</v>
      </c>
      <c r="D19" s="27" t="e">
        <f>+#REF!</f>
        <v>#REF!</v>
      </c>
      <c r="E19" s="28">
        <v>96</v>
      </c>
      <c r="F19" s="28" t="e">
        <f>+Tabla5[[#This Row],[Cantidad Lodos Generados (Kg) ]]*Tabla5[[#This Row],[Precio Unitario Disposición ($)]]</f>
        <v>#REF!</v>
      </c>
      <c r="G19" s="28" t="e">
        <f>Tabla5[[#This Row],[Valor Disposición Kg ($)]]*1.19</f>
        <v>#REF!</v>
      </c>
      <c r="H19" s="29">
        <v>1</v>
      </c>
      <c r="I19" s="30">
        <v>750000</v>
      </c>
      <c r="J19" s="89" t="e">
        <f>Tabla5[[#This Row],[Valor Disposición Kg ($)]]+(Tabla5[[#This Row],[Cantidad de Viajes ]]*Tabla5[[#This Row],[Costo Viaje ($)]])</f>
        <v>#REF!</v>
      </c>
      <c r="K19" s="174"/>
      <c r="L19" s="164"/>
      <c r="M19" s="164"/>
      <c r="N19" s="164"/>
      <c r="O19" s="164"/>
      <c r="P19" s="164"/>
      <c r="Q19" s="164"/>
      <c r="R19" s="179"/>
    </row>
    <row r="20" spans="1:18" x14ac:dyDescent="0.25">
      <c r="A20" s="171"/>
      <c r="B20" s="88" t="e">
        <f>#REF!</f>
        <v>#REF!</v>
      </c>
      <c r="C20" s="26" t="e">
        <f>+#REF!</f>
        <v>#REF!</v>
      </c>
      <c r="D20" s="27" t="e">
        <f>+#REF!</f>
        <v>#REF!</v>
      </c>
      <c r="E20" s="28">
        <v>96</v>
      </c>
      <c r="F20" s="28" t="e">
        <f>+Tabla5[[#This Row],[Cantidad Lodos Generados (Kg) ]]*Tabla5[[#This Row],[Precio Unitario Disposición ($)]]</f>
        <v>#REF!</v>
      </c>
      <c r="G20" s="28" t="e">
        <f>Tabla5[[#This Row],[Valor Disposición Kg ($)]]*1.19</f>
        <v>#REF!</v>
      </c>
      <c r="H20" s="29">
        <v>1</v>
      </c>
      <c r="I20" s="30">
        <v>750000</v>
      </c>
      <c r="J20" s="89" t="e">
        <f>Tabla5[[#This Row],[Valor Disposición Kg ($)]]+(Tabla5[[#This Row],[Cantidad de Viajes ]]*Tabla5[[#This Row],[Costo Viaje ($)]])</f>
        <v>#REF!</v>
      </c>
      <c r="K20" s="174"/>
      <c r="L20" s="164"/>
      <c r="M20" s="164"/>
      <c r="N20" s="164"/>
      <c r="O20" s="164"/>
      <c r="P20" s="164"/>
      <c r="Q20" s="164"/>
      <c r="R20" s="179"/>
    </row>
    <row r="21" spans="1:18" x14ac:dyDescent="0.25">
      <c r="A21" s="171"/>
      <c r="B21" s="88" t="e">
        <f>#REF!</f>
        <v>#REF!</v>
      </c>
      <c r="C21" s="26" t="e">
        <f>+#REF!</f>
        <v>#REF!</v>
      </c>
      <c r="D21" s="27" t="e">
        <f>+#REF!</f>
        <v>#REF!</v>
      </c>
      <c r="E21" s="28">
        <v>96</v>
      </c>
      <c r="F21" s="28" t="e">
        <f>+Tabla5[[#This Row],[Cantidad Lodos Generados (Kg) ]]*Tabla5[[#This Row],[Precio Unitario Disposición ($)]]</f>
        <v>#REF!</v>
      </c>
      <c r="G21" s="28" t="e">
        <f>Tabla5[[#This Row],[Valor Disposición Kg ($)]]*1.19</f>
        <v>#REF!</v>
      </c>
      <c r="H21" s="29">
        <v>1</v>
      </c>
      <c r="I21" s="30">
        <v>750000</v>
      </c>
      <c r="J21" s="89" t="e">
        <f>Tabla5[[#This Row],[Valor Disposición Kg ($)]]+(Tabla5[[#This Row],[Cantidad de Viajes ]]*Tabla5[[#This Row],[Costo Viaje ($)]])</f>
        <v>#REF!</v>
      </c>
      <c r="K21" s="174"/>
      <c r="L21" s="164"/>
      <c r="M21" s="164"/>
      <c r="N21" s="164"/>
      <c r="O21" s="164"/>
      <c r="P21" s="164"/>
      <c r="Q21" s="164"/>
      <c r="R21" s="179"/>
    </row>
    <row r="22" spans="1:18" x14ac:dyDescent="0.25">
      <c r="A22" s="171"/>
      <c r="B22" s="88" t="e">
        <f>#REF!</f>
        <v>#REF!</v>
      </c>
      <c r="C22" s="26" t="e">
        <f>+#REF!</f>
        <v>#REF!</v>
      </c>
      <c r="D22" s="27" t="e">
        <f>+#REF!</f>
        <v>#REF!</v>
      </c>
      <c r="E22" s="28">
        <v>96</v>
      </c>
      <c r="F22" s="28" t="e">
        <f>+Tabla5[[#This Row],[Cantidad Lodos Generados (Kg) ]]*Tabla5[[#This Row],[Precio Unitario Disposición ($)]]</f>
        <v>#REF!</v>
      </c>
      <c r="G22" s="28" t="e">
        <f>Tabla5[[#This Row],[Valor Disposición Kg ($)]]*1.19</f>
        <v>#REF!</v>
      </c>
      <c r="H22" s="29">
        <v>1</v>
      </c>
      <c r="I22" s="30">
        <v>750000</v>
      </c>
      <c r="J22" s="89" t="e">
        <f>Tabla5[[#This Row],[Valor Disposición Kg ($)]]+(Tabla5[[#This Row],[Cantidad de Viajes ]]*Tabla5[[#This Row],[Costo Viaje ($)]])</f>
        <v>#REF!</v>
      </c>
      <c r="K22" s="174"/>
      <c r="L22" s="164"/>
      <c r="M22" s="164"/>
      <c r="N22" s="164"/>
      <c r="O22" s="164"/>
      <c r="P22" s="164"/>
      <c r="Q22" s="164"/>
      <c r="R22" s="179"/>
    </row>
    <row r="23" spans="1:18" x14ac:dyDescent="0.25">
      <c r="A23" s="171"/>
      <c r="B23" s="88" t="e">
        <f>#REF!</f>
        <v>#REF!</v>
      </c>
      <c r="C23" s="26" t="e">
        <f>+#REF!</f>
        <v>#REF!</v>
      </c>
      <c r="D23" s="27" t="e">
        <f>+#REF!</f>
        <v>#REF!</v>
      </c>
      <c r="E23" s="28">
        <v>96</v>
      </c>
      <c r="F23" s="28" t="e">
        <f>+Tabla5[[#This Row],[Cantidad Lodos Generados (Kg) ]]*Tabla5[[#This Row],[Precio Unitario Disposición ($)]]</f>
        <v>#REF!</v>
      </c>
      <c r="G23" s="28" t="e">
        <f>Tabla5[[#This Row],[Valor Disposición Kg ($)]]*1.19</f>
        <v>#REF!</v>
      </c>
      <c r="H23" s="29">
        <v>1</v>
      </c>
      <c r="I23" s="30">
        <v>750000</v>
      </c>
      <c r="J23" s="89" t="e">
        <f>Tabla5[[#This Row],[Valor Disposición Kg ($)]]+(Tabla5[[#This Row],[Cantidad de Viajes ]]*Tabla5[[#This Row],[Costo Viaje ($)]])</f>
        <v>#REF!</v>
      </c>
      <c r="K23" s="174"/>
      <c r="L23" s="164"/>
      <c r="M23" s="164"/>
      <c r="N23" s="164"/>
      <c r="O23" s="164"/>
      <c r="P23" s="164"/>
      <c r="Q23" s="164"/>
      <c r="R23" s="179"/>
    </row>
    <row r="24" spans="1:18" x14ac:dyDescent="0.25">
      <c r="A24" s="171"/>
      <c r="B24" s="88" t="e">
        <f>#REF!</f>
        <v>#REF!</v>
      </c>
      <c r="C24" s="26" t="e">
        <f>+#REF!</f>
        <v>#REF!</v>
      </c>
      <c r="D24" s="27" t="e">
        <f>+#REF!</f>
        <v>#REF!</v>
      </c>
      <c r="E24" s="28">
        <v>96</v>
      </c>
      <c r="F24" s="28" t="e">
        <f>+Tabla5[[#This Row],[Cantidad Lodos Generados (Kg) ]]*Tabla5[[#This Row],[Precio Unitario Disposición ($)]]</f>
        <v>#REF!</v>
      </c>
      <c r="G24" s="28" t="e">
        <f>Tabla5[[#This Row],[Valor Disposición Kg ($)]]*1.19</f>
        <v>#REF!</v>
      </c>
      <c r="H24" s="29">
        <v>1</v>
      </c>
      <c r="I24" s="30">
        <v>750000</v>
      </c>
      <c r="J24" s="89" t="e">
        <f>Tabla5[[#This Row],[Valor Disposición Kg ($)]]+(Tabla5[[#This Row],[Cantidad de Viajes ]]*Tabla5[[#This Row],[Costo Viaje ($)]])</f>
        <v>#REF!</v>
      </c>
      <c r="K24" s="174"/>
      <c r="L24" s="164"/>
      <c r="M24" s="164"/>
      <c r="N24" s="164"/>
      <c r="O24" s="164"/>
      <c r="P24" s="164"/>
      <c r="Q24" s="164"/>
      <c r="R24" s="179"/>
    </row>
    <row r="25" spans="1:18" x14ac:dyDescent="0.25">
      <c r="A25" s="171"/>
      <c r="B25" s="88" t="e">
        <f>#REF!</f>
        <v>#REF!</v>
      </c>
      <c r="C25" s="26" t="e">
        <f>+#REF!</f>
        <v>#REF!</v>
      </c>
      <c r="D25" s="27" t="e">
        <f>+#REF!</f>
        <v>#REF!</v>
      </c>
      <c r="E25" s="28">
        <v>96</v>
      </c>
      <c r="F25" s="28" t="e">
        <f>+Tabla5[[#This Row],[Cantidad Lodos Generados (Kg) ]]*Tabla5[[#This Row],[Precio Unitario Disposición ($)]]</f>
        <v>#REF!</v>
      </c>
      <c r="G25" s="28" t="e">
        <f>Tabla5[[#This Row],[Valor Disposición Kg ($)]]*1.19</f>
        <v>#REF!</v>
      </c>
      <c r="H25" s="29">
        <v>1</v>
      </c>
      <c r="I25" s="30">
        <v>750000</v>
      </c>
      <c r="J25" s="89" t="e">
        <f>Tabla5[[#This Row],[Valor Disposición Kg ($)]]+(Tabla5[[#This Row],[Cantidad de Viajes ]]*Tabla5[[#This Row],[Costo Viaje ($)]])</f>
        <v>#REF!</v>
      </c>
      <c r="K25" s="174"/>
      <c r="L25" s="164"/>
      <c r="M25" s="164"/>
      <c r="N25" s="164"/>
      <c r="O25" s="164"/>
      <c r="P25" s="164"/>
      <c r="Q25" s="164"/>
      <c r="R25" s="179"/>
    </row>
    <row r="26" spans="1:18" x14ac:dyDescent="0.25">
      <c r="A26" s="171"/>
      <c r="B26" s="88" t="e">
        <f>#REF!</f>
        <v>#REF!</v>
      </c>
      <c r="C26" s="26" t="e">
        <f>+#REF!</f>
        <v>#REF!</v>
      </c>
      <c r="D26" s="27" t="e">
        <f>+#REF!</f>
        <v>#REF!</v>
      </c>
      <c r="E26" s="28">
        <v>96</v>
      </c>
      <c r="F26" s="28" t="e">
        <f>+Tabla5[[#This Row],[Cantidad Lodos Generados (Kg) ]]*Tabla5[[#This Row],[Precio Unitario Disposición ($)]]</f>
        <v>#REF!</v>
      </c>
      <c r="G26" s="28" t="e">
        <f>Tabla5[[#This Row],[Valor Disposición Kg ($)]]*1.19</f>
        <v>#REF!</v>
      </c>
      <c r="H26" s="29">
        <v>1</v>
      </c>
      <c r="I26" s="30">
        <v>750000</v>
      </c>
      <c r="J26" s="89" t="e">
        <f>Tabla5[[#This Row],[Valor Disposición Kg ($)]]+(Tabla5[[#This Row],[Cantidad de Viajes ]]*Tabla5[[#This Row],[Costo Viaje ($)]])</f>
        <v>#REF!</v>
      </c>
      <c r="K26" s="174"/>
      <c r="L26" s="164"/>
      <c r="M26" s="164"/>
      <c r="N26" s="164"/>
      <c r="O26" s="164"/>
      <c r="P26" s="164"/>
      <c r="Q26" s="164"/>
      <c r="R26" s="179"/>
    </row>
    <row r="27" spans="1:18" x14ac:dyDescent="0.25">
      <c r="A27" s="171"/>
      <c r="B27" s="88" t="e">
        <f>#REF!</f>
        <v>#REF!</v>
      </c>
      <c r="C27" s="26" t="e">
        <f>+#REF!</f>
        <v>#REF!</v>
      </c>
      <c r="D27" s="27" t="e">
        <f>+#REF!</f>
        <v>#REF!</v>
      </c>
      <c r="E27" s="28">
        <v>96</v>
      </c>
      <c r="F27" s="28" t="e">
        <f>+Tabla5[[#This Row],[Cantidad Lodos Generados (Kg) ]]*Tabla5[[#This Row],[Precio Unitario Disposición ($)]]</f>
        <v>#REF!</v>
      </c>
      <c r="G27" s="28" t="e">
        <f>Tabla5[[#This Row],[Valor Disposición Kg ($)]]*1.19</f>
        <v>#REF!</v>
      </c>
      <c r="H27" s="29">
        <v>1</v>
      </c>
      <c r="I27" s="30">
        <v>750000</v>
      </c>
      <c r="J27" s="89" t="e">
        <f>Tabla5[[#This Row],[Valor Disposición Kg ($)]]+(Tabla5[[#This Row],[Cantidad de Viajes ]]*Tabla5[[#This Row],[Costo Viaje ($)]])</f>
        <v>#REF!</v>
      </c>
      <c r="K27" s="174"/>
      <c r="L27" s="164"/>
      <c r="M27" s="164"/>
      <c r="N27" s="164"/>
      <c r="O27" s="164"/>
      <c r="P27" s="164"/>
      <c r="Q27" s="164"/>
      <c r="R27" s="179"/>
    </row>
    <row r="28" spans="1:18" x14ac:dyDescent="0.25">
      <c r="A28" s="171"/>
      <c r="B28" s="88" t="e">
        <f>#REF!</f>
        <v>#REF!</v>
      </c>
      <c r="C28" s="26" t="e">
        <f>+#REF!</f>
        <v>#REF!</v>
      </c>
      <c r="D28" s="27" t="e">
        <f>+#REF!</f>
        <v>#REF!</v>
      </c>
      <c r="E28" s="28">
        <v>96</v>
      </c>
      <c r="F28" s="28" t="e">
        <f>+Tabla5[[#This Row],[Cantidad Lodos Generados (Kg) ]]*Tabla5[[#This Row],[Precio Unitario Disposición ($)]]</f>
        <v>#REF!</v>
      </c>
      <c r="G28" s="28" t="e">
        <f>Tabla5[[#This Row],[Valor Disposición Kg ($)]]*1.19</f>
        <v>#REF!</v>
      </c>
      <c r="H28" s="29">
        <v>1</v>
      </c>
      <c r="I28" s="30">
        <v>750000</v>
      </c>
      <c r="J28" s="89" t="e">
        <f>Tabla5[[#This Row],[Valor Disposición Kg ($)]]+(Tabla5[[#This Row],[Cantidad de Viajes ]]*Tabla5[[#This Row],[Costo Viaje ($)]])</f>
        <v>#REF!</v>
      </c>
      <c r="K28" s="174"/>
      <c r="L28" s="164"/>
      <c r="M28" s="164"/>
      <c r="N28" s="164"/>
      <c r="O28" s="164"/>
      <c r="P28" s="164"/>
      <c r="Q28" s="164"/>
      <c r="R28" s="179"/>
    </row>
    <row r="29" spans="1:18" x14ac:dyDescent="0.25">
      <c r="A29" s="171"/>
      <c r="B29" s="88" t="e">
        <f>#REF!</f>
        <v>#REF!</v>
      </c>
      <c r="C29" s="26" t="e">
        <f>+#REF!</f>
        <v>#REF!</v>
      </c>
      <c r="D29" s="27" t="e">
        <f>+#REF!</f>
        <v>#REF!</v>
      </c>
      <c r="E29" s="28">
        <v>96</v>
      </c>
      <c r="F29" s="28" t="e">
        <f>+Tabla5[[#This Row],[Cantidad Lodos Generados (Kg) ]]*Tabla5[[#This Row],[Precio Unitario Disposición ($)]]</f>
        <v>#REF!</v>
      </c>
      <c r="G29" s="28" t="e">
        <f>Tabla5[[#This Row],[Valor Disposición Kg ($)]]*1.19</f>
        <v>#REF!</v>
      </c>
      <c r="H29" s="29">
        <v>1</v>
      </c>
      <c r="I29" s="30">
        <v>290000</v>
      </c>
      <c r="J29" s="89" t="e">
        <f>Tabla5[[#This Row],[Valor Disposición Kg ($)]]+(Tabla5[[#This Row],[Cantidad de Viajes ]]*Tabla5[[#This Row],[Costo Viaje ($)]])</f>
        <v>#REF!</v>
      </c>
      <c r="K29" s="174"/>
      <c r="L29" s="164"/>
      <c r="M29" s="164"/>
      <c r="N29" s="164"/>
      <c r="O29" s="164"/>
      <c r="P29" s="164"/>
      <c r="Q29" s="164"/>
      <c r="R29" s="179"/>
    </row>
    <row r="30" spans="1:18" ht="14.95" thickBot="1" x14ac:dyDescent="0.3">
      <c r="A30" s="172"/>
      <c r="B30" s="90" t="e">
        <f>#REF!</f>
        <v>#REF!</v>
      </c>
      <c r="C30" s="49" t="e">
        <f>+#REF!</f>
        <v>#REF!</v>
      </c>
      <c r="D30" s="50" t="e">
        <f>+#REF!</f>
        <v>#REF!</v>
      </c>
      <c r="E30" s="51">
        <v>96</v>
      </c>
      <c r="F30" s="51" t="e">
        <f>+Tabla5[[#This Row],[Cantidad Lodos Generados (Kg) ]]*Tabla5[[#This Row],[Precio Unitario Disposición ($)]]</f>
        <v>#REF!</v>
      </c>
      <c r="G30" s="51" t="e">
        <f>Tabla5[[#This Row],[Valor Disposición Kg ($)]]*1.19</f>
        <v>#REF!</v>
      </c>
      <c r="H30" s="52">
        <v>1</v>
      </c>
      <c r="I30" s="53">
        <v>750000</v>
      </c>
      <c r="J30" s="91" t="e">
        <f>Tabla5[[#This Row],[Valor Disposición Kg ($)]]+(Tabla5[[#This Row],[Cantidad de Viajes ]]*Tabla5[[#This Row],[Costo Viaje ($)]])</f>
        <v>#REF!</v>
      </c>
      <c r="K30" s="175"/>
      <c r="L30" s="165"/>
      <c r="M30" s="165"/>
      <c r="N30" s="165"/>
      <c r="O30" s="165"/>
      <c r="P30" s="165"/>
      <c r="Q30" s="165"/>
      <c r="R30" s="180"/>
    </row>
    <row r="31" spans="1:18" x14ac:dyDescent="0.25">
      <c r="A31" s="170" t="s">
        <v>79</v>
      </c>
      <c r="B31" s="86" t="e">
        <f>#REF!</f>
        <v>#REF!</v>
      </c>
      <c r="C31" s="21" t="e">
        <f>+#REF!</f>
        <v>#REF!</v>
      </c>
      <c r="D31" s="22" t="e">
        <f>+#REF!</f>
        <v>#REF!</v>
      </c>
      <c r="E31" s="23">
        <v>96</v>
      </c>
      <c r="F31" s="23" t="e">
        <f>+Tabla5[[#This Row],[Cantidad Lodos Generados (Kg) ]]*Tabla5[[#This Row],[Precio Unitario Disposición ($)]]</f>
        <v>#REF!</v>
      </c>
      <c r="G31" s="23" t="e">
        <f>Tabla5[[#This Row],[Valor Disposición Kg ($)]]*1.19</f>
        <v>#REF!</v>
      </c>
      <c r="H31" s="24">
        <v>1</v>
      </c>
      <c r="I31" s="25">
        <v>750000</v>
      </c>
      <c r="J31" s="87" t="e">
        <f>Tabla5[[#This Row],[Valor Disposición Kg ($)]]+(Tabla5[[#This Row],[Cantidad de Viajes ]]*Tabla5[[#This Row],[Costo Viaje ($)]])</f>
        <v>#REF!</v>
      </c>
      <c r="K31" s="173" t="e">
        <f>SUM(D31:D59)</f>
        <v>#REF!</v>
      </c>
      <c r="L31" s="166">
        <f>SUM(H31:H59)</f>
        <v>28</v>
      </c>
      <c r="M31" s="163" t="e">
        <f>SUM(F31:F59)</f>
        <v>#REF!</v>
      </c>
      <c r="N31" s="166" t="e">
        <f>M31*19%</f>
        <v>#REF!</v>
      </c>
      <c r="O31" s="163">
        <f>SUM(I31:I59)</f>
        <v>20540000</v>
      </c>
      <c r="P31" s="166" t="e">
        <f>M31+O31</f>
        <v>#REF!</v>
      </c>
      <c r="Q31" s="166" t="e">
        <f>SUM(M31+N31+O31)</f>
        <v>#REF!</v>
      </c>
      <c r="R31" s="178" t="e">
        <f>P31/K31</f>
        <v>#REF!</v>
      </c>
    </row>
    <row r="32" spans="1:18" x14ac:dyDescent="0.25">
      <c r="A32" s="171"/>
      <c r="B32" s="88" t="e">
        <f>#REF!</f>
        <v>#REF!</v>
      </c>
      <c r="C32" s="26" t="e">
        <f>+#REF!</f>
        <v>#REF!</v>
      </c>
      <c r="D32" s="27" t="e">
        <f>+#REF!</f>
        <v>#REF!</v>
      </c>
      <c r="E32" s="28">
        <v>96</v>
      </c>
      <c r="F32" s="28" t="e">
        <f>+Tabla5[[#This Row],[Cantidad Lodos Generados (Kg) ]]*Tabla5[[#This Row],[Precio Unitario Disposición ($)]]</f>
        <v>#REF!</v>
      </c>
      <c r="G32" s="28" t="e">
        <f>Tabla5[[#This Row],[Valor Disposición Kg ($)]]*1.19</f>
        <v>#REF!</v>
      </c>
      <c r="H32" s="29">
        <v>1</v>
      </c>
      <c r="I32" s="30">
        <v>750000</v>
      </c>
      <c r="J32" s="89" t="e">
        <f>Tabla5[[#This Row],[Valor Disposición Kg ($)]]+(Tabla5[[#This Row],[Cantidad de Viajes ]]*Tabla5[[#This Row],[Costo Viaje ($)]])</f>
        <v>#REF!</v>
      </c>
      <c r="K32" s="174"/>
      <c r="L32" s="164"/>
      <c r="M32" s="164"/>
      <c r="N32" s="164"/>
      <c r="O32" s="164"/>
      <c r="P32" s="164"/>
      <c r="Q32" s="164"/>
      <c r="R32" s="179"/>
    </row>
    <row r="33" spans="1:18" x14ac:dyDescent="0.25">
      <c r="A33" s="171"/>
      <c r="B33" s="88" t="e">
        <f>#REF!</f>
        <v>#REF!</v>
      </c>
      <c r="C33" s="26" t="e">
        <f>+#REF!</f>
        <v>#REF!</v>
      </c>
      <c r="D33" s="27" t="e">
        <f>+#REF!</f>
        <v>#REF!</v>
      </c>
      <c r="E33" s="28">
        <v>96</v>
      </c>
      <c r="F33" s="28" t="e">
        <f>+Tabla5[[#This Row],[Cantidad Lodos Generados (Kg) ]]*Tabla5[[#This Row],[Precio Unitario Disposición ($)]]</f>
        <v>#REF!</v>
      </c>
      <c r="G33" s="28" t="e">
        <f>Tabla5[[#This Row],[Valor Disposición Kg ($)]]*1.19</f>
        <v>#REF!</v>
      </c>
      <c r="H33" s="29">
        <v>1</v>
      </c>
      <c r="I33" s="30">
        <v>750000</v>
      </c>
      <c r="J33" s="89" t="e">
        <f>Tabla5[[#This Row],[Valor Disposición Kg ($)]]+(Tabla5[[#This Row],[Cantidad de Viajes ]]*Tabla5[[#This Row],[Costo Viaje ($)]])</f>
        <v>#REF!</v>
      </c>
      <c r="K33" s="174"/>
      <c r="L33" s="164"/>
      <c r="M33" s="164"/>
      <c r="N33" s="164"/>
      <c r="O33" s="164"/>
      <c r="P33" s="164"/>
      <c r="Q33" s="164"/>
      <c r="R33" s="179"/>
    </row>
    <row r="34" spans="1:18" x14ac:dyDescent="0.25">
      <c r="A34" s="171"/>
      <c r="B34" s="88" t="e">
        <f>#REF!</f>
        <v>#REF!</v>
      </c>
      <c r="C34" s="26" t="e">
        <f>+#REF!</f>
        <v>#REF!</v>
      </c>
      <c r="D34" s="27" t="e">
        <f>+#REF!</f>
        <v>#REF!</v>
      </c>
      <c r="E34" s="28">
        <v>96</v>
      </c>
      <c r="F34" s="28" t="e">
        <f>+Tabla5[[#This Row],[Cantidad Lodos Generados (Kg) ]]*Tabla5[[#This Row],[Precio Unitario Disposición ($)]]</f>
        <v>#REF!</v>
      </c>
      <c r="G34" s="28" t="e">
        <f>Tabla5[[#This Row],[Valor Disposición Kg ($)]]*1.19</f>
        <v>#REF!</v>
      </c>
      <c r="H34" s="29">
        <v>1</v>
      </c>
      <c r="I34" s="30">
        <v>750000</v>
      </c>
      <c r="J34" s="89" t="e">
        <f>Tabla5[[#This Row],[Valor Disposición Kg ($)]]+(Tabla5[[#This Row],[Cantidad de Viajes ]]*Tabla5[[#This Row],[Costo Viaje ($)]])</f>
        <v>#REF!</v>
      </c>
      <c r="K34" s="174"/>
      <c r="L34" s="164"/>
      <c r="M34" s="164"/>
      <c r="N34" s="164"/>
      <c r="O34" s="164"/>
      <c r="P34" s="164"/>
      <c r="Q34" s="164"/>
      <c r="R34" s="179"/>
    </row>
    <row r="35" spans="1:18" x14ac:dyDescent="0.25">
      <c r="A35" s="171"/>
      <c r="B35" s="88" t="e">
        <f>#REF!</f>
        <v>#REF!</v>
      </c>
      <c r="C35" s="26" t="e">
        <f>+#REF!</f>
        <v>#REF!</v>
      </c>
      <c r="D35" s="27" t="e">
        <f>+#REF!</f>
        <v>#REF!</v>
      </c>
      <c r="E35" s="28">
        <v>96</v>
      </c>
      <c r="F35" s="28" t="e">
        <f>+Tabla5[[#This Row],[Cantidad Lodos Generados (Kg) ]]*Tabla5[[#This Row],[Precio Unitario Disposición ($)]]</f>
        <v>#REF!</v>
      </c>
      <c r="G35" s="28" t="e">
        <f>Tabla5[[#This Row],[Valor Disposición Kg ($)]]*1.19</f>
        <v>#REF!</v>
      </c>
      <c r="H35" s="29">
        <v>1</v>
      </c>
      <c r="I35" s="30">
        <v>750000</v>
      </c>
      <c r="J35" s="89" t="e">
        <f>Tabla5[[#This Row],[Valor Disposición Kg ($)]]+(Tabla5[[#This Row],[Cantidad de Viajes ]]*Tabla5[[#This Row],[Costo Viaje ($)]])</f>
        <v>#REF!</v>
      </c>
      <c r="K35" s="174"/>
      <c r="L35" s="164"/>
      <c r="M35" s="164"/>
      <c r="N35" s="164"/>
      <c r="O35" s="164"/>
      <c r="P35" s="164"/>
      <c r="Q35" s="164"/>
      <c r="R35" s="179"/>
    </row>
    <row r="36" spans="1:18" x14ac:dyDescent="0.25">
      <c r="A36" s="171"/>
      <c r="B36" s="88" t="e">
        <f>#REF!</f>
        <v>#REF!</v>
      </c>
      <c r="C36" s="26" t="e">
        <f>+#REF!</f>
        <v>#REF!</v>
      </c>
      <c r="D36" s="27" t="e">
        <f>+#REF!</f>
        <v>#REF!</v>
      </c>
      <c r="E36" s="28">
        <v>96</v>
      </c>
      <c r="F36" s="28" t="e">
        <f>+Tabla5[[#This Row],[Cantidad Lodos Generados (Kg) ]]*Tabla5[[#This Row],[Precio Unitario Disposición ($)]]</f>
        <v>#REF!</v>
      </c>
      <c r="G36" s="28" t="e">
        <f>Tabla5[[#This Row],[Valor Disposición Kg ($)]]*1.19</f>
        <v>#REF!</v>
      </c>
      <c r="H36" s="29">
        <v>1</v>
      </c>
      <c r="I36" s="30">
        <v>750000</v>
      </c>
      <c r="J36" s="89" t="e">
        <f>Tabla5[[#This Row],[Valor Disposición Kg ($)]]+(Tabla5[[#This Row],[Cantidad de Viajes ]]*Tabla5[[#This Row],[Costo Viaje ($)]])</f>
        <v>#REF!</v>
      </c>
      <c r="K36" s="174"/>
      <c r="L36" s="164"/>
      <c r="M36" s="164"/>
      <c r="N36" s="164"/>
      <c r="O36" s="164"/>
      <c r="P36" s="164"/>
      <c r="Q36" s="164"/>
      <c r="R36" s="179"/>
    </row>
    <row r="37" spans="1:18" x14ac:dyDescent="0.25">
      <c r="A37" s="171"/>
      <c r="B37" s="88" t="e">
        <f>#REF!</f>
        <v>#REF!</v>
      </c>
      <c r="C37" s="26" t="e">
        <f>+#REF!</f>
        <v>#REF!</v>
      </c>
      <c r="D37" s="27" t="e">
        <f>+#REF!</f>
        <v>#REF!</v>
      </c>
      <c r="E37" s="28">
        <v>96</v>
      </c>
      <c r="F37" s="28" t="e">
        <f>+Tabla5[[#This Row],[Cantidad Lodos Generados (Kg) ]]*Tabla5[[#This Row],[Precio Unitario Disposición ($)]]</f>
        <v>#REF!</v>
      </c>
      <c r="G37" s="28" t="e">
        <f>Tabla5[[#This Row],[Valor Disposición Kg ($)]]*1.19</f>
        <v>#REF!</v>
      </c>
      <c r="H37" s="29">
        <v>1</v>
      </c>
      <c r="I37" s="30">
        <v>750000</v>
      </c>
      <c r="J37" s="89" t="e">
        <f>Tabla5[[#This Row],[Valor Disposición Kg ($)]]+(Tabla5[[#This Row],[Cantidad de Viajes ]]*Tabla5[[#This Row],[Costo Viaje ($)]])</f>
        <v>#REF!</v>
      </c>
      <c r="K37" s="174"/>
      <c r="L37" s="164"/>
      <c r="M37" s="164"/>
      <c r="N37" s="164"/>
      <c r="O37" s="164"/>
      <c r="P37" s="164"/>
      <c r="Q37" s="164"/>
      <c r="R37" s="179"/>
    </row>
    <row r="38" spans="1:18" x14ac:dyDescent="0.25">
      <c r="A38" s="171"/>
      <c r="B38" s="88" t="e">
        <f>#REF!</f>
        <v>#REF!</v>
      </c>
      <c r="C38" s="26" t="e">
        <f>+#REF!</f>
        <v>#REF!</v>
      </c>
      <c r="D38" s="27" t="e">
        <f>+#REF!</f>
        <v>#REF!</v>
      </c>
      <c r="E38" s="28">
        <v>96</v>
      </c>
      <c r="F38" s="28" t="e">
        <f>+Tabla5[[#This Row],[Cantidad Lodos Generados (Kg) ]]*Tabla5[[#This Row],[Precio Unitario Disposición ($)]]</f>
        <v>#REF!</v>
      </c>
      <c r="G38" s="28" t="e">
        <f>Tabla5[[#This Row],[Valor Disposición Kg ($)]]*1.19</f>
        <v>#REF!</v>
      </c>
      <c r="H38" s="29">
        <v>1</v>
      </c>
      <c r="I38" s="30">
        <v>290000</v>
      </c>
      <c r="J38" s="89" t="e">
        <f>Tabla5[[#This Row],[Valor Disposición Kg ($)]]+(Tabla5[[#This Row],[Cantidad de Viajes ]]*Tabla5[[#This Row],[Costo Viaje ($)]])</f>
        <v>#REF!</v>
      </c>
      <c r="K38" s="174"/>
      <c r="L38" s="164"/>
      <c r="M38" s="164"/>
      <c r="N38" s="164"/>
      <c r="O38" s="164"/>
      <c r="P38" s="164"/>
      <c r="Q38" s="164"/>
      <c r="R38" s="179"/>
    </row>
    <row r="39" spans="1:18" x14ac:dyDescent="0.25">
      <c r="A39" s="171"/>
      <c r="B39" s="88" t="e">
        <f>#REF!</f>
        <v>#REF!</v>
      </c>
      <c r="C39" s="26" t="e">
        <f>+#REF!</f>
        <v>#REF!</v>
      </c>
      <c r="D39" s="27" t="e">
        <f>+#REF!</f>
        <v>#REF!</v>
      </c>
      <c r="E39" s="28">
        <v>96</v>
      </c>
      <c r="F39" s="28" t="e">
        <f>+Tabla5[[#This Row],[Cantidad Lodos Generados (Kg) ]]*Tabla5[[#This Row],[Precio Unitario Disposición ($)]]</f>
        <v>#REF!</v>
      </c>
      <c r="G39" s="28" t="e">
        <f>Tabla5[[#This Row],[Valor Disposición Kg ($)]]*1.19</f>
        <v>#REF!</v>
      </c>
      <c r="H39" s="29">
        <v>1</v>
      </c>
      <c r="I39" s="30">
        <v>750000</v>
      </c>
      <c r="J39" s="89" t="e">
        <f>Tabla5[[#This Row],[Valor Disposición Kg ($)]]+(Tabla5[[#This Row],[Cantidad de Viajes ]]*Tabla5[[#This Row],[Costo Viaje ($)]])</f>
        <v>#REF!</v>
      </c>
      <c r="K39" s="174"/>
      <c r="L39" s="164"/>
      <c r="M39" s="164"/>
      <c r="N39" s="164"/>
      <c r="O39" s="164"/>
      <c r="P39" s="164"/>
      <c r="Q39" s="164"/>
      <c r="R39" s="179"/>
    </row>
    <row r="40" spans="1:18" x14ac:dyDescent="0.25">
      <c r="A40" s="171"/>
      <c r="B40" s="88" t="e">
        <f>#REF!</f>
        <v>#REF!</v>
      </c>
      <c r="C40" s="26" t="e">
        <f>+#REF!</f>
        <v>#REF!</v>
      </c>
      <c r="D40" s="27" t="e">
        <f>+#REF!</f>
        <v>#REF!</v>
      </c>
      <c r="E40" s="28">
        <v>96</v>
      </c>
      <c r="F40" s="28" t="e">
        <f>+Tabla5[[#This Row],[Cantidad Lodos Generados (Kg) ]]*Tabla5[[#This Row],[Precio Unitario Disposición ($)]]</f>
        <v>#REF!</v>
      </c>
      <c r="G40" s="28" t="e">
        <f>Tabla5[[#This Row],[Valor Disposición Kg ($)]]*1.19</f>
        <v>#REF!</v>
      </c>
      <c r="H40" s="29">
        <v>1</v>
      </c>
      <c r="I40" s="30">
        <v>750000</v>
      </c>
      <c r="J40" s="89" t="e">
        <f>Tabla5[[#This Row],[Valor Disposición Kg ($)]]+(Tabla5[[#This Row],[Cantidad de Viajes ]]*Tabla5[[#This Row],[Costo Viaje ($)]])</f>
        <v>#REF!</v>
      </c>
      <c r="K40" s="174"/>
      <c r="L40" s="164"/>
      <c r="M40" s="164"/>
      <c r="N40" s="164"/>
      <c r="O40" s="164"/>
      <c r="P40" s="164"/>
      <c r="Q40" s="164"/>
      <c r="R40" s="179"/>
    </row>
    <row r="41" spans="1:18" x14ac:dyDescent="0.25">
      <c r="A41" s="171"/>
      <c r="B41" s="88" t="e">
        <f>#REF!</f>
        <v>#REF!</v>
      </c>
      <c r="C41" s="26" t="e">
        <f>+#REF!</f>
        <v>#REF!</v>
      </c>
      <c r="D41" s="27" t="e">
        <f>+#REF!</f>
        <v>#REF!</v>
      </c>
      <c r="E41" s="28">
        <v>96</v>
      </c>
      <c r="F41" s="28" t="e">
        <f>+Tabla5[[#This Row],[Cantidad Lodos Generados (Kg) ]]*Tabla5[[#This Row],[Precio Unitario Disposición ($)]]</f>
        <v>#REF!</v>
      </c>
      <c r="G41" s="28" t="e">
        <f>Tabla5[[#This Row],[Valor Disposición Kg ($)]]*1.19</f>
        <v>#REF!</v>
      </c>
      <c r="H41" s="29">
        <v>1</v>
      </c>
      <c r="I41" s="30">
        <v>750000</v>
      </c>
      <c r="J41" s="89" t="e">
        <f>Tabla5[[#This Row],[Valor Disposición Kg ($)]]+(Tabla5[[#This Row],[Cantidad de Viajes ]]*Tabla5[[#This Row],[Costo Viaje ($)]])</f>
        <v>#REF!</v>
      </c>
      <c r="K41" s="174"/>
      <c r="L41" s="164"/>
      <c r="M41" s="164"/>
      <c r="N41" s="164"/>
      <c r="O41" s="164"/>
      <c r="P41" s="164"/>
      <c r="Q41" s="164"/>
      <c r="R41" s="179"/>
    </row>
    <row r="42" spans="1:18" x14ac:dyDescent="0.25">
      <c r="A42" s="171"/>
      <c r="B42" s="88" t="e">
        <f>#REF!</f>
        <v>#REF!</v>
      </c>
      <c r="C42" s="26" t="e">
        <f>+#REF!</f>
        <v>#REF!</v>
      </c>
      <c r="D42" s="27" t="e">
        <f>+#REF!</f>
        <v>#REF!</v>
      </c>
      <c r="E42" s="28">
        <v>96</v>
      </c>
      <c r="F42" s="28" t="e">
        <f>+Tabla5[[#This Row],[Cantidad Lodos Generados (Kg) ]]*Tabla5[[#This Row],[Precio Unitario Disposición ($)]]</f>
        <v>#REF!</v>
      </c>
      <c r="G42" s="28" t="e">
        <f>Tabla5[[#This Row],[Valor Disposición Kg ($)]]*1.19</f>
        <v>#REF!</v>
      </c>
      <c r="H42" s="29">
        <v>1</v>
      </c>
      <c r="I42" s="30">
        <v>750000</v>
      </c>
      <c r="J42" s="89" t="e">
        <f>Tabla5[[#This Row],[Valor Disposición Kg ($)]]+(Tabla5[[#This Row],[Cantidad de Viajes ]]*Tabla5[[#This Row],[Costo Viaje ($)]])</f>
        <v>#REF!</v>
      </c>
      <c r="K42" s="174"/>
      <c r="L42" s="164"/>
      <c r="M42" s="164"/>
      <c r="N42" s="164"/>
      <c r="O42" s="164"/>
      <c r="P42" s="164"/>
      <c r="Q42" s="164"/>
      <c r="R42" s="179"/>
    </row>
    <row r="43" spans="1:18" x14ac:dyDescent="0.25">
      <c r="A43" s="171"/>
      <c r="B43" s="88" t="e">
        <f>#REF!</f>
        <v>#REF!</v>
      </c>
      <c r="C43" s="26" t="e">
        <f>+#REF!</f>
        <v>#REF!</v>
      </c>
      <c r="D43" s="27" t="e">
        <f>+#REF!</f>
        <v>#REF!</v>
      </c>
      <c r="E43" s="28">
        <v>96</v>
      </c>
      <c r="F43" s="28" t="e">
        <f>+Tabla5[[#This Row],[Cantidad Lodos Generados (Kg) ]]*Tabla5[[#This Row],[Precio Unitario Disposición ($)]]</f>
        <v>#REF!</v>
      </c>
      <c r="G43" s="28" t="e">
        <f>Tabla5[[#This Row],[Valor Disposición Kg ($)]]*1.19</f>
        <v>#REF!</v>
      </c>
      <c r="H43" s="29">
        <v>1</v>
      </c>
      <c r="I43" s="30">
        <v>750000</v>
      </c>
      <c r="J43" s="89" t="e">
        <f>Tabla5[[#This Row],[Valor Disposición Kg ($)]]+(Tabla5[[#This Row],[Cantidad de Viajes ]]*Tabla5[[#This Row],[Costo Viaje ($)]])</f>
        <v>#REF!</v>
      </c>
      <c r="K43" s="174"/>
      <c r="L43" s="164"/>
      <c r="M43" s="164"/>
      <c r="N43" s="164"/>
      <c r="O43" s="164"/>
      <c r="P43" s="164"/>
      <c r="Q43" s="164"/>
      <c r="R43" s="179"/>
    </row>
    <row r="44" spans="1:18" x14ac:dyDescent="0.25">
      <c r="A44" s="171"/>
      <c r="B44" s="88" t="e">
        <f>#REF!</f>
        <v>#REF!</v>
      </c>
      <c r="C44" s="26" t="e">
        <f>+#REF!</f>
        <v>#REF!</v>
      </c>
      <c r="D44" s="27" t="e">
        <f>+#REF!</f>
        <v>#REF!</v>
      </c>
      <c r="E44" s="28">
        <v>96</v>
      </c>
      <c r="F44" s="28" t="e">
        <f>+Tabla5[[#This Row],[Cantidad Lodos Generados (Kg) ]]*Tabla5[[#This Row],[Precio Unitario Disposición ($)]]</f>
        <v>#REF!</v>
      </c>
      <c r="G44" s="28" t="e">
        <f>Tabla5[[#This Row],[Valor Disposición Kg ($)]]*1.19</f>
        <v>#REF!</v>
      </c>
      <c r="H44" s="29">
        <v>1</v>
      </c>
      <c r="I44" s="30">
        <v>750000</v>
      </c>
      <c r="J44" s="89" t="e">
        <f>Tabla5[[#This Row],[Valor Disposición Kg ($)]]+(Tabla5[[#This Row],[Cantidad de Viajes ]]*Tabla5[[#This Row],[Costo Viaje ($)]])</f>
        <v>#REF!</v>
      </c>
      <c r="K44" s="174"/>
      <c r="L44" s="164"/>
      <c r="M44" s="164"/>
      <c r="N44" s="164"/>
      <c r="O44" s="164"/>
      <c r="P44" s="164"/>
      <c r="Q44" s="164"/>
      <c r="R44" s="179"/>
    </row>
    <row r="45" spans="1:18" x14ac:dyDescent="0.25">
      <c r="A45" s="171"/>
      <c r="B45" s="88" t="e">
        <f>#REF!</f>
        <v>#REF!</v>
      </c>
      <c r="C45" s="26" t="e">
        <f>+#REF!</f>
        <v>#REF!</v>
      </c>
      <c r="D45" s="27" t="e">
        <f>+#REF!</f>
        <v>#REF!</v>
      </c>
      <c r="E45" s="28">
        <v>96</v>
      </c>
      <c r="F45" s="28" t="e">
        <f>+Tabla5[[#This Row],[Cantidad Lodos Generados (Kg) ]]*Tabla5[[#This Row],[Precio Unitario Disposición ($)]]</f>
        <v>#REF!</v>
      </c>
      <c r="G45" s="28" t="e">
        <f>Tabla5[[#This Row],[Valor Disposición Kg ($)]]*1.19</f>
        <v>#REF!</v>
      </c>
      <c r="H45" s="29">
        <v>1</v>
      </c>
      <c r="I45" s="30">
        <v>750000</v>
      </c>
      <c r="J45" s="89" t="e">
        <f>Tabla5[[#This Row],[Valor Disposición Kg ($)]]+(Tabla5[[#This Row],[Cantidad de Viajes ]]*Tabla5[[#This Row],[Costo Viaje ($)]])</f>
        <v>#REF!</v>
      </c>
      <c r="K45" s="174"/>
      <c r="L45" s="164"/>
      <c r="M45" s="164"/>
      <c r="N45" s="164"/>
      <c r="O45" s="164"/>
      <c r="P45" s="164"/>
      <c r="Q45" s="164"/>
      <c r="R45" s="179"/>
    </row>
    <row r="46" spans="1:18" x14ac:dyDescent="0.25">
      <c r="A46" s="171"/>
      <c r="B46" s="88" t="e">
        <f>#REF!</f>
        <v>#REF!</v>
      </c>
      <c r="C46" s="26" t="e">
        <f>+#REF!</f>
        <v>#REF!</v>
      </c>
      <c r="D46" s="27" t="e">
        <f>+#REF!</f>
        <v>#REF!</v>
      </c>
      <c r="E46" s="28">
        <v>96</v>
      </c>
      <c r="F46" s="28" t="e">
        <f>+Tabla5[[#This Row],[Cantidad Lodos Generados (Kg) ]]*Tabla5[[#This Row],[Precio Unitario Disposición ($)]]</f>
        <v>#REF!</v>
      </c>
      <c r="G46" s="28" t="e">
        <f>Tabla5[[#This Row],[Valor Disposición Kg ($)]]*1.19</f>
        <v>#REF!</v>
      </c>
      <c r="H46" s="29">
        <v>1</v>
      </c>
      <c r="I46" s="30">
        <v>750000</v>
      </c>
      <c r="J46" s="89" t="e">
        <f>Tabla5[[#This Row],[Valor Disposición Kg ($)]]+(Tabla5[[#This Row],[Cantidad de Viajes ]]*Tabla5[[#This Row],[Costo Viaje ($)]])</f>
        <v>#REF!</v>
      </c>
      <c r="K46" s="174"/>
      <c r="L46" s="164"/>
      <c r="M46" s="164"/>
      <c r="N46" s="164"/>
      <c r="O46" s="164"/>
      <c r="P46" s="164"/>
      <c r="Q46" s="164"/>
      <c r="R46" s="179"/>
    </row>
    <row r="47" spans="1:18" x14ac:dyDescent="0.25">
      <c r="A47" s="171"/>
      <c r="B47" s="88" t="e">
        <f>#REF!</f>
        <v>#REF!</v>
      </c>
      <c r="C47" s="26" t="e">
        <f>+#REF!</f>
        <v>#REF!</v>
      </c>
      <c r="D47" s="27" t="e">
        <f>+#REF!</f>
        <v>#REF!</v>
      </c>
      <c r="E47" s="28">
        <v>96</v>
      </c>
      <c r="F47" s="28" t="e">
        <f>+Tabla5[[#This Row],[Cantidad Lodos Generados (Kg) ]]*Tabla5[[#This Row],[Precio Unitario Disposición ($)]]</f>
        <v>#REF!</v>
      </c>
      <c r="G47" s="28" t="e">
        <f>Tabla5[[#This Row],[Valor Disposición Kg ($)]]*1.19</f>
        <v>#REF!</v>
      </c>
      <c r="H47" s="29">
        <v>1</v>
      </c>
      <c r="I47" s="30">
        <v>750000</v>
      </c>
      <c r="J47" s="89" t="e">
        <f>Tabla5[[#This Row],[Valor Disposición Kg ($)]]+(Tabla5[[#This Row],[Cantidad de Viajes ]]*Tabla5[[#This Row],[Costo Viaje ($)]])</f>
        <v>#REF!</v>
      </c>
      <c r="K47" s="174"/>
      <c r="L47" s="164"/>
      <c r="M47" s="164"/>
      <c r="N47" s="164"/>
      <c r="O47" s="164"/>
      <c r="P47" s="164"/>
      <c r="Q47" s="164"/>
      <c r="R47" s="179"/>
    </row>
    <row r="48" spans="1:18" x14ac:dyDescent="0.25">
      <c r="A48" s="171"/>
      <c r="B48" s="88" t="e">
        <f>#REF!</f>
        <v>#REF!</v>
      </c>
      <c r="C48" s="26" t="e">
        <f>+#REF!</f>
        <v>#REF!</v>
      </c>
      <c r="D48" s="27" t="e">
        <f>+#REF!</f>
        <v>#REF!</v>
      </c>
      <c r="E48" s="28">
        <v>96</v>
      </c>
      <c r="F48" s="28" t="e">
        <f>+Tabla5[[#This Row],[Cantidad Lodos Generados (Kg) ]]*Tabla5[[#This Row],[Precio Unitario Disposición ($)]]</f>
        <v>#REF!</v>
      </c>
      <c r="G48" s="28" t="e">
        <f>Tabla5[[#This Row],[Valor Disposición Kg ($)]]*1.19</f>
        <v>#REF!</v>
      </c>
      <c r="H48" s="29">
        <v>1</v>
      </c>
      <c r="I48" s="30">
        <v>750000</v>
      </c>
      <c r="J48" s="89" t="e">
        <f>Tabla5[[#This Row],[Valor Disposición Kg ($)]]+(Tabla5[[#This Row],[Cantidad de Viajes ]]*Tabla5[[#This Row],[Costo Viaje ($)]])</f>
        <v>#REF!</v>
      </c>
      <c r="K48" s="174"/>
      <c r="L48" s="164"/>
      <c r="M48" s="164"/>
      <c r="N48" s="164"/>
      <c r="O48" s="164"/>
      <c r="P48" s="164"/>
      <c r="Q48" s="164"/>
      <c r="R48" s="179"/>
    </row>
    <row r="49" spans="1:18" x14ac:dyDescent="0.25">
      <c r="A49" s="171"/>
      <c r="B49" s="88" t="e">
        <f>#REF!</f>
        <v>#REF!</v>
      </c>
      <c r="C49" s="26" t="e">
        <f>+#REF!</f>
        <v>#REF!</v>
      </c>
      <c r="D49" s="27" t="e">
        <f>+#REF!</f>
        <v>#REF!</v>
      </c>
      <c r="E49" s="28">
        <v>96</v>
      </c>
      <c r="F49" s="28" t="e">
        <f>+Tabla5[[#This Row],[Cantidad Lodos Generados (Kg) ]]*Tabla5[[#This Row],[Precio Unitario Disposición ($)]]</f>
        <v>#REF!</v>
      </c>
      <c r="G49" s="28" t="e">
        <f>Tabla5[[#This Row],[Valor Disposición Kg ($)]]*1.19</f>
        <v>#REF!</v>
      </c>
      <c r="H49" s="29">
        <v>1</v>
      </c>
      <c r="I49" s="30">
        <v>750000</v>
      </c>
      <c r="J49" s="89" t="e">
        <f>Tabla5[[#This Row],[Valor Disposición Kg ($)]]+(Tabla5[[#This Row],[Cantidad de Viajes ]]*Tabla5[[#This Row],[Costo Viaje ($)]])</f>
        <v>#REF!</v>
      </c>
      <c r="K49" s="174"/>
      <c r="L49" s="164"/>
      <c r="M49" s="164"/>
      <c r="N49" s="164"/>
      <c r="O49" s="164"/>
      <c r="P49" s="164"/>
      <c r="Q49" s="164"/>
      <c r="R49" s="179"/>
    </row>
    <row r="50" spans="1:18" x14ac:dyDescent="0.25">
      <c r="A50" s="171"/>
      <c r="B50" s="88" t="e">
        <f>#REF!</f>
        <v>#REF!</v>
      </c>
      <c r="C50" s="26" t="e">
        <f>+#REF!</f>
        <v>#REF!</v>
      </c>
      <c r="D50" s="27" t="e">
        <f>+#REF!</f>
        <v>#REF!</v>
      </c>
      <c r="E50" s="28">
        <v>96</v>
      </c>
      <c r="F50" s="28" t="e">
        <f>+Tabla5[[#This Row],[Cantidad Lodos Generados (Kg) ]]*Tabla5[[#This Row],[Precio Unitario Disposición ($)]]</f>
        <v>#REF!</v>
      </c>
      <c r="G50" s="28" t="e">
        <f>Tabla5[[#This Row],[Valor Disposición Kg ($)]]*1.19</f>
        <v>#REF!</v>
      </c>
      <c r="H50" s="29">
        <v>1</v>
      </c>
      <c r="I50" s="30">
        <v>750000</v>
      </c>
      <c r="J50" s="89" t="e">
        <f>Tabla5[[#This Row],[Valor Disposición Kg ($)]]+(Tabla5[[#This Row],[Cantidad de Viajes ]]*Tabla5[[#This Row],[Costo Viaje ($)]])</f>
        <v>#REF!</v>
      </c>
      <c r="K50" s="174"/>
      <c r="L50" s="164"/>
      <c r="M50" s="164"/>
      <c r="N50" s="164"/>
      <c r="O50" s="164"/>
      <c r="P50" s="164"/>
      <c r="Q50" s="164"/>
      <c r="R50" s="179"/>
    </row>
    <row r="51" spans="1:18" x14ac:dyDescent="0.25">
      <c r="A51" s="171"/>
      <c r="B51" s="88"/>
      <c r="C51" s="26"/>
      <c r="D51" s="27"/>
      <c r="E51" s="28"/>
      <c r="F51" s="28"/>
      <c r="G51" s="28"/>
      <c r="H51" s="29"/>
      <c r="I51" s="30"/>
      <c r="J51" s="89"/>
      <c r="K51" s="174"/>
      <c r="L51" s="164"/>
      <c r="M51" s="164"/>
      <c r="N51" s="164"/>
      <c r="O51" s="164"/>
      <c r="P51" s="164"/>
      <c r="Q51" s="164"/>
      <c r="R51" s="179"/>
    </row>
    <row r="52" spans="1:18" x14ac:dyDescent="0.25">
      <c r="A52" s="171"/>
      <c r="B52" s="88" t="e">
        <f>#REF!</f>
        <v>#REF!</v>
      </c>
      <c r="C52" s="26" t="e">
        <f>+#REF!</f>
        <v>#REF!</v>
      </c>
      <c r="D52" s="27" t="e">
        <f>+#REF!</f>
        <v>#REF!</v>
      </c>
      <c r="E52" s="28">
        <v>96</v>
      </c>
      <c r="F52" s="28" t="e">
        <f>+Tabla5[[#This Row],[Cantidad Lodos Generados (Kg) ]]*Tabla5[[#This Row],[Precio Unitario Disposición ($)]]</f>
        <v>#REF!</v>
      </c>
      <c r="G52" s="28" t="e">
        <f>Tabla5[[#This Row],[Valor Disposición Kg ($)]]*1.19</f>
        <v>#REF!</v>
      </c>
      <c r="H52" s="29">
        <v>1</v>
      </c>
      <c r="I52" s="30">
        <v>750000</v>
      </c>
      <c r="J52" s="89" t="e">
        <f>Tabla5[[#This Row],[Valor Disposición Kg ($)]]+(Tabla5[[#This Row],[Cantidad de Viajes ]]*Tabla5[[#This Row],[Costo Viaje ($)]])</f>
        <v>#REF!</v>
      </c>
      <c r="K52" s="174"/>
      <c r="L52" s="164"/>
      <c r="M52" s="164"/>
      <c r="N52" s="164"/>
      <c r="O52" s="164"/>
      <c r="P52" s="164"/>
      <c r="Q52" s="164"/>
      <c r="R52" s="179"/>
    </row>
    <row r="53" spans="1:18" x14ac:dyDescent="0.25">
      <c r="A53" s="171"/>
      <c r="B53" s="88" t="e">
        <f>#REF!</f>
        <v>#REF!</v>
      </c>
      <c r="C53" s="26" t="e">
        <f>+#REF!</f>
        <v>#REF!</v>
      </c>
      <c r="D53" s="27" t="e">
        <f>+#REF!</f>
        <v>#REF!</v>
      </c>
      <c r="E53" s="28">
        <v>96</v>
      </c>
      <c r="F53" s="28" t="e">
        <f>+Tabla5[[#This Row],[Cantidad Lodos Generados (Kg) ]]*Tabla5[[#This Row],[Precio Unitario Disposición ($)]]</f>
        <v>#REF!</v>
      </c>
      <c r="G53" s="28" t="e">
        <f>Tabla5[[#This Row],[Valor Disposición Kg ($)]]*1.19</f>
        <v>#REF!</v>
      </c>
      <c r="H53" s="29">
        <v>1</v>
      </c>
      <c r="I53" s="30">
        <v>750000</v>
      </c>
      <c r="J53" s="89" t="e">
        <f>Tabla5[[#This Row],[Valor Disposición Kg ($)]]+(Tabla5[[#This Row],[Cantidad de Viajes ]]*Tabla5[[#This Row],[Costo Viaje ($)]])</f>
        <v>#REF!</v>
      </c>
      <c r="K53" s="174"/>
      <c r="L53" s="164"/>
      <c r="M53" s="164"/>
      <c r="N53" s="164"/>
      <c r="O53" s="164"/>
      <c r="P53" s="164"/>
      <c r="Q53" s="164"/>
      <c r="R53" s="179"/>
    </row>
    <row r="54" spans="1:18" x14ac:dyDescent="0.25">
      <c r="A54" s="171"/>
      <c r="B54" s="88" t="e">
        <f>#REF!</f>
        <v>#REF!</v>
      </c>
      <c r="C54" s="26" t="e">
        <f>+#REF!</f>
        <v>#REF!</v>
      </c>
      <c r="D54" s="27" t="e">
        <f>+#REF!</f>
        <v>#REF!</v>
      </c>
      <c r="E54" s="28">
        <v>96</v>
      </c>
      <c r="F54" s="28" t="e">
        <f>+Tabla5[[#This Row],[Cantidad Lodos Generados (Kg) ]]*Tabla5[[#This Row],[Precio Unitario Disposición ($)]]</f>
        <v>#REF!</v>
      </c>
      <c r="G54" s="28" t="e">
        <f>Tabla5[[#This Row],[Valor Disposición Kg ($)]]*1.19</f>
        <v>#REF!</v>
      </c>
      <c r="H54" s="29">
        <v>1</v>
      </c>
      <c r="I54" s="30">
        <v>750000</v>
      </c>
      <c r="J54" s="89" t="e">
        <f>Tabla5[[#This Row],[Valor Disposición Kg ($)]]+(Tabla5[[#This Row],[Cantidad de Viajes ]]*Tabla5[[#This Row],[Costo Viaje ($)]])</f>
        <v>#REF!</v>
      </c>
      <c r="K54" s="174"/>
      <c r="L54" s="164"/>
      <c r="M54" s="164"/>
      <c r="N54" s="164"/>
      <c r="O54" s="164"/>
      <c r="P54" s="164"/>
      <c r="Q54" s="164"/>
      <c r="R54" s="179"/>
    </row>
    <row r="55" spans="1:18" x14ac:dyDescent="0.25">
      <c r="A55" s="171"/>
      <c r="B55" s="88" t="e">
        <f>#REF!</f>
        <v>#REF!</v>
      </c>
      <c r="C55" s="26" t="e">
        <f>+#REF!</f>
        <v>#REF!</v>
      </c>
      <c r="D55" s="27" t="e">
        <f>+#REF!</f>
        <v>#REF!</v>
      </c>
      <c r="E55" s="28">
        <v>96</v>
      </c>
      <c r="F55" s="28" t="e">
        <f>+Tabla5[[#This Row],[Cantidad Lodos Generados (Kg) ]]*Tabla5[[#This Row],[Precio Unitario Disposición ($)]]</f>
        <v>#REF!</v>
      </c>
      <c r="G55" s="28" t="e">
        <f>Tabla5[[#This Row],[Valor Disposición Kg ($)]]*1.19</f>
        <v>#REF!</v>
      </c>
      <c r="H55" s="29">
        <v>1</v>
      </c>
      <c r="I55" s="30">
        <v>750000</v>
      </c>
      <c r="J55" s="89" t="e">
        <f>Tabla5[[#This Row],[Valor Disposición Kg ($)]]+(Tabla5[[#This Row],[Cantidad de Viajes ]]*Tabla5[[#This Row],[Costo Viaje ($)]])</f>
        <v>#REF!</v>
      </c>
      <c r="K55" s="174"/>
      <c r="L55" s="164"/>
      <c r="M55" s="164"/>
      <c r="N55" s="164"/>
      <c r="O55" s="164"/>
      <c r="P55" s="164"/>
      <c r="Q55" s="164"/>
      <c r="R55" s="179"/>
    </row>
    <row r="56" spans="1:18" x14ac:dyDescent="0.25">
      <c r="A56" s="171"/>
      <c r="B56" s="88" t="e">
        <f>#REF!</f>
        <v>#REF!</v>
      </c>
      <c r="C56" s="26" t="e">
        <f>+#REF!</f>
        <v>#REF!</v>
      </c>
      <c r="D56" s="27" t="e">
        <f>+#REF!</f>
        <v>#REF!</v>
      </c>
      <c r="E56" s="28">
        <v>96</v>
      </c>
      <c r="F56" s="28" t="e">
        <f>+Tabla5[[#This Row],[Cantidad Lodos Generados (Kg) ]]*Tabla5[[#This Row],[Precio Unitario Disposición ($)]]</f>
        <v>#REF!</v>
      </c>
      <c r="G56" s="28" t="e">
        <f>Tabla5[[#This Row],[Valor Disposición Kg ($)]]*1.19</f>
        <v>#REF!</v>
      </c>
      <c r="H56" s="29">
        <v>1</v>
      </c>
      <c r="I56" s="30">
        <v>750000</v>
      </c>
      <c r="J56" s="89" t="e">
        <f>Tabla5[[#This Row],[Valor Disposición Kg ($)]]+(Tabla5[[#This Row],[Cantidad de Viajes ]]*Tabla5[[#This Row],[Costo Viaje ($)]])</f>
        <v>#REF!</v>
      </c>
      <c r="K56" s="174"/>
      <c r="L56" s="164"/>
      <c r="M56" s="164"/>
      <c r="N56" s="164"/>
      <c r="O56" s="164"/>
      <c r="P56" s="164"/>
      <c r="Q56" s="164"/>
      <c r="R56" s="179"/>
    </row>
    <row r="57" spans="1:18" x14ac:dyDescent="0.25">
      <c r="A57" s="171"/>
      <c r="B57" s="88" t="e">
        <f>#REF!</f>
        <v>#REF!</v>
      </c>
      <c r="C57" s="26" t="e">
        <f>+#REF!</f>
        <v>#REF!</v>
      </c>
      <c r="D57" s="27" t="e">
        <f>+#REF!</f>
        <v>#REF!</v>
      </c>
      <c r="E57" s="28">
        <v>96</v>
      </c>
      <c r="F57" s="28" t="e">
        <f>+Tabla5[[#This Row],[Cantidad Lodos Generados (Kg) ]]*Tabla5[[#This Row],[Precio Unitario Disposición ($)]]</f>
        <v>#REF!</v>
      </c>
      <c r="G57" s="28" t="e">
        <f>Tabla5[[#This Row],[Valor Disposición Kg ($)]]*1.19</f>
        <v>#REF!</v>
      </c>
      <c r="H57" s="29">
        <v>1</v>
      </c>
      <c r="I57" s="30">
        <v>750000</v>
      </c>
      <c r="J57" s="89" t="e">
        <f>Tabla5[[#This Row],[Valor Disposición Kg ($)]]+(Tabla5[[#This Row],[Cantidad de Viajes ]]*Tabla5[[#This Row],[Costo Viaje ($)]])</f>
        <v>#REF!</v>
      </c>
      <c r="K57" s="174"/>
      <c r="L57" s="164"/>
      <c r="M57" s="164"/>
      <c r="N57" s="164"/>
      <c r="O57" s="164"/>
      <c r="P57" s="164"/>
      <c r="Q57" s="164"/>
      <c r="R57" s="179"/>
    </row>
    <row r="58" spans="1:18" x14ac:dyDescent="0.25">
      <c r="A58" s="171"/>
      <c r="B58" s="88" t="e">
        <f>#REF!</f>
        <v>#REF!</v>
      </c>
      <c r="C58" s="26" t="e">
        <f>+#REF!</f>
        <v>#REF!</v>
      </c>
      <c r="D58" s="27" t="e">
        <f>+#REF!</f>
        <v>#REF!</v>
      </c>
      <c r="E58" s="28">
        <v>96</v>
      </c>
      <c r="F58" s="28" t="e">
        <f>+Tabla5[[#This Row],[Cantidad Lodos Generados (Kg) ]]*Tabla5[[#This Row],[Precio Unitario Disposición ($)]]</f>
        <v>#REF!</v>
      </c>
      <c r="G58" s="28" t="e">
        <f>Tabla5[[#This Row],[Valor Disposición Kg ($)]]*1.19</f>
        <v>#REF!</v>
      </c>
      <c r="H58" s="29">
        <v>1</v>
      </c>
      <c r="I58" s="30">
        <v>750000</v>
      </c>
      <c r="J58" s="89" t="e">
        <f>Tabla5[[#This Row],[Valor Disposición Kg ($)]]+(Tabla5[[#This Row],[Cantidad de Viajes ]]*Tabla5[[#This Row],[Costo Viaje ($)]])</f>
        <v>#REF!</v>
      </c>
      <c r="K58" s="174"/>
      <c r="L58" s="164"/>
      <c r="M58" s="164"/>
      <c r="N58" s="164"/>
      <c r="O58" s="164"/>
      <c r="P58" s="164"/>
      <c r="Q58" s="164"/>
      <c r="R58" s="179"/>
    </row>
    <row r="59" spans="1:18" ht="14.95" thickBot="1" x14ac:dyDescent="0.3">
      <c r="A59" s="172"/>
      <c r="B59" s="90" t="e">
        <f>#REF!</f>
        <v>#REF!</v>
      </c>
      <c r="C59" s="49" t="e">
        <f>+#REF!</f>
        <v>#REF!</v>
      </c>
      <c r="D59" s="50" t="e">
        <f>+#REF!</f>
        <v>#REF!</v>
      </c>
      <c r="E59" s="51">
        <v>96</v>
      </c>
      <c r="F59" s="51" t="e">
        <f>+Tabla5[[#This Row],[Cantidad Lodos Generados (Kg) ]]*Tabla5[[#This Row],[Precio Unitario Disposición ($)]]</f>
        <v>#REF!</v>
      </c>
      <c r="G59" s="51" t="e">
        <f>Tabla5[[#This Row],[Valor Disposición Kg ($)]]*1.19</f>
        <v>#REF!</v>
      </c>
      <c r="H59" s="52">
        <v>1</v>
      </c>
      <c r="I59" s="53">
        <v>750000</v>
      </c>
      <c r="J59" s="91" t="e">
        <f>Tabla5[[#This Row],[Valor Disposición Kg ($)]]+(Tabla5[[#This Row],[Cantidad de Viajes ]]*Tabla5[[#This Row],[Costo Viaje ($)]])</f>
        <v>#REF!</v>
      </c>
      <c r="K59" s="175"/>
      <c r="L59" s="165"/>
      <c r="M59" s="165"/>
      <c r="N59" s="165"/>
      <c r="O59" s="165"/>
      <c r="P59" s="165"/>
      <c r="Q59" s="165"/>
      <c r="R59" s="180"/>
    </row>
    <row r="60" spans="1:18" x14ac:dyDescent="0.25">
      <c r="A60" s="170" t="s">
        <v>80</v>
      </c>
      <c r="B60" s="86" t="e">
        <f>#REF!</f>
        <v>#REF!</v>
      </c>
      <c r="C60" s="21" t="e">
        <f>+#REF!</f>
        <v>#REF!</v>
      </c>
      <c r="D60" s="22" t="e">
        <f>+#REF!</f>
        <v>#REF!</v>
      </c>
      <c r="E60" s="23">
        <v>96</v>
      </c>
      <c r="F60" s="23" t="e">
        <f>+Tabla5[[#This Row],[Cantidad Lodos Generados (Kg) ]]*Tabla5[[#This Row],[Precio Unitario Disposición ($)]]</f>
        <v>#REF!</v>
      </c>
      <c r="G60" s="23" t="e">
        <f>Tabla5[[#This Row],[Valor Disposición Kg ($)]]*1.19</f>
        <v>#REF!</v>
      </c>
      <c r="H60" s="24">
        <v>1</v>
      </c>
      <c r="I60" s="25">
        <v>750000</v>
      </c>
      <c r="J60" s="87" t="e">
        <f>Tabla5[[#This Row],[Valor Disposición Kg ($)]]+(Tabla5[[#This Row],[Cantidad de Viajes ]]*Tabla5[[#This Row],[Costo Viaje ($)]])</f>
        <v>#REF!</v>
      </c>
      <c r="K60" s="176" t="e">
        <f>SUM(D60:D83)</f>
        <v>#REF!</v>
      </c>
      <c r="L60" s="166">
        <f>SUM(H60:H83)</f>
        <v>22</v>
      </c>
      <c r="M60" s="163" t="e">
        <f>SUM(F60:F83)</f>
        <v>#REF!</v>
      </c>
      <c r="N60" s="166" t="e">
        <f>M60*19%</f>
        <v>#REF!</v>
      </c>
      <c r="O60" s="163">
        <f>SUM(I60:I83)</f>
        <v>16500000</v>
      </c>
      <c r="P60" s="166" t="e">
        <f>M60+O60</f>
        <v>#REF!</v>
      </c>
      <c r="Q60" s="178" t="e">
        <f>SUM(M60+N60+O60)</f>
        <v>#REF!</v>
      </c>
      <c r="R60" s="181" t="e">
        <f>P60/K60</f>
        <v>#REF!</v>
      </c>
    </row>
    <row r="61" spans="1:18" x14ac:dyDescent="0.25">
      <c r="A61" s="171"/>
      <c r="B61" s="88" t="e">
        <f>#REF!</f>
        <v>#REF!</v>
      </c>
      <c r="C61" s="26" t="e">
        <f>+#REF!</f>
        <v>#REF!</v>
      </c>
      <c r="D61" s="27" t="e">
        <f>+#REF!</f>
        <v>#REF!</v>
      </c>
      <c r="E61" s="28">
        <v>96</v>
      </c>
      <c r="F61" s="28" t="e">
        <f>+Tabla5[[#This Row],[Cantidad Lodos Generados (Kg) ]]*Tabla5[[#This Row],[Precio Unitario Disposición ($)]]</f>
        <v>#REF!</v>
      </c>
      <c r="G61" s="28" t="e">
        <f>Tabla5[[#This Row],[Valor Disposición Kg ($)]]*1.19</f>
        <v>#REF!</v>
      </c>
      <c r="H61" s="29">
        <v>1</v>
      </c>
      <c r="I61" s="30">
        <v>750000</v>
      </c>
      <c r="J61" s="89" t="e">
        <f>Tabla5[[#This Row],[Valor Disposición Kg ($)]]+(Tabla5[[#This Row],[Cantidad de Viajes ]]*Tabla5[[#This Row],[Costo Viaje ($)]])</f>
        <v>#REF!</v>
      </c>
      <c r="K61" s="177"/>
      <c r="L61" s="164"/>
      <c r="M61" s="164"/>
      <c r="N61" s="164"/>
      <c r="O61" s="164"/>
      <c r="P61" s="164"/>
      <c r="Q61" s="179"/>
      <c r="R61" s="182"/>
    </row>
    <row r="62" spans="1:18" x14ac:dyDescent="0.25">
      <c r="A62" s="171"/>
      <c r="B62" s="88" t="e">
        <f>#REF!</f>
        <v>#REF!</v>
      </c>
      <c r="C62" s="26" t="e">
        <f>+#REF!</f>
        <v>#REF!</v>
      </c>
      <c r="D62" s="27" t="e">
        <f>+#REF!</f>
        <v>#REF!</v>
      </c>
      <c r="E62" s="28">
        <v>96</v>
      </c>
      <c r="F62" s="28" t="e">
        <f>+Tabla5[[#This Row],[Cantidad Lodos Generados (Kg) ]]*Tabla5[[#This Row],[Precio Unitario Disposición ($)]]</f>
        <v>#REF!</v>
      </c>
      <c r="G62" s="28" t="e">
        <f>Tabla5[[#This Row],[Valor Disposición Kg ($)]]*1.19</f>
        <v>#REF!</v>
      </c>
      <c r="H62" s="29">
        <v>1</v>
      </c>
      <c r="I62" s="30">
        <v>750000</v>
      </c>
      <c r="J62" s="89" t="e">
        <f>Tabla5[[#This Row],[Valor Disposición Kg ($)]]+(Tabla5[[#This Row],[Cantidad de Viajes ]]*Tabla5[[#This Row],[Costo Viaje ($)]])</f>
        <v>#REF!</v>
      </c>
      <c r="K62" s="177"/>
      <c r="L62" s="164"/>
      <c r="M62" s="164"/>
      <c r="N62" s="164"/>
      <c r="O62" s="164"/>
      <c r="P62" s="164"/>
      <c r="Q62" s="179"/>
      <c r="R62" s="182"/>
    </row>
    <row r="63" spans="1:18" x14ac:dyDescent="0.25">
      <c r="A63" s="171"/>
      <c r="B63" s="88" t="e">
        <f>#REF!</f>
        <v>#REF!</v>
      </c>
      <c r="C63" s="26" t="e">
        <f>+#REF!</f>
        <v>#REF!</v>
      </c>
      <c r="D63" s="27" t="e">
        <f>+#REF!</f>
        <v>#REF!</v>
      </c>
      <c r="E63" s="28">
        <v>96</v>
      </c>
      <c r="F63" s="28" t="e">
        <f>+Tabla5[[#This Row],[Cantidad Lodos Generados (Kg) ]]*Tabla5[[#This Row],[Precio Unitario Disposición ($)]]</f>
        <v>#REF!</v>
      </c>
      <c r="G63" s="28" t="e">
        <f>Tabla5[[#This Row],[Valor Disposición Kg ($)]]*1.19</f>
        <v>#REF!</v>
      </c>
      <c r="H63" s="29">
        <v>1</v>
      </c>
      <c r="I63" s="30">
        <v>750000</v>
      </c>
      <c r="J63" s="89" t="e">
        <f>Tabla5[[#This Row],[Valor Disposición Kg ($)]]+(Tabla5[[#This Row],[Cantidad de Viajes ]]*Tabla5[[#This Row],[Costo Viaje ($)]])</f>
        <v>#REF!</v>
      </c>
      <c r="K63" s="177"/>
      <c r="L63" s="164"/>
      <c r="M63" s="164"/>
      <c r="N63" s="164"/>
      <c r="O63" s="164"/>
      <c r="P63" s="164"/>
      <c r="Q63" s="179"/>
      <c r="R63" s="182"/>
    </row>
    <row r="64" spans="1:18" x14ac:dyDescent="0.25">
      <c r="A64" s="171"/>
      <c r="B64" s="88"/>
      <c r="C64" s="26"/>
      <c r="D64" s="27"/>
      <c r="E64" s="28"/>
      <c r="F64" s="28"/>
      <c r="G64" s="28"/>
      <c r="H64" s="29"/>
      <c r="I64" s="30"/>
      <c r="J64" s="89"/>
      <c r="K64" s="177"/>
      <c r="L64" s="164"/>
      <c r="M64" s="164"/>
      <c r="N64" s="164"/>
      <c r="O64" s="164"/>
      <c r="P64" s="164"/>
      <c r="Q64" s="179"/>
      <c r="R64" s="182"/>
    </row>
    <row r="65" spans="1:18" x14ac:dyDescent="0.25">
      <c r="A65" s="171"/>
      <c r="B65" s="88" t="e">
        <f>#REF!</f>
        <v>#REF!</v>
      </c>
      <c r="C65" s="26" t="e">
        <f>+#REF!</f>
        <v>#REF!</v>
      </c>
      <c r="D65" s="27" t="e">
        <f>+#REF!</f>
        <v>#REF!</v>
      </c>
      <c r="E65" s="28">
        <v>96</v>
      </c>
      <c r="F65" s="28" t="e">
        <f>+Tabla5[[#This Row],[Cantidad Lodos Generados (Kg) ]]*Tabla5[[#This Row],[Precio Unitario Disposición ($)]]</f>
        <v>#REF!</v>
      </c>
      <c r="G65" s="28" t="e">
        <f>Tabla5[[#This Row],[Valor Disposición Kg ($)]]*1.19</f>
        <v>#REF!</v>
      </c>
      <c r="H65" s="29">
        <v>1</v>
      </c>
      <c r="I65" s="30">
        <v>750000</v>
      </c>
      <c r="J65" s="89" t="e">
        <f>Tabla5[[#This Row],[Valor Disposición Kg ($)]]+(Tabla5[[#This Row],[Cantidad de Viajes ]]*Tabla5[[#This Row],[Costo Viaje ($)]])</f>
        <v>#REF!</v>
      </c>
      <c r="K65" s="177"/>
      <c r="L65" s="164"/>
      <c r="M65" s="164"/>
      <c r="N65" s="164"/>
      <c r="O65" s="164"/>
      <c r="P65" s="164"/>
      <c r="Q65" s="179"/>
      <c r="R65" s="182"/>
    </row>
    <row r="66" spans="1:18" x14ac:dyDescent="0.25">
      <c r="A66" s="171"/>
      <c r="B66" s="88" t="e">
        <f>#REF!</f>
        <v>#REF!</v>
      </c>
      <c r="C66" s="26" t="e">
        <f>+#REF!</f>
        <v>#REF!</v>
      </c>
      <c r="D66" s="27" t="e">
        <f>+#REF!</f>
        <v>#REF!</v>
      </c>
      <c r="E66" s="28">
        <v>96</v>
      </c>
      <c r="F66" s="28" t="e">
        <f>+Tabla5[[#This Row],[Cantidad Lodos Generados (Kg) ]]*Tabla5[[#This Row],[Precio Unitario Disposición ($)]]</f>
        <v>#REF!</v>
      </c>
      <c r="G66" s="28" t="e">
        <f>Tabla5[[#This Row],[Valor Disposición Kg ($)]]*1.19</f>
        <v>#REF!</v>
      </c>
      <c r="H66" s="29">
        <v>1</v>
      </c>
      <c r="I66" s="30">
        <v>750000</v>
      </c>
      <c r="J66" s="89" t="e">
        <f>Tabla5[[#This Row],[Valor Disposición Kg ($)]]+(Tabla5[[#This Row],[Cantidad de Viajes ]]*Tabla5[[#This Row],[Costo Viaje ($)]])</f>
        <v>#REF!</v>
      </c>
      <c r="K66" s="177"/>
      <c r="L66" s="164"/>
      <c r="M66" s="164"/>
      <c r="N66" s="164"/>
      <c r="O66" s="164"/>
      <c r="P66" s="164"/>
      <c r="Q66" s="179"/>
      <c r="R66" s="182"/>
    </row>
    <row r="67" spans="1:18" x14ac:dyDescent="0.25">
      <c r="A67" s="171"/>
      <c r="B67" s="88" t="e">
        <f>#REF!</f>
        <v>#REF!</v>
      </c>
      <c r="C67" s="26" t="e">
        <f>+#REF!</f>
        <v>#REF!</v>
      </c>
      <c r="D67" s="27" t="e">
        <f>+#REF!</f>
        <v>#REF!</v>
      </c>
      <c r="E67" s="28">
        <v>96</v>
      </c>
      <c r="F67" s="28" t="e">
        <f>+Tabla5[[#This Row],[Cantidad Lodos Generados (Kg) ]]*Tabla5[[#This Row],[Precio Unitario Disposición ($)]]</f>
        <v>#REF!</v>
      </c>
      <c r="G67" s="28" t="e">
        <f>Tabla5[[#This Row],[Valor Disposición Kg ($)]]*1.19</f>
        <v>#REF!</v>
      </c>
      <c r="H67" s="29">
        <v>1</v>
      </c>
      <c r="I67" s="30">
        <v>750000</v>
      </c>
      <c r="J67" s="89" t="e">
        <f>Tabla5[[#This Row],[Valor Disposición Kg ($)]]+(Tabla5[[#This Row],[Cantidad de Viajes ]]*Tabla5[[#This Row],[Costo Viaje ($)]])</f>
        <v>#REF!</v>
      </c>
      <c r="K67" s="177"/>
      <c r="L67" s="164"/>
      <c r="M67" s="164"/>
      <c r="N67" s="164"/>
      <c r="O67" s="164"/>
      <c r="P67" s="164"/>
      <c r="Q67" s="179"/>
      <c r="R67" s="182"/>
    </row>
    <row r="68" spans="1:18" x14ac:dyDescent="0.25">
      <c r="A68" s="171"/>
      <c r="B68" s="88" t="e">
        <f>#REF!</f>
        <v>#REF!</v>
      </c>
      <c r="C68" s="26" t="e">
        <f>+#REF!</f>
        <v>#REF!</v>
      </c>
      <c r="D68" s="27" t="e">
        <f>+#REF!</f>
        <v>#REF!</v>
      </c>
      <c r="E68" s="28">
        <v>96</v>
      </c>
      <c r="F68" s="28" t="e">
        <f>+Tabla5[[#This Row],[Cantidad Lodos Generados (Kg) ]]*Tabla5[[#This Row],[Precio Unitario Disposición ($)]]</f>
        <v>#REF!</v>
      </c>
      <c r="G68" s="28" t="e">
        <f>Tabla5[[#This Row],[Valor Disposición Kg ($)]]*1.19</f>
        <v>#REF!</v>
      </c>
      <c r="H68" s="29">
        <v>1</v>
      </c>
      <c r="I68" s="30">
        <v>750000</v>
      </c>
      <c r="J68" s="89" t="e">
        <f>Tabla5[[#This Row],[Valor Disposición Kg ($)]]+(Tabla5[[#This Row],[Cantidad de Viajes ]]*Tabla5[[#This Row],[Costo Viaje ($)]])</f>
        <v>#REF!</v>
      </c>
      <c r="K68" s="177"/>
      <c r="L68" s="164"/>
      <c r="M68" s="164"/>
      <c r="N68" s="164"/>
      <c r="O68" s="164"/>
      <c r="P68" s="164"/>
      <c r="Q68" s="179"/>
      <c r="R68" s="182"/>
    </row>
    <row r="69" spans="1:18" x14ac:dyDescent="0.25">
      <c r="A69" s="171"/>
      <c r="B69" s="88" t="e">
        <f>#REF!</f>
        <v>#REF!</v>
      </c>
      <c r="C69" s="26" t="e">
        <f>+#REF!</f>
        <v>#REF!</v>
      </c>
      <c r="D69" s="27" t="e">
        <f>+#REF!</f>
        <v>#REF!</v>
      </c>
      <c r="E69" s="28">
        <v>96</v>
      </c>
      <c r="F69" s="28" t="e">
        <f>+Tabla5[[#This Row],[Cantidad Lodos Generados (Kg) ]]*Tabla5[[#This Row],[Precio Unitario Disposición ($)]]</f>
        <v>#REF!</v>
      </c>
      <c r="G69" s="28" t="e">
        <f>Tabla5[[#This Row],[Valor Disposición Kg ($)]]*1.19</f>
        <v>#REF!</v>
      </c>
      <c r="H69" s="29">
        <v>1</v>
      </c>
      <c r="I69" s="30">
        <v>750000</v>
      </c>
      <c r="J69" s="89" t="e">
        <f>Tabla5[[#This Row],[Valor Disposición Kg ($)]]+(Tabla5[[#This Row],[Cantidad de Viajes ]]*Tabla5[[#This Row],[Costo Viaje ($)]])</f>
        <v>#REF!</v>
      </c>
      <c r="K69" s="177"/>
      <c r="L69" s="164"/>
      <c r="M69" s="164"/>
      <c r="N69" s="164"/>
      <c r="O69" s="164"/>
      <c r="P69" s="164"/>
      <c r="Q69" s="179"/>
      <c r="R69" s="182"/>
    </row>
    <row r="70" spans="1:18" x14ac:dyDescent="0.25">
      <c r="A70" s="171"/>
      <c r="B70" s="88" t="e">
        <f>#REF!</f>
        <v>#REF!</v>
      </c>
      <c r="C70" s="26" t="e">
        <f>+#REF!</f>
        <v>#REF!</v>
      </c>
      <c r="D70" s="27" t="e">
        <f>+#REF!</f>
        <v>#REF!</v>
      </c>
      <c r="E70" s="28">
        <v>96</v>
      </c>
      <c r="F70" s="28" t="e">
        <f>+Tabla5[[#This Row],[Cantidad Lodos Generados (Kg) ]]*Tabla5[[#This Row],[Precio Unitario Disposición ($)]]</f>
        <v>#REF!</v>
      </c>
      <c r="G70" s="28" t="e">
        <f>Tabla5[[#This Row],[Valor Disposición Kg ($)]]*1.19</f>
        <v>#REF!</v>
      </c>
      <c r="H70" s="29">
        <v>1</v>
      </c>
      <c r="I70" s="30">
        <v>750000</v>
      </c>
      <c r="J70" s="89" t="e">
        <f>Tabla5[[#This Row],[Valor Disposición Kg ($)]]+(Tabla5[[#This Row],[Cantidad de Viajes ]]*Tabla5[[#This Row],[Costo Viaje ($)]])</f>
        <v>#REF!</v>
      </c>
      <c r="K70" s="177"/>
      <c r="L70" s="164"/>
      <c r="M70" s="164"/>
      <c r="N70" s="164"/>
      <c r="O70" s="164"/>
      <c r="P70" s="164"/>
      <c r="Q70" s="179"/>
      <c r="R70" s="182"/>
    </row>
    <row r="71" spans="1:18" x14ac:dyDescent="0.25">
      <c r="A71" s="171"/>
      <c r="B71" s="88" t="e">
        <f>#REF!</f>
        <v>#REF!</v>
      </c>
      <c r="C71" s="26" t="e">
        <f>+#REF!</f>
        <v>#REF!</v>
      </c>
      <c r="D71" s="27" t="e">
        <f>+#REF!</f>
        <v>#REF!</v>
      </c>
      <c r="E71" s="28">
        <v>96</v>
      </c>
      <c r="F71" s="28" t="e">
        <f>+Tabla5[[#This Row],[Cantidad Lodos Generados (Kg) ]]*Tabla5[[#This Row],[Precio Unitario Disposición ($)]]</f>
        <v>#REF!</v>
      </c>
      <c r="G71" s="28" t="e">
        <f>Tabla5[[#This Row],[Valor Disposición Kg ($)]]*1.19</f>
        <v>#REF!</v>
      </c>
      <c r="H71" s="29">
        <v>1</v>
      </c>
      <c r="I71" s="30">
        <v>750000</v>
      </c>
      <c r="J71" s="89" t="e">
        <f>Tabla5[[#This Row],[Valor Disposición Kg ($)]]+(Tabla5[[#This Row],[Cantidad de Viajes ]]*Tabla5[[#This Row],[Costo Viaje ($)]])</f>
        <v>#REF!</v>
      </c>
      <c r="K71" s="177"/>
      <c r="L71" s="164"/>
      <c r="M71" s="164"/>
      <c r="N71" s="164"/>
      <c r="O71" s="164"/>
      <c r="P71" s="164"/>
      <c r="Q71" s="179"/>
      <c r="R71" s="182"/>
    </row>
    <row r="72" spans="1:18" x14ac:dyDescent="0.25">
      <c r="A72" s="171"/>
      <c r="B72" s="88" t="e">
        <f>#REF!</f>
        <v>#REF!</v>
      </c>
      <c r="C72" s="26" t="e">
        <f>+#REF!</f>
        <v>#REF!</v>
      </c>
      <c r="D72" s="27" t="e">
        <f>+#REF!</f>
        <v>#REF!</v>
      </c>
      <c r="E72" s="28">
        <v>96</v>
      </c>
      <c r="F72" s="28" t="e">
        <f>+Tabla5[[#This Row],[Cantidad Lodos Generados (Kg) ]]*Tabla5[[#This Row],[Precio Unitario Disposición ($)]]</f>
        <v>#REF!</v>
      </c>
      <c r="G72" s="28" t="e">
        <f>Tabla5[[#This Row],[Valor Disposición Kg ($)]]*1.19</f>
        <v>#REF!</v>
      </c>
      <c r="H72" s="29">
        <v>1</v>
      </c>
      <c r="I72" s="30">
        <v>750000</v>
      </c>
      <c r="J72" s="89" t="e">
        <f>Tabla5[[#This Row],[Valor Disposición Kg ($)]]+(Tabla5[[#This Row],[Cantidad de Viajes ]]*Tabla5[[#This Row],[Costo Viaje ($)]])</f>
        <v>#REF!</v>
      </c>
      <c r="K72" s="177"/>
      <c r="L72" s="164"/>
      <c r="M72" s="164"/>
      <c r="N72" s="164"/>
      <c r="O72" s="164"/>
      <c r="P72" s="164"/>
      <c r="Q72" s="179"/>
      <c r="R72" s="182"/>
    </row>
    <row r="73" spans="1:18" x14ac:dyDescent="0.25">
      <c r="A73" s="171"/>
      <c r="B73" s="88" t="e">
        <f>#REF!</f>
        <v>#REF!</v>
      </c>
      <c r="C73" s="26" t="e">
        <f>+#REF!</f>
        <v>#REF!</v>
      </c>
      <c r="D73" s="27" t="e">
        <f>+#REF!</f>
        <v>#REF!</v>
      </c>
      <c r="E73" s="28">
        <v>96</v>
      </c>
      <c r="F73" s="28" t="e">
        <f>+Tabla5[[#This Row],[Cantidad Lodos Generados (Kg) ]]*Tabla5[[#This Row],[Precio Unitario Disposición ($)]]</f>
        <v>#REF!</v>
      </c>
      <c r="G73" s="28" t="e">
        <f>Tabla5[[#This Row],[Valor Disposición Kg ($)]]*1.19</f>
        <v>#REF!</v>
      </c>
      <c r="H73" s="29">
        <v>1</v>
      </c>
      <c r="I73" s="30">
        <v>750000</v>
      </c>
      <c r="J73" s="89" t="e">
        <f>Tabla5[[#This Row],[Valor Disposición Kg ($)]]+(Tabla5[[#This Row],[Cantidad de Viajes ]]*Tabla5[[#This Row],[Costo Viaje ($)]])</f>
        <v>#REF!</v>
      </c>
      <c r="K73" s="177"/>
      <c r="L73" s="164"/>
      <c r="M73" s="164"/>
      <c r="N73" s="164"/>
      <c r="O73" s="164"/>
      <c r="P73" s="164"/>
      <c r="Q73" s="179"/>
      <c r="R73" s="182"/>
    </row>
    <row r="74" spans="1:18" x14ac:dyDescent="0.25">
      <c r="A74" s="171"/>
      <c r="B74" s="88"/>
      <c r="C74" s="26"/>
      <c r="D74" s="27"/>
      <c r="E74" s="28"/>
      <c r="F74" s="28"/>
      <c r="G74" s="28"/>
      <c r="H74" s="29"/>
      <c r="I74" s="30"/>
      <c r="J74" s="89"/>
      <c r="K74" s="177"/>
      <c r="L74" s="164"/>
      <c r="M74" s="164"/>
      <c r="N74" s="164"/>
      <c r="O74" s="164"/>
      <c r="P74" s="164"/>
      <c r="Q74" s="179"/>
      <c r="R74" s="182"/>
    </row>
    <row r="75" spans="1:18" x14ac:dyDescent="0.25">
      <c r="A75" s="171"/>
      <c r="B75" s="88" t="e">
        <f>#REF!</f>
        <v>#REF!</v>
      </c>
      <c r="C75" s="26" t="e">
        <f>+#REF!</f>
        <v>#REF!</v>
      </c>
      <c r="D75" s="27" t="e">
        <f>+#REF!</f>
        <v>#REF!</v>
      </c>
      <c r="E75" s="28">
        <v>96</v>
      </c>
      <c r="F75" s="28" t="e">
        <f>+Tabla5[[#This Row],[Cantidad Lodos Generados (Kg) ]]*Tabla5[[#This Row],[Precio Unitario Disposición ($)]]</f>
        <v>#REF!</v>
      </c>
      <c r="G75" s="28" t="e">
        <f>Tabla5[[#This Row],[Valor Disposición Kg ($)]]*1.19</f>
        <v>#REF!</v>
      </c>
      <c r="H75" s="29">
        <v>1</v>
      </c>
      <c r="I75" s="30">
        <v>750000</v>
      </c>
      <c r="J75" s="89" t="e">
        <f>Tabla5[[#This Row],[Valor Disposición Kg ($)]]+(Tabla5[[#This Row],[Cantidad de Viajes ]]*Tabla5[[#This Row],[Costo Viaje ($)]])</f>
        <v>#REF!</v>
      </c>
      <c r="K75" s="177"/>
      <c r="L75" s="164"/>
      <c r="M75" s="164"/>
      <c r="N75" s="164"/>
      <c r="O75" s="164"/>
      <c r="P75" s="164"/>
      <c r="Q75" s="179"/>
      <c r="R75" s="182"/>
    </row>
    <row r="76" spans="1:18" x14ac:dyDescent="0.25">
      <c r="A76" s="171"/>
      <c r="B76" s="88" t="e">
        <f>#REF!</f>
        <v>#REF!</v>
      </c>
      <c r="C76" s="26" t="e">
        <f>+#REF!</f>
        <v>#REF!</v>
      </c>
      <c r="D76" s="27" t="e">
        <f>+#REF!</f>
        <v>#REF!</v>
      </c>
      <c r="E76" s="28">
        <v>96</v>
      </c>
      <c r="F76" s="28" t="e">
        <f>+Tabla5[[#This Row],[Cantidad Lodos Generados (Kg) ]]*Tabla5[[#This Row],[Precio Unitario Disposición ($)]]</f>
        <v>#REF!</v>
      </c>
      <c r="G76" s="28" t="e">
        <f>Tabla5[[#This Row],[Valor Disposición Kg ($)]]*1.19</f>
        <v>#REF!</v>
      </c>
      <c r="H76" s="29">
        <v>1</v>
      </c>
      <c r="I76" s="30">
        <v>750000</v>
      </c>
      <c r="J76" s="89" t="e">
        <f>Tabla5[[#This Row],[Valor Disposición Kg ($)]]+(Tabla5[[#This Row],[Cantidad de Viajes ]]*Tabla5[[#This Row],[Costo Viaje ($)]])</f>
        <v>#REF!</v>
      </c>
      <c r="K76" s="177"/>
      <c r="L76" s="164"/>
      <c r="M76" s="164"/>
      <c r="N76" s="164"/>
      <c r="O76" s="164"/>
      <c r="P76" s="164"/>
      <c r="Q76" s="179"/>
      <c r="R76" s="182"/>
    </row>
    <row r="77" spans="1:18" x14ac:dyDescent="0.25">
      <c r="A77" s="171"/>
      <c r="B77" s="88" t="e">
        <f>#REF!</f>
        <v>#REF!</v>
      </c>
      <c r="C77" s="26" t="e">
        <f>+#REF!</f>
        <v>#REF!</v>
      </c>
      <c r="D77" s="27" t="e">
        <f>+#REF!</f>
        <v>#REF!</v>
      </c>
      <c r="E77" s="28">
        <v>96</v>
      </c>
      <c r="F77" s="28" t="e">
        <f>+Tabla5[[#This Row],[Cantidad Lodos Generados (Kg) ]]*Tabla5[[#This Row],[Precio Unitario Disposición ($)]]</f>
        <v>#REF!</v>
      </c>
      <c r="G77" s="28" t="e">
        <f>Tabla5[[#This Row],[Valor Disposición Kg ($)]]*1.19</f>
        <v>#REF!</v>
      </c>
      <c r="H77" s="29">
        <v>1</v>
      </c>
      <c r="I77" s="30">
        <v>750000</v>
      </c>
      <c r="J77" s="89" t="e">
        <f>Tabla5[[#This Row],[Valor Disposición Kg ($)]]+(Tabla5[[#This Row],[Cantidad de Viajes ]]*Tabla5[[#This Row],[Costo Viaje ($)]])</f>
        <v>#REF!</v>
      </c>
      <c r="K77" s="177"/>
      <c r="L77" s="164"/>
      <c r="M77" s="164"/>
      <c r="N77" s="164"/>
      <c r="O77" s="164"/>
      <c r="P77" s="164"/>
      <c r="Q77" s="179"/>
      <c r="R77" s="182"/>
    </row>
    <row r="78" spans="1:18" x14ac:dyDescent="0.25">
      <c r="A78" s="171"/>
      <c r="B78" s="88" t="e">
        <f>#REF!</f>
        <v>#REF!</v>
      </c>
      <c r="C78" s="26" t="e">
        <f>+#REF!</f>
        <v>#REF!</v>
      </c>
      <c r="D78" s="27" t="e">
        <f>+#REF!</f>
        <v>#REF!</v>
      </c>
      <c r="E78" s="28">
        <v>96</v>
      </c>
      <c r="F78" s="28" t="e">
        <f>+Tabla5[[#This Row],[Cantidad Lodos Generados (Kg) ]]*Tabla5[[#This Row],[Precio Unitario Disposición ($)]]</f>
        <v>#REF!</v>
      </c>
      <c r="G78" s="28" t="e">
        <f>Tabla5[[#This Row],[Valor Disposición Kg ($)]]*1.19</f>
        <v>#REF!</v>
      </c>
      <c r="H78" s="29">
        <v>1</v>
      </c>
      <c r="I78" s="30">
        <v>750000</v>
      </c>
      <c r="J78" s="89" t="e">
        <f>Tabla5[[#This Row],[Valor Disposición Kg ($)]]+(Tabla5[[#This Row],[Cantidad de Viajes ]]*Tabla5[[#This Row],[Costo Viaje ($)]])</f>
        <v>#REF!</v>
      </c>
      <c r="K78" s="177"/>
      <c r="L78" s="164"/>
      <c r="M78" s="164"/>
      <c r="N78" s="164"/>
      <c r="O78" s="164"/>
      <c r="P78" s="164"/>
      <c r="Q78" s="179"/>
      <c r="R78" s="182"/>
    </row>
    <row r="79" spans="1:18" x14ac:dyDescent="0.25">
      <c r="A79" s="171"/>
      <c r="B79" s="88" t="e">
        <f>#REF!</f>
        <v>#REF!</v>
      </c>
      <c r="C79" s="26" t="e">
        <f>+#REF!</f>
        <v>#REF!</v>
      </c>
      <c r="D79" s="27" t="e">
        <f>+#REF!</f>
        <v>#REF!</v>
      </c>
      <c r="E79" s="28">
        <v>96</v>
      </c>
      <c r="F79" s="28" t="e">
        <f>+Tabla5[[#This Row],[Cantidad Lodos Generados (Kg) ]]*Tabla5[[#This Row],[Precio Unitario Disposición ($)]]</f>
        <v>#REF!</v>
      </c>
      <c r="G79" s="28" t="e">
        <f>Tabla5[[#This Row],[Valor Disposición Kg ($)]]*1.19</f>
        <v>#REF!</v>
      </c>
      <c r="H79" s="29">
        <v>1</v>
      </c>
      <c r="I79" s="30">
        <v>750000</v>
      </c>
      <c r="J79" s="89" t="e">
        <f>Tabla5[[#This Row],[Valor Disposición Kg ($)]]+(Tabla5[[#This Row],[Cantidad de Viajes ]]*Tabla5[[#This Row],[Costo Viaje ($)]])</f>
        <v>#REF!</v>
      </c>
      <c r="K79" s="177"/>
      <c r="L79" s="164"/>
      <c r="M79" s="164"/>
      <c r="N79" s="164"/>
      <c r="O79" s="164"/>
      <c r="P79" s="164"/>
      <c r="Q79" s="179"/>
      <c r="R79" s="182"/>
    </row>
    <row r="80" spans="1:18" x14ac:dyDescent="0.25">
      <c r="A80" s="171"/>
      <c r="B80" s="88" t="e">
        <f>#REF!</f>
        <v>#REF!</v>
      </c>
      <c r="C80" s="26" t="e">
        <f>+#REF!</f>
        <v>#REF!</v>
      </c>
      <c r="D80" s="27" t="e">
        <f>+#REF!</f>
        <v>#REF!</v>
      </c>
      <c r="E80" s="28">
        <v>96</v>
      </c>
      <c r="F80" s="28" t="e">
        <f>+Tabla5[[#This Row],[Cantidad Lodos Generados (Kg) ]]*Tabla5[[#This Row],[Precio Unitario Disposición ($)]]</f>
        <v>#REF!</v>
      </c>
      <c r="G80" s="28" t="e">
        <f>Tabla5[[#This Row],[Valor Disposición Kg ($)]]*1.19</f>
        <v>#REF!</v>
      </c>
      <c r="H80" s="29">
        <v>1</v>
      </c>
      <c r="I80" s="30">
        <v>750000</v>
      </c>
      <c r="J80" s="89" t="e">
        <f>+Tabla5[[#This Row],[Valor Disposición Kg ($)]]+Tabla5[[#This Row],[Cantidad de Viajes ]]*Tabla5[[#This Row],[Costo Viaje ($)]]</f>
        <v>#REF!</v>
      </c>
      <c r="K80" s="177"/>
      <c r="L80" s="164"/>
      <c r="M80" s="164"/>
      <c r="N80" s="164"/>
      <c r="O80" s="164"/>
      <c r="P80" s="164"/>
      <c r="Q80" s="179"/>
      <c r="R80" s="182"/>
    </row>
    <row r="81" spans="1:18" x14ac:dyDescent="0.25">
      <c r="A81" s="171"/>
      <c r="B81" s="88" t="e">
        <f>#REF!</f>
        <v>#REF!</v>
      </c>
      <c r="C81" s="26" t="e">
        <f>+#REF!</f>
        <v>#REF!</v>
      </c>
      <c r="D81" s="27" t="e">
        <f>+#REF!</f>
        <v>#REF!</v>
      </c>
      <c r="E81" s="28">
        <v>96</v>
      </c>
      <c r="F81" s="28" t="e">
        <f>+Tabla5[[#This Row],[Cantidad Lodos Generados (Kg) ]]*Tabla5[[#This Row],[Precio Unitario Disposición ($)]]</f>
        <v>#REF!</v>
      </c>
      <c r="G81" s="28" t="e">
        <f>Tabla5[[#This Row],[Valor Disposición Kg ($)]]*1.19</f>
        <v>#REF!</v>
      </c>
      <c r="H81" s="29">
        <v>1</v>
      </c>
      <c r="I81" s="30">
        <v>750000</v>
      </c>
      <c r="J81" s="89" t="e">
        <f>Tabla5[[#This Row],[Valor Disposición Kg ($)]]+(Tabla5[[#This Row],[Cantidad de Viajes ]]*Tabla5[[#This Row],[Costo Viaje ($)]])</f>
        <v>#REF!</v>
      </c>
      <c r="K81" s="177"/>
      <c r="L81" s="164"/>
      <c r="M81" s="164"/>
      <c r="N81" s="164"/>
      <c r="O81" s="164"/>
      <c r="P81" s="164"/>
      <c r="Q81" s="179"/>
      <c r="R81" s="182"/>
    </row>
    <row r="82" spans="1:18" x14ac:dyDescent="0.25">
      <c r="A82" s="171"/>
      <c r="B82" s="88" t="e">
        <f>#REF!</f>
        <v>#REF!</v>
      </c>
      <c r="C82" s="26" t="e">
        <f>+#REF!</f>
        <v>#REF!</v>
      </c>
      <c r="D82" s="27" t="e">
        <f>+#REF!</f>
        <v>#REF!</v>
      </c>
      <c r="E82" s="28">
        <v>96</v>
      </c>
      <c r="F82" s="28" t="e">
        <f>+Tabla5[[#This Row],[Cantidad Lodos Generados (Kg) ]]*Tabla5[[#This Row],[Precio Unitario Disposición ($)]]</f>
        <v>#REF!</v>
      </c>
      <c r="G82" s="28" t="e">
        <f>Tabla5[[#This Row],[Valor Disposición Kg ($)]]*1.19</f>
        <v>#REF!</v>
      </c>
      <c r="H82" s="29">
        <v>1</v>
      </c>
      <c r="I82" s="30">
        <v>750000</v>
      </c>
      <c r="J82" s="89" t="e">
        <f>Tabla5[[#This Row],[Valor Disposición Kg ($)]]+(Tabla5[[#This Row],[Cantidad de Viajes ]]*Tabla5[[#This Row],[Costo Viaje ($)]])</f>
        <v>#REF!</v>
      </c>
      <c r="K82" s="177"/>
      <c r="L82" s="164"/>
      <c r="M82" s="164"/>
      <c r="N82" s="164"/>
      <c r="O82" s="164"/>
      <c r="P82" s="164"/>
      <c r="Q82" s="179"/>
      <c r="R82" s="182"/>
    </row>
    <row r="83" spans="1:18" ht="14.95" thickBot="1" x14ac:dyDescent="0.3">
      <c r="A83" s="171"/>
      <c r="B83" s="90" t="e">
        <f>#REF!</f>
        <v>#REF!</v>
      </c>
      <c r="C83" s="49" t="e">
        <f>+#REF!</f>
        <v>#REF!</v>
      </c>
      <c r="D83" s="50" t="e">
        <f>+#REF!</f>
        <v>#REF!</v>
      </c>
      <c r="E83" s="51">
        <v>96</v>
      </c>
      <c r="F83" s="51" t="e">
        <f>+Tabla5[[#This Row],[Cantidad Lodos Generados (Kg) ]]*Tabla5[[#This Row],[Precio Unitario Disposición ($)]]</f>
        <v>#REF!</v>
      </c>
      <c r="G83" s="51" t="e">
        <f>Tabla5[[#This Row],[Valor Disposición Kg ($)]]*1.19</f>
        <v>#REF!</v>
      </c>
      <c r="H83" s="52">
        <v>1</v>
      </c>
      <c r="I83" s="53">
        <v>750000</v>
      </c>
      <c r="J83" s="91" t="e">
        <f>+Tabla5[[#This Row],[Valor Disposición Kg ($)]]+Tabla5[[#This Row],[Cantidad de Viajes ]]*Tabla5[[#This Row],[Costo Viaje ($)]]</f>
        <v>#REF!</v>
      </c>
      <c r="K83" s="177"/>
      <c r="L83" s="164"/>
      <c r="M83" s="164"/>
      <c r="N83" s="164"/>
      <c r="O83" s="164"/>
      <c r="P83" s="164"/>
      <c r="Q83" s="179"/>
      <c r="R83" s="182"/>
    </row>
    <row r="84" spans="1:18" x14ac:dyDescent="0.25">
      <c r="A84" s="167" t="s">
        <v>90</v>
      </c>
      <c r="B84" s="102">
        <v>52966</v>
      </c>
      <c r="C84" s="21">
        <v>45717</v>
      </c>
      <c r="D84" s="22">
        <v>3090</v>
      </c>
      <c r="E84" s="23">
        <v>96</v>
      </c>
      <c r="F84" s="28">
        <f>+D84*E84</f>
        <v>296640</v>
      </c>
      <c r="G84" s="23">
        <f>+F84*1.19</f>
        <v>353001.6</v>
      </c>
      <c r="H84" s="24">
        <v>1</v>
      </c>
      <c r="I84" s="25">
        <v>750000</v>
      </c>
      <c r="J84" s="100">
        <f>+F84+H84*I84</f>
        <v>1046640</v>
      </c>
      <c r="K84" s="168">
        <f>SUM(D84:D113)</f>
        <v>136528.79999999999</v>
      </c>
      <c r="L84" s="168">
        <f>SUM(H84:H113)</f>
        <v>30</v>
      </c>
      <c r="M84" s="169">
        <f>SUM(F84:F113)</f>
        <v>13106764.800000001</v>
      </c>
      <c r="N84" s="168">
        <f>M84*19%</f>
        <v>2490285.3120000004</v>
      </c>
      <c r="O84" s="169">
        <f>SUM(I84:I113)</f>
        <v>20660000</v>
      </c>
      <c r="P84" s="168">
        <f>M84+O84</f>
        <v>33766764.799999997</v>
      </c>
      <c r="Q84" s="183">
        <f>SUM(M84+N84+O84)</f>
        <v>36257050.112000003</v>
      </c>
      <c r="R84" s="183">
        <f>P84/K84</f>
        <v>247.32338378422722</v>
      </c>
    </row>
    <row r="85" spans="1:18" x14ac:dyDescent="0.25">
      <c r="A85" s="167"/>
      <c r="B85" s="103">
        <v>52967</v>
      </c>
      <c r="C85" s="26">
        <v>45719</v>
      </c>
      <c r="D85" s="27">
        <v>5380</v>
      </c>
      <c r="E85" s="28">
        <v>96</v>
      </c>
      <c r="F85" s="28">
        <f>+D85*E85</f>
        <v>516480</v>
      </c>
      <c r="G85" s="28">
        <f>+F85*1.19</f>
        <v>614611.19999999995</v>
      </c>
      <c r="H85" s="29">
        <v>1</v>
      </c>
      <c r="I85" s="30">
        <v>750000</v>
      </c>
      <c r="J85" s="101">
        <f>+F85+H85*I85</f>
        <v>1266480</v>
      </c>
      <c r="K85" s="168"/>
      <c r="L85" s="168"/>
      <c r="M85" s="169"/>
      <c r="N85" s="168"/>
      <c r="O85" s="169"/>
      <c r="P85" s="168"/>
      <c r="Q85" s="184"/>
      <c r="R85" s="184"/>
    </row>
    <row r="86" spans="1:18" x14ac:dyDescent="0.25">
      <c r="A86" s="167"/>
      <c r="B86" s="103">
        <v>52968</v>
      </c>
      <c r="C86" s="26">
        <v>45720</v>
      </c>
      <c r="D86" s="27">
        <v>3160</v>
      </c>
      <c r="E86" s="28">
        <v>96</v>
      </c>
      <c r="F86" s="28">
        <f t="shared" ref="F86:F97" si="0">+D86*E86</f>
        <v>303360</v>
      </c>
      <c r="G86" s="28">
        <f t="shared" ref="G86:G97" si="1">+F86*1.19</f>
        <v>360998.39999999997</v>
      </c>
      <c r="H86" s="29">
        <v>1</v>
      </c>
      <c r="I86" s="30">
        <v>750000</v>
      </c>
      <c r="J86" s="101">
        <f t="shared" ref="J86:J97" si="2">+F86+H86*I86</f>
        <v>1053360</v>
      </c>
      <c r="K86" s="168"/>
      <c r="L86" s="168"/>
      <c r="M86" s="169"/>
      <c r="N86" s="168"/>
      <c r="O86" s="169"/>
      <c r="P86" s="168"/>
      <c r="Q86" s="184"/>
      <c r="R86" s="184"/>
    </row>
    <row r="87" spans="1:18" x14ac:dyDescent="0.25">
      <c r="A87" s="167"/>
      <c r="B87" s="103">
        <v>52971</v>
      </c>
      <c r="C87" s="26">
        <v>45721</v>
      </c>
      <c r="D87" s="27">
        <v>4260</v>
      </c>
      <c r="E87" s="28">
        <v>96</v>
      </c>
      <c r="F87" s="28">
        <f t="shared" si="0"/>
        <v>408960</v>
      </c>
      <c r="G87" s="28">
        <f t="shared" si="1"/>
        <v>486662.39999999997</v>
      </c>
      <c r="H87" s="29">
        <v>1</v>
      </c>
      <c r="I87" s="30">
        <v>750000</v>
      </c>
      <c r="J87" s="101">
        <f>+F87+H87*I87</f>
        <v>1158960</v>
      </c>
      <c r="K87" s="168"/>
      <c r="L87" s="168"/>
      <c r="M87" s="169"/>
      <c r="N87" s="168"/>
      <c r="O87" s="169"/>
      <c r="P87" s="168"/>
      <c r="Q87" s="184"/>
      <c r="R87" s="184"/>
    </row>
    <row r="88" spans="1:18" x14ac:dyDescent="0.25">
      <c r="A88" s="167"/>
      <c r="B88" s="103">
        <v>52972</v>
      </c>
      <c r="C88" s="26">
        <v>45721</v>
      </c>
      <c r="D88" s="27">
        <v>2970</v>
      </c>
      <c r="E88" s="28">
        <v>96</v>
      </c>
      <c r="F88" s="28">
        <f t="shared" si="0"/>
        <v>285120</v>
      </c>
      <c r="G88" s="28">
        <f t="shared" si="1"/>
        <v>339292.8</v>
      </c>
      <c r="H88" s="29">
        <v>1</v>
      </c>
      <c r="I88" s="30">
        <v>290000</v>
      </c>
      <c r="J88" s="101">
        <f>+F88+H88*I88</f>
        <v>575120</v>
      </c>
      <c r="K88" s="168"/>
      <c r="L88" s="168"/>
      <c r="M88" s="169"/>
      <c r="N88" s="168"/>
      <c r="O88" s="169"/>
      <c r="P88" s="168"/>
      <c r="Q88" s="184"/>
      <c r="R88" s="184"/>
    </row>
    <row r="89" spans="1:18" x14ac:dyDescent="0.25">
      <c r="A89" s="167"/>
      <c r="B89" s="103">
        <v>53488</v>
      </c>
      <c r="C89" s="26">
        <v>45722</v>
      </c>
      <c r="D89" s="27">
        <v>2986.8</v>
      </c>
      <c r="E89" s="28">
        <v>96</v>
      </c>
      <c r="F89" s="28">
        <f t="shared" si="0"/>
        <v>286732.80000000005</v>
      </c>
      <c r="G89" s="28">
        <f t="shared" si="1"/>
        <v>341212.03200000006</v>
      </c>
      <c r="H89" s="29">
        <v>1</v>
      </c>
      <c r="I89" s="30">
        <v>750000</v>
      </c>
      <c r="J89" s="101">
        <f t="shared" si="2"/>
        <v>1036732.8</v>
      </c>
      <c r="K89" s="168"/>
      <c r="L89" s="168"/>
      <c r="M89" s="169"/>
      <c r="N89" s="168"/>
      <c r="O89" s="169"/>
      <c r="P89" s="168"/>
      <c r="Q89" s="184"/>
      <c r="R89" s="184"/>
    </row>
    <row r="90" spans="1:18" x14ac:dyDescent="0.25">
      <c r="A90" s="167"/>
      <c r="B90" s="103">
        <v>52973</v>
      </c>
      <c r="C90" s="26">
        <v>45723</v>
      </c>
      <c r="D90" s="27">
        <v>3780</v>
      </c>
      <c r="E90" s="28">
        <v>96</v>
      </c>
      <c r="F90" s="28">
        <f t="shared" si="0"/>
        <v>362880</v>
      </c>
      <c r="G90" s="28">
        <f t="shared" si="1"/>
        <v>431827.19999999995</v>
      </c>
      <c r="H90" s="29">
        <v>1</v>
      </c>
      <c r="I90" s="30">
        <v>750000</v>
      </c>
      <c r="J90" s="101">
        <f t="shared" si="2"/>
        <v>1112880</v>
      </c>
      <c r="K90" s="168"/>
      <c r="L90" s="168"/>
      <c r="M90" s="169"/>
      <c r="N90" s="168"/>
      <c r="O90" s="169"/>
      <c r="P90" s="168"/>
      <c r="Q90" s="184"/>
      <c r="R90" s="184"/>
    </row>
    <row r="91" spans="1:18" x14ac:dyDescent="0.25">
      <c r="A91" s="167"/>
      <c r="B91" s="103">
        <v>52974</v>
      </c>
      <c r="C91" s="26">
        <v>45724</v>
      </c>
      <c r="D91" s="27">
        <v>4720</v>
      </c>
      <c r="E91" s="28">
        <v>96</v>
      </c>
      <c r="F91" s="28">
        <f t="shared" si="0"/>
        <v>453120</v>
      </c>
      <c r="G91" s="28">
        <f t="shared" si="1"/>
        <v>539212.79999999993</v>
      </c>
      <c r="H91" s="29">
        <v>1</v>
      </c>
      <c r="I91" s="30">
        <v>750000</v>
      </c>
      <c r="J91" s="101">
        <f t="shared" si="2"/>
        <v>1203120</v>
      </c>
      <c r="K91" s="168"/>
      <c r="L91" s="168"/>
      <c r="M91" s="169"/>
      <c r="N91" s="168"/>
      <c r="O91" s="169"/>
      <c r="P91" s="168"/>
      <c r="Q91" s="184"/>
      <c r="R91" s="184"/>
    </row>
    <row r="92" spans="1:18" x14ac:dyDescent="0.25">
      <c r="A92" s="167"/>
      <c r="B92" s="103">
        <v>52975</v>
      </c>
      <c r="C92" s="26">
        <v>45726</v>
      </c>
      <c r="D92" s="27">
        <v>5510</v>
      </c>
      <c r="E92" s="28">
        <v>96</v>
      </c>
      <c r="F92" s="28">
        <f t="shared" si="0"/>
        <v>528960</v>
      </c>
      <c r="G92" s="28">
        <f t="shared" si="1"/>
        <v>629462.4</v>
      </c>
      <c r="H92" s="29">
        <v>1</v>
      </c>
      <c r="I92" s="30">
        <v>750000</v>
      </c>
      <c r="J92" s="101">
        <f t="shared" si="2"/>
        <v>1278960</v>
      </c>
      <c r="K92" s="168"/>
      <c r="L92" s="168"/>
      <c r="M92" s="169"/>
      <c r="N92" s="168"/>
      <c r="O92" s="169"/>
      <c r="P92" s="168"/>
      <c r="Q92" s="184"/>
      <c r="R92" s="184"/>
    </row>
    <row r="93" spans="1:18" x14ac:dyDescent="0.25">
      <c r="A93" s="167"/>
      <c r="B93" s="103">
        <v>52976</v>
      </c>
      <c r="C93" s="26">
        <v>45727</v>
      </c>
      <c r="D93" s="27">
        <v>5220</v>
      </c>
      <c r="E93" s="28">
        <v>96</v>
      </c>
      <c r="F93" s="28">
        <f t="shared" si="0"/>
        <v>501120</v>
      </c>
      <c r="G93" s="28">
        <f t="shared" si="1"/>
        <v>596332.79999999993</v>
      </c>
      <c r="H93" s="29">
        <v>1</v>
      </c>
      <c r="I93" s="30">
        <v>750000</v>
      </c>
      <c r="J93" s="101">
        <f t="shared" si="2"/>
        <v>1251120</v>
      </c>
      <c r="K93" s="168"/>
      <c r="L93" s="168"/>
      <c r="M93" s="169"/>
      <c r="N93" s="168"/>
      <c r="O93" s="169"/>
      <c r="P93" s="168"/>
      <c r="Q93" s="184"/>
      <c r="R93" s="184"/>
    </row>
    <row r="94" spans="1:18" x14ac:dyDescent="0.25">
      <c r="A94" s="167"/>
      <c r="B94" s="103">
        <v>52977</v>
      </c>
      <c r="C94" s="26">
        <v>45728</v>
      </c>
      <c r="D94" s="27">
        <v>4940</v>
      </c>
      <c r="E94" s="28">
        <v>96</v>
      </c>
      <c r="F94" s="28">
        <f t="shared" si="0"/>
        <v>474240</v>
      </c>
      <c r="G94" s="28">
        <f t="shared" si="1"/>
        <v>564345.59999999998</v>
      </c>
      <c r="H94" s="29">
        <v>1</v>
      </c>
      <c r="I94" s="30">
        <v>750000</v>
      </c>
      <c r="J94" s="101">
        <f t="shared" si="2"/>
        <v>1224240</v>
      </c>
      <c r="K94" s="168"/>
      <c r="L94" s="168"/>
      <c r="M94" s="169"/>
      <c r="N94" s="168"/>
      <c r="O94" s="169"/>
      <c r="P94" s="168"/>
      <c r="Q94" s="184"/>
      <c r="R94" s="184"/>
    </row>
    <row r="95" spans="1:18" x14ac:dyDescent="0.25">
      <c r="A95" s="167"/>
      <c r="B95" s="103">
        <v>52978</v>
      </c>
      <c r="C95" s="26">
        <v>45729</v>
      </c>
      <c r="D95" s="27">
        <v>6390</v>
      </c>
      <c r="E95" s="28">
        <v>96</v>
      </c>
      <c r="F95" s="28">
        <f t="shared" si="0"/>
        <v>613440</v>
      </c>
      <c r="G95" s="28">
        <f t="shared" si="1"/>
        <v>729993.6</v>
      </c>
      <c r="H95" s="29">
        <v>1</v>
      </c>
      <c r="I95" s="30">
        <v>750000</v>
      </c>
      <c r="J95" s="101">
        <f t="shared" si="2"/>
        <v>1363440</v>
      </c>
      <c r="K95" s="168"/>
      <c r="L95" s="168"/>
      <c r="M95" s="169"/>
      <c r="N95" s="168"/>
      <c r="O95" s="169"/>
      <c r="P95" s="168"/>
      <c r="Q95" s="184"/>
      <c r="R95" s="184"/>
    </row>
    <row r="96" spans="1:18" x14ac:dyDescent="0.25">
      <c r="A96" s="167"/>
      <c r="B96" s="103">
        <v>55824</v>
      </c>
      <c r="C96" s="26">
        <v>45729</v>
      </c>
      <c r="D96" s="27">
        <v>3896</v>
      </c>
      <c r="E96" s="28">
        <v>96</v>
      </c>
      <c r="F96" s="28">
        <f t="shared" si="0"/>
        <v>374016</v>
      </c>
      <c r="G96" s="28">
        <f t="shared" si="1"/>
        <v>445079.03999999998</v>
      </c>
      <c r="H96" s="29">
        <v>1</v>
      </c>
      <c r="I96" s="30">
        <v>290000</v>
      </c>
      <c r="J96" s="101">
        <f t="shared" si="2"/>
        <v>664016</v>
      </c>
      <c r="K96" s="168"/>
      <c r="L96" s="168"/>
      <c r="M96" s="169"/>
      <c r="N96" s="168"/>
      <c r="O96" s="169"/>
      <c r="P96" s="168"/>
      <c r="Q96" s="184"/>
      <c r="R96" s="184"/>
    </row>
    <row r="97" spans="1:18" x14ac:dyDescent="0.25">
      <c r="A97" s="167"/>
      <c r="B97" s="103">
        <v>52979</v>
      </c>
      <c r="C97" s="26">
        <v>45730</v>
      </c>
      <c r="D97" s="27">
        <v>4260</v>
      </c>
      <c r="E97" s="28">
        <v>96</v>
      </c>
      <c r="F97" s="28">
        <f t="shared" si="0"/>
        <v>408960</v>
      </c>
      <c r="G97" s="28">
        <f t="shared" si="1"/>
        <v>486662.39999999997</v>
      </c>
      <c r="H97" s="29">
        <v>1</v>
      </c>
      <c r="I97" s="30">
        <v>750000</v>
      </c>
      <c r="J97" s="101">
        <f t="shared" si="2"/>
        <v>1158960</v>
      </c>
      <c r="K97" s="168"/>
      <c r="L97" s="168"/>
      <c r="M97" s="169"/>
      <c r="N97" s="168"/>
      <c r="O97" s="169"/>
      <c r="P97" s="168"/>
      <c r="Q97" s="184"/>
      <c r="R97" s="184"/>
    </row>
    <row r="98" spans="1:18" x14ac:dyDescent="0.25">
      <c r="A98" s="167"/>
      <c r="B98" s="103">
        <v>52980</v>
      </c>
      <c r="C98" s="26">
        <v>45731</v>
      </c>
      <c r="D98" s="27">
        <v>6370</v>
      </c>
      <c r="E98" s="28">
        <v>96</v>
      </c>
      <c r="F98" s="28">
        <f t="shared" ref="F98:F107" si="3">+D98*E98</f>
        <v>611520</v>
      </c>
      <c r="G98" s="28">
        <f t="shared" ref="G98:G107" si="4">+F98*1.19</f>
        <v>727708.79999999993</v>
      </c>
      <c r="H98" s="29">
        <v>1</v>
      </c>
      <c r="I98" s="30">
        <v>750000</v>
      </c>
      <c r="J98" s="101">
        <f t="shared" ref="J98:J107" si="5">+F98+H98*I98</f>
        <v>1361520</v>
      </c>
      <c r="K98" s="168"/>
      <c r="L98" s="168"/>
      <c r="M98" s="169"/>
      <c r="N98" s="168"/>
      <c r="O98" s="169"/>
      <c r="P98" s="168"/>
      <c r="Q98" s="184"/>
      <c r="R98" s="184"/>
    </row>
    <row r="99" spans="1:18" x14ac:dyDescent="0.25">
      <c r="A99" s="167"/>
      <c r="B99" s="103">
        <v>52981</v>
      </c>
      <c r="C99" s="26">
        <v>45732</v>
      </c>
      <c r="D99" s="27">
        <v>5460</v>
      </c>
      <c r="E99" s="28">
        <v>96</v>
      </c>
      <c r="F99" s="28">
        <f t="shared" si="3"/>
        <v>524160</v>
      </c>
      <c r="G99" s="28">
        <f t="shared" si="4"/>
        <v>623750.40000000002</v>
      </c>
      <c r="H99" s="29">
        <v>1</v>
      </c>
      <c r="I99" s="30">
        <v>750000</v>
      </c>
      <c r="J99" s="101">
        <f t="shared" si="5"/>
        <v>1274160</v>
      </c>
      <c r="K99" s="168"/>
      <c r="L99" s="168"/>
      <c r="M99" s="169"/>
      <c r="N99" s="168"/>
      <c r="O99" s="169"/>
      <c r="P99" s="168"/>
      <c r="Q99" s="184"/>
      <c r="R99" s="184"/>
    </row>
    <row r="100" spans="1:18" x14ac:dyDescent="0.25">
      <c r="A100" s="167"/>
      <c r="B100" s="103">
        <v>52982</v>
      </c>
      <c r="C100" s="26">
        <v>45733</v>
      </c>
      <c r="D100" s="27">
        <v>4490</v>
      </c>
      <c r="E100" s="28">
        <v>96</v>
      </c>
      <c r="F100" s="28">
        <f t="shared" si="3"/>
        <v>431040</v>
      </c>
      <c r="G100" s="28">
        <f t="shared" si="4"/>
        <v>512937.6</v>
      </c>
      <c r="H100" s="29">
        <v>1</v>
      </c>
      <c r="I100" s="30">
        <v>750000</v>
      </c>
      <c r="J100" s="101">
        <f t="shared" si="5"/>
        <v>1181040</v>
      </c>
      <c r="K100" s="168"/>
      <c r="L100" s="168"/>
      <c r="M100" s="169"/>
      <c r="N100" s="168"/>
      <c r="O100" s="169"/>
      <c r="P100" s="168"/>
      <c r="Q100" s="184"/>
      <c r="R100" s="184"/>
    </row>
    <row r="101" spans="1:18" x14ac:dyDescent="0.25">
      <c r="A101" s="167"/>
      <c r="B101" s="103">
        <v>52983</v>
      </c>
      <c r="C101" s="26">
        <v>45735</v>
      </c>
      <c r="D101" s="27">
        <v>5150</v>
      </c>
      <c r="E101" s="28">
        <v>96</v>
      </c>
      <c r="F101" s="28">
        <f t="shared" si="3"/>
        <v>494400</v>
      </c>
      <c r="G101" s="28">
        <f t="shared" si="4"/>
        <v>588336</v>
      </c>
      <c r="H101" s="29">
        <v>1</v>
      </c>
      <c r="I101" s="30">
        <v>750000</v>
      </c>
      <c r="J101" s="101">
        <f t="shared" si="5"/>
        <v>1244400</v>
      </c>
      <c r="K101" s="168"/>
      <c r="L101" s="168"/>
      <c r="M101" s="169"/>
      <c r="N101" s="168"/>
      <c r="O101" s="169"/>
      <c r="P101" s="168"/>
      <c r="Q101" s="184"/>
      <c r="R101" s="184"/>
    </row>
    <row r="102" spans="1:18" x14ac:dyDescent="0.25">
      <c r="A102" s="167"/>
      <c r="B102" s="103">
        <v>52984</v>
      </c>
      <c r="C102" s="26">
        <v>45736</v>
      </c>
      <c r="D102" s="27">
        <v>5700</v>
      </c>
      <c r="E102" s="28">
        <v>96</v>
      </c>
      <c r="F102" s="28">
        <f t="shared" si="3"/>
        <v>547200</v>
      </c>
      <c r="G102" s="28">
        <f t="shared" si="4"/>
        <v>651168</v>
      </c>
      <c r="H102" s="29">
        <v>1</v>
      </c>
      <c r="I102" s="30">
        <v>750000</v>
      </c>
      <c r="J102" s="101">
        <f t="shared" si="5"/>
        <v>1297200</v>
      </c>
      <c r="K102" s="168"/>
      <c r="L102" s="168"/>
      <c r="M102" s="169"/>
      <c r="N102" s="168"/>
      <c r="O102" s="169"/>
      <c r="P102" s="168"/>
      <c r="Q102" s="184"/>
      <c r="R102" s="184"/>
    </row>
    <row r="103" spans="1:18" x14ac:dyDescent="0.25">
      <c r="A103" s="167"/>
      <c r="B103" s="103">
        <v>52985</v>
      </c>
      <c r="C103" s="26">
        <v>45737</v>
      </c>
      <c r="D103" s="27">
        <v>5570</v>
      </c>
      <c r="E103" s="28">
        <v>96</v>
      </c>
      <c r="F103" s="28">
        <f t="shared" si="3"/>
        <v>534720</v>
      </c>
      <c r="G103" s="28">
        <f t="shared" si="4"/>
        <v>636316.79999999993</v>
      </c>
      <c r="H103" s="29">
        <v>1</v>
      </c>
      <c r="I103" s="30">
        <v>750000</v>
      </c>
      <c r="J103" s="101">
        <f t="shared" si="5"/>
        <v>1284720</v>
      </c>
      <c r="K103" s="168"/>
      <c r="L103" s="168"/>
      <c r="M103" s="169"/>
      <c r="N103" s="168"/>
      <c r="O103" s="169"/>
      <c r="P103" s="168"/>
      <c r="Q103" s="184"/>
      <c r="R103" s="184"/>
    </row>
    <row r="104" spans="1:18" x14ac:dyDescent="0.25">
      <c r="A104" s="167"/>
      <c r="B104" s="103">
        <v>52986</v>
      </c>
      <c r="C104" s="26">
        <v>45737</v>
      </c>
      <c r="D104" s="27">
        <v>2900</v>
      </c>
      <c r="E104" s="28">
        <v>96</v>
      </c>
      <c r="F104" s="28">
        <f t="shared" si="3"/>
        <v>278400</v>
      </c>
      <c r="G104" s="28">
        <f t="shared" si="4"/>
        <v>331296</v>
      </c>
      <c r="H104" s="29">
        <v>1</v>
      </c>
      <c r="I104" s="30">
        <v>750000</v>
      </c>
      <c r="J104" s="101">
        <f t="shared" si="5"/>
        <v>1028400</v>
      </c>
      <c r="K104" s="168"/>
      <c r="L104" s="168"/>
      <c r="M104" s="169"/>
      <c r="N104" s="168"/>
      <c r="O104" s="169"/>
      <c r="P104" s="168"/>
      <c r="Q104" s="184"/>
      <c r="R104" s="184"/>
    </row>
    <row r="105" spans="1:18" x14ac:dyDescent="0.25">
      <c r="A105" s="167"/>
      <c r="B105" s="103">
        <v>52988</v>
      </c>
      <c r="C105" s="26">
        <v>45739</v>
      </c>
      <c r="D105" s="27">
        <v>2280</v>
      </c>
      <c r="E105" s="28">
        <v>96</v>
      </c>
      <c r="F105" s="28">
        <f t="shared" si="3"/>
        <v>218880</v>
      </c>
      <c r="G105" s="28">
        <f t="shared" si="4"/>
        <v>260467.19999999998</v>
      </c>
      <c r="H105" s="29">
        <v>1</v>
      </c>
      <c r="I105" s="30">
        <v>750000</v>
      </c>
      <c r="J105" s="101">
        <f t="shared" si="5"/>
        <v>968880</v>
      </c>
      <c r="K105" s="168"/>
      <c r="L105" s="168"/>
      <c r="M105" s="169"/>
      <c r="N105" s="168"/>
      <c r="O105" s="169"/>
      <c r="P105" s="168"/>
      <c r="Q105" s="184"/>
      <c r="R105" s="184"/>
    </row>
    <row r="106" spans="1:18" x14ac:dyDescent="0.25">
      <c r="A106" s="167"/>
      <c r="B106" s="103">
        <v>55794</v>
      </c>
      <c r="C106" s="26">
        <v>45740</v>
      </c>
      <c r="D106" s="27">
        <v>3616</v>
      </c>
      <c r="E106" s="28">
        <v>96</v>
      </c>
      <c r="F106" s="28">
        <f t="shared" si="3"/>
        <v>347136</v>
      </c>
      <c r="G106" s="28">
        <f t="shared" si="4"/>
        <v>413091.83999999997</v>
      </c>
      <c r="H106" s="29">
        <v>1</v>
      </c>
      <c r="I106" s="30">
        <v>290000</v>
      </c>
      <c r="J106" s="101">
        <f t="shared" si="5"/>
        <v>637136</v>
      </c>
      <c r="K106" s="168"/>
      <c r="L106" s="168"/>
      <c r="M106" s="169"/>
      <c r="N106" s="168"/>
      <c r="O106" s="169"/>
      <c r="P106" s="168"/>
      <c r="Q106" s="184"/>
      <c r="R106" s="184"/>
    </row>
    <row r="107" spans="1:18" x14ac:dyDescent="0.25">
      <c r="A107" s="167"/>
      <c r="B107" s="103">
        <v>52989</v>
      </c>
      <c r="C107" s="26">
        <v>45741</v>
      </c>
      <c r="D107" s="27">
        <v>5860</v>
      </c>
      <c r="E107" s="28">
        <v>96</v>
      </c>
      <c r="F107" s="28">
        <f t="shared" si="3"/>
        <v>562560</v>
      </c>
      <c r="G107" s="28">
        <f t="shared" si="4"/>
        <v>669446.40000000002</v>
      </c>
      <c r="H107" s="29">
        <v>1</v>
      </c>
      <c r="I107" s="30">
        <v>750000</v>
      </c>
      <c r="J107" s="101">
        <f t="shared" si="5"/>
        <v>1312560</v>
      </c>
      <c r="K107" s="168"/>
      <c r="L107" s="168"/>
      <c r="M107" s="169"/>
      <c r="N107" s="168"/>
      <c r="O107" s="169"/>
      <c r="P107" s="168"/>
      <c r="Q107" s="184"/>
      <c r="R107" s="184"/>
    </row>
    <row r="108" spans="1:18" x14ac:dyDescent="0.25">
      <c r="A108" s="167"/>
      <c r="B108" s="103">
        <v>52990</v>
      </c>
      <c r="C108" s="26">
        <v>45742</v>
      </c>
      <c r="D108" s="27">
        <v>5660</v>
      </c>
      <c r="E108" s="28">
        <v>96</v>
      </c>
      <c r="F108" s="28">
        <f t="shared" ref="F108:F113" si="6">+D108*E108</f>
        <v>543360</v>
      </c>
      <c r="G108" s="28">
        <f t="shared" ref="G108:G151" si="7">+F108*1.19</f>
        <v>646598.40000000002</v>
      </c>
      <c r="H108" s="29">
        <v>1</v>
      </c>
      <c r="I108" s="30">
        <v>750000</v>
      </c>
      <c r="J108" s="101">
        <f t="shared" ref="J108:J129" si="8">+F108+H108*I108</f>
        <v>1293360</v>
      </c>
      <c r="K108" s="168"/>
      <c r="L108" s="168"/>
      <c r="M108" s="169"/>
      <c r="N108" s="168"/>
      <c r="O108" s="169"/>
      <c r="P108" s="168"/>
      <c r="Q108" s="184"/>
      <c r="R108" s="184"/>
    </row>
    <row r="109" spans="1:18" x14ac:dyDescent="0.25">
      <c r="A109" s="167"/>
      <c r="B109" s="103">
        <v>52991</v>
      </c>
      <c r="C109" s="26">
        <v>45743</v>
      </c>
      <c r="D109" s="27">
        <v>5390</v>
      </c>
      <c r="E109" s="28">
        <v>96</v>
      </c>
      <c r="F109" s="28">
        <f t="shared" si="6"/>
        <v>517440</v>
      </c>
      <c r="G109" s="28">
        <f t="shared" si="7"/>
        <v>615753.6</v>
      </c>
      <c r="H109" s="29">
        <v>1</v>
      </c>
      <c r="I109" s="30">
        <v>750000</v>
      </c>
      <c r="J109" s="101">
        <f t="shared" si="8"/>
        <v>1267440</v>
      </c>
      <c r="K109" s="168"/>
      <c r="L109" s="168"/>
      <c r="M109" s="169"/>
      <c r="N109" s="168"/>
      <c r="O109" s="169"/>
      <c r="P109" s="168"/>
      <c r="Q109" s="184"/>
      <c r="R109" s="184"/>
    </row>
    <row r="110" spans="1:18" x14ac:dyDescent="0.25">
      <c r="A110" s="167"/>
      <c r="B110" s="103">
        <v>52992</v>
      </c>
      <c r="C110" s="26">
        <v>45744</v>
      </c>
      <c r="D110" s="27">
        <v>5280</v>
      </c>
      <c r="E110" s="28">
        <v>96</v>
      </c>
      <c r="F110" s="28">
        <f t="shared" si="6"/>
        <v>506880</v>
      </c>
      <c r="G110" s="28">
        <f t="shared" si="7"/>
        <v>603187.19999999995</v>
      </c>
      <c r="H110" s="29">
        <v>1</v>
      </c>
      <c r="I110" s="30">
        <v>750000</v>
      </c>
      <c r="J110" s="101">
        <f t="shared" si="8"/>
        <v>1256880</v>
      </c>
      <c r="K110" s="168"/>
      <c r="L110" s="168"/>
      <c r="M110" s="169"/>
      <c r="N110" s="168"/>
      <c r="O110" s="169"/>
      <c r="P110" s="168"/>
      <c r="Q110" s="184"/>
      <c r="R110" s="184"/>
    </row>
    <row r="111" spans="1:18" x14ac:dyDescent="0.25">
      <c r="A111" s="167"/>
      <c r="B111" s="103">
        <v>52993</v>
      </c>
      <c r="C111" s="26">
        <v>45744</v>
      </c>
      <c r="D111" s="27">
        <v>4700</v>
      </c>
      <c r="E111" s="28">
        <v>96</v>
      </c>
      <c r="F111" s="28">
        <f t="shared" si="6"/>
        <v>451200</v>
      </c>
      <c r="G111" s="28">
        <f t="shared" si="7"/>
        <v>536928</v>
      </c>
      <c r="H111" s="29">
        <v>1</v>
      </c>
      <c r="I111" s="30">
        <v>750000</v>
      </c>
      <c r="J111" s="101">
        <f t="shared" si="8"/>
        <v>1201200</v>
      </c>
      <c r="K111" s="168"/>
      <c r="L111" s="168"/>
      <c r="M111" s="169"/>
      <c r="N111" s="168"/>
      <c r="O111" s="169"/>
      <c r="P111" s="168"/>
      <c r="Q111" s="184"/>
      <c r="R111" s="184"/>
    </row>
    <row r="112" spans="1:18" x14ac:dyDescent="0.25">
      <c r="A112" s="167"/>
      <c r="B112" s="103">
        <v>52994</v>
      </c>
      <c r="C112" s="26">
        <v>45745</v>
      </c>
      <c r="D112" s="27">
        <v>2750</v>
      </c>
      <c r="E112" s="28">
        <v>96</v>
      </c>
      <c r="F112" s="28">
        <f t="shared" si="6"/>
        <v>264000</v>
      </c>
      <c r="G112" s="28">
        <f t="shared" si="7"/>
        <v>314160</v>
      </c>
      <c r="H112" s="29">
        <v>1</v>
      </c>
      <c r="I112" s="30">
        <v>290000</v>
      </c>
      <c r="J112" s="101">
        <f t="shared" si="8"/>
        <v>554000</v>
      </c>
      <c r="K112" s="168"/>
      <c r="L112" s="168"/>
      <c r="M112" s="169"/>
      <c r="N112" s="168"/>
      <c r="O112" s="169"/>
      <c r="P112" s="168"/>
      <c r="Q112" s="184"/>
      <c r="R112" s="184"/>
    </row>
    <row r="113" spans="1:18" x14ac:dyDescent="0.25">
      <c r="A113" s="167"/>
      <c r="B113" s="103">
        <v>52995</v>
      </c>
      <c r="C113" s="26">
        <v>45747</v>
      </c>
      <c r="D113" s="27">
        <v>4790</v>
      </c>
      <c r="E113" s="28">
        <v>96</v>
      </c>
      <c r="F113" s="28">
        <f t="shared" si="6"/>
        <v>459840</v>
      </c>
      <c r="G113" s="28">
        <f t="shared" si="7"/>
        <v>547209.6</v>
      </c>
      <c r="H113" s="29">
        <v>1</v>
      </c>
      <c r="I113" s="30">
        <v>750000</v>
      </c>
      <c r="J113" s="101">
        <f t="shared" si="8"/>
        <v>1209840</v>
      </c>
      <c r="K113" s="168"/>
      <c r="L113" s="168"/>
      <c r="M113" s="169"/>
      <c r="N113" s="168"/>
      <c r="O113" s="169"/>
      <c r="P113" s="168"/>
      <c r="Q113" s="185"/>
      <c r="R113" s="185"/>
    </row>
    <row r="114" spans="1:18" x14ac:dyDescent="0.25">
      <c r="A114" s="189" t="s">
        <v>92</v>
      </c>
      <c r="B114" s="88">
        <v>52996</v>
      </c>
      <c r="C114" s="26">
        <v>45748</v>
      </c>
      <c r="D114" s="27">
        <v>4190</v>
      </c>
      <c r="E114" s="28">
        <v>96</v>
      </c>
      <c r="F114" s="28" t="e">
        <f>+Tabla52[[#This Row],[Cantidad Lodos Generados (Kg) ]]*Tabla52[[#This Row],[Precio Unitario Disposición ($)]]</f>
        <v>#VALUE!</v>
      </c>
      <c r="G114" s="28" t="e">
        <f t="shared" si="7"/>
        <v>#VALUE!</v>
      </c>
      <c r="H114" s="29">
        <v>1</v>
      </c>
      <c r="I114" s="30">
        <v>750000</v>
      </c>
      <c r="J114" s="30" t="e">
        <f t="shared" si="8"/>
        <v>#VALUE!</v>
      </c>
      <c r="K114" s="183">
        <f>SUM(D114:D142)</f>
        <v>134308</v>
      </c>
      <c r="L114" s="183">
        <f>SUM(H114:H142)</f>
        <v>29</v>
      </c>
      <c r="M114" s="186" t="e">
        <f>SUM(F114:F142)</f>
        <v>#VALUE!</v>
      </c>
      <c r="N114" s="183" t="e">
        <f>M114*19%</f>
        <v>#VALUE!</v>
      </c>
      <c r="O114" s="186">
        <f>SUM(I114:I143)</f>
        <v>21120000</v>
      </c>
      <c r="P114" s="183" t="e">
        <f>M114+O114</f>
        <v>#VALUE!</v>
      </c>
      <c r="Q114" s="183" t="e">
        <f>SUM(M114+N114+O114)</f>
        <v>#VALUE!</v>
      </c>
      <c r="R114" s="183" t="e">
        <f>P114/K114</f>
        <v>#VALUE!</v>
      </c>
    </row>
    <row r="115" spans="1:18" x14ac:dyDescent="0.25">
      <c r="A115" s="190"/>
      <c r="B115" s="88">
        <v>57058</v>
      </c>
      <c r="C115" s="26">
        <v>45748</v>
      </c>
      <c r="D115" s="27">
        <v>3526</v>
      </c>
      <c r="E115" s="28">
        <v>96</v>
      </c>
      <c r="F115" s="28" t="e">
        <f>+Tabla52[[#This Row],[Cantidad Lodos Generados (Kg) ]]*Tabla52[[#This Row],[Precio Unitario Disposición ($)]]</f>
        <v>#VALUE!</v>
      </c>
      <c r="G115" s="28" t="e">
        <f t="shared" si="7"/>
        <v>#VALUE!</v>
      </c>
      <c r="H115" s="29">
        <v>1</v>
      </c>
      <c r="I115" s="30">
        <v>290000</v>
      </c>
      <c r="J115" s="30" t="e">
        <f t="shared" si="8"/>
        <v>#VALUE!</v>
      </c>
      <c r="K115" s="184"/>
      <c r="L115" s="184"/>
      <c r="M115" s="187"/>
      <c r="N115" s="184"/>
      <c r="O115" s="187"/>
      <c r="P115" s="184"/>
      <c r="Q115" s="184"/>
      <c r="R115" s="184"/>
    </row>
    <row r="116" spans="1:18" x14ac:dyDescent="0.25">
      <c r="A116" s="190"/>
      <c r="B116" s="88">
        <v>52997</v>
      </c>
      <c r="C116" s="26">
        <v>45749</v>
      </c>
      <c r="D116" s="27">
        <v>3290</v>
      </c>
      <c r="E116" s="28">
        <v>96</v>
      </c>
      <c r="F116" s="28" t="e">
        <f>+Tabla52[[#This Row],[Cantidad Lodos Generados (Kg) ]]*Tabla52[[#This Row],[Precio Unitario Disposición ($)]]</f>
        <v>#VALUE!</v>
      </c>
      <c r="G116" s="28" t="e">
        <f t="shared" si="7"/>
        <v>#VALUE!</v>
      </c>
      <c r="H116" s="29">
        <v>1</v>
      </c>
      <c r="I116" s="30">
        <v>750000</v>
      </c>
      <c r="J116" s="30" t="e">
        <f t="shared" si="8"/>
        <v>#VALUE!</v>
      </c>
      <c r="K116" s="184"/>
      <c r="L116" s="184"/>
      <c r="M116" s="187"/>
      <c r="N116" s="184"/>
      <c r="O116" s="187"/>
      <c r="P116" s="184"/>
      <c r="Q116" s="184"/>
      <c r="R116" s="184"/>
    </row>
    <row r="117" spans="1:18" x14ac:dyDescent="0.25">
      <c r="A117" s="190"/>
      <c r="B117" s="88">
        <v>57201</v>
      </c>
      <c r="C117" s="26">
        <v>45749</v>
      </c>
      <c r="D117" s="27">
        <v>6070</v>
      </c>
      <c r="E117" s="28">
        <v>96</v>
      </c>
      <c r="F117" s="28" t="e">
        <f>+Tabla52[[#This Row],[Cantidad Lodos Generados (Kg) ]]*Tabla52[[#This Row],[Precio Unitario Disposición ($)]]</f>
        <v>#VALUE!</v>
      </c>
      <c r="G117" s="28" t="e">
        <f t="shared" si="7"/>
        <v>#VALUE!</v>
      </c>
      <c r="H117" s="29">
        <v>1</v>
      </c>
      <c r="I117" s="30">
        <v>750000</v>
      </c>
      <c r="J117" s="30" t="e">
        <f t="shared" si="8"/>
        <v>#VALUE!</v>
      </c>
      <c r="K117" s="184"/>
      <c r="L117" s="184"/>
      <c r="M117" s="187"/>
      <c r="N117" s="184"/>
      <c r="O117" s="187"/>
      <c r="P117" s="184"/>
      <c r="Q117" s="184"/>
      <c r="R117" s="184"/>
    </row>
    <row r="118" spans="1:18" x14ac:dyDescent="0.25">
      <c r="A118" s="190"/>
      <c r="B118" s="88">
        <v>52998</v>
      </c>
      <c r="C118" s="26">
        <v>45750</v>
      </c>
      <c r="D118" s="27">
        <v>5740</v>
      </c>
      <c r="E118" s="28">
        <v>96</v>
      </c>
      <c r="F118" s="28" t="e">
        <f>+Tabla52[[#This Row],[Cantidad Lodos Generados (Kg) ]]*Tabla52[[#This Row],[Precio Unitario Disposición ($)]]</f>
        <v>#VALUE!</v>
      </c>
      <c r="G118" s="28" t="e">
        <f t="shared" si="7"/>
        <v>#VALUE!</v>
      </c>
      <c r="H118" s="29">
        <v>1</v>
      </c>
      <c r="I118" s="30">
        <v>750000</v>
      </c>
      <c r="J118" s="30" t="e">
        <f t="shared" si="8"/>
        <v>#VALUE!</v>
      </c>
      <c r="K118" s="184"/>
      <c r="L118" s="184"/>
      <c r="M118" s="187"/>
      <c r="N118" s="184"/>
      <c r="O118" s="187"/>
      <c r="P118" s="184"/>
      <c r="Q118" s="184"/>
      <c r="R118" s="184"/>
    </row>
    <row r="119" spans="1:18" x14ac:dyDescent="0.25">
      <c r="A119" s="190"/>
      <c r="B119" s="88">
        <v>57202</v>
      </c>
      <c r="C119" s="26">
        <v>45751</v>
      </c>
      <c r="D119" s="27">
        <v>5780</v>
      </c>
      <c r="E119" s="28">
        <v>96</v>
      </c>
      <c r="F119" s="28" t="e">
        <f>+Tabla52[[#This Row],[Cantidad Lodos Generados (Kg) ]]*Tabla52[[#This Row],[Precio Unitario Disposición ($)]]</f>
        <v>#VALUE!</v>
      </c>
      <c r="G119" s="28" t="e">
        <f t="shared" si="7"/>
        <v>#VALUE!</v>
      </c>
      <c r="H119" s="29">
        <v>1</v>
      </c>
      <c r="I119" s="30">
        <v>750000</v>
      </c>
      <c r="J119" s="30" t="e">
        <f t="shared" si="8"/>
        <v>#VALUE!</v>
      </c>
      <c r="K119" s="184"/>
      <c r="L119" s="184"/>
      <c r="M119" s="187"/>
      <c r="N119" s="184"/>
      <c r="O119" s="187"/>
      <c r="P119" s="184"/>
      <c r="Q119" s="184"/>
      <c r="R119" s="184"/>
    </row>
    <row r="120" spans="1:18" x14ac:dyDescent="0.25">
      <c r="A120" s="190"/>
      <c r="B120" s="88">
        <v>52999</v>
      </c>
      <c r="C120" s="26">
        <v>45752</v>
      </c>
      <c r="D120" s="27">
        <v>4790</v>
      </c>
      <c r="E120" s="28">
        <v>96</v>
      </c>
      <c r="F120" s="28" t="e">
        <f>+Tabla52[[#This Row],[Cantidad Lodos Generados (Kg) ]]*Tabla52[[#This Row],[Precio Unitario Disposición ($)]]</f>
        <v>#VALUE!</v>
      </c>
      <c r="G120" s="28" t="e">
        <f t="shared" si="7"/>
        <v>#VALUE!</v>
      </c>
      <c r="H120" s="29">
        <v>1</v>
      </c>
      <c r="I120" s="30">
        <v>750000</v>
      </c>
      <c r="J120" s="30" t="e">
        <f t="shared" si="8"/>
        <v>#VALUE!</v>
      </c>
      <c r="K120" s="184"/>
      <c r="L120" s="184"/>
      <c r="M120" s="187"/>
      <c r="N120" s="184"/>
      <c r="O120" s="187"/>
      <c r="P120" s="184"/>
      <c r="Q120" s="184"/>
      <c r="R120" s="184"/>
    </row>
    <row r="121" spans="1:18" x14ac:dyDescent="0.25">
      <c r="A121" s="190"/>
      <c r="B121" s="88">
        <v>53378</v>
      </c>
      <c r="C121" s="26">
        <v>45754</v>
      </c>
      <c r="D121" s="27">
        <v>3486</v>
      </c>
      <c r="E121" s="28">
        <v>96</v>
      </c>
      <c r="F121" s="28" t="e">
        <f>+Tabla52[[#This Row],[Cantidad Lodos Generados (Kg) ]]*Tabla52[[#This Row],[Precio Unitario Disposición ($)]]</f>
        <v>#VALUE!</v>
      </c>
      <c r="G121" s="28" t="e">
        <f t="shared" si="7"/>
        <v>#VALUE!</v>
      </c>
      <c r="H121" s="29">
        <v>1</v>
      </c>
      <c r="I121" s="30">
        <v>290000</v>
      </c>
      <c r="J121" s="30" t="e">
        <f t="shared" si="8"/>
        <v>#VALUE!</v>
      </c>
      <c r="K121" s="184"/>
      <c r="L121" s="184"/>
      <c r="M121" s="187"/>
      <c r="N121" s="184"/>
      <c r="O121" s="187"/>
      <c r="P121" s="184"/>
      <c r="Q121" s="184"/>
      <c r="R121" s="184"/>
    </row>
    <row r="122" spans="1:18" x14ac:dyDescent="0.25">
      <c r="A122" s="190"/>
      <c r="B122" s="88">
        <v>53000</v>
      </c>
      <c r="C122" s="26">
        <v>45754</v>
      </c>
      <c r="D122" s="27">
        <v>4070</v>
      </c>
      <c r="E122" s="28">
        <v>96</v>
      </c>
      <c r="F122" s="28" t="e">
        <f>+Tabla52[[#This Row],[Cantidad Lodos Generados (Kg) ]]*Tabla52[[#This Row],[Precio Unitario Disposición ($)]]</f>
        <v>#VALUE!</v>
      </c>
      <c r="G122" s="28" t="e">
        <f t="shared" si="7"/>
        <v>#VALUE!</v>
      </c>
      <c r="H122" s="29">
        <v>1</v>
      </c>
      <c r="I122" s="30">
        <v>750000</v>
      </c>
      <c r="J122" s="30" t="e">
        <f t="shared" si="8"/>
        <v>#VALUE!</v>
      </c>
      <c r="K122" s="184"/>
      <c r="L122" s="184"/>
      <c r="M122" s="187"/>
      <c r="N122" s="184"/>
      <c r="O122" s="187"/>
      <c r="P122" s="184"/>
      <c r="Q122" s="184"/>
      <c r="R122" s="184"/>
    </row>
    <row r="123" spans="1:18" x14ac:dyDescent="0.25">
      <c r="A123" s="190"/>
      <c r="B123" s="88">
        <v>57203</v>
      </c>
      <c r="C123" s="26">
        <v>45755</v>
      </c>
      <c r="D123" s="27">
        <v>4640</v>
      </c>
      <c r="E123" s="28">
        <v>96</v>
      </c>
      <c r="F123" s="28" t="e">
        <f>+Tabla52[[#This Row],[Cantidad Lodos Generados (Kg) ]]*Tabla52[[#This Row],[Precio Unitario Disposición ($)]]</f>
        <v>#VALUE!</v>
      </c>
      <c r="G123" s="28" t="e">
        <f t="shared" si="7"/>
        <v>#VALUE!</v>
      </c>
      <c r="H123" s="29">
        <v>1</v>
      </c>
      <c r="I123" s="30">
        <v>750000</v>
      </c>
      <c r="J123" s="30" t="e">
        <f t="shared" si="8"/>
        <v>#VALUE!</v>
      </c>
      <c r="K123" s="184"/>
      <c r="L123" s="184"/>
      <c r="M123" s="187"/>
      <c r="N123" s="184"/>
      <c r="O123" s="187"/>
      <c r="P123" s="184"/>
      <c r="Q123" s="184"/>
      <c r="R123" s="184"/>
    </row>
    <row r="124" spans="1:18" x14ac:dyDescent="0.25">
      <c r="A124" s="190"/>
      <c r="B124" s="88">
        <v>57204</v>
      </c>
      <c r="C124" s="26">
        <v>45756</v>
      </c>
      <c r="D124" s="27">
        <v>5160</v>
      </c>
      <c r="E124" s="28">
        <v>96</v>
      </c>
      <c r="F124" s="28" t="e">
        <f>+Tabla52[[#This Row],[Cantidad Lodos Generados (Kg) ]]*Tabla52[[#This Row],[Precio Unitario Disposición ($)]]</f>
        <v>#VALUE!</v>
      </c>
      <c r="G124" s="28" t="e">
        <f t="shared" si="7"/>
        <v>#VALUE!</v>
      </c>
      <c r="H124" s="29">
        <v>1</v>
      </c>
      <c r="I124" s="30">
        <v>750000</v>
      </c>
      <c r="J124" s="30" t="e">
        <f t="shared" si="8"/>
        <v>#VALUE!</v>
      </c>
      <c r="K124" s="184"/>
      <c r="L124" s="184"/>
      <c r="M124" s="187"/>
      <c r="N124" s="184"/>
      <c r="O124" s="187"/>
      <c r="P124" s="184"/>
      <c r="Q124" s="184"/>
      <c r="R124" s="184"/>
    </row>
    <row r="125" spans="1:18" x14ac:dyDescent="0.25">
      <c r="A125" s="190"/>
      <c r="B125" s="88">
        <v>57205</v>
      </c>
      <c r="C125" s="26">
        <v>45757</v>
      </c>
      <c r="D125" s="27">
        <v>4630</v>
      </c>
      <c r="E125" s="28">
        <v>96</v>
      </c>
      <c r="F125" s="28" t="e">
        <f>+Tabla52[[#This Row],[Cantidad Lodos Generados (Kg) ]]*Tabla52[[#This Row],[Precio Unitario Disposición ($)]]</f>
        <v>#VALUE!</v>
      </c>
      <c r="G125" s="28" t="e">
        <f t="shared" si="7"/>
        <v>#VALUE!</v>
      </c>
      <c r="H125" s="29">
        <v>1</v>
      </c>
      <c r="I125" s="30">
        <v>750000</v>
      </c>
      <c r="J125" s="30" t="e">
        <f t="shared" si="8"/>
        <v>#VALUE!</v>
      </c>
      <c r="K125" s="184"/>
      <c r="L125" s="184"/>
      <c r="M125" s="187"/>
      <c r="N125" s="184"/>
      <c r="O125" s="187"/>
      <c r="P125" s="184"/>
      <c r="Q125" s="184"/>
      <c r="R125" s="184"/>
    </row>
    <row r="126" spans="1:18" x14ac:dyDescent="0.25">
      <c r="A126" s="190"/>
      <c r="B126" s="88">
        <v>57206</v>
      </c>
      <c r="C126" s="26">
        <v>45758</v>
      </c>
      <c r="D126" s="27">
        <v>4110</v>
      </c>
      <c r="E126" s="28">
        <v>96</v>
      </c>
      <c r="F126" s="28" t="e">
        <f>+Tabla52[[#This Row],[Cantidad Lodos Generados (Kg) ]]*Tabla52[[#This Row],[Precio Unitario Disposición ($)]]</f>
        <v>#VALUE!</v>
      </c>
      <c r="G126" s="28" t="e">
        <f t="shared" si="7"/>
        <v>#VALUE!</v>
      </c>
      <c r="H126" s="29">
        <v>1</v>
      </c>
      <c r="I126" s="30">
        <v>750000</v>
      </c>
      <c r="J126" s="30" t="e">
        <f t="shared" si="8"/>
        <v>#VALUE!</v>
      </c>
      <c r="K126" s="184"/>
      <c r="L126" s="184"/>
      <c r="M126" s="187"/>
      <c r="N126" s="184"/>
      <c r="O126" s="187"/>
      <c r="P126" s="184"/>
      <c r="Q126" s="184"/>
      <c r="R126" s="184"/>
    </row>
    <row r="127" spans="1:18" x14ac:dyDescent="0.25">
      <c r="A127" s="190"/>
      <c r="B127" s="88">
        <v>57207</v>
      </c>
      <c r="C127" s="26">
        <v>45759</v>
      </c>
      <c r="D127" s="27">
        <v>3050</v>
      </c>
      <c r="E127" s="28">
        <v>96</v>
      </c>
      <c r="F127" s="28" t="e">
        <f>+Tabla52[[#This Row],[Cantidad Lodos Generados (Kg) ]]*Tabla52[[#This Row],[Precio Unitario Disposición ($)]]</f>
        <v>#VALUE!</v>
      </c>
      <c r="G127" s="28" t="e">
        <f t="shared" si="7"/>
        <v>#VALUE!</v>
      </c>
      <c r="H127" s="29">
        <v>1</v>
      </c>
      <c r="I127" s="30">
        <v>750000</v>
      </c>
      <c r="J127" s="30" t="e">
        <f t="shared" si="8"/>
        <v>#VALUE!</v>
      </c>
      <c r="K127" s="184"/>
      <c r="L127" s="184"/>
      <c r="M127" s="187"/>
      <c r="N127" s="184"/>
      <c r="O127" s="187"/>
      <c r="P127" s="184"/>
      <c r="Q127" s="184"/>
      <c r="R127" s="184"/>
    </row>
    <row r="128" spans="1:18" x14ac:dyDescent="0.25">
      <c r="A128" s="190"/>
      <c r="B128" s="88">
        <v>57208</v>
      </c>
      <c r="C128" s="26">
        <v>45760</v>
      </c>
      <c r="D128" s="27">
        <v>4980</v>
      </c>
      <c r="E128" s="28">
        <v>96</v>
      </c>
      <c r="F128" s="28" t="e">
        <f>+Tabla52[[#This Row],[Cantidad Lodos Generados (Kg) ]]*Tabla52[[#This Row],[Precio Unitario Disposición ($)]]</f>
        <v>#VALUE!</v>
      </c>
      <c r="G128" s="28" t="e">
        <f t="shared" si="7"/>
        <v>#VALUE!</v>
      </c>
      <c r="H128" s="29">
        <v>1</v>
      </c>
      <c r="I128" s="30">
        <v>750000</v>
      </c>
      <c r="J128" s="30" t="e">
        <f t="shared" si="8"/>
        <v>#VALUE!</v>
      </c>
      <c r="K128" s="184"/>
      <c r="L128" s="184"/>
      <c r="M128" s="187"/>
      <c r="N128" s="184"/>
      <c r="O128" s="187"/>
      <c r="P128" s="184"/>
      <c r="Q128" s="184"/>
      <c r="R128" s="184"/>
    </row>
    <row r="129" spans="1:18" x14ac:dyDescent="0.25">
      <c r="A129" s="190"/>
      <c r="B129" s="88">
        <v>57209</v>
      </c>
      <c r="C129" s="26">
        <v>45761</v>
      </c>
      <c r="D129" s="27">
        <v>4130</v>
      </c>
      <c r="E129" s="28">
        <v>96</v>
      </c>
      <c r="F129" s="28" t="e">
        <f>+Tabla52[[#This Row],[Cantidad Lodos Generados (Kg) ]]*Tabla52[[#This Row],[Precio Unitario Disposición ($)]]</f>
        <v>#VALUE!</v>
      </c>
      <c r="G129" s="28" t="e">
        <f t="shared" si="7"/>
        <v>#VALUE!</v>
      </c>
      <c r="H129" s="29">
        <v>1</v>
      </c>
      <c r="I129" s="30">
        <v>750000</v>
      </c>
      <c r="J129" s="30" t="e">
        <f t="shared" si="8"/>
        <v>#VALUE!</v>
      </c>
      <c r="K129" s="184"/>
      <c r="L129" s="184"/>
      <c r="M129" s="187"/>
      <c r="N129" s="184"/>
      <c r="O129" s="187"/>
      <c r="P129" s="184"/>
      <c r="Q129" s="184"/>
      <c r="R129" s="184"/>
    </row>
    <row r="130" spans="1:18" x14ac:dyDescent="0.25">
      <c r="A130" s="190"/>
      <c r="B130" s="88">
        <v>53100</v>
      </c>
      <c r="C130" s="26">
        <v>45762</v>
      </c>
      <c r="D130" s="27">
        <v>4210</v>
      </c>
      <c r="E130" s="28">
        <v>96</v>
      </c>
      <c r="F130" s="28" t="e">
        <f>+Tabla52[[#This Row],[Cantidad Lodos Generados (Kg) ]]*Tabla52[[#This Row],[Precio Unitario Disposición ($)]]</f>
        <v>#VALUE!</v>
      </c>
      <c r="G130" s="28" t="e">
        <f t="shared" si="7"/>
        <v>#VALUE!</v>
      </c>
      <c r="H130" s="29">
        <v>1</v>
      </c>
      <c r="I130" s="30">
        <v>750000</v>
      </c>
      <c r="J130" s="30" t="e">
        <f>+F130+H130*I130</f>
        <v>#VALUE!</v>
      </c>
      <c r="K130" s="184"/>
      <c r="L130" s="184"/>
      <c r="M130" s="187"/>
      <c r="N130" s="184"/>
      <c r="O130" s="187"/>
      <c r="P130" s="184"/>
      <c r="Q130" s="184"/>
      <c r="R130" s="184"/>
    </row>
    <row r="131" spans="1:18" x14ac:dyDescent="0.25">
      <c r="A131" s="190"/>
      <c r="B131" s="88">
        <v>57701</v>
      </c>
      <c r="C131" s="26">
        <v>45763</v>
      </c>
      <c r="D131" s="27">
        <v>3150</v>
      </c>
      <c r="E131" s="28">
        <v>96</v>
      </c>
      <c r="F131" s="28" t="e">
        <f>+Tabla52[[#This Row],[Cantidad Lodos Generados (Kg) ]]*Tabla52[[#This Row],[Precio Unitario Disposición ($)]]</f>
        <v>#VALUE!</v>
      </c>
      <c r="G131" s="28" t="e">
        <f t="shared" si="7"/>
        <v>#VALUE!</v>
      </c>
      <c r="H131" s="29">
        <v>1</v>
      </c>
      <c r="I131" s="30">
        <v>750000</v>
      </c>
      <c r="J131" s="30" t="e">
        <f t="shared" ref="J131:J151" si="9">+F131+H131*I131</f>
        <v>#VALUE!</v>
      </c>
      <c r="K131" s="184"/>
      <c r="L131" s="184"/>
      <c r="M131" s="187"/>
      <c r="N131" s="184"/>
      <c r="O131" s="187"/>
      <c r="P131" s="184"/>
      <c r="Q131" s="184"/>
      <c r="R131" s="184"/>
    </row>
    <row r="132" spans="1:18" x14ac:dyDescent="0.25">
      <c r="A132" s="190"/>
      <c r="B132" s="88">
        <v>57702</v>
      </c>
      <c r="C132" s="26">
        <v>45768</v>
      </c>
      <c r="D132" s="27">
        <v>6500</v>
      </c>
      <c r="E132" s="28">
        <v>96</v>
      </c>
      <c r="F132" s="28" t="e">
        <f>+Tabla52[[#This Row],[Cantidad Lodos Generados (Kg) ]]*Tabla52[[#This Row],[Precio Unitario Disposición ($)]]</f>
        <v>#VALUE!</v>
      </c>
      <c r="G132" s="28" t="e">
        <f t="shared" si="7"/>
        <v>#VALUE!</v>
      </c>
      <c r="H132" s="29">
        <v>1</v>
      </c>
      <c r="I132" s="30">
        <v>750000</v>
      </c>
      <c r="J132" s="30" t="e">
        <f t="shared" si="9"/>
        <v>#VALUE!</v>
      </c>
      <c r="K132" s="184"/>
      <c r="L132" s="184"/>
      <c r="M132" s="187"/>
      <c r="N132" s="184"/>
      <c r="O132" s="187"/>
      <c r="P132" s="184"/>
      <c r="Q132" s="184"/>
      <c r="R132" s="184"/>
    </row>
    <row r="133" spans="1:18" x14ac:dyDescent="0.25">
      <c r="A133" s="190"/>
      <c r="B133" s="88">
        <v>57705</v>
      </c>
      <c r="C133" s="26">
        <v>45769</v>
      </c>
      <c r="D133" s="27">
        <v>6210</v>
      </c>
      <c r="E133" s="28">
        <v>96</v>
      </c>
      <c r="F133" s="28" t="e">
        <f>+Tabla52[[#This Row],[Cantidad Lodos Generados (Kg) ]]*Tabla52[[#This Row],[Precio Unitario Disposición ($)]]</f>
        <v>#VALUE!</v>
      </c>
      <c r="G133" s="28" t="e">
        <f t="shared" si="7"/>
        <v>#VALUE!</v>
      </c>
      <c r="H133" s="29">
        <v>1</v>
      </c>
      <c r="I133" s="30">
        <v>750000</v>
      </c>
      <c r="J133" s="30" t="e">
        <f t="shared" si="9"/>
        <v>#VALUE!</v>
      </c>
      <c r="K133" s="184"/>
      <c r="L133" s="184"/>
      <c r="M133" s="187"/>
      <c r="N133" s="184"/>
      <c r="O133" s="187"/>
      <c r="P133" s="184"/>
      <c r="Q133" s="184"/>
      <c r="R133" s="184"/>
    </row>
    <row r="134" spans="1:18" x14ac:dyDescent="0.25">
      <c r="A134" s="190"/>
      <c r="B134" s="88">
        <v>57706</v>
      </c>
      <c r="C134" s="26">
        <v>45770</v>
      </c>
      <c r="D134" s="27">
        <v>4950</v>
      </c>
      <c r="E134" s="28">
        <v>96</v>
      </c>
      <c r="F134" s="28" t="e">
        <f>+Tabla52[[#This Row],[Cantidad Lodos Generados (Kg) ]]*Tabla52[[#This Row],[Precio Unitario Disposición ($)]]</f>
        <v>#VALUE!</v>
      </c>
      <c r="G134" s="28" t="e">
        <f t="shared" si="7"/>
        <v>#VALUE!</v>
      </c>
      <c r="H134" s="29">
        <v>1</v>
      </c>
      <c r="I134" s="30">
        <v>750000</v>
      </c>
      <c r="J134" s="30" t="e">
        <f t="shared" si="9"/>
        <v>#VALUE!</v>
      </c>
      <c r="K134" s="184"/>
      <c r="L134" s="184"/>
      <c r="M134" s="187"/>
      <c r="N134" s="184"/>
      <c r="O134" s="187"/>
      <c r="P134" s="184"/>
      <c r="Q134" s="184"/>
      <c r="R134" s="184"/>
    </row>
    <row r="135" spans="1:18" x14ac:dyDescent="0.25">
      <c r="A135" s="190"/>
      <c r="B135" s="88">
        <v>53381</v>
      </c>
      <c r="C135" s="26">
        <v>45770</v>
      </c>
      <c r="D135" s="27">
        <v>3886</v>
      </c>
      <c r="E135" s="28">
        <v>96</v>
      </c>
      <c r="F135" s="28" t="e">
        <f>+Tabla52[[#This Row],[Cantidad Lodos Generados (Kg) ]]*Tabla52[[#This Row],[Precio Unitario Disposición ($)]]</f>
        <v>#VALUE!</v>
      </c>
      <c r="G135" s="28" t="e">
        <f t="shared" si="7"/>
        <v>#VALUE!</v>
      </c>
      <c r="H135" s="29">
        <v>1</v>
      </c>
      <c r="I135" s="30">
        <v>290000</v>
      </c>
      <c r="J135" s="30" t="e">
        <f t="shared" si="9"/>
        <v>#VALUE!</v>
      </c>
      <c r="K135" s="184"/>
      <c r="L135" s="184"/>
      <c r="M135" s="187"/>
      <c r="N135" s="184"/>
      <c r="O135" s="187"/>
      <c r="P135" s="184"/>
      <c r="Q135" s="184"/>
      <c r="R135" s="184"/>
    </row>
    <row r="136" spans="1:18" x14ac:dyDescent="0.25">
      <c r="A136" s="190"/>
      <c r="B136" s="88">
        <v>57707</v>
      </c>
      <c r="C136" s="26">
        <v>45771</v>
      </c>
      <c r="D136" s="27">
        <v>4050</v>
      </c>
      <c r="E136" s="28">
        <v>96</v>
      </c>
      <c r="F136" s="28" t="e">
        <f>+Tabla52[[#This Row],[Cantidad Lodos Generados (Kg) ]]*Tabla52[[#This Row],[Precio Unitario Disposición ($)]]</f>
        <v>#VALUE!</v>
      </c>
      <c r="G136" s="28" t="e">
        <f t="shared" si="7"/>
        <v>#VALUE!</v>
      </c>
      <c r="H136" s="29">
        <v>1</v>
      </c>
      <c r="I136" s="30">
        <v>750000</v>
      </c>
      <c r="J136" s="30" t="e">
        <f t="shared" si="9"/>
        <v>#VALUE!</v>
      </c>
      <c r="K136" s="184"/>
      <c r="L136" s="184"/>
      <c r="M136" s="187"/>
      <c r="N136" s="184"/>
      <c r="O136" s="187"/>
      <c r="P136" s="184"/>
      <c r="Q136" s="184"/>
      <c r="R136" s="184"/>
    </row>
    <row r="137" spans="1:18" x14ac:dyDescent="0.25">
      <c r="A137" s="190"/>
      <c r="B137" s="88">
        <v>57708</v>
      </c>
      <c r="C137" s="26">
        <v>45772</v>
      </c>
      <c r="D137" s="27">
        <v>5830</v>
      </c>
      <c r="E137" s="28">
        <v>96</v>
      </c>
      <c r="F137" s="28" t="e">
        <f>+Tabla52[[#This Row],[Cantidad Lodos Generados (Kg) ]]*Tabla52[[#This Row],[Precio Unitario Disposición ($)]]</f>
        <v>#VALUE!</v>
      </c>
      <c r="G137" s="28" t="e">
        <f t="shared" si="7"/>
        <v>#VALUE!</v>
      </c>
      <c r="H137" s="29">
        <v>1</v>
      </c>
      <c r="I137" s="30">
        <v>750000</v>
      </c>
      <c r="J137" s="30" t="e">
        <f t="shared" si="9"/>
        <v>#VALUE!</v>
      </c>
      <c r="K137" s="184"/>
      <c r="L137" s="184"/>
      <c r="M137" s="187"/>
      <c r="N137" s="184"/>
      <c r="O137" s="187"/>
      <c r="P137" s="184"/>
      <c r="Q137" s="184"/>
      <c r="R137" s="184"/>
    </row>
    <row r="138" spans="1:18" x14ac:dyDescent="0.25">
      <c r="A138" s="190"/>
      <c r="B138" s="88">
        <v>57710</v>
      </c>
      <c r="C138" s="26">
        <v>45773</v>
      </c>
      <c r="D138" s="27">
        <v>5770</v>
      </c>
      <c r="E138" s="28">
        <v>96</v>
      </c>
      <c r="F138" s="28" t="e">
        <f>+Tabla52[[#This Row],[Cantidad Lodos Generados (Kg) ]]*Tabla52[[#This Row],[Precio Unitario Disposición ($)]]</f>
        <v>#VALUE!</v>
      </c>
      <c r="G138" s="28" t="e">
        <f t="shared" si="7"/>
        <v>#VALUE!</v>
      </c>
      <c r="H138" s="29">
        <v>1</v>
      </c>
      <c r="I138" s="30">
        <v>750000</v>
      </c>
      <c r="J138" s="30" t="e">
        <f t="shared" si="9"/>
        <v>#VALUE!</v>
      </c>
      <c r="K138" s="184"/>
      <c r="L138" s="184"/>
      <c r="M138" s="187"/>
      <c r="N138" s="184"/>
      <c r="O138" s="187"/>
      <c r="P138" s="184"/>
      <c r="Q138" s="184"/>
      <c r="R138" s="184"/>
    </row>
    <row r="139" spans="1:18" x14ac:dyDescent="0.25">
      <c r="A139" s="190"/>
      <c r="B139" s="88">
        <v>57711</v>
      </c>
      <c r="C139" s="26">
        <v>45774</v>
      </c>
      <c r="D139" s="27">
        <v>4300</v>
      </c>
      <c r="E139" s="28">
        <v>96</v>
      </c>
      <c r="F139" s="28" t="e">
        <f>+Tabla52[[#This Row],[Cantidad Lodos Generados (Kg) ]]*Tabla52[[#This Row],[Precio Unitario Disposición ($)]]</f>
        <v>#VALUE!</v>
      </c>
      <c r="G139" s="28" t="e">
        <f t="shared" si="7"/>
        <v>#VALUE!</v>
      </c>
      <c r="H139" s="29">
        <v>1</v>
      </c>
      <c r="I139" s="30">
        <v>750000</v>
      </c>
      <c r="J139" s="30" t="e">
        <f t="shared" si="9"/>
        <v>#VALUE!</v>
      </c>
      <c r="K139" s="184"/>
      <c r="L139" s="184"/>
      <c r="M139" s="187"/>
      <c r="N139" s="184"/>
      <c r="O139" s="187"/>
      <c r="P139" s="184"/>
      <c r="Q139" s="184"/>
      <c r="R139" s="184"/>
    </row>
    <row r="140" spans="1:18" x14ac:dyDescent="0.25">
      <c r="A140" s="190"/>
      <c r="B140" s="88">
        <v>57713</v>
      </c>
      <c r="C140" s="26">
        <v>45775</v>
      </c>
      <c r="D140" s="27">
        <v>4740</v>
      </c>
      <c r="E140" s="28">
        <v>96</v>
      </c>
      <c r="F140" s="28" t="e">
        <f>+Tabla52[[#This Row],[Cantidad Lodos Generados (Kg) ]]*Tabla52[[#This Row],[Precio Unitario Disposición ($)]]</f>
        <v>#VALUE!</v>
      </c>
      <c r="G140" s="28" t="e">
        <f t="shared" si="7"/>
        <v>#VALUE!</v>
      </c>
      <c r="H140" s="29">
        <v>1</v>
      </c>
      <c r="I140" s="30">
        <v>750000</v>
      </c>
      <c r="J140" s="30" t="e">
        <f t="shared" si="9"/>
        <v>#VALUE!</v>
      </c>
      <c r="K140" s="184"/>
      <c r="L140" s="184"/>
      <c r="M140" s="187"/>
      <c r="N140" s="184"/>
      <c r="O140" s="187"/>
      <c r="P140" s="184"/>
      <c r="Q140" s="184"/>
      <c r="R140" s="184"/>
    </row>
    <row r="141" spans="1:18" x14ac:dyDescent="0.25">
      <c r="A141" s="190"/>
      <c r="B141" s="88">
        <v>57714</v>
      </c>
      <c r="C141" s="26">
        <v>45776</v>
      </c>
      <c r="D141" s="27">
        <v>3020</v>
      </c>
      <c r="E141" s="28">
        <v>96</v>
      </c>
      <c r="F141" s="28" t="e">
        <f>+Tabla52[[#This Row],[Cantidad Lodos Generados (Kg) ]]*Tabla52[[#This Row],[Precio Unitario Disposición ($)]]</f>
        <v>#VALUE!</v>
      </c>
      <c r="G141" s="28" t="e">
        <f t="shared" si="7"/>
        <v>#VALUE!</v>
      </c>
      <c r="H141" s="29">
        <v>1</v>
      </c>
      <c r="I141" s="30">
        <v>750000</v>
      </c>
      <c r="J141" s="30" t="e">
        <f t="shared" si="9"/>
        <v>#VALUE!</v>
      </c>
      <c r="K141" s="184"/>
      <c r="L141" s="184"/>
      <c r="M141" s="187"/>
      <c r="N141" s="184"/>
      <c r="O141" s="187"/>
      <c r="P141" s="184"/>
      <c r="Q141" s="184"/>
      <c r="R141" s="184"/>
    </row>
    <row r="142" spans="1:18" x14ac:dyDescent="0.25">
      <c r="A142" s="191"/>
      <c r="B142" s="88">
        <v>57715</v>
      </c>
      <c r="C142" s="26">
        <v>45777</v>
      </c>
      <c r="D142" s="27">
        <v>6050</v>
      </c>
      <c r="E142" s="28">
        <v>96</v>
      </c>
      <c r="F142" s="28" t="e">
        <f>+Tabla52[[#This Row],[Cantidad Lodos Generados (Kg) ]]*Tabla52[[#This Row],[Precio Unitario Disposición ($)]]</f>
        <v>#VALUE!</v>
      </c>
      <c r="G142" s="28" t="e">
        <f t="shared" si="7"/>
        <v>#VALUE!</v>
      </c>
      <c r="H142" s="29">
        <v>1</v>
      </c>
      <c r="I142" s="30">
        <v>750000</v>
      </c>
      <c r="J142" s="30" t="e">
        <f t="shared" si="9"/>
        <v>#VALUE!</v>
      </c>
      <c r="K142" s="185"/>
      <c r="L142" s="185"/>
      <c r="M142" s="188"/>
      <c r="N142" s="185"/>
      <c r="O142" s="188"/>
      <c r="P142" s="185"/>
      <c r="Q142" s="185"/>
      <c r="R142" s="184"/>
    </row>
    <row r="143" spans="1:18" x14ac:dyDescent="0.25">
      <c r="A143" s="192" t="s">
        <v>93</v>
      </c>
      <c r="B143" s="110">
        <v>57716</v>
      </c>
      <c r="C143" s="104">
        <v>45778</v>
      </c>
      <c r="D143" s="105">
        <v>3570</v>
      </c>
      <c r="E143" s="106">
        <v>96</v>
      </c>
      <c r="F143" s="106">
        <f>+D143*E143</f>
        <v>342720</v>
      </c>
      <c r="G143" s="106">
        <f t="shared" si="7"/>
        <v>407836.8</v>
      </c>
      <c r="H143" s="107">
        <v>1</v>
      </c>
      <c r="I143" s="108">
        <v>750000</v>
      </c>
      <c r="J143" s="109">
        <f t="shared" si="9"/>
        <v>1092720</v>
      </c>
      <c r="K143" s="168">
        <f>SUM(D143:D176)</f>
        <v>163498</v>
      </c>
      <c r="L143" s="168">
        <f>SUM(H143:H176)</f>
        <v>35</v>
      </c>
      <c r="M143" s="169">
        <f>SUM(F143:F176)</f>
        <v>15695808</v>
      </c>
      <c r="N143" s="168">
        <f>M143*19%</f>
        <v>2982203.52</v>
      </c>
      <c r="O143" s="169">
        <f>SUM(I143:I176)</f>
        <v>24120000</v>
      </c>
      <c r="P143" s="183">
        <f>M143+O143</f>
        <v>39815808</v>
      </c>
      <c r="Q143" s="183">
        <f>SUM(M143+N143+O143)</f>
        <v>42798011.519999996</v>
      </c>
      <c r="R143" s="183">
        <f>P143/K143</f>
        <v>243.5247403637965</v>
      </c>
    </row>
    <row r="144" spans="1:18" x14ac:dyDescent="0.25">
      <c r="A144" s="193"/>
      <c r="B144" s="103">
        <v>57717</v>
      </c>
      <c r="C144" s="26">
        <v>45779</v>
      </c>
      <c r="D144" s="27">
        <v>4860</v>
      </c>
      <c r="E144" s="28">
        <v>96</v>
      </c>
      <c r="F144" s="28">
        <f t="shared" ref="F144:F157" si="10">+D144*E144</f>
        <v>466560</v>
      </c>
      <c r="G144" s="28">
        <f t="shared" si="7"/>
        <v>555206.40000000002</v>
      </c>
      <c r="H144" s="29">
        <v>1</v>
      </c>
      <c r="I144" s="30">
        <v>750000</v>
      </c>
      <c r="J144" s="101">
        <f t="shared" si="9"/>
        <v>1216560</v>
      </c>
      <c r="K144" s="168"/>
      <c r="L144" s="168"/>
      <c r="M144" s="169"/>
      <c r="N144" s="168"/>
      <c r="O144" s="169"/>
      <c r="P144" s="184"/>
      <c r="Q144" s="184"/>
      <c r="R144" s="184"/>
    </row>
    <row r="145" spans="1:18" x14ac:dyDescent="0.25">
      <c r="A145" s="193"/>
      <c r="B145" s="103">
        <v>58110</v>
      </c>
      <c r="C145" s="26">
        <v>45780</v>
      </c>
      <c r="D145" s="27">
        <v>4800</v>
      </c>
      <c r="E145" s="28">
        <v>96</v>
      </c>
      <c r="F145" s="28">
        <f t="shared" si="10"/>
        <v>460800</v>
      </c>
      <c r="G145" s="28">
        <f t="shared" si="7"/>
        <v>548352</v>
      </c>
      <c r="H145" s="29">
        <v>1</v>
      </c>
      <c r="I145" s="30">
        <v>750000</v>
      </c>
      <c r="J145" s="101">
        <f t="shared" si="9"/>
        <v>1210800</v>
      </c>
      <c r="K145" s="168"/>
      <c r="L145" s="168"/>
      <c r="M145" s="169"/>
      <c r="N145" s="168"/>
      <c r="O145" s="169"/>
      <c r="P145" s="184"/>
      <c r="Q145" s="184"/>
      <c r="R145" s="184"/>
    </row>
    <row r="146" spans="1:18" x14ac:dyDescent="0.25">
      <c r="A146" s="193"/>
      <c r="B146" s="103">
        <v>57096</v>
      </c>
      <c r="C146" s="26">
        <v>45781</v>
      </c>
      <c r="D146" s="27">
        <v>3526</v>
      </c>
      <c r="E146" s="28">
        <v>96</v>
      </c>
      <c r="F146" s="28">
        <f>+D146*E146</f>
        <v>338496</v>
      </c>
      <c r="G146" s="28">
        <f>+F146*1.19</f>
        <v>402810.24</v>
      </c>
      <c r="H146" s="29">
        <v>2</v>
      </c>
      <c r="I146" s="30">
        <v>290000</v>
      </c>
      <c r="J146" s="101">
        <f>+F146+H146*I146</f>
        <v>918496</v>
      </c>
      <c r="K146" s="168"/>
      <c r="L146" s="168"/>
      <c r="M146" s="169"/>
      <c r="N146" s="168"/>
      <c r="O146" s="169"/>
      <c r="P146" s="184"/>
      <c r="Q146" s="184"/>
      <c r="R146" s="184"/>
    </row>
    <row r="147" spans="1:18" x14ac:dyDescent="0.25">
      <c r="A147" s="193"/>
      <c r="B147" s="103">
        <v>58111</v>
      </c>
      <c r="C147" s="26">
        <v>45782</v>
      </c>
      <c r="D147" s="27">
        <v>5700</v>
      </c>
      <c r="E147" s="28">
        <v>96</v>
      </c>
      <c r="F147" s="28">
        <f t="shared" si="10"/>
        <v>547200</v>
      </c>
      <c r="G147" s="28">
        <f t="shared" si="7"/>
        <v>651168</v>
      </c>
      <c r="H147" s="29">
        <v>1</v>
      </c>
      <c r="I147" s="30">
        <v>750000</v>
      </c>
      <c r="J147" s="101">
        <f t="shared" si="9"/>
        <v>1297200</v>
      </c>
      <c r="K147" s="168"/>
      <c r="L147" s="168"/>
      <c r="M147" s="169"/>
      <c r="N147" s="168"/>
      <c r="O147" s="169"/>
      <c r="P147" s="184"/>
      <c r="Q147" s="184"/>
      <c r="R147" s="184"/>
    </row>
    <row r="148" spans="1:18" x14ac:dyDescent="0.25">
      <c r="A148" s="193"/>
      <c r="B148" s="103">
        <v>59051</v>
      </c>
      <c r="C148" s="26">
        <v>45783</v>
      </c>
      <c r="D148" s="27">
        <v>4610</v>
      </c>
      <c r="E148" s="28">
        <v>96</v>
      </c>
      <c r="F148" s="28">
        <f t="shared" si="10"/>
        <v>442560</v>
      </c>
      <c r="G148" s="28">
        <f t="shared" si="7"/>
        <v>526646.4</v>
      </c>
      <c r="H148" s="29">
        <v>1</v>
      </c>
      <c r="I148" s="30">
        <v>750000</v>
      </c>
      <c r="J148" s="101">
        <f t="shared" si="9"/>
        <v>1192560</v>
      </c>
      <c r="K148" s="168"/>
      <c r="L148" s="168"/>
      <c r="M148" s="169"/>
      <c r="N148" s="168"/>
      <c r="O148" s="169"/>
      <c r="P148" s="184"/>
      <c r="Q148" s="184"/>
      <c r="R148" s="184"/>
    </row>
    <row r="149" spans="1:18" x14ac:dyDescent="0.25">
      <c r="A149" s="193"/>
      <c r="B149" s="103">
        <v>59052</v>
      </c>
      <c r="C149" s="26">
        <v>45784</v>
      </c>
      <c r="D149" s="27">
        <v>4550</v>
      </c>
      <c r="E149" s="28">
        <v>96</v>
      </c>
      <c r="F149" s="28">
        <f t="shared" si="10"/>
        <v>436800</v>
      </c>
      <c r="G149" s="28">
        <f t="shared" si="7"/>
        <v>519792</v>
      </c>
      <c r="H149" s="29">
        <v>1</v>
      </c>
      <c r="I149" s="30">
        <v>750000</v>
      </c>
      <c r="J149" s="101">
        <f t="shared" si="9"/>
        <v>1186800</v>
      </c>
      <c r="K149" s="168"/>
      <c r="L149" s="168"/>
      <c r="M149" s="169"/>
      <c r="N149" s="168"/>
      <c r="O149" s="169"/>
      <c r="P149" s="184"/>
      <c r="Q149" s="184"/>
      <c r="R149" s="184"/>
    </row>
    <row r="150" spans="1:18" x14ac:dyDescent="0.25">
      <c r="A150" s="193"/>
      <c r="B150" s="103">
        <v>59054</v>
      </c>
      <c r="C150" s="26">
        <v>45785</v>
      </c>
      <c r="D150" s="27">
        <v>4590</v>
      </c>
      <c r="E150" s="28">
        <v>96</v>
      </c>
      <c r="F150" s="28">
        <f t="shared" si="10"/>
        <v>440640</v>
      </c>
      <c r="G150" s="28">
        <f t="shared" si="7"/>
        <v>524361.6</v>
      </c>
      <c r="H150" s="29">
        <v>1</v>
      </c>
      <c r="I150" s="30">
        <v>750000</v>
      </c>
      <c r="J150" s="101">
        <f t="shared" si="9"/>
        <v>1190640</v>
      </c>
      <c r="K150" s="168"/>
      <c r="L150" s="168"/>
      <c r="M150" s="169"/>
      <c r="N150" s="168"/>
      <c r="O150" s="169"/>
      <c r="P150" s="184"/>
      <c r="Q150" s="184"/>
      <c r="R150" s="184"/>
    </row>
    <row r="151" spans="1:18" x14ac:dyDescent="0.25">
      <c r="A151" s="193"/>
      <c r="B151" s="103">
        <v>59055</v>
      </c>
      <c r="C151" s="26">
        <v>45786</v>
      </c>
      <c r="D151" s="27">
        <v>5090</v>
      </c>
      <c r="E151" s="28">
        <v>96</v>
      </c>
      <c r="F151" s="28">
        <f t="shared" si="10"/>
        <v>488640</v>
      </c>
      <c r="G151" s="28">
        <f t="shared" si="7"/>
        <v>581481.6</v>
      </c>
      <c r="H151" s="29">
        <v>1</v>
      </c>
      <c r="I151" s="30">
        <v>750000</v>
      </c>
      <c r="J151" s="101">
        <f t="shared" si="9"/>
        <v>1238640</v>
      </c>
      <c r="K151" s="168"/>
      <c r="L151" s="168"/>
      <c r="M151" s="169"/>
      <c r="N151" s="168"/>
      <c r="O151" s="169"/>
      <c r="P151" s="184"/>
      <c r="Q151" s="184"/>
      <c r="R151" s="184"/>
    </row>
    <row r="152" spans="1:18" x14ac:dyDescent="0.25">
      <c r="A152" s="193"/>
      <c r="B152" s="103">
        <v>59056</v>
      </c>
      <c r="C152" s="26">
        <v>45787</v>
      </c>
      <c r="D152" s="27">
        <v>5830</v>
      </c>
      <c r="E152" s="28">
        <v>96</v>
      </c>
      <c r="F152" s="28">
        <f t="shared" si="10"/>
        <v>559680</v>
      </c>
      <c r="G152" s="28">
        <f t="shared" ref="G152:G157" si="11">+F152*1.19</f>
        <v>666019.19999999995</v>
      </c>
      <c r="H152" s="29">
        <v>1</v>
      </c>
      <c r="I152" s="30">
        <v>750000</v>
      </c>
      <c r="J152" s="101">
        <f t="shared" ref="J152:J157" si="12">+F152+H152*I152</f>
        <v>1309680</v>
      </c>
      <c r="K152" s="168"/>
      <c r="L152" s="168"/>
      <c r="M152" s="169"/>
      <c r="N152" s="168"/>
      <c r="O152" s="169"/>
      <c r="P152" s="184"/>
      <c r="Q152" s="184"/>
      <c r="R152" s="184"/>
    </row>
    <row r="153" spans="1:18" x14ac:dyDescent="0.25">
      <c r="A153" s="193"/>
      <c r="B153" s="103">
        <v>59057</v>
      </c>
      <c r="C153" s="26">
        <v>45789</v>
      </c>
      <c r="D153" s="27">
        <v>5330</v>
      </c>
      <c r="E153" s="28">
        <v>96</v>
      </c>
      <c r="F153" s="28">
        <f t="shared" si="10"/>
        <v>511680</v>
      </c>
      <c r="G153" s="28">
        <f t="shared" si="11"/>
        <v>608899.19999999995</v>
      </c>
      <c r="H153" s="29">
        <v>1</v>
      </c>
      <c r="I153" s="30">
        <v>750000</v>
      </c>
      <c r="J153" s="101">
        <f t="shared" si="12"/>
        <v>1261680</v>
      </c>
      <c r="K153" s="168"/>
      <c r="L153" s="168"/>
      <c r="M153" s="169"/>
      <c r="N153" s="168"/>
      <c r="O153" s="169"/>
      <c r="P153" s="184"/>
      <c r="Q153" s="184"/>
      <c r="R153" s="184"/>
    </row>
    <row r="154" spans="1:18" x14ac:dyDescent="0.25">
      <c r="A154" s="193"/>
      <c r="B154" s="103">
        <v>59058</v>
      </c>
      <c r="C154" s="26">
        <v>45789</v>
      </c>
      <c r="D154" s="27">
        <v>5170</v>
      </c>
      <c r="E154" s="28">
        <v>96</v>
      </c>
      <c r="F154" s="28">
        <f t="shared" si="10"/>
        <v>496320</v>
      </c>
      <c r="G154" s="28">
        <f t="shared" si="11"/>
        <v>590620.79999999993</v>
      </c>
      <c r="H154" s="29">
        <v>1</v>
      </c>
      <c r="I154" s="30">
        <v>750000</v>
      </c>
      <c r="J154" s="101">
        <f t="shared" si="12"/>
        <v>1246320</v>
      </c>
      <c r="K154" s="168"/>
      <c r="L154" s="168"/>
      <c r="M154" s="169"/>
      <c r="N154" s="168"/>
      <c r="O154" s="169"/>
      <c r="P154" s="184"/>
      <c r="Q154" s="184"/>
      <c r="R154" s="184"/>
    </row>
    <row r="155" spans="1:18" x14ac:dyDescent="0.25">
      <c r="A155" s="193"/>
      <c r="B155" s="103">
        <v>59059</v>
      </c>
      <c r="C155" s="26">
        <v>45790</v>
      </c>
      <c r="D155" s="27">
        <v>5880</v>
      </c>
      <c r="E155" s="28">
        <v>96</v>
      </c>
      <c r="F155" s="28">
        <f t="shared" si="10"/>
        <v>564480</v>
      </c>
      <c r="G155" s="28">
        <f t="shared" si="11"/>
        <v>671731.19999999995</v>
      </c>
      <c r="H155" s="29">
        <v>1</v>
      </c>
      <c r="I155" s="30">
        <v>750000</v>
      </c>
      <c r="J155" s="101">
        <f t="shared" si="12"/>
        <v>1314480</v>
      </c>
      <c r="K155" s="168"/>
      <c r="L155" s="168"/>
      <c r="M155" s="169"/>
      <c r="N155" s="168"/>
      <c r="O155" s="169"/>
      <c r="P155" s="184"/>
      <c r="Q155" s="184"/>
      <c r="R155" s="184"/>
    </row>
    <row r="156" spans="1:18" x14ac:dyDescent="0.25">
      <c r="A156" s="193"/>
      <c r="B156" s="103">
        <v>59060</v>
      </c>
      <c r="C156" s="26">
        <v>45791</v>
      </c>
      <c r="D156" s="27">
        <v>4920</v>
      </c>
      <c r="E156" s="28">
        <v>96</v>
      </c>
      <c r="F156" s="28">
        <f t="shared" si="10"/>
        <v>472320</v>
      </c>
      <c r="G156" s="28">
        <f t="shared" si="11"/>
        <v>562060.79999999993</v>
      </c>
      <c r="H156" s="29">
        <v>1</v>
      </c>
      <c r="I156" s="30">
        <v>750000</v>
      </c>
      <c r="J156" s="101">
        <f t="shared" si="12"/>
        <v>1222320</v>
      </c>
      <c r="K156" s="168"/>
      <c r="L156" s="168"/>
      <c r="M156" s="169"/>
      <c r="N156" s="168"/>
      <c r="O156" s="169"/>
      <c r="P156" s="184"/>
      <c r="Q156" s="184"/>
      <c r="R156" s="184"/>
    </row>
    <row r="157" spans="1:18" x14ac:dyDescent="0.25">
      <c r="A157" s="193"/>
      <c r="B157" s="103">
        <v>59061</v>
      </c>
      <c r="C157" s="26">
        <v>45792</v>
      </c>
      <c r="D157" s="27">
        <v>6250</v>
      </c>
      <c r="E157" s="28">
        <v>96</v>
      </c>
      <c r="F157" s="28">
        <f t="shared" si="10"/>
        <v>600000</v>
      </c>
      <c r="G157" s="28">
        <f t="shared" si="11"/>
        <v>714000</v>
      </c>
      <c r="H157" s="29">
        <v>1</v>
      </c>
      <c r="I157" s="30">
        <v>750000</v>
      </c>
      <c r="J157" s="101">
        <f t="shared" si="12"/>
        <v>1350000</v>
      </c>
      <c r="K157" s="168"/>
      <c r="L157" s="168"/>
      <c r="M157" s="169"/>
      <c r="N157" s="168"/>
      <c r="O157" s="169"/>
      <c r="P157" s="184"/>
      <c r="Q157" s="184"/>
      <c r="R157" s="184"/>
    </row>
    <row r="158" spans="1:18" x14ac:dyDescent="0.25">
      <c r="A158" s="193"/>
      <c r="B158" s="103">
        <v>59062</v>
      </c>
      <c r="C158" s="26">
        <v>45793</v>
      </c>
      <c r="D158" s="27">
        <v>6370</v>
      </c>
      <c r="E158" s="28">
        <v>96</v>
      </c>
      <c r="F158" s="28">
        <f>+D158*E158</f>
        <v>611520</v>
      </c>
      <c r="G158" s="28">
        <f t="shared" ref="G158:G221" si="13">+F158*1.19</f>
        <v>727708.79999999993</v>
      </c>
      <c r="H158" s="29">
        <v>1</v>
      </c>
      <c r="I158" s="30">
        <v>750000</v>
      </c>
      <c r="J158" s="101">
        <f t="shared" ref="J158:J221" si="14">+F158+H158*I158</f>
        <v>1361520</v>
      </c>
      <c r="K158" s="168"/>
      <c r="L158" s="168"/>
      <c r="M158" s="169"/>
      <c r="N158" s="168"/>
      <c r="O158" s="169"/>
      <c r="P158" s="184"/>
      <c r="Q158" s="184"/>
      <c r="R158" s="184"/>
    </row>
    <row r="159" spans="1:18" x14ac:dyDescent="0.25">
      <c r="A159" s="193"/>
      <c r="B159" s="111">
        <v>58668</v>
      </c>
      <c r="C159" s="26">
        <v>45793</v>
      </c>
      <c r="D159" s="27">
        <v>3446</v>
      </c>
      <c r="E159" s="28">
        <v>96</v>
      </c>
      <c r="F159" s="28">
        <f>+D159*E159</f>
        <v>330816</v>
      </c>
      <c r="G159" s="28">
        <f>+F159*1.19</f>
        <v>393671.04</v>
      </c>
      <c r="H159" s="29">
        <v>1</v>
      </c>
      <c r="I159" s="30">
        <v>290000</v>
      </c>
      <c r="J159" s="101">
        <f>+F159+H159*I159</f>
        <v>620816</v>
      </c>
      <c r="K159" s="168"/>
      <c r="L159" s="168"/>
      <c r="M159" s="169"/>
      <c r="N159" s="168"/>
      <c r="O159" s="169"/>
      <c r="P159" s="184"/>
      <c r="Q159" s="184"/>
      <c r="R159" s="184"/>
    </row>
    <row r="160" spans="1:18" x14ac:dyDescent="0.25">
      <c r="A160" s="193"/>
      <c r="B160" s="103">
        <v>59063</v>
      </c>
      <c r="C160" s="26">
        <v>45793</v>
      </c>
      <c r="D160" s="27">
        <v>5230</v>
      </c>
      <c r="E160" s="28">
        <v>96</v>
      </c>
      <c r="F160" s="28">
        <f t="shared" ref="F160:F223" si="15">+D160*E160</f>
        <v>502080</v>
      </c>
      <c r="G160" s="28">
        <f t="shared" si="13"/>
        <v>597475.19999999995</v>
      </c>
      <c r="H160" s="29">
        <v>1</v>
      </c>
      <c r="I160" s="30">
        <v>750000</v>
      </c>
      <c r="J160" s="101">
        <f t="shared" si="14"/>
        <v>1252080</v>
      </c>
      <c r="K160" s="168"/>
      <c r="L160" s="168"/>
      <c r="M160" s="169"/>
      <c r="N160" s="168"/>
      <c r="O160" s="169"/>
      <c r="P160" s="184"/>
      <c r="Q160" s="184"/>
      <c r="R160" s="184"/>
    </row>
    <row r="161" spans="1:18" x14ac:dyDescent="0.25">
      <c r="A161" s="193"/>
      <c r="B161" s="103">
        <v>59065</v>
      </c>
      <c r="C161" s="26">
        <v>45794</v>
      </c>
      <c r="D161" s="27">
        <v>4080</v>
      </c>
      <c r="E161" s="28">
        <v>96</v>
      </c>
      <c r="F161" s="28">
        <f t="shared" si="15"/>
        <v>391680</v>
      </c>
      <c r="G161" s="28">
        <f t="shared" si="13"/>
        <v>466099.19999999995</v>
      </c>
      <c r="H161" s="29">
        <v>1</v>
      </c>
      <c r="I161" s="30">
        <v>750000</v>
      </c>
      <c r="J161" s="101">
        <f t="shared" si="14"/>
        <v>1141680</v>
      </c>
      <c r="K161" s="168"/>
      <c r="L161" s="168"/>
      <c r="M161" s="169"/>
      <c r="N161" s="168"/>
      <c r="O161" s="169"/>
      <c r="P161" s="184"/>
      <c r="Q161" s="184"/>
      <c r="R161" s="184"/>
    </row>
    <row r="162" spans="1:18" x14ac:dyDescent="0.25">
      <c r="A162" s="193"/>
      <c r="B162" s="103">
        <v>59066</v>
      </c>
      <c r="C162" s="26">
        <v>45796</v>
      </c>
      <c r="D162" s="27">
        <v>5190</v>
      </c>
      <c r="E162" s="28">
        <v>96</v>
      </c>
      <c r="F162" s="28">
        <f t="shared" si="15"/>
        <v>498240</v>
      </c>
      <c r="G162" s="28">
        <f t="shared" si="13"/>
        <v>592905.6</v>
      </c>
      <c r="H162" s="29">
        <v>1</v>
      </c>
      <c r="I162" s="30">
        <v>750000</v>
      </c>
      <c r="J162" s="101">
        <f t="shared" si="14"/>
        <v>1248240</v>
      </c>
      <c r="K162" s="168"/>
      <c r="L162" s="168"/>
      <c r="M162" s="169"/>
      <c r="N162" s="168"/>
      <c r="O162" s="169"/>
      <c r="P162" s="184"/>
      <c r="Q162" s="184"/>
      <c r="R162" s="184"/>
    </row>
    <row r="163" spans="1:18" x14ac:dyDescent="0.25">
      <c r="A163" s="193"/>
      <c r="B163" s="103">
        <v>59067</v>
      </c>
      <c r="C163" s="26">
        <v>45797</v>
      </c>
      <c r="D163" s="27">
        <v>3330</v>
      </c>
      <c r="E163" s="28">
        <v>96</v>
      </c>
      <c r="F163" s="28">
        <f t="shared" si="15"/>
        <v>319680</v>
      </c>
      <c r="G163" s="28">
        <f t="shared" si="13"/>
        <v>380419.2</v>
      </c>
      <c r="H163" s="29">
        <v>1</v>
      </c>
      <c r="I163" s="30">
        <v>750000</v>
      </c>
      <c r="J163" s="101">
        <f t="shared" si="14"/>
        <v>1069680</v>
      </c>
      <c r="K163" s="168"/>
      <c r="L163" s="168"/>
      <c r="M163" s="169"/>
      <c r="N163" s="168"/>
      <c r="O163" s="169"/>
      <c r="P163" s="184"/>
      <c r="Q163" s="184"/>
      <c r="R163" s="184"/>
    </row>
    <row r="164" spans="1:18" x14ac:dyDescent="0.25">
      <c r="A164" s="193"/>
      <c r="B164" s="103">
        <v>59068</v>
      </c>
      <c r="C164" s="26">
        <v>45798</v>
      </c>
      <c r="D164" s="27">
        <v>4960</v>
      </c>
      <c r="E164" s="28">
        <v>96</v>
      </c>
      <c r="F164" s="28">
        <f t="shared" si="15"/>
        <v>476160</v>
      </c>
      <c r="G164" s="28">
        <f t="shared" si="13"/>
        <v>566630.40000000002</v>
      </c>
      <c r="H164" s="29">
        <v>1</v>
      </c>
      <c r="I164" s="30">
        <v>750000</v>
      </c>
      <c r="J164" s="101">
        <f t="shared" si="14"/>
        <v>1226160</v>
      </c>
      <c r="K164" s="168"/>
      <c r="L164" s="168"/>
      <c r="M164" s="169"/>
      <c r="N164" s="168"/>
      <c r="O164" s="169"/>
      <c r="P164" s="184"/>
      <c r="Q164" s="184"/>
      <c r="R164" s="184"/>
    </row>
    <row r="165" spans="1:18" x14ac:dyDescent="0.25">
      <c r="A165" s="193"/>
      <c r="B165" s="103">
        <v>59069</v>
      </c>
      <c r="C165" s="26">
        <v>45799</v>
      </c>
      <c r="D165" s="27">
        <v>5010</v>
      </c>
      <c r="E165" s="28">
        <v>96</v>
      </c>
      <c r="F165" s="28">
        <f t="shared" si="15"/>
        <v>480960</v>
      </c>
      <c r="G165" s="28">
        <f t="shared" si="13"/>
        <v>572342.4</v>
      </c>
      <c r="H165" s="29">
        <v>1</v>
      </c>
      <c r="I165" s="30">
        <v>750000</v>
      </c>
      <c r="J165" s="101">
        <f t="shared" si="14"/>
        <v>1230960</v>
      </c>
      <c r="K165" s="168"/>
      <c r="L165" s="168"/>
      <c r="M165" s="169"/>
      <c r="N165" s="168"/>
      <c r="O165" s="169"/>
      <c r="P165" s="184"/>
      <c r="Q165" s="184"/>
      <c r="R165" s="184"/>
    </row>
    <row r="166" spans="1:18" x14ac:dyDescent="0.25">
      <c r="A166" s="193"/>
      <c r="B166" s="103">
        <v>58682</v>
      </c>
      <c r="C166" s="26">
        <v>45799</v>
      </c>
      <c r="D166" s="27">
        <v>3126</v>
      </c>
      <c r="E166" s="28">
        <v>96</v>
      </c>
      <c r="F166" s="28">
        <f>+D166*E166</f>
        <v>300096</v>
      </c>
      <c r="G166" s="28">
        <f>+F166*1.19</f>
        <v>357114.24</v>
      </c>
      <c r="H166" s="29">
        <v>1</v>
      </c>
      <c r="I166" s="30">
        <v>290000</v>
      </c>
      <c r="J166" s="101">
        <f>+F166+H166*I166</f>
        <v>590096</v>
      </c>
      <c r="K166" s="168"/>
      <c r="L166" s="168"/>
      <c r="M166" s="169"/>
      <c r="N166" s="168"/>
      <c r="O166" s="169"/>
      <c r="P166" s="184"/>
      <c r="Q166" s="184"/>
      <c r="R166" s="184"/>
    </row>
    <row r="167" spans="1:18" x14ac:dyDescent="0.25">
      <c r="A167" s="193"/>
      <c r="B167" s="103">
        <v>59070</v>
      </c>
      <c r="C167" s="26">
        <v>45800</v>
      </c>
      <c r="D167" s="27">
        <v>6090</v>
      </c>
      <c r="E167" s="28">
        <v>96</v>
      </c>
      <c r="F167" s="28">
        <f t="shared" si="15"/>
        <v>584640</v>
      </c>
      <c r="G167" s="28">
        <f t="shared" si="13"/>
        <v>695721.6</v>
      </c>
      <c r="H167" s="29">
        <v>1</v>
      </c>
      <c r="I167" s="30">
        <v>750000</v>
      </c>
      <c r="J167" s="101">
        <f t="shared" si="14"/>
        <v>1334640</v>
      </c>
      <c r="K167" s="168"/>
      <c r="L167" s="168"/>
      <c r="M167" s="169"/>
      <c r="N167" s="168"/>
      <c r="O167" s="169"/>
      <c r="P167" s="184"/>
      <c r="Q167" s="184"/>
      <c r="R167" s="184"/>
    </row>
    <row r="168" spans="1:18" x14ac:dyDescent="0.25">
      <c r="A168" s="193"/>
      <c r="B168" s="103">
        <v>59071</v>
      </c>
      <c r="C168" s="26">
        <v>45801</v>
      </c>
      <c r="D168" s="27">
        <v>5340</v>
      </c>
      <c r="E168" s="28">
        <v>96</v>
      </c>
      <c r="F168" s="28">
        <f t="shared" si="15"/>
        <v>512640</v>
      </c>
      <c r="G168" s="28">
        <f t="shared" si="13"/>
        <v>610041.59999999998</v>
      </c>
      <c r="H168" s="29">
        <v>1</v>
      </c>
      <c r="I168" s="30">
        <v>750000</v>
      </c>
      <c r="J168" s="101">
        <f t="shared" si="14"/>
        <v>1262640</v>
      </c>
      <c r="K168" s="168"/>
      <c r="L168" s="168"/>
      <c r="M168" s="169"/>
      <c r="N168" s="168"/>
      <c r="O168" s="169"/>
      <c r="P168" s="184"/>
      <c r="Q168" s="184"/>
      <c r="R168" s="184"/>
    </row>
    <row r="169" spans="1:18" x14ac:dyDescent="0.25">
      <c r="A169" s="193"/>
      <c r="B169" s="103">
        <v>59073</v>
      </c>
      <c r="C169" s="26">
        <v>45802</v>
      </c>
      <c r="D169" s="27">
        <v>4300</v>
      </c>
      <c r="E169" s="28">
        <v>96</v>
      </c>
      <c r="F169" s="28">
        <f t="shared" si="15"/>
        <v>412800</v>
      </c>
      <c r="G169" s="28">
        <f t="shared" si="13"/>
        <v>491232</v>
      </c>
      <c r="H169" s="29">
        <v>1</v>
      </c>
      <c r="I169" s="30">
        <v>750000</v>
      </c>
      <c r="J169" s="101">
        <f t="shared" si="14"/>
        <v>1162800</v>
      </c>
      <c r="K169" s="168"/>
      <c r="L169" s="168"/>
      <c r="M169" s="169"/>
      <c r="N169" s="168"/>
      <c r="O169" s="169"/>
      <c r="P169" s="184"/>
      <c r="Q169" s="184"/>
      <c r="R169" s="184"/>
    </row>
    <row r="170" spans="1:18" x14ac:dyDescent="0.25">
      <c r="A170" s="193"/>
      <c r="B170" s="103">
        <v>59072</v>
      </c>
      <c r="C170" s="26">
        <v>45802</v>
      </c>
      <c r="D170" s="27">
        <v>4710</v>
      </c>
      <c r="E170" s="28">
        <v>96</v>
      </c>
      <c r="F170" s="28">
        <f t="shared" si="15"/>
        <v>452160</v>
      </c>
      <c r="G170" s="28">
        <f t="shared" si="13"/>
        <v>538070.4</v>
      </c>
      <c r="H170" s="29">
        <v>1</v>
      </c>
      <c r="I170" s="30">
        <v>750000</v>
      </c>
      <c r="J170" s="101">
        <f t="shared" si="14"/>
        <v>1202160</v>
      </c>
      <c r="K170" s="168"/>
      <c r="L170" s="168"/>
      <c r="M170" s="169"/>
      <c r="N170" s="168"/>
      <c r="O170" s="169"/>
      <c r="P170" s="184"/>
      <c r="Q170" s="184"/>
      <c r="R170" s="184"/>
    </row>
    <row r="171" spans="1:18" x14ac:dyDescent="0.25">
      <c r="A171" s="193"/>
      <c r="B171" s="103">
        <v>59074</v>
      </c>
      <c r="C171" s="26">
        <v>45803</v>
      </c>
      <c r="D171" s="27">
        <v>5570</v>
      </c>
      <c r="E171" s="28">
        <v>96</v>
      </c>
      <c r="F171" s="28">
        <f t="shared" si="15"/>
        <v>534720</v>
      </c>
      <c r="G171" s="28">
        <f t="shared" si="13"/>
        <v>636316.79999999993</v>
      </c>
      <c r="H171" s="29">
        <v>1</v>
      </c>
      <c r="I171" s="30">
        <v>750000</v>
      </c>
      <c r="J171" s="101">
        <f t="shared" si="14"/>
        <v>1284720</v>
      </c>
      <c r="K171" s="168"/>
      <c r="L171" s="168"/>
      <c r="M171" s="169"/>
      <c r="N171" s="168"/>
      <c r="O171" s="169"/>
      <c r="P171" s="184"/>
      <c r="Q171" s="184"/>
      <c r="R171" s="184"/>
    </row>
    <row r="172" spans="1:18" x14ac:dyDescent="0.25">
      <c r="A172" s="193"/>
      <c r="B172" s="103">
        <v>59075</v>
      </c>
      <c r="C172" s="26">
        <v>45804</v>
      </c>
      <c r="D172" s="27">
        <v>4680</v>
      </c>
      <c r="E172" s="28">
        <v>96</v>
      </c>
      <c r="F172" s="28">
        <f t="shared" si="15"/>
        <v>449280</v>
      </c>
      <c r="G172" s="28">
        <f t="shared" si="13"/>
        <v>534643.19999999995</v>
      </c>
      <c r="H172" s="29">
        <v>1</v>
      </c>
      <c r="I172" s="30">
        <v>750000</v>
      </c>
      <c r="J172" s="101">
        <f t="shared" si="14"/>
        <v>1199280</v>
      </c>
      <c r="K172" s="168"/>
      <c r="L172" s="168"/>
      <c r="M172" s="169"/>
      <c r="N172" s="168"/>
      <c r="O172" s="169"/>
      <c r="P172" s="184"/>
      <c r="Q172" s="184"/>
      <c r="R172" s="184"/>
    </row>
    <row r="173" spans="1:18" x14ac:dyDescent="0.25">
      <c r="A173" s="193"/>
      <c r="B173" s="103">
        <v>59076</v>
      </c>
      <c r="C173" s="26">
        <v>45805</v>
      </c>
      <c r="D173" s="27">
        <v>4790</v>
      </c>
      <c r="E173" s="28">
        <v>96</v>
      </c>
      <c r="F173" s="28">
        <f t="shared" si="15"/>
        <v>459840</v>
      </c>
      <c r="G173" s="28">
        <f t="shared" si="13"/>
        <v>547209.6</v>
      </c>
      <c r="H173" s="29">
        <v>1</v>
      </c>
      <c r="I173" s="30">
        <v>750000</v>
      </c>
      <c r="J173" s="101">
        <f t="shared" si="14"/>
        <v>1209840</v>
      </c>
      <c r="K173" s="168"/>
      <c r="L173" s="168"/>
      <c r="M173" s="169"/>
      <c r="N173" s="168"/>
      <c r="O173" s="169"/>
      <c r="P173" s="184"/>
      <c r="Q173" s="184"/>
      <c r="R173" s="184"/>
    </row>
    <row r="174" spans="1:18" x14ac:dyDescent="0.25">
      <c r="A174" s="193"/>
      <c r="B174" s="103">
        <v>59077</v>
      </c>
      <c r="C174" s="26">
        <v>45806</v>
      </c>
      <c r="D174" s="27">
        <v>4020</v>
      </c>
      <c r="E174" s="28">
        <v>96</v>
      </c>
      <c r="F174" s="28">
        <f t="shared" si="15"/>
        <v>385920</v>
      </c>
      <c r="G174" s="28">
        <f t="shared" si="13"/>
        <v>459244.79999999999</v>
      </c>
      <c r="H174" s="29">
        <v>1</v>
      </c>
      <c r="I174" s="30">
        <v>750000</v>
      </c>
      <c r="J174" s="101">
        <f t="shared" si="14"/>
        <v>1135920</v>
      </c>
      <c r="K174" s="168"/>
      <c r="L174" s="168"/>
      <c r="M174" s="169"/>
      <c r="N174" s="168"/>
      <c r="O174" s="169"/>
      <c r="P174" s="184"/>
      <c r="Q174" s="184"/>
      <c r="R174" s="184"/>
    </row>
    <row r="175" spans="1:18" x14ac:dyDescent="0.25">
      <c r="A175" s="193"/>
      <c r="B175" s="103">
        <v>59078</v>
      </c>
      <c r="C175" s="26">
        <v>45807</v>
      </c>
      <c r="D175" s="27">
        <v>4250</v>
      </c>
      <c r="E175" s="28">
        <v>96</v>
      </c>
      <c r="F175" s="28">
        <f t="shared" si="15"/>
        <v>408000</v>
      </c>
      <c r="G175" s="28">
        <f t="shared" si="13"/>
        <v>485520</v>
      </c>
      <c r="H175" s="29">
        <v>1</v>
      </c>
      <c r="I175" s="30">
        <v>750000</v>
      </c>
      <c r="J175" s="101">
        <f t="shared" si="14"/>
        <v>1158000</v>
      </c>
      <c r="K175" s="168"/>
      <c r="L175" s="168"/>
      <c r="M175" s="169"/>
      <c r="N175" s="168"/>
      <c r="O175" s="169"/>
      <c r="P175" s="184"/>
      <c r="Q175" s="184"/>
      <c r="R175" s="184"/>
    </row>
    <row r="176" spans="1:18" x14ac:dyDescent="0.25">
      <c r="A176" s="194"/>
      <c r="B176" s="103">
        <v>59079</v>
      </c>
      <c r="C176" s="26">
        <v>45808</v>
      </c>
      <c r="D176" s="27">
        <v>4330</v>
      </c>
      <c r="E176" s="28">
        <v>96</v>
      </c>
      <c r="F176" s="28">
        <f t="shared" si="15"/>
        <v>415680</v>
      </c>
      <c r="G176" s="28">
        <f t="shared" si="13"/>
        <v>494659.19999999995</v>
      </c>
      <c r="H176" s="29">
        <v>1</v>
      </c>
      <c r="I176" s="30">
        <v>750000</v>
      </c>
      <c r="J176" s="101">
        <f t="shared" si="14"/>
        <v>1165680</v>
      </c>
      <c r="K176" s="168"/>
      <c r="L176" s="168"/>
      <c r="M176" s="169"/>
      <c r="N176" s="168"/>
      <c r="O176" s="169"/>
      <c r="P176" s="185"/>
      <c r="Q176" s="185"/>
      <c r="R176" s="185"/>
    </row>
    <row r="177" spans="1:18" x14ac:dyDescent="0.25">
      <c r="A177" s="167" t="s">
        <v>94</v>
      </c>
      <c r="B177" s="112">
        <v>59080</v>
      </c>
      <c r="C177" s="26">
        <v>45809</v>
      </c>
      <c r="D177" s="27">
        <v>4630</v>
      </c>
      <c r="E177" s="28">
        <v>96</v>
      </c>
      <c r="F177" s="28">
        <f t="shared" si="15"/>
        <v>444480</v>
      </c>
      <c r="G177" s="28">
        <f t="shared" si="13"/>
        <v>528931.19999999995</v>
      </c>
      <c r="H177" s="29">
        <v>1</v>
      </c>
      <c r="I177" s="30">
        <v>750000</v>
      </c>
      <c r="J177" s="30">
        <f t="shared" si="14"/>
        <v>1194480</v>
      </c>
      <c r="K177" s="183">
        <f>SUM(D177:D209)</f>
        <v>146542</v>
      </c>
      <c r="L177" s="183">
        <f>SUM(H177:H209)</f>
        <v>33</v>
      </c>
      <c r="M177" s="186">
        <f>SUM(F177:F209)</f>
        <v>14068032</v>
      </c>
      <c r="N177" s="183">
        <f>M177*19%</f>
        <v>2672926.08</v>
      </c>
      <c r="O177" s="186">
        <f>SUM(I177:I209)</f>
        <v>24750000</v>
      </c>
      <c r="P177" s="168">
        <f>M177+O177</f>
        <v>38818032</v>
      </c>
      <c r="Q177" s="168">
        <f>SUM(M177+N177+O177)</f>
        <v>41490958.079999998</v>
      </c>
      <c r="R177" s="168">
        <f>P177/K177</f>
        <v>264.89355952559674</v>
      </c>
    </row>
    <row r="178" spans="1:18" x14ac:dyDescent="0.25">
      <c r="A178" s="167"/>
      <c r="B178" s="112">
        <v>59081</v>
      </c>
      <c r="C178" s="26">
        <v>45811</v>
      </c>
      <c r="D178" s="27">
        <v>4940</v>
      </c>
      <c r="E178" s="28">
        <v>96</v>
      </c>
      <c r="F178" s="28">
        <f t="shared" si="15"/>
        <v>474240</v>
      </c>
      <c r="G178" s="28">
        <f t="shared" si="13"/>
        <v>564345.59999999998</v>
      </c>
      <c r="H178" s="29">
        <v>1</v>
      </c>
      <c r="I178" s="30">
        <v>750000</v>
      </c>
      <c r="J178" s="30">
        <f t="shared" si="14"/>
        <v>1224240</v>
      </c>
      <c r="K178" s="184"/>
      <c r="L178" s="184"/>
      <c r="M178" s="187"/>
      <c r="N178" s="184"/>
      <c r="O178" s="187"/>
      <c r="P178" s="168"/>
      <c r="Q178" s="168"/>
      <c r="R178" s="168"/>
    </row>
    <row r="179" spans="1:18" x14ac:dyDescent="0.25">
      <c r="A179" s="167"/>
      <c r="B179" s="112">
        <v>59083</v>
      </c>
      <c r="C179" s="26">
        <v>45813</v>
      </c>
      <c r="D179" s="27">
        <v>4800</v>
      </c>
      <c r="E179" s="28">
        <v>96</v>
      </c>
      <c r="F179" s="28">
        <f t="shared" si="15"/>
        <v>460800</v>
      </c>
      <c r="G179" s="28">
        <f t="shared" si="13"/>
        <v>548352</v>
      </c>
      <c r="H179" s="29">
        <v>1</v>
      </c>
      <c r="I179" s="30">
        <v>750000</v>
      </c>
      <c r="J179" s="30">
        <f t="shared" si="14"/>
        <v>1210800</v>
      </c>
      <c r="K179" s="184"/>
      <c r="L179" s="184"/>
      <c r="M179" s="187"/>
      <c r="N179" s="184"/>
      <c r="O179" s="187"/>
      <c r="P179" s="168"/>
      <c r="Q179" s="168"/>
      <c r="R179" s="168"/>
    </row>
    <row r="180" spans="1:18" x14ac:dyDescent="0.25">
      <c r="A180" s="167"/>
      <c r="B180" s="112">
        <v>59087</v>
      </c>
      <c r="C180" s="26">
        <v>45814</v>
      </c>
      <c r="D180" s="27">
        <v>5860</v>
      </c>
      <c r="E180" s="28">
        <v>96</v>
      </c>
      <c r="F180" s="28">
        <f t="shared" si="15"/>
        <v>562560</v>
      </c>
      <c r="G180" s="28">
        <f t="shared" si="13"/>
        <v>669446.40000000002</v>
      </c>
      <c r="H180" s="29">
        <v>1</v>
      </c>
      <c r="I180" s="30">
        <v>750000</v>
      </c>
      <c r="J180" s="30">
        <f t="shared" si="14"/>
        <v>1312560</v>
      </c>
      <c r="K180" s="184"/>
      <c r="L180" s="184"/>
      <c r="M180" s="187"/>
      <c r="N180" s="184"/>
      <c r="O180" s="187"/>
      <c r="P180" s="168"/>
      <c r="Q180" s="168"/>
      <c r="R180" s="168"/>
    </row>
    <row r="181" spans="1:18" x14ac:dyDescent="0.25">
      <c r="A181" s="167"/>
      <c r="B181" s="112">
        <v>59086</v>
      </c>
      <c r="C181" s="26">
        <v>45814</v>
      </c>
      <c r="D181" s="27">
        <v>5280</v>
      </c>
      <c r="E181" s="28">
        <v>96</v>
      </c>
      <c r="F181" s="28">
        <f t="shared" si="15"/>
        <v>506880</v>
      </c>
      <c r="G181" s="28">
        <f t="shared" si="13"/>
        <v>603187.19999999995</v>
      </c>
      <c r="H181" s="29">
        <v>1</v>
      </c>
      <c r="I181" s="30">
        <v>750000</v>
      </c>
      <c r="J181" s="30">
        <f t="shared" si="14"/>
        <v>1256880</v>
      </c>
      <c r="K181" s="184"/>
      <c r="L181" s="184"/>
      <c r="M181" s="187"/>
      <c r="N181" s="184"/>
      <c r="O181" s="187"/>
      <c r="P181" s="168"/>
      <c r="Q181" s="168"/>
      <c r="R181" s="168"/>
    </row>
    <row r="182" spans="1:18" x14ac:dyDescent="0.25">
      <c r="A182" s="167"/>
      <c r="B182" s="112">
        <v>55639</v>
      </c>
      <c r="C182" s="26">
        <v>45814</v>
      </c>
      <c r="D182" s="27">
        <v>3496</v>
      </c>
      <c r="E182" s="28">
        <v>96</v>
      </c>
      <c r="F182" s="28">
        <f t="shared" si="15"/>
        <v>335616</v>
      </c>
      <c r="G182" s="28">
        <f t="shared" si="13"/>
        <v>399383.03999999998</v>
      </c>
      <c r="H182" s="29">
        <v>1</v>
      </c>
      <c r="I182" s="30">
        <v>750000</v>
      </c>
      <c r="J182" s="30">
        <f t="shared" si="14"/>
        <v>1085616</v>
      </c>
      <c r="K182" s="184"/>
      <c r="L182" s="184"/>
      <c r="M182" s="187"/>
      <c r="N182" s="184"/>
      <c r="O182" s="187"/>
      <c r="P182" s="168"/>
      <c r="Q182" s="168"/>
      <c r="R182" s="168"/>
    </row>
    <row r="183" spans="1:18" x14ac:dyDescent="0.25">
      <c r="A183" s="167"/>
      <c r="B183" s="112">
        <v>59085</v>
      </c>
      <c r="C183" s="26">
        <v>45814</v>
      </c>
      <c r="D183" s="27">
        <v>4500</v>
      </c>
      <c r="E183" s="28">
        <v>96</v>
      </c>
      <c r="F183" s="28">
        <f t="shared" si="15"/>
        <v>432000</v>
      </c>
      <c r="G183" s="28">
        <f t="shared" si="13"/>
        <v>514080</v>
      </c>
      <c r="H183" s="29">
        <v>1</v>
      </c>
      <c r="I183" s="30">
        <v>750000</v>
      </c>
      <c r="J183" s="30">
        <f t="shared" si="14"/>
        <v>1182000</v>
      </c>
      <c r="K183" s="184"/>
      <c r="L183" s="184"/>
      <c r="M183" s="187"/>
      <c r="N183" s="184"/>
      <c r="O183" s="187"/>
      <c r="P183" s="168"/>
      <c r="Q183" s="168"/>
      <c r="R183" s="168"/>
    </row>
    <row r="184" spans="1:18" x14ac:dyDescent="0.25">
      <c r="A184" s="167"/>
      <c r="B184" s="112">
        <v>59088</v>
      </c>
      <c r="C184" s="26">
        <v>45815</v>
      </c>
      <c r="D184" s="27">
        <v>4360</v>
      </c>
      <c r="E184" s="28">
        <v>96</v>
      </c>
      <c r="F184" s="28">
        <f t="shared" si="15"/>
        <v>418560</v>
      </c>
      <c r="G184" s="28">
        <f t="shared" si="13"/>
        <v>498086.39999999997</v>
      </c>
      <c r="H184" s="29">
        <v>1</v>
      </c>
      <c r="I184" s="30">
        <v>750000</v>
      </c>
      <c r="J184" s="30">
        <f t="shared" si="14"/>
        <v>1168560</v>
      </c>
      <c r="K184" s="184"/>
      <c r="L184" s="184"/>
      <c r="M184" s="187"/>
      <c r="N184" s="184"/>
      <c r="O184" s="187"/>
      <c r="P184" s="168"/>
      <c r="Q184" s="168"/>
      <c r="R184" s="168"/>
    </row>
    <row r="185" spans="1:18" x14ac:dyDescent="0.25">
      <c r="A185" s="167"/>
      <c r="B185" s="112">
        <v>59089</v>
      </c>
      <c r="C185" s="26">
        <v>45816</v>
      </c>
      <c r="D185" s="27">
        <v>4130</v>
      </c>
      <c r="E185" s="28">
        <v>96</v>
      </c>
      <c r="F185" s="28">
        <f t="shared" si="15"/>
        <v>396480</v>
      </c>
      <c r="G185" s="28">
        <f t="shared" si="13"/>
        <v>471811.19999999995</v>
      </c>
      <c r="H185" s="29">
        <v>1</v>
      </c>
      <c r="I185" s="30">
        <v>750000</v>
      </c>
      <c r="J185" s="30">
        <f t="shared" si="14"/>
        <v>1146480</v>
      </c>
      <c r="K185" s="184"/>
      <c r="L185" s="184"/>
      <c r="M185" s="187"/>
      <c r="N185" s="184"/>
      <c r="O185" s="187"/>
      <c r="P185" s="168"/>
      <c r="Q185" s="168"/>
      <c r="R185" s="168"/>
    </row>
    <row r="186" spans="1:18" x14ac:dyDescent="0.25">
      <c r="A186" s="167"/>
      <c r="B186" s="112">
        <v>59090</v>
      </c>
      <c r="C186" s="26">
        <v>45817</v>
      </c>
      <c r="D186" s="27">
        <v>3370</v>
      </c>
      <c r="E186" s="28">
        <v>96</v>
      </c>
      <c r="F186" s="28">
        <f t="shared" si="15"/>
        <v>323520</v>
      </c>
      <c r="G186" s="28">
        <f t="shared" si="13"/>
        <v>384988.8</v>
      </c>
      <c r="H186" s="29">
        <v>1</v>
      </c>
      <c r="I186" s="30">
        <v>750000</v>
      </c>
      <c r="J186" s="30">
        <f t="shared" si="14"/>
        <v>1073520</v>
      </c>
      <c r="K186" s="184"/>
      <c r="L186" s="184"/>
      <c r="M186" s="187"/>
      <c r="N186" s="184"/>
      <c r="O186" s="187"/>
      <c r="P186" s="168"/>
      <c r="Q186" s="168"/>
      <c r="R186" s="168"/>
    </row>
    <row r="187" spans="1:18" x14ac:dyDescent="0.25">
      <c r="A187" s="167"/>
      <c r="B187" s="112">
        <v>59091</v>
      </c>
      <c r="C187" s="26">
        <v>45817</v>
      </c>
      <c r="D187" s="27">
        <v>5400</v>
      </c>
      <c r="E187" s="28">
        <v>96</v>
      </c>
      <c r="F187" s="28">
        <f t="shared" si="15"/>
        <v>518400</v>
      </c>
      <c r="G187" s="28">
        <f t="shared" si="13"/>
        <v>616896</v>
      </c>
      <c r="H187" s="29">
        <v>1</v>
      </c>
      <c r="I187" s="30">
        <v>750000</v>
      </c>
      <c r="J187" s="30">
        <f t="shared" si="14"/>
        <v>1268400</v>
      </c>
      <c r="K187" s="184"/>
      <c r="L187" s="184"/>
      <c r="M187" s="187"/>
      <c r="N187" s="184"/>
      <c r="O187" s="187"/>
      <c r="P187" s="168"/>
      <c r="Q187" s="168"/>
      <c r="R187" s="168"/>
    </row>
    <row r="188" spans="1:18" x14ac:dyDescent="0.25">
      <c r="A188" s="167"/>
      <c r="B188" s="112">
        <v>59092</v>
      </c>
      <c r="C188" s="26">
        <v>45818</v>
      </c>
      <c r="D188" s="27">
        <v>4640</v>
      </c>
      <c r="E188" s="28">
        <v>96</v>
      </c>
      <c r="F188" s="28">
        <f t="shared" si="15"/>
        <v>445440</v>
      </c>
      <c r="G188" s="28">
        <f t="shared" si="13"/>
        <v>530073.59999999998</v>
      </c>
      <c r="H188" s="29">
        <v>1</v>
      </c>
      <c r="I188" s="30">
        <v>750000</v>
      </c>
      <c r="J188" s="30">
        <f t="shared" si="14"/>
        <v>1195440</v>
      </c>
      <c r="K188" s="184"/>
      <c r="L188" s="184"/>
      <c r="M188" s="187"/>
      <c r="N188" s="184"/>
      <c r="O188" s="187"/>
      <c r="P188" s="168"/>
      <c r="Q188" s="168"/>
      <c r="R188" s="168"/>
    </row>
    <row r="189" spans="1:18" x14ac:dyDescent="0.25">
      <c r="A189" s="167"/>
      <c r="B189" s="112">
        <v>59095</v>
      </c>
      <c r="C189" s="26">
        <v>45819</v>
      </c>
      <c r="D189" s="27">
        <v>2060</v>
      </c>
      <c r="E189" s="28">
        <v>96</v>
      </c>
      <c r="F189" s="28">
        <f t="shared" si="15"/>
        <v>197760</v>
      </c>
      <c r="G189" s="28">
        <f t="shared" si="13"/>
        <v>235334.39999999999</v>
      </c>
      <c r="H189" s="29">
        <v>1</v>
      </c>
      <c r="I189" s="30">
        <v>750000</v>
      </c>
      <c r="J189" s="30">
        <f t="shared" si="14"/>
        <v>947760</v>
      </c>
      <c r="K189" s="184"/>
      <c r="L189" s="184"/>
      <c r="M189" s="187"/>
      <c r="N189" s="184"/>
      <c r="O189" s="187"/>
      <c r="P189" s="168"/>
      <c r="Q189" s="168"/>
      <c r="R189" s="168"/>
    </row>
    <row r="190" spans="1:18" x14ac:dyDescent="0.25">
      <c r="A190" s="167"/>
      <c r="B190" s="112">
        <v>59094</v>
      </c>
      <c r="C190" s="26">
        <v>45819</v>
      </c>
      <c r="D190" s="27">
        <v>5860</v>
      </c>
      <c r="E190" s="28">
        <v>96</v>
      </c>
      <c r="F190" s="28">
        <f t="shared" si="15"/>
        <v>562560</v>
      </c>
      <c r="G190" s="28">
        <f t="shared" si="13"/>
        <v>669446.40000000002</v>
      </c>
      <c r="H190" s="29">
        <v>1</v>
      </c>
      <c r="I190" s="30">
        <v>750000</v>
      </c>
      <c r="J190" s="30">
        <f t="shared" si="14"/>
        <v>1312560</v>
      </c>
      <c r="K190" s="184"/>
      <c r="L190" s="184"/>
      <c r="M190" s="187"/>
      <c r="N190" s="184"/>
      <c r="O190" s="187"/>
      <c r="P190" s="168"/>
      <c r="Q190" s="168"/>
      <c r="R190" s="168"/>
    </row>
    <row r="191" spans="1:18" x14ac:dyDescent="0.25">
      <c r="A191" s="167"/>
      <c r="B191" s="112">
        <v>59096</v>
      </c>
      <c r="C191" s="26">
        <v>45820</v>
      </c>
      <c r="D191" s="27">
        <v>3560</v>
      </c>
      <c r="E191" s="28">
        <v>96</v>
      </c>
      <c r="F191" s="28">
        <f t="shared" si="15"/>
        <v>341760</v>
      </c>
      <c r="G191" s="28">
        <f t="shared" si="13"/>
        <v>406694.39999999997</v>
      </c>
      <c r="H191" s="29">
        <v>1</v>
      </c>
      <c r="I191" s="30">
        <v>750000</v>
      </c>
      <c r="J191" s="30">
        <f t="shared" si="14"/>
        <v>1091760</v>
      </c>
      <c r="K191" s="184"/>
      <c r="L191" s="184"/>
      <c r="M191" s="187"/>
      <c r="N191" s="184"/>
      <c r="O191" s="187"/>
      <c r="P191" s="168"/>
      <c r="Q191" s="168"/>
      <c r="R191" s="168"/>
    </row>
    <row r="192" spans="1:18" x14ac:dyDescent="0.25">
      <c r="A192" s="167"/>
      <c r="B192" s="112">
        <v>59097</v>
      </c>
      <c r="C192" s="26">
        <v>45820</v>
      </c>
      <c r="D192" s="27">
        <v>5130</v>
      </c>
      <c r="E192" s="28">
        <v>96</v>
      </c>
      <c r="F192" s="28">
        <f t="shared" si="15"/>
        <v>492480</v>
      </c>
      <c r="G192" s="28">
        <f t="shared" si="13"/>
        <v>586051.19999999995</v>
      </c>
      <c r="H192" s="29">
        <v>1</v>
      </c>
      <c r="I192" s="30">
        <v>750000</v>
      </c>
      <c r="J192" s="30">
        <f t="shared" si="14"/>
        <v>1242480</v>
      </c>
      <c r="K192" s="184"/>
      <c r="L192" s="184"/>
      <c r="M192" s="187"/>
      <c r="N192" s="184"/>
      <c r="O192" s="187"/>
      <c r="P192" s="168"/>
      <c r="Q192" s="168"/>
      <c r="R192" s="168"/>
    </row>
    <row r="193" spans="1:18" x14ac:dyDescent="0.25">
      <c r="A193" s="167"/>
      <c r="B193" s="112">
        <v>59098</v>
      </c>
      <c r="C193" s="26">
        <v>45820</v>
      </c>
      <c r="D193" s="27">
        <v>3910</v>
      </c>
      <c r="E193" s="28">
        <v>96</v>
      </c>
      <c r="F193" s="28">
        <f t="shared" si="15"/>
        <v>375360</v>
      </c>
      <c r="G193" s="28">
        <f t="shared" si="13"/>
        <v>446678.39999999997</v>
      </c>
      <c r="H193" s="29">
        <v>1</v>
      </c>
      <c r="I193" s="30">
        <v>750000</v>
      </c>
      <c r="J193" s="30">
        <f t="shared" si="14"/>
        <v>1125360</v>
      </c>
      <c r="K193" s="184"/>
      <c r="L193" s="184"/>
      <c r="M193" s="187"/>
      <c r="N193" s="184"/>
      <c r="O193" s="187"/>
      <c r="P193" s="168"/>
      <c r="Q193" s="168"/>
      <c r="R193" s="168"/>
    </row>
    <row r="194" spans="1:18" x14ac:dyDescent="0.25">
      <c r="A194" s="167"/>
      <c r="B194" s="112">
        <v>59099</v>
      </c>
      <c r="C194" s="26">
        <v>45823</v>
      </c>
      <c r="D194" s="27">
        <v>5320</v>
      </c>
      <c r="E194" s="28">
        <v>96</v>
      </c>
      <c r="F194" s="28">
        <f t="shared" si="15"/>
        <v>510720</v>
      </c>
      <c r="G194" s="28">
        <f t="shared" si="13"/>
        <v>607756.79999999993</v>
      </c>
      <c r="H194" s="29">
        <v>1</v>
      </c>
      <c r="I194" s="30">
        <v>750000</v>
      </c>
      <c r="J194" s="30">
        <f t="shared" si="14"/>
        <v>1260720</v>
      </c>
      <c r="K194" s="184"/>
      <c r="L194" s="184"/>
      <c r="M194" s="187"/>
      <c r="N194" s="184"/>
      <c r="O194" s="187"/>
      <c r="P194" s="168"/>
      <c r="Q194" s="168"/>
      <c r="R194" s="168"/>
    </row>
    <row r="195" spans="1:18" x14ac:dyDescent="0.25">
      <c r="A195" s="167"/>
      <c r="B195" s="112">
        <v>55646</v>
      </c>
      <c r="C195" s="26">
        <v>45824</v>
      </c>
      <c r="D195" s="27">
        <v>3286</v>
      </c>
      <c r="E195" s="28">
        <v>96</v>
      </c>
      <c r="F195" s="28">
        <f t="shared" si="15"/>
        <v>315456</v>
      </c>
      <c r="G195" s="28">
        <f t="shared" si="13"/>
        <v>375392.63999999996</v>
      </c>
      <c r="H195" s="29">
        <v>1</v>
      </c>
      <c r="I195" s="30">
        <v>750000</v>
      </c>
      <c r="J195" s="30">
        <f t="shared" si="14"/>
        <v>1065456</v>
      </c>
      <c r="K195" s="184"/>
      <c r="L195" s="184"/>
      <c r="M195" s="187"/>
      <c r="N195" s="184"/>
      <c r="O195" s="187"/>
      <c r="P195" s="168"/>
      <c r="Q195" s="168"/>
      <c r="R195" s="168"/>
    </row>
    <row r="196" spans="1:18" x14ac:dyDescent="0.25">
      <c r="A196" s="167"/>
      <c r="B196" s="112">
        <v>59100</v>
      </c>
      <c r="C196" s="26">
        <v>45824</v>
      </c>
      <c r="D196" s="27">
        <v>4260</v>
      </c>
      <c r="E196" s="28">
        <v>96</v>
      </c>
      <c r="F196" s="28">
        <f t="shared" si="15"/>
        <v>408960</v>
      </c>
      <c r="G196" s="28">
        <f t="shared" si="13"/>
        <v>486662.39999999997</v>
      </c>
      <c r="H196" s="29">
        <v>1</v>
      </c>
      <c r="I196" s="30">
        <v>750000</v>
      </c>
      <c r="J196" s="30">
        <f t="shared" si="14"/>
        <v>1158960</v>
      </c>
      <c r="K196" s="184"/>
      <c r="L196" s="184"/>
      <c r="M196" s="187"/>
      <c r="N196" s="184"/>
      <c r="O196" s="187"/>
      <c r="P196" s="168"/>
      <c r="Q196" s="168"/>
      <c r="R196" s="168"/>
    </row>
    <row r="197" spans="1:18" x14ac:dyDescent="0.25">
      <c r="A197" s="167"/>
      <c r="B197" s="112">
        <v>49690</v>
      </c>
      <c r="C197" s="26">
        <v>45825</v>
      </c>
      <c r="D197" s="27">
        <v>5180</v>
      </c>
      <c r="E197" s="28">
        <v>96</v>
      </c>
      <c r="F197" s="28">
        <f t="shared" si="15"/>
        <v>497280</v>
      </c>
      <c r="G197" s="28">
        <f t="shared" si="13"/>
        <v>591763.19999999995</v>
      </c>
      <c r="H197" s="29">
        <v>1</v>
      </c>
      <c r="I197" s="30">
        <v>750000</v>
      </c>
      <c r="J197" s="30">
        <f t="shared" si="14"/>
        <v>1247280</v>
      </c>
      <c r="K197" s="184"/>
      <c r="L197" s="184"/>
      <c r="M197" s="187"/>
      <c r="N197" s="184"/>
      <c r="O197" s="187"/>
      <c r="P197" s="168"/>
      <c r="Q197" s="168"/>
      <c r="R197" s="168"/>
    </row>
    <row r="198" spans="1:18" x14ac:dyDescent="0.25">
      <c r="A198" s="167"/>
      <c r="B198" s="112">
        <v>49691</v>
      </c>
      <c r="C198" s="26">
        <v>45826</v>
      </c>
      <c r="D198" s="27">
        <v>3070</v>
      </c>
      <c r="E198" s="28">
        <v>96</v>
      </c>
      <c r="F198" s="28">
        <f t="shared" si="15"/>
        <v>294720</v>
      </c>
      <c r="G198" s="28">
        <f t="shared" si="13"/>
        <v>350716.8</v>
      </c>
      <c r="H198" s="29">
        <v>1</v>
      </c>
      <c r="I198" s="30">
        <v>750000</v>
      </c>
      <c r="J198" s="30">
        <f t="shared" si="14"/>
        <v>1044720</v>
      </c>
      <c r="K198" s="184"/>
      <c r="L198" s="184"/>
      <c r="M198" s="187"/>
      <c r="N198" s="184"/>
      <c r="O198" s="187"/>
      <c r="P198" s="168"/>
      <c r="Q198" s="168"/>
      <c r="R198" s="168"/>
    </row>
    <row r="199" spans="1:18" x14ac:dyDescent="0.25">
      <c r="A199" s="167"/>
      <c r="B199" s="112">
        <v>49692</v>
      </c>
      <c r="C199" s="26">
        <v>45827</v>
      </c>
      <c r="D199" s="27">
        <v>2980</v>
      </c>
      <c r="E199" s="28">
        <v>96</v>
      </c>
      <c r="F199" s="28">
        <f t="shared" si="15"/>
        <v>286080</v>
      </c>
      <c r="G199" s="28">
        <f t="shared" si="13"/>
        <v>340435.20000000001</v>
      </c>
      <c r="H199" s="29">
        <v>1</v>
      </c>
      <c r="I199" s="30">
        <v>750000</v>
      </c>
      <c r="J199" s="30">
        <f t="shared" si="14"/>
        <v>1036080</v>
      </c>
      <c r="K199" s="184"/>
      <c r="L199" s="184"/>
      <c r="M199" s="187"/>
      <c r="N199" s="184"/>
      <c r="O199" s="187"/>
      <c r="P199" s="168"/>
      <c r="Q199" s="168"/>
      <c r="R199" s="168"/>
    </row>
    <row r="200" spans="1:18" x14ac:dyDescent="0.25">
      <c r="A200" s="167"/>
      <c r="B200" s="112">
        <v>49694</v>
      </c>
      <c r="C200" s="26">
        <v>45828</v>
      </c>
      <c r="D200" s="27">
        <v>5180</v>
      </c>
      <c r="E200" s="28">
        <v>96</v>
      </c>
      <c r="F200" s="28">
        <f t="shared" si="15"/>
        <v>497280</v>
      </c>
      <c r="G200" s="28">
        <f t="shared" si="13"/>
        <v>591763.19999999995</v>
      </c>
      <c r="H200" s="29">
        <v>1</v>
      </c>
      <c r="I200" s="30">
        <v>750000</v>
      </c>
      <c r="J200" s="30">
        <f t="shared" si="14"/>
        <v>1247280</v>
      </c>
      <c r="K200" s="184"/>
      <c r="L200" s="184"/>
      <c r="M200" s="187"/>
      <c r="N200" s="184"/>
      <c r="O200" s="187"/>
      <c r="P200" s="168"/>
      <c r="Q200" s="168"/>
      <c r="R200" s="168"/>
    </row>
    <row r="201" spans="1:18" x14ac:dyDescent="0.25">
      <c r="A201" s="167"/>
      <c r="B201" s="112">
        <v>49693</v>
      </c>
      <c r="C201" s="26">
        <v>45828</v>
      </c>
      <c r="D201" s="27">
        <v>4850</v>
      </c>
      <c r="E201" s="28">
        <v>96</v>
      </c>
      <c r="F201" s="28">
        <f t="shared" si="15"/>
        <v>465600</v>
      </c>
      <c r="G201" s="28">
        <f t="shared" si="13"/>
        <v>554064</v>
      </c>
      <c r="H201" s="29">
        <v>1</v>
      </c>
      <c r="I201" s="30">
        <v>750000</v>
      </c>
      <c r="J201" s="30">
        <f t="shared" si="14"/>
        <v>1215600</v>
      </c>
      <c r="K201" s="184"/>
      <c r="L201" s="184"/>
      <c r="M201" s="187"/>
      <c r="N201" s="184"/>
      <c r="O201" s="187"/>
      <c r="P201" s="168"/>
      <c r="Q201" s="168"/>
      <c r="R201" s="168"/>
    </row>
    <row r="202" spans="1:18" x14ac:dyDescent="0.25">
      <c r="A202" s="167"/>
      <c r="B202" s="112">
        <v>49695</v>
      </c>
      <c r="C202" s="26">
        <v>45831</v>
      </c>
      <c r="D202" s="27">
        <v>5970</v>
      </c>
      <c r="E202" s="28">
        <v>96</v>
      </c>
      <c r="F202" s="28">
        <f t="shared" si="15"/>
        <v>573120</v>
      </c>
      <c r="G202" s="28">
        <f t="shared" si="13"/>
        <v>682012.79999999993</v>
      </c>
      <c r="H202" s="29">
        <v>1</v>
      </c>
      <c r="I202" s="30">
        <v>750000</v>
      </c>
      <c r="J202" s="30">
        <f t="shared" si="14"/>
        <v>1323120</v>
      </c>
      <c r="K202" s="184"/>
      <c r="L202" s="184"/>
      <c r="M202" s="187"/>
      <c r="N202" s="184"/>
      <c r="O202" s="187"/>
      <c r="P202" s="168"/>
      <c r="Q202" s="168"/>
      <c r="R202" s="168"/>
    </row>
    <row r="203" spans="1:18" x14ac:dyDescent="0.25">
      <c r="A203" s="167"/>
      <c r="B203" s="112">
        <v>49696</v>
      </c>
      <c r="C203" s="26">
        <v>45832</v>
      </c>
      <c r="D203" s="27">
        <v>3220</v>
      </c>
      <c r="E203" s="28">
        <v>96</v>
      </c>
      <c r="F203" s="28">
        <f t="shared" si="15"/>
        <v>309120</v>
      </c>
      <c r="G203" s="28">
        <f t="shared" si="13"/>
        <v>367852.79999999999</v>
      </c>
      <c r="H203" s="29">
        <v>1</v>
      </c>
      <c r="I203" s="30">
        <v>750000</v>
      </c>
      <c r="J203" s="30">
        <f t="shared" si="14"/>
        <v>1059120</v>
      </c>
      <c r="K203" s="184"/>
      <c r="L203" s="184"/>
      <c r="M203" s="187"/>
      <c r="N203" s="184"/>
      <c r="O203" s="187"/>
      <c r="P203" s="168"/>
      <c r="Q203" s="168"/>
      <c r="R203" s="168"/>
    </row>
    <row r="204" spans="1:18" x14ac:dyDescent="0.25">
      <c r="A204" s="167"/>
      <c r="B204" s="112">
        <v>49697</v>
      </c>
      <c r="C204" s="26">
        <v>45833</v>
      </c>
      <c r="D204" s="27">
        <v>5930</v>
      </c>
      <c r="E204" s="28">
        <v>96</v>
      </c>
      <c r="F204" s="28">
        <f t="shared" si="15"/>
        <v>569280</v>
      </c>
      <c r="G204" s="28">
        <f t="shared" si="13"/>
        <v>677443.2</v>
      </c>
      <c r="H204" s="29">
        <v>1</v>
      </c>
      <c r="I204" s="30">
        <v>750000</v>
      </c>
      <c r="J204" s="30">
        <f t="shared" si="14"/>
        <v>1319280</v>
      </c>
      <c r="K204" s="184"/>
      <c r="L204" s="184"/>
      <c r="M204" s="187"/>
      <c r="N204" s="184"/>
      <c r="O204" s="187"/>
      <c r="P204" s="168"/>
      <c r="Q204" s="168"/>
      <c r="R204" s="168"/>
    </row>
    <row r="205" spans="1:18" x14ac:dyDescent="0.25">
      <c r="A205" s="167"/>
      <c r="B205" s="112">
        <v>49698</v>
      </c>
      <c r="C205" s="26">
        <v>45834</v>
      </c>
      <c r="D205" s="27">
        <v>2610</v>
      </c>
      <c r="E205" s="28">
        <v>96</v>
      </c>
      <c r="F205" s="28">
        <f t="shared" si="15"/>
        <v>250560</v>
      </c>
      <c r="G205" s="28">
        <f t="shared" si="13"/>
        <v>298166.39999999997</v>
      </c>
      <c r="H205" s="29">
        <v>1</v>
      </c>
      <c r="I205" s="30">
        <v>750000</v>
      </c>
      <c r="J205" s="30">
        <f t="shared" si="14"/>
        <v>1000560</v>
      </c>
      <c r="K205" s="184"/>
      <c r="L205" s="184"/>
      <c r="M205" s="187"/>
      <c r="N205" s="184"/>
      <c r="O205" s="187"/>
      <c r="P205" s="168"/>
      <c r="Q205" s="168"/>
      <c r="R205" s="168"/>
    </row>
    <row r="206" spans="1:18" x14ac:dyDescent="0.25">
      <c r="A206" s="167"/>
      <c r="B206" s="112">
        <v>49700</v>
      </c>
      <c r="C206" s="26">
        <v>45835</v>
      </c>
      <c r="D206" s="27">
        <v>5850</v>
      </c>
      <c r="E206" s="28">
        <v>96</v>
      </c>
      <c r="F206" s="28">
        <f t="shared" si="15"/>
        <v>561600</v>
      </c>
      <c r="G206" s="28">
        <f t="shared" si="13"/>
        <v>668304</v>
      </c>
      <c r="H206" s="29">
        <v>1</v>
      </c>
      <c r="I206" s="30">
        <v>750000</v>
      </c>
      <c r="J206" s="30">
        <f t="shared" si="14"/>
        <v>1311600</v>
      </c>
      <c r="K206" s="184"/>
      <c r="L206" s="184"/>
      <c r="M206" s="187"/>
      <c r="N206" s="184"/>
      <c r="O206" s="187"/>
      <c r="P206" s="168"/>
      <c r="Q206" s="168"/>
      <c r="R206" s="168"/>
    </row>
    <row r="207" spans="1:18" x14ac:dyDescent="0.25">
      <c r="A207" s="167"/>
      <c r="B207" s="112">
        <v>49699</v>
      </c>
      <c r="C207" s="26">
        <v>45835</v>
      </c>
      <c r="D207" s="27">
        <v>4790</v>
      </c>
      <c r="E207" s="28">
        <v>96</v>
      </c>
      <c r="F207" s="28">
        <f t="shared" si="15"/>
        <v>459840</v>
      </c>
      <c r="G207" s="28">
        <f t="shared" si="13"/>
        <v>547209.6</v>
      </c>
      <c r="H207" s="29">
        <v>1</v>
      </c>
      <c r="I207" s="30">
        <v>750000</v>
      </c>
      <c r="J207" s="30">
        <f t="shared" si="14"/>
        <v>1209840</v>
      </c>
      <c r="K207" s="184"/>
      <c r="L207" s="184"/>
      <c r="M207" s="187"/>
      <c r="N207" s="184"/>
      <c r="O207" s="187"/>
      <c r="P207" s="168"/>
      <c r="Q207" s="168"/>
      <c r="R207" s="168"/>
    </row>
    <row r="208" spans="1:18" x14ac:dyDescent="0.25">
      <c r="A208" s="167"/>
      <c r="B208" s="112">
        <v>60405</v>
      </c>
      <c r="C208" s="26">
        <v>45836</v>
      </c>
      <c r="D208" s="27">
        <v>4990</v>
      </c>
      <c r="E208" s="28">
        <v>96</v>
      </c>
      <c r="F208" s="28">
        <f t="shared" si="15"/>
        <v>479040</v>
      </c>
      <c r="G208" s="28">
        <f t="shared" si="13"/>
        <v>570057.6</v>
      </c>
      <c r="H208" s="29">
        <v>1</v>
      </c>
      <c r="I208" s="30">
        <v>750000</v>
      </c>
      <c r="J208" s="30">
        <f t="shared" si="14"/>
        <v>1229040</v>
      </c>
      <c r="K208" s="184"/>
      <c r="L208" s="184"/>
      <c r="M208" s="187"/>
      <c r="N208" s="184"/>
      <c r="O208" s="187"/>
      <c r="P208" s="168"/>
      <c r="Q208" s="168"/>
      <c r="R208" s="168"/>
    </row>
    <row r="209" spans="1:18" x14ac:dyDescent="0.25">
      <c r="A209" s="167"/>
      <c r="B209" s="112">
        <v>60407</v>
      </c>
      <c r="C209" s="26">
        <v>45837</v>
      </c>
      <c r="D209" s="27">
        <v>3130</v>
      </c>
      <c r="E209" s="28">
        <v>96</v>
      </c>
      <c r="F209" s="28">
        <f t="shared" si="15"/>
        <v>300480</v>
      </c>
      <c r="G209" s="28">
        <f t="shared" si="13"/>
        <v>357571.2</v>
      </c>
      <c r="H209" s="29">
        <v>1</v>
      </c>
      <c r="I209" s="30">
        <v>750000</v>
      </c>
      <c r="J209" s="30">
        <f t="shared" si="14"/>
        <v>1050480</v>
      </c>
      <c r="K209" s="185"/>
      <c r="L209" s="185"/>
      <c r="M209" s="188"/>
      <c r="N209" s="185"/>
      <c r="O209" s="188"/>
      <c r="P209" s="168"/>
      <c r="Q209" s="168"/>
      <c r="R209" s="168"/>
    </row>
    <row r="210" spans="1:18" x14ac:dyDescent="0.25">
      <c r="B210" s="112">
        <v>60868</v>
      </c>
      <c r="C210" s="26">
        <v>45840</v>
      </c>
      <c r="D210" s="27">
        <v>5340</v>
      </c>
      <c r="E210" s="28">
        <v>96</v>
      </c>
      <c r="F210" s="28">
        <f t="shared" si="15"/>
        <v>512640</v>
      </c>
      <c r="G210" s="28">
        <f t="shared" si="13"/>
        <v>610041.59999999998</v>
      </c>
      <c r="H210" s="29">
        <v>1</v>
      </c>
      <c r="I210" s="30">
        <v>750000</v>
      </c>
      <c r="J210" s="30">
        <f t="shared" si="14"/>
        <v>1262640</v>
      </c>
      <c r="K210" s="168">
        <f>SUM(D210:D243)</f>
        <v>146650</v>
      </c>
      <c r="L210" s="168">
        <f>SUM(H210:H243)</f>
        <v>32</v>
      </c>
      <c r="M210" s="169">
        <f>SUM(F210:F243)</f>
        <v>14078400</v>
      </c>
      <c r="N210" s="168">
        <f>M210*19%</f>
        <v>2674896</v>
      </c>
      <c r="O210" s="169">
        <f>SUM(I210:I243)</f>
        <v>24000000</v>
      </c>
      <c r="P210" s="169">
        <f>M210+O210</f>
        <v>38078400</v>
      </c>
      <c r="Q210" s="168">
        <f>SUM(M210+N210+O210)</f>
        <v>40753296</v>
      </c>
      <c r="R210" s="168">
        <f>P210/K210</f>
        <v>259.65496079099898</v>
      </c>
    </row>
    <row r="211" spans="1:18" x14ac:dyDescent="0.25">
      <c r="B211" s="112">
        <v>60866</v>
      </c>
      <c r="C211" s="26">
        <v>45840</v>
      </c>
      <c r="D211" s="27">
        <v>5620</v>
      </c>
      <c r="E211" s="28">
        <v>96</v>
      </c>
      <c r="F211" s="28">
        <f t="shared" si="15"/>
        <v>539520</v>
      </c>
      <c r="G211" s="28">
        <f t="shared" si="13"/>
        <v>642028.79999999993</v>
      </c>
      <c r="H211" s="29">
        <v>1</v>
      </c>
      <c r="I211" s="30">
        <v>750000</v>
      </c>
      <c r="J211" s="30">
        <f t="shared" si="14"/>
        <v>1289520</v>
      </c>
      <c r="K211" s="168"/>
      <c r="L211" s="168"/>
      <c r="M211" s="169"/>
      <c r="N211" s="168"/>
      <c r="O211" s="169"/>
      <c r="P211" s="168"/>
      <c r="Q211" s="168"/>
      <c r="R211" s="168"/>
    </row>
    <row r="212" spans="1:18" x14ac:dyDescent="0.25">
      <c r="B212" s="112">
        <v>60867</v>
      </c>
      <c r="C212" s="26">
        <v>45840</v>
      </c>
      <c r="D212" s="27">
        <v>4410</v>
      </c>
      <c r="E212" s="28">
        <v>96</v>
      </c>
      <c r="F212" s="28">
        <f t="shared" si="15"/>
        <v>423360</v>
      </c>
      <c r="G212" s="28">
        <f t="shared" si="13"/>
        <v>503798.39999999997</v>
      </c>
      <c r="H212" s="29">
        <v>1</v>
      </c>
      <c r="I212" s="30">
        <v>750000</v>
      </c>
      <c r="J212" s="30">
        <f t="shared" si="14"/>
        <v>1173360</v>
      </c>
      <c r="K212" s="168"/>
      <c r="L212" s="168"/>
      <c r="M212" s="169"/>
      <c r="N212" s="168"/>
      <c r="O212" s="169"/>
      <c r="P212" s="168"/>
      <c r="Q212" s="168"/>
      <c r="R212" s="168"/>
    </row>
    <row r="213" spans="1:18" x14ac:dyDescent="0.25">
      <c r="B213" s="112"/>
      <c r="C213" s="26"/>
      <c r="D213" s="27"/>
      <c r="E213" s="28"/>
      <c r="F213" s="28"/>
      <c r="G213" s="28"/>
      <c r="H213" s="29"/>
      <c r="I213" s="30"/>
      <c r="J213" s="30"/>
      <c r="K213" s="168"/>
      <c r="L213" s="168"/>
      <c r="M213" s="169"/>
      <c r="N213" s="168"/>
      <c r="O213" s="169"/>
      <c r="P213" s="168"/>
      <c r="Q213" s="168"/>
      <c r="R213" s="168"/>
    </row>
    <row r="214" spans="1:18" x14ac:dyDescent="0.25">
      <c r="B214" s="112">
        <v>60869</v>
      </c>
      <c r="C214" s="26">
        <v>45841</v>
      </c>
      <c r="D214" s="27">
        <v>5220</v>
      </c>
      <c r="E214" s="28">
        <v>96</v>
      </c>
      <c r="F214" s="28">
        <f t="shared" si="15"/>
        <v>501120</v>
      </c>
      <c r="G214" s="28">
        <f t="shared" si="13"/>
        <v>596332.79999999993</v>
      </c>
      <c r="H214" s="29">
        <v>1</v>
      </c>
      <c r="I214" s="30">
        <v>750000</v>
      </c>
      <c r="J214" s="30">
        <f t="shared" si="14"/>
        <v>1251120</v>
      </c>
      <c r="K214" s="168"/>
      <c r="L214" s="168"/>
      <c r="M214" s="169"/>
      <c r="N214" s="168"/>
      <c r="O214" s="169"/>
      <c r="P214" s="168"/>
      <c r="Q214" s="168"/>
      <c r="R214" s="168"/>
    </row>
    <row r="215" spans="1:18" x14ac:dyDescent="0.25">
      <c r="B215" s="112">
        <v>60870</v>
      </c>
      <c r="C215" s="26">
        <v>45841</v>
      </c>
      <c r="D215" s="27">
        <v>5930</v>
      </c>
      <c r="E215" s="28">
        <v>96</v>
      </c>
      <c r="F215" s="28">
        <f t="shared" si="15"/>
        <v>569280</v>
      </c>
      <c r="G215" s="28">
        <f t="shared" si="13"/>
        <v>677443.2</v>
      </c>
      <c r="H215" s="29">
        <v>1</v>
      </c>
      <c r="I215" s="30">
        <v>750000</v>
      </c>
      <c r="J215" s="30">
        <f t="shared" si="14"/>
        <v>1319280</v>
      </c>
      <c r="K215" s="168"/>
      <c r="L215" s="168"/>
      <c r="M215" s="169"/>
      <c r="N215" s="168"/>
      <c r="O215" s="169"/>
      <c r="P215" s="168"/>
      <c r="Q215" s="168"/>
      <c r="R215" s="168"/>
    </row>
    <row r="216" spans="1:18" x14ac:dyDescent="0.25">
      <c r="B216" s="112">
        <v>60871</v>
      </c>
      <c r="C216" s="26">
        <v>45842</v>
      </c>
      <c r="D216" s="27">
        <v>4090</v>
      </c>
      <c r="E216" s="28">
        <v>96</v>
      </c>
      <c r="F216" s="28">
        <f t="shared" si="15"/>
        <v>392640</v>
      </c>
      <c r="G216" s="28">
        <f t="shared" si="13"/>
        <v>467241.6</v>
      </c>
      <c r="H216" s="29">
        <v>1</v>
      </c>
      <c r="I216" s="30">
        <v>750000</v>
      </c>
      <c r="J216" s="30">
        <f t="shared" si="14"/>
        <v>1142640</v>
      </c>
      <c r="K216" s="168"/>
      <c r="L216" s="168"/>
      <c r="M216" s="169"/>
      <c r="N216" s="168"/>
      <c r="O216" s="169"/>
      <c r="P216" s="168"/>
      <c r="Q216" s="168"/>
      <c r="R216" s="168"/>
    </row>
    <row r="217" spans="1:18" x14ac:dyDescent="0.25">
      <c r="B217" s="112">
        <v>60872</v>
      </c>
      <c r="C217" s="26">
        <v>45843</v>
      </c>
      <c r="D217" s="27">
        <v>5730</v>
      </c>
      <c r="E217" s="28">
        <v>96</v>
      </c>
      <c r="F217" s="28">
        <f t="shared" si="15"/>
        <v>550080</v>
      </c>
      <c r="G217" s="28">
        <f t="shared" si="13"/>
        <v>654595.19999999995</v>
      </c>
      <c r="H217" s="29">
        <v>1</v>
      </c>
      <c r="I217" s="30">
        <v>750000</v>
      </c>
      <c r="J217" s="30">
        <f t="shared" si="14"/>
        <v>1300080</v>
      </c>
      <c r="K217" s="168"/>
      <c r="L217" s="168"/>
      <c r="M217" s="169"/>
      <c r="N217" s="168"/>
      <c r="O217" s="169"/>
      <c r="P217" s="168"/>
      <c r="Q217" s="168"/>
      <c r="R217" s="168"/>
    </row>
    <row r="218" spans="1:18" x14ac:dyDescent="0.25">
      <c r="B218" s="112">
        <v>60873</v>
      </c>
      <c r="C218" s="26">
        <v>45845</v>
      </c>
      <c r="D218" s="27">
        <v>4420</v>
      </c>
      <c r="E218" s="28">
        <v>96</v>
      </c>
      <c r="F218" s="28">
        <f t="shared" si="15"/>
        <v>424320</v>
      </c>
      <c r="G218" s="28">
        <f t="shared" si="13"/>
        <v>504940.79999999999</v>
      </c>
      <c r="H218" s="29">
        <v>1</v>
      </c>
      <c r="I218" s="30">
        <v>750000</v>
      </c>
      <c r="J218" s="30">
        <f t="shared" si="14"/>
        <v>1174320</v>
      </c>
      <c r="K218" s="168"/>
      <c r="L218" s="168"/>
      <c r="M218" s="169"/>
      <c r="N218" s="168"/>
      <c r="O218" s="169"/>
      <c r="P218" s="168"/>
      <c r="Q218" s="168"/>
      <c r="R218" s="168"/>
    </row>
    <row r="219" spans="1:18" x14ac:dyDescent="0.25">
      <c r="B219" s="112">
        <v>60874</v>
      </c>
      <c r="C219" s="26">
        <v>45846</v>
      </c>
      <c r="D219" s="27">
        <v>4670</v>
      </c>
      <c r="E219" s="28">
        <v>96</v>
      </c>
      <c r="F219" s="28">
        <f t="shared" si="15"/>
        <v>448320</v>
      </c>
      <c r="G219" s="28">
        <f t="shared" si="13"/>
        <v>533500.79999999993</v>
      </c>
      <c r="H219" s="29">
        <v>1</v>
      </c>
      <c r="I219" s="30">
        <v>750000</v>
      </c>
      <c r="J219" s="30">
        <f t="shared" si="14"/>
        <v>1198320</v>
      </c>
      <c r="K219" s="168"/>
      <c r="L219" s="168"/>
      <c r="M219" s="169"/>
      <c r="N219" s="168"/>
      <c r="O219" s="169"/>
      <c r="P219" s="168"/>
      <c r="Q219" s="168"/>
      <c r="R219" s="168"/>
    </row>
    <row r="220" spans="1:18" x14ac:dyDescent="0.25">
      <c r="B220" s="112">
        <v>60875</v>
      </c>
      <c r="C220" s="26">
        <v>45847</v>
      </c>
      <c r="D220" s="27">
        <v>6100</v>
      </c>
      <c r="E220" s="28">
        <v>96</v>
      </c>
      <c r="F220" s="28">
        <f t="shared" si="15"/>
        <v>585600</v>
      </c>
      <c r="G220" s="28">
        <f t="shared" si="13"/>
        <v>696864</v>
      </c>
      <c r="H220" s="29">
        <v>1</v>
      </c>
      <c r="I220" s="30">
        <v>750000</v>
      </c>
      <c r="J220" s="30">
        <f t="shared" si="14"/>
        <v>1335600</v>
      </c>
      <c r="K220" s="168"/>
      <c r="L220" s="168"/>
      <c r="M220" s="169"/>
      <c r="N220" s="168"/>
      <c r="O220" s="169"/>
      <c r="P220" s="168"/>
      <c r="Q220" s="168"/>
      <c r="R220" s="168"/>
    </row>
    <row r="221" spans="1:18" x14ac:dyDescent="0.25">
      <c r="B221" s="112">
        <v>60876</v>
      </c>
      <c r="C221" s="26">
        <v>45847</v>
      </c>
      <c r="D221" s="27">
        <v>4710</v>
      </c>
      <c r="E221" s="28">
        <v>96</v>
      </c>
      <c r="F221" s="28">
        <f t="shared" si="15"/>
        <v>452160</v>
      </c>
      <c r="G221" s="28">
        <f t="shared" si="13"/>
        <v>538070.4</v>
      </c>
      <c r="H221" s="29">
        <v>1</v>
      </c>
      <c r="I221" s="30">
        <v>750000</v>
      </c>
      <c r="J221" s="30">
        <f t="shared" si="14"/>
        <v>1202160</v>
      </c>
      <c r="K221" s="168"/>
      <c r="L221" s="168"/>
      <c r="M221" s="169"/>
      <c r="N221" s="168"/>
      <c r="O221" s="169"/>
      <c r="P221" s="168"/>
      <c r="Q221" s="168"/>
      <c r="R221" s="168"/>
    </row>
    <row r="222" spans="1:18" x14ac:dyDescent="0.25">
      <c r="B222" s="112">
        <v>60877</v>
      </c>
      <c r="C222" s="26">
        <v>45848</v>
      </c>
      <c r="D222" s="27">
        <v>2870</v>
      </c>
      <c r="E222" s="28">
        <v>96</v>
      </c>
      <c r="F222" s="28">
        <f t="shared" si="15"/>
        <v>275520</v>
      </c>
      <c r="G222" s="28">
        <f t="shared" ref="G222:G243" si="16">+F222*1.19</f>
        <v>327868.79999999999</v>
      </c>
      <c r="H222" s="29">
        <v>1</v>
      </c>
      <c r="I222" s="30">
        <v>750000</v>
      </c>
      <c r="J222" s="30">
        <f t="shared" ref="J222:J243" si="17">+F222+H222*I222</f>
        <v>1025520</v>
      </c>
      <c r="K222" s="168"/>
      <c r="L222" s="168"/>
      <c r="M222" s="169"/>
      <c r="N222" s="168"/>
      <c r="O222" s="169"/>
      <c r="P222" s="168"/>
      <c r="Q222" s="168"/>
      <c r="R222" s="168"/>
    </row>
    <row r="223" spans="1:18" x14ac:dyDescent="0.25">
      <c r="B223" s="112">
        <v>60878</v>
      </c>
      <c r="C223" s="26">
        <v>45848</v>
      </c>
      <c r="D223" s="27">
        <v>4160</v>
      </c>
      <c r="E223" s="28">
        <v>96</v>
      </c>
      <c r="F223" s="28">
        <f t="shared" si="15"/>
        <v>399360</v>
      </c>
      <c r="G223" s="28">
        <f t="shared" si="16"/>
        <v>475238.39999999997</v>
      </c>
      <c r="H223" s="29">
        <v>1</v>
      </c>
      <c r="I223" s="30">
        <v>750000</v>
      </c>
      <c r="J223" s="30">
        <f t="shared" si="17"/>
        <v>1149360</v>
      </c>
      <c r="K223" s="168"/>
      <c r="L223" s="168"/>
      <c r="M223" s="169"/>
      <c r="N223" s="168"/>
      <c r="O223" s="169"/>
      <c r="P223" s="168"/>
      <c r="Q223" s="168"/>
      <c r="R223" s="168"/>
    </row>
    <row r="224" spans="1:18" x14ac:dyDescent="0.25">
      <c r="B224" s="112">
        <v>60879</v>
      </c>
      <c r="C224" s="26">
        <v>45849</v>
      </c>
      <c r="D224" s="27">
        <v>3420</v>
      </c>
      <c r="E224" s="28">
        <v>96</v>
      </c>
      <c r="F224" s="28">
        <f t="shared" ref="F224:F243" si="18">+D224*E224</f>
        <v>328320</v>
      </c>
      <c r="G224" s="28">
        <f t="shared" si="16"/>
        <v>390700.79999999999</v>
      </c>
      <c r="H224" s="29">
        <v>1</v>
      </c>
      <c r="I224" s="30">
        <v>750000</v>
      </c>
      <c r="J224" s="30">
        <f t="shared" si="17"/>
        <v>1078320</v>
      </c>
      <c r="K224" s="168"/>
      <c r="L224" s="168"/>
      <c r="M224" s="169"/>
      <c r="N224" s="168"/>
      <c r="O224" s="169"/>
      <c r="P224" s="168"/>
      <c r="Q224" s="168"/>
      <c r="R224" s="168"/>
    </row>
    <row r="225" spans="2:18" x14ac:dyDescent="0.25">
      <c r="B225" s="112">
        <v>60880</v>
      </c>
      <c r="C225" s="26">
        <v>45850</v>
      </c>
      <c r="D225" s="27">
        <v>3560</v>
      </c>
      <c r="E225" s="28">
        <v>96</v>
      </c>
      <c r="F225" s="28">
        <f t="shared" si="18"/>
        <v>341760</v>
      </c>
      <c r="G225" s="28">
        <f t="shared" si="16"/>
        <v>406694.39999999997</v>
      </c>
      <c r="H225" s="29">
        <v>1</v>
      </c>
      <c r="I225" s="30">
        <v>750000</v>
      </c>
      <c r="J225" s="30">
        <f t="shared" si="17"/>
        <v>1091760</v>
      </c>
      <c r="K225" s="168"/>
      <c r="L225" s="168"/>
      <c r="M225" s="169"/>
      <c r="N225" s="168"/>
      <c r="O225" s="169"/>
      <c r="P225" s="168"/>
      <c r="Q225" s="168"/>
      <c r="R225" s="168"/>
    </row>
    <row r="226" spans="2:18" x14ac:dyDescent="0.25">
      <c r="B226" s="112">
        <v>60881</v>
      </c>
      <c r="C226" s="26">
        <v>45852</v>
      </c>
      <c r="D226" s="27">
        <v>5510</v>
      </c>
      <c r="E226" s="28">
        <v>96</v>
      </c>
      <c r="F226" s="28">
        <f t="shared" si="18"/>
        <v>528960</v>
      </c>
      <c r="G226" s="28">
        <f t="shared" si="16"/>
        <v>629462.4</v>
      </c>
      <c r="H226" s="29">
        <v>1</v>
      </c>
      <c r="I226" s="30">
        <v>750000</v>
      </c>
      <c r="J226" s="30">
        <f t="shared" si="17"/>
        <v>1278960</v>
      </c>
      <c r="K226" s="168"/>
      <c r="L226" s="168"/>
      <c r="M226" s="169"/>
      <c r="N226" s="168"/>
      <c r="O226" s="169"/>
      <c r="P226" s="168"/>
      <c r="Q226" s="168"/>
      <c r="R226" s="168"/>
    </row>
    <row r="227" spans="2:18" x14ac:dyDescent="0.25">
      <c r="B227" s="112">
        <v>60882</v>
      </c>
      <c r="C227" s="26">
        <v>45852</v>
      </c>
      <c r="D227" s="27">
        <v>5780</v>
      </c>
      <c r="E227" s="28">
        <v>96</v>
      </c>
      <c r="F227" s="28">
        <f t="shared" si="18"/>
        <v>554880</v>
      </c>
      <c r="G227" s="28">
        <f t="shared" si="16"/>
        <v>660307.19999999995</v>
      </c>
      <c r="H227" s="29">
        <v>1</v>
      </c>
      <c r="I227" s="30">
        <v>750000</v>
      </c>
      <c r="J227" s="30">
        <f t="shared" si="17"/>
        <v>1304880</v>
      </c>
      <c r="K227" s="168"/>
      <c r="L227" s="168"/>
      <c r="M227" s="169"/>
      <c r="N227" s="168"/>
      <c r="O227" s="169"/>
      <c r="P227" s="168"/>
      <c r="Q227" s="168"/>
      <c r="R227" s="168"/>
    </row>
    <row r="228" spans="2:18" x14ac:dyDescent="0.25">
      <c r="B228" s="112"/>
      <c r="C228" s="26"/>
      <c r="D228" s="27"/>
      <c r="E228" s="28"/>
      <c r="F228" s="28"/>
      <c r="G228" s="28"/>
      <c r="H228" s="29"/>
      <c r="I228" s="30"/>
      <c r="J228" s="30"/>
      <c r="K228" s="168"/>
      <c r="L228" s="168"/>
      <c r="M228" s="169"/>
      <c r="N228" s="168"/>
      <c r="O228" s="169"/>
      <c r="P228" s="168"/>
      <c r="Q228" s="168"/>
      <c r="R228" s="168"/>
    </row>
    <row r="229" spans="2:18" x14ac:dyDescent="0.25">
      <c r="B229" s="112">
        <v>60883</v>
      </c>
      <c r="C229" s="26">
        <v>45853</v>
      </c>
      <c r="D229" s="27">
        <v>3130</v>
      </c>
      <c r="E229" s="28">
        <v>96</v>
      </c>
      <c r="F229" s="28">
        <f t="shared" si="18"/>
        <v>300480</v>
      </c>
      <c r="G229" s="28">
        <f t="shared" si="16"/>
        <v>357571.2</v>
      </c>
      <c r="H229" s="29">
        <v>1</v>
      </c>
      <c r="I229" s="30">
        <v>750000</v>
      </c>
      <c r="J229" s="30">
        <f t="shared" si="17"/>
        <v>1050480</v>
      </c>
      <c r="K229" s="168"/>
      <c r="L229" s="168"/>
      <c r="M229" s="169"/>
      <c r="N229" s="168"/>
      <c r="O229" s="169"/>
      <c r="P229" s="168"/>
      <c r="Q229" s="168"/>
      <c r="R229" s="168"/>
    </row>
    <row r="230" spans="2:18" x14ac:dyDescent="0.25">
      <c r="B230" s="112">
        <v>60884</v>
      </c>
      <c r="C230" s="26">
        <v>45854</v>
      </c>
      <c r="D230" s="27">
        <v>4610</v>
      </c>
      <c r="E230" s="28">
        <v>96</v>
      </c>
      <c r="F230" s="28">
        <f t="shared" si="18"/>
        <v>442560</v>
      </c>
      <c r="G230" s="28">
        <f t="shared" si="16"/>
        <v>526646.4</v>
      </c>
      <c r="H230" s="29">
        <v>1</v>
      </c>
      <c r="I230" s="30">
        <v>750000</v>
      </c>
      <c r="J230" s="30">
        <f t="shared" si="17"/>
        <v>1192560</v>
      </c>
      <c r="K230" s="168"/>
      <c r="L230" s="168"/>
      <c r="M230" s="169"/>
      <c r="N230" s="168"/>
      <c r="O230" s="169"/>
      <c r="P230" s="168"/>
      <c r="Q230" s="168"/>
      <c r="R230" s="168"/>
    </row>
    <row r="231" spans="2:18" x14ac:dyDescent="0.25">
      <c r="B231" s="112">
        <v>60885</v>
      </c>
      <c r="C231" s="26">
        <v>45855</v>
      </c>
      <c r="D231" s="27">
        <v>3620</v>
      </c>
      <c r="E231" s="28">
        <v>96</v>
      </c>
      <c r="F231" s="28">
        <f t="shared" si="18"/>
        <v>347520</v>
      </c>
      <c r="G231" s="28">
        <f t="shared" si="16"/>
        <v>413548.79999999999</v>
      </c>
      <c r="H231" s="29">
        <v>1</v>
      </c>
      <c r="I231" s="30">
        <v>750000</v>
      </c>
      <c r="J231" s="30">
        <f t="shared" si="17"/>
        <v>1097520</v>
      </c>
      <c r="K231" s="168"/>
      <c r="L231" s="168"/>
      <c r="M231" s="169"/>
      <c r="N231" s="168"/>
      <c r="O231" s="169"/>
      <c r="P231" s="168"/>
      <c r="Q231" s="168"/>
      <c r="R231" s="168"/>
    </row>
    <row r="232" spans="2:18" x14ac:dyDescent="0.25">
      <c r="B232" s="112">
        <v>60886</v>
      </c>
      <c r="C232" s="26">
        <v>45856</v>
      </c>
      <c r="D232" s="27">
        <v>5160</v>
      </c>
      <c r="E232" s="28">
        <v>96</v>
      </c>
      <c r="F232" s="28">
        <f t="shared" si="18"/>
        <v>495360</v>
      </c>
      <c r="G232" s="28">
        <f t="shared" si="16"/>
        <v>589478.40000000002</v>
      </c>
      <c r="H232" s="29">
        <v>1</v>
      </c>
      <c r="I232" s="30">
        <v>750000</v>
      </c>
      <c r="J232" s="30">
        <f t="shared" si="17"/>
        <v>1245360</v>
      </c>
      <c r="K232" s="168"/>
      <c r="L232" s="168"/>
      <c r="M232" s="169"/>
      <c r="N232" s="168"/>
      <c r="O232" s="169"/>
      <c r="P232" s="168"/>
      <c r="Q232" s="168"/>
      <c r="R232" s="168"/>
    </row>
    <row r="233" spans="2:18" x14ac:dyDescent="0.25">
      <c r="B233" s="112">
        <v>60887</v>
      </c>
      <c r="C233" s="26">
        <v>45857</v>
      </c>
      <c r="D233" s="27">
        <v>3830</v>
      </c>
      <c r="E233" s="28">
        <v>96</v>
      </c>
      <c r="F233" s="28">
        <f t="shared" si="18"/>
        <v>367680</v>
      </c>
      <c r="G233" s="28">
        <f t="shared" si="16"/>
        <v>437539.19999999995</v>
      </c>
      <c r="H233" s="29">
        <v>1</v>
      </c>
      <c r="I233" s="30">
        <v>750000</v>
      </c>
      <c r="J233" s="30">
        <f t="shared" si="17"/>
        <v>1117680</v>
      </c>
      <c r="K233" s="168"/>
      <c r="L233" s="168"/>
      <c r="M233" s="169"/>
      <c r="N233" s="168"/>
      <c r="O233" s="169"/>
      <c r="P233" s="168"/>
      <c r="Q233" s="168"/>
      <c r="R233" s="168"/>
    </row>
    <row r="234" spans="2:18" x14ac:dyDescent="0.25">
      <c r="B234" s="112">
        <v>60888</v>
      </c>
      <c r="C234" s="26">
        <v>45859</v>
      </c>
      <c r="D234" s="27">
        <v>3800</v>
      </c>
      <c r="E234" s="28">
        <v>96</v>
      </c>
      <c r="F234" s="28">
        <f t="shared" si="18"/>
        <v>364800</v>
      </c>
      <c r="G234" s="28">
        <f t="shared" si="16"/>
        <v>434112</v>
      </c>
      <c r="H234" s="29">
        <v>1</v>
      </c>
      <c r="I234" s="30">
        <v>750000</v>
      </c>
      <c r="J234" s="30">
        <f t="shared" si="17"/>
        <v>1114800</v>
      </c>
      <c r="K234" s="168"/>
      <c r="L234" s="168"/>
      <c r="M234" s="169"/>
      <c r="N234" s="168"/>
      <c r="O234" s="169"/>
      <c r="P234" s="168"/>
      <c r="Q234" s="168"/>
      <c r="R234" s="168"/>
    </row>
    <row r="235" spans="2:18" x14ac:dyDescent="0.25">
      <c r="B235" s="112">
        <v>60889</v>
      </c>
      <c r="C235" s="26">
        <v>45861</v>
      </c>
      <c r="D235" s="27">
        <v>1930</v>
      </c>
      <c r="E235" s="28">
        <v>96</v>
      </c>
      <c r="F235" s="28">
        <f t="shared" si="18"/>
        <v>185280</v>
      </c>
      <c r="G235" s="28">
        <f t="shared" si="16"/>
        <v>220483.19999999998</v>
      </c>
      <c r="H235" s="29">
        <v>1</v>
      </c>
      <c r="I235" s="30">
        <v>750000</v>
      </c>
      <c r="J235" s="30">
        <f t="shared" si="17"/>
        <v>935280</v>
      </c>
      <c r="K235" s="168"/>
      <c r="L235" s="168"/>
      <c r="M235" s="169"/>
      <c r="N235" s="168"/>
      <c r="O235" s="169"/>
      <c r="P235" s="168"/>
      <c r="Q235" s="168"/>
      <c r="R235" s="168"/>
    </row>
    <row r="236" spans="2:18" x14ac:dyDescent="0.25">
      <c r="B236" s="112">
        <v>60890</v>
      </c>
      <c r="C236" s="26">
        <v>45862</v>
      </c>
      <c r="D236" s="27">
        <v>5860</v>
      </c>
      <c r="E236" s="28">
        <v>96</v>
      </c>
      <c r="F236" s="28">
        <f t="shared" si="18"/>
        <v>562560</v>
      </c>
      <c r="G236" s="28">
        <f t="shared" si="16"/>
        <v>669446.40000000002</v>
      </c>
      <c r="H236" s="29">
        <v>1</v>
      </c>
      <c r="I236" s="30">
        <v>750000</v>
      </c>
      <c r="J236" s="30">
        <f t="shared" si="17"/>
        <v>1312560</v>
      </c>
      <c r="K236" s="168"/>
      <c r="L236" s="168"/>
      <c r="M236" s="169"/>
      <c r="N236" s="168"/>
      <c r="O236" s="169"/>
      <c r="P236" s="168"/>
      <c r="Q236" s="168"/>
      <c r="R236" s="168"/>
    </row>
    <row r="237" spans="2:18" x14ac:dyDescent="0.25">
      <c r="B237" s="112">
        <v>60891</v>
      </c>
      <c r="C237" s="26">
        <v>45863</v>
      </c>
      <c r="D237" s="27">
        <v>3580</v>
      </c>
      <c r="E237" s="28">
        <v>96</v>
      </c>
      <c r="F237" s="28">
        <f t="shared" si="18"/>
        <v>343680</v>
      </c>
      <c r="G237" s="28">
        <f t="shared" si="16"/>
        <v>408979.19999999995</v>
      </c>
      <c r="H237" s="29">
        <v>1</v>
      </c>
      <c r="I237" s="30">
        <v>750000</v>
      </c>
      <c r="J237" s="30">
        <f t="shared" si="17"/>
        <v>1093680</v>
      </c>
      <c r="K237" s="168"/>
      <c r="L237" s="168"/>
      <c r="M237" s="169"/>
      <c r="N237" s="168"/>
      <c r="O237" s="169"/>
      <c r="P237" s="168"/>
      <c r="Q237" s="168"/>
      <c r="R237" s="168"/>
    </row>
    <row r="238" spans="2:18" x14ac:dyDescent="0.25">
      <c r="B238" s="112">
        <v>60892</v>
      </c>
      <c r="C238" s="26">
        <v>45866</v>
      </c>
      <c r="D238" s="27">
        <v>5740</v>
      </c>
      <c r="E238" s="28">
        <v>96</v>
      </c>
      <c r="F238" s="28">
        <f t="shared" si="18"/>
        <v>551040</v>
      </c>
      <c r="G238" s="28">
        <f t="shared" si="16"/>
        <v>655737.59999999998</v>
      </c>
      <c r="H238" s="29">
        <v>1</v>
      </c>
      <c r="I238" s="30">
        <v>750000</v>
      </c>
      <c r="J238" s="30">
        <f t="shared" si="17"/>
        <v>1301040</v>
      </c>
      <c r="K238" s="168"/>
      <c r="L238" s="168"/>
      <c r="M238" s="169"/>
      <c r="N238" s="168"/>
      <c r="O238" s="169"/>
      <c r="P238" s="168"/>
      <c r="Q238" s="168"/>
      <c r="R238" s="168"/>
    </row>
    <row r="239" spans="2:18" x14ac:dyDescent="0.25">
      <c r="B239" s="112">
        <v>60893</v>
      </c>
      <c r="C239" s="26">
        <v>45867</v>
      </c>
      <c r="D239" s="27">
        <v>5130</v>
      </c>
      <c r="E239" s="28">
        <v>96</v>
      </c>
      <c r="F239" s="28">
        <f t="shared" si="18"/>
        <v>492480</v>
      </c>
      <c r="G239" s="28">
        <f t="shared" si="16"/>
        <v>586051.19999999995</v>
      </c>
      <c r="H239" s="29">
        <v>1</v>
      </c>
      <c r="I239" s="30">
        <v>750000</v>
      </c>
      <c r="J239" s="30">
        <f t="shared" si="17"/>
        <v>1242480</v>
      </c>
      <c r="K239" s="168"/>
      <c r="L239" s="168"/>
      <c r="M239" s="169"/>
      <c r="N239" s="168"/>
      <c r="O239" s="169"/>
      <c r="P239" s="168"/>
      <c r="Q239" s="168"/>
      <c r="R239" s="168"/>
    </row>
    <row r="240" spans="2:18" x14ac:dyDescent="0.25">
      <c r="B240" s="112">
        <v>60895</v>
      </c>
      <c r="C240" s="26">
        <v>45868</v>
      </c>
      <c r="D240" s="27">
        <v>3900</v>
      </c>
      <c r="E240" s="28">
        <v>96</v>
      </c>
      <c r="F240" s="28">
        <f t="shared" si="18"/>
        <v>374400</v>
      </c>
      <c r="G240" s="28">
        <f t="shared" si="16"/>
        <v>445536</v>
      </c>
      <c r="H240" s="29">
        <v>1</v>
      </c>
      <c r="I240" s="30">
        <v>750000</v>
      </c>
      <c r="J240" s="30">
        <f t="shared" si="17"/>
        <v>1124400</v>
      </c>
      <c r="K240" s="168"/>
      <c r="L240" s="168"/>
      <c r="M240" s="169"/>
      <c r="N240" s="168"/>
      <c r="O240" s="169"/>
      <c r="P240" s="168"/>
      <c r="Q240" s="168"/>
      <c r="R240" s="168"/>
    </row>
    <row r="241" spans="2:18" x14ac:dyDescent="0.25">
      <c r="B241" s="112">
        <v>60894</v>
      </c>
      <c r="C241" s="26">
        <v>45868</v>
      </c>
      <c r="D241" s="27">
        <v>5510</v>
      </c>
      <c r="E241" s="28">
        <v>96</v>
      </c>
      <c r="F241" s="28">
        <f t="shared" si="18"/>
        <v>528960</v>
      </c>
      <c r="G241" s="28">
        <f t="shared" si="16"/>
        <v>629462.4</v>
      </c>
      <c r="H241" s="29">
        <v>1</v>
      </c>
      <c r="I241" s="30">
        <v>750000</v>
      </c>
      <c r="J241" s="30">
        <f t="shared" si="17"/>
        <v>1278960</v>
      </c>
      <c r="K241" s="168"/>
      <c r="L241" s="168"/>
      <c r="M241" s="169"/>
      <c r="N241" s="168"/>
      <c r="O241" s="169"/>
      <c r="P241" s="168"/>
      <c r="Q241" s="168"/>
      <c r="R241" s="168"/>
    </row>
    <row r="242" spans="2:18" x14ac:dyDescent="0.25">
      <c r="B242" s="112">
        <v>60896</v>
      </c>
      <c r="C242" s="26">
        <v>45869</v>
      </c>
      <c r="D242" s="27">
        <v>5040</v>
      </c>
      <c r="E242" s="28">
        <v>96</v>
      </c>
      <c r="F242" s="28">
        <f t="shared" si="18"/>
        <v>483840</v>
      </c>
      <c r="G242" s="28">
        <f t="shared" si="16"/>
        <v>575769.59999999998</v>
      </c>
      <c r="H242" s="29">
        <v>1</v>
      </c>
      <c r="I242" s="30">
        <v>750000</v>
      </c>
      <c r="J242" s="30">
        <f t="shared" si="17"/>
        <v>1233840</v>
      </c>
      <c r="K242" s="168"/>
      <c r="L242" s="168"/>
      <c r="M242" s="169"/>
      <c r="N242" s="168"/>
      <c r="O242" s="169"/>
      <c r="P242" s="168"/>
      <c r="Q242" s="168"/>
      <c r="R242" s="168"/>
    </row>
    <row r="243" spans="2:18" x14ac:dyDescent="0.25">
      <c r="B243" s="112">
        <v>60897</v>
      </c>
      <c r="C243" s="26">
        <v>45869</v>
      </c>
      <c r="D243" s="27">
        <v>4270</v>
      </c>
      <c r="E243" s="28">
        <v>96</v>
      </c>
      <c r="F243" s="28">
        <f t="shared" si="18"/>
        <v>409920</v>
      </c>
      <c r="G243" s="28">
        <f t="shared" si="16"/>
        <v>487804.8</v>
      </c>
      <c r="H243" s="29">
        <v>1</v>
      </c>
      <c r="I243" s="30">
        <v>750000</v>
      </c>
      <c r="J243" s="30">
        <f t="shared" si="17"/>
        <v>1159920</v>
      </c>
      <c r="K243" s="168"/>
      <c r="L243" s="168"/>
      <c r="M243" s="169"/>
      <c r="N243" s="168"/>
      <c r="O243" s="169"/>
      <c r="P243" s="168"/>
      <c r="Q243" s="168"/>
      <c r="R243" s="168"/>
    </row>
  </sheetData>
  <autoFilter ref="K1:Q1" xr:uid="{8E15C651-2D70-4E26-9C1B-259BF9E02942}"/>
  <mergeCells count="71">
    <mergeCell ref="P210:P243"/>
    <mergeCell ref="Q210:Q243"/>
    <mergeCell ref="R210:R243"/>
    <mergeCell ref="K177:K209"/>
    <mergeCell ref="L177:L209"/>
    <mergeCell ref="M177:M209"/>
    <mergeCell ref="N177:N209"/>
    <mergeCell ref="O177:O209"/>
    <mergeCell ref="P177:P209"/>
    <mergeCell ref="Q177:Q209"/>
    <mergeCell ref="R177:R209"/>
    <mergeCell ref="K210:K243"/>
    <mergeCell ref="L210:L243"/>
    <mergeCell ref="M210:M243"/>
    <mergeCell ref="N210:N243"/>
    <mergeCell ref="O210:O243"/>
    <mergeCell ref="A177:A209"/>
    <mergeCell ref="N60:N83"/>
    <mergeCell ref="A114:A142"/>
    <mergeCell ref="A143:A176"/>
    <mergeCell ref="N143:N176"/>
    <mergeCell ref="K114:K142"/>
    <mergeCell ref="L114:L142"/>
    <mergeCell ref="M114:M142"/>
    <mergeCell ref="N114:N142"/>
    <mergeCell ref="K143:K176"/>
    <mergeCell ref="L143:L176"/>
    <mergeCell ref="M143:M176"/>
    <mergeCell ref="O84:O113"/>
    <mergeCell ref="P84:P113"/>
    <mergeCell ref="Q143:Q176"/>
    <mergeCell ref="R143:R176"/>
    <mergeCell ref="Q84:Q113"/>
    <mergeCell ref="R84:R113"/>
    <mergeCell ref="Q114:Q142"/>
    <mergeCell ref="R114:R142"/>
    <mergeCell ref="O143:O176"/>
    <mergeCell ref="P143:P176"/>
    <mergeCell ref="O114:O142"/>
    <mergeCell ref="P114:P142"/>
    <mergeCell ref="A2:A30"/>
    <mergeCell ref="K2:K30"/>
    <mergeCell ref="L2:L30"/>
    <mergeCell ref="M2:M30"/>
    <mergeCell ref="N2:N30"/>
    <mergeCell ref="P2:P30"/>
    <mergeCell ref="O60:O83"/>
    <mergeCell ref="P60:P83"/>
    <mergeCell ref="Q2:Q30"/>
    <mergeCell ref="R2:R30"/>
    <mergeCell ref="O2:O30"/>
    <mergeCell ref="O31:O59"/>
    <mergeCell ref="P31:P59"/>
    <mergeCell ref="Q31:Q59"/>
    <mergeCell ref="R31:R59"/>
    <mergeCell ref="Q60:Q83"/>
    <mergeCell ref="R60:R83"/>
    <mergeCell ref="M31:M59"/>
    <mergeCell ref="N31:N59"/>
    <mergeCell ref="A84:A113"/>
    <mergeCell ref="K84:K113"/>
    <mergeCell ref="L84:L113"/>
    <mergeCell ref="M84:M113"/>
    <mergeCell ref="N84:N113"/>
    <mergeCell ref="M60:M83"/>
    <mergeCell ref="A31:A59"/>
    <mergeCell ref="K31:K59"/>
    <mergeCell ref="L31:L59"/>
    <mergeCell ref="A60:A83"/>
    <mergeCell ref="K60:K83"/>
    <mergeCell ref="L60:L83"/>
  </mergeCells>
  <phoneticPr fontId="4" type="noConversion"/>
  <pageMargins left="0.7" right="0.7" top="0.75" bottom="0.75" header="0.3" footer="0.3"/>
  <pageSetup paperSize="9" orientation="portrait" r:id="rId1"/>
  <ignoredErrors>
    <ignoredError sqref="H2:H30 B2:B30 D2:D30" calculatedColumn="1"/>
  </ignoredError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CBE8D-BD71-4735-81D4-6E024C30AB88}">
  <dimension ref="A1:N59"/>
  <sheetViews>
    <sheetView showGridLines="0" zoomScale="115" zoomScaleNormal="115" workbookViewId="0">
      <pane xSplit="1" ySplit="1" topLeftCell="E41" activePane="bottomRight" state="frozen"/>
      <selection pane="topRight" activeCell="B1" sqref="B1"/>
      <selection pane="bottomLeft" activeCell="A2" sqref="A2"/>
      <selection pane="bottomRight" activeCell="J52" sqref="J52:J59"/>
    </sheetView>
  </sheetViews>
  <sheetFormatPr baseColWidth="10" defaultRowHeight="14.3" x14ac:dyDescent="0.25"/>
  <cols>
    <col min="1" max="1" width="12.25" customWidth="1"/>
    <col min="2" max="2" width="9.375" style="2" customWidth="1"/>
    <col min="3" max="3" width="15.375" style="3" customWidth="1"/>
    <col min="4" max="4" width="7.125" style="4" customWidth="1"/>
    <col min="5" max="5" width="8.25" style="4" customWidth="1"/>
    <col min="6" max="6" width="11.625" style="4" customWidth="1"/>
    <col min="7" max="7" width="16.75" style="4" customWidth="1"/>
    <col min="8" max="8" width="20.625" style="4" customWidth="1"/>
    <col min="9" max="9" width="13.25" style="4" customWidth="1"/>
    <col min="10" max="10" width="14.125" style="7" customWidth="1"/>
    <col min="11" max="11" width="14.125" style="5" customWidth="1"/>
    <col min="12" max="12" width="15" style="5" customWidth="1"/>
    <col min="13" max="13" width="14.625" style="11" customWidth="1"/>
  </cols>
  <sheetData>
    <row r="1" spans="1:14" ht="57.75" customHeight="1" x14ac:dyDescent="0.25">
      <c r="A1" s="153">
        <v>2026</v>
      </c>
      <c r="B1" s="154" t="s">
        <v>157</v>
      </c>
      <c r="C1" s="155" t="s">
        <v>1</v>
      </c>
      <c r="D1" s="155" t="s">
        <v>32</v>
      </c>
      <c r="E1" s="155" t="s">
        <v>33</v>
      </c>
      <c r="F1" s="155" t="s">
        <v>34</v>
      </c>
      <c r="G1" s="155" t="s">
        <v>35</v>
      </c>
      <c r="H1" s="155" t="s">
        <v>36</v>
      </c>
      <c r="I1" s="155" t="s">
        <v>37</v>
      </c>
      <c r="J1" s="156" t="s">
        <v>5</v>
      </c>
      <c r="K1" s="157" t="s">
        <v>4</v>
      </c>
      <c r="L1" s="153" t="s">
        <v>2</v>
      </c>
      <c r="M1" s="153" t="s">
        <v>12</v>
      </c>
      <c r="N1" s="153" t="s">
        <v>158</v>
      </c>
    </row>
    <row r="2" spans="1:14" hidden="1" x14ac:dyDescent="0.25">
      <c r="A2" s="167" t="s">
        <v>79</v>
      </c>
      <c r="B2" s="1">
        <v>47581</v>
      </c>
      <c r="C2" s="151" t="s">
        <v>140</v>
      </c>
      <c r="D2" s="151" t="s">
        <v>20</v>
      </c>
      <c r="E2" s="151" t="s">
        <v>19</v>
      </c>
      <c r="F2" s="151" t="s">
        <v>18</v>
      </c>
      <c r="G2" s="151" t="s">
        <v>17</v>
      </c>
      <c r="H2" s="151" t="s">
        <v>187</v>
      </c>
      <c r="I2" s="151" t="s">
        <v>16</v>
      </c>
      <c r="J2" s="71">
        <v>6100</v>
      </c>
      <c r="K2" s="152">
        <v>96</v>
      </c>
      <c r="L2" s="152">
        <f>+Tabla52[[#This Row],[Cantidad Lodos Generados (Kg) ]]*Tabla52[[#This Row],[Precio Unitario Disposición ($)]]</f>
        <v>585600</v>
      </c>
      <c r="M2" s="152">
        <f>Tabla52[[#This Row],[Valor Disposición Kg ($)]]*1.19</f>
        <v>696864</v>
      </c>
      <c r="N2" s="96" t="s">
        <v>159</v>
      </c>
    </row>
    <row r="3" spans="1:14" hidden="1" x14ac:dyDescent="0.25">
      <c r="A3" s="167"/>
      <c r="B3" s="1">
        <v>47664</v>
      </c>
      <c r="C3" s="151" t="s">
        <v>141</v>
      </c>
      <c r="D3" s="151" t="s">
        <v>20</v>
      </c>
      <c r="E3" s="151" t="s">
        <v>19</v>
      </c>
      <c r="F3" s="151" t="s">
        <v>18</v>
      </c>
      <c r="G3" s="151" t="s">
        <v>17</v>
      </c>
      <c r="H3" s="151" t="s">
        <v>187</v>
      </c>
      <c r="I3" s="151" t="s">
        <v>16</v>
      </c>
      <c r="J3" s="71">
        <v>5830</v>
      </c>
      <c r="K3" s="152">
        <v>96</v>
      </c>
      <c r="L3" s="152">
        <f>+Tabla52[[#This Row],[Cantidad Lodos Generados (Kg) ]]*Tabla52[[#This Row],[Precio Unitario Disposición ($)]]</f>
        <v>559680</v>
      </c>
      <c r="M3" s="152">
        <f>Tabla52[[#This Row],[Valor Disposición Kg ($)]]*1.19</f>
        <v>666019.19999999995</v>
      </c>
      <c r="N3" s="96" t="s">
        <v>159</v>
      </c>
    </row>
    <row r="4" spans="1:14" hidden="1" x14ac:dyDescent="0.25">
      <c r="A4" s="167"/>
      <c r="B4" s="1">
        <v>47769</v>
      </c>
      <c r="C4" s="151" t="s">
        <v>142</v>
      </c>
      <c r="D4" s="151" t="s">
        <v>20</v>
      </c>
      <c r="E4" s="151" t="s">
        <v>19</v>
      </c>
      <c r="F4" s="151" t="s">
        <v>18</v>
      </c>
      <c r="G4" s="151" t="s">
        <v>17</v>
      </c>
      <c r="H4" s="151" t="s">
        <v>187</v>
      </c>
      <c r="I4" s="151" t="s">
        <v>16</v>
      </c>
      <c r="J4" s="71">
        <v>5630</v>
      </c>
      <c r="K4" s="152">
        <v>96</v>
      </c>
      <c r="L4" s="152">
        <f>+Tabla52[[#This Row],[Cantidad Lodos Generados (Kg) ]]*Tabla52[[#This Row],[Precio Unitario Disposición ($)]]</f>
        <v>540480</v>
      </c>
      <c r="M4" s="152">
        <f>Tabla52[[#This Row],[Valor Disposición Kg ($)]]*1.19</f>
        <v>643171.19999999995</v>
      </c>
      <c r="N4" s="96" t="s">
        <v>159</v>
      </c>
    </row>
    <row r="5" spans="1:14" hidden="1" x14ac:dyDescent="0.25">
      <c r="A5" s="167"/>
      <c r="B5" s="1">
        <v>47975</v>
      </c>
      <c r="C5" s="151" t="s">
        <v>143</v>
      </c>
      <c r="D5" s="151" t="s">
        <v>20</v>
      </c>
      <c r="E5" s="151" t="s">
        <v>19</v>
      </c>
      <c r="F5" s="151" t="s">
        <v>18</v>
      </c>
      <c r="G5" s="151" t="s">
        <v>17</v>
      </c>
      <c r="H5" s="151" t="s">
        <v>187</v>
      </c>
      <c r="I5" s="151" t="s">
        <v>16</v>
      </c>
      <c r="J5" s="71">
        <v>3730</v>
      </c>
      <c r="K5" s="152">
        <v>96</v>
      </c>
      <c r="L5" s="152">
        <f>+Tabla52[[#This Row],[Cantidad Lodos Generados (Kg) ]]*Tabla52[[#This Row],[Precio Unitario Disposición ($)]]</f>
        <v>358080</v>
      </c>
      <c r="M5" s="152">
        <f>Tabla52[[#This Row],[Valor Disposición Kg ($)]]*1.19</f>
        <v>426115.19999999995</v>
      </c>
      <c r="N5" s="96" t="s">
        <v>159</v>
      </c>
    </row>
    <row r="6" spans="1:14" hidden="1" x14ac:dyDescent="0.25">
      <c r="A6" s="167"/>
      <c r="B6" s="1">
        <v>47911</v>
      </c>
      <c r="C6" s="151" t="s">
        <v>144</v>
      </c>
      <c r="D6" s="151" t="s">
        <v>20</v>
      </c>
      <c r="E6" s="151" t="s">
        <v>19</v>
      </c>
      <c r="F6" s="151" t="s">
        <v>18</v>
      </c>
      <c r="G6" s="151" t="s">
        <v>17</v>
      </c>
      <c r="H6" s="151" t="s">
        <v>187</v>
      </c>
      <c r="I6" s="151" t="s">
        <v>16</v>
      </c>
      <c r="J6" s="71">
        <v>5320</v>
      </c>
      <c r="K6" s="152">
        <v>96</v>
      </c>
      <c r="L6" s="152">
        <f>+Tabla52[[#This Row],[Cantidad Lodos Generados (Kg) ]]*Tabla52[[#This Row],[Precio Unitario Disposición ($)]]</f>
        <v>510720</v>
      </c>
      <c r="M6" s="152">
        <f>Tabla52[[#This Row],[Valor Disposición Kg ($)]]*1.19</f>
        <v>607756.79999999993</v>
      </c>
      <c r="N6" s="96" t="s">
        <v>159</v>
      </c>
    </row>
    <row r="7" spans="1:14" hidden="1" x14ac:dyDescent="0.25">
      <c r="A7" s="167"/>
      <c r="B7" s="1">
        <v>48064</v>
      </c>
      <c r="C7" s="151" t="s">
        <v>145</v>
      </c>
      <c r="D7" s="151" t="s">
        <v>20</v>
      </c>
      <c r="E7" s="151" t="s">
        <v>19</v>
      </c>
      <c r="F7" s="151" t="s">
        <v>18</v>
      </c>
      <c r="G7" s="151" t="s">
        <v>17</v>
      </c>
      <c r="H7" s="151" t="s">
        <v>187</v>
      </c>
      <c r="I7" s="151" t="s">
        <v>16</v>
      </c>
      <c r="J7" s="71">
        <v>4390</v>
      </c>
      <c r="K7" s="152">
        <v>96</v>
      </c>
      <c r="L7" s="152">
        <f>+Tabla52[[#This Row],[Cantidad Lodos Generados (Kg) ]]*Tabla52[[#This Row],[Precio Unitario Disposición ($)]]</f>
        <v>421440</v>
      </c>
      <c r="M7" s="152">
        <f>Tabla52[[#This Row],[Valor Disposición Kg ($)]]*1.19</f>
        <v>501513.6</v>
      </c>
      <c r="N7" s="96" t="s">
        <v>159</v>
      </c>
    </row>
    <row r="8" spans="1:14" hidden="1" x14ac:dyDescent="0.25">
      <c r="A8" s="167"/>
      <c r="B8" s="1">
        <v>48009</v>
      </c>
      <c r="C8" s="151" t="s">
        <v>145</v>
      </c>
      <c r="D8" s="151" t="s">
        <v>20</v>
      </c>
      <c r="E8" s="151" t="s">
        <v>19</v>
      </c>
      <c r="F8" s="151" t="s">
        <v>18</v>
      </c>
      <c r="G8" s="151" t="s">
        <v>17</v>
      </c>
      <c r="H8" s="151" t="s">
        <v>187</v>
      </c>
      <c r="I8" s="151" t="s">
        <v>16</v>
      </c>
      <c r="J8" s="71">
        <v>2787.2</v>
      </c>
      <c r="K8" s="152">
        <v>96</v>
      </c>
      <c r="L8" s="152">
        <f>+Tabla52[[#This Row],[Cantidad Lodos Generados (Kg) ]]*Tabla52[[#This Row],[Precio Unitario Disposición ($)]]</f>
        <v>267571.19999999995</v>
      </c>
      <c r="M8" s="152">
        <f>Tabla52[[#This Row],[Valor Disposición Kg ($)]]*1.19</f>
        <v>318409.72799999994</v>
      </c>
      <c r="N8" s="96" t="s">
        <v>160</v>
      </c>
    </row>
    <row r="9" spans="1:14" hidden="1" x14ac:dyDescent="0.25">
      <c r="A9" s="167"/>
      <c r="B9" s="1">
        <v>47993</v>
      </c>
      <c r="C9" s="151" t="s">
        <v>145</v>
      </c>
      <c r="D9" s="151" t="s">
        <v>20</v>
      </c>
      <c r="E9" s="151" t="s">
        <v>19</v>
      </c>
      <c r="F9" s="151" t="s">
        <v>18</v>
      </c>
      <c r="G9" s="151" t="s">
        <v>17</v>
      </c>
      <c r="H9" s="151" t="s">
        <v>187</v>
      </c>
      <c r="I9" s="151" t="s">
        <v>16</v>
      </c>
      <c r="J9" s="71">
        <v>5800</v>
      </c>
      <c r="K9" s="152">
        <v>96</v>
      </c>
      <c r="L9" s="152">
        <f>+Tabla52[[#This Row],[Cantidad Lodos Generados (Kg) ]]*Tabla52[[#This Row],[Precio Unitario Disposición ($)]]</f>
        <v>556800</v>
      </c>
      <c r="M9" s="152">
        <f>Tabla52[[#This Row],[Valor Disposición Kg ($)]]*1.19</f>
        <v>662592</v>
      </c>
      <c r="N9" s="96" t="s">
        <v>159</v>
      </c>
    </row>
    <row r="10" spans="1:14" hidden="1" x14ac:dyDescent="0.25">
      <c r="A10" s="167"/>
      <c r="B10" s="1">
        <v>48054</v>
      </c>
      <c r="C10" s="151" t="s">
        <v>146</v>
      </c>
      <c r="D10" s="151" t="s">
        <v>20</v>
      </c>
      <c r="E10" s="151" t="s">
        <v>19</v>
      </c>
      <c r="F10" s="151" t="s">
        <v>18</v>
      </c>
      <c r="G10" s="151" t="s">
        <v>17</v>
      </c>
      <c r="H10" s="151" t="s">
        <v>187</v>
      </c>
      <c r="I10" s="151" t="s">
        <v>16</v>
      </c>
      <c r="J10" s="71">
        <v>5190</v>
      </c>
      <c r="K10" s="152">
        <v>96</v>
      </c>
      <c r="L10" s="152">
        <f>+Tabla52[[#This Row],[Cantidad Lodos Generados (Kg) ]]*Tabla52[[#This Row],[Precio Unitario Disposición ($)]]</f>
        <v>498240</v>
      </c>
      <c r="M10" s="152">
        <f>Tabla52[[#This Row],[Valor Disposición Kg ($)]]*1.19</f>
        <v>592905.6</v>
      </c>
      <c r="N10" s="96" t="s">
        <v>159</v>
      </c>
    </row>
    <row r="11" spans="1:14" hidden="1" x14ac:dyDescent="0.25">
      <c r="A11" s="167"/>
      <c r="B11" s="1">
        <v>48103</v>
      </c>
      <c r="C11" s="151" t="s">
        <v>147</v>
      </c>
      <c r="D11" s="151" t="s">
        <v>20</v>
      </c>
      <c r="E11" s="151" t="s">
        <v>19</v>
      </c>
      <c r="F11" s="151" t="s">
        <v>18</v>
      </c>
      <c r="G11" s="151" t="s">
        <v>17</v>
      </c>
      <c r="H11" s="151" t="s">
        <v>187</v>
      </c>
      <c r="I11" s="151" t="s">
        <v>16</v>
      </c>
      <c r="J11" s="71">
        <v>3560</v>
      </c>
      <c r="K11" s="152">
        <v>96</v>
      </c>
      <c r="L11" s="152">
        <f>+Tabla52[[#This Row],[Cantidad Lodos Generados (Kg) ]]*Tabla52[[#This Row],[Precio Unitario Disposición ($)]]</f>
        <v>341760</v>
      </c>
      <c r="M11" s="152">
        <f>Tabla52[[#This Row],[Valor Disposición Kg ($)]]*1.19</f>
        <v>406694.39999999997</v>
      </c>
      <c r="N11" s="96" t="s">
        <v>159</v>
      </c>
    </row>
    <row r="12" spans="1:14" hidden="1" x14ac:dyDescent="0.25">
      <c r="A12" s="167"/>
      <c r="B12" s="1">
        <v>48170</v>
      </c>
      <c r="C12" s="151" t="s">
        <v>148</v>
      </c>
      <c r="D12" s="151" t="s">
        <v>20</v>
      </c>
      <c r="E12" s="151" t="s">
        <v>19</v>
      </c>
      <c r="F12" s="151" t="s">
        <v>18</v>
      </c>
      <c r="G12" s="151" t="s">
        <v>17</v>
      </c>
      <c r="H12" s="151" t="s">
        <v>187</v>
      </c>
      <c r="I12" s="151" t="s">
        <v>16</v>
      </c>
      <c r="J12" s="71">
        <v>3970</v>
      </c>
      <c r="K12" s="152">
        <v>96</v>
      </c>
      <c r="L12" s="152">
        <f>+Tabla52[[#This Row],[Cantidad Lodos Generados (Kg) ]]*Tabla52[[#This Row],[Precio Unitario Disposición ($)]]</f>
        <v>381120</v>
      </c>
      <c r="M12" s="152">
        <f>Tabla52[[#This Row],[Valor Disposición Kg ($)]]*1.19</f>
        <v>453532.8</v>
      </c>
      <c r="N12" s="96" t="s">
        <v>159</v>
      </c>
    </row>
    <row r="13" spans="1:14" hidden="1" x14ac:dyDescent="0.25">
      <c r="A13" s="167"/>
      <c r="B13" s="1">
        <v>48251</v>
      </c>
      <c r="C13" s="151" t="s">
        <v>149</v>
      </c>
      <c r="D13" s="151" t="s">
        <v>20</v>
      </c>
      <c r="E13" s="151" t="s">
        <v>19</v>
      </c>
      <c r="F13" s="151" t="s">
        <v>18</v>
      </c>
      <c r="G13" s="151" t="s">
        <v>17</v>
      </c>
      <c r="H13" s="151" t="s">
        <v>187</v>
      </c>
      <c r="I13" s="151" t="s">
        <v>16</v>
      </c>
      <c r="J13" s="71">
        <v>7920</v>
      </c>
      <c r="K13" s="152">
        <v>96</v>
      </c>
      <c r="L13" s="152">
        <f>+Tabla52[[#This Row],[Cantidad Lodos Generados (Kg) ]]*Tabla52[[#This Row],[Precio Unitario Disposición ($)]]</f>
        <v>760320</v>
      </c>
      <c r="M13" s="152">
        <f>Tabla52[[#This Row],[Valor Disposición Kg ($)]]*1.19</f>
        <v>904780.79999999993</v>
      </c>
      <c r="N13" s="96" t="s">
        <v>159</v>
      </c>
    </row>
    <row r="14" spans="1:14" hidden="1" x14ac:dyDescent="0.25">
      <c r="A14" s="167"/>
      <c r="B14" s="1">
        <v>48203</v>
      </c>
      <c r="C14" s="151" t="s">
        <v>149</v>
      </c>
      <c r="D14" s="151" t="s">
        <v>20</v>
      </c>
      <c r="E14" s="151" t="s">
        <v>19</v>
      </c>
      <c r="F14" s="151" t="s">
        <v>18</v>
      </c>
      <c r="G14" s="151" t="s">
        <v>17</v>
      </c>
      <c r="H14" s="151" t="s">
        <v>187</v>
      </c>
      <c r="I14" s="151" t="s">
        <v>16</v>
      </c>
      <c r="J14" s="71">
        <v>4600</v>
      </c>
      <c r="K14" s="152">
        <v>96</v>
      </c>
      <c r="L14" s="152">
        <f>+Tabla52[[#This Row],[Cantidad Lodos Generados (Kg) ]]*Tabla52[[#This Row],[Precio Unitario Disposición ($)]]</f>
        <v>441600</v>
      </c>
      <c r="M14" s="152">
        <f>Tabla52[[#This Row],[Valor Disposición Kg ($)]]*1.19</f>
        <v>525504</v>
      </c>
      <c r="N14" s="96" t="s">
        <v>159</v>
      </c>
    </row>
    <row r="15" spans="1:14" hidden="1" x14ac:dyDescent="0.25">
      <c r="A15" s="167"/>
      <c r="B15" s="1">
        <v>48345</v>
      </c>
      <c r="C15" s="151" t="s">
        <v>150</v>
      </c>
      <c r="D15" s="151" t="s">
        <v>20</v>
      </c>
      <c r="E15" s="151" t="s">
        <v>19</v>
      </c>
      <c r="F15" s="151" t="s">
        <v>18</v>
      </c>
      <c r="G15" s="151" t="s">
        <v>17</v>
      </c>
      <c r="H15" s="151" t="s">
        <v>187</v>
      </c>
      <c r="I15" s="151" t="s">
        <v>16</v>
      </c>
      <c r="J15" s="71">
        <v>6970</v>
      </c>
      <c r="K15" s="152">
        <v>96</v>
      </c>
      <c r="L15" s="152">
        <f>+Tabla52[[#This Row],[Cantidad Lodos Generados (Kg) ]]*Tabla52[[#This Row],[Precio Unitario Disposición ($)]]</f>
        <v>669120</v>
      </c>
      <c r="M15" s="152">
        <f>Tabla52[[#This Row],[Valor Disposición Kg ($)]]*1.19</f>
        <v>796252.79999999993</v>
      </c>
      <c r="N15" s="96" t="s">
        <v>159</v>
      </c>
    </row>
    <row r="16" spans="1:14" hidden="1" x14ac:dyDescent="0.25">
      <c r="A16" s="167"/>
      <c r="B16" s="1">
        <v>48371</v>
      </c>
      <c r="C16" s="151" t="s">
        <v>151</v>
      </c>
      <c r="D16" s="151" t="s">
        <v>20</v>
      </c>
      <c r="E16" s="151" t="s">
        <v>19</v>
      </c>
      <c r="F16" s="151" t="s">
        <v>18</v>
      </c>
      <c r="G16" s="151" t="s">
        <v>17</v>
      </c>
      <c r="H16" s="151" t="s">
        <v>187</v>
      </c>
      <c r="I16" s="151" t="s">
        <v>16</v>
      </c>
      <c r="J16" s="71">
        <v>5370</v>
      </c>
      <c r="K16" s="152">
        <v>96</v>
      </c>
      <c r="L16" s="152">
        <f>+Tabla52[[#This Row],[Cantidad Lodos Generados (Kg) ]]*Tabla52[[#This Row],[Precio Unitario Disposición ($)]]</f>
        <v>515520</v>
      </c>
      <c r="M16" s="152">
        <f>Tabla52[[#This Row],[Valor Disposición Kg ($)]]*1.19</f>
        <v>613468.79999999993</v>
      </c>
      <c r="N16" s="96" t="s">
        <v>159</v>
      </c>
    </row>
    <row r="17" spans="1:14" hidden="1" x14ac:dyDescent="0.25">
      <c r="A17" s="167"/>
      <c r="B17" s="1">
        <v>48480</v>
      </c>
      <c r="C17" s="151" t="s">
        <v>152</v>
      </c>
      <c r="D17" s="151" t="s">
        <v>20</v>
      </c>
      <c r="E17" s="151" t="s">
        <v>19</v>
      </c>
      <c r="F17" s="151" t="s">
        <v>18</v>
      </c>
      <c r="G17" s="151" t="s">
        <v>17</v>
      </c>
      <c r="H17" s="151" t="s">
        <v>187</v>
      </c>
      <c r="I17" s="151" t="s">
        <v>16</v>
      </c>
      <c r="J17" s="71">
        <v>5730</v>
      </c>
      <c r="K17" s="152">
        <v>96</v>
      </c>
      <c r="L17" s="152">
        <f>+Tabla52[[#This Row],[Cantidad Lodos Generados (Kg) ]]*Tabla52[[#This Row],[Precio Unitario Disposición ($)]]</f>
        <v>550080</v>
      </c>
      <c r="M17" s="152">
        <f>Tabla52[[#This Row],[Valor Disposición Kg ($)]]*1.19</f>
        <v>654595.19999999995</v>
      </c>
      <c r="N17" s="96" t="s">
        <v>159</v>
      </c>
    </row>
    <row r="18" spans="1:14" hidden="1" x14ac:dyDescent="0.25">
      <c r="A18" s="167"/>
      <c r="B18" s="1">
        <v>48638</v>
      </c>
      <c r="C18" s="151" t="s">
        <v>153</v>
      </c>
      <c r="D18" s="151" t="s">
        <v>20</v>
      </c>
      <c r="E18" s="151" t="s">
        <v>19</v>
      </c>
      <c r="F18" s="151" t="s">
        <v>18</v>
      </c>
      <c r="G18" s="151" t="s">
        <v>17</v>
      </c>
      <c r="H18" s="151" t="s">
        <v>187</v>
      </c>
      <c r="I18" s="151" t="s">
        <v>16</v>
      </c>
      <c r="J18" s="71">
        <v>3466.2</v>
      </c>
      <c r="K18" s="152">
        <v>96</v>
      </c>
      <c r="L18" s="152">
        <f>+Tabla52[[#This Row],[Cantidad Lodos Generados (Kg) ]]*Tabla52[[#This Row],[Precio Unitario Disposición ($)]]</f>
        <v>332755.19999999995</v>
      </c>
      <c r="M18" s="152">
        <f>Tabla52[[#This Row],[Valor Disposición Kg ($)]]*1.19</f>
        <v>395978.68799999991</v>
      </c>
      <c r="N18" s="96" t="s">
        <v>160</v>
      </c>
    </row>
    <row r="19" spans="1:14" hidden="1" x14ac:dyDescent="0.25">
      <c r="A19" s="167"/>
      <c r="B19" s="1">
        <v>48608</v>
      </c>
      <c r="C19" s="151" t="s">
        <v>153</v>
      </c>
      <c r="D19" s="151" t="s">
        <v>20</v>
      </c>
      <c r="E19" s="151" t="s">
        <v>19</v>
      </c>
      <c r="F19" s="151" t="s">
        <v>18</v>
      </c>
      <c r="G19" s="151" t="s">
        <v>17</v>
      </c>
      <c r="H19" s="151" t="s">
        <v>187</v>
      </c>
      <c r="I19" s="151" t="s">
        <v>16</v>
      </c>
      <c r="J19" s="71">
        <v>5020</v>
      </c>
      <c r="K19" s="152">
        <v>96</v>
      </c>
      <c r="L19" s="152">
        <f>+Tabla52[[#This Row],[Cantidad Lodos Generados (Kg) ]]*Tabla52[[#This Row],[Precio Unitario Disposición ($)]]</f>
        <v>481920</v>
      </c>
      <c r="M19" s="152">
        <f>Tabla52[[#This Row],[Valor Disposición Kg ($)]]*1.19</f>
        <v>573484.79999999993</v>
      </c>
      <c r="N19" s="96" t="s">
        <v>159</v>
      </c>
    </row>
    <row r="20" spans="1:14" hidden="1" x14ac:dyDescent="0.25">
      <c r="A20" s="167"/>
      <c r="B20" s="1">
        <v>48675</v>
      </c>
      <c r="C20" s="151" t="s">
        <v>154</v>
      </c>
      <c r="D20" s="151" t="s">
        <v>20</v>
      </c>
      <c r="E20" s="151" t="s">
        <v>19</v>
      </c>
      <c r="F20" s="151" t="s">
        <v>18</v>
      </c>
      <c r="G20" s="151" t="s">
        <v>17</v>
      </c>
      <c r="H20" s="151" t="s">
        <v>187</v>
      </c>
      <c r="I20" s="151" t="s">
        <v>16</v>
      </c>
      <c r="J20" s="71">
        <v>4380</v>
      </c>
      <c r="K20" s="152">
        <v>96</v>
      </c>
      <c r="L20" s="152">
        <f>+Tabla52[[#This Row],[Cantidad Lodos Generados (Kg) ]]*Tabla52[[#This Row],[Precio Unitario Disposición ($)]]</f>
        <v>420480</v>
      </c>
      <c r="M20" s="152">
        <f>Tabla52[[#This Row],[Valor Disposición Kg ($)]]*1.19</f>
        <v>500371.19999999995</v>
      </c>
      <c r="N20" s="96" t="s">
        <v>159</v>
      </c>
    </row>
    <row r="21" spans="1:14" hidden="1" x14ac:dyDescent="0.25">
      <c r="A21" s="167"/>
      <c r="B21" s="1">
        <v>48743</v>
      </c>
      <c r="C21" s="151" t="s">
        <v>155</v>
      </c>
      <c r="D21" s="151" t="s">
        <v>20</v>
      </c>
      <c r="E21" s="151" t="s">
        <v>19</v>
      </c>
      <c r="F21" s="151" t="s">
        <v>18</v>
      </c>
      <c r="G21" s="151" t="s">
        <v>17</v>
      </c>
      <c r="H21" s="151" t="s">
        <v>187</v>
      </c>
      <c r="I21" s="151" t="s">
        <v>16</v>
      </c>
      <c r="J21" s="71">
        <v>5670</v>
      </c>
      <c r="K21" s="152">
        <v>96</v>
      </c>
      <c r="L21" s="152">
        <f>+Tabla52[[#This Row],[Cantidad Lodos Generados (Kg) ]]*Tabla52[[#This Row],[Precio Unitario Disposición ($)]]</f>
        <v>544320</v>
      </c>
      <c r="M21" s="152">
        <f>Tabla52[[#This Row],[Valor Disposición Kg ($)]]*1.19</f>
        <v>647740.79999999993</v>
      </c>
      <c r="N21" s="96" t="s">
        <v>159</v>
      </c>
    </row>
    <row r="22" spans="1:14" hidden="1" x14ac:dyDescent="0.25">
      <c r="A22" s="167"/>
      <c r="B22" s="1">
        <v>48843</v>
      </c>
      <c r="C22" s="151" t="s">
        <v>156</v>
      </c>
      <c r="D22" s="151" t="s">
        <v>20</v>
      </c>
      <c r="E22" s="151" t="s">
        <v>19</v>
      </c>
      <c r="F22" s="151" t="s">
        <v>18</v>
      </c>
      <c r="G22" s="151" t="s">
        <v>17</v>
      </c>
      <c r="H22" s="151" t="s">
        <v>187</v>
      </c>
      <c r="I22" s="151" t="s">
        <v>16</v>
      </c>
      <c r="J22" s="71">
        <v>4100</v>
      </c>
      <c r="K22" s="152">
        <v>96</v>
      </c>
      <c r="L22" s="152">
        <f>+Tabla52[[#This Row],[Cantidad Lodos Generados (Kg) ]]*Tabla52[[#This Row],[Precio Unitario Disposición ($)]]</f>
        <v>393600</v>
      </c>
      <c r="M22" s="150">
        <f t="shared" ref="M22:M51" si="0">+L22*1.19</f>
        <v>468384</v>
      </c>
      <c r="N22" s="96" t="s">
        <v>159</v>
      </c>
    </row>
    <row r="23" spans="1:14" hidden="1" x14ac:dyDescent="0.25">
      <c r="A23" s="167" t="s">
        <v>80</v>
      </c>
      <c r="B23" s="158">
        <v>48961</v>
      </c>
      <c r="C23" s="148" t="s">
        <v>161</v>
      </c>
      <c r="D23" s="148" t="s">
        <v>20</v>
      </c>
      <c r="E23" s="148" t="s">
        <v>19</v>
      </c>
      <c r="F23" s="148" t="s">
        <v>18</v>
      </c>
      <c r="G23" s="148" t="s">
        <v>17</v>
      </c>
      <c r="H23" s="148" t="s">
        <v>187</v>
      </c>
      <c r="I23" s="148" t="s">
        <v>16</v>
      </c>
      <c r="J23" s="149">
        <v>5260</v>
      </c>
      <c r="K23" s="150">
        <v>96</v>
      </c>
      <c r="L23" s="150">
        <f t="shared" ref="L23:L51" si="1">+J23*K23</f>
        <v>504960</v>
      </c>
      <c r="M23" s="150">
        <f t="shared" si="0"/>
        <v>600902.40000000002</v>
      </c>
      <c r="N23" s="159" t="s">
        <v>159</v>
      </c>
    </row>
    <row r="24" spans="1:14" hidden="1" x14ac:dyDescent="0.25">
      <c r="A24" s="167"/>
      <c r="B24" s="158">
        <v>49062</v>
      </c>
      <c r="C24" s="148" t="s">
        <v>162</v>
      </c>
      <c r="D24" s="148" t="s">
        <v>20</v>
      </c>
      <c r="E24" s="148" t="s">
        <v>19</v>
      </c>
      <c r="F24" s="148" t="s">
        <v>18</v>
      </c>
      <c r="G24" s="148" t="s">
        <v>17</v>
      </c>
      <c r="H24" s="148" t="s">
        <v>187</v>
      </c>
      <c r="I24" s="148" t="s">
        <v>16</v>
      </c>
      <c r="J24" s="149">
        <v>5860</v>
      </c>
      <c r="K24" s="150">
        <v>96</v>
      </c>
      <c r="L24" s="150">
        <f t="shared" si="1"/>
        <v>562560</v>
      </c>
      <c r="M24" s="150">
        <f t="shared" si="0"/>
        <v>669446.40000000002</v>
      </c>
      <c r="N24" s="159" t="s">
        <v>159</v>
      </c>
    </row>
    <row r="25" spans="1:14" hidden="1" x14ac:dyDescent="0.25">
      <c r="A25" s="167"/>
      <c r="B25" s="158">
        <v>49174</v>
      </c>
      <c r="C25" s="148" t="s">
        <v>163</v>
      </c>
      <c r="D25" s="148" t="s">
        <v>20</v>
      </c>
      <c r="E25" s="148" t="s">
        <v>19</v>
      </c>
      <c r="F25" s="148" t="s">
        <v>18</v>
      </c>
      <c r="G25" s="148" t="s">
        <v>17</v>
      </c>
      <c r="H25" s="148" t="s">
        <v>187</v>
      </c>
      <c r="I25" s="148" t="s">
        <v>16</v>
      </c>
      <c r="J25" s="149">
        <v>4610</v>
      </c>
      <c r="K25" s="150">
        <v>96</v>
      </c>
      <c r="L25" s="150">
        <f t="shared" si="1"/>
        <v>442560</v>
      </c>
      <c r="M25" s="150">
        <f t="shared" si="0"/>
        <v>526646.4</v>
      </c>
      <c r="N25" s="159" t="s">
        <v>159</v>
      </c>
    </row>
    <row r="26" spans="1:14" hidden="1" x14ac:dyDescent="0.25">
      <c r="A26" s="167"/>
      <c r="B26" s="158">
        <v>49123</v>
      </c>
      <c r="C26" s="148" t="s">
        <v>163</v>
      </c>
      <c r="D26" s="148" t="s">
        <v>20</v>
      </c>
      <c r="E26" s="148" t="s">
        <v>19</v>
      </c>
      <c r="F26" s="148" t="s">
        <v>18</v>
      </c>
      <c r="G26" s="148" t="s">
        <v>17</v>
      </c>
      <c r="H26" s="148" t="s">
        <v>187</v>
      </c>
      <c r="I26" s="148" t="s">
        <v>16</v>
      </c>
      <c r="J26" s="149">
        <v>5490</v>
      </c>
      <c r="K26" s="150">
        <v>96</v>
      </c>
      <c r="L26" s="150">
        <f t="shared" si="1"/>
        <v>527040</v>
      </c>
      <c r="M26" s="150">
        <f t="shared" si="0"/>
        <v>627177.6</v>
      </c>
      <c r="N26" s="159" t="s">
        <v>159</v>
      </c>
    </row>
    <row r="27" spans="1:14" hidden="1" x14ac:dyDescent="0.25">
      <c r="A27" s="167"/>
      <c r="B27" s="158">
        <v>49096</v>
      </c>
      <c r="C27" s="148" t="s">
        <v>163</v>
      </c>
      <c r="D27" s="148" t="s">
        <v>20</v>
      </c>
      <c r="E27" s="148" t="s">
        <v>19</v>
      </c>
      <c r="F27" s="148" t="s">
        <v>18</v>
      </c>
      <c r="G27" s="148" t="s">
        <v>17</v>
      </c>
      <c r="H27" s="148" t="s">
        <v>187</v>
      </c>
      <c r="I27" s="148" t="s">
        <v>16</v>
      </c>
      <c r="J27" s="149">
        <v>5760</v>
      </c>
      <c r="K27" s="150">
        <v>96</v>
      </c>
      <c r="L27" s="150">
        <f t="shared" si="1"/>
        <v>552960</v>
      </c>
      <c r="M27" s="150">
        <f t="shared" si="0"/>
        <v>658022.40000000002</v>
      </c>
      <c r="N27" s="159" t="s">
        <v>159</v>
      </c>
    </row>
    <row r="28" spans="1:14" hidden="1" x14ac:dyDescent="0.25">
      <c r="A28" s="167"/>
      <c r="B28" s="158">
        <v>49143</v>
      </c>
      <c r="C28" s="148" t="s">
        <v>164</v>
      </c>
      <c r="D28" s="148" t="s">
        <v>20</v>
      </c>
      <c r="E28" s="148" t="s">
        <v>19</v>
      </c>
      <c r="F28" s="148" t="s">
        <v>18</v>
      </c>
      <c r="G28" s="148" t="s">
        <v>17</v>
      </c>
      <c r="H28" s="148" t="s">
        <v>187</v>
      </c>
      <c r="I28" s="148" t="s">
        <v>16</v>
      </c>
      <c r="J28" s="149">
        <v>5220</v>
      </c>
      <c r="K28" s="150">
        <v>96</v>
      </c>
      <c r="L28" s="150">
        <f t="shared" si="1"/>
        <v>501120</v>
      </c>
      <c r="M28" s="150">
        <f t="shared" si="0"/>
        <v>596332.79999999993</v>
      </c>
      <c r="N28" s="159" t="s">
        <v>159</v>
      </c>
    </row>
    <row r="29" spans="1:14" hidden="1" x14ac:dyDescent="0.25">
      <c r="A29" s="167"/>
      <c r="B29" s="158">
        <v>49211</v>
      </c>
      <c r="C29" s="148" t="s">
        <v>165</v>
      </c>
      <c r="D29" s="148" t="s">
        <v>20</v>
      </c>
      <c r="E29" s="148" t="s">
        <v>19</v>
      </c>
      <c r="F29" s="148" t="s">
        <v>18</v>
      </c>
      <c r="G29" s="148" t="s">
        <v>17</v>
      </c>
      <c r="H29" s="148" t="s">
        <v>187</v>
      </c>
      <c r="I29" s="148" t="s">
        <v>16</v>
      </c>
      <c r="J29" s="149">
        <v>4170</v>
      </c>
      <c r="K29" s="150">
        <v>96</v>
      </c>
      <c r="L29" s="150">
        <f t="shared" si="1"/>
        <v>400320</v>
      </c>
      <c r="M29" s="150">
        <f t="shared" si="0"/>
        <v>476380.8</v>
      </c>
      <c r="N29" s="159" t="s">
        <v>159</v>
      </c>
    </row>
    <row r="30" spans="1:14" hidden="1" x14ac:dyDescent="0.25">
      <c r="A30" s="167"/>
      <c r="B30" s="158">
        <v>49265</v>
      </c>
      <c r="C30" s="148" t="s">
        <v>166</v>
      </c>
      <c r="D30" s="148" t="s">
        <v>20</v>
      </c>
      <c r="E30" s="148" t="s">
        <v>19</v>
      </c>
      <c r="F30" s="148" t="s">
        <v>18</v>
      </c>
      <c r="G30" s="148" t="s">
        <v>17</v>
      </c>
      <c r="H30" s="148" t="s">
        <v>187</v>
      </c>
      <c r="I30" s="148" t="s">
        <v>16</v>
      </c>
      <c r="J30" s="149">
        <v>4960</v>
      </c>
      <c r="K30" s="150">
        <v>96</v>
      </c>
      <c r="L30" s="150">
        <f t="shared" si="1"/>
        <v>476160</v>
      </c>
      <c r="M30" s="150">
        <f t="shared" si="0"/>
        <v>566630.40000000002</v>
      </c>
      <c r="N30" s="159" t="s">
        <v>159</v>
      </c>
    </row>
    <row r="31" spans="1:14" hidden="1" x14ac:dyDescent="0.25">
      <c r="A31" s="167"/>
      <c r="B31" s="158">
        <v>49345</v>
      </c>
      <c r="C31" s="148" t="s">
        <v>167</v>
      </c>
      <c r="D31" s="148" t="s">
        <v>20</v>
      </c>
      <c r="E31" s="148" t="s">
        <v>19</v>
      </c>
      <c r="F31" s="148" t="s">
        <v>18</v>
      </c>
      <c r="G31" s="148" t="s">
        <v>17</v>
      </c>
      <c r="H31" s="148" t="s">
        <v>187</v>
      </c>
      <c r="I31" s="148" t="s">
        <v>16</v>
      </c>
      <c r="J31" s="149">
        <v>4190</v>
      </c>
      <c r="K31" s="150">
        <v>96</v>
      </c>
      <c r="L31" s="150">
        <f t="shared" si="1"/>
        <v>402240</v>
      </c>
      <c r="M31" s="150">
        <f t="shared" si="0"/>
        <v>478665.6</v>
      </c>
      <c r="N31" s="159" t="s">
        <v>159</v>
      </c>
    </row>
    <row r="32" spans="1:14" hidden="1" x14ac:dyDescent="0.25">
      <c r="A32" s="167"/>
      <c r="B32" s="158">
        <v>49470</v>
      </c>
      <c r="C32" s="148" t="s">
        <v>168</v>
      </c>
      <c r="D32" s="148" t="s">
        <v>20</v>
      </c>
      <c r="E32" s="148" t="s">
        <v>19</v>
      </c>
      <c r="F32" s="148" t="s">
        <v>18</v>
      </c>
      <c r="G32" s="148" t="s">
        <v>17</v>
      </c>
      <c r="H32" s="148" t="s">
        <v>187</v>
      </c>
      <c r="I32" s="148" t="s">
        <v>16</v>
      </c>
      <c r="J32" s="149">
        <v>5410</v>
      </c>
      <c r="K32" s="150">
        <v>96</v>
      </c>
      <c r="L32" s="150">
        <f t="shared" si="1"/>
        <v>519360</v>
      </c>
      <c r="M32" s="150">
        <f t="shared" si="0"/>
        <v>618038.4</v>
      </c>
      <c r="N32" s="159" t="s">
        <v>159</v>
      </c>
    </row>
    <row r="33" spans="1:14" hidden="1" x14ac:dyDescent="0.25">
      <c r="A33" s="167"/>
      <c r="B33" s="158">
        <v>49555</v>
      </c>
      <c r="C33" s="148" t="s">
        <v>169</v>
      </c>
      <c r="D33" s="148" t="s">
        <v>20</v>
      </c>
      <c r="E33" s="148" t="s">
        <v>19</v>
      </c>
      <c r="F33" s="148" t="s">
        <v>18</v>
      </c>
      <c r="G33" s="148" t="s">
        <v>17</v>
      </c>
      <c r="H33" s="148" t="s">
        <v>187</v>
      </c>
      <c r="I33" s="148" t="s">
        <v>16</v>
      </c>
      <c r="J33" s="149">
        <v>4700</v>
      </c>
      <c r="K33" s="150">
        <v>96</v>
      </c>
      <c r="L33" s="150">
        <f t="shared" si="1"/>
        <v>451200</v>
      </c>
      <c r="M33" s="150">
        <f t="shared" si="0"/>
        <v>536928</v>
      </c>
      <c r="N33" s="159" t="s">
        <v>159</v>
      </c>
    </row>
    <row r="34" spans="1:14" hidden="1" x14ac:dyDescent="0.25">
      <c r="A34" s="167"/>
      <c r="B34" s="158">
        <v>49513</v>
      </c>
      <c r="C34" s="148" t="s">
        <v>169</v>
      </c>
      <c r="D34" s="148" t="s">
        <v>20</v>
      </c>
      <c r="E34" s="148" t="s">
        <v>19</v>
      </c>
      <c r="F34" s="148" t="s">
        <v>18</v>
      </c>
      <c r="G34" s="148" t="s">
        <v>17</v>
      </c>
      <c r="H34" s="148" t="s">
        <v>187</v>
      </c>
      <c r="I34" s="148" t="s">
        <v>16</v>
      </c>
      <c r="J34" s="149">
        <v>2960</v>
      </c>
      <c r="K34" s="150">
        <v>96</v>
      </c>
      <c r="L34" s="150">
        <f t="shared" si="1"/>
        <v>284160</v>
      </c>
      <c r="M34" s="150">
        <f t="shared" si="0"/>
        <v>338150.39999999997</v>
      </c>
      <c r="N34" s="159" t="s">
        <v>159</v>
      </c>
    </row>
    <row r="35" spans="1:14" hidden="1" x14ac:dyDescent="0.25">
      <c r="A35" s="167"/>
      <c r="B35" s="158">
        <v>49663</v>
      </c>
      <c r="C35" s="148" t="s">
        <v>170</v>
      </c>
      <c r="D35" s="148" t="s">
        <v>20</v>
      </c>
      <c r="E35" s="148" t="s">
        <v>19</v>
      </c>
      <c r="F35" s="148" t="s">
        <v>18</v>
      </c>
      <c r="G35" s="148" t="s">
        <v>17</v>
      </c>
      <c r="H35" s="148" t="s">
        <v>187</v>
      </c>
      <c r="I35" s="148" t="s">
        <v>16</v>
      </c>
      <c r="J35" s="149">
        <v>4600</v>
      </c>
      <c r="K35" s="150">
        <v>96</v>
      </c>
      <c r="L35" s="150">
        <f t="shared" si="1"/>
        <v>441600</v>
      </c>
      <c r="M35" s="150">
        <f t="shared" si="0"/>
        <v>525504</v>
      </c>
      <c r="N35" s="159" t="s">
        <v>159</v>
      </c>
    </row>
    <row r="36" spans="1:14" hidden="1" x14ac:dyDescent="0.25">
      <c r="A36" s="167"/>
      <c r="B36" s="158">
        <v>49828</v>
      </c>
      <c r="C36" s="148" t="s">
        <v>171</v>
      </c>
      <c r="D36" s="148" t="s">
        <v>20</v>
      </c>
      <c r="E36" s="148" t="s">
        <v>19</v>
      </c>
      <c r="F36" s="148" t="s">
        <v>18</v>
      </c>
      <c r="G36" s="148" t="s">
        <v>17</v>
      </c>
      <c r="H36" s="148" t="s">
        <v>187</v>
      </c>
      <c r="I36" s="148" t="s">
        <v>16</v>
      </c>
      <c r="J36" s="149">
        <v>2410</v>
      </c>
      <c r="K36" s="150">
        <v>96</v>
      </c>
      <c r="L36" s="150">
        <f t="shared" si="1"/>
        <v>231360</v>
      </c>
      <c r="M36" s="150">
        <f t="shared" si="0"/>
        <v>275318.39999999997</v>
      </c>
      <c r="N36" s="159" t="s">
        <v>159</v>
      </c>
    </row>
    <row r="37" spans="1:14" hidden="1" x14ac:dyDescent="0.25">
      <c r="A37" s="167"/>
      <c r="B37" s="158">
        <v>49868</v>
      </c>
      <c r="C37" s="148" t="s">
        <v>186</v>
      </c>
      <c r="D37" s="148" t="s">
        <v>20</v>
      </c>
      <c r="E37" s="148" t="s">
        <v>19</v>
      </c>
      <c r="F37" s="148" t="s">
        <v>18</v>
      </c>
      <c r="G37" s="148" t="s">
        <v>17</v>
      </c>
      <c r="H37" s="148" t="s">
        <v>187</v>
      </c>
      <c r="I37" s="148" t="s">
        <v>16</v>
      </c>
      <c r="J37" s="149">
        <v>3176.4</v>
      </c>
      <c r="K37" s="150">
        <v>96</v>
      </c>
      <c r="L37" s="150">
        <f t="shared" si="1"/>
        <v>304934.40000000002</v>
      </c>
      <c r="M37" s="150">
        <f t="shared" si="0"/>
        <v>362871.93599999999</v>
      </c>
      <c r="N37" s="159" t="s">
        <v>160</v>
      </c>
    </row>
    <row r="38" spans="1:14" hidden="1" x14ac:dyDescent="0.25">
      <c r="A38" s="167"/>
      <c r="B38" s="158">
        <v>49956</v>
      </c>
      <c r="C38" s="148" t="s">
        <v>172</v>
      </c>
      <c r="D38" s="148" t="s">
        <v>20</v>
      </c>
      <c r="E38" s="148" t="s">
        <v>19</v>
      </c>
      <c r="F38" s="148" t="s">
        <v>18</v>
      </c>
      <c r="G38" s="148" t="s">
        <v>17</v>
      </c>
      <c r="H38" s="148" t="s">
        <v>187</v>
      </c>
      <c r="I38" s="148" t="s">
        <v>16</v>
      </c>
      <c r="J38" s="149">
        <v>3670</v>
      </c>
      <c r="K38" s="150">
        <v>96</v>
      </c>
      <c r="L38" s="150">
        <f t="shared" si="1"/>
        <v>352320</v>
      </c>
      <c r="M38" s="150">
        <f t="shared" si="0"/>
        <v>419260.8</v>
      </c>
      <c r="N38" s="159" t="s">
        <v>159</v>
      </c>
    </row>
    <row r="39" spans="1:14" hidden="1" x14ac:dyDescent="0.25">
      <c r="A39" s="167"/>
      <c r="B39" s="158">
        <v>50072</v>
      </c>
      <c r="C39" s="148" t="s">
        <v>173</v>
      </c>
      <c r="D39" s="148" t="s">
        <v>20</v>
      </c>
      <c r="E39" s="148" t="s">
        <v>19</v>
      </c>
      <c r="F39" s="148" t="s">
        <v>18</v>
      </c>
      <c r="G39" s="148" t="s">
        <v>17</v>
      </c>
      <c r="H39" s="148" t="s">
        <v>187</v>
      </c>
      <c r="I39" s="148" t="s">
        <v>16</v>
      </c>
      <c r="J39" s="149">
        <v>2990</v>
      </c>
      <c r="K39" s="150">
        <v>96</v>
      </c>
      <c r="L39" s="150">
        <f t="shared" si="1"/>
        <v>287040</v>
      </c>
      <c r="M39" s="150">
        <f t="shared" si="0"/>
        <v>341577.6</v>
      </c>
      <c r="N39" s="159" t="s">
        <v>159</v>
      </c>
    </row>
    <row r="40" spans="1:14" hidden="1" x14ac:dyDescent="0.25">
      <c r="A40" s="167"/>
      <c r="B40" s="158">
        <v>50226</v>
      </c>
      <c r="C40" s="148" t="s">
        <v>174</v>
      </c>
      <c r="D40" s="148" t="s">
        <v>20</v>
      </c>
      <c r="E40" s="148" t="s">
        <v>19</v>
      </c>
      <c r="F40" s="148" t="s">
        <v>18</v>
      </c>
      <c r="G40" s="148" t="s">
        <v>17</v>
      </c>
      <c r="H40" s="148" t="s">
        <v>187</v>
      </c>
      <c r="I40" s="148" t="s">
        <v>16</v>
      </c>
      <c r="J40" s="149">
        <v>3916.6</v>
      </c>
      <c r="K40" s="150">
        <v>96</v>
      </c>
      <c r="L40" s="150">
        <f t="shared" si="1"/>
        <v>375993.59999999998</v>
      </c>
      <c r="M40" s="150">
        <f t="shared" si="0"/>
        <v>447432.38399999996</v>
      </c>
      <c r="N40" s="159" t="s">
        <v>160</v>
      </c>
    </row>
    <row r="41" spans="1:14" hidden="1" x14ac:dyDescent="0.25">
      <c r="A41" s="192" t="s">
        <v>90</v>
      </c>
      <c r="B41" s="158">
        <v>50531</v>
      </c>
      <c r="C41" s="148" t="s">
        <v>180</v>
      </c>
      <c r="D41" s="148" t="s">
        <v>20</v>
      </c>
      <c r="E41" s="148" t="s">
        <v>19</v>
      </c>
      <c r="F41" s="148" t="s">
        <v>18</v>
      </c>
      <c r="G41" s="148" t="s">
        <v>17</v>
      </c>
      <c r="H41" s="148" t="s">
        <v>187</v>
      </c>
      <c r="I41" s="148" t="s">
        <v>16</v>
      </c>
      <c r="J41" s="149">
        <v>5580</v>
      </c>
      <c r="K41" s="150">
        <v>96</v>
      </c>
      <c r="L41" s="150">
        <f t="shared" si="1"/>
        <v>535680</v>
      </c>
      <c r="M41" s="150">
        <f t="shared" si="0"/>
        <v>637459.19999999995</v>
      </c>
      <c r="N41" s="159" t="s">
        <v>159</v>
      </c>
    </row>
    <row r="42" spans="1:14" hidden="1" x14ac:dyDescent="0.25">
      <c r="A42" s="193"/>
      <c r="B42" s="158">
        <v>50730</v>
      </c>
      <c r="C42" s="148" t="s">
        <v>181</v>
      </c>
      <c r="D42" s="148" t="s">
        <v>20</v>
      </c>
      <c r="E42" s="148" t="s">
        <v>19</v>
      </c>
      <c r="F42" s="148" t="s">
        <v>18</v>
      </c>
      <c r="G42" s="148" t="s">
        <v>17</v>
      </c>
      <c r="H42" s="148" t="s">
        <v>187</v>
      </c>
      <c r="I42" s="148" t="s">
        <v>16</v>
      </c>
      <c r="J42" s="149">
        <v>4440</v>
      </c>
      <c r="K42" s="150">
        <v>96</v>
      </c>
      <c r="L42" s="150">
        <f t="shared" si="1"/>
        <v>426240</v>
      </c>
      <c r="M42" s="150">
        <f t="shared" si="0"/>
        <v>507225.59999999998</v>
      </c>
      <c r="N42" s="159" t="s">
        <v>159</v>
      </c>
    </row>
    <row r="43" spans="1:14" hidden="1" x14ac:dyDescent="0.25">
      <c r="A43" s="193"/>
      <c r="B43" s="158">
        <v>50684</v>
      </c>
      <c r="C43" s="148" t="s">
        <v>181</v>
      </c>
      <c r="D43" s="148" t="s">
        <v>20</v>
      </c>
      <c r="E43" s="148" t="s">
        <v>19</v>
      </c>
      <c r="F43" s="148" t="s">
        <v>18</v>
      </c>
      <c r="G43" s="148" t="s">
        <v>17</v>
      </c>
      <c r="H43" s="148" t="s">
        <v>187</v>
      </c>
      <c r="I43" s="148" t="s">
        <v>16</v>
      </c>
      <c r="J43" s="149">
        <v>2507</v>
      </c>
      <c r="K43" s="150">
        <v>96</v>
      </c>
      <c r="L43" s="150">
        <f t="shared" si="1"/>
        <v>240672</v>
      </c>
      <c r="M43" s="150">
        <f t="shared" si="0"/>
        <v>286399.68</v>
      </c>
      <c r="N43" s="159" t="s">
        <v>160</v>
      </c>
    </row>
    <row r="44" spans="1:14" hidden="1" x14ac:dyDescent="0.25">
      <c r="A44" s="193"/>
      <c r="B44" s="158">
        <v>50812</v>
      </c>
      <c r="C44" s="148" t="s">
        <v>182</v>
      </c>
      <c r="D44" s="148" t="s">
        <v>20</v>
      </c>
      <c r="E44" s="148" t="s">
        <v>19</v>
      </c>
      <c r="F44" s="148" t="s">
        <v>18</v>
      </c>
      <c r="G44" s="148" t="s">
        <v>17</v>
      </c>
      <c r="H44" s="148" t="s">
        <v>187</v>
      </c>
      <c r="I44" s="148" t="s">
        <v>16</v>
      </c>
      <c r="J44" s="149">
        <v>4530</v>
      </c>
      <c r="K44" s="150">
        <v>96</v>
      </c>
      <c r="L44" s="150">
        <f t="shared" si="1"/>
        <v>434880</v>
      </c>
      <c r="M44" s="150">
        <f t="shared" si="0"/>
        <v>517507.19999999995</v>
      </c>
      <c r="N44" s="159" t="s">
        <v>159</v>
      </c>
    </row>
    <row r="45" spans="1:14" hidden="1" x14ac:dyDescent="0.25">
      <c r="A45" s="193"/>
      <c r="B45" s="158">
        <v>50934</v>
      </c>
      <c r="C45" s="148" t="s">
        <v>183</v>
      </c>
      <c r="D45" s="148" t="s">
        <v>20</v>
      </c>
      <c r="E45" s="148" t="s">
        <v>19</v>
      </c>
      <c r="F45" s="148" t="s">
        <v>18</v>
      </c>
      <c r="G45" s="148" t="s">
        <v>17</v>
      </c>
      <c r="H45" s="148" t="s">
        <v>187</v>
      </c>
      <c r="I45" s="148" t="s">
        <v>16</v>
      </c>
      <c r="J45" s="149">
        <v>5060</v>
      </c>
      <c r="K45" s="150">
        <v>96</v>
      </c>
      <c r="L45" s="150">
        <f t="shared" si="1"/>
        <v>485760</v>
      </c>
      <c r="M45" s="150">
        <f t="shared" si="0"/>
        <v>578054.40000000002</v>
      </c>
      <c r="N45" s="159" t="s">
        <v>159</v>
      </c>
    </row>
    <row r="46" spans="1:14" hidden="1" x14ac:dyDescent="0.25">
      <c r="A46" s="193"/>
      <c r="B46" s="158">
        <v>51040</v>
      </c>
      <c r="C46" s="148" t="s">
        <v>184</v>
      </c>
      <c r="D46" s="148" t="s">
        <v>20</v>
      </c>
      <c r="E46" s="148" t="s">
        <v>19</v>
      </c>
      <c r="F46" s="148" t="s">
        <v>18</v>
      </c>
      <c r="G46" s="148" t="s">
        <v>17</v>
      </c>
      <c r="H46" s="148" t="s">
        <v>187</v>
      </c>
      <c r="I46" s="148" t="s">
        <v>16</v>
      </c>
      <c r="J46" s="149">
        <v>5490</v>
      </c>
      <c r="K46" s="150">
        <v>96</v>
      </c>
      <c r="L46" s="150">
        <f t="shared" si="1"/>
        <v>527040</v>
      </c>
      <c r="M46" s="150">
        <f t="shared" si="0"/>
        <v>627177.6</v>
      </c>
      <c r="N46" s="159" t="s">
        <v>159</v>
      </c>
    </row>
    <row r="47" spans="1:14" hidden="1" x14ac:dyDescent="0.25">
      <c r="A47" s="193"/>
      <c r="B47" s="158">
        <v>51174</v>
      </c>
      <c r="C47" s="148" t="s">
        <v>185</v>
      </c>
      <c r="D47" s="148" t="s">
        <v>20</v>
      </c>
      <c r="E47" s="148" t="s">
        <v>19</v>
      </c>
      <c r="F47" s="148" t="s">
        <v>18</v>
      </c>
      <c r="G47" s="148" t="s">
        <v>17</v>
      </c>
      <c r="H47" s="148" t="s">
        <v>187</v>
      </c>
      <c r="I47" s="148" t="s">
        <v>16</v>
      </c>
      <c r="J47" s="149">
        <v>4580</v>
      </c>
      <c r="K47" s="150">
        <v>96</v>
      </c>
      <c r="L47" s="150">
        <f t="shared" si="1"/>
        <v>439680</v>
      </c>
      <c r="M47" s="150">
        <f t="shared" si="0"/>
        <v>523219.19999999995</v>
      </c>
      <c r="N47" s="159" t="s">
        <v>159</v>
      </c>
    </row>
    <row r="48" spans="1:14" hidden="1" x14ac:dyDescent="0.25">
      <c r="A48" s="193"/>
      <c r="B48" s="158">
        <v>51282</v>
      </c>
      <c r="C48" s="148" t="s">
        <v>188</v>
      </c>
      <c r="D48" s="148" t="s">
        <v>20</v>
      </c>
      <c r="E48" s="148" t="s">
        <v>19</v>
      </c>
      <c r="F48" s="148" t="s">
        <v>18</v>
      </c>
      <c r="G48" s="148" t="s">
        <v>17</v>
      </c>
      <c r="H48" s="148" t="s">
        <v>187</v>
      </c>
      <c r="I48" s="148" t="s">
        <v>16</v>
      </c>
      <c r="J48" s="149">
        <v>3770</v>
      </c>
      <c r="K48" s="150">
        <v>96</v>
      </c>
      <c r="L48" s="150">
        <f t="shared" si="1"/>
        <v>361920</v>
      </c>
      <c r="M48" s="150">
        <f t="shared" si="0"/>
        <v>430684.8</v>
      </c>
      <c r="N48" s="159" t="s">
        <v>159</v>
      </c>
    </row>
    <row r="49" spans="1:14" hidden="1" x14ac:dyDescent="0.25">
      <c r="A49" s="193"/>
      <c r="B49" s="158">
        <v>51577</v>
      </c>
      <c r="C49" s="148" t="s">
        <v>189</v>
      </c>
      <c r="D49" s="148" t="s">
        <v>20</v>
      </c>
      <c r="E49" s="148" t="s">
        <v>19</v>
      </c>
      <c r="F49" s="148" t="s">
        <v>18</v>
      </c>
      <c r="G49" s="148" t="s">
        <v>17</v>
      </c>
      <c r="H49" s="148" t="s">
        <v>187</v>
      </c>
      <c r="I49" s="148" t="s">
        <v>16</v>
      </c>
      <c r="J49" s="149">
        <v>5080</v>
      </c>
      <c r="K49" s="150">
        <v>96</v>
      </c>
      <c r="L49" s="150">
        <f t="shared" si="1"/>
        <v>487680</v>
      </c>
      <c r="M49" s="150">
        <f t="shared" si="0"/>
        <v>580339.19999999995</v>
      </c>
      <c r="N49" s="159" t="s">
        <v>159</v>
      </c>
    </row>
    <row r="50" spans="1:14" hidden="1" x14ac:dyDescent="0.25">
      <c r="A50" s="193"/>
      <c r="B50" s="158">
        <v>51683</v>
      </c>
      <c r="C50" s="148" t="s">
        <v>190</v>
      </c>
      <c r="D50" s="148" t="s">
        <v>20</v>
      </c>
      <c r="E50" s="148" t="s">
        <v>19</v>
      </c>
      <c r="F50" s="148" t="s">
        <v>18</v>
      </c>
      <c r="G50" s="148" t="s">
        <v>17</v>
      </c>
      <c r="H50" s="148" t="s">
        <v>187</v>
      </c>
      <c r="I50" s="148" t="s">
        <v>16</v>
      </c>
      <c r="J50" s="149">
        <v>3570</v>
      </c>
      <c r="K50" s="150">
        <v>96</v>
      </c>
      <c r="L50" s="150">
        <f t="shared" si="1"/>
        <v>342720</v>
      </c>
      <c r="M50" s="150">
        <f t="shared" si="0"/>
        <v>407836.8</v>
      </c>
      <c r="N50" s="159" t="s">
        <v>159</v>
      </c>
    </row>
    <row r="51" spans="1:14" hidden="1" x14ac:dyDescent="0.25">
      <c r="A51" s="194"/>
      <c r="B51" s="158">
        <v>51876</v>
      </c>
      <c r="C51" s="148" t="s">
        <v>193</v>
      </c>
      <c r="D51" s="148" t="s">
        <v>20</v>
      </c>
      <c r="E51" s="148" t="s">
        <v>19</v>
      </c>
      <c r="F51" s="148" t="s">
        <v>18</v>
      </c>
      <c r="G51" s="148" t="s">
        <v>17</v>
      </c>
      <c r="H51" s="148" t="s">
        <v>187</v>
      </c>
      <c r="I51" s="148" t="s">
        <v>16</v>
      </c>
      <c r="J51" s="149">
        <v>1677.6</v>
      </c>
      <c r="K51" s="150">
        <v>96</v>
      </c>
      <c r="L51" s="150">
        <f t="shared" si="1"/>
        <v>161049.59999999998</v>
      </c>
      <c r="M51" s="150">
        <f t="shared" si="0"/>
        <v>191649.02399999998</v>
      </c>
      <c r="N51" s="159" t="s">
        <v>160</v>
      </c>
    </row>
    <row r="52" spans="1:14" x14ac:dyDescent="0.25">
      <c r="A52" s="167" t="s">
        <v>92</v>
      </c>
      <c r="B52" s="158">
        <v>52043</v>
      </c>
      <c r="C52" s="148" t="s">
        <v>194</v>
      </c>
      <c r="D52" s="148" t="s">
        <v>20</v>
      </c>
      <c r="E52" s="148" t="s">
        <v>19</v>
      </c>
      <c r="F52" s="148" t="s">
        <v>18</v>
      </c>
      <c r="G52" s="148" t="s">
        <v>17</v>
      </c>
      <c r="H52" s="148" t="s">
        <v>187</v>
      </c>
      <c r="I52" s="148" t="s">
        <v>16</v>
      </c>
      <c r="J52" s="149">
        <v>4510</v>
      </c>
      <c r="K52" s="150">
        <v>96</v>
      </c>
      <c r="L52" s="150">
        <f t="shared" ref="L52:L59" si="2">+J52*K52</f>
        <v>432960</v>
      </c>
      <c r="M52" s="150">
        <f t="shared" ref="M52:M59" si="3">+L52*1.19</f>
        <v>515222.39999999997</v>
      </c>
      <c r="N52" s="159" t="s">
        <v>159</v>
      </c>
    </row>
    <row r="53" spans="1:14" x14ac:dyDescent="0.25">
      <c r="A53" s="167"/>
      <c r="B53" s="158">
        <v>52421</v>
      </c>
      <c r="C53" s="148" t="s">
        <v>195</v>
      </c>
      <c r="D53" s="148" t="s">
        <v>20</v>
      </c>
      <c r="E53" s="148" t="s">
        <v>19</v>
      </c>
      <c r="F53" s="148" t="s">
        <v>18</v>
      </c>
      <c r="G53" s="148" t="s">
        <v>17</v>
      </c>
      <c r="H53" s="148" t="s">
        <v>187</v>
      </c>
      <c r="I53" s="148" t="s">
        <v>16</v>
      </c>
      <c r="J53" s="149">
        <v>3510</v>
      </c>
      <c r="K53" s="150">
        <v>96</v>
      </c>
      <c r="L53" s="150">
        <f t="shared" si="2"/>
        <v>336960</v>
      </c>
      <c r="M53" s="150">
        <f t="shared" si="3"/>
        <v>400982.39999999997</v>
      </c>
      <c r="N53" s="159" t="s">
        <v>159</v>
      </c>
    </row>
    <row r="54" spans="1:14" x14ac:dyDescent="0.25">
      <c r="A54" s="167"/>
      <c r="B54" s="158">
        <v>52677</v>
      </c>
      <c r="C54" s="148" t="s">
        <v>196</v>
      </c>
      <c r="D54" s="148" t="s">
        <v>20</v>
      </c>
      <c r="E54" s="148" t="s">
        <v>19</v>
      </c>
      <c r="F54" s="148" t="s">
        <v>18</v>
      </c>
      <c r="G54" s="148" t="s">
        <v>17</v>
      </c>
      <c r="H54" s="148" t="s">
        <v>187</v>
      </c>
      <c r="I54" s="148" t="s">
        <v>16</v>
      </c>
      <c r="J54" s="149">
        <v>4920</v>
      </c>
      <c r="K54" s="150">
        <v>96</v>
      </c>
      <c r="L54" s="150">
        <f t="shared" si="2"/>
        <v>472320</v>
      </c>
      <c r="M54" s="150">
        <f t="shared" si="3"/>
        <v>562060.79999999993</v>
      </c>
      <c r="N54" s="159" t="s">
        <v>159</v>
      </c>
    </row>
    <row r="55" spans="1:14" x14ac:dyDescent="0.25">
      <c r="A55" s="167"/>
      <c r="B55" s="158">
        <v>52648</v>
      </c>
      <c r="C55" s="148" t="s">
        <v>196</v>
      </c>
      <c r="D55" s="148" t="s">
        <v>20</v>
      </c>
      <c r="E55" s="148" t="s">
        <v>19</v>
      </c>
      <c r="F55" s="148" t="s">
        <v>18</v>
      </c>
      <c r="G55" s="148" t="s">
        <v>17</v>
      </c>
      <c r="H55" s="148" t="s">
        <v>187</v>
      </c>
      <c r="I55" s="148" t="s">
        <v>16</v>
      </c>
      <c r="J55" s="149">
        <v>2436.6</v>
      </c>
      <c r="K55" s="150">
        <v>96</v>
      </c>
      <c r="L55" s="150">
        <f t="shared" si="2"/>
        <v>233913.59999999998</v>
      </c>
      <c r="M55" s="150">
        <f t="shared" si="3"/>
        <v>278357.18399999995</v>
      </c>
      <c r="N55" s="159" t="s">
        <v>160</v>
      </c>
    </row>
    <row r="56" spans="1:14" x14ac:dyDescent="0.25">
      <c r="A56" s="167"/>
      <c r="B56" s="158">
        <v>52714</v>
      </c>
      <c r="C56" s="148" t="s">
        <v>197</v>
      </c>
      <c r="D56" s="148" t="s">
        <v>20</v>
      </c>
      <c r="E56" s="148" t="s">
        <v>19</v>
      </c>
      <c r="F56" s="148" t="s">
        <v>18</v>
      </c>
      <c r="G56" s="148" t="s">
        <v>17</v>
      </c>
      <c r="H56" s="148" t="s">
        <v>187</v>
      </c>
      <c r="I56" s="148" t="s">
        <v>16</v>
      </c>
      <c r="J56" s="149">
        <v>3450</v>
      </c>
      <c r="K56" s="150">
        <v>96</v>
      </c>
      <c r="L56" s="150">
        <f t="shared" si="2"/>
        <v>331200</v>
      </c>
      <c r="M56" s="150">
        <f t="shared" si="3"/>
        <v>394128</v>
      </c>
      <c r="N56" s="159" t="s">
        <v>159</v>
      </c>
    </row>
    <row r="57" spans="1:14" x14ac:dyDescent="0.25">
      <c r="A57" s="167"/>
      <c r="B57" s="158">
        <v>53023</v>
      </c>
      <c r="C57" s="148" t="s">
        <v>198</v>
      </c>
      <c r="D57" s="148" t="s">
        <v>20</v>
      </c>
      <c r="E57" s="148" t="s">
        <v>19</v>
      </c>
      <c r="F57" s="148" t="s">
        <v>18</v>
      </c>
      <c r="G57" s="148" t="s">
        <v>17</v>
      </c>
      <c r="H57" s="148" t="s">
        <v>187</v>
      </c>
      <c r="I57" s="148" t="s">
        <v>16</v>
      </c>
      <c r="J57" s="149">
        <v>4730</v>
      </c>
      <c r="K57" s="150">
        <v>96</v>
      </c>
      <c r="L57" s="150">
        <f t="shared" si="2"/>
        <v>454080</v>
      </c>
      <c r="M57" s="150">
        <f t="shared" si="3"/>
        <v>540355.19999999995</v>
      </c>
      <c r="N57" s="159" t="s">
        <v>159</v>
      </c>
    </row>
    <row r="58" spans="1:14" x14ac:dyDescent="0.25">
      <c r="A58" s="167"/>
      <c r="B58" s="158">
        <v>53064</v>
      </c>
      <c r="C58" s="148" t="s">
        <v>200</v>
      </c>
      <c r="D58" s="148" t="s">
        <v>20</v>
      </c>
      <c r="E58" s="148" t="s">
        <v>19</v>
      </c>
      <c r="F58" s="148" t="s">
        <v>18</v>
      </c>
      <c r="G58" s="148" t="s">
        <v>17</v>
      </c>
      <c r="H58" s="148" t="s">
        <v>187</v>
      </c>
      <c r="I58" s="148" t="s">
        <v>16</v>
      </c>
      <c r="J58" s="149">
        <v>2856.6</v>
      </c>
      <c r="K58" s="150">
        <v>96</v>
      </c>
      <c r="L58" s="150">
        <f t="shared" si="2"/>
        <v>274233.59999999998</v>
      </c>
      <c r="M58" s="150">
        <f t="shared" si="3"/>
        <v>326337.98399999994</v>
      </c>
      <c r="N58" s="159" t="s">
        <v>160</v>
      </c>
    </row>
    <row r="59" spans="1:14" x14ac:dyDescent="0.25">
      <c r="A59" s="167"/>
      <c r="B59" s="158">
        <v>53138</v>
      </c>
      <c r="C59" s="148" t="s">
        <v>199</v>
      </c>
      <c r="D59" s="148" t="s">
        <v>20</v>
      </c>
      <c r="E59" s="148" t="s">
        <v>19</v>
      </c>
      <c r="F59" s="148" t="s">
        <v>18</v>
      </c>
      <c r="G59" s="148" t="s">
        <v>17</v>
      </c>
      <c r="H59" s="148" t="s">
        <v>187</v>
      </c>
      <c r="I59" s="148" t="s">
        <v>16</v>
      </c>
      <c r="J59" s="149">
        <v>4490</v>
      </c>
      <c r="K59" s="150">
        <v>96</v>
      </c>
      <c r="L59" s="150">
        <f t="shared" si="2"/>
        <v>431040</v>
      </c>
      <c r="M59" s="150">
        <f t="shared" si="3"/>
        <v>512937.6</v>
      </c>
      <c r="N59" s="159" t="s">
        <v>159</v>
      </c>
    </row>
  </sheetData>
  <mergeCells count="4">
    <mergeCell ref="A2:A22"/>
    <mergeCell ref="A23:A40"/>
    <mergeCell ref="A41:A51"/>
    <mergeCell ref="A52:A59"/>
  </mergeCells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02775-BCA3-477D-BBC2-31B1F4AA7FF1}">
  <dimension ref="A1:M32"/>
  <sheetViews>
    <sheetView workbookViewId="0">
      <selection activeCell="L16" sqref="L16"/>
    </sheetView>
  </sheetViews>
  <sheetFormatPr baseColWidth="10" defaultRowHeight="14.3" x14ac:dyDescent="0.25"/>
  <cols>
    <col min="2" max="2" width="6.25" customWidth="1"/>
    <col min="7" max="8" width="12.75" bestFit="1" customWidth="1"/>
    <col min="9" max="9" width="12.75" customWidth="1"/>
    <col min="12" max="12" width="12.375" bestFit="1" customWidth="1"/>
  </cols>
  <sheetData>
    <row r="1" spans="1:13" x14ac:dyDescent="0.25">
      <c r="A1" s="61" t="s">
        <v>59</v>
      </c>
      <c r="B1" s="61" t="s">
        <v>63</v>
      </c>
      <c r="C1" s="61" t="s">
        <v>60</v>
      </c>
      <c r="D1" s="61" t="s">
        <v>61</v>
      </c>
      <c r="E1" s="61" t="s">
        <v>62</v>
      </c>
      <c r="F1" s="61" t="s">
        <v>68</v>
      </c>
      <c r="G1" s="61" t="s">
        <v>64</v>
      </c>
      <c r="H1" s="61" t="s">
        <v>65</v>
      </c>
      <c r="I1" s="61" t="s">
        <v>67</v>
      </c>
      <c r="J1" s="61" t="s">
        <v>66</v>
      </c>
      <c r="K1" s="61" t="s">
        <v>69</v>
      </c>
      <c r="L1" s="61" t="s">
        <v>70</v>
      </c>
      <c r="M1" s="61" t="s">
        <v>71</v>
      </c>
    </row>
    <row r="2" spans="1:13" x14ac:dyDescent="0.25">
      <c r="A2" s="57">
        <v>45536</v>
      </c>
      <c r="B2">
        <v>1</v>
      </c>
      <c r="C2">
        <v>0</v>
      </c>
      <c r="D2" s="9">
        <v>0</v>
      </c>
      <c r="F2">
        <v>2.8</v>
      </c>
      <c r="K2" s="63">
        <v>283</v>
      </c>
    </row>
    <row r="3" spans="1:13" x14ac:dyDescent="0.25">
      <c r="A3" s="57">
        <v>45537</v>
      </c>
      <c r="B3" s="62">
        <v>2</v>
      </c>
      <c r="C3">
        <v>3730</v>
      </c>
      <c r="D3" s="9">
        <v>1520</v>
      </c>
      <c r="E3" s="54">
        <f>+C3/D3</f>
        <v>2.4539473684210527</v>
      </c>
      <c r="F3">
        <v>2.8</v>
      </c>
      <c r="G3" s="63">
        <f>+C3*96</f>
        <v>358080</v>
      </c>
      <c r="H3" s="63">
        <v>750000</v>
      </c>
      <c r="I3" s="63">
        <f>+G3+H3</f>
        <v>1108080</v>
      </c>
      <c r="J3" s="63">
        <f>+I3/C3</f>
        <v>297.07238605898124</v>
      </c>
      <c r="K3" s="63">
        <v>283</v>
      </c>
    </row>
    <row r="4" spans="1:13" x14ac:dyDescent="0.25">
      <c r="A4" s="57">
        <v>45538</v>
      </c>
      <c r="B4" s="62">
        <v>3</v>
      </c>
      <c r="C4">
        <v>5040</v>
      </c>
      <c r="D4" s="9">
        <v>1680</v>
      </c>
      <c r="E4" s="54">
        <f t="shared" ref="E4:E18" si="0">+C4/D4</f>
        <v>3</v>
      </c>
      <c r="F4">
        <v>2.8</v>
      </c>
      <c r="G4" s="63">
        <f t="shared" ref="G4:G17" si="1">+C4*96</f>
        <v>483840</v>
      </c>
      <c r="H4" s="63">
        <v>750000</v>
      </c>
      <c r="I4" s="63">
        <f t="shared" ref="I4:I31" si="2">+G4+H4</f>
        <v>1233840</v>
      </c>
      <c r="J4" s="63">
        <f t="shared" ref="J4:J32" si="3">+I4/C4</f>
        <v>244.8095238095238</v>
      </c>
      <c r="K4" s="63">
        <v>283</v>
      </c>
    </row>
    <row r="5" spans="1:13" x14ac:dyDescent="0.25">
      <c r="A5" s="57">
        <v>45539</v>
      </c>
      <c r="B5">
        <v>4</v>
      </c>
      <c r="C5" s="59">
        <f>+$L$7*D5</f>
        <v>3582.24</v>
      </c>
      <c r="D5" s="9">
        <v>1360</v>
      </c>
      <c r="E5" s="54">
        <f t="shared" si="0"/>
        <v>2.6339999999999999</v>
      </c>
      <c r="F5">
        <v>2.8</v>
      </c>
      <c r="G5" s="63">
        <f t="shared" si="1"/>
        <v>343895.03999999998</v>
      </c>
      <c r="H5" s="63">
        <f>+$M$7*C5</f>
        <v>353599.99999999994</v>
      </c>
      <c r="I5" s="63">
        <f t="shared" si="2"/>
        <v>697495.03999999992</v>
      </c>
      <c r="J5" s="63">
        <f t="shared" si="3"/>
        <v>194.70918754745634</v>
      </c>
      <c r="K5" s="63">
        <v>283</v>
      </c>
    </row>
    <row r="6" spans="1:13" x14ac:dyDescent="0.25">
      <c r="A6" s="57">
        <v>45540</v>
      </c>
      <c r="B6" s="62">
        <v>5</v>
      </c>
      <c r="C6" s="59">
        <f>+$L$7*D6</f>
        <v>3582.24</v>
      </c>
      <c r="D6" s="9">
        <v>1360</v>
      </c>
      <c r="E6" s="54">
        <f t="shared" si="0"/>
        <v>2.6339999999999999</v>
      </c>
      <c r="F6">
        <v>2.8</v>
      </c>
      <c r="G6" s="63">
        <f t="shared" si="1"/>
        <v>343895.03999999998</v>
      </c>
      <c r="H6" s="63">
        <f>+$M$7*C6</f>
        <v>353599.99999999994</v>
      </c>
      <c r="I6" s="63">
        <f t="shared" si="2"/>
        <v>697495.03999999992</v>
      </c>
      <c r="J6" s="63">
        <f t="shared" si="3"/>
        <v>194.70918754745634</v>
      </c>
      <c r="K6" s="63">
        <v>283</v>
      </c>
    </row>
    <row r="7" spans="1:13" x14ac:dyDescent="0.25">
      <c r="A7" s="57">
        <v>45541</v>
      </c>
      <c r="B7" s="62">
        <v>6</v>
      </c>
      <c r="C7" s="59">
        <f>+$L$7*D7</f>
        <v>3371.52</v>
      </c>
      <c r="D7" s="9">
        <v>1280</v>
      </c>
      <c r="E7" s="54">
        <f t="shared" si="0"/>
        <v>2.6339999999999999</v>
      </c>
      <c r="F7">
        <v>2.8</v>
      </c>
      <c r="G7" s="63">
        <f t="shared" si="1"/>
        <v>323665.91999999998</v>
      </c>
      <c r="H7" s="63">
        <f>+$M$7*C7</f>
        <v>332800</v>
      </c>
      <c r="I7" s="63">
        <f t="shared" si="2"/>
        <v>656465.91999999993</v>
      </c>
      <c r="J7" s="63">
        <f t="shared" si="3"/>
        <v>194.70918754745631</v>
      </c>
      <c r="K7" s="63">
        <v>283</v>
      </c>
      <c r="L7" s="64">
        <f>10536/4000</f>
        <v>2.6339999999999999</v>
      </c>
      <c r="M7" s="64">
        <f>1040000/10536</f>
        <v>98.709187547456338</v>
      </c>
    </row>
    <row r="8" spans="1:13" x14ac:dyDescent="0.25">
      <c r="A8" s="57">
        <v>45542</v>
      </c>
      <c r="B8">
        <v>7</v>
      </c>
      <c r="C8" s="58">
        <v>4040</v>
      </c>
      <c r="D8" s="9">
        <v>1520</v>
      </c>
      <c r="E8" s="54">
        <f t="shared" si="0"/>
        <v>2.6578947368421053</v>
      </c>
      <c r="F8">
        <v>2.8</v>
      </c>
      <c r="G8" s="63">
        <f t="shared" si="1"/>
        <v>387840</v>
      </c>
      <c r="H8" s="63">
        <v>750000</v>
      </c>
      <c r="I8" s="63">
        <f t="shared" si="2"/>
        <v>1137840</v>
      </c>
      <c r="J8" s="63">
        <f t="shared" si="3"/>
        <v>281.64356435643566</v>
      </c>
      <c r="K8" s="63">
        <v>283</v>
      </c>
    </row>
    <row r="9" spans="1:13" x14ac:dyDescent="0.25">
      <c r="A9" s="57">
        <v>45543</v>
      </c>
      <c r="B9" s="62">
        <v>8</v>
      </c>
      <c r="C9" s="60">
        <f>+$L$9*D9</f>
        <v>2745</v>
      </c>
      <c r="D9" s="9">
        <v>1360</v>
      </c>
      <c r="E9" s="54">
        <f t="shared" si="0"/>
        <v>2.0183823529411766</v>
      </c>
      <c r="F9">
        <v>2.8</v>
      </c>
      <c r="G9" s="63">
        <f t="shared" si="1"/>
        <v>263520</v>
      </c>
      <c r="H9" s="63">
        <f>+$M$9*C9</f>
        <v>375000.00000000006</v>
      </c>
      <c r="I9" s="63">
        <f t="shared" si="2"/>
        <v>638520</v>
      </c>
      <c r="J9" s="63">
        <f t="shared" si="3"/>
        <v>232.61202185792351</v>
      </c>
      <c r="K9" s="63">
        <v>283</v>
      </c>
      <c r="L9" s="64">
        <f>5490/2720</f>
        <v>2.0183823529411766</v>
      </c>
      <c r="M9" s="54">
        <f>750000/5490</f>
        <v>136.61202185792351</v>
      </c>
    </row>
    <row r="10" spans="1:13" x14ac:dyDescent="0.25">
      <c r="A10" s="57">
        <v>45544</v>
      </c>
      <c r="B10" s="62">
        <v>9</v>
      </c>
      <c r="C10" s="60">
        <f>+$L$10*D10</f>
        <v>2745</v>
      </c>
      <c r="D10" s="9">
        <v>1360</v>
      </c>
      <c r="E10" s="54">
        <f t="shared" si="0"/>
        <v>2.0183823529411766</v>
      </c>
      <c r="F10">
        <v>2.8</v>
      </c>
      <c r="G10" s="63">
        <f t="shared" si="1"/>
        <v>263520</v>
      </c>
      <c r="H10" s="63">
        <f>+$M$9*C10</f>
        <v>375000.00000000006</v>
      </c>
      <c r="I10" s="63">
        <f t="shared" si="2"/>
        <v>638520</v>
      </c>
      <c r="J10" s="63">
        <f t="shared" si="3"/>
        <v>232.61202185792351</v>
      </c>
      <c r="K10" s="63">
        <v>283</v>
      </c>
      <c r="L10" s="64">
        <f>5490/2720</f>
        <v>2.0183823529411766</v>
      </c>
      <c r="M10" s="54">
        <f>750000/5490</f>
        <v>136.61202185792351</v>
      </c>
    </row>
    <row r="11" spans="1:13" x14ac:dyDescent="0.25">
      <c r="A11" s="57">
        <v>45545</v>
      </c>
      <c r="B11">
        <v>10</v>
      </c>
      <c r="C11" s="60">
        <f>+$L$11*D11</f>
        <v>3150</v>
      </c>
      <c r="D11" s="9">
        <v>1440</v>
      </c>
      <c r="E11" s="54">
        <f t="shared" si="0"/>
        <v>2.1875</v>
      </c>
      <c r="F11">
        <v>2.8</v>
      </c>
      <c r="G11" s="63">
        <f t="shared" si="1"/>
        <v>302400</v>
      </c>
      <c r="H11" s="63">
        <f>+$M$11*C11</f>
        <v>355263.15789473685</v>
      </c>
      <c r="I11" s="63">
        <f t="shared" si="2"/>
        <v>657663.15789473685</v>
      </c>
      <c r="J11" s="63">
        <f t="shared" si="3"/>
        <v>208.78195488721803</v>
      </c>
      <c r="K11" s="63">
        <v>283</v>
      </c>
      <c r="L11" s="64">
        <f>6650/3040</f>
        <v>2.1875</v>
      </c>
      <c r="M11" s="54">
        <f>750000/6650</f>
        <v>112.78195488721805</v>
      </c>
    </row>
    <row r="12" spans="1:13" x14ac:dyDescent="0.25">
      <c r="A12" s="57">
        <v>45546</v>
      </c>
      <c r="B12" s="62">
        <v>11</v>
      </c>
      <c r="C12" s="60">
        <f>+$L$11*D12</f>
        <v>3500</v>
      </c>
      <c r="D12" s="9">
        <v>1600</v>
      </c>
      <c r="E12" s="54">
        <f t="shared" si="0"/>
        <v>2.1875</v>
      </c>
      <c r="F12">
        <v>2.8</v>
      </c>
      <c r="G12" s="63">
        <f t="shared" si="1"/>
        <v>336000</v>
      </c>
      <c r="H12" s="63">
        <f>+$M$11*C12</f>
        <v>394736.84210526315</v>
      </c>
      <c r="I12" s="63">
        <f t="shared" si="2"/>
        <v>730736.84210526315</v>
      </c>
      <c r="J12" s="63">
        <f t="shared" si="3"/>
        <v>208.78195488721803</v>
      </c>
      <c r="K12" s="63">
        <v>283</v>
      </c>
      <c r="L12" s="64">
        <f>6650/3040</f>
        <v>2.1875</v>
      </c>
      <c r="M12" s="54">
        <f>750000/6650</f>
        <v>112.78195488721805</v>
      </c>
    </row>
    <row r="13" spans="1:13" x14ac:dyDescent="0.25">
      <c r="A13" s="57">
        <v>45547</v>
      </c>
      <c r="B13" s="62">
        <v>12</v>
      </c>
      <c r="C13">
        <v>3890</v>
      </c>
      <c r="D13" s="9">
        <v>1680</v>
      </c>
      <c r="E13" s="54">
        <f t="shared" si="0"/>
        <v>2.3154761904761907</v>
      </c>
      <c r="F13">
        <v>2.8</v>
      </c>
      <c r="G13" s="63">
        <f t="shared" si="1"/>
        <v>373440</v>
      </c>
      <c r="H13" s="63">
        <v>750000</v>
      </c>
      <c r="I13" s="63">
        <f t="shared" si="2"/>
        <v>1123440</v>
      </c>
      <c r="J13" s="63">
        <f t="shared" si="3"/>
        <v>288.80205655526993</v>
      </c>
      <c r="K13" s="63">
        <v>283</v>
      </c>
    </row>
    <row r="14" spans="1:13" x14ac:dyDescent="0.25">
      <c r="A14" s="57">
        <v>45548</v>
      </c>
      <c r="B14">
        <v>13</v>
      </c>
      <c r="C14" s="59">
        <v>3920</v>
      </c>
      <c r="D14" s="9">
        <v>1920</v>
      </c>
      <c r="E14" s="54">
        <f t="shared" si="0"/>
        <v>2.0416666666666665</v>
      </c>
      <c r="F14">
        <v>2.8</v>
      </c>
      <c r="G14" s="63">
        <f>+C14*96</f>
        <v>376320</v>
      </c>
      <c r="H14" s="63">
        <v>750000</v>
      </c>
      <c r="I14" s="63">
        <f t="shared" si="2"/>
        <v>1126320</v>
      </c>
      <c r="J14" s="63">
        <f t="shared" si="3"/>
        <v>287.32653061224488</v>
      </c>
      <c r="K14" s="63">
        <v>283</v>
      </c>
      <c r="L14" s="64"/>
      <c r="M14" s="64"/>
    </row>
    <row r="15" spans="1:13" x14ac:dyDescent="0.25">
      <c r="A15" s="57">
        <v>45549</v>
      </c>
      <c r="B15" s="62">
        <v>14</v>
      </c>
      <c r="C15" s="66">
        <v>0</v>
      </c>
      <c r="D15" s="9">
        <v>160</v>
      </c>
      <c r="E15" s="54">
        <f t="shared" si="0"/>
        <v>0</v>
      </c>
      <c r="F15">
        <v>2.8</v>
      </c>
      <c r="G15" s="63">
        <f t="shared" si="1"/>
        <v>0</v>
      </c>
      <c r="H15" s="63">
        <f>+$M$14*C15</f>
        <v>0</v>
      </c>
      <c r="I15" s="63">
        <f t="shared" si="2"/>
        <v>0</v>
      </c>
      <c r="J15" s="63">
        <v>0</v>
      </c>
      <c r="K15" s="63">
        <v>283</v>
      </c>
    </row>
    <row r="16" spans="1:13" x14ac:dyDescent="0.25">
      <c r="A16" s="57">
        <v>45550</v>
      </c>
      <c r="B16" s="62">
        <v>15</v>
      </c>
      <c r="C16" s="66">
        <f>+$L$14*D16</f>
        <v>0</v>
      </c>
      <c r="D16" s="9">
        <v>0</v>
      </c>
      <c r="E16" s="54">
        <v>0</v>
      </c>
      <c r="F16">
        <v>2.8</v>
      </c>
      <c r="G16" s="63">
        <f>+C16*96</f>
        <v>0</v>
      </c>
      <c r="H16" s="63">
        <f>+$M$14*C16</f>
        <v>0</v>
      </c>
      <c r="I16" s="63">
        <f t="shared" si="2"/>
        <v>0</v>
      </c>
      <c r="J16" s="63">
        <v>0</v>
      </c>
      <c r="K16" s="63">
        <v>283</v>
      </c>
    </row>
    <row r="17" spans="1:13" x14ac:dyDescent="0.25">
      <c r="A17" s="57">
        <v>45551</v>
      </c>
      <c r="B17">
        <v>16</v>
      </c>
      <c r="C17" s="59">
        <v>1684</v>
      </c>
      <c r="D17" s="9">
        <v>1280</v>
      </c>
      <c r="E17" s="54">
        <f t="shared" si="0"/>
        <v>1.315625</v>
      </c>
      <c r="F17">
        <v>2.8</v>
      </c>
      <c r="G17" s="63">
        <f t="shared" si="1"/>
        <v>161664</v>
      </c>
      <c r="H17" s="63">
        <f>+(750000*C17)/4000</f>
        <v>315750</v>
      </c>
      <c r="I17" s="63">
        <f t="shared" si="2"/>
        <v>477414</v>
      </c>
      <c r="J17" s="63">
        <f t="shared" si="3"/>
        <v>283.5</v>
      </c>
      <c r="K17" s="63">
        <v>283</v>
      </c>
    </row>
    <row r="18" spans="1:13" x14ac:dyDescent="0.25">
      <c r="A18" s="57">
        <v>45552</v>
      </c>
      <c r="B18" s="62">
        <v>17</v>
      </c>
      <c r="C18" s="59">
        <f>4000-C17</f>
        <v>2316</v>
      </c>
      <c r="D18" s="9">
        <v>1760</v>
      </c>
      <c r="E18" s="54">
        <f t="shared" si="0"/>
        <v>1.3159090909090909</v>
      </c>
      <c r="F18">
        <v>2.8</v>
      </c>
      <c r="G18" s="63">
        <f>+C18*96</f>
        <v>222336</v>
      </c>
      <c r="H18" s="63">
        <f>750000-H17</f>
        <v>434250</v>
      </c>
      <c r="I18" s="63">
        <f t="shared" si="2"/>
        <v>656586</v>
      </c>
      <c r="J18" s="63">
        <f t="shared" si="3"/>
        <v>283.5</v>
      </c>
      <c r="K18" s="63">
        <v>283</v>
      </c>
    </row>
    <row r="19" spans="1:13" x14ac:dyDescent="0.25">
      <c r="A19" s="57">
        <v>45553</v>
      </c>
      <c r="B19" s="62">
        <v>18</v>
      </c>
      <c r="C19" s="66">
        <v>4550</v>
      </c>
      <c r="D19" s="9">
        <v>1680</v>
      </c>
      <c r="E19" s="54">
        <f>+C19/D19</f>
        <v>2.7083333333333335</v>
      </c>
      <c r="F19">
        <v>2.8</v>
      </c>
      <c r="G19" s="63">
        <f>+C19*96</f>
        <v>436800</v>
      </c>
      <c r="H19" s="63">
        <v>750000</v>
      </c>
      <c r="I19" s="63">
        <f t="shared" si="2"/>
        <v>1186800</v>
      </c>
      <c r="J19" s="63">
        <f t="shared" si="3"/>
        <v>260.83516483516485</v>
      </c>
      <c r="K19" s="63">
        <v>283</v>
      </c>
    </row>
    <row r="20" spans="1:13" x14ac:dyDescent="0.25">
      <c r="A20" s="57">
        <v>45554</v>
      </c>
      <c r="B20">
        <v>19</v>
      </c>
      <c r="C20" s="66">
        <v>4330</v>
      </c>
      <c r="D20" s="9">
        <v>1520</v>
      </c>
      <c r="E20" s="54">
        <f t="shared" ref="E20:E31" si="4">+C20/D20</f>
        <v>2.8486842105263159</v>
      </c>
      <c r="F20">
        <v>2.8</v>
      </c>
      <c r="G20" s="63">
        <f t="shared" ref="G20:G31" si="5">+C20*96</f>
        <v>415680</v>
      </c>
      <c r="H20" s="63">
        <v>750000</v>
      </c>
      <c r="I20" s="63">
        <f t="shared" si="2"/>
        <v>1165680</v>
      </c>
      <c r="J20" s="63">
        <f t="shared" si="3"/>
        <v>269.21016166281754</v>
      </c>
      <c r="K20" s="63">
        <v>283</v>
      </c>
    </row>
    <row r="21" spans="1:13" x14ac:dyDescent="0.25">
      <c r="A21" s="57">
        <v>45555</v>
      </c>
      <c r="B21" s="62">
        <v>20</v>
      </c>
      <c r="C21" s="66">
        <v>3840</v>
      </c>
      <c r="D21" s="9">
        <v>1760</v>
      </c>
      <c r="E21" s="54">
        <f t="shared" si="4"/>
        <v>2.1818181818181817</v>
      </c>
      <c r="F21">
        <v>2.8</v>
      </c>
      <c r="G21" s="63">
        <f t="shared" si="5"/>
        <v>368640</v>
      </c>
      <c r="H21" s="63">
        <v>750000</v>
      </c>
      <c r="I21" s="63">
        <f t="shared" si="2"/>
        <v>1118640</v>
      </c>
      <c r="J21" s="63">
        <f t="shared" si="3"/>
        <v>291.3125</v>
      </c>
      <c r="K21" s="63">
        <v>283</v>
      </c>
    </row>
    <row r="22" spans="1:13" x14ac:dyDescent="0.25">
      <c r="A22" s="57">
        <v>45556</v>
      </c>
      <c r="B22" s="62">
        <v>21</v>
      </c>
      <c r="C22" s="66">
        <v>5340</v>
      </c>
      <c r="D22" s="9">
        <v>1760</v>
      </c>
      <c r="E22" s="54">
        <f t="shared" si="4"/>
        <v>3.0340909090909092</v>
      </c>
      <c r="F22">
        <v>2.8</v>
      </c>
      <c r="G22" s="63">
        <f t="shared" si="5"/>
        <v>512640</v>
      </c>
      <c r="H22" s="63">
        <v>750000</v>
      </c>
      <c r="I22" s="63">
        <f t="shared" si="2"/>
        <v>1262640</v>
      </c>
      <c r="J22" s="63">
        <f t="shared" si="3"/>
        <v>236.44943820224719</v>
      </c>
      <c r="K22" s="63">
        <v>283</v>
      </c>
    </row>
    <row r="23" spans="1:13" x14ac:dyDescent="0.25">
      <c r="A23" s="57">
        <v>45557</v>
      </c>
      <c r="B23">
        <v>22</v>
      </c>
      <c r="C23" s="59">
        <f>L23*D23</f>
        <v>384.70588235294122</v>
      </c>
      <c r="D23" s="9">
        <v>240</v>
      </c>
      <c r="E23" s="54">
        <f t="shared" si="4"/>
        <v>1.6029411764705883</v>
      </c>
      <c r="F23">
        <v>2.8</v>
      </c>
      <c r="G23" s="63">
        <f t="shared" si="5"/>
        <v>36931.764705882357</v>
      </c>
      <c r="H23" s="63">
        <f>C23*M23</f>
        <v>66176.470588235301</v>
      </c>
      <c r="I23" s="63">
        <f t="shared" si="2"/>
        <v>103108.23529411765</v>
      </c>
      <c r="J23" s="63">
        <f t="shared" si="3"/>
        <v>268.01834862385317</v>
      </c>
      <c r="K23" s="63">
        <v>283</v>
      </c>
      <c r="L23" s="64">
        <f>4360/2720</f>
        <v>1.6029411764705883</v>
      </c>
      <c r="M23" s="54">
        <f>750000/4360</f>
        <v>172.0183486238532</v>
      </c>
    </row>
    <row r="24" spans="1:13" x14ac:dyDescent="0.25">
      <c r="A24" s="57">
        <v>45558</v>
      </c>
      <c r="B24" s="62">
        <v>23</v>
      </c>
      <c r="C24" s="59">
        <f>L24*D24</f>
        <v>1795.294117647059</v>
      </c>
      <c r="D24" s="9">
        <v>1120</v>
      </c>
      <c r="E24" s="54">
        <f t="shared" si="4"/>
        <v>1.6029411764705883</v>
      </c>
      <c r="F24">
        <v>2.8</v>
      </c>
      <c r="G24" s="63">
        <f t="shared" si="5"/>
        <v>172348.23529411765</v>
      </c>
      <c r="H24" s="63">
        <f>C24*M24</f>
        <v>308823.5294117647</v>
      </c>
      <c r="I24" s="63">
        <f t="shared" si="2"/>
        <v>481171.76470588235</v>
      </c>
      <c r="J24" s="63">
        <f t="shared" si="3"/>
        <v>268.01834862385317</v>
      </c>
      <c r="K24" s="63">
        <v>283</v>
      </c>
      <c r="L24" s="64">
        <f>4360/2720</f>
        <v>1.6029411764705883</v>
      </c>
      <c r="M24" s="54">
        <f>750000/4360</f>
        <v>172.0183486238532</v>
      </c>
    </row>
    <row r="25" spans="1:13" x14ac:dyDescent="0.25">
      <c r="A25" s="57">
        <v>45559</v>
      </c>
      <c r="B25" s="62">
        <v>24</v>
      </c>
      <c r="C25" s="59">
        <f>L25*D25</f>
        <v>2180</v>
      </c>
      <c r="D25" s="9">
        <v>1360</v>
      </c>
      <c r="E25" s="54">
        <f t="shared" si="4"/>
        <v>1.6029411764705883</v>
      </c>
      <c r="F25">
        <v>2.8</v>
      </c>
      <c r="G25" s="63">
        <f t="shared" si="5"/>
        <v>209280</v>
      </c>
      <c r="H25" s="63">
        <f>C25*M25</f>
        <v>375000</v>
      </c>
      <c r="I25" s="63">
        <f t="shared" si="2"/>
        <v>584280</v>
      </c>
      <c r="J25" s="63">
        <f t="shared" si="3"/>
        <v>268.01834862385323</v>
      </c>
      <c r="K25" s="63">
        <v>283</v>
      </c>
      <c r="L25" s="64">
        <f>4360/2720</f>
        <v>1.6029411764705883</v>
      </c>
      <c r="M25" s="54">
        <f>750000/4360</f>
        <v>172.0183486238532</v>
      </c>
    </row>
    <row r="26" spans="1:13" x14ac:dyDescent="0.25">
      <c r="A26" s="57">
        <v>45560</v>
      </c>
      <c r="B26">
        <v>25</v>
      </c>
      <c r="C26" s="66">
        <v>5220</v>
      </c>
      <c r="D26" s="9">
        <v>1680</v>
      </c>
      <c r="E26" s="54">
        <f t="shared" si="4"/>
        <v>3.1071428571428572</v>
      </c>
      <c r="F26">
        <v>2.8</v>
      </c>
      <c r="G26" s="63">
        <f t="shared" si="5"/>
        <v>501120</v>
      </c>
      <c r="H26" s="63">
        <v>750000</v>
      </c>
      <c r="I26" s="63">
        <f t="shared" si="2"/>
        <v>1251120</v>
      </c>
      <c r="J26" s="63">
        <f t="shared" si="3"/>
        <v>239.67816091954023</v>
      </c>
      <c r="K26" s="63">
        <v>283</v>
      </c>
    </row>
    <row r="27" spans="1:13" x14ac:dyDescent="0.25">
      <c r="A27" s="57">
        <v>45561</v>
      </c>
      <c r="B27" s="62">
        <v>26</v>
      </c>
      <c r="C27">
        <v>3950</v>
      </c>
      <c r="D27" s="9">
        <v>1680</v>
      </c>
      <c r="E27" s="54">
        <f t="shared" si="4"/>
        <v>2.3511904761904763</v>
      </c>
      <c r="F27">
        <v>2.8</v>
      </c>
      <c r="G27" s="63">
        <f t="shared" si="5"/>
        <v>379200</v>
      </c>
      <c r="H27" s="63">
        <v>750000</v>
      </c>
      <c r="I27" s="63">
        <f t="shared" si="2"/>
        <v>1129200</v>
      </c>
      <c r="J27" s="63">
        <f t="shared" si="3"/>
        <v>285.87341772151899</v>
      </c>
      <c r="K27" s="63">
        <v>283</v>
      </c>
    </row>
    <row r="28" spans="1:13" x14ac:dyDescent="0.25">
      <c r="A28" s="57">
        <v>45562</v>
      </c>
      <c r="B28" s="62">
        <v>27</v>
      </c>
      <c r="C28">
        <v>4560</v>
      </c>
      <c r="D28" s="9">
        <v>1600</v>
      </c>
      <c r="E28" s="54">
        <f t="shared" si="4"/>
        <v>2.85</v>
      </c>
      <c r="F28">
        <v>2.8</v>
      </c>
      <c r="G28" s="63">
        <f t="shared" si="5"/>
        <v>437760</v>
      </c>
      <c r="H28" s="63">
        <v>750000</v>
      </c>
      <c r="I28" s="63">
        <f t="shared" si="2"/>
        <v>1187760</v>
      </c>
      <c r="J28" s="63">
        <f t="shared" si="3"/>
        <v>260.4736842105263</v>
      </c>
      <c r="K28" s="63">
        <v>283</v>
      </c>
    </row>
    <row r="29" spans="1:13" x14ac:dyDescent="0.25">
      <c r="A29" s="57">
        <v>45563</v>
      </c>
      <c r="B29">
        <v>28</v>
      </c>
      <c r="C29">
        <v>4870</v>
      </c>
      <c r="D29" s="9">
        <v>1600</v>
      </c>
      <c r="E29" s="54">
        <f t="shared" si="4"/>
        <v>3.0437500000000002</v>
      </c>
      <c r="F29">
        <v>2.8</v>
      </c>
      <c r="G29" s="63">
        <f t="shared" si="5"/>
        <v>467520</v>
      </c>
      <c r="H29" s="63">
        <v>750000</v>
      </c>
      <c r="I29" s="63">
        <f t="shared" si="2"/>
        <v>1217520</v>
      </c>
      <c r="J29" s="63">
        <f t="shared" si="3"/>
        <v>250.00410677618069</v>
      </c>
      <c r="K29" s="63">
        <v>283</v>
      </c>
    </row>
    <row r="30" spans="1:13" x14ac:dyDescent="0.25">
      <c r="A30" s="57">
        <v>45564</v>
      </c>
      <c r="B30" s="62">
        <v>29</v>
      </c>
      <c r="C30" s="59">
        <f>+M31</f>
        <v>2779.6875</v>
      </c>
      <c r="D30" s="9">
        <v>1360</v>
      </c>
      <c r="E30" s="54">
        <f t="shared" si="4"/>
        <v>2.0438878676470589</v>
      </c>
      <c r="F30">
        <v>2.8</v>
      </c>
      <c r="G30" s="63">
        <f t="shared" si="5"/>
        <v>266850</v>
      </c>
      <c r="H30" s="63">
        <f>750000/2</f>
        <v>375000</v>
      </c>
      <c r="I30" s="63">
        <f t="shared" si="2"/>
        <v>641850</v>
      </c>
      <c r="J30" s="63">
        <f t="shared" si="3"/>
        <v>230.90725126475547</v>
      </c>
      <c r="K30" s="63">
        <v>283</v>
      </c>
    </row>
    <row r="31" spans="1:13" x14ac:dyDescent="0.25">
      <c r="A31" s="57">
        <v>45565</v>
      </c>
      <c r="B31" s="62">
        <v>30</v>
      </c>
      <c r="C31" s="59">
        <f>+M31</f>
        <v>2779.6875</v>
      </c>
      <c r="D31" s="9">
        <v>1200</v>
      </c>
      <c r="E31" s="54">
        <f t="shared" si="4"/>
        <v>2.31640625</v>
      </c>
      <c r="F31">
        <v>2.8</v>
      </c>
      <c r="G31" s="63">
        <f t="shared" si="5"/>
        <v>266850</v>
      </c>
      <c r="H31" s="63">
        <f>750000/2</f>
        <v>375000</v>
      </c>
      <c r="I31" s="63">
        <f t="shared" si="2"/>
        <v>641850</v>
      </c>
      <c r="J31" s="63">
        <f t="shared" si="3"/>
        <v>230.90725126475547</v>
      </c>
      <c r="K31" s="63">
        <v>283</v>
      </c>
      <c r="L31" s="54">
        <f>5930/2560</f>
        <v>2.31640625</v>
      </c>
      <c r="M31">
        <f>+D31*L31</f>
        <v>2779.6875</v>
      </c>
    </row>
    <row r="32" spans="1:13" x14ac:dyDescent="0.25">
      <c r="C32" s="58">
        <f>SUM(C2:C31)</f>
        <v>93875.375</v>
      </c>
      <c r="D32">
        <f>SUM(D2:D31)</f>
        <v>39840</v>
      </c>
      <c r="E32" s="54">
        <f>+C32/D32</f>
        <v>2.3563096134538153</v>
      </c>
      <c r="F32" s="54"/>
      <c r="G32" s="65">
        <f>SUM(G3:G31)</f>
        <v>9012036</v>
      </c>
      <c r="H32" s="65">
        <f>SUM(H3:H31)</f>
        <v>14540000</v>
      </c>
      <c r="I32" s="65">
        <f>SUM(I3:I31)</f>
        <v>23552036</v>
      </c>
      <c r="J32" s="63">
        <f t="shared" si="3"/>
        <v>250.88619885672892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B7FC7-9E7C-481B-99D3-256BE7DB3DFC}">
  <dimension ref="A1:M41"/>
  <sheetViews>
    <sheetView zoomScale="85" zoomScaleNormal="85" workbookViewId="0">
      <selection activeCell="C5" sqref="C5"/>
    </sheetView>
  </sheetViews>
  <sheetFormatPr baseColWidth="10" defaultRowHeight="14.3" x14ac:dyDescent="0.25"/>
  <cols>
    <col min="1" max="1" width="14.125" customWidth="1"/>
    <col min="2" max="2" width="6.25" customWidth="1"/>
    <col min="3" max="4" width="11.375" style="69"/>
    <col min="5" max="5" width="12.625" bestFit="1" customWidth="1"/>
    <col min="7" max="8" width="12.75" bestFit="1" customWidth="1"/>
    <col min="9" max="9" width="12.75" customWidth="1"/>
    <col min="12" max="12" width="12.375" bestFit="1" customWidth="1"/>
    <col min="13" max="13" width="19" bestFit="1" customWidth="1"/>
  </cols>
  <sheetData>
    <row r="1" spans="1:13" x14ac:dyDescent="0.25">
      <c r="A1" s="61" t="s">
        <v>59</v>
      </c>
      <c r="B1" s="61" t="s">
        <v>63</v>
      </c>
      <c r="C1" s="72" t="s">
        <v>60</v>
      </c>
      <c r="D1" s="72" t="s">
        <v>61</v>
      </c>
      <c r="E1" s="61" t="s">
        <v>62</v>
      </c>
      <c r="F1" s="61" t="s">
        <v>68</v>
      </c>
      <c r="G1" s="61" t="s">
        <v>64</v>
      </c>
      <c r="H1" s="61" t="s">
        <v>65</v>
      </c>
      <c r="I1" s="61" t="s">
        <v>67</v>
      </c>
      <c r="J1" s="61" t="s">
        <v>66</v>
      </c>
      <c r="K1" s="61" t="s">
        <v>69</v>
      </c>
      <c r="L1" s="61" t="s">
        <v>70</v>
      </c>
      <c r="M1" s="61" t="s">
        <v>71</v>
      </c>
    </row>
    <row r="2" spans="1:13" x14ac:dyDescent="0.25">
      <c r="A2" s="57">
        <v>45566</v>
      </c>
      <c r="B2">
        <v>1</v>
      </c>
      <c r="C2" s="69">
        <v>2950</v>
      </c>
      <c r="D2" s="69">
        <v>960</v>
      </c>
      <c r="E2" s="54">
        <f>+C2/D2</f>
        <v>3.0729166666666665</v>
      </c>
      <c r="F2">
        <v>2.8</v>
      </c>
      <c r="G2" s="63">
        <f>+C2*96</f>
        <v>283200</v>
      </c>
      <c r="H2" s="63">
        <v>750000</v>
      </c>
      <c r="I2" s="63">
        <f>+G2+H2</f>
        <v>1033200</v>
      </c>
      <c r="J2" s="63">
        <f>+I2/C2</f>
        <v>350.23728813559325</v>
      </c>
      <c r="K2" s="63">
        <v>283</v>
      </c>
    </row>
    <row r="3" spans="1:13" x14ac:dyDescent="0.25">
      <c r="A3" s="57">
        <v>45567</v>
      </c>
      <c r="B3" s="62">
        <v>2</v>
      </c>
      <c r="C3" s="69">
        <v>4210</v>
      </c>
      <c r="D3" s="69">
        <v>1840</v>
      </c>
      <c r="E3" s="54">
        <f t="shared" ref="E3:E34" si="0">+C3/D3</f>
        <v>2.2880434782608696</v>
      </c>
      <c r="F3">
        <v>2.8</v>
      </c>
      <c r="G3" s="63">
        <f>+C3*96</f>
        <v>404160</v>
      </c>
      <c r="H3" s="63">
        <v>750000</v>
      </c>
      <c r="I3" s="63">
        <f>+G3+H3</f>
        <v>1154160</v>
      </c>
      <c r="J3" s="63">
        <f>+I3/C3</f>
        <v>274.14726840855104</v>
      </c>
      <c r="K3" s="63">
        <v>283</v>
      </c>
    </row>
    <row r="4" spans="1:13" x14ac:dyDescent="0.25">
      <c r="A4" s="57">
        <v>45568</v>
      </c>
      <c r="B4" s="62">
        <v>3</v>
      </c>
      <c r="C4" s="70">
        <f>L5*D4</f>
        <v>2801.739130434783</v>
      </c>
      <c r="D4" s="70">
        <v>1920</v>
      </c>
      <c r="E4" s="54">
        <f t="shared" si="0"/>
        <v>1.4592391304347827</v>
      </c>
      <c r="F4">
        <v>2.8</v>
      </c>
      <c r="G4" s="63">
        <f t="shared" ref="G4:G17" si="1">+C4*96</f>
        <v>268966.95652173914</v>
      </c>
      <c r="H4" s="68">
        <f>+M5*C4</f>
        <v>391304.34782608703</v>
      </c>
      <c r="I4" s="63">
        <f t="shared" ref="I4:I33" si="2">+G4+H4</f>
        <v>660271.30434782617</v>
      </c>
      <c r="J4" s="63">
        <f t="shared" ref="J4:J34" si="3">+I4/C4</f>
        <v>235.66480446927375</v>
      </c>
      <c r="K4" s="63">
        <v>283</v>
      </c>
      <c r="L4" s="64">
        <v>1.4592391304347827</v>
      </c>
      <c r="M4" s="64">
        <v>139.66480446927375</v>
      </c>
    </row>
    <row r="5" spans="1:13" x14ac:dyDescent="0.25">
      <c r="A5" s="57">
        <v>45569</v>
      </c>
      <c r="B5">
        <v>4</v>
      </c>
      <c r="C5" s="70">
        <f>D5*L5</f>
        <v>2568.2608695652175</v>
      </c>
      <c r="D5" s="70">
        <v>1760</v>
      </c>
      <c r="E5" s="54">
        <f t="shared" si="0"/>
        <v>1.4592391304347827</v>
      </c>
      <c r="F5">
        <v>2.8</v>
      </c>
      <c r="G5" s="63">
        <f>+C5*96</f>
        <v>246553.04347826086</v>
      </c>
      <c r="H5" s="68">
        <f>+M5*C5</f>
        <v>358695.65217391308</v>
      </c>
      <c r="I5" s="63">
        <f>+G5+H5</f>
        <v>605248.69565217395</v>
      </c>
      <c r="J5" s="63">
        <f t="shared" si="3"/>
        <v>235.66480446927375</v>
      </c>
      <c r="K5" s="63">
        <v>283</v>
      </c>
      <c r="L5" s="64">
        <f>5370/3680</f>
        <v>1.4592391304347827</v>
      </c>
      <c r="M5" s="64">
        <f>750000/5370</f>
        <v>139.66480446927375</v>
      </c>
    </row>
    <row r="6" spans="1:13" x14ac:dyDescent="0.25">
      <c r="A6" s="57">
        <v>45570</v>
      </c>
      <c r="B6" s="62">
        <v>5</v>
      </c>
      <c r="C6" s="69">
        <v>4970</v>
      </c>
      <c r="D6" s="69">
        <v>480</v>
      </c>
      <c r="E6" s="54">
        <f t="shared" si="0"/>
        <v>10.354166666666666</v>
      </c>
      <c r="F6">
        <v>2.8</v>
      </c>
      <c r="G6" s="63">
        <f>+C5*96</f>
        <v>246553.04347826086</v>
      </c>
      <c r="H6" s="63">
        <v>750000</v>
      </c>
      <c r="I6" s="63">
        <f t="shared" si="2"/>
        <v>996553.04347826086</v>
      </c>
      <c r="J6" s="63">
        <f t="shared" si="3"/>
        <v>200.51369084069634</v>
      </c>
      <c r="K6" s="63">
        <v>283</v>
      </c>
    </row>
    <row r="7" spans="1:13" x14ac:dyDescent="0.25">
      <c r="A7" s="57">
        <v>45571</v>
      </c>
      <c r="B7" s="62">
        <v>6</v>
      </c>
      <c r="C7" s="69">
        <v>0</v>
      </c>
      <c r="D7" s="69">
        <v>0</v>
      </c>
      <c r="E7" s="54" t="e">
        <f t="shared" si="0"/>
        <v>#DIV/0!</v>
      </c>
      <c r="F7">
        <v>2.8</v>
      </c>
      <c r="G7" s="63">
        <f t="shared" si="1"/>
        <v>0</v>
      </c>
      <c r="H7" s="63">
        <f>+$M$7*C6</f>
        <v>0</v>
      </c>
      <c r="I7" s="63">
        <f t="shared" si="2"/>
        <v>0</v>
      </c>
      <c r="J7" s="63" t="e">
        <f t="shared" si="3"/>
        <v>#DIV/0!</v>
      </c>
      <c r="K7" s="63">
        <v>283</v>
      </c>
      <c r="L7" s="64"/>
      <c r="M7" s="64"/>
    </row>
    <row r="8" spans="1:13" x14ac:dyDescent="0.25">
      <c r="A8" s="57">
        <v>45572</v>
      </c>
      <c r="B8">
        <v>7</v>
      </c>
      <c r="C8" s="69">
        <f>+D8*L9</f>
        <v>3330</v>
      </c>
      <c r="D8" s="69">
        <v>1440</v>
      </c>
      <c r="E8" s="54">
        <f t="shared" si="0"/>
        <v>2.3125</v>
      </c>
      <c r="F8">
        <v>2.8</v>
      </c>
      <c r="G8" s="63">
        <f t="shared" si="1"/>
        <v>319680</v>
      </c>
      <c r="H8" s="63">
        <v>375000</v>
      </c>
      <c r="I8" s="63">
        <f t="shared" si="2"/>
        <v>694680</v>
      </c>
      <c r="J8" s="63">
        <f t="shared" si="3"/>
        <v>208.61261261261262</v>
      </c>
      <c r="K8" s="63">
        <v>283</v>
      </c>
      <c r="L8">
        <v>2.31</v>
      </c>
      <c r="M8">
        <v>112.6</v>
      </c>
    </row>
    <row r="9" spans="1:13" x14ac:dyDescent="0.25">
      <c r="A9" s="57">
        <v>45573</v>
      </c>
      <c r="B9" s="62">
        <v>8</v>
      </c>
      <c r="C9" s="69">
        <f>+D9*L9</f>
        <v>3330</v>
      </c>
      <c r="D9" s="69">
        <v>1440</v>
      </c>
      <c r="E9" s="54">
        <f t="shared" si="0"/>
        <v>2.3125</v>
      </c>
      <c r="F9">
        <v>2.8</v>
      </c>
      <c r="G9" s="63">
        <f t="shared" si="1"/>
        <v>319680</v>
      </c>
      <c r="H9" s="63">
        <f>+C9*M9</f>
        <v>375000</v>
      </c>
      <c r="I9" s="63">
        <f t="shared" si="2"/>
        <v>694680</v>
      </c>
      <c r="J9" s="63">
        <f t="shared" si="3"/>
        <v>208.61261261261262</v>
      </c>
      <c r="K9" s="63">
        <v>283</v>
      </c>
      <c r="L9" s="64">
        <v>2.3125</v>
      </c>
      <c r="M9" s="54">
        <f>750000/6660</f>
        <v>112.61261261261261</v>
      </c>
    </row>
    <row r="10" spans="1:13" x14ac:dyDescent="0.25">
      <c r="A10" s="57">
        <v>45574</v>
      </c>
      <c r="B10" s="62">
        <v>9</v>
      </c>
      <c r="C10" s="69">
        <v>4580</v>
      </c>
      <c r="D10" s="69">
        <v>1680</v>
      </c>
      <c r="E10" s="54">
        <f t="shared" si="0"/>
        <v>2.7261904761904763</v>
      </c>
      <c r="F10">
        <v>2.8</v>
      </c>
      <c r="G10" s="63">
        <f t="shared" si="1"/>
        <v>439680</v>
      </c>
      <c r="H10" s="63">
        <v>750000</v>
      </c>
      <c r="I10" s="63">
        <f t="shared" si="2"/>
        <v>1189680</v>
      </c>
      <c r="J10" s="63">
        <f t="shared" si="3"/>
        <v>259.75545851528386</v>
      </c>
      <c r="K10" s="63">
        <v>283</v>
      </c>
      <c r="L10" s="64"/>
      <c r="M10" s="54"/>
    </row>
    <row r="11" spans="1:13" x14ac:dyDescent="0.25">
      <c r="A11" s="57">
        <v>45575</v>
      </c>
      <c r="B11">
        <v>10</v>
      </c>
      <c r="C11" s="69">
        <v>3630</v>
      </c>
      <c r="D11" s="69">
        <v>1840</v>
      </c>
      <c r="E11" s="54">
        <f t="shared" si="0"/>
        <v>1.9728260869565217</v>
      </c>
      <c r="F11">
        <v>2.8</v>
      </c>
      <c r="G11" s="63">
        <f t="shared" si="1"/>
        <v>348480</v>
      </c>
      <c r="H11" s="63">
        <v>750000</v>
      </c>
      <c r="I11" s="63">
        <f t="shared" si="2"/>
        <v>1098480</v>
      </c>
      <c r="J11" s="63">
        <f t="shared" si="3"/>
        <v>302.61157024793391</v>
      </c>
      <c r="K11" s="63">
        <v>283</v>
      </c>
      <c r="L11" s="64"/>
      <c r="M11" s="54"/>
    </row>
    <row r="12" spans="1:13" x14ac:dyDescent="0.25">
      <c r="A12" s="57">
        <v>45576</v>
      </c>
      <c r="B12" s="62">
        <v>11</v>
      </c>
      <c r="C12" s="69">
        <v>4450</v>
      </c>
      <c r="D12" s="69">
        <v>1600</v>
      </c>
      <c r="E12" s="54">
        <f t="shared" si="0"/>
        <v>2.78125</v>
      </c>
      <c r="F12">
        <v>2.8</v>
      </c>
      <c r="G12" s="63">
        <f t="shared" si="1"/>
        <v>427200</v>
      </c>
      <c r="H12" s="63">
        <v>750000</v>
      </c>
      <c r="I12" s="63">
        <f t="shared" si="2"/>
        <v>1177200</v>
      </c>
      <c r="J12" s="63">
        <f t="shared" si="3"/>
        <v>264.53932584269666</v>
      </c>
      <c r="K12" s="63">
        <v>283</v>
      </c>
      <c r="L12" s="64"/>
      <c r="M12" s="54"/>
    </row>
    <row r="13" spans="1:13" x14ac:dyDescent="0.25">
      <c r="A13" s="57">
        <v>45577</v>
      </c>
      <c r="B13" s="62">
        <v>12</v>
      </c>
      <c r="C13" s="69">
        <v>5130</v>
      </c>
      <c r="D13" s="69">
        <v>1680</v>
      </c>
      <c r="E13" s="54">
        <f t="shared" si="0"/>
        <v>3.0535714285714284</v>
      </c>
      <c r="F13">
        <v>2.8</v>
      </c>
      <c r="G13" s="63">
        <f t="shared" si="1"/>
        <v>492480</v>
      </c>
      <c r="H13" s="63">
        <v>750000</v>
      </c>
      <c r="I13" s="63">
        <f t="shared" si="2"/>
        <v>1242480</v>
      </c>
      <c r="J13" s="63">
        <f t="shared" si="3"/>
        <v>242.19883040935673</v>
      </c>
      <c r="K13" s="63">
        <v>283</v>
      </c>
    </row>
    <row r="14" spans="1:13" x14ac:dyDescent="0.25">
      <c r="A14" s="57">
        <v>45578</v>
      </c>
      <c r="B14">
        <v>13</v>
      </c>
      <c r="C14" s="69">
        <f>+D14*2</f>
        <v>640</v>
      </c>
      <c r="D14" s="69">
        <v>320</v>
      </c>
      <c r="E14" s="54">
        <f t="shared" si="0"/>
        <v>2</v>
      </c>
      <c r="F14">
        <v>2.8</v>
      </c>
      <c r="G14" s="63">
        <f>+C14*96</f>
        <v>61440</v>
      </c>
      <c r="H14" s="63">
        <f>+C14*M14</f>
        <v>111111.11111111111</v>
      </c>
      <c r="I14" s="63">
        <f t="shared" si="2"/>
        <v>172551.11111111112</v>
      </c>
      <c r="J14" s="63">
        <f t="shared" si="3"/>
        <v>269.61111111111114</v>
      </c>
      <c r="K14" s="63">
        <v>283</v>
      </c>
      <c r="L14">
        <f>+C14/D14</f>
        <v>2</v>
      </c>
      <c r="M14" s="64">
        <f>750000/4320</f>
        <v>173.61111111111111</v>
      </c>
    </row>
    <row r="15" spans="1:13" x14ac:dyDescent="0.25">
      <c r="A15" s="57">
        <v>45579</v>
      </c>
      <c r="B15" s="62">
        <v>14</v>
      </c>
      <c r="C15" s="69">
        <f>+D15*2</f>
        <v>480</v>
      </c>
      <c r="D15" s="69">
        <v>240</v>
      </c>
      <c r="E15" s="54">
        <f t="shared" si="0"/>
        <v>2</v>
      </c>
      <c r="F15">
        <v>2.8</v>
      </c>
      <c r="G15" s="63">
        <f t="shared" si="1"/>
        <v>46080</v>
      </c>
      <c r="H15" s="63">
        <f>+C15*M15</f>
        <v>83333.333333333328</v>
      </c>
      <c r="I15" s="63">
        <f t="shared" si="2"/>
        <v>129413.33333333333</v>
      </c>
      <c r="J15" s="63">
        <f t="shared" si="3"/>
        <v>269.61111111111109</v>
      </c>
      <c r="K15" s="63">
        <v>283</v>
      </c>
      <c r="L15">
        <f>+C15/D15</f>
        <v>2</v>
      </c>
      <c r="M15" s="64">
        <f>750000/4320</f>
        <v>173.61111111111111</v>
      </c>
    </row>
    <row r="16" spans="1:13" x14ac:dyDescent="0.25">
      <c r="A16" s="57">
        <v>45580</v>
      </c>
      <c r="B16" s="62">
        <v>15</v>
      </c>
      <c r="C16" s="69">
        <f>+D16*2</f>
        <v>3200</v>
      </c>
      <c r="D16" s="69">
        <v>1600</v>
      </c>
      <c r="E16" s="54">
        <f t="shared" si="0"/>
        <v>2</v>
      </c>
      <c r="F16">
        <v>2.8</v>
      </c>
      <c r="G16" s="63">
        <f>+C16*96</f>
        <v>307200</v>
      </c>
      <c r="H16" s="63">
        <f>+C16*M16</f>
        <v>555555.55555555562</v>
      </c>
      <c r="I16" s="63">
        <f t="shared" si="2"/>
        <v>862755.55555555562</v>
      </c>
      <c r="J16" s="63">
        <f t="shared" si="3"/>
        <v>269.61111111111114</v>
      </c>
      <c r="K16" s="63">
        <v>283</v>
      </c>
      <c r="L16">
        <f>+C16/D16</f>
        <v>2</v>
      </c>
      <c r="M16" s="64">
        <f>750000/4320</f>
        <v>173.61111111111111</v>
      </c>
    </row>
    <row r="17" spans="1:13" x14ac:dyDescent="0.25">
      <c r="A17" s="57">
        <v>45581</v>
      </c>
      <c r="B17">
        <v>16</v>
      </c>
      <c r="C17" s="69">
        <v>5830</v>
      </c>
      <c r="D17" s="69">
        <v>1440</v>
      </c>
      <c r="E17" s="54">
        <f t="shared" si="0"/>
        <v>4.0486111111111107</v>
      </c>
      <c r="F17">
        <v>2.8</v>
      </c>
      <c r="G17" s="63">
        <f t="shared" si="1"/>
        <v>559680</v>
      </c>
      <c r="H17" s="63">
        <v>750000</v>
      </c>
      <c r="I17" s="63">
        <f t="shared" si="2"/>
        <v>1309680</v>
      </c>
      <c r="J17" s="63">
        <f t="shared" si="3"/>
        <v>224.64493996569468</v>
      </c>
      <c r="K17" s="63">
        <v>283</v>
      </c>
    </row>
    <row r="18" spans="1:13" x14ac:dyDescent="0.25">
      <c r="A18" s="57">
        <v>45582</v>
      </c>
      <c r="B18" s="62">
        <v>17</v>
      </c>
      <c r="C18" s="69">
        <v>4530</v>
      </c>
      <c r="D18" s="69">
        <v>1360</v>
      </c>
      <c r="E18" s="54">
        <f t="shared" si="0"/>
        <v>3.3308823529411766</v>
      </c>
      <c r="F18">
        <v>2.8</v>
      </c>
      <c r="G18" s="63">
        <f>+C18*96</f>
        <v>434880</v>
      </c>
      <c r="H18" s="63">
        <v>750000</v>
      </c>
      <c r="I18" s="63">
        <f t="shared" si="2"/>
        <v>1184880</v>
      </c>
      <c r="J18" s="63">
        <f t="shared" si="3"/>
        <v>261.56291390728478</v>
      </c>
      <c r="K18" s="63">
        <v>283</v>
      </c>
    </row>
    <row r="19" spans="1:13" x14ac:dyDescent="0.25">
      <c r="A19" s="57">
        <v>45583</v>
      </c>
      <c r="B19" s="62">
        <v>18</v>
      </c>
      <c r="C19" s="69">
        <v>0</v>
      </c>
      <c r="D19" s="69">
        <v>0</v>
      </c>
      <c r="E19" s="54" t="e">
        <f t="shared" si="0"/>
        <v>#DIV/0!</v>
      </c>
      <c r="F19">
        <v>2.8</v>
      </c>
      <c r="G19" s="63">
        <f>+C19*96</f>
        <v>0</v>
      </c>
      <c r="H19" s="63">
        <f>+$M$7*C18</f>
        <v>0</v>
      </c>
      <c r="I19" s="63">
        <f t="shared" si="2"/>
        <v>0</v>
      </c>
      <c r="J19" s="63" t="e">
        <f t="shared" si="3"/>
        <v>#DIV/0!</v>
      </c>
      <c r="K19" s="63">
        <v>283</v>
      </c>
    </row>
    <row r="20" spans="1:13" x14ac:dyDescent="0.25">
      <c r="A20" s="57">
        <v>45584</v>
      </c>
      <c r="B20">
        <v>19</v>
      </c>
      <c r="C20" s="69">
        <f>+L22*D20</f>
        <v>1449.2307692307693</v>
      </c>
      <c r="D20" s="69">
        <v>320</v>
      </c>
      <c r="E20" s="54">
        <f t="shared" si="0"/>
        <v>4.5288461538461542</v>
      </c>
      <c r="F20">
        <v>2.8</v>
      </c>
      <c r="G20" s="63">
        <f t="shared" ref="G20:G33" si="4">+C20*96</f>
        <v>139126.15384615384</v>
      </c>
      <c r="H20" s="63">
        <f>+M20*C20</f>
        <v>230769.23076923078</v>
      </c>
      <c r="I20" s="63">
        <f t="shared" si="2"/>
        <v>369895.38461538462</v>
      </c>
      <c r="J20" s="63">
        <f t="shared" si="3"/>
        <v>255.23566878980893</v>
      </c>
      <c r="K20" s="63">
        <v>283</v>
      </c>
      <c r="L20" s="54">
        <f>4710/1040</f>
        <v>4.5288461538461542</v>
      </c>
      <c r="M20">
        <f>750000/4710</f>
        <v>159.23566878980893</v>
      </c>
    </row>
    <row r="21" spans="1:13" x14ac:dyDescent="0.25">
      <c r="A21" s="57">
        <v>45585</v>
      </c>
      <c r="B21" s="62">
        <v>20</v>
      </c>
      <c r="C21" s="69">
        <v>0</v>
      </c>
      <c r="D21" s="69">
        <v>0</v>
      </c>
      <c r="E21" s="54" t="e">
        <f t="shared" si="0"/>
        <v>#DIV/0!</v>
      </c>
      <c r="F21">
        <v>2.8</v>
      </c>
      <c r="G21" s="63">
        <f t="shared" si="4"/>
        <v>0</v>
      </c>
      <c r="H21" s="63">
        <f>+$M$7*C20</f>
        <v>0</v>
      </c>
      <c r="I21" s="63">
        <f t="shared" si="2"/>
        <v>0</v>
      </c>
      <c r="J21" s="63" t="e">
        <f t="shared" si="3"/>
        <v>#DIV/0!</v>
      </c>
      <c r="K21" s="63">
        <v>283</v>
      </c>
    </row>
    <row r="22" spans="1:13" x14ac:dyDescent="0.25">
      <c r="A22" s="57">
        <v>45586</v>
      </c>
      <c r="B22" s="62">
        <v>21</v>
      </c>
      <c r="C22" s="69">
        <f>+D22*L22</f>
        <v>3260.7692307692309</v>
      </c>
      <c r="D22" s="69">
        <v>720</v>
      </c>
      <c r="E22" s="54">
        <f t="shared" si="0"/>
        <v>4.5288461538461542</v>
      </c>
      <c r="F22">
        <v>2.8</v>
      </c>
      <c r="G22" s="63">
        <f t="shared" si="4"/>
        <v>313033.84615384619</v>
      </c>
      <c r="H22" s="63">
        <f>+M22*C22</f>
        <v>519230.76923076931</v>
      </c>
      <c r="I22" s="63">
        <f t="shared" si="2"/>
        <v>832264.61538461549</v>
      </c>
      <c r="J22" s="63">
        <f t="shared" si="3"/>
        <v>255.23566878980893</v>
      </c>
      <c r="K22" s="63">
        <v>283</v>
      </c>
      <c r="L22" s="54">
        <f>4710/1040</f>
        <v>4.5288461538461542</v>
      </c>
      <c r="M22">
        <f>750000/4710</f>
        <v>159.23566878980893</v>
      </c>
    </row>
    <row r="23" spans="1:13" x14ac:dyDescent="0.25">
      <c r="A23" s="57">
        <v>45587</v>
      </c>
      <c r="B23">
        <v>22</v>
      </c>
      <c r="C23" s="69">
        <f>+D23*L23</f>
        <v>3215.3846153846152</v>
      </c>
      <c r="D23" s="69">
        <v>1760</v>
      </c>
      <c r="E23" s="54">
        <f t="shared" si="0"/>
        <v>1.8269230769230769</v>
      </c>
      <c r="F23">
        <v>2.8</v>
      </c>
      <c r="G23" s="63">
        <f t="shared" si="4"/>
        <v>308676.92307692306</v>
      </c>
      <c r="H23" s="63">
        <f>+C23*M23</f>
        <v>423076.92307692301</v>
      </c>
      <c r="I23" s="63">
        <f t="shared" si="2"/>
        <v>731753.84615384601</v>
      </c>
      <c r="J23" s="63">
        <f t="shared" si="3"/>
        <v>227.57894736842101</v>
      </c>
      <c r="K23" s="63">
        <v>283</v>
      </c>
      <c r="L23" s="64">
        <v>1.8269230769230769</v>
      </c>
      <c r="M23" s="54">
        <f>750000/5700</f>
        <v>131.57894736842104</v>
      </c>
    </row>
    <row r="24" spans="1:13" x14ac:dyDescent="0.25">
      <c r="A24" s="57">
        <v>45588</v>
      </c>
      <c r="B24" s="62">
        <v>23</v>
      </c>
      <c r="C24" s="69">
        <f>+D24*L24</f>
        <v>2484.6153846153848</v>
      </c>
      <c r="D24" s="69">
        <v>1360</v>
      </c>
      <c r="E24" s="54">
        <f t="shared" si="0"/>
        <v>1.8269230769230771</v>
      </c>
      <c r="F24">
        <v>2.8</v>
      </c>
      <c r="G24" s="63">
        <f t="shared" si="4"/>
        <v>238523.07692307694</v>
      </c>
      <c r="H24" s="63">
        <f>+C24*M24</f>
        <v>326923.07692307694</v>
      </c>
      <c r="I24" s="63">
        <f t="shared" si="2"/>
        <v>565446.15384615387</v>
      </c>
      <c r="J24" s="63">
        <f t="shared" si="3"/>
        <v>227.57894736842104</v>
      </c>
      <c r="K24" s="63">
        <v>283</v>
      </c>
      <c r="L24" s="64">
        <v>1.8269230769230769</v>
      </c>
      <c r="M24" s="54">
        <f>750000/5700</f>
        <v>131.57894736842104</v>
      </c>
    </row>
    <row r="25" spans="1:13" x14ac:dyDescent="0.25">
      <c r="A25" s="57">
        <v>45589</v>
      </c>
      <c r="B25" s="62">
        <v>24</v>
      </c>
      <c r="C25" s="69">
        <v>4410</v>
      </c>
      <c r="D25" s="69">
        <v>400</v>
      </c>
      <c r="E25" s="54">
        <f t="shared" si="0"/>
        <v>11.025</v>
      </c>
      <c r="F25">
        <v>2.8</v>
      </c>
      <c r="G25" s="63">
        <f t="shared" si="4"/>
        <v>423360</v>
      </c>
      <c r="H25" s="63">
        <v>750000</v>
      </c>
      <c r="I25" s="63">
        <f t="shared" si="2"/>
        <v>1173360</v>
      </c>
      <c r="J25" s="63">
        <f t="shared" si="3"/>
        <v>266.06802721088434</v>
      </c>
      <c r="K25" s="63">
        <v>283</v>
      </c>
      <c r="L25" s="64"/>
      <c r="M25" s="54"/>
    </row>
    <row r="26" spans="1:13" x14ac:dyDescent="0.25">
      <c r="A26" s="57">
        <v>45590</v>
      </c>
      <c r="B26">
        <v>25</v>
      </c>
      <c r="C26" s="69">
        <f>+D26*L26</f>
        <v>2234.2857142857142</v>
      </c>
      <c r="D26" s="69">
        <v>1360</v>
      </c>
      <c r="E26" s="54">
        <f t="shared" si="0"/>
        <v>1.6428571428571428</v>
      </c>
      <c r="F26">
        <v>2.8</v>
      </c>
      <c r="G26" s="63">
        <f t="shared" si="4"/>
        <v>214491.42857142858</v>
      </c>
      <c r="H26" s="63">
        <f t="shared" ref="H26:H31" si="5">+C26*M26</f>
        <v>364285.71428571426</v>
      </c>
      <c r="I26" s="63">
        <f t="shared" si="2"/>
        <v>578777.14285714284</v>
      </c>
      <c r="J26" s="63">
        <f t="shared" si="3"/>
        <v>259.04347826086956</v>
      </c>
      <c r="K26" s="63">
        <v>283</v>
      </c>
      <c r="L26" s="64">
        <f>4600/2800</f>
        <v>1.6428571428571428</v>
      </c>
      <c r="M26">
        <f>750000/4600</f>
        <v>163.04347826086956</v>
      </c>
    </row>
    <row r="27" spans="1:13" x14ac:dyDescent="0.25">
      <c r="A27" s="57">
        <v>45591</v>
      </c>
      <c r="B27" s="62">
        <v>26</v>
      </c>
      <c r="C27" s="69">
        <f>+D27*L27</f>
        <v>2365.7142857142858</v>
      </c>
      <c r="D27" s="69">
        <v>1440</v>
      </c>
      <c r="E27" s="54">
        <f t="shared" si="0"/>
        <v>1.6428571428571428</v>
      </c>
      <c r="F27">
        <v>2.8</v>
      </c>
      <c r="G27" s="63">
        <f t="shared" si="4"/>
        <v>227108.57142857142</v>
      </c>
      <c r="H27" s="63">
        <f t="shared" si="5"/>
        <v>385714.28571428574</v>
      </c>
      <c r="I27" s="63">
        <f t="shared" si="2"/>
        <v>612822.85714285716</v>
      </c>
      <c r="J27" s="63">
        <f t="shared" si="3"/>
        <v>259.04347826086956</v>
      </c>
      <c r="K27" s="63">
        <v>283</v>
      </c>
      <c r="L27" s="64">
        <f>4600/2800</f>
        <v>1.6428571428571428</v>
      </c>
      <c r="M27">
        <f>750000/4600</f>
        <v>163.04347826086956</v>
      </c>
    </row>
    <row r="28" spans="1:13" x14ac:dyDescent="0.25">
      <c r="A28" s="57">
        <v>45592</v>
      </c>
      <c r="B28" s="62">
        <v>27</v>
      </c>
      <c r="C28" s="69">
        <f>7360</f>
        <v>7360</v>
      </c>
      <c r="D28" s="69">
        <v>480</v>
      </c>
      <c r="E28" s="54">
        <f t="shared" si="0"/>
        <v>15.333333333333334</v>
      </c>
      <c r="F28">
        <v>2.8</v>
      </c>
      <c r="G28" s="63">
        <f t="shared" si="4"/>
        <v>706560</v>
      </c>
      <c r="H28" s="63">
        <f t="shared" si="5"/>
        <v>667876.5880217785</v>
      </c>
      <c r="I28" s="63">
        <f>+G28+H28</f>
        <v>1374436.5880217785</v>
      </c>
      <c r="J28" s="63">
        <f t="shared" si="3"/>
        <v>186.74410163339383</v>
      </c>
      <c r="K28" s="63">
        <v>283</v>
      </c>
      <c r="L28" s="64">
        <f>16530/960</f>
        <v>17.21875</v>
      </c>
      <c r="M28">
        <f>(750000+750000)/(C28+C29)</f>
        <v>90.744101633393825</v>
      </c>
    </row>
    <row r="29" spans="1:13" x14ac:dyDescent="0.25">
      <c r="A29" s="57">
        <v>45592</v>
      </c>
      <c r="B29" s="62">
        <v>28</v>
      </c>
      <c r="C29" s="69">
        <v>9170</v>
      </c>
      <c r="D29" s="69">
        <v>480</v>
      </c>
      <c r="E29" s="54">
        <f t="shared" si="0"/>
        <v>19.104166666666668</v>
      </c>
      <c r="F29">
        <v>2.8</v>
      </c>
      <c r="G29" s="63">
        <f t="shared" si="4"/>
        <v>880320</v>
      </c>
      <c r="H29" s="63">
        <f t="shared" si="5"/>
        <v>832123.41197822138</v>
      </c>
      <c r="I29" s="63">
        <f t="shared" si="2"/>
        <v>1712443.4119782215</v>
      </c>
      <c r="J29" s="63">
        <f t="shared" si="3"/>
        <v>186.74410163339383</v>
      </c>
      <c r="K29" s="63">
        <v>283</v>
      </c>
      <c r="L29" s="64">
        <f>16530/960</f>
        <v>17.21875</v>
      </c>
      <c r="M29">
        <f>(750000+750000)/(C28+C29)</f>
        <v>90.744101633393825</v>
      </c>
    </row>
    <row r="30" spans="1:13" x14ac:dyDescent="0.25">
      <c r="A30" s="57">
        <v>45593</v>
      </c>
      <c r="B30" s="62">
        <v>29</v>
      </c>
      <c r="C30" s="69">
        <f>6180</f>
        <v>6180</v>
      </c>
      <c r="D30" s="69">
        <v>760</v>
      </c>
      <c r="E30" s="54">
        <f t="shared" si="0"/>
        <v>8.1315789473684212</v>
      </c>
      <c r="F30">
        <v>2.8</v>
      </c>
      <c r="G30" s="63">
        <f t="shared" si="4"/>
        <v>593280</v>
      </c>
      <c r="H30" s="63">
        <f t="shared" si="5"/>
        <v>1155860.349127182</v>
      </c>
      <c r="I30" s="63">
        <f t="shared" si="2"/>
        <v>1749140.349127182</v>
      </c>
      <c r="J30" s="63">
        <f t="shared" si="3"/>
        <v>283.03241895261846</v>
      </c>
      <c r="K30" s="63">
        <v>283</v>
      </c>
      <c r="L30" s="64">
        <v>5.2763157894736841</v>
      </c>
      <c r="M30">
        <f>(750000+750000)/(C30+C31)</f>
        <v>187.03241895261846</v>
      </c>
    </row>
    <row r="31" spans="1:13" x14ac:dyDescent="0.25">
      <c r="A31" s="57">
        <v>45593</v>
      </c>
      <c r="B31" s="62">
        <v>30</v>
      </c>
      <c r="C31" s="69">
        <v>1840</v>
      </c>
      <c r="D31" s="69">
        <v>760</v>
      </c>
      <c r="E31" s="54">
        <f t="shared" si="0"/>
        <v>2.4210526315789473</v>
      </c>
      <c r="F31">
        <v>2.8</v>
      </c>
      <c r="G31" s="63">
        <f t="shared" si="4"/>
        <v>176640</v>
      </c>
      <c r="H31" s="63">
        <f t="shared" si="5"/>
        <v>344139.65087281796</v>
      </c>
      <c r="I31" s="63">
        <f t="shared" si="2"/>
        <v>520779.65087281796</v>
      </c>
      <c r="J31" s="63">
        <f t="shared" si="3"/>
        <v>283.03241895261846</v>
      </c>
      <c r="K31" s="63">
        <v>283</v>
      </c>
      <c r="L31" s="64">
        <v>5.2763157894736841</v>
      </c>
      <c r="M31">
        <f>(750000+750000)/(C30+C31)</f>
        <v>187.03241895261846</v>
      </c>
    </row>
    <row r="32" spans="1:13" x14ac:dyDescent="0.25">
      <c r="A32" s="57">
        <v>45594</v>
      </c>
      <c r="B32" s="62">
        <v>31</v>
      </c>
      <c r="C32" s="69">
        <v>5310</v>
      </c>
      <c r="D32" s="69">
        <v>1600</v>
      </c>
      <c r="E32" s="54">
        <f t="shared" si="0"/>
        <v>3.3187500000000001</v>
      </c>
      <c r="F32">
        <v>2.8</v>
      </c>
      <c r="G32" s="63">
        <f t="shared" si="4"/>
        <v>509760</v>
      </c>
      <c r="H32" s="63">
        <v>750000</v>
      </c>
      <c r="I32" s="63">
        <f t="shared" si="2"/>
        <v>1259760</v>
      </c>
      <c r="J32" s="63">
        <f t="shared" si="3"/>
        <v>237.24293785310735</v>
      </c>
      <c r="K32" s="63">
        <v>283</v>
      </c>
    </row>
    <row r="33" spans="1:12" x14ac:dyDescent="0.25">
      <c r="A33" s="57">
        <v>45595</v>
      </c>
      <c r="B33" s="62">
        <v>32</v>
      </c>
      <c r="C33" s="69">
        <v>4490</v>
      </c>
      <c r="D33" s="69">
        <v>1520</v>
      </c>
      <c r="E33" s="54">
        <f t="shared" si="0"/>
        <v>2.9539473684210527</v>
      </c>
      <c r="F33">
        <v>2.8</v>
      </c>
      <c r="G33" s="63">
        <f t="shared" si="4"/>
        <v>431040</v>
      </c>
      <c r="H33" s="63">
        <v>750000</v>
      </c>
      <c r="I33" s="63">
        <f t="shared" si="2"/>
        <v>1181040</v>
      </c>
      <c r="J33" s="63">
        <f t="shared" si="3"/>
        <v>263.0378619153675</v>
      </c>
      <c r="K33" s="63">
        <v>283</v>
      </c>
      <c r="L33" s="54"/>
    </row>
    <row r="34" spans="1:12" x14ac:dyDescent="0.25">
      <c r="A34" s="57">
        <v>45596</v>
      </c>
      <c r="B34" s="62">
        <v>33</v>
      </c>
      <c r="D34" s="69">
        <v>1760</v>
      </c>
      <c r="E34" s="54">
        <f t="shared" si="0"/>
        <v>0</v>
      </c>
      <c r="F34">
        <v>2.8</v>
      </c>
      <c r="J34" s="63" t="e">
        <f t="shared" si="3"/>
        <v>#DIV/0!</v>
      </c>
    </row>
    <row r="35" spans="1:12" x14ac:dyDescent="0.25">
      <c r="C35" s="69">
        <f>SUM(C2:C33)</f>
        <v>110400</v>
      </c>
      <c r="D35" s="69">
        <v>36320</v>
      </c>
      <c r="E35" s="54">
        <f>+C35/D35</f>
        <v>3.0396475770925111</v>
      </c>
      <c r="G35" s="65">
        <f>SUM(G2:G33)</f>
        <v>10367833.043478262</v>
      </c>
      <c r="H35" s="65">
        <f>SUM(H2:H33)</f>
        <v>16499999.999999998</v>
      </c>
      <c r="I35" s="65">
        <f>SUM(I2:I33)</f>
        <v>26867833.043478265</v>
      </c>
      <c r="J35" s="63">
        <f>+I35/C35</f>
        <v>243.36805293005676</v>
      </c>
      <c r="K35" s="63">
        <v>283</v>
      </c>
    </row>
    <row r="39" spans="1:12" x14ac:dyDescent="0.25">
      <c r="D39" s="162" t="s">
        <v>77</v>
      </c>
      <c r="E39" s="162"/>
      <c r="F39" s="162"/>
    </row>
    <row r="40" spans="1:12" x14ac:dyDescent="0.25">
      <c r="D40" s="71" t="s">
        <v>72</v>
      </c>
      <c r="E40" s="1" t="s">
        <v>74</v>
      </c>
      <c r="F40" s="1" t="s">
        <v>73</v>
      </c>
    </row>
    <row r="41" spans="1:12" x14ac:dyDescent="0.25">
      <c r="D41" s="71">
        <f>+D35</f>
        <v>36320</v>
      </c>
      <c r="E41" s="8">
        <f>+E35</f>
        <v>3.0396475770925111</v>
      </c>
      <c r="F41" s="67">
        <f>+J35</f>
        <v>243.36805293005676</v>
      </c>
    </row>
  </sheetData>
  <mergeCells count="1">
    <mergeCell ref="D39:F3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D625D-D47D-46CA-A44F-38C804284306}">
  <dimension ref="A1:M36"/>
  <sheetViews>
    <sheetView zoomScale="115" zoomScaleNormal="115" workbookViewId="0">
      <selection activeCell="E23" sqref="E23"/>
    </sheetView>
  </sheetViews>
  <sheetFormatPr baseColWidth="10" defaultRowHeight="14.3" x14ac:dyDescent="0.25"/>
  <cols>
    <col min="1" max="1" width="12.625" bestFit="1" customWidth="1"/>
    <col min="2" max="2" width="6.25" customWidth="1"/>
    <col min="6" max="6" width="12.25" style="73" bestFit="1" customWidth="1"/>
    <col min="7" max="7" width="12.75" bestFit="1" customWidth="1"/>
    <col min="8" max="8" width="16.125" bestFit="1" customWidth="1"/>
    <col min="9" max="9" width="14.375" bestFit="1" customWidth="1"/>
    <col min="12" max="12" width="16.125" bestFit="1" customWidth="1"/>
    <col min="13" max="13" width="19" bestFit="1" customWidth="1"/>
  </cols>
  <sheetData>
    <row r="1" spans="1:13" x14ac:dyDescent="0.25">
      <c r="A1" s="61" t="s">
        <v>59</v>
      </c>
      <c r="B1" s="61" t="s">
        <v>63</v>
      </c>
      <c r="C1" s="61" t="s">
        <v>60</v>
      </c>
      <c r="D1" s="61" t="s">
        <v>61</v>
      </c>
      <c r="E1" s="61" t="s">
        <v>62</v>
      </c>
      <c r="F1" s="61" t="s">
        <v>68</v>
      </c>
      <c r="G1" s="61" t="s">
        <v>64</v>
      </c>
      <c r="H1" s="61" t="s">
        <v>65</v>
      </c>
      <c r="I1" s="61" t="s">
        <v>67</v>
      </c>
      <c r="J1" s="61" t="s">
        <v>66</v>
      </c>
      <c r="K1" s="61" t="s">
        <v>69</v>
      </c>
      <c r="L1" s="61" t="s">
        <v>70</v>
      </c>
      <c r="M1" s="61" t="s">
        <v>71</v>
      </c>
    </row>
    <row r="2" spans="1:13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</row>
    <row r="3" spans="1:13" x14ac:dyDescent="0.25">
      <c r="A3" s="57">
        <v>45629</v>
      </c>
      <c r="B3" s="62">
        <f t="shared" ref="B3:B10" si="0">DAY(A3)</f>
        <v>3</v>
      </c>
      <c r="C3">
        <v>6850</v>
      </c>
      <c r="D3" s="9">
        <v>1360</v>
      </c>
      <c r="E3" s="54">
        <f t="shared" ref="E3:E10" si="1">+C3/D3</f>
        <v>5.0367647058823533</v>
      </c>
      <c r="F3" s="73">
        <v>2.8</v>
      </c>
      <c r="G3" s="63">
        <f>+C3*96</f>
        <v>657600</v>
      </c>
      <c r="H3" s="63">
        <v>750000</v>
      </c>
      <c r="I3" s="63">
        <f>+G3+H3</f>
        <v>1407600</v>
      </c>
      <c r="J3" s="63">
        <f t="shared" ref="J3:J10" si="2">+I3/C3</f>
        <v>205.4890510948905</v>
      </c>
      <c r="K3" s="63">
        <v>283</v>
      </c>
    </row>
    <row r="4" spans="1:13" x14ac:dyDescent="0.25">
      <c r="A4" s="57">
        <v>45630</v>
      </c>
      <c r="B4" s="62">
        <f t="shared" si="0"/>
        <v>4</v>
      </c>
      <c r="C4" s="58">
        <v>4970</v>
      </c>
      <c r="D4" s="10">
        <v>783.61610968294769</v>
      </c>
      <c r="E4" s="54">
        <f t="shared" si="1"/>
        <v>6.3423913043478262</v>
      </c>
      <c r="F4" s="73">
        <v>2.8</v>
      </c>
      <c r="G4" s="63">
        <f t="shared" ref="G4:G10" si="3">+C4*96</f>
        <v>477120</v>
      </c>
      <c r="H4" s="63">
        <v>750000</v>
      </c>
      <c r="I4" s="63">
        <f t="shared" ref="I4:I10" si="4">+G4+H4</f>
        <v>1227120</v>
      </c>
      <c r="J4" s="63">
        <f t="shared" si="2"/>
        <v>246.90543259557344</v>
      </c>
      <c r="K4" s="63">
        <v>283</v>
      </c>
    </row>
    <row r="5" spans="1:13" x14ac:dyDescent="0.25">
      <c r="A5" s="57">
        <v>45630</v>
      </c>
      <c r="B5" s="62">
        <f t="shared" si="0"/>
        <v>4</v>
      </c>
      <c r="C5" s="58">
        <v>6700</v>
      </c>
      <c r="D5" s="10">
        <v>1056.3838903170522</v>
      </c>
      <c r="E5" s="54">
        <f t="shared" si="1"/>
        <v>6.3423913043478262</v>
      </c>
      <c r="F5" s="73">
        <v>2.8</v>
      </c>
      <c r="G5" s="63">
        <f t="shared" si="3"/>
        <v>643200</v>
      </c>
      <c r="H5" s="63">
        <v>750000</v>
      </c>
      <c r="I5" s="63">
        <f t="shared" si="4"/>
        <v>1393200</v>
      </c>
      <c r="J5" s="63">
        <f t="shared" si="2"/>
        <v>207.9402985074627</v>
      </c>
      <c r="K5" s="63">
        <v>283</v>
      </c>
      <c r="L5" s="64"/>
      <c r="M5" s="64"/>
    </row>
    <row r="6" spans="1:13" x14ac:dyDescent="0.25">
      <c r="A6" s="57">
        <v>45631</v>
      </c>
      <c r="B6" s="62">
        <f t="shared" si="0"/>
        <v>5</v>
      </c>
      <c r="C6" s="58">
        <v>4430</v>
      </c>
      <c r="D6" s="9">
        <v>1920</v>
      </c>
      <c r="E6" s="54">
        <f t="shared" si="1"/>
        <v>2.3072916666666665</v>
      </c>
      <c r="F6" s="73">
        <v>2.8</v>
      </c>
      <c r="G6" s="63">
        <f t="shared" si="3"/>
        <v>425280</v>
      </c>
      <c r="H6" s="63">
        <v>750000</v>
      </c>
      <c r="I6" s="63">
        <f t="shared" si="4"/>
        <v>1175280</v>
      </c>
      <c r="J6" s="63">
        <f t="shared" si="2"/>
        <v>265.30022573363431</v>
      </c>
      <c r="K6" s="63">
        <v>283</v>
      </c>
      <c r="L6" s="64"/>
      <c r="M6" s="54"/>
    </row>
    <row r="7" spans="1:13" x14ac:dyDescent="0.25">
      <c r="A7" s="57">
        <v>45632</v>
      </c>
      <c r="B7" s="62">
        <f t="shared" si="0"/>
        <v>6</v>
      </c>
      <c r="C7">
        <v>4850</v>
      </c>
      <c r="D7" s="9">
        <v>1760</v>
      </c>
      <c r="E7" s="54">
        <f t="shared" si="1"/>
        <v>2.7556818181818183</v>
      </c>
      <c r="F7" s="73">
        <v>2.8</v>
      </c>
      <c r="G7" s="63">
        <f t="shared" si="3"/>
        <v>465600</v>
      </c>
      <c r="H7" s="63">
        <v>750000</v>
      </c>
      <c r="I7" s="63">
        <f t="shared" si="4"/>
        <v>1215600</v>
      </c>
      <c r="J7" s="63">
        <f t="shared" si="2"/>
        <v>250.63917525773195</v>
      </c>
      <c r="K7" s="63">
        <v>283</v>
      </c>
      <c r="L7" s="64"/>
      <c r="M7" s="54"/>
    </row>
    <row r="8" spans="1:13" x14ac:dyDescent="0.25">
      <c r="A8" s="57">
        <v>45635</v>
      </c>
      <c r="B8" s="62">
        <f t="shared" si="0"/>
        <v>9</v>
      </c>
      <c r="C8">
        <v>1910</v>
      </c>
      <c r="D8" s="9">
        <v>1200</v>
      </c>
      <c r="E8" s="54">
        <f t="shared" si="1"/>
        <v>1.5916666666666666</v>
      </c>
      <c r="F8" s="73">
        <v>2.8</v>
      </c>
      <c r="G8" s="63">
        <f t="shared" si="3"/>
        <v>183360</v>
      </c>
      <c r="H8" s="63">
        <v>750000</v>
      </c>
      <c r="I8" s="63">
        <f t="shared" si="4"/>
        <v>933360</v>
      </c>
      <c r="J8" s="63">
        <f t="shared" si="2"/>
        <v>488.67015706806285</v>
      </c>
      <c r="K8" s="63">
        <v>283</v>
      </c>
      <c r="L8" s="64"/>
      <c r="M8" s="54"/>
    </row>
    <row r="9" spans="1:13" x14ac:dyDescent="0.25">
      <c r="A9" s="57">
        <v>45636</v>
      </c>
      <c r="B9" s="62">
        <f t="shared" si="0"/>
        <v>10</v>
      </c>
      <c r="C9">
        <v>4930</v>
      </c>
      <c r="D9" s="9">
        <v>1840</v>
      </c>
      <c r="E9" s="54">
        <f t="shared" si="1"/>
        <v>2.6793478260869565</v>
      </c>
      <c r="F9" s="73">
        <v>2.8</v>
      </c>
      <c r="G9" s="63">
        <f t="shared" si="3"/>
        <v>473280</v>
      </c>
      <c r="H9" s="63">
        <v>750000</v>
      </c>
      <c r="I9" s="63">
        <f t="shared" si="4"/>
        <v>1223280</v>
      </c>
      <c r="J9" s="63">
        <f t="shared" si="2"/>
        <v>248.12981744421907</v>
      </c>
      <c r="K9" s="63">
        <v>283</v>
      </c>
      <c r="L9" s="64"/>
      <c r="M9" s="54"/>
    </row>
    <row r="10" spans="1:13" x14ac:dyDescent="0.25">
      <c r="A10" s="57">
        <v>45637</v>
      </c>
      <c r="B10" s="62">
        <f t="shared" si="0"/>
        <v>11</v>
      </c>
      <c r="C10">
        <v>4510</v>
      </c>
      <c r="D10" s="9">
        <v>1840</v>
      </c>
      <c r="E10" s="54">
        <f t="shared" si="1"/>
        <v>2.4510869565217392</v>
      </c>
      <c r="F10" s="73">
        <v>2.8</v>
      </c>
      <c r="G10" s="63">
        <f t="shared" si="3"/>
        <v>432960</v>
      </c>
      <c r="H10" s="63">
        <v>750000</v>
      </c>
      <c r="I10" s="63">
        <f t="shared" si="4"/>
        <v>1182960</v>
      </c>
      <c r="J10" s="63">
        <f t="shared" si="2"/>
        <v>262.29711751662973</v>
      </c>
      <c r="K10" s="63">
        <v>283</v>
      </c>
      <c r="L10" s="64"/>
      <c r="M10" s="54"/>
    </row>
    <row r="11" spans="1:13" x14ac:dyDescent="0.25">
      <c r="A11" s="57"/>
      <c r="D11" s="9"/>
      <c r="E11" s="54"/>
      <c r="F11"/>
      <c r="G11" s="81"/>
      <c r="H11" s="81"/>
      <c r="I11" s="81"/>
      <c r="J11" s="81"/>
      <c r="K11" s="81"/>
    </row>
    <row r="12" spans="1:13" x14ac:dyDescent="0.25">
      <c r="A12" s="57"/>
      <c r="D12" s="9"/>
      <c r="E12" s="54"/>
      <c r="F12"/>
      <c r="G12" s="81"/>
      <c r="H12" s="81"/>
      <c r="I12" s="81"/>
      <c r="J12" s="81"/>
      <c r="K12" s="81"/>
    </row>
    <row r="13" spans="1:13" x14ac:dyDescent="0.25">
      <c r="A13" s="57"/>
      <c r="C13" s="58"/>
      <c r="D13" s="9"/>
      <c r="E13" s="54"/>
      <c r="F13"/>
      <c r="G13" s="81"/>
      <c r="H13" s="81"/>
      <c r="I13" s="81"/>
      <c r="J13" s="81"/>
      <c r="K13" s="81"/>
      <c r="L13" s="64"/>
      <c r="M13" s="64"/>
    </row>
    <row r="14" spans="1:13" x14ac:dyDescent="0.25">
      <c r="A14" s="57"/>
      <c r="C14" s="58"/>
      <c r="D14" s="9"/>
      <c r="E14" s="54"/>
      <c r="F14"/>
      <c r="G14" s="81"/>
      <c r="H14" s="81"/>
      <c r="I14" s="81"/>
      <c r="J14" s="81"/>
      <c r="K14" s="81"/>
      <c r="L14" s="64"/>
      <c r="M14" s="64"/>
    </row>
    <row r="15" spans="1:13" x14ac:dyDescent="0.25">
      <c r="A15" s="57"/>
      <c r="C15" s="58"/>
      <c r="D15" s="9"/>
      <c r="E15" s="54"/>
      <c r="F15"/>
      <c r="G15" s="81"/>
      <c r="H15" s="81"/>
      <c r="I15" s="81"/>
      <c r="J15" s="81"/>
      <c r="K15" s="81"/>
    </row>
    <row r="16" spans="1:13" x14ac:dyDescent="0.25">
      <c r="A16" s="57"/>
      <c r="C16" s="58"/>
      <c r="D16" s="9"/>
      <c r="E16" s="54"/>
      <c r="F16"/>
      <c r="G16" s="81"/>
      <c r="H16" s="81"/>
      <c r="I16" s="81"/>
      <c r="J16" s="81"/>
      <c r="K16" s="81"/>
    </row>
    <row r="17" spans="1:13" x14ac:dyDescent="0.25">
      <c r="A17" s="57"/>
      <c r="C17" s="58"/>
      <c r="D17" s="9"/>
      <c r="E17" s="54"/>
      <c r="F17"/>
      <c r="G17" s="81"/>
      <c r="H17" s="81"/>
      <c r="I17" s="81"/>
      <c r="J17" s="81"/>
      <c r="K17" s="81"/>
    </row>
    <row r="18" spans="1:13" x14ac:dyDescent="0.25">
      <c r="A18" s="57"/>
      <c r="C18" s="58"/>
      <c r="D18" s="9"/>
      <c r="E18" s="54"/>
      <c r="F18"/>
      <c r="G18" s="81"/>
      <c r="H18" s="83"/>
      <c r="I18" s="81"/>
      <c r="J18" s="81"/>
      <c r="K18" s="81"/>
      <c r="L18" s="82"/>
    </row>
    <row r="19" spans="1:13" x14ac:dyDescent="0.25">
      <c r="A19" s="57"/>
      <c r="C19" s="58"/>
      <c r="D19" s="9"/>
      <c r="E19" s="54"/>
      <c r="F19"/>
      <c r="G19" s="81"/>
      <c r="H19" s="81"/>
      <c r="I19" s="81"/>
      <c r="J19" s="81"/>
      <c r="K19" s="81"/>
    </row>
    <row r="20" spans="1:13" x14ac:dyDescent="0.25">
      <c r="A20" s="57"/>
      <c r="C20" s="58"/>
      <c r="D20" s="9"/>
      <c r="E20" s="54"/>
      <c r="F20"/>
      <c r="G20" s="81"/>
      <c r="H20" s="81"/>
      <c r="I20" s="81"/>
      <c r="J20" s="81"/>
      <c r="K20" s="81"/>
    </row>
    <row r="21" spans="1:13" x14ac:dyDescent="0.25">
      <c r="A21" s="57"/>
      <c r="C21" s="58"/>
      <c r="D21" s="9"/>
      <c r="E21" s="54"/>
      <c r="F21"/>
      <c r="G21" s="81"/>
      <c r="H21" s="81"/>
      <c r="I21" s="81"/>
      <c r="J21" s="81"/>
      <c r="K21" s="81"/>
    </row>
    <row r="22" spans="1:13" x14ac:dyDescent="0.25">
      <c r="A22" s="57"/>
      <c r="C22" s="58"/>
      <c r="D22" s="9"/>
      <c r="E22" s="54"/>
      <c r="F22"/>
      <c r="G22" s="81"/>
      <c r="H22" s="81"/>
      <c r="I22" s="81"/>
      <c r="J22" s="81"/>
      <c r="K22" s="81"/>
    </row>
    <row r="23" spans="1:13" x14ac:dyDescent="0.25">
      <c r="A23" s="57"/>
      <c r="C23" s="58"/>
      <c r="D23" s="9"/>
      <c r="E23" s="54"/>
      <c r="F23"/>
      <c r="G23" s="81"/>
      <c r="H23" s="81"/>
      <c r="I23" s="81"/>
      <c r="J23" s="81"/>
      <c r="K23" s="81"/>
    </row>
    <row r="24" spans="1:13" x14ac:dyDescent="0.25">
      <c r="A24" s="57"/>
      <c r="C24" s="58"/>
      <c r="D24" s="9"/>
      <c r="E24" s="54"/>
      <c r="F24"/>
      <c r="G24" s="81"/>
      <c r="H24" s="81"/>
      <c r="I24" s="81"/>
      <c r="J24" s="81"/>
      <c r="K24" s="81"/>
    </row>
    <row r="25" spans="1:13" x14ac:dyDescent="0.25">
      <c r="A25" s="57"/>
      <c r="C25" s="58"/>
      <c r="D25" s="9"/>
      <c r="E25" s="54"/>
      <c r="F25"/>
      <c r="G25" s="81"/>
      <c r="H25" s="81"/>
      <c r="I25" s="81"/>
      <c r="J25" s="81"/>
      <c r="K25" s="81"/>
      <c r="L25" s="64"/>
      <c r="M25" s="54"/>
    </row>
    <row r="26" spans="1:13" x14ac:dyDescent="0.25">
      <c r="A26" s="57"/>
      <c r="C26" s="58"/>
      <c r="D26" s="9"/>
      <c r="E26" s="54"/>
      <c r="F26"/>
      <c r="G26" s="81"/>
      <c r="H26" s="81"/>
      <c r="I26" s="81"/>
      <c r="J26" s="81"/>
      <c r="K26" s="81"/>
      <c r="L26" s="64"/>
      <c r="M26" s="54"/>
    </row>
    <row r="27" spans="1:13" x14ac:dyDescent="0.25">
      <c r="A27" s="57"/>
      <c r="C27" s="57"/>
      <c r="D27" s="57"/>
      <c r="E27" s="54"/>
      <c r="F27"/>
      <c r="G27" s="81"/>
      <c r="H27" s="81"/>
      <c r="I27" s="81"/>
      <c r="J27" s="81"/>
      <c r="K27" s="81"/>
      <c r="L27" s="64"/>
      <c r="M27" s="54"/>
    </row>
    <row r="28" spans="1:13" x14ac:dyDescent="0.25">
      <c r="A28" s="57"/>
      <c r="C28" s="57"/>
      <c r="D28" s="57"/>
      <c r="E28" s="54"/>
      <c r="F28"/>
      <c r="G28" s="81"/>
      <c r="H28" s="81"/>
      <c r="I28" s="81"/>
      <c r="J28" s="81"/>
      <c r="K28" s="81"/>
    </row>
    <row r="29" spans="1:13" x14ac:dyDescent="0.25">
      <c r="A29" s="57"/>
      <c r="B29" s="62"/>
      <c r="C29" s="57"/>
      <c r="D29" s="57"/>
      <c r="E29" s="54"/>
      <c r="G29" s="63"/>
      <c r="H29" s="63"/>
      <c r="I29" s="63"/>
      <c r="J29" s="63"/>
      <c r="K29" s="63"/>
    </row>
    <row r="30" spans="1:13" x14ac:dyDescent="0.25">
      <c r="A30" s="57"/>
      <c r="B30" s="62"/>
      <c r="C30" s="57"/>
      <c r="D30" s="57"/>
      <c r="E30" s="54"/>
      <c r="G30" s="63"/>
      <c r="H30" s="63"/>
      <c r="I30" s="63"/>
      <c r="J30" s="63"/>
      <c r="K30" s="63"/>
    </row>
    <row r="31" spans="1:13" x14ac:dyDescent="0.25">
      <c r="A31" s="57"/>
      <c r="B31" s="62"/>
      <c r="C31" s="57"/>
      <c r="D31" s="57"/>
      <c r="E31" s="54"/>
      <c r="G31" s="63"/>
      <c r="H31" s="63"/>
      <c r="I31" s="63"/>
      <c r="J31" s="63"/>
      <c r="K31" s="63"/>
    </row>
    <row r="32" spans="1:13" x14ac:dyDescent="0.25">
      <c r="A32" s="57"/>
      <c r="B32" s="62"/>
      <c r="C32" s="57"/>
      <c r="D32" s="57"/>
      <c r="E32" s="54"/>
      <c r="G32" s="63"/>
      <c r="H32" s="63"/>
      <c r="I32" s="63"/>
      <c r="J32" s="63"/>
      <c r="K32" s="63"/>
    </row>
    <row r="33" spans="1:12" x14ac:dyDescent="0.25">
      <c r="A33" s="57"/>
      <c r="B33" s="62"/>
      <c r="C33" s="57"/>
      <c r="D33" s="57"/>
      <c r="E33" s="54"/>
      <c r="G33" s="63"/>
      <c r="H33" s="63"/>
      <c r="I33" s="63"/>
      <c r="J33" s="63"/>
      <c r="K33" s="63"/>
      <c r="L33" s="54"/>
    </row>
    <row r="34" spans="1:12" x14ac:dyDescent="0.25">
      <c r="A34" s="57"/>
      <c r="B34" s="62"/>
      <c r="C34" s="58"/>
      <c r="E34" s="54"/>
      <c r="F34" s="74"/>
      <c r="G34" s="65"/>
      <c r="H34" s="65"/>
      <c r="I34" s="65"/>
      <c r="J34" s="63"/>
    </row>
    <row r="35" spans="1:12" x14ac:dyDescent="0.25">
      <c r="A35" s="57"/>
      <c r="B35" s="62"/>
    </row>
    <row r="36" spans="1:12" x14ac:dyDescent="0.25">
      <c r="A36" s="57"/>
      <c r="B36" s="62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BD25D-8994-4F6E-82EB-7F0342E77A7D}">
  <dimension ref="A1:M38"/>
  <sheetViews>
    <sheetView topLeftCell="A5" zoomScale="85" zoomScaleNormal="85" workbookViewId="0">
      <selection activeCell="L9" sqref="L9"/>
    </sheetView>
  </sheetViews>
  <sheetFormatPr baseColWidth="10" defaultRowHeight="14.3" x14ac:dyDescent="0.25"/>
  <cols>
    <col min="2" max="2" width="6.25" customWidth="1"/>
    <col min="6" max="6" width="12.25" style="73" bestFit="1" customWidth="1"/>
    <col min="7" max="7" width="12.75" bestFit="1" customWidth="1"/>
    <col min="8" max="8" width="16.125" bestFit="1" customWidth="1"/>
    <col min="9" max="9" width="14.375" bestFit="1" customWidth="1"/>
    <col min="12" max="12" width="16.125" bestFit="1" customWidth="1"/>
    <col min="13" max="13" width="19" bestFit="1" customWidth="1"/>
  </cols>
  <sheetData>
    <row r="1" spans="1:13" x14ac:dyDescent="0.25">
      <c r="A1" s="61" t="s">
        <v>59</v>
      </c>
      <c r="B1" s="61" t="s">
        <v>63</v>
      </c>
      <c r="C1" s="61" t="s">
        <v>60</v>
      </c>
      <c r="D1" s="61" t="s">
        <v>61</v>
      </c>
      <c r="E1" s="61" t="s">
        <v>62</v>
      </c>
      <c r="F1" s="61" t="s">
        <v>68</v>
      </c>
      <c r="G1" s="61" t="s">
        <v>64</v>
      </c>
      <c r="H1" s="61" t="s">
        <v>65</v>
      </c>
      <c r="I1" s="61" t="s">
        <v>67</v>
      </c>
      <c r="J1" s="61" t="s">
        <v>66</v>
      </c>
      <c r="K1" s="61" t="s">
        <v>69</v>
      </c>
      <c r="L1" s="61" t="s">
        <v>70</v>
      </c>
      <c r="M1" s="61" t="s">
        <v>71</v>
      </c>
    </row>
    <row r="2" spans="1:13" x14ac:dyDescent="0.25">
      <c r="A2" s="57">
        <v>45598</v>
      </c>
      <c r="B2" s="62">
        <f>DAY(A2)</f>
        <v>2</v>
      </c>
      <c r="C2" s="62">
        <v>6710</v>
      </c>
      <c r="D2" s="9">
        <v>1760</v>
      </c>
      <c r="E2" s="54">
        <f>+C2/D2</f>
        <v>3.8125</v>
      </c>
      <c r="F2" s="73">
        <v>2.8</v>
      </c>
      <c r="G2" s="63">
        <f>+C2*96</f>
        <v>644160</v>
      </c>
      <c r="H2" s="63">
        <v>750000</v>
      </c>
      <c r="I2" s="63">
        <f>+G2+H2</f>
        <v>1394160</v>
      </c>
      <c r="J2" s="63">
        <f>+I2/C2</f>
        <v>207.77347242921013</v>
      </c>
      <c r="K2" s="63">
        <v>283</v>
      </c>
    </row>
    <row r="3" spans="1:13" x14ac:dyDescent="0.25">
      <c r="A3" s="57">
        <v>45599</v>
      </c>
      <c r="B3" s="62">
        <f t="shared" ref="B3:B28" si="0">DAY(A3)</f>
        <v>3</v>
      </c>
      <c r="C3" s="62">
        <v>6490</v>
      </c>
      <c r="D3" s="9">
        <v>0</v>
      </c>
      <c r="E3" s="54" t="e">
        <f t="shared" ref="E3:E18" si="1">+C3/D3</f>
        <v>#DIV/0!</v>
      </c>
      <c r="F3" s="73">
        <v>2.8</v>
      </c>
      <c r="G3" s="63">
        <f t="shared" ref="G3:G24" si="2">+C3*96</f>
        <v>623040</v>
      </c>
      <c r="H3" s="63">
        <v>750000</v>
      </c>
      <c r="I3" s="63">
        <f t="shared" ref="I3:I28" si="3">+G3+H3</f>
        <v>1373040</v>
      </c>
      <c r="J3" s="63">
        <f t="shared" ref="J3:J28" si="4">+I3/C3</f>
        <v>211.56240369799693</v>
      </c>
      <c r="K3" s="63">
        <v>283</v>
      </c>
    </row>
    <row r="4" spans="1:13" x14ac:dyDescent="0.25">
      <c r="A4" s="57">
        <v>45601</v>
      </c>
      <c r="B4" s="62">
        <f t="shared" si="0"/>
        <v>5</v>
      </c>
      <c r="C4" s="66">
        <v>2710</v>
      </c>
      <c r="D4" s="9">
        <v>1600</v>
      </c>
      <c r="E4" s="54">
        <f t="shared" si="1"/>
        <v>1.6937500000000001</v>
      </c>
      <c r="F4" s="73">
        <v>2.8</v>
      </c>
      <c r="G4" s="63">
        <f t="shared" si="2"/>
        <v>260160</v>
      </c>
      <c r="H4" s="63">
        <v>750000</v>
      </c>
      <c r="I4" s="63">
        <f t="shared" si="3"/>
        <v>1010160</v>
      </c>
      <c r="J4" s="63">
        <f t="shared" si="4"/>
        <v>372.7527675276753</v>
      </c>
      <c r="K4" s="63">
        <v>283</v>
      </c>
    </row>
    <row r="5" spans="1:13" x14ac:dyDescent="0.25">
      <c r="A5" s="57">
        <v>45602</v>
      </c>
      <c r="B5" s="62">
        <f t="shared" si="0"/>
        <v>6</v>
      </c>
      <c r="C5" s="66">
        <v>4340</v>
      </c>
      <c r="D5" s="9">
        <v>1760</v>
      </c>
      <c r="E5" s="54">
        <f t="shared" si="1"/>
        <v>2.4659090909090908</v>
      </c>
      <c r="F5" s="73">
        <v>2.8</v>
      </c>
      <c r="G5" s="63">
        <f t="shared" si="2"/>
        <v>416640</v>
      </c>
      <c r="H5" s="63">
        <v>750000</v>
      </c>
      <c r="I5" s="63">
        <f t="shared" si="3"/>
        <v>1166640</v>
      </c>
      <c r="J5" s="63">
        <f t="shared" si="4"/>
        <v>268.81105990783408</v>
      </c>
      <c r="K5" s="63">
        <v>283</v>
      </c>
    </row>
    <row r="6" spans="1:13" x14ac:dyDescent="0.25">
      <c r="A6" s="57">
        <v>45603</v>
      </c>
      <c r="B6" s="62">
        <f t="shared" si="0"/>
        <v>7</v>
      </c>
      <c r="C6" s="66">
        <v>4700</v>
      </c>
      <c r="D6" s="9">
        <v>1680</v>
      </c>
      <c r="E6" s="54">
        <f t="shared" si="1"/>
        <v>2.7976190476190474</v>
      </c>
      <c r="F6" s="73">
        <v>2.8</v>
      </c>
      <c r="G6" s="63">
        <f t="shared" si="2"/>
        <v>451200</v>
      </c>
      <c r="H6" s="63">
        <v>750000</v>
      </c>
      <c r="I6" s="63">
        <f t="shared" si="3"/>
        <v>1201200</v>
      </c>
      <c r="J6" s="63">
        <f t="shared" si="4"/>
        <v>255.57446808510639</v>
      </c>
      <c r="K6" s="63">
        <v>283</v>
      </c>
      <c r="L6" s="64"/>
      <c r="M6" s="64"/>
    </row>
    <row r="7" spans="1:13" x14ac:dyDescent="0.25">
      <c r="A7" s="57">
        <v>45604</v>
      </c>
      <c r="B7" s="62">
        <f t="shared" si="0"/>
        <v>8</v>
      </c>
      <c r="C7" s="66">
        <v>5910</v>
      </c>
      <c r="D7" s="9">
        <v>1840</v>
      </c>
      <c r="E7" s="54">
        <f t="shared" si="1"/>
        <v>3.2119565217391304</v>
      </c>
      <c r="F7" s="73">
        <v>2.8</v>
      </c>
      <c r="G7" s="63">
        <f t="shared" si="2"/>
        <v>567360</v>
      </c>
      <c r="H7" s="63">
        <v>750000</v>
      </c>
      <c r="I7" s="63">
        <f t="shared" si="3"/>
        <v>1317360</v>
      </c>
      <c r="J7" s="63">
        <f t="shared" si="4"/>
        <v>222.90355329949239</v>
      </c>
      <c r="K7" s="63">
        <v>283</v>
      </c>
    </row>
    <row r="8" spans="1:13" x14ac:dyDescent="0.25">
      <c r="A8" s="57">
        <v>45605</v>
      </c>
      <c r="B8" s="62">
        <f t="shared" si="0"/>
        <v>9</v>
      </c>
      <c r="C8" s="62">
        <v>3790</v>
      </c>
      <c r="D8" s="9">
        <v>1760</v>
      </c>
      <c r="E8" s="54">
        <f t="shared" si="1"/>
        <v>2.1534090909090908</v>
      </c>
      <c r="F8" s="73">
        <v>2.8</v>
      </c>
      <c r="G8" s="63">
        <f t="shared" si="2"/>
        <v>363840</v>
      </c>
      <c r="H8" s="63">
        <v>750000</v>
      </c>
      <c r="I8" s="63">
        <f t="shared" si="3"/>
        <v>1113840</v>
      </c>
      <c r="J8" s="63">
        <f t="shared" si="4"/>
        <v>293.88918205804748</v>
      </c>
      <c r="K8" s="63">
        <v>283</v>
      </c>
      <c r="L8" s="64"/>
      <c r="M8" s="54"/>
    </row>
    <row r="9" spans="1:13" x14ac:dyDescent="0.25">
      <c r="A9" s="57">
        <v>45606</v>
      </c>
      <c r="B9" s="62">
        <f t="shared" si="0"/>
        <v>10</v>
      </c>
      <c r="C9" s="62">
        <v>4300</v>
      </c>
      <c r="D9" s="9">
        <v>480</v>
      </c>
      <c r="E9" s="54">
        <f t="shared" si="1"/>
        <v>8.9583333333333339</v>
      </c>
      <c r="F9" s="73">
        <v>2.8</v>
      </c>
      <c r="G9" s="63">
        <f t="shared" si="2"/>
        <v>412800</v>
      </c>
      <c r="H9" s="63">
        <v>750000</v>
      </c>
      <c r="I9" s="63">
        <f t="shared" si="3"/>
        <v>1162800</v>
      </c>
      <c r="J9" s="63">
        <f t="shared" si="4"/>
        <v>270.41860465116281</v>
      </c>
      <c r="K9" s="63">
        <v>283</v>
      </c>
      <c r="L9" s="64"/>
      <c r="M9" s="54"/>
    </row>
    <row r="10" spans="1:13" x14ac:dyDescent="0.25">
      <c r="A10" s="57">
        <v>45607</v>
      </c>
      <c r="B10" s="62">
        <f t="shared" si="0"/>
        <v>11</v>
      </c>
      <c r="C10" s="60">
        <v>3502</v>
      </c>
      <c r="D10" s="9">
        <v>960</v>
      </c>
      <c r="E10" s="54">
        <f t="shared" si="1"/>
        <v>3.6479166666666667</v>
      </c>
      <c r="F10" s="73">
        <v>2.8</v>
      </c>
      <c r="G10" s="63">
        <f>+C10*96</f>
        <v>336192</v>
      </c>
      <c r="H10" s="63">
        <v>428467</v>
      </c>
      <c r="I10" s="63">
        <f t="shared" si="3"/>
        <v>764659</v>
      </c>
      <c r="J10" s="63">
        <f t="shared" si="4"/>
        <v>218.34922901199315</v>
      </c>
      <c r="K10" s="63">
        <v>283</v>
      </c>
      <c r="L10" s="64"/>
      <c r="M10" s="54"/>
    </row>
    <row r="11" spans="1:13" x14ac:dyDescent="0.25">
      <c r="A11" s="57">
        <v>45608</v>
      </c>
      <c r="B11" s="62">
        <f t="shared" si="0"/>
        <v>12</v>
      </c>
      <c r="C11" s="60">
        <v>2628</v>
      </c>
      <c r="D11" s="9">
        <v>720</v>
      </c>
      <c r="E11" s="54">
        <f t="shared" si="1"/>
        <v>3.65</v>
      </c>
      <c r="F11" s="73">
        <v>2.8</v>
      </c>
      <c r="G11" s="63">
        <f t="shared" si="2"/>
        <v>252288</v>
      </c>
      <c r="H11" s="63">
        <f>750000-H10</f>
        <v>321533</v>
      </c>
      <c r="I11" s="63">
        <f t="shared" si="3"/>
        <v>573821</v>
      </c>
      <c r="J11" s="63">
        <f t="shared" si="4"/>
        <v>218.34893455098936</v>
      </c>
      <c r="K11" s="63">
        <v>283</v>
      </c>
      <c r="L11" s="64"/>
      <c r="M11" s="54"/>
    </row>
    <row r="12" spans="1:13" x14ac:dyDescent="0.25">
      <c r="A12" s="75">
        <v>45609</v>
      </c>
      <c r="B12" s="76">
        <f t="shared" si="0"/>
        <v>13</v>
      </c>
      <c r="C12" s="76">
        <v>0</v>
      </c>
      <c r="D12" s="77">
        <v>560</v>
      </c>
      <c r="E12" s="78">
        <f t="shared" ref="E12:E24" si="5">+C12/D12</f>
        <v>0</v>
      </c>
      <c r="F12" s="76">
        <v>2.8</v>
      </c>
      <c r="G12" s="79">
        <f t="shared" si="2"/>
        <v>0</v>
      </c>
      <c r="H12" s="79">
        <f>+$M$11*C12</f>
        <v>0</v>
      </c>
      <c r="I12" s="79">
        <f t="shared" si="3"/>
        <v>0</v>
      </c>
      <c r="J12" s="79" t="e">
        <f t="shared" si="4"/>
        <v>#DIV/0!</v>
      </c>
      <c r="K12" s="79">
        <v>283</v>
      </c>
      <c r="L12" s="64"/>
      <c r="M12" s="54"/>
    </row>
    <row r="13" spans="1:13" x14ac:dyDescent="0.25">
      <c r="A13" s="57">
        <v>45610</v>
      </c>
      <c r="B13" s="62">
        <f t="shared" si="0"/>
        <v>14</v>
      </c>
      <c r="C13" s="62">
        <v>4780</v>
      </c>
      <c r="D13" s="9">
        <v>1280</v>
      </c>
      <c r="E13" s="54">
        <f t="shared" si="1"/>
        <v>3.734375</v>
      </c>
      <c r="F13" s="73">
        <v>2.8</v>
      </c>
      <c r="G13" s="63">
        <f t="shared" si="2"/>
        <v>458880</v>
      </c>
      <c r="H13" s="63">
        <v>750000</v>
      </c>
      <c r="I13" s="63">
        <f t="shared" si="3"/>
        <v>1208880</v>
      </c>
      <c r="J13" s="63">
        <f t="shared" si="4"/>
        <v>252.90376569037656</v>
      </c>
      <c r="K13" s="63">
        <v>283</v>
      </c>
    </row>
    <row r="14" spans="1:13" x14ac:dyDescent="0.25">
      <c r="A14" s="57">
        <v>45611</v>
      </c>
      <c r="B14" s="62">
        <f t="shared" si="0"/>
        <v>15</v>
      </c>
      <c r="C14" s="60">
        <v>797</v>
      </c>
      <c r="D14" s="9">
        <v>400</v>
      </c>
      <c r="E14" s="54">
        <f t="shared" si="1"/>
        <v>1.9924999999999999</v>
      </c>
      <c r="F14" s="73">
        <v>2.8</v>
      </c>
      <c r="G14" s="63">
        <f t="shared" si="2"/>
        <v>76512</v>
      </c>
      <c r="H14" s="63">
        <v>129383</v>
      </c>
      <c r="I14" s="63">
        <f t="shared" si="3"/>
        <v>205895</v>
      </c>
      <c r="J14" s="63">
        <f t="shared" si="4"/>
        <v>258.33751568381433</v>
      </c>
      <c r="K14" s="63">
        <v>283</v>
      </c>
    </row>
    <row r="15" spans="1:13" x14ac:dyDescent="0.25">
      <c r="A15" s="57">
        <v>45612</v>
      </c>
      <c r="B15" s="62">
        <f t="shared" si="0"/>
        <v>16</v>
      </c>
      <c r="C15" s="59">
        <v>3823</v>
      </c>
      <c r="D15" s="9">
        <v>1920</v>
      </c>
      <c r="E15" s="54">
        <f t="shared" si="1"/>
        <v>1.9911458333333334</v>
      </c>
      <c r="F15" s="73">
        <v>2.8</v>
      </c>
      <c r="G15" s="63">
        <f t="shared" si="2"/>
        <v>367008</v>
      </c>
      <c r="H15" s="63">
        <v>620617</v>
      </c>
      <c r="I15" s="63">
        <f t="shared" si="3"/>
        <v>987625</v>
      </c>
      <c r="J15" s="63">
        <f t="shared" si="4"/>
        <v>258.3376929113262</v>
      </c>
      <c r="K15" s="63">
        <v>283</v>
      </c>
      <c r="L15" s="64"/>
      <c r="M15" s="64"/>
    </row>
    <row r="16" spans="1:13" x14ac:dyDescent="0.25">
      <c r="A16" s="57">
        <v>45613</v>
      </c>
      <c r="B16" s="62">
        <f t="shared" si="0"/>
        <v>17</v>
      </c>
      <c r="C16" s="80">
        <v>1402</v>
      </c>
      <c r="D16" s="9">
        <v>640</v>
      </c>
      <c r="E16" s="54">
        <f t="shared" si="1"/>
        <v>2.1906249999999998</v>
      </c>
      <c r="F16" s="73">
        <v>2.8</v>
      </c>
      <c r="G16" s="63">
        <f t="shared" si="2"/>
        <v>134592</v>
      </c>
      <c r="H16" s="63">
        <v>206988</v>
      </c>
      <c r="I16" s="63">
        <f t="shared" si="3"/>
        <v>341580</v>
      </c>
      <c r="J16" s="63">
        <f t="shared" si="4"/>
        <v>243.6376604850214</v>
      </c>
      <c r="K16" s="63">
        <v>283</v>
      </c>
      <c r="L16" s="64"/>
      <c r="M16" s="64"/>
    </row>
    <row r="17" spans="1:13" x14ac:dyDescent="0.25">
      <c r="A17" s="57">
        <v>45614</v>
      </c>
      <c r="B17" s="62">
        <f t="shared" si="0"/>
        <v>18</v>
      </c>
      <c r="C17" s="80">
        <v>3678</v>
      </c>
      <c r="D17" s="9">
        <v>1680</v>
      </c>
      <c r="E17" s="54">
        <f t="shared" si="1"/>
        <v>2.1892857142857145</v>
      </c>
      <c r="F17" s="73">
        <v>2.8</v>
      </c>
      <c r="G17" s="63">
        <f t="shared" si="2"/>
        <v>353088</v>
      </c>
      <c r="H17" s="63">
        <v>543011</v>
      </c>
      <c r="I17" s="63">
        <f t="shared" si="3"/>
        <v>896099</v>
      </c>
      <c r="J17" s="63">
        <f t="shared" si="4"/>
        <v>243.63757476889614</v>
      </c>
      <c r="K17" s="63">
        <v>283</v>
      </c>
    </row>
    <row r="18" spans="1:13" x14ac:dyDescent="0.25">
      <c r="A18" s="57">
        <v>45615</v>
      </c>
      <c r="B18" s="62">
        <f t="shared" si="0"/>
        <v>19</v>
      </c>
      <c r="C18" s="66">
        <v>2960</v>
      </c>
      <c r="D18" s="9">
        <v>1680</v>
      </c>
      <c r="E18" s="54">
        <f t="shared" si="1"/>
        <v>1.7619047619047619</v>
      </c>
      <c r="F18" s="73">
        <v>2.8</v>
      </c>
      <c r="G18" s="63">
        <f>+C18*96</f>
        <v>284160</v>
      </c>
      <c r="H18" s="63">
        <v>750000</v>
      </c>
      <c r="I18" s="63">
        <f t="shared" si="3"/>
        <v>1034160</v>
      </c>
      <c r="J18" s="63">
        <f t="shared" si="4"/>
        <v>349.37837837837839</v>
      </c>
      <c r="K18" s="63">
        <v>283</v>
      </c>
    </row>
    <row r="19" spans="1:13" x14ac:dyDescent="0.25">
      <c r="A19" s="57">
        <v>45617</v>
      </c>
      <c r="B19" s="62">
        <f t="shared" si="0"/>
        <v>21</v>
      </c>
      <c r="C19" s="66">
        <v>2810</v>
      </c>
      <c r="D19" s="9">
        <v>1840</v>
      </c>
      <c r="E19" s="54">
        <f t="shared" si="5"/>
        <v>1.5271739130434783</v>
      </c>
      <c r="F19" s="73">
        <v>2.8</v>
      </c>
      <c r="G19" s="63">
        <f t="shared" si="2"/>
        <v>269760</v>
      </c>
      <c r="H19" s="63">
        <v>750000</v>
      </c>
      <c r="I19" s="63">
        <f t="shared" si="3"/>
        <v>1019760</v>
      </c>
      <c r="J19" s="63">
        <f t="shared" si="4"/>
        <v>362.90391459074732</v>
      </c>
      <c r="K19" s="63">
        <v>283</v>
      </c>
    </row>
    <row r="20" spans="1:13" x14ac:dyDescent="0.25">
      <c r="A20" s="57">
        <v>45618</v>
      </c>
      <c r="B20" s="62">
        <f t="shared" si="0"/>
        <v>22</v>
      </c>
      <c r="C20" s="80">
        <v>1385</v>
      </c>
      <c r="D20" s="9">
        <v>1840</v>
      </c>
      <c r="E20" s="54">
        <f t="shared" si="5"/>
        <v>0.75271739130434778</v>
      </c>
      <c r="F20" s="73">
        <v>2.8</v>
      </c>
      <c r="G20" s="63">
        <f t="shared" si="2"/>
        <v>132960</v>
      </c>
      <c r="H20" s="83">
        <v>375000</v>
      </c>
      <c r="I20" s="63">
        <f t="shared" si="3"/>
        <v>507960</v>
      </c>
      <c r="J20" s="63">
        <f t="shared" si="4"/>
        <v>366.75812274368229</v>
      </c>
      <c r="K20" s="63">
        <v>283</v>
      </c>
      <c r="L20" s="82"/>
    </row>
    <row r="21" spans="1:13" x14ac:dyDescent="0.25">
      <c r="A21" s="57">
        <v>45619</v>
      </c>
      <c r="B21" s="62">
        <f t="shared" si="0"/>
        <v>23</v>
      </c>
      <c r="C21" s="80">
        <v>1385</v>
      </c>
      <c r="D21" s="9">
        <v>1840</v>
      </c>
      <c r="E21" s="54">
        <f t="shared" si="5"/>
        <v>0.75271739130434778</v>
      </c>
      <c r="F21" s="73">
        <v>2.8</v>
      </c>
      <c r="G21" s="63">
        <f t="shared" si="2"/>
        <v>132960</v>
      </c>
      <c r="H21" s="63">
        <v>375000</v>
      </c>
      <c r="I21" s="63">
        <f t="shared" si="3"/>
        <v>507960</v>
      </c>
      <c r="J21" s="63">
        <f t="shared" si="4"/>
        <v>366.75812274368229</v>
      </c>
      <c r="K21" s="63">
        <v>283</v>
      </c>
    </row>
    <row r="22" spans="1:13" x14ac:dyDescent="0.25">
      <c r="A22" s="57">
        <v>45620</v>
      </c>
      <c r="B22" s="62">
        <f t="shared" si="0"/>
        <v>24</v>
      </c>
      <c r="C22" s="66">
        <v>1661.578947368421</v>
      </c>
      <c r="D22" s="9">
        <v>560</v>
      </c>
      <c r="E22" s="54">
        <f t="shared" si="5"/>
        <v>2.9671052631578947</v>
      </c>
      <c r="F22" s="73">
        <v>2.8</v>
      </c>
      <c r="G22" s="63">
        <f t="shared" si="2"/>
        <v>159511.57894736843</v>
      </c>
      <c r="H22" s="63">
        <v>276315.78947368421</v>
      </c>
      <c r="I22" s="63">
        <f t="shared" si="3"/>
        <v>435827.36842105264</v>
      </c>
      <c r="J22" s="63">
        <f t="shared" si="4"/>
        <v>262.29711751662973</v>
      </c>
      <c r="K22" s="63">
        <v>283</v>
      </c>
    </row>
    <row r="23" spans="1:13" x14ac:dyDescent="0.25">
      <c r="A23" s="57">
        <v>45621</v>
      </c>
      <c r="B23" s="62">
        <f t="shared" si="0"/>
        <v>25</v>
      </c>
      <c r="C23" s="66">
        <v>2848.4210526315787</v>
      </c>
      <c r="D23" s="9">
        <v>960</v>
      </c>
      <c r="E23" s="54">
        <f t="shared" si="5"/>
        <v>2.9671052631578947</v>
      </c>
      <c r="F23" s="73">
        <v>2.8</v>
      </c>
      <c r="G23" s="63">
        <f t="shared" si="2"/>
        <v>273448.42105263157</v>
      </c>
      <c r="H23" s="63">
        <v>473684.21052631579</v>
      </c>
      <c r="I23" s="63">
        <f t="shared" si="3"/>
        <v>747132.63157894742</v>
      </c>
      <c r="J23" s="63">
        <f t="shared" si="4"/>
        <v>262.29711751662973</v>
      </c>
      <c r="K23" s="63">
        <v>283</v>
      </c>
    </row>
    <row r="24" spans="1:13" x14ac:dyDescent="0.25">
      <c r="A24" s="57">
        <v>45622</v>
      </c>
      <c r="B24" s="62">
        <f t="shared" si="0"/>
        <v>26</v>
      </c>
      <c r="C24" s="66">
        <v>1525</v>
      </c>
      <c r="D24" s="9">
        <v>1760</v>
      </c>
      <c r="E24" s="54">
        <f t="shared" si="5"/>
        <v>0.86647727272727271</v>
      </c>
      <c r="F24" s="73">
        <v>2.8</v>
      </c>
      <c r="G24" s="63">
        <f t="shared" si="2"/>
        <v>146400</v>
      </c>
      <c r="H24" s="63">
        <v>375000</v>
      </c>
      <c r="I24" s="63">
        <f t="shared" si="3"/>
        <v>521400</v>
      </c>
      <c r="J24" s="63">
        <f t="shared" si="4"/>
        <v>341.90163934426232</v>
      </c>
      <c r="K24" s="63">
        <v>283</v>
      </c>
    </row>
    <row r="25" spans="1:13" x14ac:dyDescent="0.25">
      <c r="A25" s="57">
        <v>45623</v>
      </c>
      <c r="B25" s="62">
        <f t="shared" si="0"/>
        <v>27</v>
      </c>
      <c r="C25" s="66">
        <v>1525</v>
      </c>
      <c r="D25" s="9">
        <v>1760</v>
      </c>
      <c r="E25" s="54">
        <f>+C25/D25</f>
        <v>0.86647727272727271</v>
      </c>
      <c r="F25" s="73">
        <v>2.8</v>
      </c>
      <c r="G25" s="63">
        <f>+C25*96</f>
        <v>146400</v>
      </c>
      <c r="H25" s="63">
        <v>375000</v>
      </c>
      <c r="I25" s="63">
        <f t="shared" si="3"/>
        <v>521400</v>
      </c>
      <c r="J25" s="63">
        <f t="shared" si="4"/>
        <v>341.90163934426232</v>
      </c>
      <c r="K25" s="63">
        <v>283</v>
      </c>
    </row>
    <row r="26" spans="1:13" x14ac:dyDescent="0.25">
      <c r="A26" s="57">
        <v>45624</v>
      </c>
      <c r="B26" s="62">
        <f t="shared" si="0"/>
        <v>28</v>
      </c>
      <c r="C26" s="66">
        <v>5800</v>
      </c>
      <c r="D26" s="9">
        <v>1760</v>
      </c>
      <c r="E26" s="54">
        <f>+C26/D26</f>
        <v>3.2954545454545454</v>
      </c>
      <c r="F26" s="73">
        <v>2.8</v>
      </c>
      <c r="G26" s="63">
        <f>+C26*96</f>
        <v>556800</v>
      </c>
      <c r="H26" s="63">
        <v>750000</v>
      </c>
      <c r="I26" s="63">
        <f t="shared" si="3"/>
        <v>1306800</v>
      </c>
      <c r="J26" s="63">
        <f t="shared" si="4"/>
        <v>225.31034482758622</v>
      </c>
      <c r="K26" s="63">
        <v>283</v>
      </c>
    </row>
    <row r="27" spans="1:13" x14ac:dyDescent="0.25">
      <c r="A27" s="57">
        <v>45625</v>
      </c>
      <c r="B27" s="62">
        <f t="shared" si="0"/>
        <v>29</v>
      </c>
      <c r="C27" s="66">
        <v>6000</v>
      </c>
      <c r="D27" s="9">
        <v>1840</v>
      </c>
      <c r="E27" s="54">
        <f>+C27/D27</f>
        <v>3.2608695652173911</v>
      </c>
      <c r="F27" s="73">
        <v>2.8</v>
      </c>
      <c r="G27" s="63">
        <f>+C27*96</f>
        <v>576000</v>
      </c>
      <c r="H27" s="63">
        <v>750000</v>
      </c>
      <c r="I27" s="63">
        <f t="shared" si="3"/>
        <v>1326000</v>
      </c>
      <c r="J27" s="63">
        <f t="shared" si="4"/>
        <v>221</v>
      </c>
      <c r="K27" s="63">
        <v>283</v>
      </c>
      <c r="L27" s="64"/>
      <c r="M27" s="54"/>
    </row>
    <row r="28" spans="1:13" x14ac:dyDescent="0.25">
      <c r="A28" s="57">
        <v>45626</v>
      </c>
      <c r="B28" s="62">
        <f t="shared" si="0"/>
        <v>30</v>
      </c>
      <c r="C28" s="66">
        <v>6410</v>
      </c>
      <c r="D28" s="9">
        <v>1760</v>
      </c>
      <c r="E28" s="54">
        <f>+C28/D28</f>
        <v>3.6420454545454546</v>
      </c>
      <c r="F28" s="73">
        <v>2.8</v>
      </c>
      <c r="G28" s="63">
        <f>+C28*96</f>
        <v>615360</v>
      </c>
      <c r="H28" s="63">
        <v>750000</v>
      </c>
      <c r="I28" s="63">
        <f t="shared" si="3"/>
        <v>1365360</v>
      </c>
      <c r="J28" s="63">
        <f t="shared" si="4"/>
        <v>213.0046801872075</v>
      </c>
      <c r="K28" s="63">
        <v>283</v>
      </c>
      <c r="L28" s="64"/>
      <c r="M28" s="54"/>
    </row>
    <row r="29" spans="1:13" x14ac:dyDescent="0.25">
      <c r="A29" s="57"/>
      <c r="B29" s="62"/>
      <c r="C29" s="57"/>
      <c r="D29" s="57"/>
      <c r="E29" s="54"/>
      <c r="G29" s="63"/>
      <c r="H29" s="63"/>
      <c r="I29" s="63"/>
      <c r="J29" s="63"/>
      <c r="K29" s="63"/>
      <c r="L29" s="64"/>
      <c r="M29" s="54"/>
    </row>
    <row r="30" spans="1:13" x14ac:dyDescent="0.25">
      <c r="A30" s="57"/>
      <c r="B30" s="62"/>
      <c r="C30" s="57"/>
      <c r="D30" s="57"/>
      <c r="E30" s="54"/>
      <c r="G30" s="63"/>
      <c r="H30" s="63"/>
      <c r="I30" s="63"/>
      <c r="J30" s="63"/>
      <c r="K30" s="63"/>
    </row>
    <row r="31" spans="1:13" x14ac:dyDescent="0.25">
      <c r="A31" s="57"/>
      <c r="B31" s="62"/>
      <c r="C31" s="57"/>
      <c r="D31" s="57"/>
      <c r="E31" s="54"/>
      <c r="G31" s="63"/>
      <c r="H31" s="63"/>
      <c r="I31" s="63"/>
      <c r="J31" s="63"/>
      <c r="K31" s="63"/>
    </row>
    <row r="32" spans="1:13" x14ac:dyDescent="0.25">
      <c r="A32" s="57"/>
      <c r="B32" s="62"/>
      <c r="C32" s="57"/>
      <c r="D32" s="57"/>
      <c r="E32" s="54"/>
      <c r="G32" s="63"/>
      <c r="H32" s="63"/>
      <c r="I32" s="63"/>
      <c r="J32" s="63"/>
      <c r="K32" s="63"/>
    </row>
    <row r="33" spans="1:12" x14ac:dyDescent="0.25">
      <c r="A33" s="57"/>
      <c r="B33" s="62"/>
      <c r="C33" s="57"/>
      <c r="D33" s="57"/>
      <c r="E33" s="54"/>
      <c r="G33" s="63"/>
      <c r="H33" s="63"/>
      <c r="I33" s="63"/>
      <c r="J33" s="63"/>
      <c r="K33" s="63"/>
    </row>
    <row r="34" spans="1:12" x14ac:dyDescent="0.25">
      <c r="A34" s="57"/>
      <c r="B34" s="62"/>
      <c r="C34" s="57"/>
      <c r="D34" s="57"/>
      <c r="E34" s="54"/>
      <c r="G34" s="63"/>
      <c r="H34" s="63"/>
      <c r="I34" s="63"/>
      <c r="J34" s="63"/>
      <c r="K34" s="63"/>
    </row>
    <row r="35" spans="1:12" x14ac:dyDescent="0.25">
      <c r="A35" s="57"/>
      <c r="B35" s="62"/>
      <c r="C35" s="57"/>
      <c r="D35" s="57"/>
      <c r="E35" s="54"/>
      <c r="G35" s="63"/>
      <c r="H35" s="63"/>
      <c r="I35" s="63"/>
      <c r="J35" s="63"/>
      <c r="K35" s="63"/>
      <c r="L35" s="54"/>
    </row>
    <row r="36" spans="1:12" x14ac:dyDescent="0.25">
      <c r="A36" s="57"/>
      <c r="B36" s="62"/>
      <c r="C36" s="58"/>
      <c r="E36" s="54"/>
      <c r="F36" s="74"/>
      <c r="G36" s="65"/>
      <c r="H36" s="65"/>
      <c r="I36" s="65"/>
      <c r="J36" s="63"/>
    </row>
    <row r="37" spans="1:12" x14ac:dyDescent="0.25">
      <c r="A37" s="57"/>
      <c r="B37" s="62"/>
    </row>
    <row r="38" spans="1:12" x14ac:dyDescent="0.25">
      <c r="A38" s="57"/>
      <c r="B38" s="62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5FBCE-66F9-40AE-9137-35F5C513A18D}">
  <dimension ref="A1:AG43"/>
  <sheetViews>
    <sheetView topLeftCell="K13" zoomScale="85" zoomScaleNormal="85" workbookViewId="0">
      <selection activeCell="V43" sqref="V43"/>
    </sheetView>
  </sheetViews>
  <sheetFormatPr baseColWidth="10" defaultRowHeight="14.3" x14ac:dyDescent="0.25"/>
  <cols>
    <col min="2" max="2" width="14.75" customWidth="1"/>
    <col min="3" max="3" width="12.25" style="99" customWidth="1"/>
    <col min="4" max="4" width="14.375" style="99" customWidth="1"/>
    <col min="6" max="6" width="15.25" style="99" customWidth="1"/>
    <col min="7" max="7" width="11" customWidth="1"/>
    <col min="8" max="8" width="12.625" style="99" customWidth="1"/>
    <col min="9" max="9" width="11" style="99"/>
    <col min="10" max="10" width="14.625" style="99" customWidth="1"/>
    <col min="11" max="11" width="13.375" customWidth="1"/>
    <col min="12" max="12" width="13" bestFit="1" customWidth="1"/>
    <col min="14" max="15" width="11" style="99"/>
    <col min="16" max="16" width="13.125" customWidth="1"/>
    <col min="22" max="22" width="17.75" customWidth="1"/>
    <col min="23" max="23" width="18.375" customWidth="1"/>
    <col min="24" max="24" width="17.25" customWidth="1"/>
    <col min="25" max="25" width="18.625" customWidth="1"/>
    <col min="26" max="26" width="22.625" customWidth="1"/>
    <col min="27" max="27" width="19" customWidth="1"/>
    <col min="28" max="28" width="15.125" customWidth="1"/>
    <col min="29" max="29" width="18.375" customWidth="1"/>
    <col min="30" max="30" width="16.75" customWidth="1"/>
    <col min="33" max="33" width="16" customWidth="1"/>
  </cols>
  <sheetData>
    <row r="1" spans="1:20" s="113" customFormat="1" ht="42.8" x14ac:dyDescent="0.25">
      <c r="A1" s="114" t="s">
        <v>59</v>
      </c>
      <c r="B1" s="114" t="s">
        <v>115</v>
      </c>
      <c r="C1" s="135" t="s">
        <v>101</v>
      </c>
      <c r="D1" s="135" t="s">
        <v>102</v>
      </c>
      <c r="E1" s="115" t="s">
        <v>95</v>
      </c>
      <c r="F1" s="135" t="s">
        <v>100</v>
      </c>
      <c r="G1" s="115" t="s">
        <v>117</v>
      </c>
      <c r="H1" s="135" t="s">
        <v>97</v>
      </c>
      <c r="I1" s="135" t="s">
        <v>98</v>
      </c>
      <c r="J1" s="135" t="s">
        <v>99</v>
      </c>
      <c r="K1" s="115" t="s">
        <v>103</v>
      </c>
      <c r="L1" s="115" t="s">
        <v>110</v>
      </c>
      <c r="M1" s="115" t="s">
        <v>118</v>
      </c>
      <c r="N1" s="135" t="s">
        <v>119</v>
      </c>
      <c r="O1" s="135" t="s">
        <v>111</v>
      </c>
      <c r="P1" s="115" t="s">
        <v>105</v>
      </c>
      <c r="Q1" s="115" t="s">
        <v>106</v>
      </c>
      <c r="R1" s="115" t="s">
        <v>116</v>
      </c>
      <c r="S1" s="127" t="s">
        <v>108</v>
      </c>
      <c r="T1" s="127" t="s">
        <v>113</v>
      </c>
    </row>
    <row r="2" spans="1:20" ht="14.3" customHeight="1" x14ac:dyDescent="0.25">
      <c r="A2" s="134" t="s">
        <v>140</v>
      </c>
      <c r="B2" s="129">
        <f t="shared" ref="B2:B33" si="0">DAY(A2)</f>
        <v>3</v>
      </c>
      <c r="C2" s="136">
        <v>16494</v>
      </c>
      <c r="D2" s="136">
        <v>16511</v>
      </c>
      <c r="E2" s="117">
        <f>D2-C2</f>
        <v>17</v>
      </c>
      <c r="F2" s="139">
        <v>88</v>
      </c>
      <c r="G2" s="117">
        <f>E2*F2</f>
        <v>1496</v>
      </c>
      <c r="H2" s="136">
        <v>6100</v>
      </c>
      <c r="I2" s="140">
        <v>96</v>
      </c>
      <c r="J2" s="140">
        <v>600000</v>
      </c>
      <c r="K2" s="120">
        <f t="shared" ref="K2:K9" si="1">H2*I2</f>
        <v>585600</v>
      </c>
      <c r="L2" s="120">
        <f t="shared" ref="L2:L9" si="2">K2+J2</f>
        <v>1185600</v>
      </c>
      <c r="M2" s="118">
        <f t="shared" ref="M2:M9" si="3">L2/H2</f>
        <v>194.36065573770492</v>
      </c>
      <c r="N2" s="141">
        <v>267</v>
      </c>
      <c r="O2" s="142">
        <v>2.2999999999999998</v>
      </c>
      <c r="P2" s="97">
        <f t="shared" ref="P2:P9" si="4">H2/G2</f>
        <v>4.0775401069518713</v>
      </c>
      <c r="Q2" s="121">
        <f t="shared" ref="Q2:Q9" si="5">L2/G2</f>
        <v>792.51336898395721</v>
      </c>
      <c r="R2" s="121">
        <v>629</v>
      </c>
      <c r="S2" s="117">
        <v>2000</v>
      </c>
      <c r="T2" s="128">
        <f t="shared" ref="T2:T20" si="6">L2/S2</f>
        <v>592.79999999999995</v>
      </c>
    </row>
    <row r="3" spans="1:20" x14ac:dyDescent="0.25">
      <c r="A3" s="134" t="s">
        <v>141</v>
      </c>
      <c r="B3" s="129">
        <f t="shared" si="0"/>
        <v>6</v>
      </c>
      <c r="C3" s="136">
        <f t="shared" ref="C3:C20" si="7">+D2</f>
        <v>16511</v>
      </c>
      <c r="D3" s="136">
        <v>16528</v>
      </c>
      <c r="E3" s="117">
        <f t="shared" ref="E3:E20" si="8">D3-C3</f>
        <v>17</v>
      </c>
      <c r="F3" s="139">
        <v>88</v>
      </c>
      <c r="G3" s="117">
        <f t="shared" ref="G3:G20" si="9">E3*F3</f>
        <v>1496</v>
      </c>
      <c r="H3" s="136">
        <v>5830</v>
      </c>
      <c r="I3" s="140">
        <v>96</v>
      </c>
      <c r="J3" s="140">
        <v>600000</v>
      </c>
      <c r="K3" s="120">
        <f t="shared" si="1"/>
        <v>559680</v>
      </c>
      <c r="L3" s="120">
        <f t="shared" si="2"/>
        <v>1159680</v>
      </c>
      <c r="M3" s="118">
        <f t="shared" si="3"/>
        <v>198.91595197255575</v>
      </c>
      <c r="N3" s="141">
        <v>267</v>
      </c>
      <c r="O3" s="142">
        <v>2.2999999999999998</v>
      </c>
      <c r="P3" s="97">
        <f t="shared" si="4"/>
        <v>3.8970588235294117</v>
      </c>
      <c r="Q3" s="121">
        <f t="shared" si="5"/>
        <v>775.18716577540101</v>
      </c>
      <c r="R3" s="121">
        <v>629</v>
      </c>
      <c r="S3" s="117">
        <v>2000</v>
      </c>
      <c r="T3" s="128">
        <f t="shared" si="6"/>
        <v>579.84</v>
      </c>
    </row>
    <row r="4" spans="1:20" x14ac:dyDescent="0.25">
      <c r="A4" s="134" t="s">
        <v>142</v>
      </c>
      <c r="B4" s="129">
        <f t="shared" si="0"/>
        <v>8</v>
      </c>
      <c r="C4" s="136">
        <f t="shared" si="7"/>
        <v>16528</v>
      </c>
      <c r="D4" s="136">
        <v>16550</v>
      </c>
      <c r="E4" s="117">
        <f t="shared" si="8"/>
        <v>22</v>
      </c>
      <c r="F4" s="139">
        <v>88</v>
      </c>
      <c r="G4" s="117">
        <f t="shared" si="9"/>
        <v>1936</v>
      </c>
      <c r="H4" s="136">
        <v>5630</v>
      </c>
      <c r="I4" s="140">
        <v>96</v>
      </c>
      <c r="J4" s="140">
        <v>600000</v>
      </c>
      <c r="K4" s="120">
        <f t="shared" si="1"/>
        <v>540480</v>
      </c>
      <c r="L4" s="120">
        <f t="shared" si="2"/>
        <v>1140480</v>
      </c>
      <c r="M4" s="118">
        <f t="shared" si="3"/>
        <v>202.57193605683835</v>
      </c>
      <c r="N4" s="141">
        <v>267</v>
      </c>
      <c r="O4" s="142">
        <f>+O3</f>
        <v>2.2999999999999998</v>
      </c>
      <c r="P4" s="97">
        <f t="shared" si="4"/>
        <v>2.9080578512396693</v>
      </c>
      <c r="Q4" s="121">
        <f t="shared" si="5"/>
        <v>589.09090909090912</v>
      </c>
      <c r="R4" s="121">
        <v>629</v>
      </c>
      <c r="S4" s="117">
        <v>2000</v>
      </c>
      <c r="T4" s="128">
        <f t="shared" si="6"/>
        <v>570.24</v>
      </c>
    </row>
    <row r="5" spans="1:20" x14ac:dyDescent="0.25">
      <c r="A5" s="134" t="s">
        <v>143</v>
      </c>
      <c r="B5" s="129">
        <f t="shared" si="0"/>
        <v>12</v>
      </c>
      <c r="C5" s="136">
        <f t="shared" si="7"/>
        <v>16550</v>
      </c>
      <c r="D5" s="136">
        <v>16579</v>
      </c>
      <c r="E5" s="117">
        <f t="shared" si="8"/>
        <v>29</v>
      </c>
      <c r="F5" s="139">
        <v>88</v>
      </c>
      <c r="G5" s="117">
        <f t="shared" si="9"/>
        <v>2552</v>
      </c>
      <c r="H5" s="136">
        <v>3730</v>
      </c>
      <c r="I5" s="140">
        <v>96</v>
      </c>
      <c r="J5" s="140">
        <v>600000</v>
      </c>
      <c r="K5" s="120">
        <f t="shared" si="1"/>
        <v>358080</v>
      </c>
      <c r="L5" s="120">
        <f t="shared" si="2"/>
        <v>958080</v>
      </c>
      <c r="M5" s="118">
        <f t="shared" si="3"/>
        <v>256.857908847185</v>
      </c>
      <c r="N5" s="141">
        <v>267</v>
      </c>
      <c r="O5" s="142">
        <f>+O4</f>
        <v>2.2999999999999998</v>
      </c>
      <c r="P5" s="97">
        <f t="shared" si="4"/>
        <v>1.4615987460815048</v>
      </c>
      <c r="Q5" s="121">
        <f t="shared" si="5"/>
        <v>375.42319749216301</v>
      </c>
      <c r="R5" s="121">
        <v>629</v>
      </c>
      <c r="S5" s="117">
        <v>2000</v>
      </c>
      <c r="T5" s="128">
        <f t="shared" si="6"/>
        <v>479.04</v>
      </c>
    </row>
    <row r="6" spans="1:20" x14ac:dyDescent="0.25">
      <c r="A6" s="134" t="s">
        <v>144</v>
      </c>
      <c r="B6" s="129">
        <f t="shared" si="0"/>
        <v>13</v>
      </c>
      <c r="C6" s="136">
        <f t="shared" si="7"/>
        <v>16579</v>
      </c>
      <c r="D6" s="136">
        <v>16588</v>
      </c>
      <c r="E6" s="117">
        <f t="shared" si="8"/>
        <v>9</v>
      </c>
      <c r="F6" s="139">
        <v>88</v>
      </c>
      <c r="G6" s="117">
        <f t="shared" si="9"/>
        <v>792</v>
      </c>
      <c r="H6" s="136">
        <v>5320</v>
      </c>
      <c r="I6" s="140">
        <v>96</v>
      </c>
      <c r="J6" s="140">
        <v>600000</v>
      </c>
      <c r="K6" s="120">
        <f t="shared" si="1"/>
        <v>510720</v>
      </c>
      <c r="L6" s="120">
        <f t="shared" si="2"/>
        <v>1110720</v>
      </c>
      <c r="M6" s="118">
        <f t="shared" si="3"/>
        <v>208.78195488721803</v>
      </c>
      <c r="N6" s="141">
        <v>267</v>
      </c>
      <c r="O6" s="142">
        <f>+O5</f>
        <v>2.2999999999999998</v>
      </c>
      <c r="P6" s="97">
        <f t="shared" si="4"/>
        <v>6.7171717171717171</v>
      </c>
      <c r="Q6" s="121">
        <f t="shared" si="5"/>
        <v>1402.4242424242425</v>
      </c>
      <c r="R6" s="121">
        <v>629</v>
      </c>
      <c r="S6" s="117">
        <v>2001</v>
      </c>
      <c r="T6" s="128">
        <f t="shared" si="6"/>
        <v>555.08245877061472</v>
      </c>
    </row>
    <row r="7" spans="1:20" x14ac:dyDescent="0.25">
      <c r="A7" s="134" t="s">
        <v>145</v>
      </c>
      <c r="B7" s="129">
        <f t="shared" si="0"/>
        <v>14</v>
      </c>
      <c r="C7" s="136">
        <f t="shared" si="7"/>
        <v>16588</v>
      </c>
      <c r="D7" s="136">
        <v>16604</v>
      </c>
      <c r="E7" s="117">
        <f t="shared" si="8"/>
        <v>16</v>
      </c>
      <c r="F7" s="139">
        <v>88</v>
      </c>
      <c r="G7" s="117">
        <f t="shared" si="9"/>
        <v>1408</v>
      </c>
      <c r="H7" s="136">
        <v>4390</v>
      </c>
      <c r="I7" s="140">
        <v>96</v>
      </c>
      <c r="J7" s="140">
        <v>600000</v>
      </c>
      <c r="K7" s="120">
        <f t="shared" si="1"/>
        <v>421440</v>
      </c>
      <c r="L7" s="120">
        <f t="shared" si="2"/>
        <v>1021440</v>
      </c>
      <c r="M7" s="118">
        <f t="shared" si="3"/>
        <v>232.67425968109339</v>
      </c>
      <c r="N7" s="141">
        <v>267</v>
      </c>
      <c r="O7" s="142">
        <f>+O5</f>
        <v>2.2999999999999998</v>
      </c>
      <c r="P7" s="97">
        <f t="shared" si="4"/>
        <v>3.1178977272727271</v>
      </c>
      <c r="Q7" s="121">
        <f t="shared" si="5"/>
        <v>725.4545454545455</v>
      </c>
      <c r="R7" s="121">
        <v>629</v>
      </c>
      <c r="S7" s="117">
        <v>2000</v>
      </c>
      <c r="T7" s="128">
        <f t="shared" si="6"/>
        <v>510.72</v>
      </c>
    </row>
    <row r="8" spans="1:20" x14ac:dyDescent="0.25">
      <c r="A8" s="134" t="s">
        <v>145</v>
      </c>
      <c r="B8" s="129">
        <f t="shared" si="0"/>
        <v>14</v>
      </c>
      <c r="C8" s="136">
        <f t="shared" si="7"/>
        <v>16604</v>
      </c>
      <c r="D8" s="136">
        <v>16614</v>
      </c>
      <c r="E8" s="117">
        <f t="shared" si="8"/>
        <v>10</v>
      </c>
      <c r="F8" s="139">
        <v>88</v>
      </c>
      <c r="G8" s="117">
        <f t="shared" si="9"/>
        <v>880</v>
      </c>
      <c r="H8" s="136">
        <v>5800</v>
      </c>
      <c r="I8" s="140">
        <v>96</v>
      </c>
      <c r="J8" s="140">
        <v>600000</v>
      </c>
      <c r="K8" s="120">
        <f t="shared" si="1"/>
        <v>556800</v>
      </c>
      <c r="L8" s="120">
        <f t="shared" si="2"/>
        <v>1156800</v>
      </c>
      <c r="M8" s="118">
        <f t="shared" si="3"/>
        <v>199.44827586206895</v>
      </c>
      <c r="N8" s="141">
        <v>267</v>
      </c>
      <c r="O8" s="142">
        <f t="shared" ref="O8:O20" si="10">+O7</f>
        <v>2.2999999999999998</v>
      </c>
      <c r="P8" s="97">
        <f t="shared" si="4"/>
        <v>6.5909090909090908</v>
      </c>
      <c r="Q8" s="121">
        <f t="shared" si="5"/>
        <v>1314.5454545454545</v>
      </c>
      <c r="R8" s="121">
        <v>629</v>
      </c>
      <c r="S8" s="117">
        <v>2000</v>
      </c>
      <c r="T8" s="128">
        <f t="shared" si="6"/>
        <v>578.4</v>
      </c>
    </row>
    <row r="9" spans="1:20" x14ac:dyDescent="0.25">
      <c r="A9" s="134" t="s">
        <v>146</v>
      </c>
      <c r="B9" s="129">
        <f t="shared" si="0"/>
        <v>15</v>
      </c>
      <c r="C9" s="136">
        <f t="shared" si="7"/>
        <v>16614</v>
      </c>
      <c r="D9" s="136">
        <v>16628</v>
      </c>
      <c r="E9" s="117">
        <f t="shared" si="8"/>
        <v>14</v>
      </c>
      <c r="F9" s="139">
        <v>88</v>
      </c>
      <c r="G9" s="117">
        <f t="shared" si="9"/>
        <v>1232</v>
      </c>
      <c r="H9" s="136">
        <v>5190</v>
      </c>
      <c r="I9" s="140">
        <v>96</v>
      </c>
      <c r="J9" s="140">
        <v>600000</v>
      </c>
      <c r="K9" s="120">
        <f t="shared" si="1"/>
        <v>498240</v>
      </c>
      <c r="L9" s="120">
        <f t="shared" si="2"/>
        <v>1098240</v>
      </c>
      <c r="M9" s="118">
        <f t="shared" si="3"/>
        <v>211.60693641618496</v>
      </c>
      <c r="N9" s="141">
        <v>267</v>
      </c>
      <c r="O9" s="142">
        <f t="shared" si="10"/>
        <v>2.2999999999999998</v>
      </c>
      <c r="P9" s="97">
        <f t="shared" si="4"/>
        <v>4.212662337662338</v>
      </c>
      <c r="Q9" s="121">
        <f t="shared" si="5"/>
        <v>891.42857142857144</v>
      </c>
      <c r="R9" s="121">
        <v>629</v>
      </c>
      <c r="S9" s="117">
        <v>2000</v>
      </c>
      <c r="T9" s="128">
        <f t="shared" si="6"/>
        <v>549.12</v>
      </c>
    </row>
    <row r="10" spans="1:20" x14ac:dyDescent="0.25">
      <c r="A10" s="131" t="s">
        <v>147</v>
      </c>
      <c r="B10" s="129">
        <f t="shared" si="0"/>
        <v>16</v>
      </c>
      <c r="C10" s="136">
        <f t="shared" si="7"/>
        <v>16628</v>
      </c>
      <c r="D10" s="136">
        <v>16642</v>
      </c>
      <c r="E10" s="117">
        <f t="shared" si="8"/>
        <v>14</v>
      </c>
      <c r="F10" s="139">
        <v>88</v>
      </c>
      <c r="G10" s="117">
        <f t="shared" si="9"/>
        <v>1232</v>
      </c>
      <c r="H10" s="136">
        <v>3560</v>
      </c>
      <c r="I10" s="140">
        <v>96</v>
      </c>
      <c r="J10" s="140">
        <v>600000</v>
      </c>
      <c r="K10" s="120">
        <f t="shared" ref="K10:K20" si="11">H10*I10</f>
        <v>341760</v>
      </c>
      <c r="L10" s="120">
        <f t="shared" ref="L10:L20" si="12">K10+J10</f>
        <v>941760</v>
      </c>
      <c r="M10" s="118">
        <f t="shared" ref="M10:M20" si="13">L10/H10</f>
        <v>264.53932584269666</v>
      </c>
      <c r="N10" s="141">
        <v>267</v>
      </c>
      <c r="O10" s="142">
        <f t="shared" si="10"/>
        <v>2.2999999999999998</v>
      </c>
      <c r="P10" s="97">
        <f t="shared" ref="P10:P20" si="14">H10/G10</f>
        <v>2.8896103896103895</v>
      </c>
      <c r="Q10" s="121">
        <f t="shared" ref="Q10:Q20" si="15">L10/G10</f>
        <v>764.41558441558436</v>
      </c>
      <c r="R10" s="121">
        <v>629</v>
      </c>
      <c r="S10" s="117">
        <v>2000</v>
      </c>
      <c r="T10" s="128">
        <f t="shared" si="6"/>
        <v>470.88</v>
      </c>
    </row>
    <row r="11" spans="1:20" x14ac:dyDescent="0.25">
      <c r="A11" s="131" t="s">
        <v>148</v>
      </c>
      <c r="B11" s="129">
        <f t="shared" si="0"/>
        <v>17</v>
      </c>
      <c r="C11" s="136">
        <f t="shared" si="7"/>
        <v>16642</v>
      </c>
      <c r="D11" s="136">
        <v>16659</v>
      </c>
      <c r="E11" s="117">
        <f t="shared" si="8"/>
        <v>17</v>
      </c>
      <c r="F11" s="139">
        <v>88</v>
      </c>
      <c r="G11" s="117">
        <f t="shared" si="9"/>
        <v>1496</v>
      </c>
      <c r="H11" s="136">
        <v>3970</v>
      </c>
      <c r="I11" s="140">
        <v>96</v>
      </c>
      <c r="J11" s="140">
        <v>600000</v>
      </c>
      <c r="K11" s="120">
        <f t="shared" si="11"/>
        <v>381120</v>
      </c>
      <c r="L11" s="120">
        <f t="shared" si="12"/>
        <v>981120</v>
      </c>
      <c r="M11" s="118">
        <f t="shared" si="13"/>
        <v>247.13350125944584</v>
      </c>
      <c r="N11" s="141">
        <v>267</v>
      </c>
      <c r="O11" s="142">
        <f t="shared" si="10"/>
        <v>2.2999999999999998</v>
      </c>
      <c r="P11" s="97">
        <f t="shared" si="14"/>
        <v>2.6537433155080214</v>
      </c>
      <c r="Q11" s="121">
        <f t="shared" si="15"/>
        <v>655.82887700534764</v>
      </c>
      <c r="R11" s="121">
        <v>629</v>
      </c>
      <c r="S11" s="117">
        <v>2000</v>
      </c>
      <c r="T11" s="128">
        <f t="shared" si="6"/>
        <v>490.56</v>
      </c>
    </row>
    <row r="12" spans="1:20" x14ac:dyDescent="0.25">
      <c r="A12" s="131" t="s">
        <v>149</v>
      </c>
      <c r="B12" s="129">
        <f t="shared" si="0"/>
        <v>19</v>
      </c>
      <c r="C12" s="136">
        <f t="shared" si="7"/>
        <v>16659</v>
      </c>
      <c r="D12" s="136">
        <v>16670</v>
      </c>
      <c r="E12" s="117">
        <f t="shared" si="8"/>
        <v>11</v>
      </c>
      <c r="F12" s="139">
        <v>88</v>
      </c>
      <c r="G12" s="117">
        <f t="shared" si="9"/>
        <v>968</v>
      </c>
      <c r="H12" s="136">
        <v>7920</v>
      </c>
      <c r="I12" s="140">
        <v>96</v>
      </c>
      <c r="J12" s="140">
        <v>600000</v>
      </c>
      <c r="K12" s="120">
        <f t="shared" si="11"/>
        <v>760320</v>
      </c>
      <c r="L12" s="120">
        <f t="shared" si="12"/>
        <v>1360320</v>
      </c>
      <c r="M12" s="118">
        <f t="shared" si="13"/>
        <v>171.75757575757575</v>
      </c>
      <c r="N12" s="141">
        <v>267</v>
      </c>
      <c r="O12" s="142">
        <f t="shared" si="10"/>
        <v>2.2999999999999998</v>
      </c>
      <c r="P12" s="97">
        <f t="shared" si="14"/>
        <v>8.1818181818181817</v>
      </c>
      <c r="Q12" s="121">
        <f t="shared" si="15"/>
        <v>1405.2892561983472</v>
      </c>
      <c r="R12" s="121">
        <v>629</v>
      </c>
      <c r="S12" s="117">
        <v>2000</v>
      </c>
      <c r="T12" s="128">
        <f t="shared" si="6"/>
        <v>680.16</v>
      </c>
    </row>
    <row r="13" spans="1:20" x14ac:dyDescent="0.25">
      <c r="A13" s="131" t="s">
        <v>149</v>
      </c>
      <c r="B13" s="129">
        <f t="shared" si="0"/>
        <v>19</v>
      </c>
      <c r="C13" s="136">
        <f t="shared" si="7"/>
        <v>16670</v>
      </c>
      <c r="D13" s="136">
        <v>16684</v>
      </c>
      <c r="E13" s="117">
        <f t="shared" si="8"/>
        <v>14</v>
      </c>
      <c r="F13" s="139">
        <v>88</v>
      </c>
      <c r="G13" s="117">
        <f t="shared" si="9"/>
        <v>1232</v>
      </c>
      <c r="H13" s="136">
        <v>4600</v>
      </c>
      <c r="I13" s="140">
        <v>96</v>
      </c>
      <c r="J13" s="140">
        <v>600000</v>
      </c>
      <c r="K13" s="120">
        <f t="shared" si="11"/>
        <v>441600</v>
      </c>
      <c r="L13" s="120">
        <f t="shared" si="12"/>
        <v>1041600</v>
      </c>
      <c r="M13" s="118">
        <f t="shared" si="13"/>
        <v>226.43478260869566</v>
      </c>
      <c r="N13" s="141">
        <v>267</v>
      </c>
      <c r="O13" s="142">
        <f t="shared" si="10"/>
        <v>2.2999999999999998</v>
      </c>
      <c r="P13" s="97">
        <f t="shared" si="14"/>
        <v>3.7337662337662336</v>
      </c>
      <c r="Q13" s="121">
        <f t="shared" si="15"/>
        <v>845.4545454545455</v>
      </c>
      <c r="R13" s="121">
        <v>629</v>
      </c>
      <c r="S13" s="117">
        <v>2000</v>
      </c>
      <c r="T13" s="128">
        <f t="shared" si="6"/>
        <v>520.79999999999995</v>
      </c>
    </row>
    <row r="14" spans="1:20" x14ac:dyDescent="0.25">
      <c r="A14" s="131" t="s">
        <v>150</v>
      </c>
      <c r="B14" s="129">
        <f t="shared" si="0"/>
        <v>20</v>
      </c>
      <c r="C14" s="136">
        <f t="shared" si="7"/>
        <v>16684</v>
      </c>
      <c r="D14" s="136">
        <v>16698</v>
      </c>
      <c r="E14" s="117">
        <f t="shared" si="8"/>
        <v>14</v>
      </c>
      <c r="F14" s="139">
        <v>88</v>
      </c>
      <c r="G14" s="117">
        <f t="shared" si="9"/>
        <v>1232</v>
      </c>
      <c r="H14" s="136">
        <v>6970</v>
      </c>
      <c r="I14" s="140">
        <v>96</v>
      </c>
      <c r="J14" s="140">
        <v>600000</v>
      </c>
      <c r="K14" s="120">
        <f t="shared" si="11"/>
        <v>669120</v>
      </c>
      <c r="L14" s="120">
        <f t="shared" si="12"/>
        <v>1269120</v>
      </c>
      <c r="M14" s="118">
        <f t="shared" si="13"/>
        <v>182.08321377331421</v>
      </c>
      <c r="N14" s="141">
        <v>267</v>
      </c>
      <c r="O14" s="142">
        <f t="shared" si="10"/>
        <v>2.2999999999999998</v>
      </c>
      <c r="P14" s="97">
        <f t="shared" si="14"/>
        <v>5.6574675324675328</v>
      </c>
      <c r="Q14" s="121">
        <f t="shared" si="15"/>
        <v>1030.1298701298701</v>
      </c>
      <c r="R14" s="121">
        <v>629</v>
      </c>
      <c r="S14" s="117">
        <v>2000</v>
      </c>
      <c r="T14" s="128">
        <f t="shared" si="6"/>
        <v>634.55999999999995</v>
      </c>
    </row>
    <row r="15" spans="1:20" x14ac:dyDescent="0.25">
      <c r="A15" s="131" t="s">
        <v>151</v>
      </c>
      <c r="B15" s="129">
        <f t="shared" si="0"/>
        <v>22</v>
      </c>
      <c r="C15" s="136">
        <f t="shared" si="7"/>
        <v>16698</v>
      </c>
      <c r="D15" s="136">
        <v>16727</v>
      </c>
      <c r="E15" s="117">
        <f t="shared" si="8"/>
        <v>29</v>
      </c>
      <c r="F15" s="139">
        <v>88</v>
      </c>
      <c r="G15" s="117">
        <f t="shared" si="9"/>
        <v>2552</v>
      </c>
      <c r="H15" s="136">
        <v>5370</v>
      </c>
      <c r="I15" s="140">
        <v>96</v>
      </c>
      <c r="J15" s="140">
        <v>600000</v>
      </c>
      <c r="K15" s="120">
        <f t="shared" si="11"/>
        <v>515520</v>
      </c>
      <c r="L15" s="120">
        <f t="shared" si="12"/>
        <v>1115520</v>
      </c>
      <c r="M15" s="118">
        <f t="shared" si="13"/>
        <v>207.73184357541899</v>
      </c>
      <c r="N15" s="141">
        <v>267</v>
      </c>
      <c r="O15" s="142">
        <f t="shared" si="10"/>
        <v>2.2999999999999998</v>
      </c>
      <c r="P15" s="97">
        <f t="shared" si="14"/>
        <v>2.1042319749216301</v>
      </c>
      <c r="Q15" s="121">
        <f t="shared" si="15"/>
        <v>437.11598746081506</v>
      </c>
      <c r="R15" s="121">
        <v>629</v>
      </c>
      <c r="S15" s="117">
        <v>2000</v>
      </c>
      <c r="T15" s="128">
        <f t="shared" si="6"/>
        <v>557.76</v>
      </c>
    </row>
    <row r="16" spans="1:20" x14ac:dyDescent="0.25">
      <c r="A16" s="131" t="s">
        <v>152</v>
      </c>
      <c r="B16" s="129">
        <f t="shared" si="0"/>
        <v>24</v>
      </c>
      <c r="C16" s="136">
        <f t="shared" si="7"/>
        <v>16727</v>
      </c>
      <c r="D16" s="136">
        <v>16756</v>
      </c>
      <c r="E16" s="117">
        <f t="shared" si="8"/>
        <v>29</v>
      </c>
      <c r="F16" s="139">
        <v>88</v>
      </c>
      <c r="G16" s="117">
        <f t="shared" si="9"/>
        <v>2552</v>
      </c>
      <c r="H16" s="136">
        <v>5730</v>
      </c>
      <c r="I16" s="140">
        <v>96</v>
      </c>
      <c r="J16" s="140">
        <v>600000</v>
      </c>
      <c r="K16" s="120">
        <f t="shared" si="11"/>
        <v>550080</v>
      </c>
      <c r="L16" s="120">
        <f t="shared" si="12"/>
        <v>1150080</v>
      </c>
      <c r="M16" s="118">
        <f t="shared" si="13"/>
        <v>200.71204188481676</v>
      </c>
      <c r="N16" s="141">
        <v>267</v>
      </c>
      <c r="O16" s="142">
        <f t="shared" si="10"/>
        <v>2.2999999999999998</v>
      </c>
      <c r="P16" s="97">
        <f t="shared" si="14"/>
        <v>2.2452978056426334</v>
      </c>
      <c r="Q16" s="121">
        <f t="shared" si="15"/>
        <v>450.65830721003135</v>
      </c>
      <c r="R16" s="121">
        <v>629</v>
      </c>
      <c r="S16" s="117">
        <v>2000</v>
      </c>
      <c r="T16" s="128">
        <f t="shared" si="6"/>
        <v>575.04</v>
      </c>
    </row>
    <row r="17" spans="1:24" x14ac:dyDescent="0.25">
      <c r="A17" s="131" t="s">
        <v>153</v>
      </c>
      <c r="B17" s="129">
        <f t="shared" si="0"/>
        <v>27</v>
      </c>
      <c r="C17" s="136">
        <f t="shared" si="7"/>
        <v>16756</v>
      </c>
      <c r="D17" s="136">
        <v>16781</v>
      </c>
      <c r="E17" s="117">
        <f t="shared" si="8"/>
        <v>25</v>
      </c>
      <c r="F17" s="139">
        <v>88</v>
      </c>
      <c r="G17" s="117">
        <f t="shared" si="9"/>
        <v>2200</v>
      </c>
      <c r="H17" s="136">
        <v>5020</v>
      </c>
      <c r="I17" s="140">
        <v>96</v>
      </c>
      <c r="J17" s="140">
        <v>600000</v>
      </c>
      <c r="K17" s="120">
        <f t="shared" si="11"/>
        <v>481920</v>
      </c>
      <c r="L17" s="120">
        <f t="shared" si="12"/>
        <v>1081920</v>
      </c>
      <c r="M17" s="118">
        <f t="shared" si="13"/>
        <v>215.5219123505976</v>
      </c>
      <c r="N17" s="141">
        <v>267</v>
      </c>
      <c r="O17" s="142">
        <f t="shared" si="10"/>
        <v>2.2999999999999998</v>
      </c>
      <c r="P17" s="97">
        <f t="shared" si="14"/>
        <v>2.2818181818181817</v>
      </c>
      <c r="Q17" s="121">
        <f t="shared" si="15"/>
        <v>491.78181818181821</v>
      </c>
      <c r="R17" s="121">
        <v>629</v>
      </c>
      <c r="S17" s="117">
        <v>2000</v>
      </c>
      <c r="T17" s="128">
        <f t="shared" si="6"/>
        <v>540.96</v>
      </c>
    </row>
    <row r="18" spans="1:24" x14ac:dyDescent="0.25">
      <c r="A18" s="131" t="s">
        <v>154</v>
      </c>
      <c r="B18" s="129">
        <f t="shared" si="0"/>
        <v>28</v>
      </c>
      <c r="C18" s="136">
        <f t="shared" si="7"/>
        <v>16781</v>
      </c>
      <c r="D18" s="136">
        <v>16797</v>
      </c>
      <c r="E18" s="117">
        <f t="shared" si="8"/>
        <v>16</v>
      </c>
      <c r="F18" s="139">
        <v>88</v>
      </c>
      <c r="G18" s="117">
        <f t="shared" si="9"/>
        <v>1408</v>
      </c>
      <c r="H18" s="136">
        <v>4380</v>
      </c>
      <c r="I18" s="140">
        <v>96</v>
      </c>
      <c r="J18" s="140">
        <v>600000</v>
      </c>
      <c r="K18" s="120">
        <f t="shared" si="11"/>
        <v>420480</v>
      </c>
      <c r="L18" s="120">
        <f t="shared" si="12"/>
        <v>1020480</v>
      </c>
      <c r="M18" s="118">
        <f t="shared" si="13"/>
        <v>232.98630136986301</v>
      </c>
      <c r="N18" s="141">
        <v>267</v>
      </c>
      <c r="O18" s="142">
        <f t="shared" si="10"/>
        <v>2.2999999999999998</v>
      </c>
      <c r="P18" s="97">
        <f t="shared" si="14"/>
        <v>3.1107954545454546</v>
      </c>
      <c r="Q18" s="121">
        <f t="shared" si="15"/>
        <v>724.77272727272725</v>
      </c>
      <c r="R18" s="121">
        <v>629</v>
      </c>
      <c r="S18" s="117">
        <v>2000</v>
      </c>
      <c r="T18" s="128">
        <f t="shared" si="6"/>
        <v>510.24</v>
      </c>
    </row>
    <row r="19" spans="1:24" x14ac:dyDescent="0.25">
      <c r="A19" s="131" t="s">
        <v>155</v>
      </c>
      <c r="B19" s="129">
        <f t="shared" si="0"/>
        <v>29</v>
      </c>
      <c r="C19" s="136">
        <f t="shared" si="7"/>
        <v>16797</v>
      </c>
      <c r="D19" s="136">
        <v>16810</v>
      </c>
      <c r="E19" s="117">
        <f t="shared" si="8"/>
        <v>13</v>
      </c>
      <c r="F19" s="139">
        <v>88</v>
      </c>
      <c r="G19" s="117">
        <f t="shared" si="9"/>
        <v>1144</v>
      </c>
      <c r="H19" s="136">
        <v>5670</v>
      </c>
      <c r="I19" s="140">
        <v>96</v>
      </c>
      <c r="J19" s="140">
        <v>600000</v>
      </c>
      <c r="K19" s="120">
        <f t="shared" si="11"/>
        <v>544320</v>
      </c>
      <c r="L19" s="120">
        <f t="shared" si="12"/>
        <v>1144320</v>
      </c>
      <c r="M19" s="118">
        <f t="shared" si="13"/>
        <v>201.82010582010582</v>
      </c>
      <c r="N19" s="141">
        <v>267</v>
      </c>
      <c r="O19" s="142">
        <f t="shared" si="10"/>
        <v>2.2999999999999998</v>
      </c>
      <c r="P19" s="97">
        <f t="shared" si="14"/>
        <v>4.9562937062937067</v>
      </c>
      <c r="Q19" s="121">
        <f t="shared" si="15"/>
        <v>1000.2797202797203</v>
      </c>
      <c r="R19" s="121">
        <v>629</v>
      </c>
      <c r="S19" s="117">
        <v>2000</v>
      </c>
      <c r="T19" s="128">
        <f t="shared" si="6"/>
        <v>572.16</v>
      </c>
    </row>
    <row r="20" spans="1:24" x14ac:dyDescent="0.25">
      <c r="A20" s="131" t="s">
        <v>156</v>
      </c>
      <c r="B20" s="129">
        <f t="shared" si="0"/>
        <v>30</v>
      </c>
      <c r="C20" s="136">
        <f t="shared" si="7"/>
        <v>16810</v>
      </c>
      <c r="D20" s="136">
        <v>16822</v>
      </c>
      <c r="E20" s="117">
        <f t="shared" si="8"/>
        <v>12</v>
      </c>
      <c r="F20" s="139">
        <v>88</v>
      </c>
      <c r="G20" s="117">
        <f t="shared" si="9"/>
        <v>1056</v>
      </c>
      <c r="H20" s="136">
        <v>4100</v>
      </c>
      <c r="I20" s="140">
        <v>96</v>
      </c>
      <c r="J20" s="140">
        <v>600000</v>
      </c>
      <c r="K20" s="120">
        <f t="shared" si="11"/>
        <v>393600</v>
      </c>
      <c r="L20" s="120">
        <f t="shared" si="12"/>
        <v>993600</v>
      </c>
      <c r="M20" s="118">
        <f t="shared" si="13"/>
        <v>242.34146341463415</v>
      </c>
      <c r="N20" s="141">
        <v>267</v>
      </c>
      <c r="O20" s="142">
        <f t="shared" si="10"/>
        <v>2.2999999999999998</v>
      </c>
      <c r="P20" s="97">
        <f t="shared" si="14"/>
        <v>3.8825757575757578</v>
      </c>
      <c r="Q20" s="121">
        <f t="shared" si="15"/>
        <v>940.90909090909088</v>
      </c>
      <c r="R20" s="121">
        <v>629</v>
      </c>
      <c r="S20" s="117">
        <v>2000</v>
      </c>
      <c r="T20" s="128">
        <f t="shared" si="6"/>
        <v>496.8</v>
      </c>
    </row>
    <row r="21" spans="1:24" x14ac:dyDescent="0.25">
      <c r="A21" s="131"/>
      <c r="B21" s="129">
        <f t="shared" si="0"/>
        <v>0</v>
      </c>
      <c r="C21" s="136"/>
      <c r="D21" s="136"/>
      <c r="E21" s="117"/>
      <c r="F21" s="139"/>
      <c r="G21" s="117"/>
      <c r="H21" s="136"/>
      <c r="I21" s="140"/>
      <c r="J21" s="140"/>
      <c r="K21" s="120"/>
      <c r="L21" s="120"/>
      <c r="M21" s="118"/>
      <c r="N21" s="141"/>
      <c r="O21" s="142"/>
      <c r="P21" s="97"/>
      <c r="Q21" s="121"/>
      <c r="R21" s="121"/>
      <c r="S21" s="117"/>
      <c r="T21" s="128"/>
    </row>
    <row r="22" spans="1:24" x14ac:dyDescent="0.25">
      <c r="A22" s="131"/>
      <c r="B22" s="129">
        <f t="shared" si="0"/>
        <v>0</v>
      </c>
      <c r="C22" s="136"/>
      <c r="D22" s="136"/>
      <c r="E22" s="117"/>
      <c r="F22" s="139"/>
      <c r="G22" s="117"/>
      <c r="H22" s="136"/>
      <c r="I22" s="140"/>
      <c r="J22" s="140"/>
      <c r="K22" s="120"/>
      <c r="L22" s="120"/>
      <c r="M22" s="118"/>
      <c r="N22" s="141"/>
      <c r="O22" s="142"/>
      <c r="P22" s="97"/>
      <c r="Q22" s="121"/>
      <c r="R22" s="121"/>
      <c r="S22" s="117"/>
      <c r="T22" s="128"/>
    </row>
    <row r="23" spans="1:24" x14ac:dyDescent="0.25">
      <c r="A23" s="131"/>
      <c r="B23" s="129">
        <f t="shared" si="0"/>
        <v>0</v>
      </c>
      <c r="C23" s="136"/>
      <c r="D23" s="136"/>
      <c r="E23" s="117"/>
      <c r="F23" s="139"/>
      <c r="G23" s="117"/>
      <c r="H23" s="136"/>
      <c r="I23" s="140"/>
      <c r="J23" s="140"/>
      <c r="K23" s="120"/>
      <c r="L23" s="120"/>
      <c r="M23" s="118"/>
      <c r="N23" s="141"/>
      <c r="O23" s="142"/>
      <c r="P23" s="97"/>
      <c r="Q23" s="121"/>
      <c r="R23" s="121"/>
      <c r="S23" s="117"/>
      <c r="T23" s="128"/>
    </row>
    <row r="24" spans="1:24" x14ac:dyDescent="0.25">
      <c r="A24" s="131"/>
      <c r="B24" s="129">
        <f t="shared" si="0"/>
        <v>0</v>
      </c>
      <c r="C24" s="136"/>
      <c r="D24" s="136"/>
      <c r="E24" s="117"/>
      <c r="F24" s="139"/>
      <c r="G24" s="117"/>
      <c r="H24" s="136"/>
      <c r="I24" s="140"/>
      <c r="J24" s="140"/>
      <c r="K24" s="120"/>
      <c r="L24" s="120"/>
      <c r="M24" s="118"/>
      <c r="N24" s="141"/>
      <c r="O24" s="142"/>
      <c r="P24" s="97"/>
      <c r="Q24" s="121"/>
      <c r="R24" s="121"/>
      <c r="S24" s="117"/>
      <c r="T24" s="128"/>
    </row>
    <row r="25" spans="1:24" x14ac:dyDescent="0.25">
      <c r="A25" s="131"/>
      <c r="B25" s="129">
        <f t="shared" si="0"/>
        <v>0</v>
      </c>
      <c r="C25" s="136"/>
      <c r="D25" s="136"/>
      <c r="E25" s="117"/>
      <c r="F25" s="139"/>
      <c r="G25" s="117"/>
      <c r="H25" s="136"/>
      <c r="I25" s="140"/>
      <c r="J25" s="140"/>
      <c r="K25" s="120"/>
      <c r="L25" s="120"/>
      <c r="M25" s="118"/>
      <c r="N25" s="141"/>
      <c r="O25" s="142"/>
      <c r="P25" s="97"/>
      <c r="Q25" s="121"/>
      <c r="R25" s="121"/>
      <c r="S25" s="117"/>
      <c r="T25" s="128"/>
      <c r="W25">
        <v>39468</v>
      </c>
    </row>
    <row r="26" spans="1:24" x14ac:dyDescent="0.25">
      <c r="A26" s="131"/>
      <c r="B26" s="129">
        <f t="shared" si="0"/>
        <v>0</v>
      </c>
      <c r="C26" s="136"/>
      <c r="D26" s="136"/>
      <c r="E26" s="117"/>
      <c r="F26" s="139"/>
      <c r="G26" s="117"/>
      <c r="H26" s="136"/>
      <c r="I26" s="140"/>
      <c r="J26" s="140"/>
      <c r="K26" s="120"/>
      <c r="L26" s="120"/>
      <c r="M26" s="118"/>
      <c r="N26" s="141"/>
      <c r="O26" s="142"/>
      <c r="P26" s="97"/>
      <c r="Q26" s="121"/>
      <c r="R26" s="121"/>
      <c r="S26" s="117"/>
      <c r="T26" s="128"/>
      <c r="X26">
        <v>115670</v>
      </c>
    </row>
    <row r="27" spans="1:24" x14ac:dyDescent="0.25">
      <c r="A27" s="131"/>
      <c r="B27" s="129">
        <f t="shared" si="0"/>
        <v>0</v>
      </c>
      <c r="C27" s="136"/>
      <c r="D27" s="136"/>
      <c r="E27" s="117"/>
      <c r="F27" s="139"/>
      <c r="G27" s="117"/>
      <c r="H27" s="136"/>
      <c r="I27" s="140"/>
      <c r="J27" s="140"/>
      <c r="K27" s="120"/>
      <c r="L27" s="120"/>
      <c r="M27" s="118"/>
      <c r="N27" s="141"/>
      <c r="O27" s="142"/>
      <c r="P27" s="97"/>
      <c r="Q27" s="121"/>
      <c r="R27" s="121"/>
      <c r="S27" s="117"/>
      <c r="T27" s="128"/>
    </row>
    <row r="28" spans="1:24" x14ac:dyDescent="0.25">
      <c r="A28" s="131"/>
      <c r="B28" s="129">
        <f t="shared" si="0"/>
        <v>0</v>
      </c>
      <c r="C28" s="136"/>
      <c r="D28" s="136"/>
      <c r="E28" s="117"/>
      <c r="F28" s="139"/>
      <c r="G28" s="117"/>
      <c r="H28" s="136"/>
      <c r="I28" s="140"/>
      <c r="J28" s="140"/>
      <c r="K28" s="120"/>
      <c r="L28" s="120"/>
      <c r="M28" s="118"/>
      <c r="N28" s="141"/>
      <c r="O28" s="142"/>
      <c r="P28" s="97"/>
      <c r="Q28" s="121"/>
      <c r="R28" s="121"/>
      <c r="S28" s="117"/>
      <c r="T28" s="128"/>
    </row>
    <row r="29" spans="1:24" x14ac:dyDescent="0.25">
      <c r="A29" s="131"/>
      <c r="B29" s="129">
        <f t="shared" si="0"/>
        <v>0</v>
      </c>
      <c r="C29" s="136"/>
      <c r="D29" s="136"/>
      <c r="E29" s="117"/>
      <c r="F29" s="136"/>
      <c r="G29" s="117"/>
      <c r="H29" s="136"/>
      <c r="I29" s="140"/>
      <c r="J29" s="140"/>
      <c r="K29" s="120"/>
      <c r="L29" s="120"/>
      <c r="M29" s="118"/>
      <c r="N29" s="141"/>
      <c r="O29" s="142"/>
      <c r="P29" s="97"/>
      <c r="Q29" s="121"/>
      <c r="R29" s="121"/>
      <c r="S29" s="117"/>
      <c r="T29" s="128"/>
    </row>
    <row r="30" spans="1:24" x14ac:dyDescent="0.25">
      <c r="A30" s="131"/>
      <c r="B30" s="129">
        <f t="shared" si="0"/>
        <v>0</v>
      </c>
      <c r="C30" s="136"/>
      <c r="D30" s="136"/>
      <c r="E30" s="117"/>
      <c r="F30" s="136"/>
      <c r="G30" s="117"/>
      <c r="H30" s="136"/>
      <c r="I30" s="140"/>
      <c r="J30" s="140"/>
      <c r="K30" s="120"/>
      <c r="L30" s="120"/>
      <c r="M30" s="118"/>
      <c r="N30" s="141"/>
      <c r="O30" s="142"/>
      <c r="P30" s="97"/>
      <c r="Q30" s="121"/>
      <c r="R30" s="121"/>
      <c r="S30" s="117"/>
      <c r="T30" s="128"/>
    </row>
    <row r="31" spans="1:24" x14ac:dyDescent="0.25">
      <c r="A31" s="131"/>
      <c r="B31" s="129">
        <f t="shared" si="0"/>
        <v>0</v>
      </c>
      <c r="C31" s="136"/>
      <c r="D31" s="136"/>
      <c r="E31" s="117"/>
      <c r="F31" s="138"/>
      <c r="G31" s="117"/>
      <c r="H31" s="136"/>
      <c r="I31" s="140"/>
      <c r="J31" s="140"/>
      <c r="K31" s="120"/>
      <c r="L31" s="120"/>
      <c r="M31" s="118"/>
      <c r="N31" s="141"/>
      <c r="O31" s="142"/>
      <c r="P31" s="97"/>
      <c r="Q31" s="121"/>
      <c r="R31" s="121"/>
      <c r="S31" s="117"/>
      <c r="T31" s="128"/>
    </row>
    <row r="32" spans="1:24" x14ac:dyDescent="0.25">
      <c r="A32" s="131"/>
      <c r="B32" s="129">
        <f t="shared" si="0"/>
        <v>0</v>
      </c>
      <c r="C32" s="136"/>
      <c r="D32" s="136"/>
      <c r="E32" s="117"/>
      <c r="F32" s="138"/>
      <c r="G32" s="117"/>
      <c r="H32" s="136"/>
      <c r="I32" s="140"/>
      <c r="J32" s="140"/>
      <c r="K32" s="120"/>
      <c r="L32" s="120"/>
      <c r="M32" s="118"/>
      <c r="N32" s="141"/>
      <c r="O32" s="142"/>
      <c r="P32" s="97"/>
      <c r="Q32" s="121"/>
      <c r="R32" s="121"/>
      <c r="S32" s="117"/>
      <c r="T32" s="128"/>
    </row>
    <row r="33" spans="1:33" x14ac:dyDescent="0.25">
      <c r="A33" s="131"/>
      <c r="B33" s="129">
        <f t="shared" si="0"/>
        <v>0</v>
      </c>
      <c r="C33" s="136"/>
      <c r="D33" s="136"/>
      <c r="E33" s="117"/>
      <c r="F33" s="138"/>
      <c r="G33" s="117"/>
      <c r="H33" s="136"/>
      <c r="I33" s="140"/>
      <c r="J33" s="140"/>
      <c r="K33" s="120"/>
      <c r="L33" s="120"/>
      <c r="M33" s="118"/>
      <c r="N33" s="141"/>
      <c r="O33" s="142"/>
      <c r="P33" s="97"/>
      <c r="Q33" s="121"/>
      <c r="R33" s="121"/>
      <c r="S33" s="117"/>
      <c r="T33" s="128"/>
    </row>
    <row r="34" spans="1:33" x14ac:dyDescent="0.25">
      <c r="D34" s="138"/>
    </row>
    <row r="35" spans="1:33" x14ac:dyDescent="0.25">
      <c r="C35" s="137">
        <f>+SUM(C2:C33)</f>
        <v>316320</v>
      </c>
      <c r="D35" s="137">
        <f t="shared" ref="D35:T35" si="16">+SUM(D2:D33)</f>
        <v>316648</v>
      </c>
      <c r="E35" s="132">
        <f t="shared" si="16"/>
        <v>328</v>
      </c>
      <c r="F35" s="137">
        <f>+SUM(F2:F33)</f>
        <v>1672</v>
      </c>
      <c r="G35" s="132">
        <f t="shared" si="16"/>
        <v>28864</v>
      </c>
      <c r="H35" s="137">
        <f>+SUM(H2:H33)</f>
        <v>99280</v>
      </c>
      <c r="I35" s="137">
        <f t="shared" si="16"/>
        <v>1824</v>
      </c>
      <c r="J35" s="137">
        <f t="shared" si="16"/>
        <v>11400000</v>
      </c>
      <c r="K35" s="132">
        <f t="shared" si="16"/>
        <v>9530880</v>
      </c>
      <c r="L35" s="132">
        <f t="shared" si="16"/>
        <v>20930880</v>
      </c>
      <c r="M35" s="132">
        <f t="shared" si="16"/>
        <v>4098.2799471180142</v>
      </c>
      <c r="N35" s="137">
        <f t="shared" si="16"/>
        <v>5073</v>
      </c>
      <c r="O35" s="137">
        <f t="shared" si="16"/>
        <v>43.699999999999989</v>
      </c>
      <c r="P35" s="132">
        <f t="shared" si="16"/>
        <v>74.680314934786054</v>
      </c>
      <c r="Q35" s="132">
        <f t="shared" si="16"/>
        <v>15612.703239713144</v>
      </c>
      <c r="R35" s="132">
        <f t="shared" si="16"/>
        <v>11951</v>
      </c>
      <c r="S35" s="132">
        <f t="shared" si="16"/>
        <v>38001</v>
      </c>
      <c r="T35" s="132">
        <f t="shared" si="16"/>
        <v>10465.162458770616</v>
      </c>
      <c r="V35" s="161" t="s">
        <v>81</v>
      </c>
      <c r="W35" s="161"/>
      <c r="X35" s="161"/>
      <c r="Y35" s="161"/>
      <c r="Z35" s="161"/>
      <c r="AA35" s="161"/>
      <c r="AB35" s="161"/>
      <c r="AC35" s="161"/>
      <c r="AD35" s="161"/>
    </row>
    <row r="36" spans="1:33" ht="42.8" x14ac:dyDescent="0.25">
      <c r="V36" s="92" t="s">
        <v>82</v>
      </c>
      <c r="W36" s="92" t="s">
        <v>83</v>
      </c>
      <c r="X36" s="92" t="s">
        <v>84</v>
      </c>
      <c r="Y36" s="92" t="s">
        <v>85</v>
      </c>
      <c r="Z36" s="92" t="s">
        <v>86</v>
      </c>
      <c r="AA36" s="92" t="s">
        <v>87</v>
      </c>
      <c r="AB36" s="92" t="s">
        <v>88</v>
      </c>
      <c r="AC36" s="92" t="s">
        <v>89</v>
      </c>
      <c r="AD36" s="92" t="s">
        <v>91</v>
      </c>
    </row>
    <row r="37" spans="1:33" x14ac:dyDescent="0.25">
      <c r="V37" s="93">
        <f>+G35</f>
        <v>28864</v>
      </c>
      <c r="W37" s="93">
        <f>+H35</f>
        <v>99280</v>
      </c>
      <c r="X37" s="94">
        <f>+K35</f>
        <v>9530880</v>
      </c>
      <c r="Y37" s="94">
        <f>+J35</f>
        <v>11400000</v>
      </c>
      <c r="Z37" s="94">
        <f>+X37+Y37</f>
        <v>20930880</v>
      </c>
      <c r="AA37" s="94">
        <f>+Z37/W37</f>
        <v>210.82675261885575</v>
      </c>
      <c r="AB37" s="94">
        <f>+Z37/V37</f>
        <v>725.15521064301549</v>
      </c>
      <c r="AC37" s="95">
        <f>+W37/V37</f>
        <v>3.4395787139689578</v>
      </c>
      <c r="AD37" s="98">
        <f>+Z37/V37</f>
        <v>725.15521064301549</v>
      </c>
    </row>
    <row r="41" spans="1:33" x14ac:dyDescent="0.25">
      <c r="V41" s="161" t="s">
        <v>81</v>
      </c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</row>
    <row r="42" spans="1:33" ht="71.349999999999994" x14ac:dyDescent="0.25">
      <c r="V42" s="92" t="s">
        <v>82</v>
      </c>
      <c r="W42" s="92" t="s">
        <v>176</v>
      </c>
      <c r="X42" s="92" t="s">
        <v>83</v>
      </c>
      <c r="Y42" s="92" t="s">
        <v>177</v>
      </c>
      <c r="Z42" s="92" t="s">
        <v>84</v>
      </c>
      <c r="AA42" s="92" t="s">
        <v>85</v>
      </c>
      <c r="AB42" s="92" t="s">
        <v>86</v>
      </c>
      <c r="AC42" s="92" t="s">
        <v>87</v>
      </c>
      <c r="AD42" s="92" t="s">
        <v>88</v>
      </c>
      <c r="AE42" s="92" t="s">
        <v>89</v>
      </c>
      <c r="AF42" s="92" t="s">
        <v>175</v>
      </c>
      <c r="AG42" s="92" t="s">
        <v>179</v>
      </c>
    </row>
    <row r="43" spans="1:33" x14ac:dyDescent="0.25">
      <c r="V43" s="93">
        <v>29324.999999999996</v>
      </c>
      <c r="W43" s="143">
        <v>27228</v>
      </c>
      <c r="X43" s="93">
        <f>+H35</f>
        <v>99280</v>
      </c>
      <c r="Y43" s="143">
        <v>92575.2</v>
      </c>
      <c r="Z43" s="94">
        <f>+K35</f>
        <v>9530880</v>
      </c>
      <c r="AA43" s="94">
        <f>+J35</f>
        <v>11400000</v>
      </c>
      <c r="AB43" s="94">
        <f>+Z43+AA43</f>
        <v>20930880</v>
      </c>
      <c r="AC43" s="94">
        <f>+AB43/X43</f>
        <v>210.82675261885575</v>
      </c>
      <c r="AD43" s="94">
        <f>+AB43/V43</f>
        <v>713.7554987212277</v>
      </c>
      <c r="AE43" s="146">
        <f>+X43/V43</f>
        <v>3.3855072463768119</v>
      </c>
      <c r="AF43" s="144">
        <v>780</v>
      </c>
      <c r="AG43" s="147">
        <f>+Y43/W43</f>
        <v>3.4</v>
      </c>
    </row>
  </sheetData>
  <mergeCells count="2">
    <mergeCell ref="V35:AD35"/>
    <mergeCell ref="V41:AG4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DFBA1-84D4-403C-A592-981AE456E9DF}">
  <dimension ref="A1:AG35"/>
  <sheetViews>
    <sheetView topLeftCell="H1" zoomScale="85" zoomScaleNormal="85" workbookViewId="0">
      <selection activeCell="V33" sqref="V33:AG35"/>
    </sheetView>
  </sheetViews>
  <sheetFormatPr baseColWidth="10" defaultRowHeight="14.3" x14ac:dyDescent="0.25"/>
  <cols>
    <col min="1" max="1" width="17.75" customWidth="1"/>
    <col min="2" max="2" width="14.75" customWidth="1"/>
    <col min="3" max="3" width="12.25" style="99" customWidth="1"/>
    <col min="4" max="4" width="14.375" style="99" customWidth="1"/>
    <col min="6" max="6" width="15.25" style="99" customWidth="1"/>
    <col min="7" max="7" width="11" customWidth="1"/>
    <col min="8" max="8" width="12.625" style="99" customWidth="1"/>
    <col min="9" max="9" width="11" style="99"/>
    <col min="10" max="10" width="14.625" style="99" customWidth="1"/>
    <col min="11" max="11" width="13.375" customWidth="1"/>
    <col min="12" max="12" width="13" bestFit="1" customWidth="1"/>
    <col min="14" max="15" width="11" style="99"/>
    <col min="16" max="16" width="13.125" customWidth="1"/>
    <col min="22" max="23" width="17.75" customWidth="1"/>
    <col min="24" max="25" width="18.375" customWidth="1"/>
    <col min="26" max="26" width="17.25" customWidth="1"/>
    <col min="27" max="27" width="18.625" customWidth="1"/>
    <col min="28" max="28" width="22.625" customWidth="1"/>
    <col min="29" max="29" width="16.5" customWidth="1"/>
    <col min="30" max="30" width="15.125" customWidth="1"/>
    <col min="31" max="31" width="14.125" customWidth="1"/>
    <col min="32" max="32" width="16.75" customWidth="1"/>
    <col min="33" max="33" width="19" customWidth="1"/>
  </cols>
  <sheetData>
    <row r="1" spans="1:20" s="113" customFormat="1" ht="42.8" x14ac:dyDescent="0.25">
      <c r="A1" s="114" t="s">
        <v>59</v>
      </c>
      <c r="B1" s="114" t="s">
        <v>115</v>
      </c>
      <c r="C1" s="135" t="s">
        <v>101</v>
      </c>
      <c r="D1" s="135" t="s">
        <v>102</v>
      </c>
      <c r="E1" s="115" t="s">
        <v>95</v>
      </c>
      <c r="F1" s="135" t="s">
        <v>100</v>
      </c>
      <c r="G1" s="115" t="s">
        <v>117</v>
      </c>
      <c r="H1" s="135" t="s">
        <v>97</v>
      </c>
      <c r="I1" s="135" t="s">
        <v>98</v>
      </c>
      <c r="J1" s="135" t="s">
        <v>99</v>
      </c>
      <c r="K1" s="115" t="s">
        <v>103</v>
      </c>
      <c r="L1" s="115" t="s">
        <v>110</v>
      </c>
      <c r="M1" s="115" t="s">
        <v>118</v>
      </c>
      <c r="N1" s="135" t="s">
        <v>119</v>
      </c>
      <c r="O1" s="135" t="s">
        <v>111</v>
      </c>
      <c r="P1" s="115" t="s">
        <v>105</v>
      </c>
      <c r="Q1" s="115" t="s">
        <v>106</v>
      </c>
      <c r="R1" s="115" t="s">
        <v>116</v>
      </c>
      <c r="S1" s="127" t="s">
        <v>108</v>
      </c>
      <c r="T1" s="127" t="s">
        <v>113</v>
      </c>
    </row>
    <row r="2" spans="1:20" ht="14.3" customHeight="1" x14ac:dyDescent="0.25">
      <c r="A2" s="134" t="s">
        <v>161</v>
      </c>
      <c r="B2" s="129">
        <f t="shared" ref="B2:B31" si="0">DAY(A2)</f>
        <v>2</v>
      </c>
      <c r="C2" s="136">
        <v>16810</v>
      </c>
      <c r="D2" s="136">
        <v>16856</v>
      </c>
      <c r="E2" s="117">
        <f>D2-C2</f>
        <v>46</v>
      </c>
      <c r="F2" s="139">
        <v>80</v>
      </c>
      <c r="G2" s="117">
        <f>E2*F2</f>
        <v>3680</v>
      </c>
      <c r="H2" s="136">
        <v>5260</v>
      </c>
      <c r="I2" s="140">
        <v>96</v>
      </c>
      <c r="J2" s="140">
        <v>600000</v>
      </c>
      <c r="K2" s="120">
        <f t="shared" ref="K2:K18" si="1">H2*I2</f>
        <v>504960</v>
      </c>
      <c r="L2" s="120">
        <f t="shared" ref="L2:L18" si="2">K2+J2</f>
        <v>1104960</v>
      </c>
      <c r="M2" s="118">
        <f t="shared" ref="M2:M18" si="3">L2/H2</f>
        <v>210.06844106463879</v>
      </c>
      <c r="N2" s="141">
        <v>267</v>
      </c>
      <c r="O2" s="142">
        <v>2.2999999999999998</v>
      </c>
      <c r="P2" s="97">
        <f t="shared" ref="P2:P18" si="4">H2/G2</f>
        <v>1.4293478260869565</v>
      </c>
      <c r="Q2" s="121">
        <f t="shared" ref="Q2:Q18" si="5">L2/G2</f>
        <v>300.26086956521738</v>
      </c>
      <c r="R2" s="121">
        <v>629</v>
      </c>
      <c r="S2" s="117">
        <v>2000</v>
      </c>
      <c r="T2" s="128">
        <f t="shared" ref="T2:T18" si="6">L2/S2</f>
        <v>552.48</v>
      </c>
    </row>
    <row r="3" spans="1:20" x14ac:dyDescent="0.25">
      <c r="A3" s="134" t="s">
        <v>162</v>
      </c>
      <c r="B3" s="129">
        <f t="shared" si="0"/>
        <v>3</v>
      </c>
      <c r="C3" s="136">
        <f t="shared" ref="C3:C18" si="7">+D2</f>
        <v>16856</v>
      </c>
      <c r="D3" s="136">
        <v>16870</v>
      </c>
      <c r="E3" s="117">
        <f t="shared" ref="E3:E18" si="8">D3-C3</f>
        <v>14</v>
      </c>
      <c r="F3" s="139">
        <v>80</v>
      </c>
      <c r="G3" s="117">
        <f t="shared" ref="G3:G18" si="9">E3*F3</f>
        <v>1120</v>
      </c>
      <c r="H3" s="136">
        <v>5860</v>
      </c>
      <c r="I3" s="140">
        <v>96</v>
      </c>
      <c r="J3" s="140">
        <v>600000</v>
      </c>
      <c r="K3" s="120">
        <f t="shared" si="1"/>
        <v>562560</v>
      </c>
      <c r="L3" s="120">
        <f t="shared" si="2"/>
        <v>1162560</v>
      </c>
      <c r="M3" s="118">
        <f t="shared" si="3"/>
        <v>198.38907849829351</v>
      </c>
      <c r="N3" s="141">
        <v>267</v>
      </c>
      <c r="O3" s="142">
        <v>2.2999999999999998</v>
      </c>
      <c r="P3" s="97">
        <f t="shared" si="4"/>
        <v>5.2321428571428568</v>
      </c>
      <c r="Q3" s="121">
        <f t="shared" si="5"/>
        <v>1038</v>
      </c>
      <c r="R3" s="121">
        <v>629</v>
      </c>
      <c r="S3" s="117">
        <v>2000</v>
      </c>
      <c r="T3" s="128">
        <f t="shared" si="6"/>
        <v>581.28</v>
      </c>
    </row>
    <row r="4" spans="1:20" x14ac:dyDescent="0.25">
      <c r="A4" s="134" t="s">
        <v>163</v>
      </c>
      <c r="B4" s="129">
        <f t="shared" si="0"/>
        <v>4</v>
      </c>
      <c r="C4" s="136">
        <f t="shared" si="7"/>
        <v>16870</v>
      </c>
      <c r="D4" s="136">
        <v>16893</v>
      </c>
      <c r="E4" s="117">
        <f t="shared" si="8"/>
        <v>23</v>
      </c>
      <c r="F4" s="139">
        <v>80</v>
      </c>
      <c r="G4" s="117">
        <f t="shared" si="9"/>
        <v>1840</v>
      </c>
      <c r="H4" s="136">
        <v>4610</v>
      </c>
      <c r="I4" s="140">
        <v>96</v>
      </c>
      <c r="J4" s="140">
        <v>600000</v>
      </c>
      <c r="K4" s="120">
        <f t="shared" si="1"/>
        <v>442560</v>
      </c>
      <c r="L4" s="120">
        <f t="shared" si="2"/>
        <v>1042560</v>
      </c>
      <c r="M4" s="118">
        <f t="shared" si="3"/>
        <v>226.15184381778741</v>
      </c>
      <c r="N4" s="141">
        <v>267</v>
      </c>
      <c r="O4" s="142">
        <f>+O3</f>
        <v>2.2999999999999998</v>
      </c>
      <c r="P4" s="97">
        <f t="shared" si="4"/>
        <v>2.5054347826086958</v>
      </c>
      <c r="Q4" s="121">
        <f t="shared" si="5"/>
        <v>566.60869565217388</v>
      </c>
      <c r="R4" s="121">
        <v>629</v>
      </c>
      <c r="S4" s="117">
        <v>2000</v>
      </c>
      <c r="T4" s="128">
        <f t="shared" si="6"/>
        <v>521.28</v>
      </c>
    </row>
    <row r="5" spans="1:20" x14ac:dyDescent="0.25">
      <c r="A5" s="134" t="s">
        <v>163</v>
      </c>
      <c r="B5" s="129">
        <f t="shared" si="0"/>
        <v>4</v>
      </c>
      <c r="C5" s="136">
        <f t="shared" si="7"/>
        <v>16893</v>
      </c>
      <c r="D5" s="136">
        <f>+D4+7.5</f>
        <v>16900.5</v>
      </c>
      <c r="E5" s="117">
        <f t="shared" si="8"/>
        <v>7.5</v>
      </c>
      <c r="F5" s="139">
        <v>80</v>
      </c>
      <c r="G5" s="117">
        <f t="shared" si="9"/>
        <v>600</v>
      </c>
      <c r="H5" s="136">
        <v>5490</v>
      </c>
      <c r="I5" s="140">
        <v>96</v>
      </c>
      <c r="J5" s="140">
        <v>600000</v>
      </c>
      <c r="K5" s="120">
        <f t="shared" si="1"/>
        <v>527040</v>
      </c>
      <c r="L5" s="120">
        <f t="shared" si="2"/>
        <v>1127040</v>
      </c>
      <c r="M5" s="118">
        <f t="shared" si="3"/>
        <v>205.28961748633878</v>
      </c>
      <c r="N5" s="141">
        <v>267</v>
      </c>
      <c r="O5" s="142">
        <f>+O4</f>
        <v>2.2999999999999998</v>
      </c>
      <c r="P5" s="97">
        <f t="shared" si="4"/>
        <v>9.15</v>
      </c>
      <c r="Q5" s="121">
        <f t="shared" si="5"/>
        <v>1878.4</v>
      </c>
      <c r="R5" s="121">
        <v>629</v>
      </c>
      <c r="S5" s="117">
        <v>2000</v>
      </c>
      <c r="T5" s="128">
        <f t="shared" si="6"/>
        <v>563.52</v>
      </c>
    </row>
    <row r="6" spans="1:20" x14ac:dyDescent="0.25">
      <c r="A6" s="134" t="s">
        <v>163</v>
      </c>
      <c r="B6" s="129">
        <f t="shared" si="0"/>
        <v>4</v>
      </c>
      <c r="C6" s="136">
        <f t="shared" si="7"/>
        <v>16900.5</v>
      </c>
      <c r="D6" s="136">
        <f t="shared" ref="D6:D7" si="10">+D5+7.5</f>
        <v>16908</v>
      </c>
      <c r="E6" s="117">
        <f t="shared" si="8"/>
        <v>7.5</v>
      </c>
      <c r="F6" s="139">
        <v>80</v>
      </c>
      <c r="G6" s="117">
        <f t="shared" si="9"/>
        <v>600</v>
      </c>
      <c r="H6" s="136">
        <v>5760</v>
      </c>
      <c r="I6" s="140">
        <v>96</v>
      </c>
      <c r="J6" s="140">
        <v>600000</v>
      </c>
      <c r="K6" s="120">
        <f t="shared" si="1"/>
        <v>552960</v>
      </c>
      <c r="L6" s="120">
        <f t="shared" si="2"/>
        <v>1152960</v>
      </c>
      <c r="M6" s="118">
        <f t="shared" si="3"/>
        <v>200.16666666666666</v>
      </c>
      <c r="N6" s="141">
        <v>267</v>
      </c>
      <c r="O6" s="142">
        <f>+O5</f>
        <v>2.2999999999999998</v>
      </c>
      <c r="P6" s="97">
        <f t="shared" si="4"/>
        <v>9.6</v>
      </c>
      <c r="Q6" s="121">
        <f t="shared" si="5"/>
        <v>1921.6</v>
      </c>
      <c r="R6" s="121">
        <v>629</v>
      </c>
      <c r="S6" s="117">
        <v>2001</v>
      </c>
      <c r="T6" s="128">
        <f t="shared" si="6"/>
        <v>576.19190404797598</v>
      </c>
    </row>
    <row r="7" spans="1:20" x14ac:dyDescent="0.25">
      <c r="A7" s="134" t="s">
        <v>164</v>
      </c>
      <c r="B7" s="129">
        <f t="shared" si="0"/>
        <v>5</v>
      </c>
      <c r="C7" s="136">
        <f t="shared" si="7"/>
        <v>16908</v>
      </c>
      <c r="D7" s="136">
        <f t="shared" si="10"/>
        <v>16915.5</v>
      </c>
      <c r="E7" s="117">
        <f t="shared" si="8"/>
        <v>7.5</v>
      </c>
      <c r="F7" s="139">
        <v>80</v>
      </c>
      <c r="G7" s="117">
        <f t="shared" si="9"/>
        <v>600</v>
      </c>
      <c r="H7" s="136">
        <v>5220</v>
      </c>
      <c r="I7" s="140">
        <v>96</v>
      </c>
      <c r="J7" s="140">
        <v>600000</v>
      </c>
      <c r="K7" s="120">
        <f t="shared" si="1"/>
        <v>501120</v>
      </c>
      <c r="L7" s="120">
        <f t="shared" si="2"/>
        <v>1101120</v>
      </c>
      <c r="M7" s="118">
        <f t="shared" si="3"/>
        <v>210.94252873563218</v>
      </c>
      <c r="N7" s="141">
        <v>267</v>
      </c>
      <c r="O7" s="142">
        <f>+O5</f>
        <v>2.2999999999999998</v>
      </c>
      <c r="P7" s="97">
        <f t="shared" si="4"/>
        <v>8.6999999999999993</v>
      </c>
      <c r="Q7" s="121">
        <f t="shared" si="5"/>
        <v>1835.2</v>
      </c>
      <c r="R7" s="121">
        <v>629</v>
      </c>
      <c r="S7" s="117">
        <v>2000</v>
      </c>
      <c r="T7" s="128">
        <f t="shared" si="6"/>
        <v>550.55999999999995</v>
      </c>
    </row>
    <row r="8" spans="1:20" x14ac:dyDescent="0.25">
      <c r="A8" s="134" t="s">
        <v>165</v>
      </c>
      <c r="B8" s="129">
        <f t="shared" si="0"/>
        <v>6</v>
      </c>
      <c r="C8" s="136">
        <f t="shared" si="7"/>
        <v>16915.5</v>
      </c>
      <c r="D8" s="136">
        <v>16923</v>
      </c>
      <c r="E8" s="117">
        <f t="shared" si="8"/>
        <v>7.5</v>
      </c>
      <c r="F8" s="139">
        <v>80</v>
      </c>
      <c r="G8" s="117">
        <f t="shared" si="9"/>
        <v>600</v>
      </c>
      <c r="H8" s="136">
        <v>4170</v>
      </c>
      <c r="I8" s="140">
        <v>96</v>
      </c>
      <c r="J8" s="140">
        <v>600000</v>
      </c>
      <c r="K8" s="120">
        <f t="shared" si="1"/>
        <v>400320</v>
      </c>
      <c r="L8" s="120">
        <f t="shared" si="2"/>
        <v>1000320</v>
      </c>
      <c r="M8" s="118">
        <f t="shared" si="3"/>
        <v>239.88489208633092</v>
      </c>
      <c r="N8" s="141">
        <v>267</v>
      </c>
      <c r="O8" s="142">
        <f t="shared" ref="O8:O18" si="11">+O7</f>
        <v>2.2999999999999998</v>
      </c>
      <c r="P8" s="97">
        <f t="shared" si="4"/>
        <v>6.95</v>
      </c>
      <c r="Q8" s="121">
        <f t="shared" si="5"/>
        <v>1667.2</v>
      </c>
      <c r="R8" s="121">
        <v>629</v>
      </c>
      <c r="S8" s="117">
        <v>2000</v>
      </c>
      <c r="T8" s="128">
        <f t="shared" si="6"/>
        <v>500.16</v>
      </c>
    </row>
    <row r="9" spans="1:20" x14ac:dyDescent="0.25">
      <c r="A9" s="134" t="s">
        <v>166</v>
      </c>
      <c r="B9" s="129">
        <f t="shared" si="0"/>
        <v>7</v>
      </c>
      <c r="C9" s="136">
        <f t="shared" si="7"/>
        <v>16923</v>
      </c>
      <c r="D9" s="136">
        <f>+D8+21.6</f>
        <v>16944.599999999999</v>
      </c>
      <c r="E9" s="117">
        <f t="shared" si="8"/>
        <v>21.599999999998545</v>
      </c>
      <c r="F9" s="139">
        <v>80</v>
      </c>
      <c r="G9" s="117">
        <f t="shared" si="9"/>
        <v>1727.9999999998836</v>
      </c>
      <c r="H9" s="136">
        <v>4960</v>
      </c>
      <c r="I9" s="140">
        <v>96</v>
      </c>
      <c r="J9" s="140">
        <v>600000</v>
      </c>
      <c r="K9" s="120">
        <f t="shared" si="1"/>
        <v>476160</v>
      </c>
      <c r="L9" s="120">
        <f t="shared" si="2"/>
        <v>1076160</v>
      </c>
      <c r="M9" s="118">
        <f t="shared" si="3"/>
        <v>216.96774193548387</v>
      </c>
      <c r="N9" s="141">
        <v>267</v>
      </c>
      <c r="O9" s="142">
        <f t="shared" si="11"/>
        <v>2.2999999999999998</v>
      </c>
      <c r="P9" s="97">
        <f t="shared" si="4"/>
        <v>2.8703703703705639</v>
      </c>
      <c r="Q9" s="121">
        <f t="shared" si="5"/>
        <v>622.77777777781978</v>
      </c>
      <c r="R9" s="121">
        <v>629</v>
      </c>
      <c r="S9" s="117">
        <v>2000</v>
      </c>
      <c r="T9" s="128">
        <f t="shared" si="6"/>
        <v>538.08000000000004</v>
      </c>
    </row>
    <row r="10" spans="1:20" x14ac:dyDescent="0.25">
      <c r="A10" s="131" t="s">
        <v>167</v>
      </c>
      <c r="B10" s="129">
        <f t="shared" si="0"/>
        <v>9</v>
      </c>
      <c r="C10" s="136">
        <f t="shared" si="7"/>
        <v>16944.599999999999</v>
      </c>
      <c r="D10" s="136">
        <f>+D9+21.6</f>
        <v>16966.199999999997</v>
      </c>
      <c r="E10" s="117">
        <f t="shared" si="8"/>
        <v>21.599999999998545</v>
      </c>
      <c r="F10" s="139">
        <v>80</v>
      </c>
      <c r="G10" s="117">
        <f t="shared" si="9"/>
        <v>1727.9999999998836</v>
      </c>
      <c r="H10" s="136">
        <v>4190</v>
      </c>
      <c r="I10" s="140">
        <v>96</v>
      </c>
      <c r="J10" s="140">
        <v>600000</v>
      </c>
      <c r="K10" s="120">
        <f t="shared" si="1"/>
        <v>402240</v>
      </c>
      <c r="L10" s="120">
        <f t="shared" si="2"/>
        <v>1002240</v>
      </c>
      <c r="M10" s="118">
        <f t="shared" si="3"/>
        <v>239.19809069212411</v>
      </c>
      <c r="N10" s="141">
        <v>267</v>
      </c>
      <c r="O10" s="142">
        <f t="shared" si="11"/>
        <v>2.2999999999999998</v>
      </c>
      <c r="P10" s="97">
        <f t="shared" si="4"/>
        <v>2.424768518518682</v>
      </c>
      <c r="Q10" s="121">
        <f t="shared" si="5"/>
        <v>580.00000000003911</v>
      </c>
      <c r="R10" s="121">
        <v>629</v>
      </c>
      <c r="S10" s="117">
        <v>2000</v>
      </c>
      <c r="T10" s="128">
        <f t="shared" si="6"/>
        <v>501.12</v>
      </c>
    </row>
    <row r="11" spans="1:20" x14ac:dyDescent="0.25">
      <c r="A11" s="131" t="s">
        <v>168</v>
      </c>
      <c r="B11" s="129">
        <f t="shared" si="0"/>
        <v>11</v>
      </c>
      <c r="C11" s="136">
        <f t="shared" si="7"/>
        <v>16966.199999999997</v>
      </c>
      <c r="D11" s="136">
        <v>16988</v>
      </c>
      <c r="E11" s="117">
        <f t="shared" si="8"/>
        <v>21.80000000000291</v>
      </c>
      <c r="F11" s="139">
        <v>80</v>
      </c>
      <c r="G11" s="117">
        <f t="shared" si="9"/>
        <v>1744.0000000002328</v>
      </c>
      <c r="H11" s="136">
        <v>5410</v>
      </c>
      <c r="I11" s="140">
        <v>96</v>
      </c>
      <c r="J11" s="140">
        <v>600000</v>
      </c>
      <c r="K11" s="120">
        <f t="shared" si="1"/>
        <v>519360</v>
      </c>
      <c r="L11" s="120">
        <f t="shared" si="2"/>
        <v>1119360</v>
      </c>
      <c r="M11" s="118">
        <f t="shared" si="3"/>
        <v>206.90573012939001</v>
      </c>
      <c r="N11" s="141">
        <v>267</v>
      </c>
      <c r="O11" s="142">
        <f t="shared" si="11"/>
        <v>2.2999999999999998</v>
      </c>
      <c r="P11" s="97">
        <f t="shared" si="4"/>
        <v>3.1020642201830722</v>
      </c>
      <c r="Q11" s="121">
        <f t="shared" si="5"/>
        <v>641.8348623852354</v>
      </c>
      <c r="R11" s="121">
        <v>629</v>
      </c>
      <c r="S11" s="117">
        <v>2000</v>
      </c>
      <c r="T11" s="128">
        <f t="shared" si="6"/>
        <v>559.67999999999995</v>
      </c>
    </row>
    <row r="12" spans="1:20" x14ac:dyDescent="0.25">
      <c r="A12" s="131" t="s">
        <v>169</v>
      </c>
      <c r="B12" s="129">
        <f t="shared" si="0"/>
        <v>12</v>
      </c>
      <c r="C12" s="136">
        <f t="shared" si="7"/>
        <v>16988</v>
      </c>
      <c r="D12" s="136">
        <f>+D11+22</f>
        <v>17010</v>
      </c>
      <c r="E12" s="117">
        <f t="shared" si="8"/>
        <v>22</v>
      </c>
      <c r="F12" s="139">
        <v>80</v>
      </c>
      <c r="G12" s="117">
        <f t="shared" si="9"/>
        <v>1760</v>
      </c>
      <c r="H12" s="136">
        <v>4700</v>
      </c>
      <c r="I12" s="140">
        <v>96</v>
      </c>
      <c r="J12" s="140">
        <v>600000</v>
      </c>
      <c r="K12" s="120">
        <f t="shared" si="1"/>
        <v>451200</v>
      </c>
      <c r="L12" s="120">
        <f t="shared" si="2"/>
        <v>1051200</v>
      </c>
      <c r="M12" s="118">
        <f t="shared" si="3"/>
        <v>223.65957446808511</v>
      </c>
      <c r="N12" s="141">
        <v>267</v>
      </c>
      <c r="O12" s="142">
        <f t="shared" si="11"/>
        <v>2.2999999999999998</v>
      </c>
      <c r="P12" s="97">
        <f t="shared" si="4"/>
        <v>2.6704545454545454</v>
      </c>
      <c r="Q12" s="121">
        <f t="shared" si="5"/>
        <v>597.27272727272725</v>
      </c>
      <c r="R12" s="121">
        <v>629</v>
      </c>
      <c r="S12" s="117">
        <v>2000</v>
      </c>
      <c r="T12" s="128">
        <f t="shared" si="6"/>
        <v>525.6</v>
      </c>
    </row>
    <row r="13" spans="1:20" x14ac:dyDescent="0.25">
      <c r="A13" s="131" t="s">
        <v>169</v>
      </c>
      <c r="B13" s="129">
        <f t="shared" si="0"/>
        <v>12</v>
      </c>
      <c r="C13" s="136">
        <f t="shared" si="7"/>
        <v>17010</v>
      </c>
      <c r="D13" s="136">
        <f t="shared" ref="D13:D14" si="12">+D12+22</f>
        <v>17032</v>
      </c>
      <c r="E13" s="117">
        <f t="shared" si="8"/>
        <v>22</v>
      </c>
      <c r="F13" s="139">
        <v>80</v>
      </c>
      <c r="G13" s="117">
        <f t="shared" si="9"/>
        <v>1760</v>
      </c>
      <c r="H13" s="136">
        <v>2960</v>
      </c>
      <c r="I13" s="140">
        <v>96</v>
      </c>
      <c r="J13" s="140">
        <v>600000</v>
      </c>
      <c r="K13" s="120">
        <f t="shared" si="1"/>
        <v>284160</v>
      </c>
      <c r="L13" s="120">
        <f t="shared" si="2"/>
        <v>884160</v>
      </c>
      <c r="M13" s="118">
        <f t="shared" si="3"/>
        <v>298.70270270270271</v>
      </c>
      <c r="N13" s="141">
        <v>267</v>
      </c>
      <c r="O13" s="142">
        <f t="shared" si="11"/>
        <v>2.2999999999999998</v>
      </c>
      <c r="P13" s="97">
        <f t="shared" si="4"/>
        <v>1.6818181818181819</v>
      </c>
      <c r="Q13" s="121">
        <f t="shared" si="5"/>
        <v>502.36363636363637</v>
      </c>
      <c r="R13" s="121">
        <v>629</v>
      </c>
      <c r="S13" s="117">
        <v>2000</v>
      </c>
      <c r="T13" s="128">
        <f t="shared" si="6"/>
        <v>442.08</v>
      </c>
    </row>
    <row r="14" spans="1:20" x14ac:dyDescent="0.25">
      <c r="A14" s="131" t="s">
        <v>170</v>
      </c>
      <c r="B14" s="129">
        <f t="shared" si="0"/>
        <v>14</v>
      </c>
      <c r="C14" s="136">
        <f t="shared" si="7"/>
        <v>17032</v>
      </c>
      <c r="D14" s="136">
        <f t="shared" si="12"/>
        <v>17054</v>
      </c>
      <c r="E14" s="117">
        <f t="shared" si="8"/>
        <v>22</v>
      </c>
      <c r="F14" s="139">
        <v>80</v>
      </c>
      <c r="G14" s="117">
        <f t="shared" si="9"/>
        <v>1760</v>
      </c>
      <c r="H14" s="136">
        <v>4600</v>
      </c>
      <c r="I14" s="140">
        <v>96</v>
      </c>
      <c r="J14" s="140">
        <v>600000</v>
      </c>
      <c r="K14" s="120">
        <f t="shared" si="1"/>
        <v>441600</v>
      </c>
      <c r="L14" s="120">
        <f t="shared" si="2"/>
        <v>1041600</v>
      </c>
      <c r="M14" s="118">
        <f t="shared" si="3"/>
        <v>226.43478260869566</v>
      </c>
      <c r="N14" s="141">
        <v>267</v>
      </c>
      <c r="O14" s="142">
        <f t="shared" si="11"/>
        <v>2.2999999999999998</v>
      </c>
      <c r="P14" s="97">
        <f t="shared" si="4"/>
        <v>2.6136363636363638</v>
      </c>
      <c r="Q14" s="121">
        <f t="shared" si="5"/>
        <v>591.81818181818187</v>
      </c>
      <c r="R14" s="121">
        <v>629</v>
      </c>
      <c r="S14" s="117">
        <v>2000</v>
      </c>
      <c r="T14" s="128">
        <f t="shared" si="6"/>
        <v>520.79999999999995</v>
      </c>
    </row>
    <row r="15" spans="1:20" x14ac:dyDescent="0.25">
      <c r="A15" s="131" t="s">
        <v>171</v>
      </c>
      <c r="B15" s="129">
        <f t="shared" si="0"/>
        <v>17</v>
      </c>
      <c r="C15" s="136">
        <f t="shared" si="7"/>
        <v>17054</v>
      </c>
      <c r="D15" s="136">
        <v>17076</v>
      </c>
      <c r="E15" s="117">
        <f t="shared" si="8"/>
        <v>22</v>
      </c>
      <c r="F15" s="139">
        <v>80</v>
      </c>
      <c r="G15" s="117">
        <f t="shared" si="9"/>
        <v>1760</v>
      </c>
      <c r="H15" s="136">
        <v>2410</v>
      </c>
      <c r="I15" s="140">
        <v>96</v>
      </c>
      <c r="J15" s="140">
        <v>600000</v>
      </c>
      <c r="K15" s="120">
        <f t="shared" si="1"/>
        <v>231360</v>
      </c>
      <c r="L15" s="120">
        <f t="shared" si="2"/>
        <v>831360</v>
      </c>
      <c r="M15" s="118">
        <f t="shared" si="3"/>
        <v>344.96265560165978</v>
      </c>
      <c r="N15" s="141">
        <v>267</v>
      </c>
      <c r="O15" s="142">
        <f t="shared" si="11"/>
        <v>2.2999999999999998</v>
      </c>
      <c r="P15" s="97">
        <f t="shared" si="4"/>
        <v>1.3693181818181819</v>
      </c>
      <c r="Q15" s="121">
        <f t="shared" si="5"/>
        <v>472.36363636363637</v>
      </c>
      <c r="R15" s="121">
        <v>629</v>
      </c>
      <c r="S15" s="117">
        <v>2000</v>
      </c>
      <c r="T15" s="128">
        <f t="shared" si="6"/>
        <v>415.68</v>
      </c>
    </row>
    <row r="16" spans="1:20" x14ac:dyDescent="0.25">
      <c r="A16" s="131" t="s">
        <v>172</v>
      </c>
      <c r="B16" s="129">
        <f t="shared" si="0"/>
        <v>19</v>
      </c>
      <c r="C16" s="136">
        <f t="shared" si="7"/>
        <v>17076</v>
      </c>
      <c r="D16" s="136">
        <v>17107</v>
      </c>
      <c r="E16" s="117">
        <f t="shared" si="8"/>
        <v>31</v>
      </c>
      <c r="F16" s="139">
        <v>80</v>
      </c>
      <c r="G16" s="117">
        <f t="shared" si="9"/>
        <v>2480</v>
      </c>
      <c r="H16" s="136">
        <v>3670</v>
      </c>
      <c r="I16" s="140">
        <v>96</v>
      </c>
      <c r="J16" s="140">
        <v>600000</v>
      </c>
      <c r="K16" s="120">
        <f t="shared" si="1"/>
        <v>352320</v>
      </c>
      <c r="L16" s="120">
        <f t="shared" si="2"/>
        <v>952320</v>
      </c>
      <c r="M16" s="118">
        <f t="shared" si="3"/>
        <v>259.48773841961855</v>
      </c>
      <c r="N16" s="141">
        <v>267</v>
      </c>
      <c r="O16" s="142">
        <f t="shared" si="11"/>
        <v>2.2999999999999998</v>
      </c>
      <c r="P16" s="97">
        <f t="shared" si="4"/>
        <v>1.4798387096774193</v>
      </c>
      <c r="Q16" s="121">
        <f t="shared" si="5"/>
        <v>384</v>
      </c>
      <c r="R16" s="121">
        <v>629</v>
      </c>
      <c r="S16" s="117">
        <v>2000</v>
      </c>
      <c r="T16" s="128">
        <f t="shared" si="6"/>
        <v>476.16</v>
      </c>
    </row>
    <row r="17" spans="1:26" x14ac:dyDescent="0.25">
      <c r="A17" s="131" t="s">
        <v>173</v>
      </c>
      <c r="B17" s="129">
        <f t="shared" si="0"/>
        <v>23</v>
      </c>
      <c r="C17" s="136">
        <f t="shared" si="7"/>
        <v>17107</v>
      </c>
      <c r="D17" s="136">
        <v>17145</v>
      </c>
      <c r="E17" s="117">
        <f t="shared" si="8"/>
        <v>38</v>
      </c>
      <c r="F17" s="139">
        <v>80</v>
      </c>
      <c r="G17" s="117">
        <f t="shared" si="9"/>
        <v>3040</v>
      </c>
      <c r="H17" s="136">
        <v>2990</v>
      </c>
      <c r="I17" s="140">
        <v>96</v>
      </c>
      <c r="J17" s="140">
        <v>600000</v>
      </c>
      <c r="K17" s="120">
        <f t="shared" si="1"/>
        <v>287040</v>
      </c>
      <c r="L17" s="120">
        <f t="shared" si="2"/>
        <v>887040</v>
      </c>
      <c r="M17" s="118">
        <f t="shared" si="3"/>
        <v>296.66889632107024</v>
      </c>
      <c r="N17" s="141">
        <v>267</v>
      </c>
      <c r="O17" s="142">
        <f t="shared" si="11"/>
        <v>2.2999999999999998</v>
      </c>
      <c r="P17" s="97">
        <f t="shared" si="4"/>
        <v>0.98355263157894735</v>
      </c>
      <c r="Q17" s="121">
        <f t="shared" si="5"/>
        <v>291.78947368421052</v>
      </c>
      <c r="R17" s="121">
        <v>629</v>
      </c>
      <c r="S17" s="117">
        <v>2000</v>
      </c>
      <c r="T17" s="128">
        <f t="shared" si="6"/>
        <v>443.52</v>
      </c>
    </row>
    <row r="18" spans="1:26" x14ac:dyDescent="0.25">
      <c r="A18" s="131" t="s">
        <v>174</v>
      </c>
      <c r="B18" s="129">
        <f t="shared" si="0"/>
        <v>25</v>
      </c>
      <c r="C18" s="136">
        <f t="shared" si="7"/>
        <v>17145</v>
      </c>
      <c r="D18" s="136">
        <v>17164</v>
      </c>
      <c r="E18" s="117">
        <f t="shared" si="8"/>
        <v>19</v>
      </c>
      <c r="F18" s="139">
        <v>80</v>
      </c>
      <c r="G18" s="117">
        <f t="shared" si="9"/>
        <v>1520</v>
      </c>
      <c r="H18" s="136">
        <v>3916.6</v>
      </c>
      <c r="I18" s="140">
        <v>96</v>
      </c>
      <c r="J18" s="140">
        <v>600000</v>
      </c>
      <c r="K18" s="120">
        <f t="shared" si="1"/>
        <v>375993.59999999998</v>
      </c>
      <c r="L18" s="120">
        <f t="shared" si="2"/>
        <v>975993.6</v>
      </c>
      <c r="M18" s="118">
        <f t="shared" si="3"/>
        <v>249.19409692079864</v>
      </c>
      <c r="N18" s="141">
        <v>267</v>
      </c>
      <c r="O18" s="142">
        <f t="shared" si="11"/>
        <v>2.2999999999999998</v>
      </c>
      <c r="P18" s="97">
        <f t="shared" si="4"/>
        <v>2.5767105263157895</v>
      </c>
      <c r="Q18" s="121">
        <f t="shared" si="5"/>
        <v>642.10105263157891</v>
      </c>
      <c r="R18" s="121">
        <v>629</v>
      </c>
      <c r="S18" s="117">
        <v>2000</v>
      </c>
      <c r="T18" s="128">
        <f t="shared" si="6"/>
        <v>487.99680000000001</v>
      </c>
    </row>
    <row r="19" spans="1:26" x14ac:dyDescent="0.25">
      <c r="A19" s="131"/>
      <c r="B19" s="129">
        <f t="shared" si="0"/>
        <v>0</v>
      </c>
      <c r="C19" s="136"/>
      <c r="D19" s="136"/>
      <c r="E19" s="117"/>
      <c r="F19" s="139"/>
      <c r="G19" s="117"/>
      <c r="H19" s="136"/>
      <c r="I19" s="140"/>
      <c r="J19" s="140"/>
      <c r="K19" s="120"/>
      <c r="L19" s="120"/>
      <c r="M19" s="118"/>
      <c r="N19" s="141"/>
      <c r="O19" s="142"/>
      <c r="P19" s="97"/>
      <c r="Q19" s="121"/>
      <c r="R19" s="121"/>
      <c r="S19" s="117"/>
      <c r="T19" s="128"/>
    </row>
    <row r="20" spans="1:26" x14ac:dyDescent="0.25">
      <c r="A20" s="131"/>
      <c r="B20" s="129">
        <f t="shared" si="0"/>
        <v>0</v>
      </c>
      <c r="C20" s="136"/>
      <c r="D20" s="136"/>
      <c r="E20" s="117"/>
      <c r="F20" s="139"/>
      <c r="G20" s="117"/>
      <c r="H20" s="136"/>
      <c r="I20" s="140"/>
      <c r="J20" s="140"/>
      <c r="K20" s="120"/>
      <c r="L20" s="120"/>
      <c r="M20" s="118"/>
      <c r="N20" s="141"/>
      <c r="O20" s="142"/>
      <c r="P20" s="97"/>
      <c r="Q20" s="121"/>
      <c r="R20" s="121"/>
      <c r="S20" s="117"/>
      <c r="T20" s="128"/>
    </row>
    <row r="21" spans="1:26" x14ac:dyDescent="0.25">
      <c r="A21" s="131"/>
      <c r="B21" s="129">
        <f t="shared" si="0"/>
        <v>0</v>
      </c>
      <c r="C21" s="136"/>
      <c r="D21" s="136"/>
      <c r="E21" s="117"/>
      <c r="F21" s="139"/>
      <c r="G21" s="117"/>
      <c r="H21" s="136"/>
      <c r="I21" s="140"/>
      <c r="J21" s="140"/>
      <c r="K21" s="120"/>
      <c r="L21" s="120"/>
      <c r="M21" s="118"/>
      <c r="N21" s="141"/>
      <c r="O21" s="142"/>
      <c r="P21" s="97"/>
      <c r="Q21" s="121"/>
      <c r="R21" s="121"/>
      <c r="S21" s="117"/>
      <c r="T21" s="128"/>
    </row>
    <row r="22" spans="1:26" x14ac:dyDescent="0.25">
      <c r="A22" s="131"/>
      <c r="B22" s="129">
        <f t="shared" si="0"/>
        <v>0</v>
      </c>
      <c r="C22" s="136"/>
      <c r="D22" s="136"/>
      <c r="E22" s="117"/>
      <c r="F22" s="139"/>
      <c r="G22" s="117"/>
      <c r="H22" s="136"/>
      <c r="I22" s="140"/>
      <c r="J22" s="140"/>
      <c r="K22" s="120"/>
      <c r="L22" s="120"/>
      <c r="M22" s="118"/>
      <c r="N22" s="141"/>
      <c r="O22" s="142"/>
      <c r="P22" s="97"/>
      <c r="Q22" s="121"/>
      <c r="R22" s="121"/>
      <c r="S22" s="117"/>
      <c r="T22" s="128"/>
    </row>
    <row r="23" spans="1:26" x14ac:dyDescent="0.25">
      <c r="A23" s="131"/>
      <c r="B23" s="129">
        <f t="shared" si="0"/>
        <v>0</v>
      </c>
      <c r="C23" s="136"/>
      <c r="D23" s="136"/>
      <c r="E23" s="117"/>
      <c r="F23" s="139"/>
      <c r="G23" s="117"/>
      <c r="H23" s="136"/>
      <c r="I23" s="140"/>
      <c r="J23" s="140"/>
      <c r="K23" s="120"/>
      <c r="L23" s="120"/>
      <c r="M23" s="118"/>
      <c r="N23" s="141"/>
      <c r="O23" s="142"/>
      <c r="P23" s="97"/>
      <c r="Q23" s="121"/>
      <c r="R23" s="121"/>
      <c r="S23" s="117"/>
      <c r="T23" s="128"/>
      <c r="X23">
        <v>39468</v>
      </c>
    </row>
    <row r="24" spans="1:26" x14ac:dyDescent="0.25">
      <c r="A24" s="131"/>
      <c r="B24" s="129">
        <f t="shared" si="0"/>
        <v>0</v>
      </c>
      <c r="C24" s="136"/>
      <c r="D24" s="136"/>
      <c r="E24" s="117"/>
      <c r="F24" s="139"/>
      <c r="G24" s="117"/>
      <c r="H24" s="136"/>
      <c r="I24" s="140"/>
      <c r="J24" s="140"/>
      <c r="K24" s="120"/>
      <c r="L24" s="120"/>
      <c r="M24" s="118"/>
      <c r="N24" s="141"/>
      <c r="O24" s="142"/>
      <c r="P24" s="97"/>
      <c r="Q24" s="121"/>
      <c r="R24" s="121"/>
      <c r="S24" s="117"/>
      <c r="T24" s="128"/>
      <c r="Z24">
        <v>115670</v>
      </c>
    </row>
    <row r="25" spans="1:26" x14ac:dyDescent="0.25">
      <c r="A25" s="131"/>
      <c r="B25" s="129">
        <f t="shared" si="0"/>
        <v>0</v>
      </c>
      <c r="C25" s="136"/>
      <c r="D25" s="136"/>
      <c r="E25" s="117"/>
      <c r="F25" s="139"/>
      <c r="G25" s="117"/>
      <c r="H25" s="136"/>
      <c r="I25" s="140"/>
      <c r="J25" s="140"/>
      <c r="K25" s="120"/>
      <c r="L25" s="120"/>
      <c r="M25" s="118"/>
      <c r="N25" s="141"/>
      <c r="O25" s="142"/>
      <c r="P25" s="97"/>
      <c r="Q25" s="121"/>
      <c r="R25" s="121"/>
      <c r="S25" s="117"/>
      <c r="T25" s="128"/>
    </row>
    <row r="26" spans="1:26" x14ac:dyDescent="0.25">
      <c r="A26" s="131"/>
      <c r="B26" s="129">
        <f t="shared" si="0"/>
        <v>0</v>
      </c>
      <c r="C26" s="136"/>
      <c r="D26" s="136"/>
      <c r="E26" s="117"/>
      <c r="F26" s="139"/>
      <c r="G26" s="117"/>
      <c r="H26" s="136"/>
      <c r="I26" s="140"/>
      <c r="J26" s="140"/>
      <c r="K26" s="120"/>
      <c r="L26" s="120"/>
      <c r="M26" s="118"/>
      <c r="N26" s="141"/>
      <c r="O26" s="142"/>
      <c r="P26" s="97"/>
      <c r="Q26" s="121"/>
      <c r="R26" s="121"/>
      <c r="S26" s="117"/>
      <c r="T26" s="128"/>
    </row>
    <row r="27" spans="1:26" x14ac:dyDescent="0.25">
      <c r="A27" s="131"/>
      <c r="B27" s="129">
        <f t="shared" si="0"/>
        <v>0</v>
      </c>
      <c r="C27" s="136"/>
      <c r="D27" s="136"/>
      <c r="E27" s="117"/>
      <c r="F27" s="136"/>
      <c r="G27" s="117"/>
      <c r="H27" s="136"/>
      <c r="I27" s="140"/>
      <c r="J27" s="140"/>
      <c r="K27" s="120"/>
      <c r="L27" s="120"/>
      <c r="M27" s="118"/>
      <c r="N27" s="141"/>
      <c r="O27" s="142"/>
      <c r="P27" s="97"/>
      <c r="Q27" s="121"/>
      <c r="R27" s="121"/>
      <c r="S27" s="117"/>
      <c r="T27" s="128"/>
    </row>
    <row r="28" spans="1:26" x14ac:dyDescent="0.25">
      <c r="A28" s="131"/>
      <c r="B28" s="129">
        <f t="shared" si="0"/>
        <v>0</v>
      </c>
      <c r="C28" s="136"/>
      <c r="D28" s="136"/>
      <c r="E28" s="117"/>
      <c r="F28" s="136"/>
      <c r="G28" s="117"/>
      <c r="H28" s="136"/>
      <c r="I28" s="140"/>
      <c r="J28" s="140"/>
      <c r="K28" s="120"/>
      <c r="L28" s="120"/>
      <c r="M28" s="118"/>
      <c r="N28" s="141"/>
      <c r="O28" s="142"/>
      <c r="P28" s="97"/>
      <c r="Q28" s="121"/>
      <c r="R28" s="121"/>
      <c r="S28" s="117"/>
      <c r="T28" s="128"/>
    </row>
    <row r="29" spans="1:26" x14ac:dyDescent="0.25">
      <c r="A29" s="131"/>
      <c r="B29" s="129">
        <f t="shared" si="0"/>
        <v>0</v>
      </c>
      <c r="C29" s="136"/>
      <c r="D29" s="136"/>
      <c r="E29" s="117"/>
      <c r="F29" s="138"/>
      <c r="G29" s="117"/>
      <c r="H29" s="136"/>
      <c r="I29" s="140"/>
      <c r="J29" s="140"/>
      <c r="K29" s="120"/>
      <c r="L29" s="120"/>
      <c r="M29" s="118"/>
      <c r="N29" s="141"/>
      <c r="O29" s="142"/>
      <c r="P29" s="97"/>
      <c r="Q29" s="121"/>
      <c r="R29" s="121"/>
      <c r="S29" s="117"/>
      <c r="T29" s="128"/>
    </row>
    <row r="30" spans="1:26" x14ac:dyDescent="0.25">
      <c r="A30" s="131"/>
      <c r="B30" s="129">
        <f t="shared" si="0"/>
        <v>0</v>
      </c>
      <c r="C30" s="136"/>
      <c r="D30" s="136"/>
      <c r="E30" s="117"/>
      <c r="F30" s="138"/>
      <c r="G30" s="117"/>
      <c r="H30" s="136"/>
      <c r="I30" s="140"/>
      <c r="J30" s="140"/>
      <c r="K30" s="120"/>
      <c r="L30" s="120"/>
      <c r="M30" s="118"/>
      <c r="N30" s="141"/>
      <c r="O30" s="142"/>
      <c r="P30" s="97"/>
      <c r="Q30" s="121"/>
      <c r="R30" s="121"/>
      <c r="S30" s="117"/>
      <c r="T30" s="128"/>
    </row>
    <row r="31" spans="1:26" x14ac:dyDescent="0.25">
      <c r="A31" s="131"/>
      <c r="B31" s="129">
        <f t="shared" si="0"/>
        <v>0</v>
      </c>
      <c r="C31" s="136"/>
      <c r="D31" s="136"/>
      <c r="E31" s="117"/>
      <c r="F31" s="138"/>
      <c r="G31" s="117"/>
      <c r="H31" s="136"/>
      <c r="I31" s="140"/>
      <c r="J31" s="140"/>
      <c r="K31" s="120"/>
      <c r="L31" s="120"/>
      <c r="M31" s="118"/>
      <c r="N31" s="141"/>
      <c r="O31" s="142"/>
      <c r="P31" s="97"/>
      <c r="Q31" s="121"/>
      <c r="R31" s="121"/>
      <c r="S31" s="117"/>
      <c r="T31" s="128"/>
    </row>
    <row r="32" spans="1:26" x14ac:dyDescent="0.25">
      <c r="D32" s="138"/>
    </row>
    <row r="33" spans="3:33" ht="14.3" customHeight="1" x14ac:dyDescent="0.25">
      <c r="C33" s="137">
        <f>+SUM(C2:C31)</f>
        <v>288398.8</v>
      </c>
      <c r="D33" s="137">
        <f t="shared" ref="D33:T33" si="13">+SUM(D2:D31)</f>
        <v>288752.8</v>
      </c>
      <c r="E33" s="132">
        <f t="shared" si="13"/>
        <v>354</v>
      </c>
      <c r="F33" s="137">
        <f t="shared" si="13"/>
        <v>1360</v>
      </c>
      <c r="G33" s="132">
        <f t="shared" si="13"/>
        <v>28320</v>
      </c>
      <c r="H33" s="137">
        <f>+SUM(H2:H31)</f>
        <v>76176.600000000006</v>
      </c>
      <c r="I33" s="137">
        <f t="shared" si="13"/>
        <v>1632</v>
      </c>
      <c r="J33" s="137">
        <f t="shared" si="13"/>
        <v>10200000</v>
      </c>
      <c r="K33" s="132">
        <f t="shared" si="13"/>
        <v>7312953.5999999996</v>
      </c>
      <c r="L33" s="132">
        <f t="shared" si="13"/>
        <v>17512953.600000001</v>
      </c>
      <c r="M33" s="132">
        <f t="shared" si="13"/>
        <v>4053.0750781553165</v>
      </c>
      <c r="N33" s="137">
        <f t="shared" si="13"/>
        <v>4539</v>
      </c>
      <c r="O33" s="137">
        <f t="shared" si="13"/>
        <v>39.099999999999994</v>
      </c>
      <c r="P33" s="132">
        <f t="shared" si="13"/>
        <v>65.339457715210258</v>
      </c>
      <c r="Q33" s="132">
        <f t="shared" si="13"/>
        <v>14533.590913514457</v>
      </c>
      <c r="R33" s="132">
        <f t="shared" si="13"/>
        <v>10693</v>
      </c>
      <c r="S33" s="132">
        <f t="shared" si="13"/>
        <v>34001</v>
      </c>
      <c r="T33" s="132">
        <f t="shared" si="13"/>
        <v>8756.1887040479778</v>
      </c>
      <c r="V33" s="161" t="s">
        <v>81</v>
      </c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</row>
    <row r="34" spans="3:33" ht="42.8" x14ac:dyDescent="0.25">
      <c r="V34" s="92" t="s">
        <v>82</v>
      </c>
      <c r="W34" s="92" t="s">
        <v>176</v>
      </c>
      <c r="X34" s="92" t="s">
        <v>83</v>
      </c>
      <c r="Y34" s="92" t="s">
        <v>177</v>
      </c>
      <c r="Z34" s="92" t="s">
        <v>84</v>
      </c>
      <c r="AA34" s="92" t="s">
        <v>85</v>
      </c>
      <c r="AB34" s="92" t="s">
        <v>86</v>
      </c>
      <c r="AC34" s="92" t="s">
        <v>87</v>
      </c>
      <c r="AD34" s="92" t="s">
        <v>88</v>
      </c>
      <c r="AE34" s="92" t="s">
        <v>89</v>
      </c>
      <c r="AF34" s="92" t="s">
        <v>175</v>
      </c>
      <c r="AG34" s="92" t="s">
        <v>178</v>
      </c>
    </row>
    <row r="35" spans="3:33" x14ac:dyDescent="0.25">
      <c r="V35" s="93">
        <f>+G33</f>
        <v>28320</v>
      </c>
      <c r="W35" s="143">
        <v>26637.41599928544</v>
      </c>
      <c r="X35" s="93">
        <f>+H33</f>
        <v>76176.600000000006</v>
      </c>
      <c r="Y35" s="143">
        <v>90567</v>
      </c>
      <c r="Z35" s="94">
        <f>+K33</f>
        <v>7312953.5999999996</v>
      </c>
      <c r="AA35" s="94">
        <f>+J33</f>
        <v>10200000</v>
      </c>
      <c r="AB35" s="94">
        <f>+Z35+AA35</f>
        <v>17512953.600000001</v>
      </c>
      <c r="AC35" s="94">
        <f>+AB35/X35</f>
        <v>229.89938642575279</v>
      </c>
      <c r="AD35" s="94">
        <f>+AB35/V35</f>
        <v>618.39525423728821</v>
      </c>
      <c r="AE35" s="95">
        <f>+X35/V35</f>
        <v>2.6898516949152542</v>
      </c>
      <c r="AF35" s="144">
        <v>780</v>
      </c>
      <c r="AG35" s="145">
        <f>+Y35/W35</f>
        <v>3.3999919512624461</v>
      </c>
    </row>
  </sheetData>
  <mergeCells count="1">
    <mergeCell ref="V33:AG3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E01EA-F58E-40AD-92CB-C352D5907B62}">
  <dimension ref="A1:AE33"/>
  <sheetViews>
    <sheetView zoomScale="85" zoomScaleNormal="85" workbookViewId="0">
      <selection activeCell="T31" sqref="T31:AE31"/>
    </sheetView>
  </sheetViews>
  <sheetFormatPr baseColWidth="10" defaultRowHeight="14.3" x14ac:dyDescent="0.25"/>
  <cols>
    <col min="1" max="1" width="17.75" customWidth="1"/>
    <col min="2" max="2" width="14.75" customWidth="1"/>
    <col min="3" max="3" width="12.25" style="99" customWidth="1"/>
    <col min="4" max="4" width="14.375" style="99" customWidth="1"/>
    <col min="6" max="6" width="15.25" style="99" customWidth="1"/>
    <col min="7" max="7" width="11" customWidth="1"/>
    <col min="8" max="8" width="12.625" style="99" customWidth="1"/>
    <col min="9" max="9" width="11" style="99"/>
    <col min="10" max="10" width="14.625" style="99" customWidth="1"/>
    <col min="11" max="11" width="13.375" customWidth="1"/>
    <col min="12" max="12" width="13" bestFit="1" customWidth="1"/>
    <col min="14" max="15" width="11" style="99"/>
    <col min="16" max="16" width="13.125" customWidth="1"/>
    <col min="20" max="21" width="17.75" customWidth="1"/>
    <col min="22" max="23" width="18.375" customWidth="1"/>
    <col min="24" max="24" width="17.25" customWidth="1"/>
    <col min="25" max="25" width="18.625" customWidth="1"/>
    <col min="26" max="26" width="22.625" customWidth="1"/>
    <col min="27" max="27" width="16.5" customWidth="1"/>
    <col min="28" max="28" width="15.125" customWidth="1"/>
    <col min="29" max="29" width="14.125" customWidth="1"/>
    <col min="30" max="30" width="16.75" customWidth="1"/>
    <col min="31" max="31" width="19" customWidth="1"/>
  </cols>
  <sheetData>
    <row r="1" spans="1:18" s="113" customFormat="1" ht="42.8" x14ac:dyDescent="0.25">
      <c r="A1" s="114" t="s">
        <v>59</v>
      </c>
      <c r="B1" s="114" t="s">
        <v>115</v>
      </c>
      <c r="C1" s="135" t="s">
        <v>101</v>
      </c>
      <c r="D1" s="135" t="s">
        <v>102</v>
      </c>
      <c r="E1" s="115" t="s">
        <v>95</v>
      </c>
      <c r="F1" s="135" t="s">
        <v>100</v>
      </c>
      <c r="G1" s="115" t="s">
        <v>117</v>
      </c>
      <c r="H1" s="135" t="s">
        <v>97</v>
      </c>
      <c r="I1" s="135" t="s">
        <v>98</v>
      </c>
      <c r="J1" s="135" t="s">
        <v>99</v>
      </c>
      <c r="K1" s="115" t="s">
        <v>103</v>
      </c>
      <c r="L1" s="115" t="s">
        <v>110</v>
      </c>
      <c r="M1" s="115" t="s">
        <v>118</v>
      </c>
      <c r="N1" s="135" t="s">
        <v>119</v>
      </c>
      <c r="O1" s="135" t="s">
        <v>192</v>
      </c>
      <c r="P1" s="115" t="s">
        <v>105</v>
      </c>
      <c r="Q1" s="115" t="s">
        <v>106</v>
      </c>
      <c r="R1" s="115" t="s">
        <v>191</v>
      </c>
    </row>
    <row r="2" spans="1:18" ht="14.3" customHeight="1" x14ac:dyDescent="0.25">
      <c r="A2" s="134" t="s">
        <v>180</v>
      </c>
      <c r="B2" s="129">
        <f t="shared" ref="B2:B7" si="0">DAY(A2)</f>
        <v>2</v>
      </c>
      <c r="C2" s="136">
        <v>17231</v>
      </c>
      <c r="D2" s="136">
        <v>17251</v>
      </c>
      <c r="E2" s="117">
        <f>D2-C2</f>
        <v>20</v>
      </c>
      <c r="F2" s="139">
        <v>80</v>
      </c>
      <c r="G2" s="117">
        <f>E2*F2</f>
        <v>1600</v>
      </c>
      <c r="H2" s="136">
        <v>5580</v>
      </c>
      <c r="I2" s="140">
        <v>96</v>
      </c>
      <c r="J2" s="140">
        <v>600000</v>
      </c>
      <c r="K2" s="120">
        <f t="shared" ref="K2:K10" si="1">H2*I2</f>
        <v>535680</v>
      </c>
      <c r="L2" s="120">
        <f t="shared" ref="L2:L10" si="2">K2+J2</f>
        <v>1135680</v>
      </c>
      <c r="M2" s="118">
        <f t="shared" ref="M2:M10" si="3">L2/H2</f>
        <v>203.52688172043011</v>
      </c>
      <c r="N2" s="141">
        <v>267</v>
      </c>
      <c r="O2" s="142">
        <v>3.4</v>
      </c>
      <c r="P2" s="97">
        <f t="shared" ref="P2:P10" si="4">H2/G2</f>
        <v>3.4874999999999998</v>
      </c>
      <c r="Q2" s="121">
        <f t="shared" ref="Q2:Q10" si="5">L2/G2</f>
        <v>709.8</v>
      </c>
      <c r="R2" s="121">
        <v>726</v>
      </c>
    </row>
    <row r="3" spans="1:18" x14ac:dyDescent="0.25">
      <c r="A3" s="134" t="s">
        <v>181</v>
      </c>
      <c r="B3" s="129">
        <f t="shared" si="0"/>
        <v>5</v>
      </c>
      <c r="C3" s="136">
        <f t="shared" ref="C3:C10" si="6">+D2</f>
        <v>17251</v>
      </c>
      <c r="D3" s="136">
        <v>17311</v>
      </c>
      <c r="E3" s="117">
        <f t="shared" ref="E3:E10" si="7">D3-C3</f>
        <v>60</v>
      </c>
      <c r="F3" s="139">
        <v>80</v>
      </c>
      <c r="G3" s="117">
        <f t="shared" ref="G3:G10" si="8">E3*F3</f>
        <v>4800</v>
      </c>
      <c r="H3" s="136">
        <v>4440</v>
      </c>
      <c r="I3" s="140">
        <v>96</v>
      </c>
      <c r="J3" s="140">
        <v>600000</v>
      </c>
      <c r="K3" s="120">
        <f t="shared" si="1"/>
        <v>426240</v>
      </c>
      <c r="L3" s="120">
        <f t="shared" si="2"/>
        <v>1026240</v>
      </c>
      <c r="M3" s="118">
        <f t="shared" si="3"/>
        <v>231.13513513513513</v>
      </c>
      <c r="N3" s="141">
        <v>267</v>
      </c>
      <c r="O3" s="142">
        <v>3.4</v>
      </c>
      <c r="P3" s="97">
        <f t="shared" si="4"/>
        <v>0.92500000000000004</v>
      </c>
      <c r="Q3" s="121">
        <f t="shared" si="5"/>
        <v>213.8</v>
      </c>
      <c r="R3" s="121">
        <v>726</v>
      </c>
    </row>
    <row r="4" spans="1:18" x14ac:dyDescent="0.25">
      <c r="A4" s="134" t="s">
        <v>182</v>
      </c>
      <c r="B4" s="129">
        <f t="shared" si="0"/>
        <v>7</v>
      </c>
      <c r="C4" s="136">
        <f t="shared" si="6"/>
        <v>17311</v>
      </c>
      <c r="D4" s="136">
        <v>17346</v>
      </c>
      <c r="E4" s="117">
        <f t="shared" si="7"/>
        <v>35</v>
      </c>
      <c r="F4" s="139">
        <v>80</v>
      </c>
      <c r="G4" s="117">
        <f t="shared" si="8"/>
        <v>2800</v>
      </c>
      <c r="H4" s="136">
        <v>4530</v>
      </c>
      <c r="I4" s="140">
        <v>96</v>
      </c>
      <c r="J4" s="140">
        <v>600000</v>
      </c>
      <c r="K4" s="120">
        <f t="shared" si="1"/>
        <v>434880</v>
      </c>
      <c r="L4" s="120">
        <f t="shared" si="2"/>
        <v>1034880</v>
      </c>
      <c r="M4" s="118">
        <f t="shared" si="3"/>
        <v>228.4503311258278</v>
      </c>
      <c r="N4" s="141">
        <v>267</v>
      </c>
      <c r="O4" s="142">
        <v>3.4</v>
      </c>
      <c r="P4" s="97">
        <f t="shared" si="4"/>
        <v>1.6178571428571429</v>
      </c>
      <c r="Q4" s="121">
        <f t="shared" si="5"/>
        <v>369.6</v>
      </c>
      <c r="R4" s="121">
        <v>726</v>
      </c>
    </row>
    <row r="5" spans="1:18" x14ac:dyDescent="0.25">
      <c r="A5" s="134" t="s">
        <v>183</v>
      </c>
      <c r="B5" s="129">
        <f t="shared" si="0"/>
        <v>10</v>
      </c>
      <c r="C5" s="136">
        <f t="shared" si="6"/>
        <v>17346</v>
      </c>
      <c r="D5" s="136">
        <v>17384</v>
      </c>
      <c r="E5" s="117">
        <f t="shared" si="7"/>
        <v>38</v>
      </c>
      <c r="F5" s="139">
        <v>80</v>
      </c>
      <c r="G5" s="117">
        <f t="shared" si="8"/>
        <v>3040</v>
      </c>
      <c r="H5" s="136">
        <v>5060</v>
      </c>
      <c r="I5" s="140">
        <v>96</v>
      </c>
      <c r="J5" s="140">
        <v>600000</v>
      </c>
      <c r="K5" s="120">
        <f t="shared" si="1"/>
        <v>485760</v>
      </c>
      <c r="L5" s="120">
        <f t="shared" si="2"/>
        <v>1085760</v>
      </c>
      <c r="M5" s="118">
        <f t="shared" si="3"/>
        <v>214.57707509881422</v>
      </c>
      <c r="N5" s="141">
        <v>267</v>
      </c>
      <c r="O5" s="142">
        <v>3.4</v>
      </c>
      <c r="P5" s="97">
        <f t="shared" si="4"/>
        <v>1.6644736842105263</v>
      </c>
      <c r="Q5" s="121">
        <f t="shared" si="5"/>
        <v>357.15789473684208</v>
      </c>
      <c r="R5" s="121">
        <v>726</v>
      </c>
    </row>
    <row r="6" spans="1:18" x14ac:dyDescent="0.25">
      <c r="A6" s="134" t="s">
        <v>184</v>
      </c>
      <c r="B6" s="129">
        <f t="shared" si="0"/>
        <v>12</v>
      </c>
      <c r="C6" s="136">
        <f t="shared" si="6"/>
        <v>17384</v>
      </c>
      <c r="D6" s="136">
        <v>17419</v>
      </c>
      <c r="E6" s="117">
        <f t="shared" si="7"/>
        <v>35</v>
      </c>
      <c r="F6" s="139">
        <v>80</v>
      </c>
      <c r="G6" s="117">
        <f t="shared" si="8"/>
        <v>2800</v>
      </c>
      <c r="H6" s="136">
        <v>5490</v>
      </c>
      <c r="I6" s="140">
        <v>96</v>
      </c>
      <c r="J6" s="140">
        <v>600000</v>
      </c>
      <c r="K6" s="120">
        <f t="shared" si="1"/>
        <v>527040</v>
      </c>
      <c r="L6" s="120">
        <f t="shared" si="2"/>
        <v>1127040</v>
      </c>
      <c r="M6" s="118">
        <f t="shared" si="3"/>
        <v>205.28961748633878</v>
      </c>
      <c r="N6" s="141">
        <v>267</v>
      </c>
      <c r="O6" s="142">
        <v>3.4</v>
      </c>
      <c r="P6" s="97">
        <f t="shared" si="4"/>
        <v>1.9607142857142856</v>
      </c>
      <c r="Q6" s="121">
        <f t="shared" si="5"/>
        <v>402.51428571428573</v>
      </c>
      <c r="R6" s="121">
        <v>726</v>
      </c>
    </row>
    <row r="7" spans="1:18" x14ac:dyDescent="0.25">
      <c r="A7" s="134" t="s">
        <v>185</v>
      </c>
      <c r="B7" s="129">
        <f t="shared" si="0"/>
        <v>14</v>
      </c>
      <c r="C7" s="136">
        <f t="shared" si="6"/>
        <v>17419</v>
      </c>
      <c r="D7" s="136">
        <v>17451</v>
      </c>
      <c r="E7" s="117">
        <f t="shared" si="7"/>
        <v>32</v>
      </c>
      <c r="F7" s="139">
        <v>80</v>
      </c>
      <c r="G7" s="117">
        <f t="shared" si="8"/>
        <v>2560</v>
      </c>
      <c r="H7" s="136">
        <v>4580</v>
      </c>
      <c r="I7" s="140">
        <v>96</v>
      </c>
      <c r="J7" s="140">
        <v>600000</v>
      </c>
      <c r="K7" s="120">
        <f t="shared" si="1"/>
        <v>439680</v>
      </c>
      <c r="L7" s="120">
        <f t="shared" si="2"/>
        <v>1039680</v>
      </c>
      <c r="M7" s="118">
        <f t="shared" si="3"/>
        <v>227.00436681222706</v>
      </c>
      <c r="N7" s="141">
        <v>267</v>
      </c>
      <c r="O7" s="142">
        <v>3.4</v>
      </c>
      <c r="P7" s="97">
        <f t="shared" si="4"/>
        <v>1.7890625</v>
      </c>
      <c r="Q7" s="121">
        <f t="shared" si="5"/>
        <v>406.125</v>
      </c>
      <c r="R7" s="121">
        <v>726</v>
      </c>
    </row>
    <row r="8" spans="1:18" x14ac:dyDescent="0.25">
      <c r="A8" s="134" t="s">
        <v>188</v>
      </c>
      <c r="B8" s="129">
        <f t="shared" ref="B8:B29" si="9">DAY(A8)</f>
        <v>17</v>
      </c>
      <c r="C8" s="136">
        <f t="shared" si="6"/>
        <v>17451</v>
      </c>
      <c r="D8" s="136">
        <v>17477</v>
      </c>
      <c r="E8" s="117">
        <f t="shared" si="7"/>
        <v>26</v>
      </c>
      <c r="F8" s="139">
        <v>80</v>
      </c>
      <c r="G8" s="117">
        <f t="shared" si="8"/>
        <v>2080</v>
      </c>
      <c r="H8" s="136">
        <v>3770</v>
      </c>
      <c r="I8" s="140">
        <v>96</v>
      </c>
      <c r="J8" s="140">
        <v>600000</v>
      </c>
      <c r="K8" s="120">
        <f t="shared" si="1"/>
        <v>361920</v>
      </c>
      <c r="L8" s="120">
        <f t="shared" si="2"/>
        <v>961920</v>
      </c>
      <c r="M8" s="118">
        <f t="shared" si="3"/>
        <v>255.15119363395226</v>
      </c>
      <c r="N8" s="141">
        <v>267</v>
      </c>
      <c r="O8" s="142">
        <v>3.4</v>
      </c>
      <c r="P8" s="97">
        <f t="shared" si="4"/>
        <v>1.8125</v>
      </c>
      <c r="Q8" s="121">
        <f t="shared" si="5"/>
        <v>462.46153846153845</v>
      </c>
      <c r="R8" s="121">
        <v>726</v>
      </c>
    </row>
    <row r="9" spans="1:18" x14ac:dyDescent="0.25">
      <c r="A9" s="134" t="s">
        <v>189</v>
      </c>
      <c r="B9" s="129">
        <f t="shared" si="9"/>
        <v>23</v>
      </c>
      <c r="C9" s="136">
        <f t="shared" si="6"/>
        <v>17477</v>
      </c>
      <c r="D9" s="136">
        <v>17540</v>
      </c>
      <c r="E9" s="117">
        <f t="shared" si="7"/>
        <v>63</v>
      </c>
      <c r="F9" s="139">
        <v>80</v>
      </c>
      <c r="G9" s="117">
        <f t="shared" si="8"/>
        <v>5040</v>
      </c>
      <c r="H9" s="136">
        <v>5080</v>
      </c>
      <c r="I9" s="140">
        <v>96</v>
      </c>
      <c r="J9" s="140">
        <v>600000</v>
      </c>
      <c r="K9" s="120">
        <f t="shared" si="1"/>
        <v>487680</v>
      </c>
      <c r="L9" s="120">
        <f t="shared" si="2"/>
        <v>1087680</v>
      </c>
      <c r="M9" s="118">
        <f t="shared" si="3"/>
        <v>214.11023622047244</v>
      </c>
      <c r="N9" s="141">
        <v>267</v>
      </c>
      <c r="O9" s="142">
        <v>3.4</v>
      </c>
      <c r="P9" s="97">
        <f t="shared" si="4"/>
        <v>1.0079365079365079</v>
      </c>
      <c r="Q9" s="121">
        <f t="shared" si="5"/>
        <v>215.8095238095238</v>
      </c>
      <c r="R9" s="121">
        <v>726</v>
      </c>
    </row>
    <row r="10" spans="1:18" x14ac:dyDescent="0.25">
      <c r="A10" s="131" t="s">
        <v>190</v>
      </c>
      <c r="B10" s="129">
        <f t="shared" si="9"/>
        <v>26</v>
      </c>
      <c r="C10" s="136">
        <f t="shared" si="6"/>
        <v>17540</v>
      </c>
      <c r="D10" s="136">
        <v>17583</v>
      </c>
      <c r="E10" s="117">
        <f t="shared" si="7"/>
        <v>43</v>
      </c>
      <c r="F10" s="139">
        <v>80</v>
      </c>
      <c r="G10" s="117">
        <f t="shared" si="8"/>
        <v>3440</v>
      </c>
      <c r="H10" s="136">
        <v>3570</v>
      </c>
      <c r="I10" s="140">
        <v>96</v>
      </c>
      <c r="J10" s="140">
        <v>600000</v>
      </c>
      <c r="K10" s="120">
        <f t="shared" si="1"/>
        <v>342720</v>
      </c>
      <c r="L10" s="120">
        <f t="shared" si="2"/>
        <v>942720</v>
      </c>
      <c r="M10" s="118">
        <f t="shared" si="3"/>
        <v>264.06722689075633</v>
      </c>
      <c r="N10" s="141">
        <v>267</v>
      </c>
      <c r="O10" s="142">
        <v>3.4</v>
      </c>
      <c r="P10" s="97">
        <f t="shared" si="4"/>
        <v>1.0377906976744187</v>
      </c>
      <c r="Q10" s="121">
        <f t="shared" si="5"/>
        <v>274.04651162790697</v>
      </c>
      <c r="R10" s="121">
        <v>726</v>
      </c>
    </row>
    <row r="11" spans="1:18" x14ac:dyDescent="0.25">
      <c r="A11" s="131"/>
      <c r="B11" s="129">
        <f t="shared" si="9"/>
        <v>0</v>
      </c>
      <c r="C11" s="136"/>
      <c r="D11" s="136"/>
      <c r="E11" s="117"/>
      <c r="F11" s="139"/>
      <c r="G11" s="117"/>
      <c r="H11" s="136"/>
      <c r="I11" s="140"/>
      <c r="J11" s="140"/>
      <c r="K11" s="120"/>
      <c r="L11" s="120"/>
      <c r="M11" s="118"/>
      <c r="N11" s="141"/>
      <c r="O11" s="142"/>
      <c r="P11" s="97"/>
      <c r="Q11" s="121"/>
      <c r="R11" s="121"/>
    </row>
    <row r="12" spans="1:18" x14ac:dyDescent="0.25">
      <c r="A12" s="131"/>
      <c r="B12" s="129">
        <f t="shared" si="9"/>
        <v>0</v>
      </c>
      <c r="C12" s="136"/>
      <c r="D12" s="136"/>
      <c r="E12" s="117"/>
      <c r="F12" s="139"/>
      <c r="G12" s="117"/>
      <c r="H12" s="136"/>
      <c r="I12" s="140"/>
      <c r="J12" s="140"/>
      <c r="K12" s="120"/>
      <c r="L12" s="120"/>
      <c r="M12" s="118"/>
      <c r="N12" s="141"/>
      <c r="O12" s="142"/>
      <c r="P12" s="97"/>
      <c r="Q12" s="121"/>
      <c r="R12" s="121"/>
    </row>
    <row r="13" spans="1:18" x14ac:dyDescent="0.25">
      <c r="A13" s="131"/>
      <c r="B13" s="129">
        <f t="shared" si="9"/>
        <v>0</v>
      </c>
      <c r="C13" s="136"/>
      <c r="D13" s="136"/>
      <c r="E13" s="117"/>
      <c r="F13" s="139"/>
      <c r="G13" s="117"/>
      <c r="H13" s="136"/>
      <c r="I13" s="140"/>
      <c r="J13" s="140"/>
      <c r="K13" s="120"/>
      <c r="L13" s="120"/>
      <c r="M13" s="118"/>
      <c r="N13" s="141"/>
      <c r="O13" s="142"/>
      <c r="P13" s="97"/>
      <c r="Q13" s="121"/>
      <c r="R13" s="121"/>
    </row>
    <row r="14" spans="1:18" x14ac:dyDescent="0.25">
      <c r="A14" s="131"/>
      <c r="B14" s="129">
        <f t="shared" si="9"/>
        <v>0</v>
      </c>
      <c r="C14" s="136"/>
      <c r="D14" s="136"/>
      <c r="E14" s="117"/>
      <c r="F14" s="139"/>
      <c r="G14" s="117"/>
      <c r="H14" s="136"/>
      <c r="I14" s="140"/>
      <c r="J14" s="140"/>
      <c r="K14" s="120"/>
      <c r="L14" s="120"/>
      <c r="M14" s="118"/>
      <c r="N14" s="141"/>
      <c r="O14" s="142"/>
      <c r="P14" s="97"/>
      <c r="Q14" s="121"/>
      <c r="R14" s="121"/>
    </row>
    <row r="15" spans="1:18" x14ac:dyDescent="0.25">
      <c r="A15" s="131"/>
      <c r="B15" s="129">
        <f t="shared" si="9"/>
        <v>0</v>
      </c>
      <c r="C15" s="136"/>
      <c r="D15" s="136"/>
      <c r="E15" s="117"/>
      <c r="F15" s="139"/>
      <c r="G15" s="117"/>
      <c r="H15" s="136"/>
      <c r="I15" s="140"/>
      <c r="J15" s="140"/>
      <c r="K15" s="120"/>
      <c r="L15" s="120"/>
      <c r="M15" s="118"/>
      <c r="N15" s="141"/>
      <c r="O15" s="142"/>
      <c r="P15" s="97"/>
      <c r="Q15" s="121"/>
      <c r="R15" s="121"/>
    </row>
    <row r="16" spans="1:18" x14ac:dyDescent="0.25">
      <c r="A16" s="131"/>
      <c r="B16" s="129">
        <f t="shared" si="9"/>
        <v>0</v>
      </c>
      <c r="C16" s="136"/>
      <c r="D16" s="136"/>
      <c r="E16" s="117"/>
      <c r="F16" s="139"/>
      <c r="G16" s="117"/>
      <c r="H16" s="136"/>
      <c r="I16" s="140"/>
      <c r="J16" s="140"/>
      <c r="K16" s="120"/>
      <c r="L16" s="120"/>
      <c r="M16" s="118"/>
      <c r="N16" s="141"/>
      <c r="O16" s="142"/>
      <c r="P16" s="97"/>
      <c r="Q16" s="121"/>
      <c r="R16" s="121"/>
    </row>
    <row r="17" spans="1:31" x14ac:dyDescent="0.25">
      <c r="A17" s="131"/>
      <c r="B17" s="129">
        <f t="shared" si="9"/>
        <v>0</v>
      </c>
      <c r="C17" s="136"/>
      <c r="D17" s="136"/>
      <c r="E17" s="117"/>
      <c r="F17" s="139"/>
      <c r="G17" s="117"/>
      <c r="H17" s="136"/>
      <c r="I17" s="140"/>
      <c r="J17" s="140"/>
      <c r="K17" s="120"/>
      <c r="L17" s="120"/>
      <c r="M17" s="118"/>
      <c r="N17" s="141"/>
      <c r="O17" s="142"/>
      <c r="P17" s="97"/>
      <c r="Q17" s="121"/>
      <c r="R17" s="121"/>
    </row>
    <row r="18" spans="1:31" x14ac:dyDescent="0.25">
      <c r="A18" s="131"/>
      <c r="B18" s="129">
        <f t="shared" si="9"/>
        <v>0</v>
      </c>
      <c r="C18" s="136"/>
      <c r="D18" s="136"/>
      <c r="E18" s="117"/>
      <c r="F18" s="139"/>
      <c r="G18" s="117"/>
      <c r="H18" s="136"/>
      <c r="I18" s="140"/>
      <c r="J18" s="140"/>
      <c r="K18" s="120"/>
      <c r="L18" s="120"/>
      <c r="M18" s="118"/>
      <c r="N18" s="141"/>
      <c r="O18" s="142"/>
      <c r="P18" s="97"/>
      <c r="Q18" s="121"/>
      <c r="R18" s="121"/>
    </row>
    <row r="19" spans="1:31" x14ac:dyDescent="0.25">
      <c r="A19" s="131"/>
      <c r="B19" s="129">
        <f t="shared" si="9"/>
        <v>0</v>
      </c>
      <c r="C19" s="136"/>
      <c r="D19" s="136"/>
      <c r="E19" s="117"/>
      <c r="F19" s="139"/>
      <c r="G19" s="117"/>
      <c r="H19" s="136"/>
      <c r="I19" s="140"/>
      <c r="J19" s="140"/>
      <c r="K19" s="120"/>
      <c r="L19" s="120"/>
      <c r="M19" s="118"/>
      <c r="N19" s="141"/>
      <c r="O19" s="142"/>
      <c r="P19" s="97"/>
      <c r="Q19" s="121"/>
      <c r="R19" s="121"/>
    </row>
    <row r="20" spans="1:31" x14ac:dyDescent="0.25">
      <c r="A20" s="131"/>
      <c r="B20" s="129">
        <f t="shared" si="9"/>
        <v>0</v>
      </c>
      <c r="C20" s="136"/>
      <c r="D20" s="136"/>
      <c r="E20" s="117"/>
      <c r="F20" s="139"/>
      <c r="G20" s="117"/>
      <c r="H20" s="136"/>
      <c r="I20" s="140"/>
      <c r="J20" s="140"/>
      <c r="K20" s="120"/>
      <c r="L20" s="120"/>
      <c r="M20" s="118"/>
      <c r="N20" s="141"/>
      <c r="O20" s="142"/>
      <c r="P20" s="97"/>
      <c r="Q20" s="121"/>
      <c r="R20" s="121"/>
    </row>
    <row r="21" spans="1:31" x14ac:dyDescent="0.25">
      <c r="A21" s="131"/>
      <c r="B21" s="129">
        <f t="shared" si="9"/>
        <v>0</v>
      </c>
      <c r="C21" s="136"/>
      <c r="D21" s="136"/>
      <c r="E21" s="117"/>
      <c r="F21" s="139"/>
      <c r="G21" s="117"/>
      <c r="H21" s="136"/>
      <c r="I21" s="140"/>
      <c r="J21" s="140"/>
      <c r="K21" s="120"/>
      <c r="L21" s="120"/>
      <c r="M21" s="118"/>
      <c r="N21" s="141"/>
      <c r="O21" s="142"/>
      <c r="P21" s="97"/>
      <c r="Q21" s="121"/>
      <c r="R21" s="121"/>
      <c r="V21">
        <v>39468</v>
      </c>
    </row>
    <row r="22" spans="1:31" x14ac:dyDescent="0.25">
      <c r="A22" s="131"/>
      <c r="B22" s="129">
        <f t="shared" si="9"/>
        <v>0</v>
      </c>
      <c r="C22" s="136"/>
      <c r="D22" s="136"/>
      <c r="E22" s="117"/>
      <c r="F22" s="139"/>
      <c r="G22" s="117"/>
      <c r="H22" s="136"/>
      <c r="I22" s="140"/>
      <c r="J22" s="140"/>
      <c r="K22" s="120"/>
      <c r="L22" s="120"/>
      <c r="M22" s="118"/>
      <c r="N22" s="141"/>
      <c r="O22" s="142"/>
      <c r="P22" s="97"/>
      <c r="Q22" s="121"/>
      <c r="R22" s="121"/>
      <c r="X22">
        <v>115670</v>
      </c>
    </row>
    <row r="23" spans="1:31" x14ac:dyDescent="0.25">
      <c r="A23" s="131"/>
      <c r="B23" s="129">
        <f t="shared" si="9"/>
        <v>0</v>
      </c>
      <c r="C23" s="136"/>
      <c r="D23" s="136"/>
      <c r="E23" s="117"/>
      <c r="F23" s="139"/>
      <c r="G23" s="117"/>
      <c r="H23" s="136"/>
      <c r="I23" s="140"/>
      <c r="J23" s="140"/>
      <c r="K23" s="120"/>
      <c r="L23" s="120"/>
      <c r="M23" s="118"/>
      <c r="N23" s="141"/>
      <c r="O23" s="142"/>
      <c r="P23" s="97"/>
      <c r="Q23" s="121"/>
      <c r="R23" s="121"/>
    </row>
    <row r="24" spans="1:31" x14ac:dyDescent="0.25">
      <c r="A24" s="131"/>
      <c r="B24" s="129">
        <f t="shared" si="9"/>
        <v>0</v>
      </c>
      <c r="C24" s="136"/>
      <c r="D24" s="136"/>
      <c r="E24" s="117"/>
      <c r="F24" s="139"/>
      <c r="G24" s="117"/>
      <c r="H24" s="136"/>
      <c r="I24" s="140"/>
      <c r="J24" s="140"/>
      <c r="K24" s="120"/>
      <c r="L24" s="120"/>
      <c r="M24" s="118"/>
      <c r="N24" s="141"/>
      <c r="O24" s="142"/>
      <c r="P24" s="97"/>
      <c r="Q24" s="121"/>
      <c r="R24" s="121"/>
    </row>
    <row r="25" spans="1:31" x14ac:dyDescent="0.25">
      <c r="A25" s="131"/>
      <c r="B25" s="129">
        <f t="shared" si="9"/>
        <v>0</v>
      </c>
      <c r="C25" s="136"/>
      <c r="D25" s="136"/>
      <c r="E25" s="117"/>
      <c r="F25" s="136"/>
      <c r="G25" s="117"/>
      <c r="H25" s="136"/>
      <c r="I25" s="140"/>
      <c r="J25" s="140"/>
      <c r="K25" s="120"/>
      <c r="L25" s="120"/>
      <c r="M25" s="118"/>
      <c r="N25" s="141"/>
      <c r="O25" s="142"/>
      <c r="P25" s="97"/>
      <c r="Q25" s="121"/>
      <c r="R25" s="121"/>
    </row>
    <row r="26" spans="1:31" x14ac:dyDescent="0.25">
      <c r="A26" s="131"/>
      <c r="B26" s="129">
        <f t="shared" si="9"/>
        <v>0</v>
      </c>
      <c r="C26" s="136"/>
      <c r="D26" s="136"/>
      <c r="E26" s="117"/>
      <c r="F26" s="136"/>
      <c r="G26" s="117"/>
      <c r="H26" s="136"/>
      <c r="I26" s="140"/>
      <c r="J26" s="140"/>
      <c r="K26" s="120"/>
      <c r="L26" s="120"/>
      <c r="M26" s="118"/>
      <c r="N26" s="141"/>
      <c r="O26" s="142"/>
      <c r="P26" s="97"/>
      <c r="Q26" s="121"/>
      <c r="R26" s="121"/>
    </row>
    <row r="27" spans="1:31" x14ac:dyDescent="0.25">
      <c r="A27" s="131"/>
      <c r="B27" s="129">
        <f t="shared" si="9"/>
        <v>0</v>
      </c>
      <c r="C27" s="136"/>
      <c r="D27" s="136"/>
      <c r="E27" s="117"/>
      <c r="F27" s="138"/>
      <c r="G27" s="117"/>
      <c r="H27" s="136"/>
      <c r="I27" s="140"/>
      <c r="J27" s="140"/>
      <c r="K27" s="120"/>
      <c r="L27" s="120"/>
      <c r="M27" s="118"/>
      <c r="N27" s="141"/>
      <c r="O27" s="142"/>
      <c r="P27" s="97"/>
      <c r="Q27" s="121"/>
      <c r="R27" s="121"/>
    </row>
    <row r="28" spans="1:31" x14ac:dyDescent="0.25">
      <c r="A28" s="131"/>
      <c r="B28" s="129">
        <f t="shared" si="9"/>
        <v>0</v>
      </c>
      <c r="C28" s="136"/>
      <c r="D28" s="136"/>
      <c r="E28" s="117"/>
      <c r="F28" s="138"/>
      <c r="G28" s="117"/>
      <c r="H28" s="136"/>
      <c r="I28" s="140"/>
      <c r="J28" s="140"/>
      <c r="K28" s="120"/>
      <c r="L28" s="120"/>
      <c r="M28" s="118"/>
      <c r="N28" s="141"/>
      <c r="O28" s="142"/>
      <c r="P28" s="97"/>
      <c r="Q28" s="121"/>
      <c r="R28" s="121"/>
    </row>
    <row r="29" spans="1:31" x14ac:dyDescent="0.25">
      <c r="A29" s="131"/>
      <c r="B29" s="129">
        <f t="shared" si="9"/>
        <v>0</v>
      </c>
      <c r="C29" s="136"/>
      <c r="D29" s="136"/>
      <c r="E29" s="117"/>
      <c r="F29" s="138"/>
      <c r="G29" s="117"/>
      <c r="H29" s="136"/>
      <c r="I29" s="140"/>
      <c r="J29" s="140"/>
      <c r="K29" s="120"/>
      <c r="L29" s="120"/>
      <c r="M29" s="118"/>
      <c r="N29" s="141"/>
      <c r="O29" s="142"/>
      <c r="P29" s="97"/>
      <c r="Q29" s="121"/>
      <c r="R29" s="121"/>
    </row>
    <row r="30" spans="1:31" x14ac:dyDescent="0.25">
      <c r="D30" s="138"/>
    </row>
    <row r="31" spans="1:31" ht="14.3" customHeight="1" x14ac:dyDescent="0.25">
      <c r="C31" s="137">
        <f>+SUM(C2:C29)</f>
        <v>156410</v>
      </c>
      <c r="D31" s="137">
        <f t="shared" ref="D31:R31" si="10">+SUM(D2:D29)</f>
        <v>156762</v>
      </c>
      <c r="E31" s="132">
        <f t="shared" si="10"/>
        <v>352</v>
      </c>
      <c r="F31" s="137">
        <f t="shared" si="10"/>
        <v>720</v>
      </c>
      <c r="G31" s="132">
        <f>+SUM(G2:G29)</f>
        <v>28160</v>
      </c>
      <c r="H31" s="137">
        <f>+SUM(H2:H29)</f>
        <v>42100</v>
      </c>
      <c r="I31" s="137">
        <f t="shared" si="10"/>
        <v>864</v>
      </c>
      <c r="J31" s="137">
        <f t="shared" si="10"/>
        <v>5400000</v>
      </c>
      <c r="K31" s="132">
        <f t="shared" si="10"/>
        <v>4041600</v>
      </c>
      <c r="L31" s="132">
        <f t="shared" si="10"/>
        <v>9441600</v>
      </c>
      <c r="M31" s="132">
        <f t="shared" si="10"/>
        <v>2043.3120641239541</v>
      </c>
      <c r="N31" s="137">
        <f t="shared" si="10"/>
        <v>2403</v>
      </c>
      <c r="O31" s="137">
        <f t="shared" si="10"/>
        <v>30.599999999999994</v>
      </c>
      <c r="P31" s="132">
        <f t="shared" si="10"/>
        <v>15.302834818392881</v>
      </c>
      <c r="Q31" s="132">
        <f t="shared" si="10"/>
        <v>3411.3147543500972</v>
      </c>
      <c r="R31" s="132">
        <f t="shared" si="10"/>
        <v>6534</v>
      </c>
      <c r="T31" s="161" t="s">
        <v>81</v>
      </c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</row>
    <row r="32" spans="1:31" ht="42.8" x14ac:dyDescent="0.25">
      <c r="T32" s="92" t="s">
        <v>82</v>
      </c>
      <c r="U32" s="92" t="s">
        <v>176</v>
      </c>
      <c r="V32" s="92" t="s">
        <v>83</v>
      </c>
      <c r="W32" s="92" t="s">
        <v>177</v>
      </c>
      <c r="X32" s="92" t="s">
        <v>84</v>
      </c>
      <c r="Y32" s="92" t="s">
        <v>85</v>
      </c>
      <c r="Z32" s="92" t="s">
        <v>86</v>
      </c>
      <c r="AA32" s="92" t="s">
        <v>87</v>
      </c>
      <c r="AB32" s="92" t="s">
        <v>88</v>
      </c>
      <c r="AC32" s="92" t="s">
        <v>89</v>
      </c>
      <c r="AD32" s="92" t="s">
        <v>175</v>
      </c>
      <c r="AE32" s="92" t="s">
        <v>178</v>
      </c>
    </row>
    <row r="33" spans="20:31" x14ac:dyDescent="0.25">
      <c r="T33" s="93">
        <f>+G31</f>
        <v>28160</v>
      </c>
      <c r="U33" s="143">
        <v>25371.21130726752</v>
      </c>
      <c r="V33" s="93">
        <f>+H31</f>
        <v>42100</v>
      </c>
      <c r="W33" s="143">
        <v>86262.118444709573</v>
      </c>
      <c r="X33" s="94">
        <f>+K31</f>
        <v>4041600</v>
      </c>
      <c r="Y33" s="94">
        <f>+J31</f>
        <v>5400000</v>
      </c>
      <c r="Z33" s="94">
        <f>+X33+Y33</f>
        <v>9441600</v>
      </c>
      <c r="AA33" s="94">
        <f>+Z33/V33</f>
        <v>224.26603325415678</v>
      </c>
      <c r="AB33" s="94">
        <f>+Z33/T33</f>
        <v>335.28409090909093</v>
      </c>
      <c r="AC33" s="95">
        <f>+V33/T33</f>
        <v>1.4950284090909092</v>
      </c>
      <c r="AD33" s="144">
        <v>726</v>
      </c>
      <c r="AE33" s="145">
        <f>+W33/U33</f>
        <v>3.4000000000000004</v>
      </c>
    </row>
  </sheetData>
  <mergeCells count="1">
    <mergeCell ref="T31:AE3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A07CC-9F5C-4C17-841C-74719303B899}">
  <dimension ref="A1:AE33"/>
  <sheetViews>
    <sheetView topLeftCell="S1" zoomScale="85" zoomScaleNormal="85" workbookViewId="0">
      <selection activeCell="Z57" sqref="Z57"/>
    </sheetView>
  </sheetViews>
  <sheetFormatPr baseColWidth="10" defaultRowHeight="14.3" x14ac:dyDescent="0.25"/>
  <cols>
    <col min="1" max="1" width="17.75" customWidth="1"/>
    <col min="2" max="2" width="14.75" customWidth="1"/>
    <col min="3" max="3" width="12.25" style="99" customWidth="1"/>
    <col min="4" max="4" width="14.375" style="99" customWidth="1"/>
    <col min="6" max="6" width="15.25" style="99" customWidth="1"/>
    <col min="7" max="7" width="11" customWidth="1"/>
    <col min="8" max="8" width="12.625" style="99" customWidth="1"/>
    <col min="9" max="9" width="11" style="99"/>
    <col min="10" max="10" width="14.625" style="99" customWidth="1"/>
    <col min="11" max="11" width="13.375" customWidth="1"/>
    <col min="12" max="12" width="13" bestFit="1" customWidth="1"/>
    <col min="14" max="15" width="11" style="99"/>
    <col min="16" max="16" width="13.125" customWidth="1"/>
    <col min="20" max="21" width="17.75" customWidth="1"/>
    <col min="22" max="23" width="18.375" customWidth="1"/>
    <col min="24" max="24" width="17.25" customWidth="1"/>
    <col min="25" max="25" width="18.625" customWidth="1"/>
    <col min="26" max="26" width="22.625" customWidth="1"/>
    <col min="27" max="27" width="16.5" customWidth="1"/>
    <col min="28" max="28" width="15.125" customWidth="1"/>
    <col min="29" max="29" width="14.125" customWidth="1"/>
    <col min="30" max="30" width="16.75" customWidth="1"/>
    <col min="31" max="31" width="19" customWidth="1"/>
  </cols>
  <sheetData>
    <row r="1" spans="1:18" s="113" customFormat="1" ht="42.8" x14ac:dyDescent="0.25">
      <c r="A1" s="114" t="s">
        <v>59</v>
      </c>
      <c r="B1" s="114" t="s">
        <v>115</v>
      </c>
      <c r="C1" s="135" t="s">
        <v>101</v>
      </c>
      <c r="D1" s="135" t="s">
        <v>102</v>
      </c>
      <c r="E1" s="115" t="s">
        <v>95</v>
      </c>
      <c r="F1" s="135" t="s">
        <v>100</v>
      </c>
      <c r="G1" s="115" t="s">
        <v>117</v>
      </c>
      <c r="H1" s="135" t="s">
        <v>97</v>
      </c>
      <c r="I1" s="135" t="s">
        <v>98</v>
      </c>
      <c r="J1" s="135" t="s">
        <v>99</v>
      </c>
      <c r="K1" s="115" t="s">
        <v>103</v>
      </c>
      <c r="L1" s="115" t="s">
        <v>110</v>
      </c>
      <c r="M1" s="115" t="s">
        <v>118</v>
      </c>
      <c r="N1" s="135" t="s">
        <v>119</v>
      </c>
      <c r="O1" s="135" t="s">
        <v>192</v>
      </c>
      <c r="P1" s="115" t="s">
        <v>105</v>
      </c>
      <c r="Q1" s="115" t="s">
        <v>106</v>
      </c>
      <c r="R1" s="115" t="s">
        <v>191</v>
      </c>
    </row>
    <row r="2" spans="1:18" ht="14.3" customHeight="1" x14ac:dyDescent="0.25">
      <c r="A2" s="160" t="s">
        <v>194</v>
      </c>
      <c r="B2" s="129">
        <f t="shared" ref="B2:B29" si="0">DAY(A2)</f>
        <v>6</v>
      </c>
      <c r="C2" s="136">
        <v>17569</v>
      </c>
      <c r="D2" s="136">
        <v>17646</v>
      </c>
      <c r="E2" s="117">
        <f>D2-C2</f>
        <v>77</v>
      </c>
      <c r="F2" s="139">
        <v>80</v>
      </c>
      <c r="G2" s="117">
        <f>E2*F2</f>
        <v>6160</v>
      </c>
      <c r="H2" s="136">
        <v>4510</v>
      </c>
      <c r="I2" s="140">
        <v>96</v>
      </c>
      <c r="J2" s="140">
        <v>600000</v>
      </c>
      <c r="K2" s="120">
        <f t="shared" ref="K2:K7" si="1">H2*I2</f>
        <v>432960</v>
      </c>
      <c r="L2" s="120">
        <f t="shared" ref="L2:L7" si="2">K2+J2</f>
        <v>1032960</v>
      </c>
      <c r="M2" s="118">
        <f t="shared" ref="M2:M7" si="3">L2/H2</f>
        <v>229.03769401330376</v>
      </c>
      <c r="N2" s="141">
        <v>267</v>
      </c>
      <c r="O2" s="142">
        <v>3.4</v>
      </c>
      <c r="P2" s="97">
        <f t="shared" ref="P2:P7" si="4">H2/G2</f>
        <v>0.7321428571428571</v>
      </c>
      <c r="Q2" s="121">
        <f t="shared" ref="Q2:Q7" si="5">L2/G2</f>
        <v>167.6883116883117</v>
      </c>
      <c r="R2" s="121">
        <v>726</v>
      </c>
    </row>
    <row r="3" spans="1:18" x14ac:dyDescent="0.25">
      <c r="A3" s="160" t="s">
        <v>195</v>
      </c>
      <c r="B3" s="129">
        <f t="shared" si="0"/>
        <v>13</v>
      </c>
      <c r="C3" s="136">
        <f t="shared" ref="C3:C7" si="6">+D2</f>
        <v>17646</v>
      </c>
      <c r="D3" s="136">
        <v>17739</v>
      </c>
      <c r="E3" s="117">
        <f t="shared" ref="E3:E7" si="7">D3-C3</f>
        <v>93</v>
      </c>
      <c r="F3" s="139">
        <v>80</v>
      </c>
      <c r="G3" s="117">
        <f t="shared" ref="G3:G7" si="8">E3*F3</f>
        <v>7440</v>
      </c>
      <c r="H3" s="136">
        <v>3510</v>
      </c>
      <c r="I3" s="140">
        <v>96</v>
      </c>
      <c r="J3" s="140">
        <v>600000</v>
      </c>
      <c r="K3" s="120">
        <f t="shared" si="1"/>
        <v>336960</v>
      </c>
      <c r="L3" s="120">
        <f t="shared" si="2"/>
        <v>936960</v>
      </c>
      <c r="M3" s="118">
        <f t="shared" si="3"/>
        <v>266.94017094017096</v>
      </c>
      <c r="N3" s="141">
        <v>267</v>
      </c>
      <c r="O3" s="142">
        <v>3.4</v>
      </c>
      <c r="P3" s="97">
        <f t="shared" si="4"/>
        <v>0.47177419354838712</v>
      </c>
      <c r="Q3" s="121">
        <f t="shared" si="5"/>
        <v>125.93548387096774</v>
      </c>
      <c r="R3" s="121">
        <v>726</v>
      </c>
    </row>
    <row r="4" spans="1:18" x14ac:dyDescent="0.25">
      <c r="A4" s="160" t="s">
        <v>196</v>
      </c>
      <c r="B4" s="129">
        <f t="shared" si="0"/>
        <v>18</v>
      </c>
      <c r="C4" s="136">
        <f t="shared" si="6"/>
        <v>17739</v>
      </c>
      <c r="D4" s="136">
        <v>17829</v>
      </c>
      <c r="E4" s="117">
        <f t="shared" si="7"/>
        <v>90</v>
      </c>
      <c r="F4" s="139">
        <v>80</v>
      </c>
      <c r="G4" s="117">
        <f t="shared" si="8"/>
        <v>7200</v>
      </c>
      <c r="H4" s="136">
        <v>4920</v>
      </c>
      <c r="I4" s="140">
        <v>96</v>
      </c>
      <c r="J4" s="140">
        <v>600000</v>
      </c>
      <c r="K4" s="120">
        <f t="shared" si="1"/>
        <v>472320</v>
      </c>
      <c r="L4" s="120">
        <f t="shared" si="2"/>
        <v>1072320</v>
      </c>
      <c r="M4" s="118">
        <f t="shared" si="3"/>
        <v>217.95121951219511</v>
      </c>
      <c r="N4" s="141">
        <v>267</v>
      </c>
      <c r="O4" s="142">
        <v>3.4</v>
      </c>
      <c r="P4" s="97">
        <f t="shared" si="4"/>
        <v>0.68333333333333335</v>
      </c>
      <c r="Q4" s="121">
        <f t="shared" si="5"/>
        <v>148.93333333333334</v>
      </c>
      <c r="R4" s="121">
        <v>726</v>
      </c>
    </row>
    <row r="5" spans="1:18" x14ac:dyDescent="0.25">
      <c r="A5" s="160" t="s">
        <v>197</v>
      </c>
      <c r="B5" s="129">
        <f t="shared" si="0"/>
        <v>20</v>
      </c>
      <c r="C5" s="136">
        <f t="shared" si="6"/>
        <v>17829</v>
      </c>
      <c r="D5" s="136">
        <v>17866</v>
      </c>
      <c r="E5" s="117">
        <f t="shared" si="7"/>
        <v>37</v>
      </c>
      <c r="F5" s="139">
        <v>80</v>
      </c>
      <c r="G5" s="117">
        <f t="shared" si="8"/>
        <v>2960</v>
      </c>
      <c r="H5" s="136">
        <v>3450</v>
      </c>
      <c r="I5" s="140">
        <v>96</v>
      </c>
      <c r="J5" s="140">
        <v>600000</v>
      </c>
      <c r="K5" s="120">
        <f t="shared" si="1"/>
        <v>331200</v>
      </c>
      <c r="L5" s="120">
        <f t="shared" si="2"/>
        <v>931200</v>
      </c>
      <c r="M5" s="118">
        <f t="shared" si="3"/>
        <v>269.91304347826087</v>
      </c>
      <c r="N5" s="141">
        <v>267</v>
      </c>
      <c r="O5" s="142">
        <v>3.4</v>
      </c>
      <c r="P5" s="97">
        <f t="shared" si="4"/>
        <v>1.1655405405405406</v>
      </c>
      <c r="Q5" s="121">
        <f t="shared" si="5"/>
        <v>314.59459459459458</v>
      </c>
      <c r="R5" s="121">
        <v>726</v>
      </c>
    </row>
    <row r="6" spans="1:18" x14ac:dyDescent="0.25">
      <c r="A6" s="160" t="s">
        <v>198</v>
      </c>
      <c r="B6" s="129">
        <f t="shared" si="0"/>
        <v>27</v>
      </c>
      <c r="C6" s="136">
        <f t="shared" si="6"/>
        <v>17866</v>
      </c>
      <c r="D6" s="136">
        <v>17965</v>
      </c>
      <c r="E6" s="117">
        <f t="shared" si="7"/>
        <v>99</v>
      </c>
      <c r="F6" s="139">
        <v>80</v>
      </c>
      <c r="G6" s="117">
        <f t="shared" si="8"/>
        <v>7920</v>
      </c>
      <c r="H6" s="136">
        <v>4730</v>
      </c>
      <c r="I6" s="140">
        <v>96</v>
      </c>
      <c r="J6" s="140">
        <v>600000</v>
      </c>
      <c r="K6" s="120">
        <f t="shared" si="1"/>
        <v>454080</v>
      </c>
      <c r="L6" s="120">
        <f t="shared" si="2"/>
        <v>1054080</v>
      </c>
      <c r="M6" s="118">
        <f t="shared" si="3"/>
        <v>222.84989429175477</v>
      </c>
      <c r="N6" s="141">
        <v>267</v>
      </c>
      <c r="O6" s="142">
        <v>3.4</v>
      </c>
      <c r="P6" s="97">
        <f t="shared" si="4"/>
        <v>0.59722222222222221</v>
      </c>
      <c r="Q6" s="121">
        <f t="shared" si="5"/>
        <v>133.09090909090909</v>
      </c>
      <c r="R6" s="121">
        <v>726</v>
      </c>
    </row>
    <row r="7" spans="1:18" x14ac:dyDescent="0.25">
      <c r="A7" s="160" t="s">
        <v>199</v>
      </c>
      <c r="B7" s="129">
        <f t="shared" si="0"/>
        <v>29</v>
      </c>
      <c r="C7" s="136">
        <f t="shared" si="6"/>
        <v>17965</v>
      </c>
      <c r="D7" s="136">
        <v>18006</v>
      </c>
      <c r="E7" s="117">
        <f t="shared" si="7"/>
        <v>41</v>
      </c>
      <c r="F7" s="139">
        <v>80</v>
      </c>
      <c r="G7" s="117">
        <f t="shared" si="8"/>
        <v>3280</v>
      </c>
      <c r="H7" s="136">
        <v>4490</v>
      </c>
      <c r="I7" s="140">
        <v>96</v>
      </c>
      <c r="J7" s="140">
        <v>600000</v>
      </c>
      <c r="K7" s="120">
        <f t="shared" si="1"/>
        <v>431040</v>
      </c>
      <c r="L7" s="120">
        <f t="shared" si="2"/>
        <v>1031040</v>
      </c>
      <c r="M7" s="118">
        <f t="shared" si="3"/>
        <v>229.630289532294</v>
      </c>
      <c r="N7" s="141">
        <v>267</v>
      </c>
      <c r="O7" s="142">
        <v>3.4</v>
      </c>
      <c r="P7" s="97">
        <f t="shared" si="4"/>
        <v>1.3689024390243902</v>
      </c>
      <c r="Q7" s="121">
        <f t="shared" si="5"/>
        <v>314.34146341463412</v>
      </c>
      <c r="R7" s="121">
        <v>726</v>
      </c>
    </row>
    <row r="8" spans="1:18" x14ac:dyDescent="0.25">
      <c r="A8" s="134"/>
      <c r="B8" s="129"/>
      <c r="C8" s="136"/>
      <c r="D8" s="136"/>
      <c r="E8" s="117"/>
      <c r="F8" s="139"/>
      <c r="G8" s="117"/>
      <c r="H8" s="136"/>
      <c r="I8" s="140"/>
      <c r="J8" s="140"/>
      <c r="K8" s="120"/>
      <c r="L8" s="120"/>
      <c r="M8" s="118"/>
      <c r="N8" s="141"/>
      <c r="O8" s="142"/>
      <c r="P8" s="97"/>
      <c r="Q8" s="121"/>
      <c r="R8" s="121"/>
    </row>
    <row r="9" spans="1:18" x14ac:dyDescent="0.25">
      <c r="A9" s="134"/>
      <c r="B9" s="129"/>
      <c r="C9" s="136"/>
      <c r="D9" s="136"/>
      <c r="E9" s="117"/>
      <c r="F9" s="139"/>
      <c r="G9" s="117"/>
      <c r="H9" s="136"/>
      <c r="I9" s="140"/>
      <c r="J9" s="140"/>
      <c r="K9" s="120"/>
      <c r="L9" s="120"/>
      <c r="M9" s="118"/>
      <c r="N9" s="141"/>
      <c r="O9" s="142"/>
      <c r="P9" s="97"/>
      <c r="Q9" s="121"/>
      <c r="R9" s="121"/>
    </row>
    <row r="10" spans="1:18" x14ac:dyDescent="0.25">
      <c r="A10" s="131"/>
      <c r="B10" s="129"/>
      <c r="C10" s="136"/>
      <c r="D10" s="136"/>
      <c r="E10" s="117"/>
      <c r="F10" s="139"/>
      <c r="G10" s="117"/>
      <c r="H10" s="136"/>
      <c r="I10" s="140"/>
      <c r="J10" s="140"/>
      <c r="K10" s="120"/>
      <c r="L10" s="120"/>
      <c r="M10" s="118"/>
      <c r="N10" s="141"/>
      <c r="O10" s="142"/>
      <c r="P10" s="97"/>
      <c r="Q10" s="121"/>
      <c r="R10" s="121"/>
    </row>
    <row r="11" spans="1:18" x14ac:dyDescent="0.25">
      <c r="A11" s="131"/>
      <c r="B11" s="129">
        <f t="shared" si="0"/>
        <v>0</v>
      </c>
      <c r="C11" s="136"/>
      <c r="D11" s="136"/>
      <c r="E11" s="117"/>
      <c r="F11" s="139"/>
      <c r="G11" s="117"/>
      <c r="H11" s="136"/>
      <c r="I11" s="140"/>
      <c r="J11" s="140"/>
      <c r="K11" s="120"/>
      <c r="L11" s="120"/>
      <c r="M11" s="118"/>
      <c r="N11" s="141"/>
      <c r="O11" s="142"/>
      <c r="P11" s="97"/>
      <c r="Q11" s="121"/>
      <c r="R11" s="121"/>
    </row>
    <row r="12" spans="1:18" x14ac:dyDescent="0.25">
      <c r="A12" s="131"/>
      <c r="B12" s="129">
        <f t="shared" si="0"/>
        <v>0</v>
      </c>
      <c r="C12" s="136"/>
      <c r="D12" s="136"/>
      <c r="E12" s="117"/>
      <c r="F12" s="139"/>
      <c r="G12" s="117"/>
      <c r="H12" s="136"/>
      <c r="I12" s="140"/>
      <c r="J12" s="140"/>
      <c r="K12" s="120"/>
      <c r="L12" s="120"/>
      <c r="M12" s="118"/>
      <c r="N12" s="141"/>
      <c r="O12" s="142"/>
      <c r="P12" s="97"/>
      <c r="Q12" s="121"/>
      <c r="R12" s="121"/>
    </row>
    <row r="13" spans="1:18" x14ac:dyDescent="0.25">
      <c r="A13" s="131"/>
      <c r="B13" s="129">
        <f t="shared" si="0"/>
        <v>0</v>
      </c>
      <c r="C13" s="136"/>
      <c r="D13" s="136"/>
      <c r="E13" s="117"/>
      <c r="F13" s="139"/>
      <c r="G13" s="117"/>
      <c r="H13" s="136"/>
      <c r="I13" s="140"/>
      <c r="J13" s="140"/>
      <c r="K13" s="120"/>
      <c r="L13" s="120"/>
      <c r="M13" s="118"/>
      <c r="N13" s="141"/>
      <c r="O13" s="142"/>
      <c r="P13" s="97"/>
      <c r="Q13" s="121"/>
      <c r="R13" s="121"/>
    </row>
    <row r="14" spans="1:18" x14ac:dyDescent="0.25">
      <c r="A14" s="131"/>
      <c r="B14" s="129">
        <f t="shared" si="0"/>
        <v>0</v>
      </c>
      <c r="C14" s="136"/>
      <c r="D14" s="136"/>
      <c r="E14" s="117"/>
      <c r="F14" s="139"/>
      <c r="G14" s="117"/>
      <c r="H14" s="136"/>
      <c r="I14" s="140"/>
      <c r="J14" s="140"/>
      <c r="K14" s="120"/>
      <c r="L14" s="120"/>
      <c r="M14" s="118"/>
      <c r="N14" s="141"/>
      <c r="O14" s="142"/>
      <c r="P14" s="97"/>
      <c r="Q14" s="121"/>
      <c r="R14" s="121"/>
    </row>
    <row r="15" spans="1:18" x14ac:dyDescent="0.25">
      <c r="A15" s="131"/>
      <c r="B15" s="129">
        <f t="shared" si="0"/>
        <v>0</v>
      </c>
      <c r="C15" s="136"/>
      <c r="D15" s="136"/>
      <c r="E15" s="117"/>
      <c r="F15" s="139"/>
      <c r="G15" s="117"/>
      <c r="H15" s="136"/>
      <c r="I15" s="140"/>
      <c r="J15" s="140"/>
      <c r="K15" s="120"/>
      <c r="L15" s="120"/>
      <c r="M15" s="118"/>
      <c r="N15" s="141"/>
      <c r="O15" s="142"/>
      <c r="P15" s="97"/>
      <c r="Q15" s="121"/>
      <c r="R15" s="121"/>
    </row>
    <row r="16" spans="1:18" x14ac:dyDescent="0.25">
      <c r="A16" s="131"/>
      <c r="B16" s="129">
        <f t="shared" si="0"/>
        <v>0</v>
      </c>
      <c r="C16" s="136"/>
      <c r="D16" s="136"/>
      <c r="E16" s="117"/>
      <c r="F16" s="139"/>
      <c r="G16" s="117"/>
      <c r="H16" s="136"/>
      <c r="I16" s="140"/>
      <c r="J16" s="140"/>
      <c r="K16" s="120"/>
      <c r="L16" s="120"/>
      <c r="M16" s="118"/>
      <c r="N16" s="141"/>
      <c r="O16" s="142"/>
      <c r="P16" s="97"/>
      <c r="Q16" s="121"/>
      <c r="R16" s="121"/>
    </row>
    <row r="17" spans="1:31" x14ac:dyDescent="0.25">
      <c r="A17" s="131"/>
      <c r="B17" s="129">
        <f t="shared" si="0"/>
        <v>0</v>
      </c>
      <c r="C17" s="136"/>
      <c r="D17" s="136"/>
      <c r="E17" s="117"/>
      <c r="F17" s="139"/>
      <c r="G17" s="117"/>
      <c r="H17" s="136"/>
      <c r="I17" s="140"/>
      <c r="J17" s="140"/>
      <c r="K17" s="120"/>
      <c r="L17" s="120"/>
      <c r="M17" s="118"/>
      <c r="N17" s="141"/>
      <c r="O17" s="142"/>
      <c r="P17" s="97"/>
      <c r="Q17" s="121"/>
      <c r="R17" s="121"/>
    </row>
    <row r="18" spans="1:31" x14ac:dyDescent="0.25">
      <c r="A18" s="131"/>
      <c r="B18" s="129">
        <f t="shared" si="0"/>
        <v>0</v>
      </c>
      <c r="C18" s="136"/>
      <c r="D18" s="136"/>
      <c r="E18" s="117"/>
      <c r="F18" s="139"/>
      <c r="G18" s="117"/>
      <c r="H18" s="136"/>
      <c r="I18" s="140"/>
      <c r="J18" s="140"/>
      <c r="K18" s="120"/>
      <c r="L18" s="120"/>
      <c r="M18" s="118"/>
      <c r="N18" s="141"/>
      <c r="O18" s="142"/>
      <c r="P18" s="97"/>
      <c r="Q18" s="121"/>
      <c r="R18" s="121"/>
    </row>
    <row r="19" spans="1:31" x14ac:dyDescent="0.25">
      <c r="A19" s="131"/>
      <c r="B19" s="129">
        <f t="shared" si="0"/>
        <v>0</v>
      </c>
      <c r="C19" s="136"/>
      <c r="D19" s="136"/>
      <c r="E19" s="117"/>
      <c r="F19" s="139"/>
      <c r="G19" s="117"/>
      <c r="H19" s="136"/>
      <c r="I19" s="140"/>
      <c r="J19" s="140"/>
      <c r="K19" s="120"/>
      <c r="L19" s="120"/>
      <c r="M19" s="118"/>
      <c r="N19" s="141"/>
      <c r="O19" s="142"/>
      <c r="P19" s="97"/>
      <c r="Q19" s="121"/>
      <c r="R19" s="121"/>
    </row>
    <row r="20" spans="1:31" x14ac:dyDescent="0.25">
      <c r="A20" s="131"/>
      <c r="B20" s="129">
        <f t="shared" si="0"/>
        <v>0</v>
      </c>
      <c r="C20" s="136"/>
      <c r="D20" s="136"/>
      <c r="E20" s="117"/>
      <c r="F20" s="139"/>
      <c r="G20" s="117"/>
      <c r="H20" s="136"/>
      <c r="I20" s="140"/>
      <c r="J20" s="140"/>
      <c r="K20" s="120"/>
      <c r="L20" s="120"/>
      <c r="M20" s="118"/>
      <c r="N20" s="141"/>
      <c r="O20" s="142"/>
      <c r="P20" s="97"/>
      <c r="Q20" s="121"/>
      <c r="R20" s="121"/>
    </row>
    <row r="21" spans="1:31" x14ac:dyDescent="0.25">
      <c r="A21" s="131"/>
      <c r="B21" s="129">
        <f t="shared" si="0"/>
        <v>0</v>
      </c>
      <c r="C21" s="136"/>
      <c r="D21" s="136"/>
      <c r="E21" s="117"/>
      <c r="F21" s="139"/>
      <c r="G21" s="117"/>
      <c r="H21" s="136"/>
      <c r="I21" s="140"/>
      <c r="J21" s="140"/>
      <c r="K21" s="120"/>
      <c r="L21" s="120"/>
      <c r="M21" s="118"/>
      <c r="N21" s="141"/>
      <c r="O21" s="142"/>
      <c r="P21" s="97"/>
      <c r="Q21" s="121"/>
      <c r="R21" s="121"/>
      <c r="V21">
        <v>39468</v>
      </c>
    </row>
    <row r="22" spans="1:31" x14ac:dyDescent="0.25">
      <c r="A22" s="131"/>
      <c r="B22" s="129">
        <f t="shared" si="0"/>
        <v>0</v>
      </c>
      <c r="C22" s="136"/>
      <c r="D22" s="136"/>
      <c r="E22" s="117"/>
      <c r="F22" s="139"/>
      <c r="G22" s="117"/>
      <c r="H22" s="136"/>
      <c r="I22" s="140"/>
      <c r="J22" s="140"/>
      <c r="K22" s="120"/>
      <c r="L22" s="120"/>
      <c r="M22" s="118"/>
      <c r="N22" s="141"/>
      <c r="O22" s="142"/>
      <c r="P22" s="97"/>
      <c r="Q22" s="121"/>
      <c r="R22" s="121"/>
      <c r="X22">
        <v>115670</v>
      </c>
    </row>
    <row r="23" spans="1:31" x14ac:dyDescent="0.25">
      <c r="A23" s="131"/>
      <c r="B23" s="129">
        <f t="shared" si="0"/>
        <v>0</v>
      </c>
      <c r="C23" s="136"/>
      <c r="D23" s="136"/>
      <c r="E23" s="117"/>
      <c r="F23" s="139"/>
      <c r="G23" s="117"/>
      <c r="H23" s="136"/>
      <c r="I23" s="140"/>
      <c r="J23" s="140"/>
      <c r="K23" s="120"/>
      <c r="L23" s="120"/>
      <c r="M23" s="118"/>
      <c r="N23" s="141"/>
      <c r="O23" s="142"/>
      <c r="P23" s="97"/>
      <c r="Q23" s="121"/>
      <c r="R23" s="121"/>
    </row>
    <row r="24" spans="1:31" x14ac:dyDescent="0.25">
      <c r="A24" s="131"/>
      <c r="B24" s="129">
        <f t="shared" si="0"/>
        <v>0</v>
      </c>
      <c r="C24" s="136"/>
      <c r="D24" s="136"/>
      <c r="E24" s="117"/>
      <c r="F24" s="139"/>
      <c r="G24" s="117"/>
      <c r="H24" s="136"/>
      <c r="I24" s="140"/>
      <c r="J24" s="140"/>
      <c r="K24" s="120"/>
      <c r="L24" s="120"/>
      <c r="M24" s="118"/>
      <c r="N24" s="141"/>
      <c r="O24" s="142"/>
      <c r="P24" s="97"/>
      <c r="Q24" s="121"/>
      <c r="R24" s="121"/>
    </row>
    <row r="25" spans="1:31" x14ac:dyDescent="0.25">
      <c r="A25" s="131"/>
      <c r="B25" s="129">
        <f t="shared" si="0"/>
        <v>0</v>
      </c>
      <c r="C25" s="136"/>
      <c r="D25" s="136"/>
      <c r="E25" s="117"/>
      <c r="F25" s="136"/>
      <c r="G25" s="117"/>
      <c r="H25" s="136"/>
      <c r="I25" s="140"/>
      <c r="J25" s="140"/>
      <c r="K25" s="120"/>
      <c r="L25" s="120"/>
      <c r="M25" s="118"/>
      <c r="N25" s="141"/>
      <c r="O25" s="142"/>
      <c r="P25" s="97"/>
      <c r="Q25" s="121"/>
      <c r="R25" s="121"/>
    </row>
    <row r="26" spans="1:31" x14ac:dyDescent="0.25">
      <c r="A26" s="131"/>
      <c r="B26" s="129">
        <f t="shared" si="0"/>
        <v>0</v>
      </c>
      <c r="C26" s="136"/>
      <c r="D26" s="136"/>
      <c r="E26" s="117"/>
      <c r="F26" s="136"/>
      <c r="G26" s="117"/>
      <c r="H26" s="136"/>
      <c r="I26" s="140"/>
      <c r="J26" s="140"/>
      <c r="K26" s="120"/>
      <c r="L26" s="120"/>
      <c r="M26" s="118"/>
      <c r="N26" s="141"/>
      <c r="O26" s="142"/>
      <c r="P26" s="97"/>
      <c r="Q26" s="121"/>
      <c r="R26" s="121"/>
    </row>
    <row r="27" spans="1:31" x14ac:dyDescent="0.25">
      <c r="A27" s="131"/>
      <c r="B27" s="129">
        <f t="shared" si="0"/>
        <v>0</v>
      </c>
      <c r="C27" s="136"/>
      <c r="D27" s="136"/>
      <c r="E27" s="117"/>
      <c r="F27" s="138"/>
      <c r="G27" s="117"/>
      <c r="H27" s="136"/>
      <c r="I27" s="140"/>
      <c r="J27" s="140"/>
      <c r="K27" s="120"/>
      <c r="L27" s="120"/>
      <c r="M27" s="118"/>
      <c r="N27" s="141"/>
      <c r="O27" s="142"/>
      <c r="P27" s="97"/>
      <c r="Q27" s="121"/>
      <c r="R27" s="121"/>
    </row>
    <row r="28" spans="1:31" x14ac:dyDescent="0.25">
      <c r="A28" s="131"/>
      <c r="B28" s="129">
        <f t="shared" si="0"/>
        <v>0</v>
      </c>
      <c r="C28" s="136"/>
      <c r="D28" s="136"/>
      <c r="E28" s="117"/>
      <c r="F28" s="138"/>
      <c r="G28" s="117"/>
      <c r="H28" s="136"/>
      <c r="I28" s="140"/>
      <c r="J28" s="140"/>
      <c r="K28" s="120"/>
      <c r="L28" s="120"/>
      <c r="M28" s="118"/>
      <c r="N28" s="141"/>
      <c r="O28" s="142"/>
      <c r="P28" s="97"/>
      <c r="Q28" s="121"/>
      <c r="R28" s="121"/>
    </row>
    <row r="29" spans="1:31" x14ac:dyDescent="0.25">
      <c r="A29" s="131"/>
      <c r="B29" s="129">
        <f t="shared" si="0"/>
        <v>0</v>
      </c>
      <c r="C29" s="136"/>
      <c r="D29" s="136"/>
      <c r="E29" s="117"/>
      <c r="F29" s="138"/>
      <c r="G29" s="117"/>
      <c r="H29" s="136"/>
      <c r="I29" s="140"/>
      <c r="J29" s="140"/>
      <c r="K29" s="120"/>
      <c r="L29" s="120"/>
      <c r="M29" s="118"/>
      <c r="N29" s="141"/>
      <c r="O29" s="142"/>
      <c r="P29" s="97"/>
      <c r="Q29" s="121"/>
      <c r="R29" s="121"/>
    </row>
    <row r="30" spans="1:31" x14ac:dyDescent="0.25">
      <c r="D30" s="138"/>
    </row>
    <row r="31" spans="1:31" ht="14.3" customHeight="1" x14ac:dyDescent="0.25">
      <c r="C31" s="137">
        <f>+SUM(C2:C29)</f>
        <v>106614</v>
      </c>
      <c r="D31" s="137">
        <f t="shared" ref="D31:R31" si="9">+SUM(D2:D29)</f>
        <v>107051</v>
      </c>
      <c r="E31" s="132">
        <f t="shared" si="9"/>
        <v>437</v>
      </c>
      <c r="F31" s="137">
        <f t="shared" si="9"/>
        <v>480</v>
      </c>
      <c r="G31" s="132">
        <f>+SUM(G2:G29)</f>
        <v>34960</v>
      </c>
      <c r="H31" s="137">
        <f>+SUM(H2:H29)</f>
        <v>25610</v>
      </c>
      <c r="I31" s="137">
        <f t="shared" si="9"/>
        <v>576</v>
      </c>
      <c r="J31" s="137">
        <f t="shared" si="9"/>
        <v>3600000</v>
      </c>
      <c r="K31" s="132">
        <f t="shared" si="9"/>
        <v>2458560</v>
      </c>
      <c r="L31" s="132">
        <f t="shared" si="9"/>
        <v>6058560</v>
      </c>
      <c r="M31" s="132">
        <f t="shared" si="9"/>
        <v>1436.3223117679795</v>
      </c>
      <c r="N31" s="137">
        <f t="shared" si="9"/>
        <v>1602</v>
      </c>
      <c r="O31" s="137">
        <f t="shared" si="9"/>
        <v>20.399999999999999</v>
      </c>
      <c r="P31" s="132">
        <f t="shared" si="9"/>
        <v>5.0189155858117305</v>
      </c>
      <c r="Q31" s="132">
        <f t="shared" si="9"/>
        <v>1204.5840959927507</v>
      </c>
      <c r="R31" s="132">
        <f t="shared" si="9"/>
        <v>4356</v>
      </c>
      <c r="T31" s="161" t="s">
        <v>81</v>
      </c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</row>
    <row r="32" spans="1:31" ht="42.8" x14ac:dyDescent="0.25">
      <c r="T32" s="92" t="s">
        <v>82</v>
      </c>
      <c r="U32" s="92" t="s">
        <v>176</v>
      </c>
      <c r="V32" s="92" t="s">
        <v>83</v>
      </c>
      <c r="W32" s="92" t="s">
        <v>177</v>
      </c>
      <c r="X32" s="92" t="s">
        <v>84</v>
      </c>
      <c r="Y32" s="92" t="s">
        <v>85</v>
      </c>
      <c r="Z32" s="92" t="s">
        <v>86</v>
      </c>
      <c r="AA32" s="92" t="s">
        <v>87</v>
      </c>
      <c r="AB32" s="92" t="s">
        <v>88</v>
      </c>
      <c r="AC32" s="92" t="s">
        <v>89</v>
      </c>
      <c r="AD32" s="92" t="s">
        <v>175</v>
      </c>
      <c r="AE32" s="92" t="s">
        <v>178</v>
      </c>
    </row>
    <row r="33" spans="20:31" x14ac:dyDescent="0.25">
      <c r="T33" s="93">
        <f>+G31</f>
        <v>34960</v>
      </c>
      <c r="U33" s="143">
        <v>28996.038995013121</v>
      </c>
      <c r="V33" s="93">
        <f>+H31</f>
        <v>25610</v>
      </c>
      <c r="W33" s="143">
        <v>98586.532583044609</v>
      </c>
      <c r="X33" s="94">
        <f>+K31</f>
        <v>2458560</v>
      </c>
      <c r="Y33" s="94">
        <f>+J31</f>
        <v>3600000</v>
      </c>
      <c r="Z33" s="94">
        <f>+X33+Y33</f>
        <v>6058560</v>
      </c>
      <c r="AA33" s="94">
        <f>+Z33/V33</f>
        <v>236.57008980866848</v>
      </c>
      <c r="AB33" s="94">
        <f>+Z33/T33</f>
        <v>173.29977116704805</v>
      </c>
      <c r="AC33" s="95">
        <f>+V33/T33</f>
        <v>0.73255148741418763</v>
      </c>
      <c r="AD33" s="144">
        <v>726</v>
      </c>
      <c r="AE33" s="145">
        <f>+W33/U33</f>
        <v>3.4</v>
      </c>
    </row>
  </sheetData>
  <mergeCells count="1">
    <mergeCell ref="T31:AE3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FC2A3-8337-4159-A441-3E73B1352463}">
  <dimension ref="A1:AE30"/>
  <sheetViews>
    <sheetView tabSelected="1" topLeftCell="A20" zoomScale="70" zoomScaleNormal="70" workbookViewId="0">
      <selection activeCell="T28" sqref="T28:AE30"/>
    </sheetView>
  </sheetViews>
  <sheetFormatPr baseColWidth="10" defaultRowHeight="14.3" x14ac:dyDescent="0.25"/>
  <cols>
    <col min="1" max="1" width="17.75" customWidth="1"/>
    <col min="2" max="2" width="14.75" customWidth="1"/>
    <col min="3" max="3" width="12.25" style="99" customWidth="1"/>
    <col min="4" max="4" width="14.375" style="99" customWidth="1"/>
    <col min="6" max="6" width="15.25" style="99" customWidth="1"/>
    <col min="7" max="7" width="11" customWidth="1"/>
    <col min="8" max="8" width="12.625" style="99" customWidth="1"/>
    <col min="9" max="9" width="11" style="99"/>
    <col min="10" max="10" width="14.625" style="99" customWidth="1"/>
    <col min="11" max="11" width="13.375" customWidth="1"/>
    <col min="12" max="12" width="13" bestFit="1" customWidth="1"/>
    <col min="14" max="15" width="11" style="99"/>
    <col min="16" max="16" width="13.125" customWidth="1"/>
    <col min="20" max="21" width="17.75" customWidth="1"/>
    <col min="22" max="23" width="18.375" customWidth="1"/>
    <col min="24" max="24" width="17.25" customWidth="1"/>
    <col min="25" max="25" width="18.625" customWidth="1"/>
    <col min="26" max="26" width="22.625" customWidth="1"/>
    <col min="27" max="27" width="16.5" customWidth="1"/>
    <col min="28" max="28" width="15.125" customWidth="1"/>
    <col min="29" max="29" width="14.125" customWidth="1"/>
    <col min="30" max="30" width="16.75" customWidth="1"/>
    <col min="31" max="31" width="19" customWidth="1"/>
  </cols>
  <sheetData>
    <row r="1" spans="1:18" s="113" customFormat="1" ht="42.8" x14ac:dyDescent="0.25">
      <c r="A1" s="114" t="s">
        <v>59</v>
      </c>
      <c r="B1" s="114" t="s">
        <v>115</v>
      </c>
      <c r="C1" s="135" t="s">
        <v>101</v>
      </c>
      <c r="D1" s="135" t="s">
        <v>102</v>
      </c>
      <c r="E1" s="115" t="s">
        <v>95</v>
      </c>
      <c r="F1" s="135" t="s">
        <v>100</v>
      </c>
      <c r="G1" s="115" t="s">
        <v>117</v>
      </c>
      <c r="H1" s="135" t="s">
        <v>97</v>
      </c>
      <c r="I1" s="135" t="s">
        <v>98</v>
      </c>
      <c r="J1" s="135" t="s">
        <v>99</v>
      </c>
      <c r="K1" s="115" t="s">
        <v>103</v>
      </c>
      <c r="L1" s="115" t="s">
        <v>110</v>
      </c>
      <c r="M1" s="115" t="s">
        <v>118</v>
      </c>
      <c r="N1" s="135" t="s">
        <v>119</v>
      </c>
      <c r="O1" s="135" t="s">
        <v>192</v>
      </c>
      <c r="P1" s="115" t="s">
        <v>105</v>
      </c>
      <c r="Q1" s="115" t="s">
        <v>106</v>
      </c>
      <c r="R1" s="115" t="s">
        <v>191</v>
      </c>
    </row>
    <row r="2" spans="1:18" ht="14.3" customHeight="1" x14ac:dyDescent="0.25">
      <c r="A2" s="134" t="s">
        <v>201</v>
      </c>
      <c r="B2" s="129">
        <f t="shared" ref="B2:B26" si="0">DAY(A2)</f>
        <v>8</v>
      </c>
      <c r="C2" s="136">
        <v>18036</v>
      </c>
      <c r="D2" s="136">
        <v>18134</v>
      </c>
      <c r="E2" s="117">
        <f>D2-C2</f>
        <v>98</v>
      </c>
      <c r="F2" s="139">
        <v>80</v>
      </c>
      <c r="G2" s="117">
        <f>E2*F2</f>
        <v>7840</v>
      </c>
      <c r="H2" s="136">
        <v>5180</v>
      </c>
      <c r="I2" s="140">
        <v>96</v>
      </c>
      <c r="J2" s="140">
        <v>600000</v>
      </c>
      <c r="K2" s="120">
        <f t="shared" ref="K2:K7" si="1">H2*I2</f>
        <v>497280</v>
      </c>
      <c r="L2" s="120">
        <f t="shared" ref="L2:L7" si="2">K2+J2</f>
        <v>1097280</v>
      </c>
      <c r="M2" s="118">
        <f t="shared" ref="M2:M7" si="3">L2/H2</f>
        <v>211.83011583011583</v>
      </c>
      <c r="N2" s="141">
        <v>267</v>
      </c>
      <c r="O2" s="142">
        <v>3.4</v>
      </c>
      <c r="P2" s="97">
        <f t="shared" ref="P2:P7" si="4">H2/G2</f>
        <v>0.6607142857142857</v>
      </c>
      <c r="Q2" s="121">
        <f t="shared" ref="Q2:Q7" si="5">L2/G2</f>
        <v>139.9591836734694</v>
      </c>
      <c r="R2" s="121">
        <v>726</v>
      </c>
    </row>
    <row r="3" spans="1:18" x14ac:dyDescent="0.25">
      <c r="A3" s="134" t="s">
        <v>202</v>
      </c>
      <c r="B3" s="129">
        <f t="shared" si="0"/>
        <v>12</v>
      </c>
      <c r="C3" s="136">
        <f t="shared" ref="C3:C12" si="6">+D2</f>
        <v>18134</v>
      </c>
      <c r="D3" s="136">
        <v>18188</v>
      </c>
      <c r="E3" s="117">
        <f t="shared" ref="E3:E12" si="7">D3-C3</f>
        <v>54</v>
      </c>
      <c r="F3" s="139">
        <v>80</v>
      </c>
      <c r="G3" s="117">
        <f t="shared" ref="G3:G12" si="8">E3*F3</f>
        <v>4320</v>
      </c>
      <c r="H3" s="136">
        <v>4480</v>
      </c>
      <c r="I3" s="140">
        <v>96</v>
      </c>
      <c r="J3" s="140">
        <v>600000</v>
      </c>
      <c r="K3" s="120">
        <f t="shared" si="1"/>
        <v>430080</v>
      </c>
      <c r="L3" s="120">
        <f t="shared" si="2"/>
        <v>1030080</v>
      </c>
      <c r="M3" s="118">
        <f t="shared" si="3"/>
        <v>229.92857142857142</v>
      </c>
      <c r="N3" s="141">
        <v>267</v>
      </c>
      <c r="O3" s="142">
        <v>3.4</v>
      </c>
      <c r="P3" s="97">
        <f t="shared" si="4"/>
        <v>1.037037037037037</v>
      </c>
      <c r="Q3" s="121">
        <f t="shared" si="5"/>
        <v>238.44444444444446</v>
      </c>
      <c r="R3" s="121">
        <v>726</v>
      </c>
    </row>
    <row r="4" spans="1:18" x14ac:dyDescent="0.25">
      <c r="A4" s="134" t="s">
        <v>203</v>
      </c>
      <c r="B4" s="129">
        <f t="shared" si="0"/>
        <v>13</v>
      </c>
      <c r="C4" s="136">
        <f t="shared" si="6"/>
        <v>18188</v>
      </c>
      <c r="D4" s="136">
        <v>18207</v>
      </c>
      <c r="E4" s="117">
        <f t="shared" si="7"/>
        <v>19</v>
      </c>
      <c r="F4" s="139">
        <v>80</v>
      </c>
      <c r="G4" s="117">
        <f t="shared" si="8"/>
        <v>1520</v>
      </c>
      <c r="H4" s="136">
        <v>5610</v>
      </c>
      <c r="I4" s="140">
        <v>96</v>
      </c>
      <c r="J4" s="140">
        <v>600000</v>
      </c>
      <c r="K4" s="120">
        <f t="shared" si="1"/>
        <v>538560</v>
      </c>
      <c r="L4" s="120">
        <f t="shared" si="2"/>
        <v>1138560</v>
      </c>
      <c r="M4" s="118">
        <f t="shared" si="3"/>
        <v>202.951871657754</v>
      </c>
      <c r="N4" s="141">
        <v>267</v>
      </c>
      <c r="O4" s="142">
        <v>3.4</v>
      </c>
      <c r="P4" s="97">
        <f t="shared" si="4"/>
        <v>3.6907894736842106</v>
      </c>
      <c r="Q4" s="121">
        <f t="shared" si="5"/>
        <v>749.0526315789474</v>
      </c>
      <c r="R4" s="121">
        <v>726</v>
      </c>
    </row>
    <row r="5" spans="1:18" x14ac:dyDescent="0.25">
      <c r="A5" s="134" t="s">
        <v>204</v>
      </c>
      <c r="B5" s="129">
        <f t="shared" si="0"/>
        <v>14</v>
      </c>
      <c r="C5" s="136">
        <f t="shared" si="6"/>
        <v>18207</v>
      </c>
      <c r="D5" s="136">
        <v>18226</v>
      </c>
      <c r="E5" s="117">
        <f t="shared" si="7"/>
        <v>19</v>
      </c>
      <c r="F5" s="139">
        <v>80</v>
      </c>
      <c r="G5" s="117">
        <f t="shared" si="8"/>
        <v>1520</v>
      </c>
      <c r="H5" s="136">
        <v>5280</v>
      </c>
      <c r="I5" s="140">
        <v>96</v>
      </c>
      <c r="J5" s="140">
        <v>600000</v>
      </c>
      <c r="K5" s="120">
        <f t="shared" si="1"/>
        <v>506880</v>
      </c>
      <c r="L5" s="120">
        <f t="shared" si="2"/>
        <v>1106880</v>
      </c>
      <c r="M5" s="118">
        <f t="shared" si="3"/>
        <v>209.63636363636363</v>
      </c>
      <c r="N5" s="141">
        <v>267</v>
      </c>
      <c r="O5" s="142">
        <v>3.4</v>
      </c>
      <c r="P5" s="97">
        <f t="shared" si="4"/>
        <v>3.4736842105263159</v>
      </c>
      <c r="Q5" s="121">
        <f t="shared" si="5"/>
        <v>728.21052631578948</v>
      </c>
      <c r="R5" s="121">
        <v>726</v>
      </c>
    </row>
    <row r="6" spans="1:18" x14ac:dyDescent="0.25">
      <c r="A6" s="134" t="s">
        <v>205</v>
      </c>
      <c r="B6" s="129">
        <f t="shared" si="0"/>
        <v>16</v>
      </c>
      <c r="C6" s="136">
        <f t="shared" si="6"/>
        <v>18226</v>
      </c>
      <c r="D6" s="136">
        <v>18254</v>
      </c>
      <c r="E6" s="117">
        <f t="shared" si="7"/>
        <v>28</v>
      </c>
      <c r="F6" s="139">
        <v>80</v>
      </c>
      <c r="G6" s="117">
        <f t="shared" si="8"/>
        <v>2240</v>
      </c>
      <c r="H6" s="136">
        <v>5060</v>
      </c>
      <c r="I6" s="140">
        <v>96</v>
      </c>
      <c r="J6" s="140">
        <v>600000</v>
      </c>
      <c r="K6" s="120">
        <f t="shared" si="1"/>
        <v>485760</v>
      </c>
      <c r="L6" s="120">
        <f t="shared" si="2"/>
        <v>1085760</v>
      </c>
      <c r="M6" s="118">
        <f t="shared" si="3"/>
        <v>214.57707509881422</v>
      </c>
      <c r="N6" s="141">
        <v>267</v>
      </c>
      <c r="O6" s="142">
        <v>3.4</v>
      </c>
      <c r="P6" s="97">
        <f t="shared" si="4"/>
        <v>2.2589285714285716</v>
      </c>
      <c r="Q6" s="121">
        <f t="shared" si="5"/>
        <v>484.71428571428572</v>
      </c>
      <c r="R6" s="121">
        <v>726</v>
      </c>
    </row>
    <row r="7" spans="1:18" x14ac:dyDescent="0.25">
      <c r="A7" s="134" t="s">
        <v>206</v>
      </c>
      <c r="B7" s="129">
        <f t="shared" si="0"/>
        <v>20</v>
      </c>
      <c r="C7" s="136">
        <f t="shared" si="6"/>
        <v>18254</v>
      </c>
      <c r="D7" s="136">
        <v>18289</v>
      </c>
      <c r="E7" s="117">
        <f t="shared" si="7"/>
        <v>35</v>
      </c>
      <c r="F7" s="139">
        <v>80</v>
      </c>
      <c r="G7" s="117">
        <f t="shared" si="8"/>
        <v>2800</v>
      </c>
      <c r="H7" s="136">
        <v>4530</v>
      </c>
      <c r="I7" s="140">
        <v>96</v>
      </c>
      <c r="J7" s="140">
        <v>600000</v>
      </c>
      <c r="K7" s="120">
        <f t="shared" si="1"/>
        <v>434880</v>
      </c>
      <c r="L7" s="120">
        <f t="shared" si="2"/>
        <v>1034880</v>
      </c>
      <c r="M7" s="118">
        <f t="shared" si="3"/>
        <v>228.4503311258278</v>
      </c>
      <c r="N7" s="141">
        <v>267</v>
      </c>
      <c r="O7" s="142">
        <v>3.4</v>
      </c>
      <c r="P7" s="97">
        <f t="shared" si="4"/>
        <v>1.6178571428571429</v>
      </c>
      <c r="Q7" s="121">
        <f t="shared" si="5"/>
        <v>369.6</v>
      </c>
      <c r="R7" s="121">
        <v>726</v>
      </c>
    </row>
    <row r="8" spans="1:18" x14ac:dyDescent="0.25">
      <c r="A8" s="131" t="s">
        <v>207</v>
      </c>
      <c r="B8" s="129">
        <f t="shared" si="0"/>
        <v>21</v>
      </c>
      <c r="C8" s="136">
        <f t="shared" si="6"/>
        <v>18289</v>
      </c>
      <c r="D8" s="136">
        <v>18311</v>
      </c>
      <c r="E8" s="117">
        <f t="shared" si="7"/>
        <v>22</v>
      </c>
      <c r="F8" s="139">
        <v>80</v>
      </c>
      <c r="G8" s="117">
        <f t="shared" si="8"/>
        <v>1760</v>
      </c>
      <c r="H8" s="136">
        <v>4890</v>
      </c>
      <c r="I8" s="140">
        <v>96</v>
      </c>
      <c r="J8" s="140">
        <v>600000</v>
      </c>
      <c r="K8" s="120">
        <f t="shared" ref="K8:K12" si="9">H8*I8</f>
        <v>469440</v>
      </c>
      <c r="L8" s="120">
        <f t="shared" ref="L8:L12" si="10">K8+J8</f>
        <v>1069440</v>
      </c>
      <c r="M8" s="118">
        <f t="shared" ref="M8:M12" si="11">L8/H8</f>
        <v>218.69938650306747</v>
      </c>
      <c r="N8" s="141">
        <v>267</v>
      </c>
      <c r="O8" s="142">
        <v>3.4</v>
      </c>
      <c r="P8" s="97">
        <f t="shared" ref="P8:P12" si="12">H8/G8</f>
        <v>2.7784090909090908</v>
      </c>
      <c r="Q8" s="121">
        <f t="shared" ref="Q8:Q12" si="13">L8/G8</f>
        <v>607.63636363636363</v>
      </c>
      <c r="R8" s="121">
        <v>726</v>
      </c>
    </row>
    <row r="9" spans="1:18" x14ac:dyDescent="0.25">
      <c r="A9" s="131" t="s">
        <v>208</v>
      </c>
      <c r="B9" s="129">
        <f t="shared" si="0"/>
        <v>22</v>
      </c>
      <c r="C9" s="136">
        <f t="shared" si="6"/>
        <v>18311</v>
      </c>
      <c r="D9" s="136">
        <v>18330</v>
      </c>
      <c r="E9" s="117">
        <f t="shared" si="7"/>
        <v>19</v>
      </c>
      <c r="F9" s="139">
        <v>80</v>
      </c>
      <c r="G9" s="117">
        <f t="shared" si="8"/>
        <v>1520</v>
      </c>
      <c r="H9" s="136">
        <v>4510</v>
      </c>
      <c r="I9" s="140">
        <v>96</v>
      </c>
      <c r="J9" s="140">
        <v>600000</v>
      </c>
      <c r="K9" s="120">
        <f t="shared" si="9"/>
        <v>432960</v>
      </c>
      <c r="L9" s="120">
        <f t="shared" si="10"/>
        <v>1032960</v>
      </c>
      <c r="M9" s="118">
        <f t="shared" si="11"/>
        <v>229.03769401330376</v>
      </c>
      <c r="N9" s="141">
        <v>267</v>
      </c>
      <c r="O9" s="142">
        <v>3.4</v>
      </c>
      <c r="P9" s="97">
        <f t="shared" si="12"/>
        <v>2.9671052631578947</v>
      </c>
      <c r="Q9" s="121">
        <f t="shared" si="13"/>
        <v>679.57894736842104</v>
      </c>
      <c r="R9" s="121">
        <v>726</v>
      </c>
    </row>
    <row r="10" spans="1:18" x14ac:dyDescent="0.25">
      <c r="A10" s="131" t="s">
        <v>209</v>
      </c>
      <c r="B10" s="129">
        <f t="shared" si="0"/>
        <v>26</v>
      </c>
      <c r="C10" s="136">
        <f t="shared" si="6"/>
        <v>18330</v>
      </c>
      <c r="D10" s="136">
        <v>18379</v>
      </c>
      <c r="E10" s="117">
        <f t="shared" si="7"/>
        <v>49</v>
      </c>
      <c r="F10" s="139">
        <v>80</v>
      </c>
      <c r="G10" s="117">
        <f t="shared" si="8"/>
        <v>3920</v>
      </c>
      <c r="H10" s="136">
        <v>4490</v>
      </c>
      <c r="I10" s="140">
        <v>96</v>
      </c>
      <c r="J10" s="140">
        <v>600000</v>
      </c>
      <c r="K10" s="120">
        <f t="shared" si="9"/>
        <v>431040</v>
      </c>
      <c r="L10" s="120">
        <f t="shared" si="10"/>
        <v>1031040</v>
      </c>
      <c r="M10" s="118">
        <f t="shared" si="11"/>
        <v>229.630289532294</v>
      </c>
      <c r="N10" s="141">
        <v>267</v>
      </c>
      <c r="O10" s="142">
        <v>3.4</v>
      </c>
      <c r="P10" s="97">
        <f t="shared" si="12"/>
        <v>1.1454081632653061</v>
      </c>
      <c r="Q10" s="121">
        <f t="shared" si="13"/>
        <v>263.0204081632653</v>
      </c>
      <c r="R10" s="121">
        <v>726</v>
      </c>
    </row>
    <row r="11" spans="1:18" x14ac:dyDescent="0.25">
      <c r="A11" s="131" t="s">
        <v>210</v>
      </c>
      <c r="B11" s="129">
        <f t="shared" si="0"/>
        <v>27</v>
      </c>
      <c r="C11" s="136">
        <f t="shared" si="6"/>
        <v>18379</v>
      </c>
      <c r="D11" s="136">
        <v>18397</v>
      </c>
      <c r="E11" s="117">
        <f t="shared" si="7"/>
        <v>18</v>
      </c>
      <c r="F11" s="139">
        <v>80</v>
      </c>
      <c r="G11" s="117">
        <f t="shared" si="8"/>
        <v>1440</v>
      </c>
      <c r="H11" s="136">
        <v>5340</v>
      </c>
      <c r="I11" s="140">
        <v>96</v>
      </c>
      <c r="J11" s="140">
        <v>600000</v>
      </c>
      <c r="K11" s="120">
        <f t="shared" si="9"/>
        <v>512640</v>
      </c>
      <c r="L11" s="120">
        <f t="shared" si="10"/>
        <v>1112640</v>
      </c>
      <c r="M11" s="118">
        <f t="shared" si="11"/>
        <v>208.35955056179776</v>
      </c>
      <c r="N11" s="141">
        <v>267</v>
      </c>
      <c r="O11" s="142">
        <v>3.4</v>
      </c>
      <c r="P11" s="97">
        <f t="shared" si="12"/>
        <v>3.7083333333333335</v>
      </c>
      <c r="Q11" s="121">
        <f t="shared" si="13"/>
        <v>772.66666666666663</v>
      </c>
      <c r="R11" s="121">
        <v>726</v>
      </c>
    </row>
    <row r="12" spans="1:18" x14ac:dyDescent="0.25">
      <c r="A12" s="131" t="s">
        <v>211</v>
      </c>
      <c r="B12" s="129">
        <f t="shared" si="0"/>
        <v>28</v>
      </c>
      <c r="C12" s="136">
        <f t="shared" si="6"/>
        <v>18397</v>
      </c>
      <c r="D12" s="136">
        <v>18415</v>
      </c>
      <c r="E12" s="117">
        <f t="shared" si="7"/>
        <v>18</v>
      </c>
      <c r="F12" s="139">
        <v>80</v>
      </c>
      <c r="G12" s="117">
        <f t="shared" si="8"/>
        <v>1440</v>
      </c>
      <c r="H12" s="136">
        <v>3840</v>
      </c>
      <c r="I12" s="140">
        <v>96</v>
      </c>
      <c r="J12" s="140">
        <v>600000</v>
      </c>
      <c r="K12" s="120">
        <f t="shared" si="9"/>
        <v>368640</v>
      </c>
      <c r="L12" s="120">
        <f t="shared" si="10"/>
        <v>968640</v>
      </c>
      <c r="M12" s="118">
        <f t="shared" si="11"/>
        <v>252.25</v>
      </c>
      <c r="N12" s="141">
        <v>267</v>
      </c>
      <c r="O12" s="142">
        <v>3.4</v>
      </c>
      <c r="P12" s="97">
        <f t="shared" si="12"/>
        <v>2.6666666666666665</v>
      </c>
      <c r="Q12" s="121">
        <f t="shared" si="13"/>
        <v>672.66666666666663</v>
      </c>
      <c r="R12" s="121">
        <v>726</v>
      </c>
    </row>
    <row r="13" spans="1:18" x14ac:dyDescent="0.25">
      <c r="A13" s="131"/>
      <c r="B13" s="129">
        <f t="shared" si="0"/>
        <v>0</v>
      </c>
      <c r="C13" s="136"/>
      <c r="D13" s="136"/>
      <c r="E13" s="117"/>
      <c r="F13" s="139"/>
      <c r="G13" s="117"/>
      <c r="H13" s="136"/>
      <c r="I13" s="140"/>
      <c r="J13" s="140"/>
      <c r="K13" s="120"/>
      <c r="L13" s="120"/>
      <c r="M13" s="118"/>
      <c r="N13" s="141"/>
      <c r="O13" s="142"/>
      <c r="P13" s="97"/>
      <c r="Q13" s="121"/>
      <c r="R13" s="121"/>
    </row>
    <row r="14" spans="1:18" x14ac:dyDescent="0.25">
      <c r="A14" s="131"/>
      <c r="B14" s="129">
        <f t="shared" si="0"/>
        <v>0</v>
      </c>
      <c r="C14" s="136"/>
      <c r="D14" s="136"/>
      <c r="E14" s="117"/>
      <c r="F14" s="139"/>
      <c r="G14" s="117"/>
      <c r="H14" s="136"/>
      <c r="I14" s="140"/>
      <c r="J14" s="140"/>
      <c r="K14" s="120"/>
      <c r="L14" s="120"/>
      <c r="M14" s="118"/>
      <c r="N14" s="141"/>
      <c r="O14" s="142"/>
      <c r="P14" s="97"/>
      <c r="Q14" s="121"/>
      <c r="R14" s="121"/>
    </row>
    <row r="15" spans="1:18" x14ac:dyDescent="0.25">
      <c r="A15" s="131"/>
      <c r="B15" s="129">
        <f t="shared" si="0"/>
        <v>0</v>
      </c>
      <c r="C15" s="136"/>
      <c r="D15" s="136"/>
      <c r="E15" s="117"/>
      <c r="F15" s="139"/>
      <c r="G15" s="117"/>
      <c r="H15" s="136"/>
      <c r="I15" s="140"/>
      <c r="J15" s="140"/>
      <c r="K15" s="120"/>
      <c r="L15" s="120"/>
      <c r="M15" s="118"/>
      <c r="N15" s="141"/>
      <c r="O15" s="142"/>
      <c r="P15" s="97"/>
      <c r="Q15" s="121"/>
      <c r="R15" s="121"/>
    </row>
    <row r="16" spans="1:18" x14ac:dyDescent="0.25">
      <c r="A16" s="131"/>
      <c r="B16" s="129">
        <f t="shared" si="0"/>
        <v>0</v>
      </c>
      <c r="C16" s="136"/>
      <c r="D16" s="136"/>
      <c r="E16" s="117"/>
      <c r="F16" s="139"/>
      <c r="G16" s="117"/>
      <c r="H16" s="136"/>
      <c r="I16" s="140"/>
      <c r="J16" s="140"/>
      <c r="K16" s="120"/>
      <c r="L16" s="120"/>
      <c r="M16" s="118"/>
      <c r="N16" s="141"/>
      <c r="O16" s="142"/>
      <c r="P16" s="97"/>
      <c r="Q16" s="121"/>
      <c r="R16" s="121"/>
    </row>
    <row r="17" spans="1:31" x14ac:dyDescent="0.25">
      <c r="A17" s="131"/>
      <c r="B17" s="129">
        <f t="shared" si="0"/>
        <v>0</v>
      </c>
      <c r="C17" s="136"/>
      <c r="D17" s="136"/>
      <c r="E17" s="117"/>
      <c r="F17" s="139"/>
      <c r="G17" s="117"/>
      <c r="H17" s="136"/>
      <c r="I17" s="140"/>
      <c r="J17" s="140"/>
      <c r="K17" s="120"/>
      <c r="L17" s="120"/>
      <c r="M17" s="118"/>
      <c r="N17" s="141"/>
      <c r="O17" s="142"/>
      <c r="P17" s="97"/>
      <c r="Q17" s="121"/>
      <c r="R17" s="121"/>
    </row>
    <row r="18" spans="1:31" x14ac:dyDescent="0.25">
      <c r="A18" s="131"/>
      <c r="B18" s="129">
        <f t="shared" si="0"/>
        <v>0</v>
      </c>
      <c r="C18" s="136"/>
      <c r="D18" s="136"/>
      <c r="E18" s="117"/>
      <c r="F18" s="139"/>
      <c r="G18" s="117"/>
      <c r="H18" s="136"/>
      <c r="I18" s="140"/>
      <c r="J18" s="140"/>
      <c r="K18" s="120"/>
      <c r="L18" s="120"/>
      <c r="M18" s="118"/>
      <c r="N18" s="141"/>
      <c r="O18" s="142"/>
      <c r="P18" s="97"/>
      <c r="Q18" s="121"/>
      <c r="R18" s="121"/>
      <c r="V18">
        <v>39468</v>
      </c>
    </row>
    <row r="19" spans="1:31" x14ac:dyDescent="0.25">
      <c r="A19" s="131"/>
      <c r="B19" s="129">
        <f t="shared" si="0"/>
        <v>0</v>
      </c>
      <c r="C19" s="136"/>
      <c r="D19" s="136"/>
      <c r="E19" s="117"/>
      <c r="F19" s="139"/>
      <c r="G19" s="117"/>
      <c r="H19" s="136"/>
      <c r="I19" s="140"/>
      <c r="J19" s="140"/>
      <c r="K19" s="120"/>
      <c r="L19" s="120"/>
      <c r="M19" s="118"/>
      <c r="N19" s="141"/>
      <c r="O19" s="142"/>
      <c r="P19" s="97"/>
      <c r="Q19" s="121"/>
      <c r="R19" s="121"/>
      <c r="X19">
        <v>115670</v>
      </c>
    </row>
    <row r="20" spans="1:31" x14ac:dyDescent="0.25">
      <c r="A20" s="131"/>
      <c r="B20" s="129">
        <f t="shared" si="0"/>
        <v>0</v>
      </c>
      <c r="C20" s="136"/>
      <c r="D20" s="136"/>
      <c r="E20" s="117"/>
      <c r="F20" s="139"/>
      <c r="G20" s="117"/>
      <c r="H20" s="136"/>
      <c r="I20" s="140"/>
      <c r="J20" s="140"/>
      <c r="K20" s="120"/>
      <c r="L20" s="120"/>
      <c r="M20" s="118"/>
      <c r="N20" s="141"/>
      <c r="O20" s="142"/>
      <c r="P20" s="97"/>
      <c r="Q20" s="121"/>
      <c r="R20" s="121"/>
    </row>
    <row r="21" spans="1:31" x14ac:dyDescent="0.25">
      <c r="A21" s="131"/>
      <c r="B21" s="129">
        <f t="shared" si="0"/>
        <v>0</v>
      </c>
      <c r="C21" s="136"/>
      <c r="D21" s="136"/>
      <c r="E21" s="117"/>
      <c r="F21" s="139"/>
      <c r="G21" s="117"/>
      <c r="H21" s="136"/>
      <c r="I21" s="140"/>
      <c r="J21" s="140"/>
      <c r="K21" s="120"/>
      <c r="L21" s="120"/>
      <c r="M21" s="118"/>
      <c r="N21" s="141"/>
      <c r="O21" s="142"/>
      <c r="P21" s="97"/>
      <c r="Q21" s="121"/>
      <c r="R21" s="121"/>
    </row>
    <row r="22" spans="1:31" x14ac:dyDescent="0.25">
      <c r="A22" s="131"/>
      <c r="B22" s="129">
        <f t="shared" si="0"/>
        <v>0</v>
      </c>
      <c r="C22" s="136"/>
      <c r="D22" s="136"/>
      <c r="E22" s="117"/>
      <c r="F22" s="136"/>
      <c r="G22" s="117"/>
      <c r="H22" s="136"/>
      <c r="I22" s="140"/>
      <c r="J22" s="140"/>
      <c r="K22" s="120"/>
      <c r="L22" s="120"/>
      <c r="M22" s="118"/>
      <c r="N22" s="141"/>
      <c r="O22" s="142"/>
      <c r="P22" s="97"/>
      <c r="Q22" s="121"/>
      <c r="R22" s="121"/>
    </row>
    <row r="23" spans="1:31" x14ac:dyDescent="0.25">
      <c r="A23" s="131"/>
      <c r="B23" s="129">
        <f t="shared" si="0"/>
        <v>0</v>
      </c>
      <c r="C23" s="136"/>
      <c r="D23" s="136"/>
      <c r="E23" s="117"/>
      <c r="F23" s="136"/>
      <c r="G23" s="117"/>
      <c r="H23" s="136"/>
      <c r="I23" s="140"/>
      <c r="J23" s="140"/>
      <c r="K23" s="120"/>
      <c r="L23" s="120"/>
      <c r="M23" s="118"/>
      <c r="N23" s="141"/>
      <c r="O23" s="142"/>
      <c r="P23" s="97"/>
      <c r="Q23" s="121"/>
      <c r="R23" s="121"/>
    </row>
    <row r="24" spans="1:31" x14ac:dyDescent="0.25">
      <c r="A24" s="131"/>
      <c r="B24" s="129">
        <f t="shared" si="0"/>
        <v>0</v>
      </c>
      <c r="C24" s="136"/>
      <c r="D24" s="136"/>
      <c r="E24" s="117"/>
      <c r="F24" s="138"/>
      <c r="G24" s="117"/>
      <c r="H24" s="136"/>
      <c r="I24" s="140"/>
      <c r="J24" s="140"/>
      <c r="K24" s="120"/>
      <c r="L24" s="120"/>
      <c r="M24" s="118"/>
      <c r="N24" s="141"/>
      <c r="O24" s="142"/>
      <c r="P24" s="97"/>
      <c r="Q24" s="121"/>
      <c r="R24" s="121"/>
    </row>
    <row r="25" spans="1:31" x14ac:dyDescent="0.25">
      <c r="A25" s="131"/>
      <c r="B25" s="129">
        <f t="shared" si="0"/>
        <v>0</v>
      </c>
      <c r="C25" s="136"/>
      <c r="D25" s="136"/>
      <c r="E25" s="117"/>
      <c r="F25" s="138"/>
      <c r="G25" s="117"/>
      <c r="H25" s="136"/>
      <c r="I25" s="140"/>
      <c r="J25" s="140"/>
      <c r="K25" s="120"/>
      <c r="L25" s="120"/>
      <c r="M25" s="118"/>
      <c r="N25" s="141"/>
      <c r="O25" s="142"/>
      <c r="P25" s="97"/>
      <c r="Q25" s="121"/>
      <c r="R25" s="121"/>
    </row>
    <row r="26" spans="1:31" x14ac:dyDescent="0.25">
      <c r="A26" s="131"/>
      <c r="B26" s="129">
        <f t="shared" si="0"/>
        <v>0</v>
      </c>
      <c r="C26" s="136"/>
      <c r="D26" s="136"/>
      <c r="E26" s="117"/>
      <c r="F26" s="138"/>
      <c r="G26" s="117"/>
      <c r="H26" s="136"/>
      <c r="I26" s="140"/>
      <c r="J26" s="140"/>
      <c r="K26" s="120"/>
      <c r="L26" s="120"/>
      <c r="M26" s="118"/>
      <c r="N26" s="141"/>
      <c r="O26" s="142"/>
      <c r="P26" s="97"/>
      <c r="Q26" s="121"/>
      <c r="R26" s="121"/>
    </row>
    <row r="27" spans="1:31" x14ac:dyDescent="0.25">
      <c r="D27" s="138"/>
    </row>
    <row r="28" spans="1:31" ht="14.3" customHeight="1" x14ac:dyDescent="0.25">
      <c r="C28" s="137">
        <f>+SUM(C2:C26)</f>
        <v>200751</v>
      </c>
      <c r="D28" s="137">
        <f t="shared" ref="D28:R28" si="14">+SUM(D2:D26)</f>
        <v>201130</v>
      </c>
      <c r="E28" s="132">
        <f t="shared" si="14"/>
        <v>379</v>
      </c>
      <c r="F28" s="137">
        <f t="shared" si="14"/>
        <v>880</v>
      </c>
      <c r="G28" s="132">
        <f>+SUM(G2:G26)</f>
        <v>30320</v>
      </c>
      <c r="H28" s="137">
        <f>+SUM(H2:H26)</f>
        <v>53210</v>
      </c>
      <c r="I28" s="137">
        <f t="shared" si="14"/>
        <v>1056</v>
      </c>
      <c r="J28" s="137">
        <f t="shared" si="14"/>
        <v>6600000</v>
      </c>
      <c r="K28" s="132">
        <f t="shared" si="14"/>
        <v>5108160</v>
      </c>
      <c r="L28" s="132">
        <f t="shared" si="14"/>
        <v>11708160</v>
      </c>
      <c r="M28" s="132">
        <f t="shared" si="14"/>
        <v>2435.3512493879098</v>
      </c>
      <c r="N28" s="137">
        <f t="shared" si="14"/>
        <v>2937</v>
      </c>
      <c r="O28" s="137">
        <f t="shared" si="14"/>
        <v>37.399999999999991</v>
      </c>
      <c r="P28" s="132">
        <f t="shared" si="14"/>
        <v>26.004933238579852</v>
      </c>
      <c r="Q28" s="132">
        <f t="shared" si="14"/>
        <v>5705.5501242283208</v>
      </c>
      <c r="R28" s="132">
        <f t="shared" si="14"/>
        <v>7986</v>
      </c>
      <c r="T28" s="161" t="s">
        <v>81</v>
      </c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</row>
    <row r="29" spans="1:31" ht="42.8" x14ac:dyDescent="0.25">
      <c r="T29" s="92" t="s">
        <v>82</v>
      </c>
      <c r="U29" s="92" t="s">
        <v>176</v>
      </c>
      <c r="V29" s="92" t="s">
        <v>83</v>
      </c>
      <c r="W29" s="92" t="s">
        <v>177</v>
      </c>
      <c r="X29" s="92" t="s">
        <v>84</v>
      </c>
      <c r="Y29" s="92" t="s">
        <v>85</v>
      </c>
      <c r="Z29" s="92" t="s">
        <v>86</v>
      </c>
      <c r="AA29" s="92" t="s">
        <v>87</v>
      </c>
      <c r="AB29" s="92" t="s">
        <v>88</v>
      </c>
      <c r="AC29" s="92" t="s">
        <v>89</v>
      </c>
      <c r="AD29" s="92" t="s">
        <v>175</v>
      </c>
      <c r="AE29" s="92" t="s">
        <v>178</v>
      </c>
    </row>
    <row r="30" spans="1:31" x14ac:dyDescent="0.25">
      <c r="T30" s="93">
        <f>+G28</f>
        <v>30320</v>
      </c>
      <c r="U30" s="143">
        <v>31422</v>
      </c>
      <c r="V30" s="93">
        <f>+H28</f>
        <v>53210</v>
      </c>
      <c r="W30" s="143">
        <v>106833</v>
      </c>
      <c r="X30" s="94">
        <f>+K28</f>
        <v>5108160</v>
      </c>
      <c r="Y30" s="94">
        <f>+J28</f>
        <v>6600000</v>
      </c>
      <c r="Z30" s="94">
        <f>+X30+Y30</f>
        <v>11708160</v>
      </c>
      <c r="AA30" s="94">
        <f>+Z30/V30</f>
        <v>220.03683518135688</v>
      </c>
      <c r="AB30" s="94">
        <f>+Z30/T30</f>
        <v>386.15303430079155</v>
      </c>
      <c r="AC30" s="95">
        <f>+V30/T30</f>
        <v>1.7549472295514512</v>
      </c>
      <c r="AD30" s="144">
        <v>726</v>
      </c>
      <c r="AE30" s="145">
        <f>+W30/U30</f>
        <v>3.3999427152950163</v>
      </c>
    </row>
  </sheetData>
  <mergeCells count="1">
    <mergeCell ref="T28:AE28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50208-35C0-4A9A-B0CA-839A94161F7C}">
  <dimension ref="A5:M99"/>
  <sheetViews>
    <sheetView topLeftCell="B85" zoomScale="115" zoomScaleNormal="115" workbookViewId="0">
      <selection activeCell="D96" sqref="D96:M96"/>
    </sheetView>
  </sheetViews>
  <sheetFormatPr baseColWidth="10" defaultRowHeight="14.3" x14ac:dyDescent="0.25"/>
  <cols>
    <col min="5" max="5" width="16.75" customWidth="1"/>
    <col min="6" max="6" width="15.625" customWidth="1"/>
    <col min="7" max="7" width="24" customWidth="1"/>
    <col min="8" max="8" width="14.875" customWidth="1"/>
    <col min="9" max="9" width="28.875" customWidth="1"/>
    <col min="10" max="10" width="16.375" customWidth="1"/>
    <col min="11" max="11" width="17.625" customWidth="1"/>
    <col min="12" max="12" width="20.625" customWidth="1"/>
    <col min="13" max="13" width="17.375" customWidth="1"/>
  </cols>
  <sheetData>
    <row r="5" spans="1:1" x14ac:dyDescent="0.25">
      <c r="A5" t="s">
        <v>123</v>
      </c>
    </row>
    <row r="12" spans="1:1" x14ac:dyDescent="0.25">
      <c r="A12" t="s">
        <v>124</v>
      </c>
    </row>
    <row r="19" spans="1:1" x14ac:dyDescent="0.25">
      <c r="A19" t="s">
        <v>125</v>
      </c>
    </row>
    <row r="25" spans="1:1" x14ac:dyDescent="0.25">
      <c r="A25" t="s">
        <v>126</v>
      </c>
    </row>
    <row r="32" spans="1:1" x14ac:dyDescent="0.25">
      <c r="A32" t="s">
        <v>127</v>
      </c>
    </row>
    <row r="38" spans="1:1" x14ac:dyDescent="0.25">
      <c r="A38" t="s">
        <v>128</v>
      </c>
    </row>
    <row r="46" spans="1:1" x14ac:dyDescent="0.25">
      <c r="A46" t="s">
        <v>129</v>
      </c>
    </row>
    <row r="52" spans="1:1" x14ac:dyDescent="0.25">
      <c r="A52" t="s">
        <v>130</v>
      </c>
    </row>
    <row r="60" spans="1:1" x14ac:dyDescent="0.25">
      <c r="A60" t="s">
        <v>131</v>
      </c>
    </row>
    <row r="67" spans="1:12" x14ac:dyDescent="0.25">
      <c r="A67" t="s">
        <v>132</v>
      </c>
    </row>
    <row r="74" spans="1:12" x14ac:dyDescent="0.25">
      <c r="A74" t="s">
        <v>133</v>
      </c>
    </row>
    <row r="78" spans="1:12" x14ac:dyDescent="0.25">
      <c r="D78" t="s">
        <v>39</v>
      </c>
      <c r="E78" t="s">
        <v>138</v>
      </c>
      <c r="F78" t="s">
        <v>97</v>
      </c>
      <c r="J78" t="s">
        <v>136</v>
      </c>
      <c r="K78" t="s">
        <v>137</v>
      </c>
      <c r="L78" t="s">
        <v>139</v>
      </c>
    </row>
    <row r="79" spans="1:12" x14ac:dyDescent="0.25">
      <c r="D79" t="s">
        <v>79</v>
      </c>
      <c r="E79">
        <v>45730</v>
      </c>
      <c r="F79">
        <v>101860</v>
      </c>
      <c r="G79">
        <v>9010560</v>
      </c>
      <c r="H79">
        <v>17250000</v>
      </c>
      <c r="I79">
        <f>+H79+G79</f>
        <v>26260560</v>
      </c>
      <c r="J79" s="133">
        <f>+I79/F79</f>
        <v>257.81032790104064</v>
      </c>
      <c r="K79" s="133">
        <f>+F79/E79</f>
        <v>2.2274218237480867</v>
      </c>
      <c r="L79" s="58">
        <f>+I79/E79</f>
        <v>574.25235075442822</v>
      </c>
    </row>
    <row r="80" spans="1:12" x14ac:dyDescent="0.25">
      <c r="D80" t="s">
        <v>80</v>
      </c>
      <c r="E80">
        <v>48225</v>
      </c>
      <c r="F80">
        <v>81070</v>
      </c>
      <c r="G80">
        <v>7782720</v>
      </c>
      <c r="H80">
        <v>16500000</v>
      </c>
      <c r="I80">
        <f t="shared" ref="I80:I90" si="0">+H80+G80</f>
        <v>24282720</v>
      </c>
      <c r="J80" s="133">
        <f t="shared" ref="J80:J90" si="1">+I80/F80</f>
        <v>299.527815468114</v>
      </c>
      <c r="K80" s="133">
        <f t="shared" ref="K80:K90" si="2">+F80/E80</f>
        <v>1.681078278900985</v>
      </c>
      <c r="L80" s="58">
        <f t="shared" ref="L80:L90" si="3">+I80/E80</f>
        <v>503.52970451010884</v>
      </c>
    </row>
    <row r="81" spans="4:13" x14ac:dyDescent="0.25">
      <c r="D81" t="s">
        <v>90</v>
      </c>
      <c r="E81">
        <v>55448</v>
      </c>
      <c r="F81">
        <v>123280</v>
      </c>
      <c r="G81">
        <v>11834880</v>
      </c>
      <c r="H81">
        <v>19500000</v>
      </c>
      <c r="I81">
        <f t="shared" si="0"/>
        <v>31334880</v>
      </c>
      <c r="J81" s="133">
        <f t="shared" si="1"/>
        <v>254.17650876054509</v>
      </c>
      <c r="K81" s="133">
        <f t="shared" si="2"/>
        <v>2.2233443947482328</v>
      </c>
      <c r="L81" s="58">
        <f t="shared" si="3"/>
        <v>565.12191602943301</v>
      </c>
    </row>
    <row r="82" spans="4:13" x14ac:dyDescent="0.25">
      <c r="D82" t="s">
        <v>92</v>
      </c>
      <c r="E82">
        <v>47833</v>
      </c>
      <c r="F82">
        <v>123410</v>
      </c>
      <c r="G82">
        <v>12893568</v>
      </c>
      <c r="H82">
        <v>20370000</v>
      </c>
      <c r="I82">
        <f t="shared" si="0"/>
        <v>33263568</v>
      </c>
      <c r="J82" s="133">
        <f t="shared" si="1"/>
        <v>269.53705534397534</v>
      </c>
      <c r="K82" s="133">
        <f t="shared" si="2"/>
        <v>2.5800179792193676</v>
      </c>
      <c r="L82" s="58">
        <f t="shared" si="3"/>
        <v>695.41044885330211</v>
      </c>
    </row>
    <row r="83" spans="4:13" x14ac:dyDescent="0.25">
      <c r="D83" t="s">
        <v>93</v>
      </c>
      <c r="E83">
        <v>54852</v>
      </c>
      <c r="F83">
        <v>153400</v>
      </c>
      <c r="G83">
        <v>14726400</v>
      </c>
      <c r="H83">
        <v>23250000</v>
      </c>
      <c r="I83">
        <f t="shared" si="0"/>
        <v>37976400</v>
      </c>
      <c r="J83" s="133">
        <f t="shared" si="1"/>
        <v>247.56453715775748</v>
      </c>
      <c r="K83" s="133">
        <f t="shared" si="2"/>
        <v>2.7966163494494274</v>
      </c>
      <c r="L83" s="58">
        <f t="shared" si="3"/>
        <v>692.34303215926491</v>
      </c>
    </row>
    <row r="84" spans="4:13" x14ac:dyDescent="0.25">
      <c r="D84" t="s">
        <v>94</v>
      </c>
      <c r="E84">
        <v>45612</v>
      </c>
      <c r="F84">
        <v>139760</v>
      </c>
      <c r="G84">
        <v>13416960</v>
      </c>
      <c r="H84">
        <v>23250000</v>
      </c>
      <c r="I84">
        <f t="shared" si="0"/>
        <v>36666960</v>
      </c>
      <c r="J84" s="133">
        <f t="shared" si="1"/>
        <v>262.35661133371497</v>
      </c>
      <c r="K84" s="133">
        <f t="shared" si="2"/>
        <v>3.0641059370341139</v>
      </c>
      <c r="L84" s="58">
        <f t="shared" si="3"/>
        <v>803.88845040778745</v>
      </c>
    </row>
    <row r="85" spans="4:13" x14ac:dyDescent="0.25">
      <c r="D85" t="s">
        <v>114</v>
      </c>
      <c r="E85">
        <v>54264</v>
      </c>
      <c r="F85">
        <v>146650</v>
      </c>
      <c r="G85">
        <v>14078400</v>
      </c>
      <c r="H85">
        <v>24000004</v>
      </c>
      <c r="I85">
        <f t="shared" si="0"/>
        <v>38078404</v>
      </c>
      <c r="J85" s="133">
        <f t="shared" si="1"/>
        <v>259.65498806682575</v>
      </c>
      <c r="K85" s="133">
        <f t="shared" si="2"/>
        <v>2.702528379772962</v>
      </c>
      <c r="L85" s="58">
        <f t="shared" si="3"/>
        <v>701.72497420020636</v>
      </c>
    </row>
    <row r="86" spans="4:13" x14ac:dyDescent="0.25">
      <c r="D86" t="s">
        <v>120</v>
      </c>
      <c r="E86">
        <v>44604</v>
      </c>
      <c r="F86">
        <v>118720</v>
      </c>
      <c r="G86">
        <v>11397120</v>
      </c>
      <c r="H86">
        <v>18750001</v>
      </c>
      <c r="I86">
        <f t="shared" si="0"/>
        <v>30147121</v>
      </c>
      <c r="J86" s="133">
        <f t="shared" si="1"/>
        <v>253.93464454177897</v>
      </c>
      <c r="K86" s="133">
        <f t="shared" si="2"/>
        <v>2.6616446955430004</v>
      </c>
      <c r="L86" s="58">
        <f t="shared" si="3"/>
        <v>675.88379965922343</v>
      </c>
    </row>
    <row r="87" spans="4:13" x14ac:dyDescent="0.25">
      <c r="D87" t="s">
        <v>121</v>
      </c>
      <c r="E87">
        <v>35926</v>
      </c>
      <c r="F87">
        <v>115670</v>
      </c>
      <c r="G87">
        <v>11104320</v>
      </c>
      <c r="H87">
        <v>18750001</v>
      </c>
      <c r="I87">
        <f t="shared" si="0"/>
        <v>29854321</v>
      </c>
      <c r="J87" s="133">
        <f t="shared" si="1"/>
        <v>258.09908359989623</v>
      </c>
      <c r="K87" s="133">
        <f t="shared" si="2"/>
        <v>3.2196737738685073</v>
      </c>
      <c r="L87" s="58">
        <f t="shared" si="3"/>
        <v>830.99485052608134</v>
      </c>
    </row>
    <row r="88" spans="4:13" x14ac:dyDescent="0.25">
      <c r="D88" t="s">
        <v>122</v>
      </c>
      <c r="E88">
        <v>37140</v>
      </c>
      <c r="F88">
        <v>142490</v>
      </c>
      <c r="G88">
        <v>13679040</v>
      </c>
      <c r="H88">
        <v>16800000</v>
      </c>
      <c r="I88">
        <f t="shared" si="0"/>
        <v>30479040</v>
      </c>
      <c r="J88" s="133">
        <f t="shared" si="1"/>
        <v>213.90301073759562</v>
      </c>
      <c r="K88" s="133">
        <f t="shared" si="2"/>
        <v>3.8365643511039309</v>
      </c>
      <c r="L88" s="58">
        <f t="shared" si="3"/>
        <v>820.65266558966073</v>
      </c>
    </row>
    <row r="89" spans="4:13" x14ac:dyDescent="0.25">
      <c r="D89" t="s">
        <v>134</v>
      </c>
      <c r="E89">
        <v>33254</v>
      </c>
      <c r="F89">
        <v>138007</v>
      </c>
      <c r="G89">
        <v>13248672</v>
      </c>
      <c r="H89">
        <v>16800000</v>
      </c>
      <c r="I89">
        <f t="shared" si="0"/>
        <v>30048672</v>
      </c>
      <c r="J89" s="133">
        <f t="shared" si="1"/>
        <v>217.73295557471724</v>
      </c>
      <c r="K89" s="133">
        <f t="shared" si="2"/>
        <v>4.1500872075539785</v>
      </c>
      <c r="L89" s="58">
        <f t="shared" si="3"/>
        <v>903.61075359355266</v>
      </c>
    </row>
    <row r="90" spans="4:13" x14ac:dyDescent="0.25">
      <c r="D90" t="s">
        <v>78</v>
      </c>
      <c r="E90">
        <v>32935</v>
      </c>
      <c r="F90">
        <v>161306</v>
      </c>
      <c r="G90">
        <v>15485376</v>
      </c>
      <c r="H90">
        <v>19200000</v>
      </c>
      <c r="I90">
        <f t="shared" si="0"/>
        <v>34685376</v>
      </c>
      <c r="J90" s="133">
        <f t="shared" si="1"/>
        <v>215.02843043656156</v>
      </c>
      <c r="K90" s="133">
        <f t="shared" si="2"/>
        <v>4.8977076058903899</v>
      </c>
      <c r="L90" s="58">
        <f t="shared" si="3"/>
        <v>1053.1463792318202</v>
      </c>
    </row>
    <row r="91" spans="4:13" x14ac:dyDescent="0.25">
      <c r="E91" s="130">
        <f>+SUM(E79:E90)</f>
        <v>535823</v>
      </c>
      <c r="F91" s="130">
        <f t="shared" ref="F91:H91" si="4">+SUM(F79:F90)</f>
        <v>1545623</v>
      </c>
      <c r="G91" s="130">
        <f t="shared" si="4"/>
        <v>148658016</v>
      </c>
      <c r="H91" s="130">
        <f t="shared" si="4"/>
        <v>234420006</v>
      </c>
    </row>
    <row r="96" spans="4:13" ht="14.3" customHeight="1" x14ac:dyDescent="0.25">
      <c r="D96" s="161" t="s">
        <v>81</v>
      </c>
      <c r="E96" s="161"/>
      <c r="F96" s="161"/>
      <c r="G96" s="161"/>
      <c r="H96" s="161"/>
      <c r="I96" s="161"/>
      <c r="J96" s="161"/>
      <c r="K96" s="161"/>
      <c r="L96" s="161"/>
      <c r="M96" s="161"/>
    </row>
    <row r="97" spans="4:13" ht="28.55" x14ac:dyDescent="0.25">
      <c r="D97" s="92" t="s">
        <v>135</v>
      </c>
      <c r="E97" s="92" t="s">
        <v>82</v>
      </c>
      <c r="F97" s="92" t="s">
        <v>83</v>
      </c>
      <c r="G97" s="92" t="s">
        <v>84</v>
      </c>
      <c r="H97" s="92" t="s">
        <v>85</v>
      </c>
      <c r="I97" s="92" t="s">
        <v>86</v>
      </c>
      <c r="J97" s="92" t="s">
        <v>87</v>
      </c>
      <c r="K97" s="92" t="s">
        <v>88</v>
      </c>
      <c r="L97" s="92" t="s">
        <v>89</v>
      </c>
      <c r="M97" s="92" t="s">
        <v>91</v>
      </c>
    </row>
    <row r="98" spans="4:13" x14ac:dyDescent="0.25">
      <c r="D98" s="96">
        <v>2025</v>
      </c>
      <c r="E98" s="93">
        <f>+E91</f>
        <v>535823</v>
      </c>
      <c r="F98" s="93">
        <f>+F91</f>
        <v>1545623</v>
      </c>
      <c r="G98" s="94">
        <f>+G91</f>
        <v>148658016</v>
      </c>
      <c r="H98" s="94">
        <f>+H91</f>
        <v>234420006</v>
      </c>
      <c r="I98" s="94">
        <f>+G98+H98</f>
        <v>383078022</v>
      </c>
      <c r="J98" s="94">
        <f>+I98/F98</f>
        <v>247.84699891241266</v>
      </c>
      <c r="K98" s="94">
        <f>+I98/E98</f>
        <v>714.93389048249139</v>
      </c>
      <c r="L98" s="95">
        <f>+F98/E98</f>
        <v>2.8845775563945555</v>
      </c>
      <c r="M98" s="98">
        <f>+I98/E98</f>
        <v>714.93389048249139</v>
      </c>
    </row>
    <row r="99" spans="4:13" x14ac:dyDescent="0.25">
      <c r="D99" s="96">
        <v>2024</v>
      </c>
      <c r="E99" s="93">
        <v>477323</v>
      </c>
      <c r="F99" s="93">
        <v>1130937</v>
      </c>
      <c r="G99" s="94">
        <v>106125619</v>
      </c>
      <c r="H99" s="94">
        <v>185800000</v>
      </c>
      <c r="I99" s="94">
        <v>291925619.19999999</v>
      </c>
      <c r="J99" s="94">
        <v>258.12717027965834</v>
      </c>
      <c r="K99" s="94">
        <v>611.58682342827285</v>
      </c>
      <c r="L99" s="95">
        <v>2.369323704922933</v>
      </c>
      <c r="M99" s="98">
        <f>+K99</f>
        <v>611.58682342827285</v>
      </c>
    </row>
  </sheetData>
  <mergeCells count="1">
    <mergeCell ref="D96:M96"/>
  </mergeCells>
  <phoneticPr fontId="4" type="noConversion"/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2A739-A459-48B0-AF46-580529012CF6}">
  <dimension ref="A1"/>
  <sheetViews>
    <sheetView topLeftCell="B13" workbookViewId="0">
      <selection activeCell="M30" sqref="M30"/>
    </sheetView>
  </sheetViews>
  <sheetFormatPr baseColWidth="10" defaultRowHeight="14.3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CODIGO (2)</vt:lpstr>
      <vt:lpstr>Balance Agua Trata Vs Lodo Gene</vt:lpstr>
      <vt:lpstr>Costo Disposición Lodos - PTAR</vt:lpstr>
      <vt:lpstr>Disposición Lodos Díario- PTAR</vt:lpstr>
      <vt:lpstr>consolidado diario</vt:lpstr>
      <vt:lpstr>consolidado diario (2)</vt:lpstr>
      <vt:lpstr>consolidado diario (5)</vt:lpstr>
      <vt:lpstr>consolidado diario (3)</vt:lpstr>
      <vt:lpstr>ENERO</vt:lpstr>
      <vt:lpstr>FEBRERO</vt:lpstr>
      <vt:lpstr>MARZO</vt:lpstr>
      <vt:lpstr>ABRIL</vt:lpstr>
      <vt:lpstr>MAYO</vt:lpstr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Nicolas Rodriguez</dc:creator>
  <cp:lastModifiedBy>Andrea Milena Landinez Ramirez</cp:lastModifiedBy>
  <dcterms:created xsi:type="dcterms:W3CDTF">2020-01-27T18:35:55Z</dcterms:created>
  <dcterms:modified xsi:type="dcterms:W3CDTF">2026-06-03T15:27:26Z</dcterms:modified>
</cp:coreProperties>
</file>