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2026\BALANCES 2026\BALANCE ECONÓMICO\Química GEM RO\"/>
    </mc:Choice>
  </mc:AlternateContent>
  <xr:revisionPtr revIDLastSave="0" documentId="13_ncr:1_{32C8AFC6-F0D8-41B1-9430-46A09C1F2230}" xr6:coauthVersionLast="47" xr6:coauthVersionMax="47" xr10:uidLastSave="{00000000-0000-0000-0000-000000000000}"/>
  <bookViews>
    <workbookView xWindow="-109" yWindow="-109" windowWidth="21954" windowHeight="11724" tabRatio="766" firstSheet="1" activeTab="1" xr2:uid="{E6F4B368-D079-49CA-BD04-88FCAF32A55F}"/>
  </bookViews>
  <sheets>
    <sheet name="INVENTARIO Y CONSUMO GEM  " sheetId="13" r:id="rId1"/>
    <sheet name="DB QUIMICA" sheetId="14" r:id="rId2"/>
    <sheet name="CONSUMO QUÍMICA-CAUDALES GEM  " sheetId="16" r:id="rId3"/>
    <sheet name="INVENTARIO INSUMOS QUÍMICOS GEM" sheetId="6" r:id="rId4"/>
    <sheet name="REGISTRO RO" sheetId="20" r:id="rId5"/>
    <sheet name="CONSUMO QUÍMICA - CAUDALES RO" sheetId="24" r:id="rId6"/>
    <sheet name="INVENTARIO INSUMOS QUÍMICOS RO" sheetId="9" r:id="rId7"/>
    <sheet name="Consumos" sheetId="25" r:id="rId8"/>
  </sheets>
  <definedNames>
    <definedName name="SegmentaciónDeDatos_FECHA">#N/A</definedName>
    <definedName name="SegmentaciónDeDatos_FECHA1">#N/A</definedName>
    <definedName name="SegmentaciónDeDatos_FECHA2">#N/A</definedName>
  </definedNames>
  <calcPr calcId="191029"/>
  <pivotCaches>
    <pivotCache cacheId="8" r:id="rId9"/>
    <pivotCache cacheId="13" r:id="rId10"/>
  </pivotCaches>
  <extLs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" i="14" l="1"/>
  <c r="AY96" i="20"/>
  <c r="U73" i="20"/>
  <c r="U58" i="20"/>
  <c r="V57" i="20"/>
  <c r="U47" i="20"/>
  <c r="V46" i="20"/>
  <c r="U2" i="20"/>
  <c r="U3" i="20"/>
  <c r="U4" i="20"/>
  <c r="U5" i="20"/>
  <c r="U6" i="20"/>
  <c r="U7" i="20"/>
  <c r="U8" i="20"/>
  <c r="U9" i="20"/>
  <c r="U10" i="20"/>
  <c r="U11" i="20"/>
  <c r="U12" i="20"/>
  <c r="U13" i="20"/>
  <c r="U14" i="20"/>
  <c r="U15" i="20"/>
  <c r="U16" i="20"/>
  <c r="U17" i="20"/>
  <c r="U18" i="20"/>
  <c r="U19" i="20"/>
  <c r="U20" i="20"/>
  <c r="U21" i="20"/>
  <c r="U22" i="20"/>
  <c r="U23" i="20"/>
  <c r="U24" i="20"/>
  <c r="U25" i="20"/>
  <c r="U26" i="20"/>
  <c r="U27" i="20"/>
  <c r="U28" i="20"/>
  <c r="U29" i="20"/>
  <c r="U30" i="20"/>
  <c r="U31" i="20"/>
  <c r="U32" i="20"/>
  <c r="U33" i="20"/>
  <c r="U34" i="20"/>
  <c r="U35" i="20"/>
  <c r="U36" i="20"/>
  <c r="U37" i="20"/>
  <c r="U38" i="20"/>
  <c r="U39" i="20"/>
  <c r="U40" i="20"/>
  <c r="U41" i="20"/>
  <c r="U42" i="20"/>
  <c r="U43" i="20"/>
  <c r="U44" i="20"/>
  <c r="U45" i="20"/>
  <c r="U46" i="20"/>
  <c r="U48" i="20"/>
  <c r="U49" i="20"/>
  <c r="U50" i="20"/>
  <c r="U51" i="20"/>
  <c r="U52" i="20"/>
  <c r="U53" i="20"/>
  <c r="U54" i="20"/>
  <c r="U55" i="20"/>
  <c r="U56" i="20"/>
  <c r="U57" i="20"/>
  <c r="U61" i="20"/>
  <c r="U62" i="20"/>
  <c r="U63" i="20"/>
  <c r="U64" i="20"/>
  <c r="U65" i="20"/>
  <c r="U66" i="20"/>
  <c r="U67" i="20"/>
  <c r="U68" i="20"/>
  <c r="U69" i="20"/>
  <c r="U70" i="20"/>
  <c r="U71" i="20"/>
  <c r="U72" i="20"/>
  <c r="U74" i="20"/>
  <c r="U75" i="20"/>
  <c r="U76" i="20"/>
  <c r="U77" i="20"/>
  <c r="U78" i="20"/>
  <c r="U79" i="20"/>
  <c r="U80" i="20"/>
  <c r="U81" i="20"/>
  <c r="U82" i="20"/>
  <c r="U83" i="20"/>
  <c r="U84" i="20"/>
  <c r="U85" i="20"/>
  <c r="U86" i="20"/>
  <c r="U87" i="20"/>
  <c r="U88" i="20"/>
  <c r="U89" i="20"/>
  <c r="U90" i="20"/>
  <c r="U91" i="20"/>
  <c r="V29" i="20"/>
  <c r="V2" i="20"/>
  <c r="V3" i="20"/>
  <c r="V4" i="20"/>
  <c r="V5" i="20"/>
  <c r="V6" i="20"/>
  <c r="V7" i="20"/>
  <c r="V8" i="20"/>
  <c r="V9" i="20"/>
  <c r="V10" i="20"/>
  <c r="V11" i="20"/>
  <c r="V12" i="20"/>
  <c r="V13" i="20"/>
  <c r="V14" i="20"/>
  <c r="V15" i="20"/>
  <c r="V16" i="20"/>
  <c r="V17" i="20"/>
  <c r="V18" i="20"/>
  <c r="V19" i="20"/>
  <c r="V20" i="20"/>
  <c r="V21" i="20"/>
  <c r="V22" i="20"/>
  <c r="V23" i="20"/>
  <c r="V24" i="20"/>
  <c r="V25" i="20"/>
  <c r="V26" i="20"/>
  <c r="V27" i="20"/>
  <c r="V28" i="20"/>
  <c r="V30" i="20"/>
  <c r="V31" i="20"/>
  <c r="V32" i="20"/>
  <c r="V33" i="20"/>
  <c r="V34" i="20"/>
  <c r="V35" i="20"/>
  <c r="V36" i="20"/>
  <c r="V37" i="20"/>
  <c r="V38" i="20"/>
  <c r="V39" i="20"/>
  <c r="V40" i="20"/>
  <c r="V41" i="20"/>
  <c r="V42" i="20"/>
  <c r="V43" i="20"/>
  <c r="V44" i="20"/>
  <c r="V45" i="20"/>
  <c r="V49" i="20"/>
  <c r="V50" i="20"/>
  <c r="V51" i="20"/>
  <c r="V52" i="20"/>
  <c r="V53" i="20"/>
  <c r="V54" i="20"/>
  <c r="V55" i="20"/>
  <c r="V56" i="20"/>
  <c r="V58" i="20"/>
  <c r="V59" i="20"/>
  <c r="V60" i="20"/>
  <c r="V61" i="20"/>
  <c r="V62" i="20"/>
  <c r="V63" i="20"/>
  <c r="V64" i="20"/>
  <c r="V65" i="20"/>
  <c r="V66" i="20"/>
  <c r="V67" i="20"/>
  <c r="V68" i="20"/>
  <c r="V69" i="20"/>
  <c r="V70" i="20"/>
  <c r="V71" i="20"/>
  <c r="V72" i="20"/>
  <c r="V73" i="20"/>
  <c r="V74" i="20"/>
  <c r="V75" i="20"/>
  <c r="V76" i="20"/>
  <c r="V77" i="20"/>
  <c r="V78" i="20"/>
  <c r="V79" i="20"/>
  <c r="V80" i="20"/>
  <c r="V81" i="20"/>
  <c r="V82" i="20"/>
  <c r="V83" i="20"/>
  <c r="V84" i="20"/>
  <c r="V85" i="20"/>
  <c r="V86" i="20"/>
  <c r="V87" i="20"/>
  <c r="V88" i="20"/>
  <c r="V89" i="20"/>
  <c r="V90" i="20"/>
  <c r="V91" i="20"/>
  <c r="N57" i="13" l="1"/>
  <c r="N61" i="13"/>
  <c r="N36" i="13"/>
  <c r="N12" i="13"/>
  <c r="O78" i="13"/>
  <c r="J83" i="13"/>
  <c r="J58" i="13"/>
  <c r="J53" i="13"/>
  <c r="R52" i="13" s="1"/>
  <c r="R26" i="13"/>
  <c r="P82" i="13"/>
  <c r="O82" i="13"/>
  <c r="N82" i="13"/>
  <c r="I85" i="13"/>
  <c r="I86" i="13" s="1"/>
  <c r="I84" i="13"/>
  <c r="I82" i="13"/>
  <c r="I83" i="13"/>
  <c r="L67" i="13"/>
  <c r="L68" i="13"/>
  <c r="L69" i="13"/>
  <c r="L70" i="13"/>
  <c r="I81" i="13"/>
  <c r="I79" i="13"/>
  <c r="I80" i="13" s="1"/>
  <c r="I77" i="13"/>
  <c r="I78" i="13" s="1"/>
  <c r="O71" i="13"/>
  <c r="O63" i="13"/>
  <c r="O53" i="13"/>
  <c r="O55" i="13"/>
  <c r="P73" i="13"/>
  <c r="O73" i="13"/>
  <c r="N73" i="13"/>
  <c r="P57" i="13"/>
  <c r="N55" i="13"/>
  <c r="N54" i="13"/>
  <c r="N53" i="13"/>
  <c r="N51" i="13"/>
  <c r="N52" i="13"/>
  <c r="O52" i="13"/>
  <c r="N50" i="13"/>
  <c r="J52" i="13"/>
  <c r="I56" i="13"/>
  <c r="I57" i="13" s="1"/>
  <c r="I58" i="13" s="1"/>
  <c r="I59" i="13" s="1"/>
  <c r="I55" i="13"/>
  <c r="I54" i="13"/>
  <c r="T100" i="13"/>
  <c r="U100" i="13"/>
  <c r="O33" i="13"/>
  <c r="O32" i="13"/>
  <c r="O8" i="13"/>
  <c r="O20" i="13"/>
  <c r="O50" i="13"/>
  <c r="O51" i="13"/>
  <c r="O47" i="13"/>
  <c r="O41" i="13"/>
  <c r="O43" i="13"/>
  <c r="Q49" i="13"/>
  <c r="P49" i="13"/>
  <c r="O49" i="13"/>
  <c r="N49" i="13"/>
  <c r="Q46" i="13"/>
  <c r="P46" i="13"/>
  <c r="O46" i="13"/>
  <c r="N46" i="13"/>
  <c r="I87" i="13" l="1"/>
  <c r="J54" i="13"/>
  <c r="J55" i="13" s="1"/>
  <c r="J56" i="13" s="1"/>
  <c r="J57" i="13" s="1"/>
  <c r="I60" i="13"/>
  <c r="I61" i="13" s="1"/>
  <c r="H44" i="13"/>
  <c r="G44" i="13"/>
  <c r="F44" i="13"/>
  <c r="O37" i="13"/>
  <c r="O29" i="13"/>
  <c r="O27" i="13"/>
  <c r="O28" i="13"/>
  <c r="N37" i="13"/>
  <c r="I32" i="13"/>
  <c r="I31" i="13"/>
  <c r="R31" i="13"/>
  <c r="P31" i="13"/>
  <c r="O31" i="13"/>
  <c r="N31" i="13"/>
  <c r="P10" i="13"/>
  <c r="N9" i="13"/>
  <c r="P19" i="13"/>
  <c r="P18" i="13"/>
  <c r="H22" i="13"/>
  <c r="O75" i="13"/>
  <c r="P69" i="13"/>
  <c r="O68" i="13"/>
  <c r="N69" i="13"/>
  <c r="P58" i="13"/>
  <c r="O58" i="13"/>
  <c r="N58" i="13"/>
  <c r="O42" i="13"/>
  <c r="R18" i="13"/>
  <c r="R19" i="13"/>
  <c r="O18" i="13"/>
  <c r="N18" i="13"/>
  <c r="O19" i="13"/>
  <c r="N19" i="13"/>
  <c r="P11" i="13"/>
  <c r="O10" i="13"/>
  <c r="P9" i="13"/>
  <c r="O9" i="13"/>
  <c r="N10" i="13"/>
  <c r="R5" i="13"/>
  <c r="O4" i="13"/>
  <c r="O5" i="13"/>
  <c r="J59" i="13" l="1"/>
  <c r="J60" i="13" s="1"/>
  <c r="J61" i="13" s="1"/>
  <c r="R57" i="13"/>
  <c r="J62" i="13"/>
  <c r="J63" i="13" s="1"/>
  <c r="J64" i="13" s="1"/>
  <c r="R53" i="13"/>
  <c r="I62" i="13"/>
  <c r="I63" i="13" s="1"/>
  <c r="I64" i="13" s="1"/>
  <c r="Q31" i="13"/>
  <c r="U9" i="13"/>
  <c r="Q26" i="13"/>
  <c r="P26" i="13"/>
  <c r="N26" i="13"/>
  <c r="O11" i="13"/>
  <c r="I65" i="13" l="1"/>
  <c r="I66" i="13" s="1"/>
  <c r="I67" i="13" s="1"/>
  <c r="I68" i="13" s="1"/>
  <c r="I69" i="13" s="1"/>
  <c r="I70" i="13" s="1"/>
  <c r="J65" i="13"/>
  <c r="J66" i="13" s="1"/>
  <c r="J67" i="13" s="1"/>
  <c r="J68" i="13" s="1"/>
  <c r="J69" i="13" s="1"/>
  <c r="J70" i="13" s="1"/>
  <c r="J71" i="13" s="1"/>
  <c r="J72" i="13" s="1"/>
  <c r="J73" i="13" s="1"/>
  <c r="J74" i="13" s="1"/>
  <c r="J75" i="13" s="1"/>
  <c r="J76" i="13" s="1"/>
  <c r="J77" i="13" s="1"/>
  <c r="J78" i="13" s="1"/>
  <c r="J79" i="13" s="1"/>
  <c r="J80" i="13" s="1"/>
  <c r="J81" i="13" s="1"/>
  <c r="J82" i="13" s="1"/>
  <c r="R20" i="13"/>
  <c r="A6" i="13"/>
  <c r="A7" i="13" s="1"/>
  <c r="A9" i="13"/>
  <c r="A10" i="13"/>
  <c r="A12" i="13"/>
  <c r="A13" i="13" s="1"/>
  <c r="A15" i="13"/>
  <c r="A16" i="13" s="1"/>
  <c r="A18" i="13"/>
  <c r="A19" i="13"/>
  <c r="A21" i="13"/>
  <c r="A22" i="13"/>
  <c r="A24" i="13"/>
  <c r="A25" i="13"/>
  <c r="A27" i="13"/>
  <c r="A28" i="13"/>
  <c r="A30" i="13"/>
  <c r="A31" i="13"/>
  <c r="A33" i="13"/>
  <c r="A34" i="13"/>
  <c r="A36" i="13"/>
  <c r="A37" i="13"/>
  <c r="A39" i="13"/>
  <c r="A40" i="13" s="1"/>
  <c r="A42" i="13"/>
  <c r="A43" i="13"/>
  <c r="A45" i="13"/>
  <c r="A46" i="13"/>
  <c r="A48" i="13"/>
  <c r="A49" i="13"/>
  <c r="A51" i="13"/>
  <c r="A52" i="13"/>
  <c r="A54" i="13"/>
  <c r="A55" i="13"/>
  <c r="A57" i="13"/>
  <c r="A58" i="13"/>
  <c r="A60" i="13"/>
  <c r="A61" i="13"/>
  <c r="A63" i="13"/>
  <c r="A64" i="13"/>
  <c r="A66" i="13"/>
  <c r="A67" i="13"/>
  <c r="A69" i="13"/>
  <c r="A70" i="13" s="1"/>
  <c r="A72" i="13"/>
  <c r="A73" i="13" s="1"/>
  <c r="A75" i="13"/>
  <c r="A76" i="13" s="1"/>
  <c r="A78" i="13"/>
  <c r="A79" i="13"/>
  <c r="A81" i="13"/>
  <c r="A82" i="13"/>
  <c r="A84" i="13"/>
  <c r="A85" i="13" s="1"/>
  <c r="A87" i="13"/>
  <c r="A88" i="13" s="1"/>
  <c r="A90" i="13"/>
  <c r="A91" i="13"/>
  <c r="A93" i="13"/>
  <c r="A94" i="13"/>
  <c r="Q22" i="13"/>
  <c r="R82" i="13" l="1"/>
  <c r="I71" i="13"/>
  <c r="I72" i="13" s="1"/>
  <c r="I73" i="13" s="1"/>
  <c r="I74" i="13" s="1"/>
  <c r="I75" i="13" s="1"/>
  <c r="I76" i="13" s="1"/>
  <c r="Q19" i="13"/>
  <c r="P2" i="13"/>
  <c r="P3" i="13"/>
  <c r="P4" i="13"/>
  <c r="P5" i="13"/>
  <c r="P6" i="13"/>
  <c r="P12" i="13"/>
  <c r="P13" i="13"/>
  <c r="P14" i="13"/>
  <c r="P15" i="13"/>
  <c r="P16" i="13"/>
  <c r="P17" i="13"/>
  <c r="P20" i="13"/>
  <c r="P21" i="13"/>
  <c r="P22" i="13"/>
  <c r="P23" i="13"/>
  <c r="P24" i="13"/>
  <c r="P25" i="13"/>
  <c r="P27" i="13"/>
  <c r="P28" i="13"/>
  <c r="P29" i="13"/>
  <c r="P30" i="13"/>
  <c r="P32" i="13"/>
  <c r="P33" i="13"/>
  <c r="P34" i="13"/>
  <c r="P35" i="13"/>
  <c r="P36" i="13"/>
  <c r="P37" i="13"/>
  <c r="P39" i="13"/>
  <c r="P40" i="13"/>
  <c r="P41" i="13"/>
  <c r="P42" i="13"/>
  <c r="P43" i="13"/>
  <c r="P44" i="13"/>
  <c r="P45" i="13"/>
  <c r="P47" i="13"/>
  <c r="P48" i="13"/>
  <c r="P50" i="13"/>
  <c r="P51" i="13"/>
  <c r="P52" i="13"/>
  <c r="P53" i="13"/>
  <c r="P54" i="13"/>
  <c r="P55" i="13"/>
  <c r="P56" i="13"/>
  <c r="P59" i="13"/>
  <c r="P60" i="13"/>
  <c r="P61" i="13"/>
  <c r="P62" i="13"/>
  <c r="P63" i="13"/>
  <c r="P64" i="13"/>
  <c r="P65" i="13"/>
  <c r="P66" i="13"/>
  <c r="P67" i="13"/>
  <c r="P68" i="13"/>
  <c r="P70" i="13"/>
  <c r="P71" i="13"/>
  <c r="P72" i="13"/>
  <c r="P74" i="13"/>
  <c r="P75" i="13"/>
  <c r="P76" i="13"/>
  <c r="P77" i="13"/>
  <c r="P78" i="13"/>
  <c r="P79" i="13"/>
  <c r="P80" i="13"/>
  <c r="P81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U95" i="13" s="1"/>
  <c r="N2" i="13"/>
  <c r="N3" i="13"/>
  <c r="N4" i="13"/>
  <c r="N5" i="13"/>
  <c r="N6" i="13"/>
  <c r="N11" i="13"/>
  <c r="N13" i="13"/>
  <c r="N14" i="13"/>
  <c r="N15" i="13"/>
  <c r="N16" i="13"/>
  <c r="N17" i="13"/>
  <c r="N20" i="13"/>
  <c r="N21" i="13"/>
  <c r="N22" i="13"/>
  <c r="N23" i="13"/>
  <c r="N24" i="13"/>
  <c r="N25" i="13"/>
  <c r="N27" i="13"/>
  <c r="N28" i="13"/>
  <c r="N29" i="13"/>
  <c r="N30" i="13"/>
  <c r="N32" i="13"/>
  <c r="N33" i="13"/>
  <c r="N34" i="13"/>
  <c r="N35" i="13"/>
  <c r="N38" i="13"/>
  <c r="N39" i="13"/>
  <c r="N40" i="13"/>
  <c r="N41" i="13"/>
  <c r="N42" i="13"/>
  <c r="N43" i="13"/>
  <c r="N44" i="13"/>
  <c r="N45" i="13"/>
  <c r="N47" i="13"/>
  <c r="N48" i="13"/>
  <c r="N56" i="13"/>
  <c r="N59" i="13"/>
  <c r="N60" i="13"/>
  <c r="N62" i="13"/>
  <c r="N63" i="13"/>
  <c r="N64" i="13"/>
  <c r="N65" i="13"/>
  <c r="N66" i="13"/>
  <c r="N67" i="13"/>
  <c r="N68" i="13"/>
  <c r="N70" i="13"/>
  <c r="N71" i="13"/>
  <c r="N72" i="13"/>
  <c r="N74" i="13"/>
  <c r="N75" i="13"/>
  <c r="N76" i="13"/>
  <c r="N77" i="13"/>
  <c r="N78" i="13"/>
  <c r="N79" i="13"/>
  <c r="N80" i="13"/>
  <c r="N81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O2" i="13"/>
  <c r="O3" i="13"/>
  <c r="O6" i="13"/>
  <c r="O12" i="13"/>
  <c r="O13" i="13"/>
  <c r="O14" i="13"/>
  <c r="O15" i="13"/>
  <c r="O16" i="13"/>
  <c r="O17" i="13"/>
  <c r="O21" i="13"/>
  <c r="O22" i="13"/>
  <c r="O23" i="13"/>
  <c r="O24" i="13"/>
  <c r="O25" i="13"/>
  <c r="O26" i="13"/>
  <c r="O30" i="13"/>
  <c r="O34" i="13"/>
  <c r="O35" i="13"/>
  <c r="O36" i="13"/>
  <c r="O38" i="13"/>
  <c r="O39" i="13"/>
  <c r="O40" i="13"/>
  <c r="O44" i="13"/>
  <c r="O45" i="13"/>
  <c r="O48" i="13"/>
  <c r="O54" i="13"/>
  <c r="O56" i="13"/>
  <c r="O57" i="13"/>
  <c r="O59" i="13"/>
  <c r="O60" i="13"/>
  <c r="O61" i="13"/>
  <c r="O62" i="13"/>
  <c r="O64" i="13"/>
  <c r="O65" i="13"/>
  <c r="O66" i="13"/>
  <c r="O67" i="13"/>
  <c r="O69" i="13"/>
  <c r="O70" i="13"/>
  <c r="O72" i="13"/>
  <c r="O74" i="13"/>
  <c r="O76" i="13"/>
  <c r="O77" i="13"/>
  <c r="O79" i="13"/>
  <c r="O80" i="13"/>
  <c r="O81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T95" i="13" s="1"/>
  <c r="R79" i="13"/>
  <c r="Q52" i="13"/>
  <c r="P8" i="13"/>
  <c r="O7" i="13"/>
  <c r="N7" i="13"/>
  <c r="Q94" i="13"/>
  <c r="R94" i="13"/>
  <c r="L94" i="13"/>
  <c r="L2" i="13"/>
  <c r="X2" i="13" s="1"/>
  <c r="L3" i="13"/>
  <c r="X3" i="13" s="1"/>
  <c r="L4" i="13"/>
  <c r="X4" i="13" s="1"/>
  <c r="L5" i="13"/>
  <c r="L6" i="13"/>
  <c r="L7" i="13"/>
  <c r="L8" i="13"/>
  <c r="L9" i="13"/>
  <c r="Z9" i="13" s="1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50" i="13"/>
  <c r="L51" i="13"/>
  <c r="L52" i="13"/>
  <c r="L56" i="13"/>
  <c r="L57" i="13"/>
  <c r="L58" i="13"/>
  <c r="L59" i="13"/>
  <c r="L60" i="13"/>
  <c r="L61" i="13"/>
  <c r="L65" i="13"/>
  <c r="L66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5" i="13"/>
  <c r="S95" i="13"/>
  <c r="Q95" i="13"/>
  <c r="V95" i="13" s="1"/>
  <c r="R95" i="13"/>
  <c r="W95" i="13" s="1"/>
  <c r="B55" i="14"/>
  <c r="J84" i="13" l="1"/>
  <c r="J85" i="13" s="1"/>
  <c r="J86" i="13" s="1"/>
  <c r="J87" i="13" s="1"/>
  <c r="P7" i="13"/>
  <c r="N8" i="13"/>
  <c r="X95" i="13"/>
  <c r="AM95" i="13"/>
  <c r="Y95" i="13"/>
  <c r="AN95" i="13"/>
  <c r="AB95" i="13"/>
  <c r="AQ95" i="13"/>
  <c r="AA95" i="13"/>
  <c r="AP95" i="13"/>
  <c r="AO95" i="13"/>
  <c r="Z95" i="13"/>
  <c r="AR95" i="13" l="1"/>
  <c r="AT95" i="13" s="1"/>
  <c r="Q54" i="13"/>
  <c r="Q80" i="20"/>
  <c r="Q81" i="20"/>
  <c r="Q82" i="20"/>
  <c r="Q83" i="20"/>
  <c r="Q84" i="20"/>
  <c r="Q85" i="20"/>
  <c r="Q86" i="20"/>
  <c r="Q87" i="20"/>
  <c r="Q88" i="20"/>
  <c r="Q89" i="20"/>
  <c r="T21" i="13" l="1"/>
  <c r="Q6" i="13"/>
  <c r="Q8" i="13"/>
  <c r="R6" i="13"/>
  <c r="R7" i="13"/>
  <c r="R15" i="13"/>
  <c r="R16" i="13"/>
  <c r="R17" i="13"/>
  <c r="R21" i="13"/>
  <c r="R22" i="13"/>
  <c r="R23" i="13"/>
  <c r="R24" i="13"/>
  <c r="R25" i="13"/>
  <c r="R29" i="13"/>
  <c r="R30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4" i="13"/>
  <c r="R55" i="13"/>
  <c r="R56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80" i="13"/>
  <c r="R81" i="13"/>
  <c r="R83" i="13"/>
  <c r="R84" i="13"/>
  <c r="R85" i="13"/>
  <c r="R86" i="13"/>
  <c r="R87" i="13"/>
  <c r="R88" i="13"/>
  <c r="R89" i="13"/>
  <c r="R90" i="13"/>
  <c r="R91" i="13"/>
  <c r="R92" i="13"/>
  <c r="R93" i="13"/>
  <c r="R8" i="13"/>
  <c r="Q2" i="13"/>
  <c r="Q3" i="13"/>
  <c r="Q4" i="13"/>
  <c r="Q5" i="13"/>
  <c r="Q7" i="13"/>
  <c r="Q15" i="13"/>
  <c r="Q16" i="13"/>
  <c r="Q17" i="13"/>
  <c r="Q18" i="13"/>
  <c r="Q20" i="13"/>
  <c r="Q21" i="13"/>
  <c r="Q23" i="13"/>
  <c r="Q24" i="13"/>
  <c r="Q25" i="13"/>
  <c r="Q29" i="13"/>
  <c r="Q30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7" i="13"/>
  <c r="Q48" i="13"/>
  <c r="Q50" i="13"/>
  <c r="Q51" i="13"/>
  <c r="Q53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R28" i="13"/>
  <c r="Q27" i="13"/>
  <c r="AO9" i="13" l="1"/>
  <c r="T28" i="13"/>
  <c r="U27" i="13"/>
  <c r="AO27" i="13" s="1"/>
  <c r="U28" i="13"/>
  <c r="AO28" i="13" s="1"/>
  <c r="S9" i="13"/>
  <c r="T9" i="13"/>
  <c r="R27" i="13"/>
  <c r="W27" i="13" s="1"/>
  <c r="AQ27" i="13" s="1"/>
  <c r="R9" i="13"/>
  <c r="W9" i="13" s="1"/>
  <c r="AQ9" i="13" s="1"/>
  <c r="Q28" i="13"/>
  <c r="V28" i="13" s="1"/>
  <c r="Q9" i="13"/>
  <c r="V9" i="13" s="1"/>
  <c r="AP9" i="13" s="1"/>
  <c r="B5" i="13"/>
  <c r="S5" i="13"/>
  <c r="U5" i="13"/>
  <c r="V5" i="13"/>
  <c r="AP5" i="13" s="1"/>
  <c r="W5" i="13"/>
  <c r="T5" i="13"/>
  <c r="Y5" i="13" s="1"/>
  <c r="B7" i="13"/>
  <c r="S6" i="13"/>
  <c r="T6" i="13"/>
  <c r="V6" i="13"/>
  <c r="AP6" i="13" s="1"/>
  <c r="W6" i="13"/>
  <c r="U6" i="13"/>
  <c r="AO6" i="13" s="1"/>
  <c r="S7" i="13"/>
  <c r="T7" i="13"/>
  <c r="V7" i="13"/>
  <c r="AP7" i="13" s="1"/>
  <c r="W7" i="13"/>
  <c r="U7" i="13"/>
  <c r="AO7" i="13" s="1"/>
  <c r="B8" i="13"/>
  <c r="T8" i="13"/>
  <c r="W8" i="13"/>
  <c r="AQ8" i="13" s="1"/>
  <c r="S8" i="13"/>
  <c r="U8" i="13"/>
  <c r="AO8" i="13" s="1"/>
  <c r="V8" i="13"/>
  <c r="AP8" i="13" s="1"/>
  <c r="S10" i="13"/>
  <c r="T10" i="13"/>
  <c r="U10" i="13"/>
  <c r="AO10" i="13" s="1"/>
  <c r="V10" i="13"/>
  <c r="AP10" i="13" s="1"/>
  <c r="W10" i="13"/>
  <c r="AQ10" i="13" s="1"/>
  <c r="B11" i="13"/>
  <c r="S11" i="13"/>
  <c r="X11" i="13" s="1"/>
  <c r="T11" i="13"/>
  <c r="U11" i="13"/>
  <c r="V11" i="13"/>
  <c r="W11" i="13"/>
  <c r="B13" i="13"/>
  <c r="S12" i="13"/>
  <c r="X12" i="13" s="1"/>
  <c r="T12" i="13"/>
  <c r="U12" i="13"/>
  <c r="V12" i="13"/>
  <c r="AP12" i="13" s="1"/>
  <c r="W12" i="13"/>
  <c r="S13" i="13"/>
  <c r="T13" i="13"/>
  <c r="U13" i="13"/>
  <c r="V13" i="13"/>
  <c r="W13" i="13"/>
  <c r="B14" i="13"/>
  <c r="S14" i="13"/>
  <c r="X14" i="13" s="1"/>
  <c r="T14" i="13"/>
  <c r="U14" i="13"/>
  <c r="V14" i="13"/>
  <c r="W14" i="13"/>
  <c r="B16" i="13"/>
  <c r="S15" i="13"/>
  <c r="X15" i="13" s="1"/>
  <c r="T15" i="13"/>
  <c r="Y15" i="13" s="1"/>
  <c r="U15" i="13"/>
  <c r="V15" i="13"/>
  <c r="W15" i="13"/>
  <c r="AQ15" i="13" s="1"/>
  <c r="S16" i="13"/>
  <c r="X16" i="13" s="1"/>
  <c r="T16" i="13"/>
  <c r="U16" i="13"/>
  <c r="V16" i="13"/>
  <c r="W16" i="13"/>
  <c r="B17" i="13"/>
  <c r="S17" i="13"/>
  <c r="X17" i="13" s="1"/>
  <c r="T17" i="13"/>
  <c r="Y17" i="13" s="1"/>
  <c r="U17" i="13"/>
  <c r="Z17" i="13" s="1"/>
  <c r="W17" i="13"/>
  <c r="V17" i="13"/>
  <c r="B19" i="13"/>
  <c r="S18" i="13"/>
  <c r="X18" i="13" s="1"/>
  <c r="T18" i="13"/>
  <c r="Y18" i="13" s="1"/>
  <c r="U18" i="13"/>
  <c r="Z18" i="13" s="1"/>
  <c r="V18" i="13"/>
  <c r="W18" i="13"/>
  <c r="S19" i="13"/>
  <c r="T19" i="13"/>
  <c r="AN19" i="13" s="1"/>
  <c r="U19" i="13"/>
  <c r="V19" i="13"/>
  <c r="W19" i="13"/>
  <c r="AB19" i="13" s="1"/>
  <c r="B20" i="13"/>
  <c r="S20" i="13"/>
  <c r="AM20" i="13" s="1"/>
  <c r="T20" i="13"/>
  <c r="Y20" i="13" s="1"/>
  <c r="U20" i="13"/>
  <c r="Z20" i="13" s="1"/>
  <c r="V20" i="13"/>
  <c r="AA20" i="13" s="1"/>
  <c r="W20" i="13"/>
  <c r="B21" i="13"/>
  <c r="S21" i="13"/>
  <c r="AM21" i="13" s="1"/>
  <c r="Y21" i="13"/>
  <c r="U21" i="13"/>
  <c r="Z21" i="13" s="1"/>
  <c r="V21" i="13"/>
  <c r="W21" i="13"/>
  <c r="S22" i="13"/>
  <c r="AM22" i="13" s="1"/>
  <c r="T22" i="13"/>
  <c r="Y22" i="13" s="1"/>
  <c r="U22" i="13"/>
  <c r="Z22" i="13" s="1"/>
  <c r="V22" i="13"/>
  <c r="AA22" i="13" s="1"/>
  <c r="W22" i="13"/>
  <c r="B23" i="13"/>
  <c r="S23" i="13"/>
  <c r="AM23" i="13" s="1"/>
  <c r="T23" i="13"/>
  <c r="AN23" i="13" s="1"/>
  <c r="U23" i="13"/>
  <c r="Z23" i="13" s="1"/>
  <c r="V23" i="13"/>
  <c r="AA23" i="13" s="1"/>
  <c r="W23" i="13"/>
  <c r="B25" i="13"/>
  <c r="S24" i="13"/>
  <c r="AM24" i="13" s="1"/>
  <c r="T24" i="13"/>
  <c r="AN24" i="13" s="1"/>
  <c r="U24" i="13"/>
  <c r="Z24" i="13" s="1"/>
  <c r="V24" i="13"/>
  <c r="AA24" i="13" s="1"/>
  <c r="W24" i="13"/>
  <c r="S25" i="13"/>
  <c r="AM25" i="13" s="1"/>
  <c r="T25" i="13"/>
  <c r="AN25" i="13" s="1"/>
  <c r="U25" i="13"/>
  <c r="Z25" i="13" s="1"/>
  <c r="V25" i="13"/>
  <c r="AA25" i="13" s="1"/>
  <c r="W25" i="13"/>
  <c r="B26" i="13"/>
  <c r="S26" i="13"/>
  <c r="AM26" i="13" s="1"/>
  <c r="T26" i="13"/>
  <c r="U26" i="13"/>
  <c r="AO26" i="13" s="1"/>
  <c r="V26" i="13"/>
  <c r="AA26" i="13" s="1"/>
  <c r="W26" i="13"/>
  <c r="AB26" i="13" s="1"/>
  <c r="B27" i="13"/>
  <c r="S27" i="13"/>
  <c r="AM27" i="13" s="1"/>
  <c r="T27" i="13"/>
  <c r="V27" i="13"/>
  <c r="AA27" i="13" s="1"/>
  <c r="S28" i="13"/>
  <c r="AM28" i="13" s="1"/>
  <c r="W28" i="13"/>
  <c r="AQ28" i="13" s="1"/>
  <c r="B29" i="13"/>
  <c r="T29" i="13"/>
  <c r="AN29" i="13" s="1"/>
  <c r="U29" i="13"/>
  <c r="V29" i="13"/>
  <c r="AP29" i="13" s="1"/>
  <c r="W29" i="13"/>
  <c r="AB29" i="13" s="1"/>
  <c r="S29" i="13"/>
  <c r="B31" i="13"/>
  <c r="B30" i="13"/>
  <c r="S30" i="13"/>
  <c r="T30" i="13"/>
  <c r="AN30" i="13" s="1"/>
  <c r="U30" i="13"/>
  <c r="V30" i="13"/>
  <c r="AP30" i="13" s="1"/>
  <c r="W30" i="13"/>
  <c r="AB30" i="13" s="1"/>
  <c r="S31" i="13"/>
  <c r="T31" i="13"/>
  <c r="AN31" i="13" s="1"/>
  <c r="U31" i="13"/>
  <c r="V31" i="13"/>
  <c r="AP31" i="13" s="1"/>
  <c r="W31" i="13"/>
  <c r="AB31" i="13" s="1"/>
  <c r="B32" i="13"/>
  <c r="S32" i="13"/>
  <c r="T32" i="13"/>
  <c r="U32" i="13"/>
  <c r="AO32" i="13" s="1"/>
  <c r="V32" i="13"/>
  <c r="W32" i="13"/>
  <c r="AQ32" i="13" s="1"/>
  <c r="T33" i="13"/>
  <c r="Y33" i="13" s="1"/>
  <c r="U33" i="13"/>
  <c r="AO33" i="13" s="1"/>
  <c r="V33" i="13"/>
  <c r="W33" i="13"/>
  <c r="AQ33" i="13" s="1"/>
  <c r="S33" i="13"/>
  <c r="S34" i="13"/>
  <c r="T34" i="13"/>
  <c r="Y34" i="13" s="1"/>
  <c r="U34" i="13"/>
  <c r="AO34" i="13" s="1"/>
  <c r="W34" i="13"/>
  <c r="AQ34" i="13" s="1"/>
  <c r="V34" i="13"/>
  <c r="AP34" i="13" s="1"/>
  <c r="B35" i="13"/>
  <c r="S35" i="13"/>
  <c r="X35" i="13" s="1"/>
  <c r="T35" i="13"/>
  <c r="U35" i="13"/>
  <c r="Z35" i="13" s="1"/>
  <c r="V35" i="13"/>
  <c r="AP35" i="13" s="1"/>
  <c r="W35" i="13"/>
  <c r="AQ35" i="13" s="1"/>
  <c r="B37" i="13"/>
  <c r="S36" i="13"/>
  <c r="T36" i="13"/>
  <c r="V36" i="13"/>
  <c r="U36" i="13"/>
  <c r="Z36" i="13" s="1"/>
  <c r="W36" i="13"/>
  <c r="S37" i="13"/>
  <c r="X37" i="13" s="1"/>
  <c r="T37" i="13"/>
  <c r="V37" i="13"/>
  <c r="W37" i="13"/>
  <c r="U37" i="13"/>
  <c r="B38" i="13"/>
  <c r="S38" i="13"/>
  <c r="X38" i="13" s="1"/>
  <c r="T38" i="13"/>
  <c r="Y38" i="13" s="1"/>
  <c r="V38" i="13"/>
  <c r="AA38" i="13" s="1"/>
  <c r="W38" i="13"/>
  <c r="U38" i="13"/>
  <c r="B39" i="13"/>
  <c r="S39" i="13"/>
  <c r="X39" i="13" s="1"/>
  <c r="T39" i="13"/>
  <c r="U39" i="13"/>
  <c r="W39" i="13"/>
  <c r="V39" i="13"/>
  <c r="AP39" i="13" s="1"/>
  <c r="S40" i="13"/>
  <c r="U40" i="13"/>
  <c r="W40" i="13"/>
  <c r="AQ40" i="13" s="1"/>
  <c r="T40" i="13"/>
  <c r="Y40" i="13" s="1"/>
  <c r="V40" i="13"/>
  <c r="AP40" i="13" s="1"/>
  <c r="B41" i="13"/>
  <c r="S41" i="13"/>
  <c r="X41" i="13" s="1"/>
  <c r="T41" i="13"/>
  <c r="AN41" i="13" s="1"/>
  <c r="U41" i="13"/>
  <c r="V41" i="13"/>
  <c r="W41" i="13"/>
  <c r="AB41" i="13" s="1"/>
  <c r="B43" i="13"/>
  <c r="S42" i="13"/>
  <c r="U42" i="13"/>
  <c r="Z42" i="13" s="1"/>
  <c r="T42" i="13"/>
  <c r="Y42" i="13" s="1"/>
  <c r="V42" i="13"/>
  <c r="W42" i="13"/>
  <c r="S43" i="13"/>
  <c r="X43" i="13" s="1"/>
  <c r="U43" i="13"/>
  <c r="Z43" i="13" s="1"/>
  <c r="T43" i="13"/>
  <c r="Y43" i="13" s="1"/>
  <c r="V43" i="13"/>
  <c r="W43" i="13"/>
  <c r="AB43" i="13" s="1"/>
  <c r="B44" i="13"/>
  <c r="S44" i="13"/>
  <c r="X44" i="13" s="1"/>
  <c r="T44" i="13"/>
  <c r="Y44" i="13" s="1"/>
  <c r="U44" i="13"/>
  <c r="Z44" i="13" s="1"/>
  <c r="V44" i="13"/>
  <c r="AA44" i="13" s="1"/>
  <c r="W44" i="13"/>
  <c r="B45" i="13"/>
  <c r="S45" i="13"/>
  <c r="X45" i="13" s="1"/>
  <c r="U45" i="13"/>
  <c r="W45" i="13"/>
  <c r="T45" i="13"/>
  <c r="V45" i="13"/>
  <c r="AA45" i="13" s="1"/>
  <c r="U46" i="13"/>
  <c r="V46" i="13"/>
  <c r="W46" i="13"/>
  <c r="S46" i="13"/>
  <c r="X46" i="13" s="1"/>
  <c r="T46" i="13"/>
  <c r="AN46" i="13" s="1"/>
  <c r="B47" i="13"/>
  <c r="S47" i="13"/>
  <c r="U47" i="13"/>
  <c r="AO47" i="13" s="1"/>
  <c r="W47" i="13"/>
  <c r="T47" i="13"/>
  <c r="Y47" i="13" s="1"/>
  <c r="V47" i="13"/>
  <c r="B49" i="13"/>
  <c r="S48" i="13"/>
  <c r="U48" i="13"/>
  <c r="AO48" i="13" s="1"/>
  <c r="W48" i="13"/>
  <c r="T48" i="13"/>
  <c r="Y48" i="13" s="1"/>
  <c r="V48" i="13"/>
  <c r="S49" i="13"/>
  <c r="U49" i="13"/>
  <c r="AO49" i="13" s="1"/>
  <c r="W49" i="13"/>
  <c r="T49" i="13"/>
  <c r="Y49" i="13" s="1"/>
  <c r="V49" i="13"/>
  <c r="B50" i="13"/>
  <c r="S50" i="13"/>
  <c r="T50" i="13"/>
  <c r="U50" i="13"/>
  <c r="Z50" i="13" s="1"/>
  <c r="V50" i="13"/>
  <c r="AP50" i="13" s="1"/>
  <c r="W50" i="13"/>
  <c r="B52" i="13"/>
  <c r="S51" i="13"/>
  <c r="T51" i="13"/>
  <c r="U51" i="13"/>
  <c r="V51" i="13"/>
  <c r="AP51" i="13" s="1"/>
  <c r="W51" i="13"/>
  <c r="S52" i="13"/>
  <c r="T52" i="13"/>
  <c r="U52" i="13"/>
  <c r="V52" i="13"/>
  <c r="AP52" i="13" s="1"/>
  <c r="W52" i="13"/>
  <c r="B53" i="13"/>
  <c r="S53" i="13"/>
  <c r="AM53" i="13" s="1"/>
  <c r="T53" i="13"/>
  <c r="U53" i="13"/>
  <c r="V53" i="13"/>
  <c r="AA53" i="13" s="1"/>
  <c r="W53" i="13"/>
  <c r="AQ53" i="13" s="1"/>
  <c r="B54" i="13"/>
  <c r="S54" i="13"/>
  <c r="AM54" i="13" s="1"/>
  <c r="T54" i="13"/>
  <c r="U54" i="13"/>
  <c r="V54" i="13"/>
  <c r="AA54" i="13" s="1"/>
  <c r="W54" i="13"/>
  <c r="AQ54" i="13" s="1"/>
  <c r="B55" i="13"/>
  <c r="S55" i="13"/>
  <c r="AM55" i="13" s="1"/>
  <c r="T55" i="13"/>
  <c r="U55" i="13"/>
  <c r="V55" i="13"/>
  <c r="AA55" i="13" s="1"/>
  <c r="W55" i="13"/>
  <c r="AQ55" i="13" s="1"/>
  <c r="B56" i="13"/>
  <c r="T56" i="13"/>
  <c r="AN56" i="13" s="1"/>
  <c r="U56" i="13"/>
  <c r="V56" i="13"/>
  <c r="S56" i="13"/>
  <c r="X56" i="13" s="1"/>
  <c r="W56" i="13"/>
  <c r="AB56" i="13" s="1"/>
  <c r="B57" i="13"/>
  <c r="T57" i="13"/>
  <c r="AN57" i="13" s="1"/>
  <c r="U57" i="13"/>
  <c r="V57" i="13"/>
  <c r="S57" i="13"/>
  <c r="X57" i="13" s="1"/>
  <c r="W57" i="13"/>
  <c r="AB57" i="13" s="1"/>
  <c r="T58" i="13"/>
  <c r="AN58" i="13" s="1"/>
  <c r="U58" i="13"/>
  <c r="V58" i="13"/>
  <c r="S58" i="13"/>
  <c r="AM58" i="13" s="1"/>
  <c r="W58" i="13"/>
  <c r="AB58" i="13" s="1"/>
  <c r="B59" i="13"/>
  <c r="S59" i="13"/>
  <c r="U59" i="13"/>
  <c r="AO59" i="13" s="1"/>
  <c r="V59" i="13"/>
  <c r="W59" i="13"/>
  <c r="AB59" i="13" s="1"/>
  <c r="T59" i="13"/>
  <c r="Y59" i="13" s="1"/>
  <c r="B61" i="13"/>
  <c r="S60" i="13"/>
  <c r="U60" i="13"/>
  <c r="AO60" i="13" s="1"/>
  <c r="V60" i="13"/>
  <c r="W60" i="13"/>
  <c r="AB60" i="13" s="1"/>
  <c r="T60" i="13"/>
  <c r="AN60" i="13" s="1"/>
  <c r="S61" i="13"/>
  <c r="U61" i="13"/>
  <c r="AO61" i="13" s="1"/>
  <c r="V61" i="13"/>
  <c r="W61" i="13"/>
  <c r="AB61" i="13" s="1"/>
  <c r="T61" i="13"/>
  <c r="Y61" i="13" s="1"/>
  <c r="B62" i="13"/>
  <c r="T62" i="13"/>
  <c r="V62" i="13"/>
  <c r="AP62" i="13" s="1"/>
  <c r="W62" i="13"/>
  <c r="S62" i="13"/>
  <c r="U62" i="13"/>
  <c r="Z62" i="13" s="1"/>
  <c r="B64" i="13"/>
  <c r="T63" i="13"/>
  <c r="V63" i="13"/>
  <c r="AP63" i="13" s="1"/>
  <c r="W63" i="13"/>
  <c r="S63" i="13"/>
  <c r="U63" i="13"/>
  <c r="Z63" i="13" s="1"/>
  <c r="T64" i="13"/>
  <c r="AN64" i="13" s="1"/>
  <c r="V64" i="13"/>
  <c r="AP64" i="13" s="1"/>
  <c r="W64" i="13"/>
  <c r="AB64" i="13" s="1"/>
  <c r="S64" i="13"/>
  <c r="U64" i="13"/>
  <c r="Z64" i="13" s="1"/>
  <c r="B65" i="13"/>
  <c r="U65" i="13"/>
  <c r="AO65" i="13" s="1"/>
  <c r="W65" i="13"/>
  <c r="AQ65" i="13" s="1"/>
  <c r="S65" i="13"/>
  <c r="T65" i="13"/>
  <c r="V65" i="13"/>
  <c r="AP65" i="13" s="1"/>
  <c r="B66" i="13"/>
  <c r="U66" i="13"/>
  <c r="AO66" i="13" s="1"/>
  <c r="W66" i="13"/>
  <c r="AQ66" i="13" s="1"/>
  <c r="S66" i="13"/>
  <c r="T66" i="13"/>
  <c r="V66" i="13"/>
  <c r="AA66" i="13" s="1"/>
  <c r="U67" i="13"/>
  <c r="AO67" i="13" s="1"/>
  <c r="W67" i="13"/>
  <c r="AQ67" i="13" s="1"/>
  <c r="S67" i="13"/>
  <c r="T67" i="13"/>
  <c r="V67" i="13"/>
  <c r="AA67" i="13" s="1"/>
  <c r="B68" i="13"/>
  <c r="V68" i="13"/>
  <c r="AP68" i="13" s="1"/>
  <c r="S68" i="13"/>
  <c r="X68" i="13" s="1"/>
  <c r="T68" i="13"/>
  <c r="U68" i="13"/>
  <c r="W68" i="13"/>
  <c r="AQ68" i="13" s="1"/>
  <c r="B70" i="13"/>
  <c r="V69" i="13"/>
  <c r="AP69" i="13" s="1"/>
  <c r="S69" i="13"/>
  <c r="X69" i="13" s="1"/>
  <c r="T69" i="13"/>
  <c r="AN69" i="13" s="1"/>
  <c r="U69" i="13"/>
  <c r="W69" i="13"/>
  <c r="AB69" i="13" s="1"/>
  <c r="U70" i="13"/>
  <c r="V70" i="13"/>
  <c r="AP70" i="13" s="1"/>
  <c r="S70" i="13"/>
  <c r="X70" i="13" s="1"/>
  <c r="T70" i="13"/>
  <c r="AN70" i="13" s="1"/>
  <c r="W70" i="13"/>
  <c r="AB70" i="13" s="1"/>
  <c r="B71" i="13"/>
  <c r="S71" i="13"/>
  <c r="AM71" i="13" s="1"/>
  <c r="W71" i="13"/>
  <c r="AB71" i="13" s="1"/>
  <c r="T71" i="13"/>
  <c r="Y71" i="13" s="1"/>
  <c r="U71" i="13"/>
  <c r="AO71" i="13" s="1"/>
  <c r="V71" i="13"/>
  <c r="AA71" i="13" s="1"/>
  <c r="B72" i="13"/>
  <c r="S72" i="13"/>
  <c r="U72" i="13"/>
  <c r="V72" i="13"/>
  <c r="W72" i="13"/>
  <c r="AB72" i="13" s="1"/>
  <c r="T72" i="13"/>
  <c r="AN72" i="13" s="1"/>
  <c r="U73" i="13"/>
  <c r="V73" i="13"/>
  <c r="W73" i="13"/>
  <c r="AQ73" i="13" s="1"/>
  <c r="S73" i="13"/>
  <c r="X73" i="13" s="1"/>
  <c r="T73" i="13"/>
  <c r="AN73" i="13" s="1"/>
  <c r="B74" i="13"/>
  <c r="S74" i="13"/>
  <c r="W74" i="13"/>
  <c r="T74" i="13"/>
  <c r="Y74" i="13" s="1"/>
  <c r="U74" i="13"/>
  <c r="AO74" i="13" s="1"/>
  <c r="V74" i="13"/>
  <c r="B76" i="13"/>
  <c r="S75" i="13"/>
  <c r="W75" i="13"/>
  <c r="T75" i="13"/>
  <c r="Y75" i="13" s="1"/>
  <c r="U75" i="13"/>
  <c r="AO75" i="13" s="1"/>
  <c r="V75" i="13"/>
  <c r="S76" i="13"/>
  <c r="W76" i="13"/>
  <c r="T76" i="13"/>
  <c r="Y76" i="13" s="1"/>
  <c r="U76" i="13"/>
  <c r="AO76" i="13" s="1"/>
  <c r="V76" i="13"/>
  <c r="B77" i="13"/>
  <c r="S77" i="13"/>
  <c r="T77" i="13"/>
  <c r="U77" i="13"/>
  <c r="Z77" i="13" s="1"/>
  <c r="V77" i="13"/>
  <c r="AP77" i="13" s="1"/>
  <c r="W77" i="13"/>
  <c r="B78" i="13"/>
  <c r="S78" i="13"/>
  <c r="T78" i="13"/>
  <c r="U78" i="13"/>
  <c r="Z78" i="13" s="1"/>
  <c r="V78" i="13"/>
  <c r="AP78" i="13" s="1"/>
  <c r="W78" i="13"/>
  <c r="S79" i="13"/>
  <c r="T79" i="13"/>
  <c r="U79" i="13"/>
  <c r="Z79" i="13" s="1"/>
  <c r="V79" i="13"/>
  <c r="AP79" i="13" s="1"/>
  <c r="W79" i="13"/>
  <c r="B80" i="13"/>
  <c r="S80" i="13"/>
  <c r="AM80" i="13" s="1"/>
  <c r="T80" i="13"/>
  <c r="U80" i="13"/>
  <c r="V80" i="13"/>
  <c r="AA80" i="13" s="1"/>
  <c r="W80" i="13"/>
  <c r="AQ80" i="13" s="1"/>
  <c r="B82" i="13"/>
  <c r="B81" i="13"/>
  <c r="S81" i="13"/>
  <c r="AM81" i="13" s="1"/>
  <c r="T81" i="13"/>
  <c r="U81" i="13"/>
  <c r="V81" i="13"/>
  <c r="AA81" i="13" s="1"/>
  <c r="W81" i="13"/>
  <c r="AQ81" i="13" s="1"/>
  <c r="S82" i="13"/>
  <c r="AM82" i="13" s="1"/>
  <c r="T82" i="13"/>
  <c r="U82" i="13"/>
  <c r="V82" i="13"/>
  <c r="AA82" i="13" s="1"/>
  <c r="W82" i="13"/>
  <c r="AQ82" i="13" s="1"/>
  <c r="B83" i="13"/>
  <c r="S83" i="13"/>
  <c r="T83" i="13"/>
  <c r="AN83" i="13" s="1"/>
  <c r="U83" i="13"/>
  <c r="V83" i="13"/>
  <c r="W83" i="13"/>
  <c r="AB83" i="13" s="1"/>
  <c r="B85" i="13"/>
  <c r="S84" i="13"/>
  <c r="T84" i="13"/>
  <c r="AN84" i="13" s="1"/>
  <c r="U84" i="13"/>
  <c r="V84" i="13"/>
  <c r="W84" i="13"/>
  <c r="AB84" i="13" s="1"/>
  <c r="S85" i="13"/>
  <c r="T85" i="13"/>
  <c r="AN85" i="13" s="1"/>
  <c r="U85" i="13"/>
  <c r="V85" i="13"/>
  <c r="W85" i="13"/>
  <c r="AB85" i="13" s="1"/>
  <c r="B86" i="13"/>
  <c r="S86" i="13"/>
  <c r="T86" i="13"/>
  <c r="U86" i="13"/>
  <c r="AO86" i="13" s="1"/>
  <c r="V86" i="13"/>
  <c r="W86" i="13"/>
  <c r="B87" i="13"/>
  <c r="S87" i="13"/>
  <c r="T87" i="13"/>
  <c r="U87" i="13"/>
  <c r="AO87" i="13" s="1"/>
  <c r="V87" i="13"/>
  <c r="W87" i="13"/>
  <c r="S88" i="13"/>
  <c r="T88" i="13"/>
  <c r="U88" i="13"/>
  <c r="AO88" i="13" s="1"/>
  <c r="V88" i="13"/>
  <c r="W88" i="13"/>
  <c r="B89" i="13"/>
  <c r="T89" i="13"/>
  <c r="U89" i="13"/>
  <c r="V89" i="13"/>
  <c r="AP89" i="13" s="1"/>
  <c r="W89" i="13"/>
  <c r="S89" i="13"/>
  <c r="B91" i="13"/>
  <c r="B90" i="13"/>
  <c r="T90" i="13"/>
  <c r="U90" i="13"/>
  <c r="V90" i="13"/>
  <c r="AP90" i="13" s="1"/>
  <c r="W90" i="13"/>
  <c r="S90" i="13"/>
  <c r="T91" i="13"/>
  <c r="U91" i="13"/>
  <c r="V91" i="13"/>
  <c r="AP91" i="13" s="1"/>
  <c r="W91" i="13"/>
  <c r="S91" i="13"/>
  <c r="AM91" i="13" s="1"/>
  <c r="B92" i="13"/>
  <c r="U92" i="13"/>
  <c r="V92" i="13"/>
  <c r="W92" i="13"/>
  <c r="AB92" i="13" s="1"/>
  <c r="S92" i="13"/>
  <c r="AM92" i="13" s="1"/>
  <c r="T92" i="13"/>
  <c r="AN92" i="13" s="1"/>
  <c r="B93" i="13"/>
  <c r="U93" i="13"/>
  <c r="V93" i="13"/>
  <c r="W93" i="13"/>
  <c r="AB93" i="13" s="1"/>
  <c r="S93" i="13"/>
  <c r="AM93" i="13" s="1"/>
  <c r="T93" i="13"/>
  <c r="AN93" i="13" s="1"/>
  <c r="B94" i="13"/>
  <c r="U94" i="13"/>
  <c r="V94" i="13"/>
  <c r="W94" i="13"/>
  <c r="AB94" i="13" s="1"/>
  <c r="S94" i="13"/>
  <c r="AM94" i="13" s="1"/>
  <c r="T94" i="13"/>
  <c r="AN94" i="13" s="1"/>
  <c r="AI97" i="20"/>
  <c r="S100" i="13" l="1"/>
  <c r="AQ43" i="13"/>
  <c r="B67" i="13"/>
  <c r="B36" i="13"/>
  <c r="B12" i="13"/>
  <c r="B69" i="13"/>
  <c r="B75" i="13"/>
  <c r="B63" i="13"/>
  <c r="B51" i="13"/>
  <c r="B6" i="13"/>
  <c r="B84" i="13"/>
  <c r="B60" i="13"/>
  <c r="B24" i="13"/>
  <c r="B15" i="13"/>
  <c r="B88" i="13"/>
  <c r="AA89" i="13"/>
  <c r="AQ94" i="13"/>
  <c r="AA65" i="13"/>
  <c r="B18" i="13"/>
  <c r="B73" i="13"/>
  <c r="B40" i="13"/>
  <c r="B46" i="13"/>
  <c r="B22" i="13"/>
  <c r="AB68" i="13"/>
  <c r="B48" i="13"/>
  <c r="B42" i="13"/>
  <c r="B79" i="13"/>
  <c r="B58" i="13"/>
  <c r="AA64" i="13"/>
  <c r="AA91" i="13"/>
  <c r="AQ61" i="13"/>
  <c r="AA70" i="13"/>
  <c r="Z88" i="13"/>
  <c r="AO64" i="13"/>
  <c r="AO62" i="13"/>
  <c r="Y72" i="13"/>
  <c r="AB40" i="13"/>
  <c r="AP44" i="13"/>
  <c r="AP53" i="13"/>
  <c r="Z86" i="13"/>
  <c r="Z66" i="13"/>
  <c r="AO63" i="13"/>
  <c r="AO77" i="13"/>
  <c r="Z61" i="13"/>
  <c r="AO78" i="13"/>
  <c r="AO79" i="13"/>
  <c r="Z34" i="13"/>
  <c r="Z7" i="13"/>
  <c r="AQ58" i="13"/>
  <c r="AQ57" i="13"/>
  <c r="Z52" i="13"/>
  <c r="AO52" i="13"/>
  <c r="Z51" i="13"/>
  <c r="AO51" i="13"/>
  <c r="AO50" i="13"/>
  <c r="AO45" i="13"/>
  <c r="Z45" i="13"/>
  <c r="AO44" i="13"/>
  <c r="Z41" i="13"/>
  <c r="AO41" i="13"/>
  <c r="AN40" i="13"/>
  <c r="AN18" i="13"/>
  <c r="AP23" i="13"/>
  <c r="AQ92" i="13"/>
  <c r="AQ56" i="13"/>
  <c r="AQ93" i="13"/>
  <c r="AQ71" i="13"/>
  <c r="AQ59" i="13"/>
  <c r="AB73" i="13"/>
  <c r="AQ70" i="13"/>
  <c r="AQ69" i="13"/>
  <c r="AB66" i="13"/>
  <c r="AB65" i="13"/>
  <c r="AQ85" i="13"/>
  <c r="AQ84" i="13"/>
  <c r="AQ83" i="13"/>
  <c r="Y84" i="13"/>
  <c r="Y70" i="13"/>
  <c r="AN47" i="13"/>
  <c r="AN21" i="13"/>
  <c r="Y94" i="13"/>
  <c r="AN76" i="13"/>
  <c r="Y69" i="13"/>
  <c r="AN75" i="13"/>
  <c r="AN74" i="13"/>
  <c r="Y60" i="13"/>
  <c r="AN59" i="13"/>
  <c r="AN44" i="13"/>
  <c r="AN71" i="13"/>
  <c r="AN61" i="13"/>
  <c r="AN49" i="13"/>
  <c r="AN42" i="13"/>
  <c r="Y56" i="13"/>
  <c r="Y83" i="13"/>
  <c r="AN48" i="13"/>
  <c r="AM73" i="13"/>
  <c r="AM44" i="13"/>
  <c r="AM57" i="13"/>
  <c r="X58" i="13"/>
  <c r="X91" i="13"/>
  <c r="X82" i="13"/>
  <c r="AM46" i="13"/>
  <c r="AM43" i="13"/>
  <c r="AM70" i="13"/>
  <c r="X81" i="13"/>
  <c r="AM38" i="13"/>
  <c r="AM16" i="13"/>
  <c r="AM56" i="13"/>
  <c r="AM45" i="13"/>
  <c r="AM39" i="13"/>
  <c r="AM17" i="13"/>
  <c r="X55" i="13"/>
  <c r="AA39" i="13"/>
  <c r="AP80" i="13"/>
  <c r="AP67" i="13"/>
  <c r="AA40" i="13"/>
  <c r="AP82" i="13"/>
  <c r="AP66" i="13"/>
  <c r="AP81" i="13"/>
  <c r="AP45" i="13"/>
  <c r="AP55" i="13"/>
  <c r="AA69" i="13"/>
  <c r="AP54" i="13"/>
  <c r="AA7" i="13"/>
  <c r="AN5" i="13"/>
  <c r="Z6" i="13"/>
  <c r="AO5" i="13"/>
  <c r="Z5" i="13"/>
  <c r="AB8" i="13"/>
  <c r="AA8" i="13"/>
  <c r="Z8" i="13"/>
  <c r="X13" i="13"/>
  <c r="AM13" i="13"/>
  <c r="AM14" i="13"/>
  <c r="AQ13" i="13"/>
  <c r="AB13" i="13"/>
  <c r="AP13" i="13"/>
  <c r="AA13" i="13"/>
  <c r="AQ12" i="13"/>
  <c r="AB12" i="13"/>
  <c r="AA12" i="13"/>
  <c r="AM12" i="13"/>
  <c r="AQ11" i="13"/>
  <c r="AB11" i="13"/>
  <c r="AP11" i="13"/>
  <c r="AA11" i="13"/>
  <c r="AM11" i="13"/>
  <c r="AA37" i="13"/>
  <c r="AP37" i="13"/>
  <c r="AQ37" i="13"/>
  <c r="AB37" i="13"/>
  <c r="X36" i="13"/>
  <c r="AM36" i="13"/>
  <c r="AP36" i="13"/>
  <c r="AA36" i="13"/>
  <c r="AA35" i="13"/>
  <c r="AB33" i="13"/>
  <c r="AP32" i="13"/>
  <c r="AA32" i="13"/>
  <c r="AO31" i="13"/>
  <c r="Z31" i="13"/>
  <c r="AQ26" i="13"/>
  <c r="X26" i="13"/>
  <c r="AB28" i="13"/>
  <c r="AB27" i="13"/>
  <c r="Z27" i="13"/>
  <c r="X28" i="13"/>
  <c r="AB38" i="13"/>
  <c r="AQ38" i="13"/>
  <c r="AQ39" i="13"/>
  <c r="AB39" i="13"/>
  <c r="AP38" i="13"/>
  <c r="Y39" i="13"/>
  <c r="AN39" i="13"/>
  <c r="AO30" i="13"/>
  <c r="Z30" i="13"/>
  <c r="AO29" i="13"/>
  <c r="Z29" i="13"/>
  <c r="AN28" i="13"/>
  <c r="Y28" i="13"/>
  <c r="AP27" i="13"/>
  <c r="AN27" i="13"/>
  <c r="Y27" i="13"/>
  <c r="AP26" i="13"/>
  <c r="AP25" i="13"/>
  <c r="AN26" i="13"/>
  <c r="Y26" i="13"/>
  <c r="AO25" i="13"/>
  <c r="AP24" i="13"/>
  <c r="AO24" i="13"/>
  <c r="AO23" i="13"/>
  <c r="X22" i="13"/>
  <c r="AP22" i="13"/>
  <c r="AO22" i="13"/>
  <c r="AN22" i="13"/>
  <c r="AA21" i="13"/>
  <c r="AP21" i="13"/>
  <c r="AO21" i="13"/>
  <c r="AO20" i="13"/>
  <c r="AN20" i="13"/>
  <c r="Z19" i="13"/>
  <c r="AO19" i="13"/>
  <c r="Y19" i="13"/>
  <c r="AB17" i="13"/>
  <c r="AQ17" i="13"/>
  <c r="AQ16" i="13"/>
  <c r="AB16" i="13"/>
  <c r="Y16" i="13"/>
  <c r="AN16" i="13"/>
  <c r="AQ14" i="13"/>
  <c r="AB14" i="13"/>
  <c r="AB15" i="13"/>
  <c r="Y14" i="13"/>
  <c r="AN14" i="13"/>
  <c r="AA10" i="13"/>
  <c r="AA9" i="13"/>
  <c r="Z10" i="13"/>
  <c r="AB91" i="13"/>
  <c r="AQ91" i="13"/>
  <c r="AN89" i="13"/>
  <c r="Y89" i="13"/>
  <c r="AA86" i="13"/>
  <c r="AP86" i="13"/>
  <c r="Z82" i="13"/>
  <c r="AO82" i="13"/>
  <c r="X76" i="13"/>
  <c r="AM76" i="13"/>
  <c r="AA90" i="13"/>
  <c r="AM88" i="13"/>
  <c r="X88" i="13"/>
  <c r="AN87" i="13"/>
  <c r="Y87" i="13"/>
  <c r="AA85" i="13"/>
  <c r="AP85" i="13"/>
  <c r="Y82" i="13"/>
  <c r="AN82" i="13"/>
  <c r="X80" i="13"/>
  <c r="Y79" i="13"/>
  <c r="AN79" i="13"/>
  <c r="AP76" i="13"/>
  <c r="AA76" i="13"/>
  <c r="X72" i="13"/>
  <c r="AM72" i="13"/>
  <c r="AN91" i="13"/>
  <c r="Y91" i="13"/>
  <c r="Y78" i="13"/>
  <c r="AN78" i="13"/>
  <c r="AO93" i="13"/>
  <c r="Z93" i="13"/>
  <c r="AP94" i="13"/>
  <c r="AA94" i="13"/>
  <c r="AN88" i="13"/>
  <c r="Y88" i="13"/>
  <c r="AM83" i="13"/>
  <c r="X83" i="13"/>
  <c r="AO94" i="13"/>
  <c r="Z94" i="13"/>
  <c r="Y92" i="13"/>
  <c r="AO91" i="13"/>
  <c r="Z91" i="13"/>
  <c r="AM90" i="13"/>
  <c r="X90" i="13"/>
  <c r="AM87" i="13"/>
  <c r="X87" i="13"/>
  <c r="AN86" i="13"/>
  <c r="Y86" i="13"/>
  <c r="Z85" i="13"/>
  <c r="AO85" i="13"/>
  <c r="X79" i="13"/>
  <c r="AM79" i="13"/>
  <c r="AQ74" i="13"/>
  <c r="AB74" i="13"/>
  <c r="AP93" i="13"/>
  <c r="AA93" i="13"/>
  <c r="AB90" i="13"/>
  <c r="AQ90" i="13"/>
  <c r="AM86" i="13"/>
  <c r="X86" i="13"/>
  <c r="Z81" i="13"/>
  <c r="AO81" i="13"/>
  <c r="AQ79" i="13"/>
  <c r="AB79" i="13"/>
  <c r="AM89" i="13"/>
  <c r="X89" i="13"/>
  <c r="AM85" i="13"/>
  <c r="X85" i="13"/>
  <c r="Z84" i="13"/>
  <c r="AO84" i="13"/>
  <c r="Y81" i="13"/>
  <c r="AN81" i="13"/>
  <c r="X78" i="13"/>
  <c r="AM78" i="13"/>
  <c r="AP75" i="13"/>
  <c r="AA75" i="13"/>
  <c r="AO70" i="13"/>
  <c r="Z70" i="13"/>
  <c r="AO90" i="13"/>
  <c r="Z90" i="13"/>
  <c r="AB89" i="13"/>
  <c r="AQ89" i="13"/>
  <c r="AB88" i="13"/>
  <c r="AQ88" i="13"/>
  <c r="Z87" i="13"/>
  <c r="AA83" i="13"/>
  <c r="AP83" i="13"/>
  <c r="AQ78" i="13"/>
  <c r="AB78" i="13"/>
  <c r="Y77" i="13"/>
  <c r="AN77" i="13"/>
  <c r="AP73" i="13"/>
  <c r="AA73" i="13"/>
  <c r="AA84" i="13"/>
  <c r="AP84" i="13"/>
  <c r="X75" i="13"/>
  <c r="AM75" i="13"/>
  <c r="AQ76" i="13"/>
  <c r="AB76" i="13"/>
  <c r="AP92" i="13"/>
  <c r="AA92" i="13"/>
  <c r="AN90" i="13"/>
  <c r="Y90" i="13"/>
  <c r="AA88" i="13"/>
  <c r="AP88" i="13"/>
  <c r="AB87" i="13"/>
  <c r="AQ87" i="13"/>
  <c r="Y85" i="13"/>
  <c r="AM84" i="13"/>
  <c r="X84" i="13"/>
  <c r="Z83" i="13"/>
  <c r="AO83" i="13"/>
  <c r="Z80" i="13"/>
  <c r="AO80" i="13"/>
  <c r="X77" i="13"/>
  <c r="AM77" i="13"/>
  <c r="X74" i="13"/>
  <c r="AM74" i="13"/>
  <c r="AO73" i="13"/>
  <c r="Z73" i="13"/>
  <c r="AP72" i="13"/>
  <c r="AA72" i="13"/>
  <c r="Y93" i="13"/>
  <c r="AO92" i="13"/>
  <c r="Z92" i="13"/>
  <c r="AO89" i="13"/>
  <c r="Z89" i="13"/>
  <c r="AA87" i="13"/>
  <c r="AP87" i="13"/>
  <c r="AB86" i="13"/>
  <c r="AQ86" i="13"/>
  <c r="Y80" i="13"/>
  <c r="AN80" i="13"/>
  <c r="AQ77" i="13"/>
  <c r="AB77" i="13"/>
  <c r="AQ75" i="13"/>
  <c r="AB75" i="13"/>
  <c r="AP74" i="13"/>
  <c r="AA74" i="13"/>
  <c r="AO72" i="13"/>
  <c r="Z72" i="13"/>
  <c r="X71" i="13"/>
  <c r="Z55" i="13"/>
  <c r="AO55" i="13"/>
  <c r="Y32" i="13"/>
  <c r="AN32" i="13"/>
  <c r="B9" i="13"/>
  <c r="B10" i="13"/>
  <c r="AB62" i="13"/>
  <c r="AQ62" i="13"/>
  <c r="AM61" i="13"/>
  <c r="X61" i="13"/>
  <c r="AA57" i="13"/>
  <c r="AP57" i="13"/>
  <c r="Y55" i="13"/>
  <c r="AN55" i="13"/>
  <c r="AQ52" i="13"/>
  <c r="AB52" i="13"/>
  <c r="AP49" i="13"/>
  <c r="AA49" i="13"/>
  <c r="AO46" i="13"/>
  <c r="Z46" i="13"/>
  <c r="AQ45" i="13"/>
  <c r="AB45" i="13"/>
  <c r="Y41" i="13"/>
  <c r="Z39" i="13"/>
  <c r="AO39" i="13"/>
  <c r="Y35" i="13"/>
  <c r="AN35" i="13"/>
  <c r="X29" i="13"/>
  <c r="AM29" i="13"/>
  <c r="AB22" i="13"/>
  <c r="AQ22" i="13"/>
  <c r="AA17" i="13"/>
  <c r="AP17" i="13"/>
  <c r="AM69" i="13"/>
  <c r="AM62" i="13"/>
  <c r="X62" i="13"/>
  <c r="AA59" i="13"/>
  <c r="AP59" i="13"/>
  <c r="X52" i="13"/>
  <c r="AM52" i="13"/>
  <c r="X49" i="13"/>
  <c r="AM49" i="13"/>
  <c r="AN45" i="13"/>
  <c r="Y45" i="13"/>
  <c r="AP71" i="13"/>
  <c r="AM68" i="13"/>
  <c r="AB67" i="13"/>
  <c r="Z65" i="13"/>
  <c r="Y64" i="13"/>
  <c r="AM63" i="13"/>
  <c r="X63" i="13"/>
  <c r="Z57" i="13"/>
  <c r="AO57" i="13"/>
  <c r="Z54" i="13"/>
  <c r="AO54" i="13"/>
  <c r="Y51" i="13"/>
  <c r="AN51" i="13"/>
  <c r="AQ47" i="13"/>
  <c r="AB47" i="13"/>
  <c r="AA43" i="13"/>
  <c r="AP43" i="13"/>
  <c r="Z40" i="13"/>
  <c r="AO40" i="13"/>
  <c r="Z37" i="13"/>
  <c r="AO37" i="13"/>
  <c r="Y54" i="13"/>
  <c r="AN54" i="13"/>
  <c r="X51" i="13"/>
  <c r="AM51" i="13"/>
  <c r="X94" i="13"/>
  <c r="X93" i="13"/>
  <c r="X92" i="13"/>
  <c r="AB82" i="13"/>
  <c r="AB81" i="13"/>
  <c r="AB80" i="13"/>
  <c r="AA79" i="13"/>
  <c r="AA78" i="13"/>
  <c r="AA77" i="13"/>
  <c r="Z76" i="13"/>
  <c r="Z75" i="13"/>
  <c r="Z74" i="13"/>
  <c r="Y73" i="13"/>
  <c r="AA68" i="13"/>
  <c r="Z67" i="13"/>
  <c r="AN65" i="13"/>
  <c r="Y65" i="13"/>
  <c r="AM64" i="13"/>
  <c r="X64" i="13"/>
  <c r="AN62" i="13"/>
  <c r="Y62" i="13"/>
  <c r="Z59" i="13"/>
  <c r="AA58" i="13"/>
  <c r="AP58" i="13"/>
  <c r="Y57" i="13"/>
  <c r="Z53" i="13"/>
  <c r="AO53" i="13"/>
  <c r="AQ51" i="13"/>
  <c r="AB51" i="13"/>
  <c r="AQ49" i="13"/>
  <c r="AB49" i="13"/>
  <c r="AP48" i="13"/>
  <c r="AA48" i="13"/>
  <c r="AQ46" i="13"/>
  <c r="AB46" i="13"/>
  <c r="AM40" i="13"/>
  <c r="X40" i="13"/>
  <c r="Z38" i="13"/>
  <c r="AO38" i="13"/>
  <c r="AB18" i="13"/>
  <c r="AQ18" i="13"/>
  <c r="X48" i="13"/>
  <c r="AM48" i="13"/>
  <c r="X31" i="13"/>
  <c r="AM31" i="13"/>
  <c r="AB25" i="13"/>
  <c r="AQ25" i="13"/>
  <c r="AN66" i="13"/>
  <c r="Y66" i="13"/>
  <c r="AM65" i="13"/>
  <c r="X65" i="13"/>
  <c r="AA62" i="13"/>
  <c r="AQ60" i="13"/>
  <c r="Z58" i="13"/>
  <c r="AO58" i="13"/>
  <c r="AA56" i="13"/>
  <c r="AP56" i="13"/>
  <c r="X54" i="13"/>
  <c r="Y53" i="13"/>
  <c r="AN53" i="13"/>
  <c r="Y50" i="13"/>
  <c r="AN50" i="13"/>
  <c r="AP46" i="13"/>
  <c r="AA46" i="13"/>
  <c r="AQ44" i="13"/>
  <c r="AB44" i="13"/>
  <c r="AB42" i="13"/>
  <c r="AQ42" i="13"/>
  <c r="X42" i="13"/>
  <c r="AM42" i="13"/>
  <c r="AP33" i="13"/>
  <c r="AA33" i="13"/>
  <c r="B33" i="13"/>
  <c r="B34" i="13"/>
  <c r="AQ72" i="13"/>
  <c r="AA60" i="13"/>
  <c r="AP60" i="13"/>
  <c r="Z71" i="13"/>
  <c r="AO69" i="13"/>
  <c r="Z69" i="13"/>
  <c r="AO68" i="13"/>
  <c r="Z68" i="13"/>
  <c r="AN67" i="13"/>
  <c r="Y67" i="13"/>
  <c r="AM66" i="13"/>
  <c r="X66" i="13"/>
  <c r="AQ64" i="13"/>
  <c r="AN63" i="13"/>
  <c r="Y63" i="13"/>
  <c r="AA61" i="13"/>
  <c r="AP61" i="13"/>
  <c r="AM60" i="13"/>
  <c r="X60" i="13"/>
  <c r="Z56" i="13"/>
  <c r="AO56" i="13"/>
  <c r="X50" i="13"/>
  <c r="AM50" i="13"/>
  <c r="X47" i="13"/>
  <c r="AM47" i="13"/>
  <c r="Y36" i="13"/>
  <c r="AN36" i="13"/>
  <c r="X30" i="13"/>
  <c r="AM30" i="13"/>
  <c r="AA28" i="13"/>
  <c r="AP28" i="13"/>
  <c r="AP14" i="13"/>
  <c r="AA14" i="13"/>
  <c r="AN7" i="13"/>
  <c r="Y7" i="13"/>
  <c r="AB63" i="13"/>
  <c r="AQ63" i="13"/>
  <c r="AM59" i="13"/>
  <c r="X59" i="13"/>
  <c r="X34" i="13"/>
  <c r="AM34" i="13"/>
  <c r="AB23" i="13"/>
  <c r="AQ23" i="13"/>
  <c r="AN68" i="13"/>
  <c r="Y68" i="13"/>
  <c r="AM67" i="13"/>
  <c r="X67" i="13"/>
  <c r="AA63" i="13"/>
  <c r="Z60" i="13"/>
  <c r="Y58" i="13"/>
  <c r="X53" i="13"/>
  <c r="Y52" i="13"/>
  <c r="AN52" i="13"/>
  <c r="AQ50" i="13"/>
  <c r="AB50" i="13"/>
  <c r="AQ48" i="13"/>
  <c r="AB48" i="13"/>
  <c r="AP47" i="13"/>
  <c r="AA47" i="13"/>
  <c r="AQ36" i="13"/>
  <c r="AB36" i="13"/>
  <c r="AB24" i="13"/>
  <c r="AQ24" i="13"/>
  <c r="X19" i="13"/>
  <c r="AM19" i="13"/>
  <c r="X8" i="13"/>
  <c r="AM8" i="13"/>
  <c r="AA42" i="13"/>
  <c r="AP42" i="13"/>
  <c r="Y37" i="13"/>
  <c r="AN37" i="13"/>
  <c r="X32" i="13"/>
  <c r="AM32" i="13"/>
  <c r="AA18" i="13"/>
  <c r="AP18" i="13"/>
  <c r="Z14" i="13"/>
  <c r="AO14" i="13"/>
  <c r="AN9" i="13"/>
  <c r="Y9" i="13"/>
  <c r="AM6" i="13"/>
  <c r="X6" i="13"/>
  <c r="AM5" i="13"/>
  <c r="X5" i="13"/>
  <c r="AO43" i="13"/>
  <c r="AA41" i="13"/>
  <c r="AP41" i="13"/>
  <c r="AN38" i="13"/>
  <c r="X33" i="13"/>
  <c r="AM33" i="13"/>
  <c r="AQ31" i="13"/>
  <c r="AQ30" i="13"/>
  <c r="AQ29" i="13"/>
  <c r="AA19" i="13"/>
  <c r="AP19" i="13"/>
  <c r="AP15" i="13"/>
  <c r="AA15" i="13"/>
  <c r="X9" i="13"/>
  <c r="AM9" i="13"/>
  <c r="AQ6" i="13"/>
  <c r="AB6" i="13"/>
  <c r="AQ5" i="13"/>
  <c r="AB5" i="13"/>
  <c r="AN43" i="13"/>
  <c r="AO42" i="13"/>
  <c r="AQ41" i="13"/>
  <c r="AM37" i="13"/>
  <c r="Z28" i="13"/>
  <c r="X27" i="13"/>
  <c r="X20" i="13"/>
  <c r="AO17" i="13"/>
  <c r="Z15" i="13"/>
  <c r="AO15" i="13"/>
  <c r="AN10" i="13"/>
  <c r="Y10" i="13"/>
  <c r="AB55" i="13"/>
  <c r="AB54" i="13"/>
  <c r="AB53" i="13"/>
  <c r="AA52" i="13"/>
  <c r="AA51" i="13"/>
  <c r="AA50" i="13"/>
  <c r="Z49" i="13"/>
  <c r="Z48" i="13"/>
  <c r="Z47" i="13"/>
  <c r="Y46" i="13"/>
  <c r="AO36" i="13"/>
  <c r="AN33" i="13"/>
  <c r="AB32" i="13"/>
  <c r="AA31" i="13"/>
  <c r="AA30" i="13"/>
  <c r="AA29" i="13"/>
  <c r="B28" i="13"/>
  <c r="X21" i="13"/>
  <c r="AB20" i="13"/>
  <c r="AQ20" i="13"/>
  <c r="AQ19" i="13"/>
  <c r="AO18" i="13"/>
  <c r="AN17" i="13"/>
  <c r="AP16" i="13"/>
  <c r="AA16" i="13"/>
  <c r="AO11" i="13"/>
  <c r="Z11" i="13"/>
  <c r="X10" i="13"/>
  <c r="AM10" i="13"/>
  <c r="AB9" i="13"/>
  <c r="AM7" i="13"/>
  <c r="X7" i="13"/>
  <c r="AA5" i="13"/>
  <c r="AO35" i="13"/>
  <c r="AN34" i="13"/>
  <c r="AB21" i="13"/>
  <c r="AQ21" i="13"/>
  <c r="Z16" i="13"/>
  <c r="AO16" i="13"/>
  <c r="AO12" i="13"/>
  <c r="Z12" i="13"/>
  <c r="Y11" i="13"/>
  <c r="AN11" i="13"/>
  <c r="AQ7" i="13"/>
  <c r="AB7" i="13"/>
  <c r="AN6" i="13"/>
  <c r="Y6" i="13"/>
  <c r="AM41" i="13"/>
  <c r="AM35" i="13"/>
  <c r="AB34" i="13"/>
  <c r="Z32" i="13"/>
  <c r="Y31" i="13"/>
  <c r="Y30" i="13"/>
  <c r="Y29" i="13"/>
  <c r="Y25" i="13"/>
  <c r="Y24" i="13"/>
  <c r="Y23" i="13"/>
  <c r="AM18" i="13"/>
  <c r="AN15" i="13"/>
  <c r="AO13" i="13"/>
  <c r="Z13" i="13"/>
  <c r="Y12" i="13"/>
  <c r="AN12" i="13"/>
  <c r="AB10" i="13"/>
  <c r="AA6" i="13"/>
  <c r="AB35" i="13"/>
  <c r="AA34" i="13"/>
  <c r="Z33" i="13"/>
  <c r="Z26" i="13"/>
  <c r="X25" i="13"/>
  <c r="X24" i="13"/>
  <c r="X23" i="13"/>
  <c r="AP20" i="13"/>
  <c r="AM15" i="13"/>
  <c r="Y13" i="13"/>
  <c r="AN13" i="13"/>
  <c r="AN8" i="13"/>
  <c r="Y8" i="13"/>
  <c r="AR91" i="13" l="1"/>
  <c r="AT91" i="13" s="1"/>
  <c r="AR66" i="13"/>
  <c r="AT66" i="13" s="1"/>
  <c r="AR94" i="13"/>
  <c r="AT94" i="13" s="1"/>
  <c r="AR73" i="13"/>
  <c r="AT73" i="13" s="1"/>
  <c r="AR71" i="13"/>
  <c r="AT71" i="13" s="1"/>
  <c r="AR55" i="13"/>
  <c r="AR44" i="13"/>
  <c r="AT44" i="13" s="1"/>
  <c r="AR92" i="13"/>
  <c r="AT92" i="13" s="1"/>
  <c r="AR85" i="13"/>
  <c r="AT85" i="13" s="1"/>
  <c r="AR82" i="13"/>
  <c r="AT82" i="13" s="1"/>
  <c r="AR80" i="13"/>
  <c r="AT80" i="13" s="1"/>
  <c r="AR84" i="13"/>
  <c r="AT84" i="13" s="1"/>
  <c r="AR70" i="13"/>
  <c r="AT70" i="13" s="1"/>
  <c r="AR23" i="13"/>
  <c r="AT23" i="13" s="1"/>
  <c r="AR40" i="13"/>
  <c r="AR93" i="13"/>
  <c r="AT93" i="13" s="1"/>
  <c r="AR58" i="13"/>
  <c r="AT58" i="13" s="1"/>
  <c r="AR54" i="13"/>
  <c r="AT54" i="13" s="1"/>
  <c r="AR57" i="13"/>
  <c r="AT57" i="13" s="1"/>
  <c r="AR53" i="13"/>
  <c r="AT53" i="13" s="1"/>
  <c r="AR43" i="13"/>
  <c r="AT43" i="13" s="1"/>
  <c r="AR21" i="13"/>
  <c r="AT21" i="13" s="1"/>
  <c r="AR81" i="13"/>
  <c r="AT81" i="13" s="1"/>
  <c r="AR39" i="13"/>
  <c r="AT39" i="13" s="1"/>
  <c r="AR35" i="13"/>
  <c r="AT35" i="13" s="1"/>
  <c r="AR86" i="13"/>
  <c r="AT86" i="13" s="1"/>
  <c r="AR28" i="13"/>
  <c r="AT28" i="13" s="1"/>
  <c r="AR65" i="13"/>
  <c r="AT65" i="13" s="1"/>
  <c r="AR36" i="13"/>
  <c r="AT36" i="13" s="1"/>
  <c r="AR14" i="13"/>
  <c r="AT14" i="13" s="1"/>
  <c r="AR45" i="13"/>
  <c r="AT45" i="13" s="1"/>
  <c r="AR46" i="13"/>
  <c r="AT46" i="13" s="1"/>
  <c r="AR27" i="13"/>
  <c r="AT27" i="13" s="1"/>
  <c r="AR11" i="13"/>
  <c r="AT11" i="13" s="1"/>
  <c r="AR48" i="13"/>
  <c r="AT48" i="13" s="1"/>
  <c r="AR56" i="13"/>
  <c r="AT56" i="13" s="1"/>
  <c r="AR22" i="13"/>
  <c r="AT22" i="13" s="1"/>
  <c r="AR38" i="13"/>
  <c r="AT38" i="13" s="1"/>
  <c r="AR13" i="13"/>
  <c r="AT13" i="13" s="1"/>
  <c r="AR12" i="13"/>
  <c r="AT12" i="13" s="1"/>
  <c r="AR37" i="13"/>
  <c r="AT37" i="13" s="1"/>
  <c r="AR25" i="13"/>
  <c r="AT25" i="13" s="1"/>
  <c r="AR30" i="13"/>
  <c r="AT30" i="13" s="1"/>
  <c r="AR26" i="13"/>
  <c r="AT26" i="13" s="1"/>
  <c r="AR24" i="13"/>
  <c r="AT24" i="13" s="1"/>
  <c r="AR20" i="13"/>
  <c r="AT20" i="13" s="1"/>
  <c r="AR17" i="13"/>
  <c r="AT17" i="13" s="1"/>
  <c r="AR16" i="13"/>
  <c r="AT16" i="13" s="1"/>
  <c r="AR68" i="13"/>
  <c r="AT68" i="13" s="1"/>
  <c r="AR8" i="13"/>
  <c r="AT8" i="13" s="1"/>
  <c r="AR75" i="13"/>
  <c r="AT75" i="13" s="1"/>
  <c r="AR78" i="13"/>
  <c r="AR90" i="13"/>
  <c r="AT90" i="13" s="1"/>
  <c r="AR83" i="13"/>
  <c r="AT83" i="13" s="1"/>
  <c r="AR32" i="13"/>
  <c r="AT32" i="13" s="1"/>
  <c r="AR29" i="13"/>
  <c r="AR74" i="13"/>
  <c r="AT74" i="13" s="1"/>
  <c r="AR89" i="13"/>
  <c r="AT89" i="13" s="1"/>
  <c r="AR88" i="13"/>
  <c r="AT88" i="13" s="1"/>
  <c r="AR7" i="13"/>
  <c r="AR9" i="13"/>
  <c r="AR5" i="13"/>
  <c r="AT5" i="13" s="1"/>
  <c r="AR34" i="13"/>
  <c r="AT34" i="13" s="1"/>
  <c r="AR47" i="13"/>
  <c r="AT47" i="13" s="1"/>
  <c r="AR42" i="13"/>
  <c r="AT42" i="13" s="1"/>
  <c r="AR63" i="13"/>
  <c r="AT63" i="13" s="1"/>
  <c r="AR49" i="13"/>
  <c r="AT49" i="13" s="1"/>
  <c r="AR69" i="13"/>
  <c r="AT69" i="13" s="1"/>
  <c r="AR77" i="13"/>
  <c r="AT77" i="13" s="1"/>
  <c r="AR72" i="13"/>
  <c r="AT72" i="13" s="1"/>
  <c r="AR19" i="13"/>
  <c r="AT19" i="13" s="1"/>
  <c r="AR10" i="13"/>
  <c r="AT10" i="13" s="1"/>
  <c r="AR33" i="13"/>
  <c r="AT33" i="13" s="1"/>
  <c r="AR60" i="13"/>
  <c r="AT60" i="13" s="1"/>
  <c r="AR64" i="13"/>
  <c r="AT64" i="13" s="1"/>
  <c r="AR62" i="13"/>
  <c r="AT62" i="13" s="1"/>
  <c r="AR15" i="13"/>
  <c r="AT15" i="13" s="1"/>
  <c r="AR6" i="13"/>
  <c r="AT6" i="13" s="1"/>
  <c r="AR50" i="13"/>
  <c r="AT50" i="13" s="1"/>
  <c r="AR31" i="13"/>
  <c r="AT31" i="13" s="1"/>
  <c r="AR52" i="13"/>
  <c r="AT52" i="13" s="1"/>
  <c r="AR61" i="13"/>
  <c r="AT61" i="13" s="1"/>
  <c r="AR76" i="13"/>
  <c r="AT76" i="13" s="1"/>
  <c r="AR18" i="13"/>
  <c r="AT18" i="13" s="1"/>
  <c r="AR41" i="13"/>
  <c r="AT41" i="13" s="1"/>
  <c r="AR67" i="13"/>
  <c r="AT67" i="13" s="1"/>
  <c r="AR59" i="13"/>
  <c r="AT59" i="13" s="1"/>
  <c r="AR51" i="13"/>
  <c r="AT51" i="13" s="1"/>
  <c r="AR79" i="13"/>
  <c r="AT79" i="13" s="1"/>
  <c r="AR87" i="13"/>
  <c r="AT87" i="13" s="1"/>
  <c r="AT78" i="13" l="1"/>
  <c r="AT55" i="13"/>
  <c r="AT29" i="13"/>
  <c r="AT9" i="13"/>
  <c r="AT40" i="13"/>
  <c r="AT7" i="13"/>
  <c r="W4" i="13"/>
  <c r="V3" i="13"/>
  <c r="U3" i="13"/>
  <c r="B19" i="25"/>
  <c r="B18" i="25"/>
  <c r="B15" i="25"/>
  <c r="E14" i="25"/>
  <c r="D14" i="25"/>
  <c r="C14" i="25"/>
  <c r="E13" i="25"/>
  <c r="D13" i="25"/>
  <c r="C13" i="25"/>
  <c r="E12" i="25"/>
  <c r="D12" i="25"/>
  <c r="C12" i="25"/>
  <c r="B12" i="25"/>
  <c r="S18" i="9"/>
  <c r="Q18" i="9"/>
  <c r="O18" i="9"/>
  <c r="I18" i="9"/>
  <c r="B18" i="9"/>
  <c r="S17" i="9"/>
  <c r="Q17" i="9"/>
  <c r="O17" i="9"/>
  <c r="I17" i="9"/>
  <c r="B17" i="9"/>
  <c r="S16" i="9"/>
  <c r="Q16" i="9"/>
  <c r="O16" i="9"/>
  <c r="I16" i="9"/>
  <c r="B16" i="9"/>
  <c r="S15" i="9"/>
  <c r="Q15" i="9"/>
  <c r="O15" i="9"/>
  <c r="I15" i="9"/>
  <c r="B15" i="9"/>
  <c r="S14" i="9"/>
  <c r="Q14" i="9"/>
  <c r="O14" i="9"/>
  <c r="I14" i="9"/>
  <c r="B14" i="9"/>
  <c r="O8" i="9"/>
  <c r="N8" i="9"/>
  <c r="L8" i="9"/>
  <c r="G8" i="9"/>
  <c r="F8" i="9"/>
  <c r="E8" i="9"/>
  <c r="O7" i="9"/>
  <c r="N7" i="9"/>
  <c r="L7" i="9"/>
  <c r="G7" i="9"/>
  <c r="F7" i="9"/>
  <c r="E7" i="9"/>
  <c r="O6" i="9"/>
  <c r="N6" i="9"/>
  <c r="L6" i="9"/>
  <c r="G6" i="9"/>
  <c r="F6" i="9"/>
  <c r="E6" i="9"/>
  <c r="O5" i="9"/>
  <c r="N5" i="9"/>
  <c r="L5" i="9"/>
  <c r="G5" i="9"/>
  <c r="F5" i="9"/>
  <c r="E5" i="9"/>
  <c r="O4" i="9"/>
  <c r="N4" i="9"/>
  <c r="L4" i="9"/>
  <c r="G4" i="9"/>
  <c r="F4" i="9"/>
  <c r="E4" i="9"/>
  <c r="AE35" i="24"/>
  <c r="AD35" i="24"/>
  <c r="AC35" i="24"/>
  <c r="AB35" i="24"/>
  <c r="AA35" i="24"/>
  <c r="Z35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S96" i="20"/>
  <c r="R96" i="20"/>
  <c r="Q96" i="20"/>
  <c r="P96" i="20"/>
  <c r="O96" i="20"/>
  <c r="AS95" i="20"/>
  <c r="AR95" i="20"/>
  <c r="AO95" i="20"/>
  <c r="S95" i="20"/>
  <c r="X95" i="20" s="1"/>
  <c r="AH95" i="20" s="1"/>
  <c r="R95" i="20"/>
  <c r="W95" i="20" s="1"/>
  <c r="AG95" i="20" s="1"/>
  <c r="Q95" i="20"/>
  <c r="V95" i="20" s="1"/>
  <c r="P95" i="20"/>
  <c r="U95" i="20" s="1"/>
  <c r="O95" i="20"/>
  <c r="T95" i="20" s="1"/>
  <c r="AD95" i="20" s="1"/>
  <c r="I95" i="20"/>
  <c r="B95" i="20"/>
  <c r="AS94" i="20"/>
  <c r="AR94" i="20"/>
  <c r="AO94" i="20"/>
  <c r="S94" i="20"/>
  <c r="R94" i="20"/>
  <c r="Q94" i="20"/>
  <c r="P94" i="20"/>
  <c r="O94" i="20"/>
  <c r="I94" i="20"/>
  <c r="AX93" i="20"/>
  <c r="AW93" i="20"/>
  <c r="AT93" i="20"/>
  <c r="AS93" i="20"/>
  <c r="AR93" i="20"/>
  <c r="AO93" i="20"/>
  <c r="AN93" i="20"/>
  <c r="AM93" i="20"/>
  <c r="AJ93" i="20"/>
  <c r="AH93" i="20"/>
  <c r="AG93" i="20"/>
  <c r="AD93" i="20"/>
  <c r="X93" i="20"/>
  <c r="W93" i="20"/>
  <c r="T93" i="20"/>
  <c r="S93" i="20"/>
  <c r="R93" i="20"/>
  <c r="Q93" i="20"/>
  <c r="P93" i="20"/>
  <c r="O93" i="20"/>
  <c r="I93" i="20"/>
  <c r="AX92" i="20"/>
  <c r="AW92" i="20"/>
  <c r="AT92" i="20"/>
  <c r="AS92" i="20"/>
  <c r="AR92" i="20"/>
  <c r="AO92" i="20"/>
  <c r="AN92" i="20"/>
  <c r="AM92" i="20"/>
  <c r="AJ92" i="20"/>
  <c r="AH92" i="20"/>
  <c r="AG92" i="20"/>
  <c r="AD92" i="20"/>
  <c r="X92" i="20"/>
  <c r="W92" i="20"/>
  <c r="T92" i="20"/>
  <c r="S92" i="20"/>
  <c r="R92" i="20"/>
  <c r="Q92" i="20"/>
  <c r="P92" i="20"/>
  <c r="O92" i="20"/>
  <c r="I92" i="20"/>
  <c r="AX91" i="20"/>
  <c r="AW91" i="20"/>
  <c r="AT91" i="20"/>
  <c r="AS91" i="20"/>
  <c r="AR91" i="20"/>
  <c r="AO91" i="20"/>
  <c r="AN91" i="20"/>
  <c r="AM91" i="20"/>
  <c r="AJ91" i="20"/>
  <c r="AH91" i="20"/>
  <c r="AG91" i="20"/>
  <c r="AD91" i="20"/>
  <c r="X91" i="20"/>
  <c r="W91" i="20"/>
  <c r="T91" i="20"/>
  <c r="S91" i="20"/>
  <c r="R91" i="20"/>
  <c r="Q91" i="20"/>
  <c r="P91" i="20"/>
  <c r="O91" i="20"/>
  <c r="I91" i="20"/>
  <c r="AX90" i="20"/>
  <c r="AW90" i="20"/>
  <c r="AT90" i="20"/>
  <c r="AS90" i="20"/>
  <c r="AR90" i="20"/>
  <c r="AO90" i="20"/>
  <c r="AN90" i="20"/>
  <c r="AM90" i="20"/>
  <c r="AJ90" i="20"/>
  <c r="AH90" i="20"/>
  <c r="AG90" i="20"/>
  <c r="AD90" i="20"/>
  <c r="X90" i="20"/>
  <c r="W90" i="20"/>
  <c r="T90" i="20"/>
  <c r="S90" i="20"/>
  <c r="R90" i="20"/>
  <c r="Q90" i="20"/>
  <c r="P90" i="20"/>
  <c r="O90" i="20"/>
  <c r="I90" i="20"/>
  <c r="AX89" i="20"/>
  <c r="AW89" i="20"/>
  <c r="AT89" i="20"/>
  <c r="AS89" i="20"/>
  <c r="AR89" i="20"/>
  <c r="AO89" i="20"/>
  <c r="AN89" i="20"/>
  <c r="AM89" i="20"/>
  <c r="AJ89" i="20"/>
  <c r="AH89" i="20"/>
  <c r="AG89" i="20"/>
  <c r="AD89" i="20"/>
  <c r="X89" i="20"/>
  <c r="W89" i="20"/>
  <c r="T89" i="20"/>
  <c r="S89" i="20"/>
  <c r="R89" i="20"/>
  <c r="P89" i="20"/>
  <c r="O89" i="20"/>
  <c r="I89" i="20"/>
  <c r="AX88" i="20"/>
  <c r="AW88" i="20"/>
  <c r="AT88" i="20"/>
  <c r="AS88" i="20"/>
  <c r="AR88" i="20"/>
  <c r="AO88" i="20"/>
  <c r="AN88" i="20"/>
  <c r="AM88" i="20"/>
  <c r="AJ88" i="20"/>
  <c r="AH88" i="20"/>
  <c r="AG88" i="20"/>
  <c r="AD88" i="20"/>
  <c r="X88" i="20"/>
  <c r="W88" i="20"/>
  <c r="T88" i="20"/>
  <c r="S88" i="20"/>
  <c r="R88" i="20"/>
  <c r="P88" i="20"/>
  <c r="O88" i="20"/>
  <c r="I88" i="20"/>
  <c r="AX87" i="20"/>
  <c r="AW87" i="20"/>
  <c r="AT87" i="20"/>
  <c r="AS87" i="20"/>
  <c r="AR87" i="20"/>
  <c r="AO87" i="20"/>
  <c r="AN87" i="20"/>
  <c r="AM87" i="20"/>
  <c r="AJ87" i="20"/>
  <c r="AH87" i="20"/>
  <c r="AG87" i="20"/>
  <c r="AD87" i="20"/>
  <c r="X87" i="20"/>
  <c r="W87" i="20"/>
  <c r="T87" i="20"/>
  <c r="S87" i="20"/>
  <c r="R87" i="20"/>
  <c r="P87" i="20"/>
  <c r="O87" i="20"/>
  <c r="I87" i="20"/>
  <c r="AX86" i="20"/>
  <c r="AW86" i="20"/>
  <c r="AT86" i="20"/>
  <c r="AS86" i="20"/>
  <c r="AR86" i="20"/>
  <c r="AO86" i="20"/>
  <c r="AN86" i="20"/>
  <c r="AM86" i="20"/>
  <c r="AJ86" i="20"/>
  <c r="AH86" i="20"/>
  <c r="AG86" i="20"/>
  <c r="AD86" i="20"/>
  <c r="X86" i="20"/>
  <c r="W86" i="20"/>
  <c r="T86" i="20"/>
  <c r="S86" i="20"/>
  <c r="R86" i="20"/>
  <c r="P86" i="20"/>
  <c r="O86" i="20"/>
  <c r="I86" i="20"/>
  <c r="AX85" i="20"/>
  <c r="AW85" i="20"/>
  <c r="AT85" i="20"/>
  <c r="AS85" i="20"/>
  <c r="AR85" i="20"/>
  <c r="AO85" i="20"/>
  <c r="AN85" i="20"/>
  <c r="AM85" i="20"/>
  <c r="AJ85" i="20"/>
  <c r="AH85" i="20"/>
  <c r="AG85" i="20"/>
  <c r="AD85" i="20"/>
  <c r="X85" i="20"/>
  <c r="W85" i="20"/>
  <c r="T85" i="20"/>
  <c r="S85" i="20"/>
  <c r="R85" i="20"/>
  <c r="P85" i="20"/>
  <c r="O85" i="20"/>
  <c r="I85" i="20"/>
  <c r="AX84" i="20"/>
  <c r="AW84" i="20"/>
  <c r="AT84" i="20"/>
  <c r="AS84" i="20"/>
  <c r="AR84" i="20"/>
  <c r="AO84" i="20"/>
  <c r="AN84" i="20"/>
  <c r="AM84" i="20"/>
  <c r="AJ84" i="20"/>
  <c r="AH84" i="20"/>
  <c r="AG84" i="20"/>
  <c r="AD84" i="20"/>
  <c r="X84" i="20"/>
  <c r="W84" i="20"/>
  <c r="T84" i="20"/>
  <c r="S84" i="20"/>
  <c r="R84" i="20"/>
  <c r="P84" i="20"/>
  <c r="O84" i="20"/>
  <c r="I84" i="20"/>
  <c r="AX83" i="20"/>
  <c r="AW83" i="20"/>
  <c r="AT83" i="20"/>
  <c r="AS83" i="20"/>
  <c r="AR83" i="20"/>
  <c r="AO83" i="20"/>
  <c r="AN83" i="20"/>
  <c r="AM83" i="20"/>
  <c r="AJ83" i="20"/>
  <c r="AH83" i="20"/>
  <c r="AG83" i="20"/>
  <c r="AD83" i="20"/>
  <c r="X83" i="20"/>
  <c r="W83" i="20"/>
  <c r="T83" i="20"/>
  <c r="S83" i="20"/>
  <c r="R83" i="20"/>
  <c r="AF82" i="20"/>
  <c r="P83" i="20"/>
  <c r="O83" i="20"/>
  <c r="I83" i="20"/>
  <c r="AX82" i="20"/>
  <c r="AW82" i="20"/>
  <c r="AT82" i="20"/>
  <c r="AS82" i="20"/>
  <c r="AR82" i="20"/>
  <c r="AO82" i="20"/>
  <c r="AN82" i="20"/>
  <c r="AM82" i="20"/>
  <c r="AJ82" i="20"/>
  <c r="AH82" i="20"/>
  <c r="AG82" i="20"/>
  <c r="AD82" i="20"/>
  <c r="X82" i="20"/>
  <c r="W82" i="20"/>
  <c r="T82" i="20"/>
  <c r="S82" i="20"/>
  <c r="R82" i="20"/>
  <c r="P82" i="20"/>
  <c r="O82" i="20"/>
  <c r="I82" i="20"/>
  <c r="AX81" i="20"/>
  <c r="AW81" i="20"/>
  <c r="AT81" i="20"/>
  <c r="AS81" i="20"/>
  <c r="AR81" i="20"/>
  <c r="AO81" i="20"/>
  <c r="AN81" i="20"/>
  <c r="AM81" i="20"/>
  <c r="AJ81" i="20"/>
  <c r="AH81" i="20"/>
  <c r="AG81" i="20"/>
  <c r="AD81" i="20"/>
  <c r="X81" i="20"/>
  <c r="W81" i="20"/>
  <c r="T81" i="20"/>
  <c r="S81" i="20"/>
  <c r="R81" i="20"/>
  <c r="AF81" i="20"/>
  <c r="P81" i="20"/>
  <c r="O81" i="20"/>
  <c r="I81" i="20"/>
  <c r="AX80" i="20"/>
  <c r="AW80" i="20"/>
  <c r="AT80" i="20"/>
  <c r="AS80" i="20"/>
  <c r="AR80" i="20"/>
  <c r="AO80" i="20"/>
  <c r="AN80" i="20"/>
  <c r="AM80" i="20"/>
  <c r="AJ80" i="20"/>
  <c r="AH80" i="20"/>
  <c r="AG80" i="20"/>
  <c r="AD80" i="20"/>
  <c r="X80" i="20"/>
  <c r="W80" i="20"/>
  <c r="T80" i="20"/>
  <c r="S80" i="20"/>
  <c r="R80" i="20"/>
  <c r="P80" i="20"/>
  <c r="O80" i="20"/>
  <c r="I80" i="20"/>
  <c r="AX79" i="20"/>
  <c r="AW79" i="20"/>
  <c r="AT79" i="20"/>
  <c r="AS79" i="20"/>
  <c r="AR79" i="20"/>
  <c r="AO79" i="20"/>
  <c r="AN79" i="20"/>
  <c r="AM79" i="20"/>
  <c r="AJ79" i="20"/>
  <c r="AH79" i="20"/>
  <c r="AG79" i="20"/>
  <c r="AD79" i="20"/>
  <c r="X79" i="20"/>
  <c r="W79" i="20"/>
  <c r="T79" i="20"/>
  <c r="S79" i="20"/>
  <c r="R79" i="20"/>
  <c r="Q79" i="20"/>
  <c r="P79" i="20"/>
  <c r="O79" i="20"/>
  <c r="I79" i="20"/>
  <c r="AX78" i="20"/>
  <c r="AW78" i="20"/>
  <c r="AT78" i="20"/>
  <c r="AS78" i="20"/>
  <c r="AR78" i="20"/>
  <c r="AO78" i="20"/>
  <c r="AN78" i="20"/>
  <c r="AM78" i="20"/>
  <c r="AJ78" i="20"/>
  <c r="AH78" i="20"/>
  <c r="AG78" i="20"/>
  <c r="AD78" i="20"/>
  <c r="X78" i="20"/>
  <c r="W78" i="20"/>
  <c r="T78" i="20"/>
  <c r="S78" i="20"/>
  <c r="R78" i="20"/>
  <c r="Q78" i="20"/>
  <c r="P78" i="20"/>
  <c r="O78" i="20"/>
  <c r="I78" i="20"/>
  <c r="AX77" i="20"/>
  <c r="AW77" i="20"/>
  <c r="AT77" i="20"/>
  <c r="AS77" i="20"/>
  <c r="AR77" i="20"/>
  <c r="AO77" i="20"/>
  <c r="AN77" i="20"/>
  <c r="AM77" i="20"/>
  <c r="AJ77" i="20"/>
  <c r="AH77" i="20"/>
  <c r="AG77" i="20"/>
  <c r="AD77" i="20"/>
  <c r="X77" i="20"/>
  <c r="W77" i="20"/>
  <c r="T77" i="20"/>
  <c r="S77" i="20"/>
  <c r="R77" i="20"/>
  <c r="Q77" i="20"/>
  <c r="P77" i="20"/>
  <c r="AE77" i="20" s="1"/>
  <c r="O77" i="20"/>
  <c r="I77" i="20"/>
  <c r="AX76" i="20"/>
  <c r="AW76" i="20"/>
  <c r="AT76" i="20"/>
  <c r="AS76" i="20"/>
  <c r="AR76" i="20"/>
  <c r="AO76" i="20"/>
  <c r="AN76" i="20"/>
  <c r="AM76" i="20"/>
  <c r="AJ76" i="20"/>
  <c r="AH76" i="20"/>
  <c r="AG76" i="20"/>
  <c r="AD76" i="20"/>
  <c r="X76" i="20"/>
  <c r="W76" i="20"/>
  <c r="T76" i="20"/>
  <c r="S76" i="20"/>
  <c r="R76" i="20"/>
  <c r="Q76" i="20"/>
  <c r="P76" i="20"/>
  <c r="O76" i="20"/>
  <c r="I76" i="20"/>
  <c r="AX75" i="20"/>
  <c r="AW75" i="20"/>
  <c r="AT75" i="20"/>
  <c r="AS75" i="20"/>
  <c r="AR75" i="20"/>
  <c r="AO75" i="20"/>
  <c r="AN75" i="20"/>
  <c r="AM75" i="20"/>
  <c r="AJ75" i="20"/>
  <c r="AH75" i="20"/>
  <c r="AG75" i="20"/>
  <c r="AD75" i="20"/>
  <c r="X75" i="20"/>
  <c r="W75" i="20"/>
  <c r="T75" i="20"/>
  <c r="S75" i="20"/>
  <c r="R75" i="20"/>
  <c r="Q75" i="20"/>
  <c r="P75" i="20"/>
  <c r="O75" i="20"/>
  <c r="I75" i="20"/>
  <c r="AX74" i="20"/>
  <c r="AW74" i="20"/>
  <c r="AT74" i="20"/>
  <c r="AS74" i="20"/>
  <c r="AR74" i="20"/>
  <c r="AO74" i="20"/>
  <c r="AN74" i="20"/>
  <c r="AM74" i="20"/>
  <c r="AJ74" i="20"/>
  <c r="AH74" i="20"/>
  <c r="AG74" i="20"/>
  <c r="AD74" i="20"/>
  <c r="X74" i="20"/>
  <c r="W74" i="20"/>
  <c r="T74" i="20"/>
  <c r="S74" i="20"/>
  <c r="R74" i="20"/>
  <c r="Q74" i="20"/>
  <c r="P74" i="20"/>
  <c r="O74" i="20"/>
  <c r="I74" i="20"/>
  <c r="AX73" i="20"/>
  <c r="AW73" i="20"/>
  <c r="AT73" i="20"/>
  <c r="AS73" i="20"/>
  <c r="AR73" i="20"/>
  <c r="AO73" i="20"/>
  <c r="AN73" i="20"/>
  <c r="AM73" i="20"/>
  <c r="AJ73" i="20"/>
  <c r="AH73" i="20"/>
  <c r="AG73" i="20"/>
  <c r="AD73" i="20"/>
  <c r="X73" i="20"/>
  <c r="W73" i="20"/>
  <c r="T73" i="20"/>
  <c r="S73" i="20"/>
  <c r="R73" i="20"/>
  <c r="Q73" i="20"/>
  <c r="P73" i="20"/>
  <c r="O73" i="20"/>
  <c r="I73" i="20"/>
  <c r="AX72" i="20"/>
  <c r="AW72" i="20"/>
  <c r="AT72" i="20"/>
  <c r="AS72" i="20"/>
  <c r="AR72" i="20"/>
  <c r="AO72" i="20"/>
  <c r="AN72" i="20"/>
  <c r="AM72" i="20"/>
  <c r="AJ72" i="20"/>
  <c r="AH72" i="20"/>
  <c r="AG72" i="20"/>
  <c r="AD72" i="20"/>
  <c r="X72" i="20"/>
  <c r="W72" i="20"/>
  <c r="T72" i="20"/>
  <c r="S72" i="20"/>
  <c r="R72" i="20"/>
  <c r="Q72" i="20"/>
  <c r="P72" i="20"/>
  <c r="O72" i="20"/>
  <c r="I72" i="20"/>
  <c r="AX71" i="20"/>
  <c r="AW71" i="20"/>
  <c r="AT71" i="20"/>
  <c r="AS71" i="20"/>
  <c r="AR71" i="20"/>
  <c r="AO71" i="20"/>
  <c r="AN71" i="20"/>
  <c r="AM71" i="20"/>
  <c r="AJ71" i="20"/>
  <c r="AH71" i="20"/>
  <c r="AG71" i="20"/>
  <c r="AD71" i="20"/>
  <c r="X71" i="20"/>
  <c r="W71" i="20"/>
  <c r="T71" i="20"/>
  <c r="S71" i="20"/>
  <c r="R71" i="20"/>
  <c r="Q71" i="20"/>
  <c r="P71" i="20"/>
  <c r="O71" i="20"/>
  <c r="I71" i="20"/>
  <c r="AX70" i="20"/>
  <c r="AW70" i="20"/>
  <c r="AT70" i="20"/>
  <c r="AS70" i="20"/>
  <c r="AR70" i="20"/>
  <c r="AO70" i="20"/>
  <c r="AN70" i="20"/>
  <c r="AM70" i="20"/>
  <c r="AJ70" i="20"/>
  <c r="AH70" i="20"/>
  <c r="AG70" i="20"/>
  <c r="AD70" i="20"/>
  <c r="X70" i="20"/>
  <c r="W70" i="20"/>
  <c r="T70" i="20"/>
  <c r="S70" i="20"/>
  <c r="R70" i="20"/>
  <c r="Q70" i="20"/>
  <c r="P70" i="20"/>
  <c r="O70" i="20"/>
  <c r="I70" i="20"/>
  <c r="AX69" i="20"/>
  <c r="AW69" i="20"/>
  <c r="AT69" i="20"/>
  <c r="AS69" i="20"/>
  <c r="AR69" i="20"/>
  <c r="AO69" i="20"/>
  <c r="AN69" i="20"/>
  <c r="AM69" i="20"/>
  <c r="AJ69" i="20"/>
  <c r="AH69" i="20"/>
  <c r="AG69" i="20"/>
  <c r="AD69" i="20"/>
  <c r="X69" i="20"/>
  <c r="W69" i="20"/>
  <c r="T69" i="20"/>
  <c r="S69" i="20"/>
  <c r="R69" i="20"/>
  <c r="Q69" i="20"/>
  <c r="P69" i="20"/>
  <c r="O69" i="20"/>
  <c r="I69" i="20"/>
  <c r="AX68" i="20"/>
  <c r="AW68" i="20"/>
  <c r="AT68" i="20"/>
  <c r="AS68" i="20"/>
  <c r="AR68" i="20"/>
  <c r="AO68" i="20"/>
  <c r="AN68" i="20"/>
  <c r="AM68" i="20"/>
  <c r="AJ68" i="20"/>
  <c r="AH68" i="20"/>
  <c r="AG68" i="20"/>
  <c r="AD68" i="20"/>
  <c r="X68" i="20"/>
  <c r="W68" i="20"/>
  <c r="T68" i="20"/>
  <c r="S68" i="20"/>
  <c r="R68" i="20"/>
  <c r="Q68" i="20"/>
  <c r="P68" i="20"/>
  <c r="O68" i="20"/>
  <c r="I68" i="20"/>
  <c r="AX67" i="20"/>
  <c r="AW67" i="20"/>
  <c r="AT67" i="20"/>
  <c r="AS67" i="20"/>
  <c r="AR67" i="20"/>
  <c r="AO67" i="20"/>
  <c r="AN67" i="20"/>
  <c r="AM67" i="20"/>
  <c r="AJ67" i="20"/>
  <c r="AH67" i="20"/>
  <c r="AG67" i="20"/>
  <c r="AD67" i="20"/>
  <c r="X67" i="20"/>
  <c r="W67" i="20"/>
  <c r="T67" i="20"/>
  <c r="S67" i="20"/>
  <c r="R67" i="20"/>
  <c r="Q67" i="20"/>
  <c r="P67" i="20"/>
  <c r="O67" i="20"/>
  <c r="I67" i="20"/>
  <c r="AX66" i="20"/>
  <c r="AW66" i="20"/>
  <c r="AT66" i="20"/>
  <c r="AS66" i="20"/>
  <c r="AR66" i="20"/>
  <c r="AO66" i="20"/>
  <c r="AN66" i="20"/>
  <c r="AM66" i="20"/>
  <c r="AJ66" i="20"/>
  <c r="AH66" i="20"/>
  <c r="AG66" i="20"/>
  <c r="AD66" i="20"/>
  <c r="X66" i="20"/>
  <c r="W66" i="20"/>
  <c r="T66" i="20"/>
  <c r="S66" i="20"/>
  <c r="R66" i="20"/>
  <c r="Q66" i="20"/>
  <c r="P66" i="20"/>
  <c r="O66" i="20"/>
  <c r="I66" i="20"/>
  <c r="AX65" i="20"/>
  <c r="AW65" i="20"/>
  <c r="AT65" i="20"/>
  <c r="AS65" i="20"/>
  <c r="AR65" i="20"/>
  <c r="AO65" i="20"/>
  <c r="AN65" i="20"/>
  <c r="AM65" i="20"/>
  <c r="AJ65" i="20"/>
  <c r="AH65" i="20"/>
  <c r="AG65" i="20"/>
  <c r="AD65" i="20"/>
  <c r="X65" i="20"/>
  <c r="W65" i="20"/>
  <c r="T65" i="20"/>
  <c r="S65" i="20"/>
  <c r="R65" i="20"/>
  <c r="Q65" i="20"/>
  <c r="P65" i="20"/>
  <c r="O65" i="20"/>
  <c r="I65" i="20"/>
  <c r="AX64" i="20"/>
  <c r="AW64" i="20"/>
  <c r="AT64" i="20"/>
  <c r="AS64" i="20"/>
  <c r="AR64" i="20"/>
  <c r="AO64" i="20"/>
  <c r="AN64" i="20"/>
  <c r="AM64" i="20"/>
  <c r="AJ64" i="20"/>
  <c r="AH64" i="20"/>
  <c r="AG64" i="20"/>
  <c r="AD64" i="20"/>
  <c r="X64" i="20"/>
  <c r="W64" i="20"/>
  <c r="T64" i="20"/>
  <c r="S64" i="20"/>
  <c r="R64" i="20"/>
  <c r="Q64" i="20"/>
  <c r="P64" i="20"/>
  <c r="O64" i="20"/>
  <c r="I64" i="20"/>
  <c r="AX63" i="20"/>
  <c r="AW63" i="20"/>
  <c r="AT63" i="20"/>
  <c r="AS63" i="20"/>
  <c r="AR63" i="20"/>
  <c r="AO63" i="20"/>
  <c r="AN63" i="20"/>
  <c r="AM63" i="20"/>
  <c r="AJ63" i="20"/>
  <c r="AH63" i="20"/>
  <c r="AG63" i="20"/>
  <c r="AD63" i="20"/>
  <c r="X63" i="20"/>
  <c r="W63" i="20"/>
  <c r="T63" i="20"/>
  <c r="S63" i="20"/>
  <c r="R63" i="20"/>
  <c r="Q63" i="20"/>
  <c r="P63" i="20"/>
  <c r="O63" i="20"/>
  <c r="I63" i="20"/>
  <c r="AX62" i="20"/>
  <c r="AW62" i="20"/>
  <c r="AT62" i="20"/>
  <c r="AS62" i="20"/>
  <c r="AR62" i="20"/>
  <c r="AO62" i="20"/>
  <c r="AN62" i="20"/>
  <c r="AM62" i="20"/>
  <c r="AJ62" i="20"/>
  <c r="AH62" i="20"/>
  <c r="AG62" i="20"/>
  <c r="AD62" i="20"/>
  <c r="X62" i="20"/>
  <c r="W62" i="20"/>
  <c r="T62" i="20"/>
  <c r="S62" i="20"/>
  <c r="R62" i="20"/>
  <c r="Q62" i="20"/>
  <c r="P62" i="20"/>
  <c r="O62" i="20"/>
  <c r="I62" i="20"/>
  <c r="AX61" i="20"/>
  <c r="AW61" i="20"/>
  <c r="AT61" i="20"/>
  <c r="AS61" i="20"/>
  <c r="AR61" i="20"/>
  <c r="AO61" i="20"/>
  <c r="AN61" i="20"/>
  <c r="AM61" i="20"/>
  <c r="AJ61" i="20"/>
  <c r="AH61" i="20"/>
  <c r="AG61" i="20"/>
  <c r="AD61" i="20"/>
  <c r="X61" i="20"/>
  <c r="W61" i="20"/>
  <c r="T61" i="20"/>
  <c r="S61" i="20"/>
  <c r="R61" i="20"/>
  <c r="Q61" i="20"/>
  <c r="P61" i="20"/>
  <c r="O61" i="20"/>
  <c r="I61" i="20"/>
  <c r="AX60" i="20"/>
  <c r="AW60" i="20"/>
  <c r="AT60" i="20"/>
  <c r="AS60" i="20"/>
  <c r="AR60" i="20"/>
  <c r="AO60" i="20"/>
  <c r="AN60" i="20"/>
  <c r="AM60" i="20"/>
  <c r="AJ60" i="20"/>
  <c r="AH60" i="20"/>
  <c r="AG60" i="20"/>
  <c r="AD60" i="20"/>
  <c r="X60" i="20"/>
  <c r="W60" i="20"/>
  <c r="T60" i="20"/>
  <c r="S60" i="20"/>
  <c r="R60" i="20"/>
  <c r="Q60" i="20"/>
  <c r="P60" i="20"/>
  <c r="U60" i="20" s="1"/>
  <c r="O60" i="20"/>
  <c r="I60" i="20"/>
  <c r="AX59" i="20"/>
  <c r="AW59" i="20"/>
  <c r="AT59" i="20"/>
  <c r="AS59" i="20"/>
  <c r="AR59" i="20"/>
  <c r="AO59" i="20"/>
  <c r="AN59" i="20"/>
  <c r="AM59" i="20"/>
  <c r="AJ59" i="20"/>
  <c r="AH59" i="20"/>
  <c r="AG59" i="20"/>
  <c r="AD59" i="20"/>
  <c r="X59" i="20"/>
  <c r="W59" i="20"/>
  <c r="T59" i="20"/>
  <c r="S59" i="20"/>
  <c r="R59" i="20"/>
  <c r="Q59" i="20"/>
  <c r="P59" i="20"/>
  <c r="O59" i="20"/>
  <c r="I59" i="20"/>
  <c r="AX58" i="20"/>
  <c r="AW58" i="20"/>
  <c r="AT58" i="20"/>
  <c r="AS58" i="20"/>
  <c r="AR58" i="20"/>
  <c r="AO58" i="20"/>
  <c r="AN58" i="20"/>
  <c r="AM58" i="20"/>
  <c r="AJ58" i="20"/>
  <c r="AH58" i="20"/>
  <c r="AG58" i="20"/>
  <c r="AD58" i="20"/>
  <c r="X58" i="20"/>
  <c r="W58" i="20"/>
  <c r="T58" i="20"/>
  <c r="S58" i="20"/>
  <c r="R58" i="20"/>
  <c r="Q58" i="20"/>
  <c r="P58" i="20"/>
  <c r="O58" i="20"/>
  <c r="I58" i="20"/>
  <c r="AX57" i="20"/>
  <c r="AW57" i="20"/>
  <c r="AT57" i="20"/>
  <c r="AS57" i="20"/>
  <c r="AR57" i="20"/>
  <c r="AO57" i="20"/>
  <c r="AN57" i="20"/>
  <c r="AM57" i="20"/>
  <c r="AJ57" i="20"/>
  <c r="AH57" i="20"/>
  <c r="AG57" i="20"/>
  <c r="AD57" i="20"/>
  <c r="X57" i="20"/>
  <c r="W57" i="20"/>
  <c r="T57" i="20"/>
  <c r="S57" i="20"/>
  <c r="R57" i="20"/>
  <c r="Q57" i="20"/>
  <c r="P57" i="20"/>
  <c r="O57" i="20"/>
  <c r="I57" i="20"/>
  <c r="AX56" i="20"/>
  <c r="AW56" i="20"/>
  <c r="AT56" i="20"/>
  <c r="AS56" i="20"/>
  <c r="AR56" i="20"/>
  <c r="AO56" i="20"/>
  <c r="AN56" i="20"/>
  <c r="AM56" i="20"/>
  <c r="AJ56" i="20"/>
  <c r="AH56" i="20"/>
  <c r="AG56" i="20"/>
  <c r="AD56" i="20"/>
  <c r="X56" i="20"/>
  <c r="W56" i="20"/>
  <c r="T56" i="20"/>
  <c r="S56" i="20"/>
  <c r="R56" i="20"/>
  <c r="Q56" i="20"/>
  <c r="P56" i="20"/>
  <c r="O56" i="20"/>
  <c r="I56" i="20"/>
  <c r="AX55" i="20"/>
  <c r="AW55" i="20"/>
  <c r="AT55" i="20"/>
  <c r="AS55" i="20"/>
  <c r="AR55" i="20"/>
  <c r="AO55" i="20"/>
  <c r="AN55" i="20"/>
  <c r="AM55" i="20"/>
  <c r="AJ55" i="20"/>
  <c r="AH55" i="20"/>
  <c r="AG55" i="20"/>
  <c r="AD55" i="20"/>
  <c r="X55" i="20"/>
  <c r="W55" i="20"/>
  <c r="T55" i="20"/>
  <c r="S55" i="20"/>
  <c r="R55" i="20"/>
  <c r="Q55" i="20"/>
  <c r="P55" i="20"/>
  <c r="O55" i="20"/>
  <c r="I55" i="20"/>
  <c r="AX54" i="20"/>
  <c r="AW54" i="20"/>
  <c r="AT54" i="20"/>
  <c r="AS54" i="20"/>
  <c r="AR54" i="20"/>
  <c r="AO54" i="20"/>
  <c r="AN54" i="20"/>
  <c r="AM54" i="20"/>
  <c r="AJ54" i="20"/>
  <c r="AH54" i="20"/>
  <c r="AG54" i="20"/>
  <c r="AD54" i="20"/>
  <c r="X54" i="20"/>
  <c r="W54" i="20"/>
  <c r="T54" i="20"/>
  <c r="S54" i="20"/>
  <c r="R54" i="20"/>
  <c r="Q54" i="20"/>
  <c r="P54" i="20"/>
  <c r="O54" i="20"/>
  <c r="I54" i="20"/>
  <c r="AX53" i="20"/>
  <c r="AW53" i="20"/>
  <c r="AT53" i="20"/>
  <c r="AS53" i="20"/>
  <c r="AR53" i="20"/>
  <c r="AO53" i="20"/>
  <c r="AN53" i="20"/>
  <c r="AM53" i="20"/>
  <c r="AJ53" i="20"/>
  <c r="AH53" i="20"/>
  <c r="AG53" i="20"/>
  <c r="AD53" i="20"/>
  <c r="X53" i="20"/>
  <c r="W53" i="20"/>
  <c r="T53" i="20"/>
  <c r="S53" i="20"/>
  <c r="R53" i="20"/>
  <c r="Q53" i="20"/>
  <c r="P53" i="20"/>
  <c r="O53" i="20"/>
  <c r="I53" i="20"/>
  <c r="AX52" i="20"/>
  <c r="AW52" i="20"/>
  <c r="AT52" i="20"/>
  <c r="AS52" i="20"/>
  <c r="AR52" i="20"/>
  <c r="AO52" i="20"/>
  <c r="AN52" i="20"/>
  <c r="AM52" i="20"/>
  <c r="AJ52" i="20"/>
  <c r="AH52" i="20"/>
  <c r="AG52" i="20"/>
  <c r="AD52" i="20"/>
  <c r="X52" i="20"/>
  <c r="W52" i="20"/>
  <c r="T52" i="20"/>
  <c r="S52" i="20"/>
  <c r="R52" i="20"/>
  <c r="Q52" i="20"/>
  <c r="P52" i="20"/>
  <c r="O52" i="20"/>
  <c r="I52" i="20"/>
  <c r="AX51" i="20"/>
  <c r="AW51" i="20"/>
  <c r="AT51" i="20"/>
  <c r="AS51" i="20"/>
  <c r="AR51" i="20"/>
  <c r="AO51" i="20"/>
  <c r="AN51" i="20"/>
  <c r="AM51" i="20"/>
  <c r="AJ51" i="20"/>
  <c r="AH51" i="20"/>
  <c r="AG51" i="20"/>
  <c r="AD51" i="20"/>
  <c r="X51" i="20"/>
  <c r="W51" i="20"/>
  <c r="T51" i="20"/>
  <c r="S51" i="20"/>
  <c r="R51" i="20"/>
  <c r="Q51" i="20"/>
  <c r="P51" i="20"/>
  <c r="O51" i="20"/>
  <c r="I51" i="20"/>
  <c r="AX50" i="20"/>
  <c r="AW50" i="20"/>
  <c r="AT50" i="20"/>
  <c r="AS50" i="20"/>
  <c r="AR50" i="20"/>
  <c r="AO50" i="20"/>
  <c r="AN50" i="20"/>
  <c r="AM50" i="20"/>
  <c r="AJ50" i="20"/>
  <c r="AH50" i="20"/>
  <c r="AG50" i="20"/>
  <c r="AD50" i="20"/>
  <c r="X50" i="20"/>
  <c r="W50" i="20"/>
  <c r="T50" i="20"/>
  <c r="S50" i="20"/>
  <c r="R50" i="20"/>
  <c r="Q50" i="20"/>
  <c r="P50" i="20"/>
  <c r="O50" i="20"/>
  <c r="I50" i="20"/>
  <c r="AX49" i="20"/>
  <c r="AW49" i="20"/>
  <c r="AT49" i="20"/>
  <c r="AS49" i="20"/>
  <c r="AR49" i="20"/>
  <c r="AO49" i="20"/>
  <c r="AN49" i="20"/>
  <c r="AM49" i="20"/>
  <c r="AJ49" i="20"/>
  <c r="AH49" i="20"/>
  <c r="AG49" i="20"/>
  <c r="AD49" i="20"/>
  <c r="X49" i="20"/>
  <c r="W49" i="20"/>
  <c r="T49" i="20"/>
  <c r="S49" i="20"/>
  <c r="R49" i="20"/>
  <c r="Q49" i="20"/>
  <c r="P49" i="20"/>
  <c r="O49" i="20"/>
  <c r="I49" i="20"/>
  <c r="AX48" i="20"/>
  <c r="AW48" i="20"/>
  <c r="AT48" i="20"/>
  <c r="AS48" i="20"/>
  <c r="AR48" i="20"/>
  <c r="AO48" i="20"/>
  <c r="AN48" i="20"/>
  <c r="AM48" i="20"/>
  <c r="AJ48" i="20"/>
  <c r="AH48" i="20"/>
  <c r="AG48" i="20"/>
  <c r="AD48" i="20"/>
  <c r="X48" i="20"/>
  <c r="W48" i="20"/>
  <c r="T48" i="20"/>
  <c r="S48" i="20"/>
  <c r="R48" i="20"/>
  <c r="Q48" i="20"/>
  <c r="P48" i="20"/>
  <c r="O48" i="20"/>
  <c r="I48" i="20"/>
  <c r="AX47" i="20"/>
  <c r="AW47" i="20"/>
  <c r="AT47" i="20"/>
  <c r="AS47" i="20"/>
  <c r="AR47" i="20"/>
  <c r="AO47" i="20"/>
  <c r="AN47" i="20"/>
  <c r="AM47" i="20"/>
  <c r="AJ47" i="20"/>
  <c r="AH47" i="20"/>
  <c r="AG47" i="20"/>
  <c r="AD47" i="20"/>
  <c r="X47" i="20"/>
  <c r="W47" i="20"/>
  <c r="T47" i="20"/>
  <c r="S47" i="20"/>
  <c r="R47" i="20"/>
  <c r="Q47" i="20"/>
  <c r="P47" i="20"/>
  <c r="O47" i="20"/>
  <c r="I47" i="20"/>
  <c r="AX46" i="20"/>
  <c r="AW46" i="20"/>
  <c r="AT46" i="20"/>
  <c r="AS46" i="20"/>
  <c r="AR46" i="20"/>
  <c r="AO46" i="20"/>
  <c r="AN46" i="20"/>
  <c r="AM46" i="20"/>
  <c r="AJ46" i="20"/>
  <c r="AH46" i="20"/>
  <c r="AG46" i="20"/>
  <c r="AD46" i="20"/>
  <c r="X46" i="20"/>
  <c r="W46" i="20"/>
  <c r="T46" i="20"/>
  <c r="S46" i="20"/>
  <c r="R46" i="20"/>
  <c r="Q46" i="20"/>
  <c r="P46" i="20"/>
  <c r="O46" i="20"/>
  <c r="I46" i="20"/>
  <c r="AX45" i="20"/>
  <c r="AW45" i="20"/>
  <c r="AT45" i="20"/>
  <c r="AS45" i="20"/>
  <c r="AR45" i="20"/>
  <c r="AO45" i="20"/>
  <c r="AN45" i="20"/>
  <c r="AM45" i="20"/>
  <c r="AJ45" i="20"/>
  <c r="AH45" i="20"/>
  <c r="AG45" i="20"/>
  <c r="AD45" i="20"/>
  <c r="X45" i="20"/>
  <c r="W45" i="20"/>
  <c r="T45" i="20"/>
  <c r="S45" i="20"/>
  <c r="R45" i="20"/>
  <c r="Q45" i="20"/>
  <c r="P45" i="20"/>
  <c r="O45" i="20"/>
  <c r="I45" i="20"/>
  <c r="AX44" i="20"/>
  <c r="AW44" i="20"/>
  <c r="AT44" i="20"/>
  <c r="AS44" i="20"/>
  <c r="AR44" i="20"/>
  <c r="AO44" i="20"/>
  <c r="AN44" i="20"/>
  <c r="AM44" i="20"/>
  <c r="AJ44" i="20"/>
  <c r="AH44" i="20"/>
  <c r="AG44" i="20"/>
  <c r="AD44" i="20"/>
  <c r="X44" i="20"/>
  <c r="W44" i="20"/>
  <c r="T44" i="20"/>
  <c r="S44" i="20"/>
  <c r="R44" i="20"/>
  <c r="Q44" i="20"/>
  <c r="P44" i="20"/>
  <c r="O44" i="20"/>
  <c r="I44" i="20"/>
  <c r="AX43" i="20"/>
  <c r="AW43" i="20"/>
  <c r="AT43" i="20"/>
  <c r="AS43" i="20"/>
  <c r="AR43" i="20"/>
  <c r="AO43" i="20"/>
  <c r="AN43" i="20"/>
  <c r="AM43" i="20"/>
  <c r="AJ43" i="20"/>
  <c r="AH43" i="20"/>
  <c r="AG43" i="20"/>
  <c r="AD43" i="20"/>
  <c r="X43" i="20"/>
  <c r="W43" i="20"/>
  <c r="T43" i="20"/>
  <c r="S43" i="20"/>
  <c r="R43" i="20"/>
  <c r="Q43" i="20"/>
  <c r="P43" i="20"/>
  <c r="O43" i="20"/>
  <c r="I43" i="20"/>
  <c r="AX42" i="20"/>
  <c r="AW42" i="20"/>
  <c r="AT42" i="20"/>
  <c r="AS42" i="20"/>
  <c r="AR42" i="20"/>
  <c r="AO42" i="20"/>
  <c r="AN42" i="20"/>
  <c r="AM42" i="20"/>
  <c r="AJ42" i="20"/>
  <c r="AH42" i="20"/>
  <c r="AG42" i="20"/>
  <c r="AD42" i="20"/>
  <c r="X42" i="20"/>
  <c r="W42" i="20"/>
  <c r="T42" i="20"/>
  <c r="S42" i="20"/>
  <c r="R42" i="20"/>
  <c r="Q42" i="20"/>
  <c r="P42" i="20"/>
  <c r="O42" i="20"/>
  <c r="I42" i="20"/>
  <c r="AX41" i="20"/>
  <c r="AW41" i="20"/>
  <c r="AT41" i="20"/>
  <c r="AS41" i="20"/>
  <c r="AR41" i="20"/>
  <c r="AO41" i="20"/>
  <c r="AN41" i="20"/>
  <c r="AM41" i="20"/>
  <c r="AJ41" i="20"/>
  <c r="AH41" i="20"/>
  <c r="AG41" i="20"/>
  <c r="AD41" i="20"/>
  <c r="X41" i="20"/>
  <c r="W41" i="20"/>
  <c r="T41" i="20"/>
  <c r="S41" i="20"/>
  <c r="R41" i="20"/>
  <c r="Q41" i="20"/>
  <c r="P41" i="20"/>
  <c r="O41" i="20"/>
  <c r="I41" i="20"/>
  <c r="AX40" i="20"/>
  <c r="AW40" i="20"/>
  <c r="AT40" i="20"/>
  <c r="AS40" i="20"/>
  <c r="AR40" i="20"/>
  <c r="AO40" i="20"/>
  <c r="AN40" i="20"/>
  <c r="AM40" i="20"/>
  <c r="AJ40" i="20"/>
  <c r="AH40" i="20"/>
  <c r="AG40" i="20"/>
  <c r="AD40" i="20"/>
  <c r="X40" i="20"/>
  <c r="W40" i="20"/>
  <c r="T40" i="20"/>
  <c r="S40" i="20"/>
  <c r="R40" i="20"/>
  <c r="Q40" i="20"/>
  <c r="P40" i="20"/>
  <c r="O40" i="20"/>
  <c r="I40" i="20"/>
  <c r="AX39" i="20"/>
  <c r="AW39" i="20"/>
  <c r="AT39" i="20"/>
  <c r="AS39" i="20"/>
  <c r="AR39" i="20"/>
  <c r="AO39" i="20"/>
  <c r="AN39" i="20"/>
  <c r="AM39" i="20"/>
  <c r="AJ39" i="20"/>
  <c r="AH39" i="20"/>
  <c r="AG39" i="20"/>
  <c r="AD39" i="20"/>
  <c r="X39" i="20"/>
  <c r="W39" i="20"/>
  <c r="T39" i="20"/>
  <c r="S39" i="20"/>
  <c r="R39" i="20"/>
  <c r="Q39" i="20"/>
  <c r="P39" i="20"/>
  <c r="O39" i="20"/>
  <c r="I39" i="20"/>
  <c r="AX38" i="20"/>
  <c r="AW38" i="20"/>
  <c r="AT38" i="20"/>
  <c r="AS38" i="20"/>
  <c r="AR38" i="20"/>
  <c r="AO38" i="20"/>
  <c r="AN38" i="20"/>
  <c r="AM38" i="20"/>
  <c r="AJ38" i="20"/>
  <c r="AH38" i="20"/>
  <c r="AG38" i="20"/>
  <c r="AD38" i="20"/>
  <c r="X38" i="20"/>
  <c r="W38" i="20"/>
  <c r="T38" i="20"/>
  <c r="S38" i="20"/>
  <c r="R38" i="20"/>
  <c r="Q38" i="20"/>
  <c r="P38" i="20"/>
  <c r="O38" i="20"/>
  <c r="I38" i="20"/>
  <c r="AX37" i="20"/>
  <c r="AW37" i="20"/>
  <c r="AT37" i="20"/>
  <c r="AS37" i="20"/>
  <c r="AR37" i="20"/>
  <c r="AO37" i="20"/>
  <c r="AN37" i="20"/>
  <c r="AM37" i="20"/>
  <c r="AJ37" i="20"/>
  <c r="AH37" i="20"/>
  <c r="AG37" i="20"/>
  <c r="AD37" i="20"/>
  <c r="X37" i="20"/>
  <c r="W37" i="20"/>
  <c r="T37" i="20"/>
  <c r="S37" i="20"/>
  <c r="R37" i="20"/>
  <c r="Q37" i="20"/>
  <c r="P37" i="20"/>
  <c r="O37" i="20"/>
  <c r="I37" i="20"/>
  <c r="AX36" i="20"/>
  <c r="AW36" i="20"/>
  <c r="AT36" i="20"/>
  <c r="AS36" i="20"/>
  <c r="AR36" i="20"/>
  <c r="AO36" i="20"/>
  <c r="AN36" i="20"/>
  <c r="AM36" i="20"/>
  <c r="AJ36" i="20"/>
  <c r="AH36" i="20"/>
  <c r="AG36" i="20"/>
  <c r="AD36" i="20"/>
  <c r="X36" i="20"/>
  <c r="W36" i="20"/>
  <c r="T36" i="20"/>
  <c r="S36" i="20"/>
  <c r="R36" i="20"/>
  <c r="Q36" i="20"/>
  <c r="P36" i="20"/>
  <c r="O36" i="20"/>
  <c r="I36" i="20"/>
  <c r="AX35" i="20"/>
  <c r="AW35" i="20"/>
  <c r="AT35" i="20"/>
  <c r="AS35" i="20"/>
  <c r="AR35" i="20"/>
  <c r="AO35" i="20"/>
  <c r="AN35" i="20"/>
  <c r="AM35" i="20"/>
  <c r="AJ35" i="20"/>
  <c r="AH35" i="20"/>
  <c r="AG35" i="20"/>
  <c r="AD35" i="20"/>
  <c r="X35" i="20"/>
  <c r="W35" i="20"/>
  <c r="T35" i="20"/>
  <c r="S35" i="20"/>
  <c r="R35" i="20"/>
  <c r="Q35" i="20"/>
  <c r="P35" i="20"/>
  <c r="O35" i="20"/>
  <c r="I35" i="20"/>
  <c r="AX34" i="20"/>
  <c r="AW34" i="20"/>
  <c r="AT34" i="20"/>
  <c r="AS34" i="20"/>
  <c r="AR34" i="20"/>
  <c r="AO34" i="20"/>
  <c r="AN34" i="20"/>
  <c r="AM34" i="20"/>
  <c r="AJ34" i="20"/>
  <c r="AH34" i="20"/>
  <c r="AG34" i="20"/>
  <c r="AD34" i="20"/>
  <c r="X34" i="20"/>
  <c r="W34" i="20"/>
  <c r="T34" i="20"/>
  <c r="S34" i="20"/>
  <c r="R34" i="20"/>
  <c r="Q34" i="20"/>
  <c r="P34" i="20"/>
  <c r="O34" i="20"/>
  <c r="I34" i="20"/>
  <c r="AX33" i="20"/>
  <c r="AW33" i="20"/>
  <c r="AT33" i="20"/>
  <c r="AS33" i="20"/>
  <c r="AR33" i="20"/>
  <c r="AO33" i="20"/>
  <c r="AN33" i="20"/>
  <c r="AM33" i="20"/>
  <c r="AJ33" i="20"/>
  <c r="AH33" i="20"/>
  <c r="AG33" i="20"/>
  <c r="AD33" i="20"/>
  <c r="X33" i="20"/>
  <c r="W33" i="20"/>
  <c r="T33" i="20"/>
  <c r="S33" i="20"/>
  <c r="R33" i="20"/>
  <c r="Q33" i="20"/>
  <c r="P33" i="20"/>
  <c r="O33" i="20"/>
  <c r="I33" i="20"/>
  <c r="AX32" i="20"/>
  <c r="AW32" i="20"/>
  <c r="AT32" i="20"/>
  <c r="AS32" i="20"/>
  <c r="AR32" i="20"/>
  <c r="AO32" i="20"/>
  <c r="AN32" i="20"/>
  <c r="AM32" i="20"/>
  <c r="AJ32" i="20"/>
  <c r="AH32" i="20"/>
  <c r="AG32" i="20"/>
  <c r="AD32" i="20"/>
  <c r="X32" i="20"/>
  <c r="W32" i="20"/>
  <c r="T32" i="20"/>
  <c r="S32" i="20"/>
  <c r="R32" i="20"/>
  <c r="Q32" i="20"/>
  <c r="P32" i="20"/>
  <c r="O32" i="20"/>
  <c r="I32" i="20"/>
  <c r="AX31" i="20"/>
  <c r="AW31" i="20"/>
  <c r="AT31" i="20"/>
  <c r="AS31" i="20"/>
  <c r="AR31" i="20"/>
  <c r="AO31" i="20"/>
  <c r="AN31" i="20"/>
  <c r="AM31" i="20"/>
  <c r="AJ31" i="20"/>
  <c r="AH31" i="20"/>
  <c r="AG31" i="20"/>
  <c r="AD31" i="20"/>
  <c r="X31" i="20"/>
  <c r="W31" i="20"/>
  <c r="T31" i="20"/>
  <c r="S31" i="20"/>
  <c r="R31" i="20"/>
  <c r="Q31" i="20"/>
  <c r="P31" i="20"/>
  <c r="O31" i="20"/>
  <c r="I31" i="20"/>
  <c r="AX30" i="20"/>
  <c r="AW30" i="20"/>
  <c r="AT30" i="20"/>
  <c r="AS30" i="20"/>
  <c r="AR30" i="20"/>
  <c r="AO30" i="20"/>
  <c r="AN30" i="20"/>
  <c r="AM30" i="20"/>
  <c r="AJ30" i="20"/>
  <c r="AH30" i="20"/>
  <c r="AG30" i="20"/>
  <c r="AD30" i="20"/>
  <c r="X30" i="20"/>
  <c r="W30" i="20"/>
  <c r="T30" i="20"/>
  <c r="S30" i="20"/>
  <c r="R30" i="20"/>
  <c r="Q30" i="20"/>
  <c r="P30" i="20"/>
  <c r="O30" i="20"/>
  <c r="I30" i="20"/>
  <c r="AX29" i="20"/>
  <c r="AW29" i="20"/>
  <c r="AT29" i="20"/>
  <c r="AS29" i="20"/>
  <c r="AR29" i="20"/>
  <c r="AO29" i="20"/>
  <c r="AN29" i="20"/>
  <c r="AM29" i="20"/>
  <c r="AJ29" i="20"/>
  <c r="AH29" i="20"/>
  <c r="AG29" i="20"/>
  <c r="AD29" i="20"/>
  <c r="X29" i="20"/>
  <c r="W29" i="20"/>
  <c r="T29" i="20"/>
  <c r="S29" i="20"/>
  <c r="R29" i="20"/>
  <c r="Q29" i="20"/>
  <c r="P29" i="20"/>
  <c r="O29" i="20"/>
  <c r="I29" i="20"/>
  <c r="AX28" i="20"/>
  <c r="AW28" i="20"/>
  <c r="AT28" i="20"/>
  <c r="AS28" i="20"/>
  <c r="AR28" i="20"/>
  <c r="AO28" i="20"/>
  <c r="AN28" i="20"/>
  <c r="AM28" i="20"/>
  <c r="AJ28" i="20"/>
  <c r="AH28" i="20"/>
  <c r="AG28" i="20"/>
  <c r="AD28" i="20"/>
  <c r="X28" i="20"/>
  <c r="W28" i="20"/>
  <c r="T28" i="20"/>
  <c r="S28" i="20"/>
  <c r="R28" i="20"/>
  <c r="Q28" i="20"/>
  <c r="P28" i="20"/>
  <c r="O28" i="20"/>
  <c r="I28" i="20"/>
  <c r="AX27" i="20"/>
  <c r="AW27" i="20"/>
  <c r="AT27" i="20"/>
  <c r="AS27" i="20"/>
  <c r="AR27" i="20"/>
  <c r="AO27" i="20"/>
  <c r="AN27" i="20"/>
  <c r="AM27" i="20"/>
  <c r="AJ27" i="20"/>
  <c r="AH27" i="20"/>
  <c r="AG27" i="20"/>
  <c r="AD27" i="20"/>
  <c r="X27" i="20"/>
  <c r="W27" i="20"/>
  <c r="T27" i="20"/>
  <c r="S27" i="20"/>
  <c r="R27" i="20"/>
  <c r="Q27" i="20"/>
  <c r="P27" i="20"/>
  <c r="O27" i="20"/>
  <c r="I27" i="20"/>
  <c r="AX26" i="20"/>
  <c r="AW26" i="20"/>
  <c r="AT26" i="20"/>
  <c r="AS26" i="20"/>
  <c r="AR26" i="20"/>
  <c r="AO26" i="20"/>
  <c r="AN26" i="20"/>
  <c r="AM26" i="20"/>
  <c r="AJ26" i="20"/>
  <c r="AH26" i="20"/>
  <c r="AG26" i="20"/>
  <c r="AD26" i="20"/>
  <c r="X26" i="20"/>
  <c r="W26" i="20"/>
  <c r="T26" i="20"/>
  <c r="S26" i="20"/>
  <c r="R26" i="20"/>
  <c r="Q26" i="20"/>
  <c r="P26" i="20"/>
  <c r="O26" i="20"/>
  <c r="I26" i="20"/>
  <c r="AX25" i="20"/>
  <c r="AW25" i="20"/>
  <c r="AT25" i="20"/>
  <c r="AS25" i="20"/>
  <c r="AR25" i="20"/>
  <c r="AO25" i="20"/>
  <c r="AN25" i="20"/>
  <c r="AM25" i="20"/>
  <c r="AJ25" i="20"/>
  <c r="AH25" i="20"/>
  <c r="AG25" i="20"/>
  <c r="AD25" i="20"/>
  <c r="X25" i="20"/>
  <c r="W25" i="20"/>
  <c r="T25" i="20"/>
  <c r="S25" i="20"/>
  <c r="R25" i="20"/>
  <c r="Q25" i="20"/>
  <c r="P25" i="20"/>
  <c r="O25" i="20"/>
  <c r="I25" i="20"/>
  <c r="AX24" i="20"/>
  <c r="AW24" i="20"/>
  <c r="AT24" i="20"/>
  <c r="AS24" i="20"/>
  <c r="AR24" i="20"/>
  <c r="AO24" i="20"/>
  <c r="AN24" i="20"/>
  <c r="AM24" i="20"/>
  <c r="AJ24" i="20"/>
  <c r="AH24" i="20"/>
  <c r="AG24" i="20"/>
  <c r="AD24" i="20"/>
  <c r="X24" i="20"/>
  <c r="W24" i="20"/>
  <c r="T24" i="20"/>
  <c r="S24" i="20"/>
  <c r="R24" i="20"/>
  <c r="Q24" i="20"/>
  <c r="P24" i="20"/>
  <c r="O24" i="20"/>
  <c r="I24" i="20"/>
  <c r="AX23" i="20"/>
  <c r="AW23" i="20"/>
  <c r="AT23" i="20"/>
  <c r="AS23" i="20"/>
  <c r="AR23" i="20"/>
  <c r="AO23" i="20"/>
  <c r="AN23" i="20"/>
  <c r="AM23" i="20"/>
  <c r="AJ23" i="20"/>
  <c r="AH23" i="20"/>
  <c r="AG23" i="20"/>
  <c r="AD23" i="20"/>
  <c r="X23" i="20"/>
  <c r="W23" i="20"/>
  <c r="T23" i="20"/>
  <c r="S23" i="20"/>
  <c r="R23" i="20"/>
  <c r="Q23" i="20"/>
  <c r="P23" i="20"/>
  <c r="O23" i="20"/>
  <c r="I23" i="20"/>
  <c r="AX22" i="20"/>
  <c r="AW22" i="20"/>
  <c r="AT22" i="20"/>
  <c r="AS22" i="20"/>
  <c r="AR22" i="20"/>
  <c r="AO22" i="20"/>
  <c r="AN22" i="20"/>
  <c r="AM22" i="20"/>
  <c r="AJ22" i="20"/>
  <c r="AH22" i="20"/>
  <c r="AG22" i="20"/>
  <c r="AD22" i="20"/>
  <c r="X22" i="20"/>
  <c r="W22" i="20"/>
  <c r="T22" i="20"/>
  <c r="S22" i="20"/>
  <c r="R22" i="20"/>
  <c r="Q22" i="20"/>
  <c r="P22" i="20"/>
  <c r="O22" i="20"/>
  <c r="I22" i="20"/>
  <c r="AX21" i="20"/>
  <c r="AW21" i="20"/>
  <c r="AT21" i="20"/>
  <c r="AS21" i="20"/>
  <c r="AR21" i="20"/>
  <c r="AO21" i="20"/>
  <c r="AN21" i="20"/>
  <c r="AM21" i="20"/>
  <c r="AJ21" i="20"/>
  <c r="AH21" i="20"/>
  <c r="AG21" i="20"/>
  <c r="AD21" i="20"/>
  <c r="X21" i="20"/>
  <c r="W21" i="20"/>
  <c r="T21" i="20"/>
  <c r="S21" i="20"/>
  <c r="R21" i="20"/>
  <c r="Q21" i="20"/>
  <c r="P21" i="20"/>
  <c r="O21" i="20"/>
  <c r="I21" i="20"/>
  <c r="AX20" i="20"/>
  <c r="AW20" i="20"/>
  <c r="AT20" i="20"/>
  <c r="AS20" i="20"/>
  <c r="AR20" i="20"/>
  <c r="AO20" i="20"/>
  <c r="AN20" i="20"/>
  <c r="AM20" i="20"/>
  <c r="AJ20" i="20"/>
  <c r="AH20" i="20"/>
  <c r="AG20" i="20"/>
  <c r="AD20" i="20"/>
  <c r="X20" i="20"/>
  <c r="W20" i="20"/>
  <c r="T20" i="20"/>
  <c r="S20" i="20"/>
  <c r="R20" i="20"/>
  <c r="Q20" i="20"/>
  <c r="P20" i="20"/>
  <c r="O20" i="20"/>
  <c r="I20" i="20"/>
  <c r="AX19" i="20"/>
  <c r="AW19" i="20"/>
  <c r="AT19" i="20"/>
  <c r="AS19" i="20"/>
  <c r="AR19" i="20"/>
  <c r="AO19" i="20"/>
  <c r="AN19" i="20"/>
  <c r="AM19" i="20"/>
  <c r="AJ19" i="20"/>
  <c r="AH19" i="20"/>
  <c r="AG19" i="20"/>
  <c r="AD19" i="20"/>
  <c r="X19" i="20"/>
  <c r="W19" i="20"/>
  <c r="T19" i="20"/>
  <c r="S19" i="20"/>
  <c r="R19" i="20"/>
  <c r="Q19" i="20"/>
  <c r="P19" i="20"/>
  <c r="O19" i="20"/>
  <c r="I19" i="20"/>
  <c r="AX18" i="20"/>
  <c r="AW18" i="20"/>
  <c r="AT18" i="20"/>
  <c r="AS18" i="20"/>
  <c r="AR18" i="20"/>
  <c r="AO18" i="20"/>
  <c r="AN18" i="20"/>
  <c r="AM18" i="20"/>
  <c r="AJ18" i="20"/>
  <c r="AH18" i="20"/>
  <c r="AG18" i="20"/>
  <c r="AD18" i="20"/>
  <c r="X18" i="20"/>
  <c r="W18" i="20"/>
  <c r="T18" i="20"/>
  <c r="S18" i="20"/>
  <c r="R18" i="20"/>
  <c r="Q18" i="20"/>
  <c r="P18" i="20"/>
  <c r="O18" i="20"/>
  <c r="I18" i="20"/>
  <c r="AX17" i="20"/>
  <c r="AW17" i="20"/>
  <c r="AT17" i="20"/>
  <c r="AS17" i="20"/>
  <c r="AR17" i="20"/>
  <c r="AO17" i="20"/>
  <c r="AN17" i="20"/>
  <c r="AM17" i="20"/>
  <c r="AJ17" i="20"/>
  <c r="AH17" i="20"/>
  <c r="AG17" i="20"/>
  <c r="AD17" i="20"/>
  <c r="X17" i="20"/>
  <c r="W17" i="20"/>
  <c r="T17" i="20"/>
  <c r="S17" i="20"/>
  <c r="R17" i="20"/>
  <c r="Q17" i="20"/>
  <c r="P17" i="20"/>
  <c r="O17" i="20"/>
  <c r="I17" i="20"/>
  <c r="AX16" i="20"/>
  <c r="AW16" i="20"/>
  <c r="AT16" i="20"/>
  <c r="AS16" i="20"/>
  <c r="AR16" i="20"/>
  <c r="AO16" i="20"/>
  <c r="AN16" i="20"/>
  <c r="AM16" i="20"/>
  <c r="AJ16" i="20"/>
  <c r="AH16" i="20"/>
  <c r="AG16" i="20"/>
  <c r="AD16" i="20"/>
  <c r="X16" i="20"/>
  <c r="W16" i="20"/>
  <c r="T16" i="20"/>
  <c r="S16" i="20"/>
  <c r="R16" i="20"/>
  <c r="Q16" i="20"/>
  <c r="P16" i="20"/>
  <c r="O16" i="20"/>
  <c r="I16" i="20"/>
  <c r="AX15" i="20"/>
  <c r="AW15" i="20"/>
  <c r="AT15" i="20"/>
  <c r="AS15" i="20"/>
  <c r="AR15" i="20"/>
  <c r="AO15" i="20"/>
  <c r="AN15" i="20"/>
  <c r="AM15" i="20"/>
  <c r="AJ15" i="20"/>
  <c r="AH15" i="20"/>
  <c r="AG15" i="20"/>
  <c r="AD15" i="20"/>
  <c r="X15" i="20"/>
  <c r="W15" i="20"/>
  <c r="T15" i="20"/>
  <c r="S15" i="20"/>
  <c r="R15" i="20"/>
  <c r="Q15" i="20"/>
  <c r="P15" i="20"/>
  <c r="O15" i="20"/>
  <c r="I15" i="20"/>
  <c r="AX14" i="20"/>
  <c r="AW14" i="20"/>
  <c r="AT14" i="20"/>
  <c r="AS14" i="20"/>
  <c r="AR14" i="20"/>
  <c r="AO14" i="20"/>
  <c r="AN14" i="20"/>
  <c r="AM14" i="20"/>
  <c r="AJ14" i="20"/>
  <c r="AH14" i="20"/>
  <c r="AG14" i="20"/>
  <c r="AD14" i="20"/>
  <c r="X14" i="20"/>
  <c r="W14" i="20"/>
  <c r="T14" i="20"/>
  <c r="S14" i="20"/>
  <c r="R14" i="20"/>
  <c r="Q14" i="20"/>
  <c r="P14" i="20"/>
  <c r="O14" i="20"/>
  <c r="I14" i="20"/>
  <c r="AX13" i="20"/>
  <c r="AW13" i="20"/>
  <c r="AT13" i="20"/>
  <c r="AS13" i="20"/>
  <c r="AR13" i="20"/>
  <c r="AO13" i="20"/>
  <c r="AN13" i="20"/>
  <c r="AM13" i="20"/>
  <c r="AJ13" i="20"/>
  <c r="AH13" i="20"/>
  <c r="AG13" i="20"/>
  <c r="AD13" i="20"/>
  <c r="X13" i="20"/>
  <c r="W13" i="20"/>
  <c r="T13" i="20"/>
  <c r="S13" i="20"/>
  <c r="R13" i="20"/>
  <c r="Q13" i="20"/>
  <c r="P13" i="20"/>
  <c r="O13" i="20"/>
  <c r="I13" i="20"/>
  <c r="AX12" i="20"/>
  <c r="AW12" i="20"/>
  <c r="AT12" i="20"/>
  <c r="AS12" i="20"/>
  <c r="AR12" i="20"/>
  <c r="AO12" i="20"/>
  <c r="AN12" i="20"/>
  <c r="AM12" i="20"/>
  <c r="AJ12" i="20"/>
  <c r="AH12" i="20"/>
  <c r="AG12" i="20"/>
  <c r="AD12" i="20"/>
  <c r="X12" i="20"/>
  <c r="W12" i="20"/>
  <c r="T12" i="20"/>
  <c r="S12" i="20"/>
  <c r="R12" i="20"/>
  <c r="Q12" i="20"/>
  <c r="P12" i="20"/>
  <c r="O12" i="20"/>
  <c r="I12" i="20"/>
  <c r="AX11" i="20"/>
  <c r="AW11" i="20"/>
  <c r="AT11" i="20"/>
  <c r="AS11" i="20"/>
  <c r="AR11" i="20"/>
  <c r="AO11" i="20"/>
  <c r="AN11" i="20"/>
  <c r="AM11" i="20"/>
  <c r="AJ11" i="20"/>
  <c r="AH11" i="20"/>
  <c r="AG11" i="20"/>
  <c r="AD11" i="20"/>
  <c r="X11" i="20"/>
  <c r="W11" i="20"/>
  <c r="T11" i="20"/>
  <c r="S11" i="20"/>
  <c r="R11" i="20"/>
  <c r="Q11" i="20"/>
  <c r="P11" i="20"/>
  <c r="O11" i="20"/>
  <c r="I11" i="20"/>
  <c r="AX10" i="20"/>
  <c r="AW10" i="20"/>
  <c r="AT10" i="20"/>
  <c r="AS10" i="20"/>
  <c r="AR10" i="20"/>
  <c r="AO10" i="20"/>
  <c r="AN10" i="20"/>
  <c r="AM10" i="20"/>
  <c r="AJ10" i="20"/>
  <c r="AH10" i="20"/>
  <c r="AG10" i="20"/>
  <c r="AD10" i="20"/>
  <c r="X10" i="20"/>
  <c r="W10" i="20"/>
  <c r="T10" i="20"/>
  <c r="S10" i="20"/>
  <c r="R10" i="20"/>
  <c r="Q10" i="20"/>
  <c r="P10" i="20"/>
  <c r="O10" i="20"/>
  <c r="I10" i="20"/>
  <c r="AX9" i="20"/>
  <c r="AW9" i="20"/>
  <c r="AT9" i="20"/>
  <c r="AS9" i="20"/>
  <c r="AR9" i="20"/>
  <c r="AO9" i="20"/>
  <c r="AN9" i="20"/>
  <c r="AM9" i="20"/>
  <c r="AJ9" i="20"/>
  <c r="AH9" i="20"/>
  <c r="AG9" i="20"/>
  <c r="AD9" i="20"/>
  <c r="X9" i="20"/>
  <c r="W9" i="20"/>
  <c r="T9" i="20"/>
  <c r="S9" i="20"/>
  <c r="R9" i="20"/>
  <c r="Q9" i="20"/>
  <c r="P9" i="20"/>
  <c r="O9" i="20"/>
  <c r="I9" i="20"/>
  <c r="AX8" i="20"/>
  <c r="AW8" i="20"/>
  <c r="AT8" i="20"/>
  <c r="AS8" i="20"/>
  <c r="AR8" i="20"/>
  <c r="AO8" i="20"/>
  <c r="AN8" i="20"/>
  <c r="AM8" i="20"/>
  <c r="AJ8" i="20"/>
  <c r="AH8" i="20"/>
  <c r="AG8" i="20"/>
  <c r="AD8" i="20"/>
  <c r="X8" i="20"/>
  <c r="W8" i="20"/>
  <c r="T8" i="20"/>
  <c r="S8" i="20"/>
  <c r="R8" i="20"/>
  <c r="Q8" i="20"/>
  <c r="P8" i="20"/>
  <c r="O8" i="20"/>
  <c r="I8" i="20"/>
  <c r="AX7" i="20"/>
  <c r="AW7" i="20"/>
  <c r="AT7" i="20"/>
  <c r="AS7" i="20"/>
  <c r="AR7" i="20"/>
  <c r="AO7" i="20"/>
  <c r="AN7" i="20"/>
  <c r="AM7" i="20"/>
  <c r="AJ7" i="20"/>
  <c r="AH7" i="20"/>
  <c r="AG7" i="20"/>
  <c r="AD7" i="20"/>
  <c r="X7" i="20"/>
  <c r="W7" i="20"/>
  <c r="T7" i="20"/>
  <c r="S7" i="20"/>
  <c r="R7" i="20"/>
  <c r="Q7" i="20"/>
  <c r="P7" i="20"/>
  <c r="O7" i="20"/>
  <c r="I7" i="20"/>
  <c r="AX6" i="20"/>
  <c r="AW6" i="20"/>
  <c r="AT6" i="20"/>
  <c r="AS6" i="20"/>
  <c r="AR6" i="20"/>
  <c r="AQ6" i="20"/>
  <c r="AQ7" i="20" s="1"/>
  <c r="AQ8" i="20" s="1"/>
  <c r="AQ9" i="20" s="1"/>
  <c r="AQ10" i="20" s="1"/>
  <c r="AQ11" i="20" s="1"/>
  <c r="AQ12" i="20" s="1"/>
  <c r="AQ13" i="20" s="1"/>
  <c r="AQ14" i="20" s="1"/>
  <c r="AQ15" i="20" s="1"/>
  <c r="AQ16" i="20" s="1"/>
  <c r="AQ17" i="20" s="1"/>
  <c r="AQ18" i="20" s="1"/>
  <c r="AQ19" i="20" s="1"/>
  <c r="AQ20" i="20" s="1"/>
  <c r="AQ21" i="20" s="1"/>
  <c r="AQ22" i="20" s="1"/>
  <c r="AQ23" i="20" s="1"/>
  <c r="AQ24" i="20" s="1"/>
  <c r="AQ25" i="20" s="1"/>
  <c r="AQ26" i="20" s="1"/>
  <c r="AQ27" i="20" s="1"/>
  <c r="AQ28" i="20" s="1"/>
  <c r="AQ29" i="20" s="1"/>
  <c r="AQ30" i="20" s="1"/>
  <c r="AQ31" i="20" s="1"/>
  <c r="AQ32" i="20" s="1"/>
  <c r="AQ33" i="20" s="1"/>
  <c r="AQ34" i="20" s="1"/>
  <c r="AQ35" i="20" s="1"/>
  <c r="AQ36" i="20" s="1"/>
  <c r="AQ37" i="20" s="1"/>
  <c r="AQ38" i="20" s="1"/>
  <c r="AQ39" i="20" s="1"/>
  <c r="AQ40" i="20" s="1"/>
  <c r="AQ41" i="20" s="1"/>
  <c r="AQ42" i="20" s="1"/>
  <c r="AQ43" i="20" s="1"/>
  <c r="AQ44" i="20" s="1"/>
  <c r="AQ45" i="20" s="1"/>
  <c r="AQ46" i="20" s="1"/>
  <c r="AQ47" i="20" s="1"/>
  <c r="AQ48" i="20" s="1"/>
  <c r="AQ49" i="20" s="1"/>
  <c r="AQ50" i="20" s="1"/>
  <c r="AQ51" i="20" s="1"/>
  <c r="AQ52" i="20" s="1"/>
  <c r="AQ53" i="20" s="1"/>
  <c r="AQ54" i="20" s="1"/>
  <c r="AQ55" i="20" s="1"/>
  <c r="AQ56" i="20" s="1"/>
  <c r="AQ57" i="20" s="1"/>
  <c r="AQ58" i="20" s="1"/>
  <c r="AQ59" i="20" s="1"/>
  <c r="AQ60" i="20" s="1"/>
  <c r="AQ61" i="20" s="1"/>
  <c r="AQ62" i="20" s="1"/>
  <c r="AQ63" i="20" s="1"/>
  <c r="AQ64" i="20" s="1"/>
  <c r="AQ65" i="20" s="1"/>
  <c r="AQ66" i="20" s="1"/>
  <c r="AQ67" i="20" s="1"/>
  <c r="AQ68" i="20" s="1"/>
  <c r="AQ69" i="20" s="1"/>
  <c r="AQ70" i="20" s="1"/>
  <c r="AQ71" i="20" s="1"/>
  <c r="AQ72" i="20" s="1"/>
  <c r="AQ73" i="20" s="1"/>
  <c r="AQ74" i="20" s="1"/>
  <c r="AQ75" i="20" s="1"/>
  <c r="AQ76" i="20" s="1"/>
  <c r="AQ77" i="20" s="1"/>
  <c r="AQ78" i="20" s="1"/>
  <c r="AQ79" i="20" s="1"/>
  <c r="AQ80" i="20" s="1"/>
  <c r="AQ81" i="20" s="1"/>
  <c r="AQ82" i="20" s="1"/>
  <c r="AQ83" i="20" s="1"/>
  <c r="AQ84" i="20" s="1"/>
  <c r="AQ85" i="20" s="1"/>
  <c r="AQ86" i="20" s="1"/>
  <c r="AQ87" i="20" s="1"/>
  <c r="AQ88" i="20" s="1"/>
  <c r="AQ89" i="20" s="1"/>
  <c r="AQ90" i="20" s="1"/>
  <c r="AQ91" i="20" s="1"/>
  <c r="AQ92" i="20" s="1"/>
  <c r="AQ93" i="20" s="1"/>
  <c r="AQ94" i="20" s="1"/>
  <c r="AQ95" i="20" s="1"/>
  <c r="AO6" i="20"/>
  <c r="AN6" i="20"/>
  <c r="AM6" i="20"/>
  <c r="AJ6" i="20"/>
  <c r="AH6" i="20"/>
  <c r="AG6" i="20"/>
  <c r="AD6" i="20"/>
  <c r="X6" i="20"/>
  <c r="W6" i="20"/>
  <c r="T6" i="20"/>
  <c r="S6" i="20"/>
  <c r="R6" i="20"/>
  <c r="Q6" i="20"/>
  <c r="P6" i="20"/>
  <c r="O6" i="20"/>
  <c r="I6" i="20"/>
  <c r="AX5" i="20"/>
  <c r="AW5" i="20"/>
  <c r="AT5" i="20"/>
  <c r="AS5" i="20"/>
  <c r="AR5" i="20"/>
  <c r="AQ5" i="20"/>
  <c r="AO5" i="20"/>
  <c r="AN5" i="20"/>
  <c r="AM5" i="20"/>
  <c r="AJ5" i="20"/>
  <c r="AH5" i="20"/>
  <c r="AG5" i="20"/>
  <c r="AD5" i="20"/>
  <c r="X5" i="20"/>
  <c r="W5" i="20"/>
  <c r="T5" i="20"/>
  <c r="S5" i="20"/>
  <c r="R5" i="20"/>
  <c r="Q5" i="20"/>
  <c r="P5" i="20"/>
  <c r="O5" i="20"/>
  <c r="I5" i="20"/>
  <c r="AX4" i="20"/>
  <c r="AW4" i="20"/>
  <c r="AT4" i="20"/>
  <c r="AS4" i="20"/>
  <c r="AR4" i="20"/>
  <c r="AQ4" i="20"/>
  <c r="AP4" i="20"/>
  <c r="AP5" i="20" s="1"/>
  <c r="AP6" i="20" s="1"/>
  <c r="AP7" i="20" s="1"/>
  <c r="AP8" i="20" s="1"/>
  <c r="AP9" i="20" s="1"/>
  <c r="AP10" i="20" s="1"/>
  <c r="AP11" i="20" s="1"/>
  <c r="AP12" i="20" s="1"/>
  <c r="AP13" i="20" s="1"/>
  <c r="AP14" i="20" s="1"/>
  <c r="AP15" i="20" s="1"/>
  <c r="AP16" i="20" s="1"/>
  <c r="AP17" i="20" s="1"/>
  <c r="AP18" i="20" s="1"/>
  <c r="AP19" i="20" s="1"/>
  <c r="AP20" i="20" s="1"/>
  <c r="AP21" i="20" s="1"/>
  <c r="AP22" i="20" s="1"/>
  <c r="AP23" i="20" s="1"/>
  <c r="AP24" i="20" s="1"/>
  <c r="AP25" i="20" s="1"/>
  <c r="AP26" i="20" s="1"/>
  <c r="AP27" i="20" s="1"/>
  <c r="AP28" i="20" s="1"/>
  <c r="AP29" i="20" s="1"/>
  <c r="AP30" i="20" s="1"/>
  <c r="AP31" i="20" s="1"/>
  <c r="AP32" i="20" s="1"/>
  <c r="AP33" i="20" s="1"/>
  <c r="AP34" i="20" s="1"/>
  <c r="AP35" i="20" s="1"/>
  <c r="AP36" i="20" s="1"/>
  <c r="AP37" i="20" s="1"/>
  <c r="AP38" i="20" s="1"/>
  <c r="AP39" i="20" s="1"/>
  <c r="AP40" i="20" s="1"/>
  <c r="AP41" i="20" s="1"/>
  <c r="AP42" i="20" s="1"/>
  <c r="AP43" i="20" s="1"/>
  <c r="AP44" i="20" s="1"/>
  <c r="AP45" i="20" s="1"/>
  <c r="AP46" i="20" s="1"/>
  <c r="AP47" i="20" s="1"/>
  <c r="AP48" i="20" s="1"/>
  <c r="AP49" i="20" s="1"/>
  <c r="AP50" i="20" s="1"/>
  <c r="AP51" i="20" s="1"/>
  <c r="AP52" i="20" s="1"/>
  <c r="AP53" i="20" s="1"/>
  <c r="AP54" i="20" s="1"/>
  <c r="AP55" i="20" s="1"/>
  <c r="AP56" i="20" s="1"/>
  <c r="AP57" i="20" s="1"/>
  <c r="AP58" i="20" s="1"/>
  <c r="AP59" i="20" s="1"/>
  <c r="AP60" i="20" s="1"/>
  <c r="AP61" i="20" s="1"/>
  <c r="AP62" i="20" s="1"/>
  <c r="AP63" i="20" s="1"/>
  <c r="AP64" i="20" s="1"/>
  <c r="AP65" i="20" s="1"/>
  <c r="AP66" i="20" s="1"/>
  <c r="AP67" i="20" s="1"/>
  <c r="AP68" i="20" s="1"/>
  <c r="AP69" i="20" s="1"/>
  <c r="AP70" i="20" s="1"/>
  <c r="AP71" i="20" s="1"/>
  <c r="AP72" i="20" s="1"/>
  <c r="AP73" i="20" s="1"/>
  <c r="AP74" i="20" s="1"/>
  <c r="AP75" i="20" s="1"/>
  <c r="AP76" i="20" s="1"/>
  <c r="AP77" i="20" s="1"/>
  <c r="AP78" i="20" s="1"/>
  <c r="AP79" i="20" s="1"/>
  <c r="AP80" i="20" s="1"/>
  <c r="AP81" i="20" s="1"/>
  <c r="AP82" i="20" s="1"/>
  <c r="AP83" i="20" s="1"/>
  <c r="AP84" i="20" s="1"/>
  <c r="AP85" i="20" s="1"/>
  <c r="AP86" i="20" s="1"/>
  <c r="AP87" i="20" s="1"/>
  <c r="AP88" i="20" s="1"/>
  <c r="AP89" i="20" s="1"/>
  <c r="AP90" i="20" s="1"/>
  <c r="AP91" i="20" s="1"/>
  <c r="AP92" i="20" s="1"/>
  <c r="AP93" i="20" s="1"/>
  <c r="AP94" i="20" s="1"/>
  <c r="AP95" i="20" s="1"/>
  <c r="AO4" i="20"/>
  <c r="AN4" i="20"/>
  <c r="AM4" i="20"/>
  <c r="AJ4" i="20"/>
  <c r="AH4" i="20"/>
  <c r="AG4" i="20"/>
  <c r="AD4" i="20"/>
  <c r="X4" i="20"/>
  <c r="W4" i="20"/>
  <c r="T4" i="20"/>
  <c r="S4" i="20"/>
  <c r="R4" i="20"/>
  <c r="Q4" i="20"/>
  <c r="P4" i="20"/>
  <c r="O4" i="20"/>
  <c r="I4" i="20"/>
  <c r="AX3" i="20"/>
  <c r="AW3" i="20"/>
  <c r="AT3" i="20"/>
  <c r="AS3" i="20"/>
  <c r="AR3" i="20"/>
  <c r="AQ3" i="20"/>
  <c r="AP3" i="20"/>
  <c r="AO3" i="20"/>
  <c r="AN3" i="20"/>
  <c r="AM3" i="20"/>
  <c r="AJ3" i="20"/>
  <c r="AH3" i="20"/>
  <c r="AG3" i="20"/>
  <c r="AD3" i="20"/>
  <c r="X3" i="20"/>
  <c r="W3" i="20"/>
  <c r="T3" i="20"/>
  <c r="S3" i="20"/>
  <c r="R3" i="20"/>
  <c r="Q3" i="20"/>
  <c r="P3" i="20"/>
  <c r="O3" i="20"/>
  <c r="I3" i="20"/>
  <c r="A3" i="20"/>
  <c r="A4" i="20" s="1"/>
  <c r="AX2" i="20"/>
  <c r="AW2" i="20"/>
  <c r="AT2" i="20"/>
  <c r="AN2" i="20"/>
  <c r="AM2" i="20"/>
  <c r="AJ2" i="20"/>
  <c r="AH2" i="20"/>
  <c r="AG2" i="20"/>
  <c r="AD2" i="20"/>
  <c r="X2" i="20"/>
  <c r="W2" i="20"/>
  <c r="T2" i="20"/>
  <c r="S2" i="20"/>
  <c r="R2" i="20"/>
  <c r="Q2" i="20"/>
  <c r="P2" i="20"/>
  <c r="O2" i="20"/>
  <c r="I2" i="20"/>
  <c r="B2" i="20"/>
  <c r="AF29" i="6"/>
  <c r="AC29" i="6"/>
  <c r="Z29" i="6"/>
  <c r="W29" i="6"/>
  <c r="T29" i="6"/>
  <c r="Q29" i="6"/>
  <c r="N29" i="6"/>
  <c r="K29" i="6"/>
  <c r="H29" i="6"/>
  <c r="E29" i="6"/>
  <c r="AF28" i="6"/>
  <c r="AC28" i="6"/>
  <c r="Z28" i="6"/>
  <c r="W28" i="6"/>
  <c r="T28" i="6"/>
  <c r="Q28" i="6"/>
  <c r="N28" i="6"/>
  <c r="K28" i="6"/>
  <c r="H28" i="6"/>
  <c r="E28" i="6"/>
  <c r="AF27" i="6"/>
  <c r="AC27" i="6"/>
  <c r="Z27" i="6"/>
  <c r="W27" i="6"/>
  <c r="T27" i="6"/>
  <c r="Q27" i="6"/>
  <c r="N27" i="6"/>
  <c r="K27" i="6"/>
  <c r="H27" i="6"/>
  <c r="E27" i="6"/>
  <c r="AF26" i="6"/>
  <c r="AC26" i="6"/>
  <c r="Z26" i="6"/>
  <c r="W26" i="6"/>
  <c r="T26" i="6"/>
  <c r="Q26" i="6"/>
  <c r="N26" i="6"/>
  <c r="K26" i="6"/>
  <c r="H26" i="6"/>
  <c r="E26" i="6"/>
  <c r="AF25" i="6"/>
  <c r="AC25" i="6"/>
  <c r="Z25" i="6"/>
  <c r="W25" i="6"/>
  <c r="T25" i="6"/>
  <c r="Q25" i="6"/>
  <c r="N25" i="6"/>
  <c r="K25" i="6"/>
  <c r="H25" i="6"/>
  <c r="E25" i="6"/>
  <c r="J19" i="6"/>
  <c r="H19" i="6"/>
  <c r="F19" i="6"/>
  <c r="D19" i="6"/>
  <c r="J18" i="6"/>
  <c r="H18" i="6"/>
  <c r="F18" i="6"/>
  <c r="D18" i="6"/>
  <c r="J17" i="6"/>
  <c r="H17" i="6"/>
  <c r="F17" i="6"/>
  <c r="D17" i="6"/>
  <c r="J16" i="6"/>
  <c r="H16" i="6"/>
  <c r="F16" i="6"/>
  <c r="D16" i="6"/>
  <c r="J15" i="6"/>
  <c r="H15" i="6"/>
  <c r="F15" i="6"/>
  <c r="D15" i="6"/>
  <c r="O8" i="6"/>
  <c r="N8" i="6"/>
  <c r="M8" i="6"/>
  <c r="K8" i="6"/>
  <c r="J8" i="6"/>
  <c r="I8" i="6"/>
  <c r="H8" i="6"/>
  <c r="E8" i="6"/>
  <c r="M7" i="6"/>
  <c r="I7" i="6"/>
  <c r="H7" i="6"/>
  <c r="E7" i="6"/>
  <c r="M6" i="6"/>
  <c r="L6" i="6"/>
  <c r="I6" i="6"/>
  <c r="H6" i="6"/>
  <c r="E6" i="6"/>
  <c r="M5" i="6"/>
  <c r="I5" i="6"/>
  <c r="H5" i="6"/>
  <c r="E5" i="6"/>
  <c r="M4" i="6"/>
  <c r="L4" i="6"/>
  <c r="I4" i="6"/>
  <c r="H4" i="6"/>
  <c r="E4" i="6"/>
  <c r="P106" i="13"/>
  <c r="S3" i="13"/>
  <c r="AM3" i="13" s="1"/>
  <c r="W3" i="13"/>
  <c r="T3" i="13"/>
  <c r="A3" i="13"/>
  <c r="B3" i="13" s="1"/>
  <c r="V2" i="13"/>
  <c r="T2" i="13"/>
  <c r="AN2" i="13" s="1"/>
  <c r="S2" i="13"/>
  <c r="AM2" i="13" s="1"/>
  <c r="B2" i="13"/>
  <c r="F55" i="14"/>
  <c r="F6" i="6"/>
  <c r="G8" i="6"/>
  <c r="G4" i="6"/>
  <c r="M4" i="9"/>
  <c r="F4" i="6"/>
  <c r="M5" i="9"/>
  <c r="M8" i="9"/>
  <c r="G5" i="6"/>
  <c r="G6" i="6"/>
  <c r="F5" i="6"/>
  <c r="M7" i="9"/>
  <c r="F7" i="6"/>
  <c r="G7" i="6"/>
  <c r="M6" i="9"/>
  <c r="V94" i="20" l="1"/>
  <c r="U94" i="20"/>
  <c r="U92" i="20"/>
  <c r="U93" i="20"/>
  <c r="AE93" i="20" s="1"/>
  <c r="AK93" i="20" s="1"/>
  <c r="V92" i="20"/>
  <c r="V93" i="20"/>
  <c r="AF93" i="20" s="1"/>
  <c r="AV93" i="20" s="1"/>
  <c r="U59" i="20"/>
  <c r="V47" i="20"/>
  <c r="AF47" i="20" s="1"/>
  <c r="AV47" i="20" s="1"/>
  <c r="V48" i="20"/>
  <c r="AF48" i="20" s="1"/>
  <c r="AL48" i="20" s="1"/>
  <c r="AE17" i="20"/>
  <c r="AK17" i="20" s="1"/>
  <c r="AE8" i="20"/>
  <c r="AU8" i="20" s="1"/>
  <c r="AE83" i="20"/>
  <c r="AK83" i="20" s="1"/>
  <c r="AF64" i="20"/>
  <c r="AL64" i="20" s="1"/>
  <c r="AF74" i="20"/>
  <c r="AE75" i="20"/>
  <c r="AK75" i="20" s="1"/>
  <c r="AE71" i="20"/>
  <c r="AK71" i="20" s="1"/>
  <c r="AF67" i="20"/>
  <c r="AV67" i="20" s="1"/>
  <c r="AE67" i="20"/>
  <c r="AU67" i="20" s="1"/>
  <c r="AE65" i="20"/>
  <c r="AK65" i="20" s="1"/>
  <c r="AE63" i="20"/>
  <c r="AK63" i="20" s="1"/>
  <c r="AE61" i="20"/>
  <c r="AK61" i="20" s="1"/>
  <c r="AE57" i="20"/>
  <c r="AK57" i="20" s="1"/>
  <c r="AF32" i="20"/>
  <c r="AV32" i="20" s="1"/>
  <c r="AE25" i="20"/>
  <c r="AK25" i="20" s="1"/>
  <c r="AF18" i="20"/>
  <c r="AV18" i="20" s="1"/>
  <c r="AE18" i="20"/>
  <c r="AU18" i="20" s="1"/>
  <c r="AF21" i="20"/>
  <c r="AV21" i="20" s="1"/>
  <c r="AE26" i="20"/>
  <c r="AF29" i="20"/>
  <c r="AV29" i="20" s="1"/>
  <c r="AE34" i="20"/>
  <c r="AF37" i="20"/>
  <c r="AE42" i="20"/>
  <c r="AU42" i="20" s="1"/>
  <c r="AF53" i="20"/>
  <c r="AE58" i="20"/>
  <c r="AF61" i="20"/>
  <c r="AL61" i="20" s="1"/>
  <c r="AF69" i="20"/>
  <c r="AV69" i="20" s="1"/>
  <c r="AE74" i="20"/>
  <c r="AF91" i="20"/>
  <c r="AV91" i="20" s="1"/>
  <c r="AE95" i="20"/>
  <c r="AF77" i="20"/>
  <c r="AE82" i="20"/>
  <c r="AF95" i="20"/>
  <c r="AE28" i="20"/>
  <c r="AF31" i="20"/>
  <c r="AV31" i="20" s="1"/>
  <c r="AE36" i="20"/>
  <c r="AU36" i="20" s="1"/>
  <c r="AE44" i="20"/>
  <c r="AE52" i="20"/>
  <c r="AU52" i="20" s="1"/>
  <c r="AF55" i="20"/>
  <c r="AV55" i="20" s="1"/>
  <c r="AE60" i="20"/>
  <c r="AU60" i="20" s="1"/>
  <c r="AE68" i="20"/>
  <c r="AK68" i="20" s="1"/>
  <c r="AE84" i="20"/>
  <c r="AE90" i="20"/>
  <c r="AU90" i="20" s="1"/>
  <c r="AE73" i="20"/>
  <c r="AU73" i="20" s="1"/>
  <c r="AE76" i="20"/>
  <c r="AK76" i="20" s="1"/>
  <c r="AE79" i="20"/>
  <c r="AF90" i="20"/>
  <c r="AF89" i="20"/>
  <c r="AL89" i="20" s="1"/>
  <c r="AE30" i="20"/>
  <c r="AU30" i="20" s="1"/>
  <c r="AF33" i="20"/>
  <c r="AE38" i="20"/>
  <c r="AU38" i="20" s="1"/>
  <c r="AF41" i="20"/>
  <c r="AL41" i="20" s="1"/>
  <c r="AE46" i="20"/>
  <c r="AF49" i="20"/>
  <c r="AE54" i="20"/>
  <c r="AU54" i="20" s="1"/>
  <c r="AF57" i="20"/>
  <c r="AE62" i="20"/>
  <c r="AF65" i="20"/>
  <c r="AV65" i="20" s="1"/>
  <c r="AE70" i="20"/>
  <c r="AU70" i="20" s="1"/>
  <c r="AE81" i="20"/>
  <c r="AU81" i="20" s="1"/>
  <c r="AE4" i="20"/>
  <c r="AE85" i="20"/>
  <c r="AU85" i="20" s="1"/>
  <c r="AE87" i="20"/>
  <c r="AF15" i="20"/>
  <c r="AE6" i="20"/>
  <c r="AU6" i="20" s="1"/>
  <c r="AF7" i="20"/>
  <c r="AV7" i="20" s="1"/>
  <c r="AE20" i="20"/>
  <c r="AE2" i="20"/>
  <c r="AK2" i="20" s="1"/>
  <c r="AF6" i="20"/>
  <c r="AV6" i="20" s="1"/>
  <c r="AF9" i="20"/>
  <c r="AL9" i="20" s="1"/>
  <c r="AE14" i="20"/>
  <c r="AK14" i="20" s="1"/>
  <c r="AF17" i="20"/>
  <c r="AV17" i="20" s="1"/>
  <c r="AE22" i="20"/>
  <c r="AU22" i="20" s="1"/>
  <c r="AF25" i="20"/>
  <c r="AV25" i="20" s="1"/>
  <c r="AE11" i="20"/>
  <c r="AU11" i="20" s="1"/>
  <c r="AE19" i="20"/>
  <c r="AF22" i="20"/>
  <c r="AV22" i="20" s="1"/>
  <c r="AE12" i="20"/>
  <c r="AU12" i="20" s="1"/>
  <c r="AV81" i="20"/>
  <c r="AP2" i="13"/>
  <c r="AF4" i="20"/>
  <c r="AV4" i="20" s="1"/>
  <c r="AF5" i="20"/>
  <c r="AV5" i="20" s="1"/>
  <c r="AE9" i="20"/>
  <c r="AE3" i="20"/>
  <c r="AU3" i="20" s="1"/>
  <c r="AE5" i="20"/>
  <c r="AU5" i="20" s="1"/>
  <c r="AE13" i="20"/>
  <c r="AK13" i="20" s="1"/>
  <c r="AE21" i="20"/>
  <c r="AU21" i="20" s="1"/>
  <c r="AF38" i="20"/>
  <c r="AL38" i="20" s="1"/>
  <c r="AF56" i="20"/>
  <c r="AE15" i="20"/>
  <c r="AU15" i="20" s="1"/>
  <c r="AF26" i="20"/>
  <c r="AE33" i="20"/>
  <c r="AF34" i="20"/>
  <c r="AE94" i="20"/>
  <c r="AU94" i="20" s="1"/>
  <c r="AJ95" i="20"/>
  <c r="AT95" i="20"/>
  <c r="AW95" i="20"/>
  <c r="AM95" i="20"/>
  <c r="AX95" i="20"/>
  <c r="AN95" i="20"/>
  <c r="T94" i="20"/>
  <c r="AD94" i="20" s="1"/>
  <c r="W94" i="20"/>
  <c r="AG94" i="20" s="1"/>
  <c r="X94" i="20"/>
  <c r="AH94" i="20" s="1"/>
  <c r="AE86" i="20"/>
  <c r="AK86" i="20" s="1"/>
  <c r="AE92" i="20"/>
  <c r="AU92" i="20" s="1"/>
  <c r="AE91" i="20"/>
  <c r="AU91" i="20" s="1"/>
  <c r="AE78" i="20"/>
  <c r="AU78" i="20" s="1"/>
  <c r="AE72" i="20"/>
  <c r="AU72" i="20" s="1"/>
  <c r="AE69" i="20"/>
  <c r="AU69" i="20" s="1"/>
  <c r="AE59" i="20"/>
  <c r="AU59" i="20" s="1"/>
  <c r="G55" i="14"/>
  <c r="H55" i="14" s="1"/>
  <c r="AF50" i="20"/>
  <c r="AE55" i="20"/>
  <c r="AE51" i="20"/>
  <c r="AU51" i="20" s="1"/>
  <c r="AE47" i="20"/>
  <c r="AK47" i="20" s="1"/>
  <c r="AE45" i="20"/>
  <c r="AU45" i="20" s="1"/>
  <c r="AF42" i="20"/>
  <c r="AV42" i="20" s="1"/>
  <c r="AF36" i="20"/>
  <c r="AV36" i="20" s="1"/>
  <c r="AF30" i="20"/>
  <c r="AV30" i="20" s="1"/>
  <c r="AF28" i="20"/>
  <c r="AV28" i="20" s="1"/>
  <c r="AF24" i="20"/>
  <c r="AV24" i="20" s="1"/>
  <c r="AF19" i="20"/>
  <c r="AL19" i="20" s="1"/>
  <c r="AF16" i="20"/>
  <c r="AL16" i="20" s="1"/>
  <c r="AF12" i="20"/>
  <c r="AV12" i="20" s="1"/>
  <c r="AF8" i="20"/>
  <c r="AV8" i="20" s="1"/>
  <c r="AF3" i="20"/>
  <c r="AV3" i="20" s="1"/>
  <c r="AE39" i="20"/>
  <c r="AK39" i="20" s="1"/>
  <c r="AE31" i="20"/>
  <c r="AU31" i="20" s="1"/>
  <c r="AE24" i="20"/>
  <c r="AU24" i="20" s="1"/>
  <c r="AE16" i="20"/>
  <c r="AU16" i="20" s="1"/>
  <c r="AE10" i="20"/>
  <c r="AU10" i="20" s="1"/>
  <c r="AE7" i="20"/>
  <c r="AU7" i="20" s="1"/>
  <c r="AF11" i="20"/>
  <c r="AV11" i="20" s="1"/>
  <c r="AF2" i="20"/>
  <c r="AV2" i="20" s="1"/>
  <c r="AF10" i="20"/>
  <c r="AV10" i="20" s="1"/>
  <c r="AF70" i="20"/>
  <c r="AF39" i="20"/>
  <c r="AV39" i="20" s="1"/>
  <c r="AF54" i="20"/>
  <c r="AF66" i="20"/>
  <c r="AF23" i="20"/>
  <c r="AF35" i="20"/>
  <c r="AE48" i="20"/>
  <c r="AE64" i="20"/>
  <c r="AE27" i="20"/>
  <c r="AE66" i="20"/>
  <c r="AF83" i="20"/>
  <c r="AV83" i="20" s="1"/>
  <c r="AF84" i="20"/>
  <c r="AF20" i="20"/>
  <c r="AL20" i="20" s="1"/>
  <c r="AE32" i="20"/>
  <c r="AE50" i="20"/>
  <c r="AK50" i="20" s="1"/>
  <c r="AE53" i="20"/>
  <c r="AK53" i="20" s="1"/>
  <c r="AF71" i="20"/>
  <c r="AF87" i="20"/>
  <c r="AF27" i="20"/>
  <c r="AF52" i="20"/>
  <c r="AL52" i="20" s="1"/>
  <c r="AE43" i="20"/>
  <c r="AF45" i="20"/>
  <c r="AF46" i="20"/>
  <c r="AE23" i="20"/>
  <c r="AK23" i="20" s="1"/>
  <c r="AE37" i="20"/>
  <c r="AK37" i="20" s="1"/>
  <c r="AF51" i="20"/>
  <c r="AF43" i="20"/>
  <c r="AF62" i="20"/>
  <c r="AL62" i="20" s="1"/>
  <c r="AF75" i="20"/>
  <c r="AL75" i="20" s="1"/>
  <c r="AF76" i="20"/>
  <c r="AF78" i="20"/>
  <c r="AV78" i="20" s="1"/>
  <c r="AF79" i="20"/>
  <c r="AF14" i="20"/>
  <c r="AV14" i="20" s="1"/>
  <c r="AE29" i="20"/>
  <c r="AE41" i="20"/>
  <c r="AF58" i="20"/>
  <c r="AV58" i="20" s="1"/>
  <c r="AF59" i="20"/>
  <c r="AV59" i="20" s="1"/>
  <c r="AF60" i="20"/>
  <c r="AE89" i="20"/>
  <c r="AF92" i="20"/>
  <c r="AV92" i="20" s="1"/>
  <c r="AF68" i="20"/>
  <c r="AL68" i="20" s="1"/>
  <c r="AF85" i="20"/>
  <c r="AV85" i="20" s="1"/>
  <c r="AF86" i="20"/>
  <c r="AE35" i="20"/>
  <c r="AK35" i="20" s="1"/>
  <c r="AE49" i="20"/>
  <c r="AE56" i="20"/>
  <c r="AF94" i="20"/>
  <c r="AV94" i="20" s="1"/>
  <c r="AF88" i="20"/>
  <c r="AV88" i="20" s="1"/>
  <c r="AV82" i="20"/>
  <c r="AL82" i="20"/>
  <c r="AL81" i="20"/>
  <c r="AF80" i="20"/>
  <c r="AV80" i="20" s="1"/>
  <c r="AF73" i="20"/>
  <c r="AV73" i="20" s="1"/>
  <c r="AF72" i="20"/>
  <c r="AV72" i="20" s="1"/>
  <c r="AF63" i="20"/>
  <c r="AV63" i="20" s="1"/>
  <c r="AF44" i="20"/>
  <c r="AL44" i="20" s="1"/>
  <c r="AF40" i="20"/>
  <c r="AV40" i="20" s="1"/>
  <c r="AF13" i="20"/>
  <c r="AE88" i="20"/>
  <c r="AK88" i="20" s="1"/>
  <c r="AE80" i="20"/>
  <c r="AU77" i="20"/>
  <c r="AK77" i="20"/>
  <c r="AE40" i="20"/>
  <c r="AK40" i="20" s="1"/>
  <c r="A5" i="20"/>
  <c r="B4" i="20"/>
  <c r="B3" i="20"/>
  <c r="U4" i="13"/>
  <c r="A4" i="13"/>
  <c r="B4" i="13" s="1"/>
  <c r="L97" i="13"/>
  <c r="L98" i="13"/>
  <c r="L102" i="13" s="1"/>
  <c r="L104" i="13" s="1"/>
  <c r="T4" i="13"/>
  <c r="V4" i="13"/>
  <c r="V100" i="13" s="1"/>
  <c r="AA2" i="13"/>
  <c r="J4" i="6"/>
  <c r="Q4" i="9"/>
  <c r="R4" i="9" s="1"/>
  <c r="Q5" i="9"/>
  <c r="R5" i="9" s="1"/>
  <c r="J7" i="6"/>
  <c r="Q6" i="9"/>
  <c r="R6" i="9" s="1"/>
  <c r="Q7" i="9"/>
  <c r="R7" i="9" s="1"/>
  <c r="Q8" i="9"/>
  <c r="R8" i="9" s="1"/>
  <c r="J5" i="6"/>
  <c r="J6" i="6"/>
  <c r="R97" i="13"/>
  <c r="P98" i="13"/>
  <c r="Y3" i="13"/>
  <c r="AN3" i="13"/>
  <c r="AO3" i="13"/>
  <c r="Z3" i="13"/>
  <c r="AB3" i="13"/>
  <c r="AQ3" i="13"/>
  <c r="AB4" i="13"/>
  <c r="AQ4" i="13"/>
  <c r="AP3" i="13"/>
  <c r="AA3" i="13"/>
  <c r="W2" i="13"/>
  <c r="W100" i="13" s="1"/>
  <c r="Y2" i="13"/>
  <c r="U2" i="13"/>
  <c r="AK78" i="20" l="1"/>
  <c r="AU75" i="20"/>
  <c r="AU44" i="20"/>
  <c r="AK44" i="20"/>
  <c r="AV95" i="20"/>
  <c r="AL95" i="20"/>
  <c r="AU58" i="20"/>
  <c r="AY58" i="20" s="1"/>
  <c r="BA58" i="20" s="1"/>
  <c r="AK58" i="20"/>
  <c r="AK87" i="20"/>
  <c r="AU87" i="20"/>
  <c r="AU84" i="20"/>
  <c r="AK84" i="20"/>
  <c r="AK95" i="20"/>
  <c r="AU95" i="20"/>
  <c r="AY95" i="20" s="1"/>
  <c r="BA95" i="20" s="1"/>
  <c r="AU86" i="20"/>
  <c r="AY59" i="20"/>
  <c r="BA59" i="20" s="1"/>
  <c r="AL88" i="20"/>
  <c r="AK52" i="20"/>
  <c r="AK36" i="20"/>
  <c r="AU93" i="20"/>
  <c r="AY93" i="20" s="1"/>
  <c r="BA93" i="20" s="1"/>
  <c r="AK90" i="20"/>
  <c r="AK59" i="20"/>
  <c r="AK45" i="20"/>
  <c r="AK85" i="20"/>
  <c r="AK94" i="20"/>
  <c r="AK70" i="20"/>
  <c r="AK6" i="20"/>
  <c r="AK24" i="20"/>
  <c r="AU9" i="20"/>
  <c r="AK9" i="20"/>
  <c r="AK16" i="20"/>
  <c r="AY8" i="20"/>
  <c r="BA8" i="20" s="1"/>
  <c r="AL8" i="20"/>
  <c r="AU25" i="20"/>
  <c r="AY25" i="20" s="1"/>
  <c r="BA25" i="20" s="1"/>
  <c r="AK18" i="20"/>
  <c r="AU17" i="20"/>
  <c r="AY17" i="20" s="1"/>
  <c r="BA17" i="20" s="1"/>
  <c r="AK5" i="20"/>
  <c r="AK7" i="20"/>
  <c r="AY6" i="20"/>
  <c r="BA6" i="20" s="1"/>
  <c r="AL5" i="20"/>
  <c r="AL34" i="20"/>
  <c r="AV34" i="20"/>
  <c r="AK33" i="20"/>
  <c r="AU33" i="20"/>
  <c r="AK19" i="20"/>
  <c r="AU19" i="20"/>
  <c r="AV77" i="20"/>
  <c r="AY77" i="20" s="1"/>
  <c r="BA77" i="20" s="1"/>
  <c r="AL77" i="20"/>
  <c r="AU71" i="20"/>
  <c r="AY78" i="20"/>
  <c r="BA78" i="20" s="1"/>
  <c r="AK60" i="20"/>
  <c r="AK12" i="20"/>
  <c r="AU76" i="20"/>
  <c r="AK92" i="20"/>
  <c r="AK11" i="20"/>
  <c r="AY81" i="20"/>
  <c r="BA81" i="20" s="1"/>
  <c r="AK21" i="20"/>
  <c r="AK54" i="20"/>
  <c r="AV64" i="20"/>
  <c r="AL91" i="20"/>
  <c r="AL6" i="20"/>
  <c r="AY5" i="20"/>
  <c r="BA5" i="20" s="1"/>
  <c r="AY72" i="20"/>
  <c r="BA72" i="20" s="1"/>
  <c r="AY73" i="20"/>
  <c r="BA73" i="20" s="1"/>
  <c r="AK38" i="20"/>
  <c r="AK51" i="20"/>
  <c r="AV75" i="20"/>
  <c r="AY75" i="20" s="1"/>
  <c r="BA75" i="20" s="1"/>
  <c r="AY67" i="20"/>
  <c r="BA67" i="20" s="1"/>
  <c r="AK67" i="20"/>
  <c r="AK8" i="20"/>
  <c r="AL31" i="20"/>
  <c r="AY69" i="20"/>
  <c r="BA69" i="20" s="1"/>
  <c r="AW94" i="20"/>
  <c r="AM94" i="20"/>
  <c r="AJ94" i="20"/>
  <c r="AT94" i="20"/>
  <c r="AY94" i="20" s="1"/>
  <c r="BA94" i="20" s="1"/>
  <c r="AX94" i="20"/>
  <c r="AN94" i="20"/>
  <c r="AK91" i="20"/>
  <c r="AV76" i="20"/>
  <c r="AL76" i="20"/>
  <c r="AL67" i="20"/>
  <c r="AU83" i="20"/>
  <c r="AK69" i="20"/>
  <c r="AU68" i="20"/>
  <c r="AU64" i="20"/>
  <c r="AK64" i="20"/>
  <c r="AK55" i="20"/>
  <c r="AU55" i="20"/>
  <c r="AU53" i="20"/>
  <c r="AV57" i="20"/>
  <c r="AL57" i="20"/>
  <c r="AL50" i="20"/>
  <c r="AV50" i="20"/>
  <c r="AU50" i="20"/>
  <c r="AU47" i="20"/>
  <c r="AY47" i="20" s="1"/>
  <c r="BA47" i="20" s="1"/>
  <c r="AU46" i="20"/>
  <c r="AK46" i="20"/>
  <c r="AV86" i="20"/>
  <c r="AL86" i="20"/>
  <c r="AU13" i="20"/>
  <c r="AV41" i="20"/>
  <c r="AV38" i="20"/>
  <c r="AY38" i="20" s="1"/>
  <c r="BA38" i="20" s="1"/>
  <c r="AL35" i="20"/>
  <c r="AV35" i="20"/>
  <c r="AV16" i="20"/>
  <c r="AY16" i="20" s="1"/>
  <c r="BA16" i="20" s="1"/>
  <c r="AY12" i="20"/>
  <c r="BA12" i="20" s="1"/>
  <c r="AL12" i="20"/>
  <c r="AL11" i="20"/>
  <c r="AY11" i="20"/>
  <c r="BA11" i="20" s="1"/>
  <c r="AV9" i="20"/>
  <c r="AY7" i="20"/>
  <c r="BA7" i="20" s="1"/>
  <c r="AL4" i="20"/>
  <c r="AL3" i="20"/>
  <c r="AY3" i="20"/>
  <c r="BC3" i="20" s="1"/>
  <c r="AU35" i="20"/>
  <c r="AK22" i="20"/>
  <c r="AK10" i="20"/>
  <c r="AY10" i="20"/>
  <c r="BA10" i="20" s="1"/>
  <c r="AL7" i="20"/>
  <c r="AL10" i="20"/>
  <c r="AL2" i="20"/>
  <c r="AV87" i="20"/>
  <c r="AL87" i="20"/>
  <c r="AK89" i="20"/>
  <c r="AU89" i="20"/>
  <c r="AL56" i="20"/>
  <c r="AV56" i="20"/>
  <c r="AU43" i="20"/>
  <c r="AK43" i="20"/>
  <c r="AV90" i="20"/>
  <c r="AY90" i="20" s="1"/>
  <c r="BA90" i="20" s="1"/>
  <c r="AL90" i="20"/>
  <c r="AK28" i="20"/>
  <c r="AU28" i="20"/>
  <c r="AY28" i="20" s="1"/>
  <c r="BA28" i="20" s="1"/>
  <c r="AU74" i="20"/>
  <c r="AK74" i="20"/>
  <c r="AU79" i="20"/>
  <c r="AK79" i="20"/>
  <c r="AU66" i="20"/>
  <c r="AK66" i="20"/>
  <c r="AV26" i="20"/>
  <c r="AL26" i="20"/>
  <c r="AL49" i="20"/>
  <c r="AV49" i="20"/>
  <c r="AV74" i="20"/>
  <c r="AL74" i="20"/>
  <c r="AL79" i="20"/>
  <c r="AV79" i="20"/>
  <c r="AV51" i="20"/>
  <c r="AL51" i="20"/>
  <c r="AV33" i="20"/>
  <c r="AL33" i="20"/>
  <c r="AU27" i="20"/>
  <c r="AK27" i="20"/>
  <c r="AV37" i="20"/>
  <c r="AL37" i="20"/>
  <c r="AL66" i="20"/>
  <c r="AV66" i="20"/>
  <c r="AV23" i="20"/>
  <c r="AL23" i="20"/>
  <c r="AV53" i="20"/>
  <c r="AL53" i="20"/>
  <c r="AU41" i="20"/>
  <c r="AK41" i="20"/>
  <c r="AK82" i="20"/>
  <c r="AU82" i="20"/>
  <c r="AU32" i="20"/>
  <c r="AY32" i="20" s="1"/>
  <c r="BA32" i="20" s="1"/>
  <c r="AK32" i="20"/>
  <c r="AV54" i="20"/>
  <c r="AY54" i="20" s="1"/>
  <c r="AL54" i="20"/>
  <c r="AV71" i="20"/>
  <c r="AL71" i="20"/>
  <c r="AK49" i="20"/>
  <c r="AU49" i="20"/>
  <c r="AV60" i="20"/>
  <c r="AL60" i="20"/>
  <c r="AU29" i="20"/>
  <c r="AY29" i="20" s="1"/>
  <c r="BA29" i="20" s="1"/>
  <c r="AK29" i="20"/>
  <c r="AL43" i="20"/>
  <c r="AV43" i="20"/>
  <c r="AV46" i="20"/>
  <c r="AL46" i="20"/>
  <c r="AU26" i="20"/>
  <c r="AK26" i="20"/>
  <c r="AL15" i="20"/>
  <c r="AV15" i="20"/>
  <c r="AY15" i="20" s="1"/>
  <c r="BA15" i="20" s="1"/>
  <c r="AL45" i="20"/>
  <c r="AV45" i="20"/>
  <c r="AY45" i="20" s="1"/>
  <c r="BA45" i="20" s="1"/>
  <c r="AV27" i="20"/>
  <c r="AL27" i="20"/>
  <c r="AK34" i="20"/>
  <c r="AU34" i="20"/>
  <c r="AV70" i="20"/>
  <c r="AY70" i="20" s="1"/>
  <c r="AL70" i="20"/>
  <c r="AK42" i="20"/>
  <c r="AU37" i="20"/>
  <c r="AL83" i="20"/>
  <c r="AU61" i="20"/>
  <c r="AL17" i="20"/>
  <c r="AV68" i="20"/>
  <c r="AL92" i="20"/>
  <c r="AK73" i="20"/>
  <c r="AL24" i="20"/>
  <c r="AL85" i="20"/>
  <c r="AU57" i="20"/>
  <c r="AY91" i="20"/>
  <c r="BA91" i="20" s="1"/>
  <c r="AL39" i="20"/>
  <c r="AL58" i="20"/>
  <c r="AL93" i="20"/>
  <c r="AL25" i="20"/>
  <c r="P97" i="13"/>
  <c r="P99" i="13" s="1"/>
  <c r="AV20" i="20"/>
  <c r="AV62" i="20"/>
  <c r="AL21" i="20"/>
  <c r="AL73" i="20"/>
  <c r="AL28" i="20"/>
  <c r="AL32" i="20"/>
  <c r="AV48" i="20"/>
  <c r="AV52" i="20"/>
  <c r="AY52" i="20" s="1"/>
  <c r="AL80" i="20"/>
  <c r="AY24" i="20"/>
  <c r="BA24" i="20" s="1"/>
  <c r="AL36" i="20"/>
  <c r="AY36" i="20"/>
  <c r="BA36" i="20" s="1"/>
  <c r="AY92" i="20"/>
  <c r="BA92" i="20" s="1"/>
  <c r="AV44" i="20"/>
  <c r="AV89" i="20"/>
  <c r="AY31" i="20"/>
  <c r="BA31" i="20" s="1"/>
  <c r="AY85" i="20"/>
  <c r="BA85" i="20" s="1"/>
  <c r="AL22" i="20"/>
  <c r="AL29" i="20"/>
  <c r="AL59" i="20"/>
  <c r="AL94" i="20"/>
  <c r="AL14" i="20"/>
  <c r="AL40" i="20"/>
  <c r="AL47" i="20"/>
  <c r="AL63" i="20"/>
  <c r="AL72" i="20"/>
  <c r="AV84" i="20"/>
  <c r="AL84" i="20"/>
  <c r="AL78" i="20"/>
  <c r="AL69" i="20"/>
  <c r="AL65" i="20"/>
  <c r="AV61" i="20"/>
  <c r="AL55" i="20"/>
  <c r="AY42" i="20"/>
  <c r="BA42" i="20" s="1"/>
  <c r="AL42" i="20"/>
  <c r="AY30" i="20"/>
  <c r="BA30" i="20" s="1"/>
  <c r="AL30" i="20"/>
  <c r="AY22" i="20"/>
  <c r="BA22" i="20" s="1"/>
  <c r="AY21" i="20"/>
  <c r="BA21" i="20" s="1"/>
  <c r="AV19" i="20"/>
  <c r="AY18" i="20"/>
  <c r="BA18" i="20" s="1"/>
  <c r="AL18" i="20"/>
  <c r="AV13" i="20"/>
  <c r="AL13" i="20"/>
  <c r="AU65" i="20"/>
  <c r="AU23" i="20"/>
  <c r="AU39" i="20"/>
  <c r="AY39" i="20" s="1"/>
  <c r="BA39" i="20" s="1"/>
  <c r="AU14" i="20"/>
  <c r="AY14" i="20" s="1"/>
  <c r="BA14" i="20" s="1"/>
  <c r="AU2" i="20"/>
  <c r="AY2" i="20" s="1"/>
  <c r="AK3" i="20"/>
  <c r="AK15" i="20"/>
  <c r="AK72" i="20"/>
  <c r="AU88" i="20"/>
  <c r="AY88" i="20" s="1"/>
  <c r="BA88" i="20" s="1"/>
  <c r="AK81" i="20"/>
  <c r="AK80" i="20"/>
  <c r="AU80" i="20"/>
  <c r="AU63" i="20"/>
  <c r="AU62" i="20"/>
  <c r="AK62" i="20"/>
  <c r="AK56" i="20"/>
  <c r="AU56" i="20"/>
  <c r="AK48" i="20"/>
  <c r="AU48" i="20"/>
  <c r="AU40" i="20"/>
  <c r="AY40" i="20" s="1"/>
  <c r="BA40" i="20" s="1"/>
  <c r="A6" i="20"/>
  <c r="B5" i="20"/>
  <c r="AK31" i="20"/>
  <c r="AK30" i="20"/>
  <c r="AK20" i="20"/>
  <c r="AU20" i="20"/>
  <c r="AK4" i="20"/>
  <c r="AU4" i="20"/>
  <c r="AY4" i="20" s="1"/>
  <c r="BA4" i="20" s="1"/>
  <c r="AO4" i="13"/>
  <c r="Z4" i="13"/>
  <c r="Y4" i="13"/>
  <c r="AN4" i="13"/>
  <c r="AN97" i="13" s="1"/>
  <c r="V97" i="13"/>
  <c r="B6" i="25" s="1"/>
  <c r="C6" i="25" s="1"/>
  <c r="Q97" i="13"/>
  <c r="AA4" i="13"/>
  <c r="AP4" i="13"/>
  <c r="AP97" i="13" s="1"/>
  <c r="N5" i="6"/>
  <c r="O5" i="6" s="1"/>
  <c r="K5" i="6"/>
  <c r="K7" i="6"/>
  <c r="N7" i="6"/>
  <c r="O7" i="6" s="1"/>
  <c r="N6" i="6"/>
  <c r="O6" i="6" s="1"/>
  <c r="K6" i="6"/>
  <c r="K4" i="6"/>
  <c r="N4" i="6"/>
  <c r="O4" i="6" s="1"/>
  <c r="AR3" i="13"/>
  <c r="Z2" i="13"/>
  <c r="AO2" i="13"/>
  <c r="U97" i="13"/>
  <c r="B5" i="25" s="1"/>
  <c r="C5" i="25" s="1"/>
  <c r="W97" i="13"/>
  <c r="B7" i="25" s="1"/>
  <c r="C7" i="25" s="1"/>
  <c r="AQ2" i="13"/>
  <c r="AB2" i="13"/>
  <c r="AY44" i="20" l="1"/>
  <c r="BA44" i="20" s="1"/>
  <c r="AY86" i="20"/>
  <c r="BA86" i="20" s="1"/>
  <c r="AY84" i="20"/>
  <c r="BA84" i="20" s="1"/>
  <c r="AY87" i="20"/>
  <c r="BA87" i="20" s="1"/>
  <c r="AY46" i="20"/>
  <c r="BA46" i="20" s="1"/>
  <c r="AY50" i="20"/>
  <c r="BA50" i="20" s="1"/>
  <c r="AY34" i="20"/>
  <c r="BA34" i="20" s="1"/>
  <c r="AY74" i="20"/>
  <c r="BA74" i="20" s="1"/>
  <c r="AY56" i="20"/>
  <c r="BA56" i="20" s="1"/>
  <c r="AY89" i="20"/>
  <c r="BA89" i="20" s="1"/>
  <c r="AY9" i="20"/>
  <c r="BA9" i="20" s="1"/>
  <c r="AY33" i="20"/>
  <c r="BA33" i="20" s="1"/>
  <c r="AY19" i="20"/>
  <c r="BA19" i="20" s="1"/>
  <c r="BB3" i="20"/>
  <c r="BA3" i="20"/>
  <c r="AY62" i="20"/>
  <c r="BA62" i="20" s="1"/>
  <c r="AY63" i="20"/>
  <c r="BA63" i="20" s="1"/>
  <c r="AY82" i="20"/>
  <c r="BA82" i="20" s="1"/>
  <c r="AY80" i="20"/>
  <c r="BA80" i="20" s="1"/>
  <c r="AY64" i="20"/>
  <c r="BA64" i="20" s="1"/>
  <c r="AY68" i="20"/>
  <c r="BA68" i="20" s="1"/>
  <c r="AY51" i="20"/>
  <c r="BA51" i="20" s="1"/>
  <c r="BA70" i="20"/>
  <c r="BA54" i="20"/>
  <c r="AY79" i="20"/>
  <c r="BA79" i="20" s="1"/>
  <c r="AY35" i="20"/>
  <c r="BA35" i="20" s="1"/>
  <c r="AY53" i="20"/>
  <c r="BA53" i="20" s="1"/>
  <c r="AY71" i="20"/>
  <c r="BA71" i="20" s="1"/>
  <c r="AY60" i="20"/>
  <c r="BA60" i="20" s="1"/>
  <c r="AY23" i="20"/>
  <c r="BA23" i="20" s="1"/>
  <c r="AY66" i="20"/>
  <c r="BA66" i="20" s="1"/>
  <c r="AY65" i="20"/>
  <c r="BA65" i="20" s="1"/>
  <c r="BA52" i="20"/>
  <c r="AY13" i="20"/>
  <c r="BA13" i="20" s="1"/>
  <c r="AY57" i="20"/>
  <c r="BA57" i="20" s="1"/>
  <c r="AY61" i="20"/>
  <c r="BA61" i="20" s="1"/>
  <c r="AY55" i="20"/>
  <c r="BA55" i="20" s="1"/>
  <c r="AY76" i="20"/>
  <c r="BA76" i="20" s="1"/>
  <c r="AY83" i="20"/>
  <c r="BA83" i="20" s="1"/>
  <c r="AQ97" i="13"/>
  <c r="D7" i="25" s="1"/>
  <c r="AO97" i="13"/>
  <c r="D5" i="25" s="1"/>
  <c r="AY49" i="20"/>
  <c r="BA49" i="20" s="1"/>
  <c r="AY48" i="20"/>
  <c r="BA48" i="20" s="1"/>
  <c r="AY43" i="20"/>
  <c r="BA43" i="20" s="1"/>
  <c r="AY41" i="20"/>
  <c r="BA41" i="20" s="1"/>
  <c r="AY37" i="20"/>
  <c r="BA37" i="20" s="1"/>
  <c r="AY26" i="20"/>
  <c r="BA26" i="20" s="1"/>
  <c r="AY27" i="20"/>
  <c r="BA27" i="20" s="1"/>
  <c r="AY20" i="20"/>
  <c r="BA20" i="20" s="1"/>
  <c r="BA2" i="20"/>
  <c r="BB2" i="20"/>
  <c r="BC2" i="20"/>
  <c r="A7" i="20"/>
  <c r="B6" i="20"/>
  <c r="T97" i="13"/>
  <c r="B4" i="25" s="1"/>
  <c r="C4" i="25" s="1"/>
  <c r="O97" i="13"/>
  <c r="O99" i="13" s="1"/>
  <c r="D6" i="25"/>
  <c r="F6" i="25" s="1"/>
  <c r="AT3" i="13"/>
  <c r="AR2" i="13"/>
  <c r="E7" i="25" l="1"/>
  <c r="F7" i="25"/>
  <c r="A8" i="20"/>
  <c r="B7" i="20"/>
  <c r="T103" i="13"/>
  <c r="D4" i="25"/>
  <c r="F4" i="25" s="1"/>
  <c r="E6" i="25"/>
  <c r="AT2" i="13"/>
  <c r="F5" i="25"/>
  <c r="E5" i="25"/>
  <c r="S4" i="13"/>
  <c r="B8" i="20" l="1"/>
  <c r="A9" i="20"/>
  <c r="E4" i="25"/>
  <c r="AM4" i="13"/>
  <c r="AR4" i="13" l="1"/>
  <c r="AR98" i="13" s="1"/>
  <c r="D53" i="14" s="1"/>
  <c r="AM97" i="13"/>
  <c r="A10" i="20"/>
  <c r="B9" i="20"/>
  <c r="N97" i="13"/>
  <c r="N99" i="13" s="1"/>
  <c r="C56" i="14" l="1"/>
  <c r="C55" i="14"/>
  <c r="D55" i="14" s="1"/>
  <c r="AR96" i="13"/>
  <c r="AT4" i="13"/>
  <c r="A11" i="20"/>
  <c r="B10" i="20"/>
  <c r="S97" i="13"/>
  <c r="B3" i="25" s="1"/>
  <c r="C3" i="25" s="1"/>
  <c r="B11" i="20" l="1"/>
  <c r="A12" i="20"/>
  <c r="D3" i="25"/>
  <c r="A13" i="20" l="1"/>
  <c r="B12" i="20"/>
  <c r="B8" i="25"/>
  <c r="E3" i="25"/>
  <c r="F3" i="25"/>
  <c r="F8" i="25" s="1"/>
  <c r="B13" i="20" l="1"/>
  <c r="A14" i="20"/>
  <c r="B21" i="25"/>
  <c r="B20" i="25"/>
  <c r="A15" i="20" l="1"/>
  <c r="B14" i="20"/>
  <c r="A16" i="20" l="1"/>
  <c r="B15" i="20"/>
  <c r="B16" i="20" l="1"/>
  <c r="A17" i="20"/>
  <c r="B17" i="20" l="1"/>
  <c r="A18" i="20"/>
  <c r="A19" i="20" l="1"/>
  <c r="B18" i="20"/>
  <c r="B19" i="20" l="1"/>
  <c r="A20" i="20"/>
  <c r="A21" i="20" l="1"/>
  <c r="B20" i="20"/>
  <c r="A22" i="20" l="1"/>
  <c r="B21" i="20"/>
  <c r="B22" i="20" l="1"/>
  <c r="A23" i="20"/>
  <c r="B23" i="20" l="1"/>
  <c r="A24" i="20"/>
  <c r="A25" i="20" l="1"/>
  <c r="B24" i="20"/>
  <c r="A26" i="20" l="1"/>
  <c r="B25" i="20"/>
  <c r="B26" i="20" l="1"/>
  <c r="A27" i="20"/>
  <c r="A28" i="20" l="1"/>
  <c r="B27" i="20"/>
  <c r="A29" i="20" l="1"/>
  <c r="B28" i="20"/>
  <c r="B29" i="20" l="1"/>
  <c r="A30" i="20"/>
  <c r="A31" i="20" l="1"/>
  <c r="B30" i="20"/>
  <c r="B31" i="20" l="1"/>
  <c r="A32" i="20"/>
  <c r="B32" i="20" l="1"/>
  <c r="A33" i="20"/>
  <c r="A34" i="20" l="1"/>
  <c r="B33" i="20"/>
  <c r="B34" i="20" l="1"/>
  <c r="A35" i="20"/>
  <c r="B35" i="20" l="1"/>
  <c r="A36" i="20"/>
  <c r="A37" i="20" l="1"/>
  <c r="B36" i="20"/>
  <c r="A38" i="20" l="1"/>
  <c r="B37" i="20"/>
  <c r="A39" i="20" l="1"/>
  <c r="B38" i="20"/>
  <c r="B39" i="20" l="1"/>
  <c r="A40" i="20"/>
  <c r="A41" i="20" l="1"/>
  <c r="B40" i="20"/>
  <c r="A42" i="20" l="1"/>
  <c r="B41" i="20"/>
  <c r="B42" i="20" l="1"/>
  <c r="A43" i="20"/>
  <c r="B43" i="20" l="1"/>
  <c r="A44" i="20"/>
  <c r="A45" i="20" l="1"/>
  <c r="B44" i="20"/>
  <c r="A46" i="20" l="1"/>
  <c r="B45" i="20"/>
  <c r="A47" i="20" l="1"/>
  <c r="B46" i="20"/>
  <c r="B47" i="20" l="1"/>
  <c r="A48" i="20"/>
  <c r="A49" i="20" l="1"/>
  <c r="B48" i="20"/>
  <c r="A50" i="20" l="1"/>
  <c r="B49" i="20"/>
  <c r="B50" i="20" l="1"/>
  <c r="A51" i="20"/>
  <c r="B51" i="20" l="1"/>
  <c r="A52" i="20"/>
  <c r="A53" i="20" l="1"/>
  <c r="B52" i="20"/>
  <c r="A54" i="20" l="1"/>
  <c r="B53" i="20"/>
  <c r="A55" i="20" l="1"/>
  <c r="B54" i="20"/>
  <c r="B55" i="20" l="1"/>
  <c r="A56" i="20"/>
  <c r="A57" i="20" l="1"/>
  <c r="B56" i="20"/>
  <c r="A58" i="20" l="1"/>
  <c r="B57" i="20"/>
  <c r="B58" i="20" l="1"/>
  <c r="A59" i="20"/>
  <c r="A60" i="20" l="1"/>
  <c r="B59" i="20"/>
  <c r="A61" i="20" l="1"/>
  <c r="B60" i="20"/>
  <c r="A62" i="20" l="1"/>
  <c r="B61" i="20"/>
  <c r="A63" i="20" l="1"/>
  <c r="B62" i="20"/>
  <c r="B63" i="20" l="1"/>
  <c r="A64" i="20"/>
  <c r="A65" i="20" l="1"/>
  <c r="B64" i="20"/>
  <c r="A66" i="20" l="1"/>
  <c r="B65" i="20"/>
  <c r="B66" i="20" l="1"/>
  <c r="A67" i="20"/>
  <c r="A68" i="20" l="1"/>
  <c r="B67" i="20"/>
  <c r="A69" i="20" l="1"/>
  <c r="B68" i="20"/>
  <c r="A70" i="20" l="1"/>
  <c r="B69" i="20"/>
  <c r="A71" i="20" l="1"/>
  <c r="B70" i="20"/>
  <c r="B71" i="20" l="1"/>
  <c r="A72" i="20"/>
  <c r="A73" i="20" l="1"/>
  <c r="B72" i="20"/>
  <c r="A74" i="20" l="1"/>
  <c r="B73" i="20"/>
  <c r="B74" i="20" l="1"/>
  <c r="A75" i="20"/>
  <c r="A76" i="20" l="1"/>
  <c r="B75" i="20"/>
  <c r="A77" i="20" l="1"/>
  <c r="B76" i="20"/>
  <c r="A78" i="20" l="1"/>
  <c r="B77" i="20"/>
  <c r="A79" i="20" l="1"/>
  <c r="B78" i="20"/>
  <c r="B79" i="20" l="1"/>
  <c r="A80" i="20"/>
  <c r="A81" i="20" l="1"/>
  <c r="B80" i="20"/>
  <c r="A82" i="20" l="1"/>
  <c r="B81" i="20"/>
  <c r="B82" i="20" l="1"/>
  <c r="A83" i="20"/>
  <c r="A84" i="20" l="1"/>
  <c r="B83" i="20"/>
  <c r="A85" i="20" l="1"/>
  <c r="B84" i="20"/>
  <c r="A86" i="20" l="1"/>
  <c r="B85" i="20"/>
  <c r="A87" i="20" l="1"/>
  <c r="B86" i="20"/>
  <c r="B87" i="20" l="1"/>
  <c r="A88" i="20"/>
  <c r="A89" i="20" l="1"/>
  <c r="B88" i="20"/>
  <c r="A90" i="20" l="1"/>
  <c r="B89" i="20"/>
  <c r="B90" i="20" l="1"/>
  <c r="A91" i="20"/>
  <c r="A92" i="20" l="1"/>
  <c r="B91" i="20"/>
  <c r="A93" i="20" l="1"/>
  <c r="B92" i="20"/>
  <c r="A94" i="20" l="1"/>
  <c r="B94" i="20" s="1"/>
  <c r="B93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tc={9764B4BE-0BF7-4407-A4AD-DF903FF26D4D}</author>
    <author>tc={CED1552D-68A5-48E4-98C9-1E8AD082FA7C}</author>
  </authors>
  <commentList>
    <comment ref="X9" authorId="0" shapeId="0" xr:uid="{9764B4BE-0BF7-4407-A4AD-DF903FF26D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CED1552D-68A5-48E4-98C9-1E8AD082FA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  <author>Erbin Dario Galvis Rodriguez</author>
  </authors>
  <commentList>
    <comment ref="C11" authorId="0" shapeId="0" xr:uid="{300C997F-32A2-45BD-BD03-B4A418DD3F72}">
      <text>
        <r>
          <rPr>
            <b/>
            <sz val="9"/>
            <color indexed="81"/>
            <rFont val="Tahoma"/>
            <family val="2"/>
          </rPr>
          <t xml:space="preserve">CIERRE DE PEDIDO DE 26/12/2024
</t>
        </r>
      </text>
    </comment>
    <comment ref="E11" authorId="0" shapeId="0" xr:uid="{DF38ED3E-3963-4D3A-AE44-510ED8D129B7}">
      <text>
        <r>
          <rPr>
            <b/>
            <sz val="9"/>
            <color indexed="81"/>
            <rFont val="Tahoma"/>
            <family val="2"/>
          </rPr>
          <t>PEDIDO REALIZADO 30 DICIEMBRE</t>
        </r>
      </text>
    </comment>
    <comment ref="C22" authorId="1" shapeId="0" xr:uid="{138C0AA0-7F47-4889-BF8F-305EEE13CCE5}">
      <text>
        <r>
          <rPr>
            <sz val="9"/>
            <color indexed="81"/>
            <rFont val="Tahoma"/>
            <family val="2"/>
          </rPr>
          <t xml:space="preserve">Registro, medición densidades a quimíco de ingreso.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Y2" authorId="0" shapeId="0" xr:uid="{5745F61D-9157-4D0A-AF7A-3623E5F261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" authorId="0" shapeId="0" xr:uid="{6A6D92C6-1FBB-4AA8-BBF2-2AE3E1EA84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" authorId="0" shapeId="0" xr:uid="{B5C9040B-3EFA-4277-8B72-05AF1738A9C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" authorId="0" shapeId="0" xr:uid="{F19C1327-1FC1-4734-A4F4-71AE16DBFB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" authorId="0" shapeId="0" xr:uid="{4C7046CD-4D80-4887-87E5-42DECC19253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" authorId="0" shapeId="0" xr:uid="{83A1755D-D4F3-4FB3-B4C2-BDB44B5566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" authorId="0" shapeId="0" xr:uid="{E4800331-2976-422C-B0A0-DA6E79781F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" authorId="0" shapeId="0" xr:uid="{402057BF-9F7E-443D-81FB-CF2D0919BD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" authorId="0" shapeId="0" xr:uid="{27887F89-D278-4CC1-B112-DEB924F1C90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" authorId="0" shapeId="0" xr:uid="{6D0B93F0-4174-47DF-93B4-B0A73CA356C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" authorId="0" shapeId="0" xr:uid="{5FE3742C-882A-4263-86A8-5DCC83E3A3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" authorId="0" shapeId="0" xr:uid="{1C03D4BB-97D7-435F-B856-0532BA54AA2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" authorId="0" shapeId="0" xr:uid="{040FA8D7-9AF7-49FA-A47C-A7303EC56A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" authorId="0" shapeId="0" xr:uid="{74F75A15-B375-4B6E-97C2-B412CD0FAF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" authorId="0" shapeId="0" xr:uid="{BDF51D9F-4ED1-4451-B047-B8C106E047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" authorId="0" shapeId="0" xr:uid="{9CF22717-F228-4D4F-B7D3-7F93D7D2ACC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" authorId="0" shapeId="0" xr:uid="{5E679BB1-A88C-4B5D-97D2-E462A18198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" authorId="0" shapeId="0" xr:uid="{7BAD67D7-3967-4C68-9100-05B07A1424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" authorId="0" shapeId="0" xr:uid="{C9545E08-1820-473B-893A-9F09BB932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" authorId="0" shapeId="0" xr:uid="{5B9BE9A6-1763-48AA-B453-699D81C908B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" authorId="0" shapeId="0" xr:uid="{FF408862-A27D-49D0-BBEF-5B52C54AF4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" authorId="0" shapeId="0" xr:uid="{44E54071-7F11-4706-8234-1545F08D50C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" authorId="0" shapeId="0" xr:uid="{0B2D7428-CCA0-4FB3-87E7-F21AC6CB640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" authorId="0" shapeId="0" xr:uid="{1C72C492-4EC8-4E0C-8B63-9047C4F973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0" authorId="0" shapeId="0" xr:uid="{C3C7A6BB-9C2B-47E6-B4AB-C7200392A79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0" authorId="0" shapeId="0" xr:uid="{52F41C36-ECDB-4CE0-BC1B-70708763281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0" authorId="0" shapeId="0" xr:uid="{DF104924-1A19-45DB-AAE4-B8FA3CC5F3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1" authorId="0" shapeId="0" xr:uid="{3B161590-C920-4E52-A541-3CD77006C9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1" authorId="0" shapeId="0" xr:uid="{B9452D4F-279F-425E-AEFA-A67D6D3D67E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1" authorId="0" shapeId="0" xr:uid="{AE928FB4-FF20-48E9-AC84-21841FAD7C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2" authorId="0" shapeId="0" xr:uid="{1E2DAF17-9561-469E-9C5B-77BFD93EAA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2" authorId="0" shapeId="0" xr:uid="{39BE2690-6FEC-4035-A0F0-7DBF75A70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2" authorId="0" shapeId="0" xr:uid="{2673CC9A-5BF6-4FB2-B605-5D3C9204D83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3" authorId="0" shapeId="0" xr:uid="{22AEFAA8-09FA-4A01-958C-7E718487D29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3" authorId="0" shapeId="0" xr:uid="{3C5C1903-3ADD-4B2B-8BF6-3F3859E67C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3" authorId="0" shapeId="0" xr:uid="{A6B21C22-BF47-4AA9-989D-3DC83A4E4C9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4" authorId="0" shapeId="0" xr:uid="{3BCB83EC-F0ED-4AAC-A514-8AB5D983145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4" authorId="0" shapeId="0" xr:uid="{7048737B-AAAD-4BDE-B3C8-2AB9934583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4" authorId="0" shapeId="0" xr:uid="{AC700DF7-6E75-46E3-AC61-4C1B6D544B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5" authorId="0" shapeId="0" xr:uid="{83E5E2DC-7519-480F-B89B-18598F35797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5" authorId="0" shapeId="0" xr:uid="{56BF6611-D624-4CB1-B367-8BA63AC8D4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5" authorId="0" shapeId="0" xr:uid="{D213C058-D973-41AC-9F7F-5B8953A5726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6" authorId="0" shapeId="0" xr:uid="{FF84167D-A380-447F-B7FD-B9653BD06BD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6" authorId="0" shapeId="0" xr:uid="{548DD68E-3DD7-4697-ACA4-D96348699E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6" authorId="0" shapeId="0" xr:uid="{B41A3A14-3311-4961-B73B-0748BB31D6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7" authorId="0" shapeId="0" xr:uid="{8B97D731-3D09-41B4-A6FC-9C5BA13037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7" authorId="0" shapeId="0" xr:uid="{592CF5F0-EA9F-40F0-B263-1559CFA55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7" authorId="0" shapeId="0" xr:uid="{745116AF-EA90-492B-99D1-93DCFA294F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8" authorId="0" shapeId="0" xr:uid="{A5B1E4D8-B0F4-40F5-B39E-3431E1F7AD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8" authorId="0" shapeId="0" xr:uid="{A6781DBE-6F03-47DF-AA71-E8DF08F2C0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8" authorId="0" shapeId="0" xr:uid="{E95B76C0-A46F-4C09-9DE4-61CB7A0EF40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19" authorId="0" shapeId="0" xr:uid="{438F9F48-8F0E-412F-AB08-9AF8C1E0C0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19" authorId="0" shapeId="0" xr:uid="{88DC45D1-D75E-49E6-9367-4368B1A8789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19" authorId="0" shapeId="0" xr:uid="{A4965342-CA8D-4499-BC1D-3433A36565E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0" authorId="0" shapeId="0" xr:uid="{17A956BE-CC65-4E3F-A833-83FE02FE711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0" authorId="0" shapeId="0" xr:uid="{A55FE2AD-F5A0-4234-A02A-DDA4CF548A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0" authorId="0" shapeId="0" xr:uid="{0F256974-CF9A-437C-B771-8404A17BA0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1" authorId="0" shapeId="0" xr:uid="{844F127D-C0EF-4099-AE1A-83159D43EF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1" authorId="0" shapeId="0" xr:uid="{9986306B-097F-4A99-AA84-2B4C42DB6A8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1" authorId="0" shapeId="0" xr:uid="{12ADCDD7-E537-45F7-822D-E422E56EE77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2" authorId="0" shapeId="0" xr:uid="{69C00943-A543-4B8B-BFA4-6081D586995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2" authorId="0" shapeId="0" xr:uid="{54BC50A2-4C96-42E1-BA82-856A8EE6F9C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2" authorId="0" shapeId="0" xr:uid="{6C865583-84A3-447C-B6B6-3AEB3C0467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3" authorId="0" shapeId="0" xr:uid="{98C76C02-599F-4402-8C55-612DC23A91D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3" authorId="0" shapeId="0" xr:uid="{2F13347B-B0D4-4F0B-B538-68EA7132D76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3" authorId="0" shapeId="0" xr:uid="{C3EB5E67-917D-43F0-9C1A-20E751DC7D3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4" authorId="0" shapeId="0" xr:uid="{A0ABEA48-7951-4111-89B7-BAB774716A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4" authorId="0" shapeId="0" xr:uid="{4FC9FC63-A2AC-4778-9C43-99067C03074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4" authorId="0" shapeId="0" xr:uid="{C7F95773-601B-43AE-931A-28E6427AFD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5" authorId="0" shapeId="0" xr:uid="{F931BFD7-B45B-49CE-8807-2BFB24FC16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5" authorId="0" shapeId="0" xr:uid="{EFA79955-3019-4E7B-A103-23ADD97F677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5" authorId="0" shapeId="0" xr:uid="{126AB9CA-CA52-476A-9DD8-D611E6D9844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6" authorId="0" shapeId="0" xr:uid="{97F25431-DB95-42C5-991B-7CF7DB1AA15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6" authorId="0" shapeId="0" xr:uid="{04FCDCA8-8D23-4513-A4C9-8DCEFB8483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6" authorId="0" shapeId="0" xr:uid="{41F7956D-933C-45B7-8C52-F26B34ED50B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7" authorId="0" shapeId="0" xr:uid="{2858363A-9755-4DAE-B4A2-07660F95153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7" authorId="0" shapeId="0" xr:uid="{9FF3D8FD-11E7-425E-9DC2-1116803CDF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7" authorId="0" shapeId="0" xr:uid="{AE95EC15-0F83-4174-8BC5-19B341160B1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8" authorId="0" shapeId="0" xr:uid="{7E21FF43-4B6F-43C0-AEA5-F96EC50522D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8" authorId="0" shapeId="0" xr:uid="{BB59311A-75F8-42B0-9E35-7D07A9011C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8" authorId="0" shapeId="0" xr:uid="{55B8FF8D-9B78-48AE-A780-B1DC1657794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29" authorId="0" shapeId="0" xr:uid="{E31CA8F9-CB77-4B94-B103-7F45CA0832B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29" authorId="0" shapeId="0" xr:uid="{49ACCCEB-8808-40B2-B4DD-4302C6354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29" authorId="0" shapeId="0" xr:uid="{5FB9B487-401A-46A5-9270-A86EAF718A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0" authorId="0" shapeId="0" xr:uid="{301D8358-8CA5-4D83-8594-4A176BF739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0" authorId="0" shapeId="0" xr:uid="{273C88C5-D55D-44DC-95F0-FDB3ABACA1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0" authorId="0" shapeId="0" xr:uid="{0945BF68-489C-4777-9669-1C4511DABD3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1" authorId="0" shapeId="0" xr:uid="{BB09F8B5-5CAC-4830-B88D-251214405C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1" authorId="0" shapeId="0" xr:uid="{0D1395FB-9E59-4493-93A1-BF760728EB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1" authorId="0" shapeId="0" xr:uid="{59100E90-E7D8-4610-A475-520CAF0583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2" authorId="0" shapeId="0" xr:uid="{C9D86C9E-9A53-41FB-9BD6-9711EC95F5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2" authorId="0" shapeId="0" xr:uid="{D8BEA0C3-7B90-4475-82A4-15238F7191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2" authorId="0" shapeId="0" xr:uid="{834857C6-93AF-4AFE-AB78-918F6689610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3" authorId="0" shapeId="0" xr:uid="{198653F0-1AD9-4524-80F6-B8B80F16077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3" authorId="0" shapeId="0" xr:uid="{C525F95C-1620-43FF-8FDC-2D0A2D0A88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3" authorId="0" shapeId="0" xr:uid="{F8E1E36D-510C-4F21-BA23-B7A89B1FB3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4" authorId="0" shapeId="0" xr:uid="{ACA20645-C2B9-48E9-84DB-CC5CF65858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4" authorId="0" shapeId="0" xr:uid="{F03E73B8-B641-4472-BA03-0C24EE39998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4" authorId="0" shapeId="0" xr:uid="{BAC73110-DFAA-4EAD-A783-351F9B5E1E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5" authorId="0" shapeId="0" xr:uid="{01DA75C6-B1AC-40A3-8608-537CB3EDF1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5" authorId="0" shapeId="0" xr:uid="{4739D261-71D4-485E-9C4C-F43CE9358E5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5" authorId="0" shapeId="0" xr:uid="{11F5D795-84A0-4184-B9DD-7B78CD7DBE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6" authorId="0" shapeId="0" xr:uid="{2B1B83CF-E74A-4EF5-81B1-71B03E0C8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6" authorId="0" shapeId="0" xr:uid="{727052B1-B32D-4FB5-8E82-973486005A9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6" authorId="0" shapeId="0" xr:uid="{3EEB3F73-220C-42F2-83D6-817E92C1C8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7" authorId="0" shapeId="0" xr:uid="{62AFE1A3-E005-4E9B-AB72-5AE7B7DFE7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7" authorId="0" shapeId="0" xr:uid="{B9FF640A-62D8-45EB-AF39-6F542A3F43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7" authorId="0" shapeId="0" xr:uid="{14B25B35-2EB9-4B34-ABBD-DE5411271F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8" authorId="0" shapeId="0" xr:uid="{9FB39EF8-99C2-454A-AC14-78B1D157290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8" authorId="0" shapeId="0" xr:uid="{4004383E-4811-414A-BBA4-21191825AE4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8" authorId="0" shapeId="0" xr:uid="{CEC78ED9-E811-4B8E-AE8D-A5C948ED272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39" authorId="0" shapeId="0" xr:uid="{D6B3ECBC-F4FD-4949-B461-35F4BEBC34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39" authorId="0" shapeId="0" xr:uid="{9500E07D-2080-4E52-A9A3-4E943A09C4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39" authorId="0" shapeId="0" xr:uid="{B8AA146E-CED7-4B6D-8644-009E9A1A10D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0" authorId="0" shapeId="0" xr:uid="{DB272057-E9B3-42F2-B688-9ABFFDCDA8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0" authorId="0" shapeId="0" xr:uid="{C713207F-1E9B-453D-B911-6E86F6F519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0" authorId="0" shapeId="0" xr:uid="{2910397C-ED89-49E3-9411-2D07E0DA19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1" authorId="0" shapeId="0" xr:uid="{3C137F60-EB0A-4962-969B-C3A8B1728DF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1" authorId="0" shapeId="0" xr:uid="{1923250F-7260-4EAF-B8FB-82C4FA82E7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1" authorId="0" shapeId="0" xr:uid="{D6A63C20-00C8-4E30-B28B-4DAC9FD0AA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2" authorId="0" shapeId="0" xr:uid="{C12D7DAD-D9D7-44A3-8EE2-50A605D8D5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2" authorId="0" shapeId="0" xr:uid="{2DEBB152-BA72-40FB-AA84-3624408B5D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2" authorId="0" shapeId="0" xr:uid="{CD8F52CA-A147-4F6D-B2AA-11483179FB5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3" authorId="0" shapeId="0" xr:uid="{FDD7FE60-0797-4D4B-8BDE-255D5C8AA9D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3" authorId="0" shapeId="0" xr:uid="{F628B432-E05A-4445-92EA-58569CCCAC3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3" authorId="0" shapeId="0" xr:uid="{B707A084-B1E2-47CE-8C3A-E30F4D030B8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4" authorId="0" shapeId="0" xr:uid="{B6979AC0-4381-49B4-8DCC-0365ABDEAEA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4" authorId="0" shapeId="0" xr:uid="{C2EC16FC-9B55-439C-ADE7-E41EE2640F2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4" authorId="0" shapeId="0" xr:uid="{9CD76C3F-8C2A-4A10-9491-F4D2C364321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5" authorId="0" shapeId="0" xr:uid="{4F5E89FF-FA3A-46BC-A66B-50D273FB3CC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5" authorId="0" shapeId="0" xr:uid="{886E7DEB-455E-4CEA-B964-C5A18A55B8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5" authorId="0" shapeId="0" xr:uid="{31E002B6-0B0B-4081-A9C1-4EC488723F7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6" authorId="0" shapeId="0" xr:uid="{6F822A49-8E4B-489C-ACFD-CA5654E2736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6" authorId="0" shapeId="0" xr:uid="{BE95C0D3-0AB0-4966-82C1-0C861619155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6" authorId="0" shapeId="0" xr:uid="{F388F29A-7E7E-4286-AD59-6722057B172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7" authorId="0" shapeId="0" xr:uid="{8909804C-F2C5-4AF0-9DA7-6731ECF7F44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7" authorId="0" shapeId="0" xr:uid="{04F631A7-FABC-47A8-B9AE-B364025CA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7" authorId="0" shapeId="0" xr:uid="{6DE943E7-E663-4FF9-ACE4-CB25CAC852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8" authorId="0" shapeId="0" xr:uid="{F33C1507-DA23-416F-833E-A3AD1A9380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8" authorId="0" shapeId="0" xr:uid="{4D87F958-D0CB-4881-BF8D-8B0713E8C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8" authorId="0" shapeId="0" xr:uid="{81986899-05A2-4336-803C-DD8440BBB23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49" authorId="0" shapeId="0" xr:uid="{24622150-0176-476A-BB77-122543F927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49" authorId="0" shapeId="0" xr:uid="{84CB6A14-21AE-4E38-BD13-B55AE6F8C01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49" authorId="0" shapeId="0" xr:uid="{B5345997-40D2-42AD-921C-99954936D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0" authorId="0" shapeId="0" xr:uid="{A491A38C-45D1-4B7B-9E62-71F7D3A6FF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0" authorId="0" shapeId="0" xr:uid="{4D912E3E-9758-42AC-9AAC-635B71B65D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0" authorId="0" shapeId="0" xr:uid="{A4450B5B-1B87-4EE6-9FA1-A01563615C8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1" authorId="0" shapeId="0" xr:uid="{039A8778-1C05-4CE4-A286-5D984D7DE5C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1" authorId="0" shapeId="0" xr:uid="{FF682283-D714-458F-8D98-22ACEB15E9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1" authorId="0" shapeId="0" xr:uid="{C75AC591-4D96-409D-80B5-FE58AF335E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2" authorId="0" shapeId="0" xr:uid="{8110B13F-8F13-4EBB-8201-2CFBFBB184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2" authorId="0" shapeId="0" xr:uid="{8BF76CD0-CA3E-429A-85A6-12D5D4E78CB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2" authorId="0" shapeId="0" xr:uid="{F54E875B-D33F-4F14-AD86-C037916B0D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3" authorId="0" shapeId="0" xr:uid="{895430F1-242A-425E-9814-16F241CFE1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3" authorId="0" shapeId="0" xr:uid="{3B811520-3444-409C-8B6C-BAE978C9587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3" authorId="0" shapeId="0" xr:uid="{FB6E8DFB-A18E-4B71-9CB5-1A1C8B31AE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4" authorId="0" shapeId="0" xr:uid="{0C2DD236-4FE3-45E5-8E8E-E75E85FEDC9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4" authorId="0" shapeId="0" xr:uid="{A5B08863-7856-4F34-9B18-63654B3C219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4" authorId="0" shapeId="0" xr:uid="{788B6955-D5DD-4897-BB16-77A06D78ACA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5" authorId="0" shapeId="0" xr:uid="{8175551B-C210-4791-9504-5D55BF9C39F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5" authorId="0" shapeId="0" xr:uid="{22BFC7D0-9953-4190-B4FB-D98B8F64D96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5" authorId="0" shapeId="0" xr:uid="{FF107D99-FEB6-4BAE-9D39-E7BBDDD1CF6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6" authorId="0" shapeId="0" xr:uid="{ACFA00B9-F143-4387-87FB-69566493CFA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6" authorId="0" shapeId="0" xr:uid="{0554B3FD-1B72-4411-AB9D-164E7C9D6C1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6" authorId="0" shapeId="0" xr:uid="{EC87AEF6-9BB7-4D42-BCE3-2203762CFF6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7" authorId="0" shapeId="0" xr:uid="{699DF8DF-0DAD-4CBD-94E5-94ACC60F3F3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7" authorId="0" shapeId="0" xr:uid="{DE10FF8E-C285-4A08-BD11-B3589DFB9B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7" authorId="0" shapeId="0" xr:uid="{8F9C7895-C91A-46BD-96D3-A1C05A6173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8" authorId="0" shapeId="0" xr:uid="{8B3E05B6-4422-4FA9-A932-42CA5F09DD0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8" authorId="0" shapeId="0" xr:uid="{C325E6CD-A340-4AE4-A968-CD5F5F07353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8" authorId="0" shapeId="0" xr:uid="{46E00AAB-CDE0-44E6-85E0-20170F0AD5B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59" authorId="0" shapeId="0" xr:uid="{B559E148-85E1-4113-93E7-466007920FD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59" authorId="0" shapeId="0" xr:uid="{E3721E9F-61B7-4E68-A611-69228AB7BF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59" authorId="0" shapeId="0" xr:uid="{868572DF-4927-4D27-8053-CF278BC3AE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0" authorId="0" shapeId="0" xr:uid="{B0C1A171-135C-4A60-AF2B-C6A5DF1C4C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0" authorId="0" shapeId="0" xr:uid="{3ADB2058-041A-4817-B291-5D9B93F992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0" authorId="0" shapeId="0" xr:uid="{1E2D6C99-1B0F-454F-B96B-6162BF5580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1" authorId="0" shapeId="0" xr:uid="{FB3CFEF5-837A-432A-AD3B-5F0644976C4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1" authorId="0" shapeId="0" xr:uid="{F353D394-901D-4FF3-8739-D77E202881D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1" authorId="0" shapeId="0" xr:uid="{43A3B9CE-C6D8-4F51-8CB7-E9BF5B71E4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2" authorId="0" shapeId="0" xr:uid="{D06B92EE-3BA7-410F-8EAF-79128F56D44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2" authorId="0" shapeId="0" xr:uid="{A9FCD060-40C3-42D4-90A7-77A0BDBEB7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2" authorId="0" shapeId="0" xr:uid="{FFFBDB7F-FEE2-4078-ADF7-6A546F3F765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3" authorId="0" shapeId="0" xr:uid="{7662BC56-880F-473F-9CDE-0B913FE12DE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3" authorId="0" shapeId="0" xr:uid="{D8C61E47-99E5-423C-873E-DD8FCE053AE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3" authorId="0" shapeId="0" xr:uid="{920EEA9F-D37C-4F3A-96B9-42FFA02498F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4" authorId="0" shapeId="0" xr:uid="{E5B87C68-7E80-4E31-A763-09C37DC20D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4" authorId="0" shapeId="0" xr:uid="{74D718A0-F13B-42EC-AB63-285E3FAA977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4" authorId="0" shapeId="0" xr:uid="{5168F70D-2BCB-4FAA-B14D-D61122F69DC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5" authorId="0" shapeId="0" xr:uid="{FBF85BF2-1F3C-4D44-86AB-F1CA49215EC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5" authorId="0" shapeId="0" xr:uid="{009F29CB-32BB-4303-8672-B7657AA0115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5" authorId="0" shapeId="0" xr:uid="{CDDD5117-7D88-4C7A-A989-8532E0B92D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6" authorId="0" shapeId="0" xr:uid="{6DF94E17-A60F-44A7-A91D-90AAF4E27D2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6" authorId="0" shapeId="0" xr:uid="{ADE74FFB-591D-4223-8FB6-8E419FDDEFE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6" authorId="0" shapeId="0" xr:uid="{4130A682-AF8C-4FD3-B4B8-FEB54E1ECAB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7" authorId="0" shapeId="0" xr:uid="{1019C0AE-8DE5-494D-8783-28228D5B3B8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7" authorId="0" shapeId="0" xr:uid="{8ACDF136-0F85-4C24-B016-9879A68DF8B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7" authorId="0" shapeId="0" xr:uid="{A2A4BC49-5509-435C-A7CE-9B45F0310DC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8" authorId="0" shapeId="0" xr:uid="{F253E209-75D1-4768-9D20-09B5C982A2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8" authorId="0" shapeId="0" xr:uid="{F80F3B27-10AF-4CCB-8948-E7531CBF832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8" authorId="0" shapeId="0" xr:uid="{E68BC020-61BE-47F2-89B7-D9BEDB68396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69" authorId="0" shapeId="0" xr:uid="{F22A81BC-144D-4814-A9D5-A83FC4B9FA2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69" authorId="0" shapeId="0" xr:uid="{CE3F9DFF-A8E3-46D0-AAC9-CECC1C93A20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69" authorId="0" shapeId="0" xr:uid="{593E183B-92B9-4EA7-BD07-0BCF900564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0" authorId="0" shapeId="0" xr:uid="{1B347FD8-8613-4D0D-BD78-6E25F5E43E0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0" authorId="0" shapeId="0" xr:uid="{62E5A3F0-FB2E-4116-AFF1-7DD0621D8F0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0" authorId="0" shapeId="0" xr:uid="{89C5663F-0963-47CE-BA0D-13FA9A4138F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1" authorId="0" shapeId="0" xr:uid="{C0929CC1-2D62-43C5-A262-75382DD56FE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1" authorId="0" shapeId="0" xr:uid="{03560F6E-3863-4D23-ABBF-C4B6F58D4B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1" authorId="0" shapeId="0" xr:uid="{DBE6CF70-4156-4C8D-AF61-1AD1064825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2" authorId="0" shapeId="0" xr:uid="{04087F74-9019-470D-B5EC-712A90DF90A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2" authorId="0" shapeId="0" xr:uid="{10B10DD6-121E-449B-B10C-1BA917DEEC1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2" authorId="0" shapeId="0" xr:uid="{C7F76646-D953-467E-81A1-B5BEFDCE4CA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3" authorId="0" shapeId="0" xr:uid="{D777413B-F9F6-4967-9A34-98D878F9F8E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3" authorId="0" shapeId="0" xr:uid="{4CD60294-4010-4771-8A11-5FC92EA321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3" authorId="0" shapeId="0" xr:uid="{31CA731D-1E02-4E4A-B5F6-CC1740ED708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4" authorId="0" shapeId="0" xr:uid="{0C15D075-5870-4428-B16A-CCF057E4A08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4" authorId="0" shapeId="0" xr:uid="{9FF42D5A-80AA-4253-85EF-93F25BB4199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4" authorId="0" shapeId="0" xr:uid="{4833E624-9B48-4623-A6A5-7485BB4D62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5" authorId="0" shapeId="0" xr:uid="{FADE618E-E750-42DC-A1EA-CC6FBEE1A6C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5" authorId="0" shapeId="0" xr:uid="{989F67CC-1B76-47D1-93C2-E93F9DBABE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5" authorId="0" shapeId="0" xr:uid="{DDE9097C-C5D8-4F4B-AAEF-20B31DD9E8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6" authorId="0" shapeId="0" xr:uid="{FBB2B116-DF9D-4680-B3C2-C43DB696D4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6" authorId="0" shapeId="0" xr:uid="{E2A5A6E6-F9E6-4518-BF35-52D5554C34A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6" authorId="0" shapeId="0" xr:uid="{EFB9B785-12E7-439F-B27A-DBC993C3480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7" authorId="0" shapeId="0" xr:uid="{3D368654-92C8-4476-81AB-311B8C73DE6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7" authorId="0" shapeId="0" xr:uid="{1200C88A-1D7E-4C71-9BCD-10BAF255491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7" authorId="0" shapeId="0" xr:uid="{6876B77F-A4EA-416A-9537-31AF5771C24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8" authorId="0" shapeId="0" xr:uid="{2ED0A2B8-B594-4A86-9307-32E6C6E8614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8" authorId="0" shapeId="0" xr:uid="{1A18B4A7-0CA3-4A00-9896-9AF5AD38576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8" authorId="0" shapeId="0" xr:uid="{68011846-07C3-46F2-8ACC-48813D9923B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79" authorId="0" shapeId="0" xr:uid="{046D50F4-FBAD-41DF-AEFA-CEA05C547BA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79" authorId="0" shapeId="0" xr:uid="{4FE640A4-F604-4A95-A5F4-F7874BD2A7D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79" authorId="0" shapeId="0" xr:uid="{630D45D1-5DE0-4E50-9E62-C2B957332FE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0" authorId="0" shapeId="0" xr:uid="{9B9F458A-8635-468F-B1AE-3425218D7E1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0" authorId="0" shapeId="0" xr:uid="{5016318D-92AB-4E2E-A894-9468ED7CE7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0" authorId="0" shapeId="0" xr:uid="{0D183104-B617-4698-BA14-70987AE037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1" authorId="0" shapeId="0" xr:uid="{A00B8F7B-4558-4102-8788-DD1D5AA2DC3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1" authorId="0" shapeId="0" xr:uid="{92B23CF1-B988-42F3-B69C-1CFC7F38804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1" authorId="0" shapeId="0" xr:uid="{21F6F805-037F-4AE1-9FB1-A1DCDC775BD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2" authorId="0" shapeId="0" xr:uid="{0D39299E-C2BB-41B6-8D44-EA8829B3836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2" authorId="0" shapeId="0" xr:uid="{217AABB0-1E43-46B2-B30D-A901D89B9F0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2" authorId="0" shapeId="0" xr:uid="{09BB47B4-BE88-4B34-B164-178D707AAE7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3" authorId="0" shapeId="0" xr:uid="{0512917A-509B-445E-8D47-5D8336E632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3" authorId="0" shapeId="0" xr:uid="{B1717C30-58E9-45CE-8382-73EC5510EB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3" authorId="0" shapeId="0" xr:uid="{D0F42967-B7B8-4E2C-8D12-2BB4FEDB8E36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4" authorId="0" shapeId="0" xr:uid="{7379AAA2-8234-44FE-AF65-9E9A259EB409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4" authorId="0" shapeId="0" xr:uid="{B0CDE470-2637-4CE8-919B-8AE574D5A4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4" authorId="0" shapeId="0" xr:uid="{656C9507-9F0A-4201-84F2-E0A9D275419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5" authorId="0" shapeId="0" xr:uid="{B7790F36-42DA-4B8E-BDCD-778C814724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5" authorId="0" shapeId="0" xr:uid="{93C37717-6EFB-4B84-ADA8-5431970BEEE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5" authorId="0" shapeId="0" xr:uid="{47671095-D223-4F48-8584-93F88500E5A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6" authorId="0" shapeId="0" xr:uid="{979B7267-7C59-4DAD-AD5F-37B15FEE977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6" authorId="0" shapeId="0" xr:uid="{14FD17D6-BF67-47CC-9B69-BD097C3620B7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6" authorId="0" shapeId="0" xr:uid="{11550606-859A-4244-B85B-96A2DA6E07E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7" authorId="0" shapeId="0" xr:uid="{376F5398-9BB6-464B-B158-A00E2239280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7" authorId="0" shapeId="0" xr:uid="{B0EEEB01-2DBA-45F7-BF1F-DE8453119B43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7" authorId="0" shapeId="0" xr:uid="{10937CDD-C202-4178-94B1-36BCAB07F9D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8" authorId="0" shapeId="0" xr:uid="{1959EABD-ADCE-4DF5-9F97-22F1FA03008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8" authorId="0" shapeId="0" xr:uid="{A10DDE53-AD84-4EA8-9D5D-483399A5A4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8" authorId="0" shapeId="0" xr:uid="{8CE4F67B-49B1-4CF1-942B-952CCAB8E35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89" authorId="0" shapeId="0" xr:uid="{F582BB03-D9DA-40AE-8BB9-506710764E8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89" authorId="0" shapeId="0" xr:uid="{B4B1280F-BA85-4B11-A149-08244D9C62FF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89" authorId="0" shapeId="0" xr:uid="{DEF1C49F-1902-46A5-B546-75604AF4DC8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0" authorId="0" shapeId="0" xr:uid="{045103BB-42D2-41D1-95DF-375D75D7FE1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0" authorId="0" shapeId="0" xr:uid="{9E273F2D-13C8-4ECA-9B24-990DB97B535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0" authorId="0" shapeId="0" xr:uid="{2B7CE47D-582B-47F3-8E8C-E73B23B28C3A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1" authorId="0" shapeId="0" xr:uid="{CCFD77BC-D994-414B-AE58-7944730375BD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1" authorId="0" shapeId="0" xr:uid="{34F5E5DC-8445-445B-B0A1-D7E7927037A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1" authorId="0" shapeId="0" xr:uid="{98C88B6E-92C7-4E49-AEAA-6542FEC4E69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2" authorId="0" shapeId="0" xr:uid="{FDF64AF8-DF57-4BF7-B4AD-88FA20ECA3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2" authorId="0" shapeId="0" xr:uid="{530B8310-9DA3-48D5-B715-74366665ABA8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2" authorId="0" shapeId="0" xr:uid="{FC4AD4CE-D0C4-49D4-8A7B-74FF6C3D3B8E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3" authorId="0" shapeId="0" xr:uid="{A164513D-EDCD-4F1D-ABAF-4EDF70CB372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3" authorId="0" shapeId="0" xr:uid="{59D2E1B1-CF27-4FA2-9EE3-54978F718FDC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3" authorId="0" shapeId="0" xr:uid="{28E5D3AC-5A98-4D5C-AE9D-1D5403461D2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  <comment ref="Y94" authorId="0" shapeId="0" xr:uid="{97FF59A4-6649-4111-BF54-14DFC9C9E6F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NO ES FDS PROVEEDOR
</t>
        </r>
      </text>
    </comment>
    <comment ref="AB94" authorId="0" shapeId="0" xr:uid="{202B02C3-63C8-4798-920A-1464575546F5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SEGÚN FICHA TECNICA SOLUCIÓN 50%
</t>
        </r>
      </text>
    </comment>
    <comment ref="AC94" authorId="0" shapeId="0" xr:uid="{73D492A3-6A2E-434C-8DFD-6E46FBCD20E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DENSIDAD PENDIENTE PROVEEDOR (FDS NO PROVEEDOR)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Erbin Dario Galvis Rodriguez</author>
  </authors>
  <commentList>
    <comment ref="J11" authorId="0" shapeId="0" xr:uid="{F3EF5394-72B9-4FED-918D-97B957919BCD}">
      <text>
        <r>
          <rPr>
            <b/>
            <sz val="9"/>
            <color indexed="81"/>
            <rFont val="Tahoma"/>
            <family val="2"/>
          </rPr>
          <t xml:space="preserve">Ingreso / Registro de lo que se prepara
</t>
        </r>
      </text>
    </comment>
  </commentList>
</comments>
</file>

<file path=xl/sharedStrings.xml><?xml version="1.0" encoding="utf-8"?>
<sst xmlns="http://schemas.openxmlformats.org/spreadsheetml/2006/main" count="700" uniqueCount="303">
  <si>
    <t>Decolorante COF255</t>
  </si>
  <si>
    <t>Ácido COF280</t>
  </si>
  <si>
    <t>Coagulante COF235</t>
  </si>
  <si>
    <t>Polimero COF440 (Aniónico)</t>
  </si>
  <si>
    <t>CONSOLIDADO CONSUMO DIARIO QUÍMICA (Kg)</t>
  </si>
  <si>
    <t>CONSOLIDADO CONSUMO DIARIO QUÍMICA (Litros)</t>
  </si>
  <si>
    <t>Densidad (g/ml)</t>
  </si>
  <si>
    <t xml:space="preserve">PRODUCTOS QUÍMICOS </t>
  </si>
  <si>
    <t>Polimero COF494 (Cátionico)</t>
  </si>
  <si>
    <t>CONSOLIDADO CONSUMO QUÍMICA MENSUAL</t>
  </si>
  <si>
    <t>Litros</t>
  </si>
  <si>
    <t xml:space="preserve">Kg </t>
  </si>
  <si>
    <t>Densidad 
(g/ml)</t>
  </si>
  <si>
    <t xml:space="preserve">INVENTARIO ACTUALIZADO </t>
  </si>
  <si>
    <t xml:space="preserve">INVENTARIO INICIO DE MES </t>
  </si>
  <si>
    <t xml:space="preserve">CAUDAL TOTAL TRATADO GEM </t>
  </si>
  <si>
    <t>CONSOLIDADO DOSIFICACIÓN QUÍMICA PPM (mg/L)</t>
  </si>
  <si>
    <t>ENTREGAS DE INSUMOS QUÍMICOS PROVEEEDOR COFAI (FECHA)</t>
  </si>
  <si>
    <t>TOTAL SUMINISTRO QUÍMICOS (PROVEEDOR)</t>
  </si>
  <si>
    <t xml:space="preserve">Bisulfito de sodio </t>
  </si>
  <si>
    <t>Hidróxido de Sodio (NaOH)</t>
  </si>
  <si>
    <t>VITEC 7000 (Antiincrustante)</t>
  </si>
  <si>
    <t>KURIVERTER IK-220 (Biocida)</t>
  </si>
  <si>
    <t>HCL (10%)</t>
  </si>
  <si>
    <t>ENTREGAS DE INSUMOS QUÍMICOS PROVEEEDOR (FECHA)</t>
  </si>
  <si>
    <t>REGISTRO DENSIDADES DE INSUMOS QUÍMICOS PROVEEEDOR COFAI (FECHA)</t>
  </si>
  <si>
    <t>TURNO</t>
  </si>
  <si>
    <t>FECHA</t>
  </si>
  <si>
    <t>1 (NOCHE)</t>
  </si>
  <si>
    <t>2 (MAÑANA)</t>
  </si>
  <si>
    <t>3(TARDE)</t>
  </si>
  <si>
    <t>CONSOLIDADO TIEMPO</t>
  </si>
  <si>
    <t xml:space="preserve">PRODUCTOS QUÍMICOS SOLUCIÓN </t>
  </si>
  <si>
    <t>PRODUCTOS QUÍMICOS STOCK - PUROS</t>
  </si>
  <si>
    <t>CONSOLIDADO CONSUMO QUÍMICA PREPARADA MENSUAL</t>
  </si>
  <si>
    <t>CONSOLIDADO PREPARADO QUÍMICA STOCK MENSUAL</t>
  </si>
  <si>
    <t>TOTAL SUMINISTRO QUÍMICOS (PREPARADO diluido)</t>
  </si>
  <si>
    <t>TOTAL EXTRA PROVEDOR</t>
  </si>
  <si>
    <t>INVENTARIO ACTUALIZADO REAL</t>
  </si>
  <si>
    <t>REM No</t>
  </si>
  <si>
    <t>O T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</si>
  <si>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</si>
  <si>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</si>
  <si>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</si>
  <si>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</si>
  <si>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</si>
  <si>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DENSIDAD COAGULANTE</t>
  </si>
  <si>
    <t>DENSIDAD DECOLORANTE</t>
  </si>
  <si>
    <t>DENSIDAD ANIONICO</t>
  </si>
  <si>
    <t>DENSIDAD CATIONICO</t>
  </si>
  <si>
    <t>DENSIDAD ACIDO</t>
  </si>
  <si>
    <t xml:space="preserve">PPM ACIDO </t>
  </si>
  <si>
    <t xml:space="preserve">PPM COAGULANTE </t>
  </si>
  <si>
    <t>KG ACIDO</t>
  </si>
  <si>
    <t xml:space="preserve">KG DECOLORANTE </t>
  </si>
  <si>
    <t xml:space="preserve">KG POL ANIONICO </t>
  </si>
  <si>
    <t xml:space="preserve">KG POL CATIONICO </t>
  </si>
  <si>
    <t>KG COAGULANTE</t>
  </si>
  <si>
    <t xml:space="preserve">PPM DECOLORANTE </t>
  </si>
  <si>
    <t xml:space="preserve">PPM POL ANIONICO </t>
  </si>
  <si>
    <t>PPM POL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</si>
  <si>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</si>
  <si>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</si>
  <si>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</si>
  <si>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</si>
  <si>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</si>
  <si>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</si>
  <si>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</si>
  <si>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</si>
  <si>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</si>
  <si>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</si>
  <si>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>$ m3</t>
  </si>
  <si>
    <t>Total general</t>
  </si>
  <si>
    <t xml:space="preserve">COSTO QUIMICA </t>
  </si>
  <si>
    <t>LIMITE INDICADOR M3</t>
  </si>
  <si>
    <t>FINAL TURNO 3</t>
  </si>
  <si>
    <t>FINAL TURNO 2</t>
  </si>
  <si>
    <t>FINAL TURNO 1</t>
  </si>
  <si>
    <t xml:space="preserve"> CAUDAL TOTAL TRATADO GEM </t>
  </si>
  <si>
    <t>DIA</t>
  </si>
  <si>
    <t>DIAS</t>
  </si>
  <si>
    <t>PRODUCTOS QUÍMICOS</t>
  </si>
  <si>
    <t>COF 280 ACIDO (L)</t>
  </si>
  <si>
    <t>COF 235 COAGULANTE (L)</t>
  </si>
  <si>
    <t>COF 255  DECOLORANTE (L)</t>
  </si>
  <si>
    <t>COF 440 POL ANIONICO (KG)</t>
  </si>
  <si>
    <t>COF 494 POL CATIONICO (KG)</t>
  </si>
  <si>
    <t>COF 280 - KG ACIDO</t>
  </si>
  <si>
    <t>COF 235 - KG COAGULANTE</t>
  </si>
  <si>
    <t xml:space="preserve">COF 255 - KG DECOLORANTE </t>
  </si>
  <si>
    <t xml:space="preserve">COF 440 - KG POL ANIONICO </t>
  </si>
  <si>
    <t xml:space="preserve">COF 494 - KG POL CATIONICO </t>
  </si>
  <si>
    <t xml:space="preserve">COF 280 - PPM ACIDO  </t>
  </si>
  <si>
    <t xml:space="preserve">COF 235 - PPM COAGULANTE  </t>
  </si>
  <si>
    <t xml:space="preserve">COF 255 - PPM DECOLORANTE  </t>
  </si>
  <si>
    <t xml:space="preserve">COF 440 - PPM POL ANIONICO </t>
  </si>
  <si>
    <t xml:space="preserve">COF 494 - PPM POL CATIONICO </t>
  </si>
  <si>
    <t>DENSIDAD HCL (10%)</t>
  </si>
  <si>
    <t>DENSIDAD KURIVERTER IK-220 (Biocida)</t>
  </si>
  <si>
    <t>DENSIDAD VITEC 7000 (Antiincrustante)</t>
  </si>
  <si>
    <t>DENSIDAD Hidróxido de Sodio (NaOH)</t>
  </si>
  <si>
    <t xml:space="preserve">DENSIDAD Bisulfito de sodio </t>
  </si>
  <si>
    <t>VOLUMEN ENVIADO A RO (m3)</t>
  </si>
  <si>
    <t>PPM HCL (10%)</t>
  </si>
  <si>
    <t>PPM  KURIVERTER IK-220 (Biocida)</t>
  </si>
  <si>
    <t>PPM  VITEC 7000 (Antiincrustante)</t>
  </si>
  <si>
    <t>PPM  Hidróxido de Sodio (NaOH)</t>
  </si>
  <si>
    <t xml:space="preserve">PPM Bisulfito de sodio </t>
  </si>
  <si>
    <t>COSTO OPERATIVO HCL (10%)</t>
  </si>
  <si>
    <t>COSTO OPERATIVO KURIVERTER IK-220 (Biocida)</t>
  </si>
  <si>
    <t>COSTO OPERATIVO VITEC 7000 (Antiincrustante)</t>
  </si>
  <si>
    <t>COSTO OPERATIVO Hidróxido de Sodio (NaOH)</t>
  </si>
  <si>
    <t xml:space="preserve">COSTO OPERATIVO Bisulfito de sodio </t>
  </si>
  <si>
    <t>$m3 RECHAZO (m3)</t>
  </si>
  <si>
    <t>$m3 PERMEADO RO (m3)</t>
  </si>
  <si>
    <t>$m3 ENVIADO A RO (m3)</t>
  </si>
  <si>
    <t>CONSUMO DE QUIMICO</t>
  </si>
  <si>
    <t xml:space="preserve">  CAUDAL TOTAL TRATADO GEM </t>
  </si>
  <si>
    <t xml:space="preserve">  INDICADOR $m3</t>
  </si>
  <si>
    <t>COSTO TTO - CAUDAL TRATADP GEM Vs $M3</t>
  </si>
  <si>
    <t>CONSOLIDADO COSTO TTO - CAUDAL TRATADP GEM Vs $M3</t>
  </si>
  <si>
    <t>ACUMULADO CAUDAL TRATADO GEM</t>
  </si>
  <si>
    <t>TOTAL CAUDAL TRATADO GEM</t>
  </si>
  <si>
    <t>$m3</t>
  </si>
  <si>
    <t># TURNO</t>
  </si>
  <si>
    <t>GEM</t>
  </si>
  <si>
    <t>TABLA GRAFICA 1 Y 2 . CONSUMO QUIMICO DETALLADO</t>
  </si>
  <si>
    <t xml:space="preserve">PRECIO Bisulfito de sodio </t>
  </si>
  <si>
    <t>PRECIO Hidróxido de Sodio (NaOH)</t>
  </si>
  <si>
    <t>PRECIO VITEC 7000 (Antiincrustante)</t>
  </si>
  <si>
    <t>PRECIO KURIVERTER IK-220 (Biocida)</t>
  </si>
  <si>
    <t>PRECIO HCL (10%)</t>
  </si>
  <si>
    <r>
      <rPr>
        <b/>
        <sz val="12"/>
        <rFont val="Calibri"/>
        <family val="2"/>
        <scheme val="minor"/>
      </rPr>
      <t xml:space="preserve">cm </t>
    </r>
    <r>
      <rPr>
        <b/>
        <sz val="11"/>
        <rFont val="Calibri"/>
        <family val="2"/>
        <scheme val="minor"/>
      </rPr>
      <t>HCL (10%)</t>
    </r>
  </si>
  <si>
    <r>
      <rPr>
        <b/>
        <sz val="12"/>
        <rFont val="Calibri"/>
        <family val="2"/>
        <scheme val="minor"/>
      </rPr>
      <t>cm</t>
    </r>
    <r>
      <rPr>
        <b/>
        <sz val="11"/>
        <rFont val="Calibri"/>
        <family val="2"/>
        <scheme val="minor"/>
      </rPr>
      <t xml:space="preserve"> IK-220 (Biocida)</t>
    </r>
  </si>
  <si>
    <t>cm          Vitec 7000</t>
  </si>
  <si>
    <t>cm NaOH</t>
  </si>
  <si>
    <t>cm Bisulfito de sodio</t>
  </si>
  <si>
    <t>(INV- L) - HCL (10%)</t>
  </si>
  <si>
    <t>(INV -L) - KURIVERTER IK-220 (Biocida)</t>
  </si>
  <si>
    <t>(INV -L) - VITEC 7000 (Antiincrustante)</t>
  </si>
  <si>
    <t>(INV -L) - Hidróxido de Sodio (NaOH)</t>
  </si>
  <si>
    <t xml:space="preserve">(INV -L) Bisulfito de sodio </t>
  </si>
  <si>
    <t>CONSUMO (L) Bisulfito de sodio</t>
  </si>
  <si>
    <t>CONSUMO (L) HCL (10%)2</t>
  </si>
  <si>
    <t>CONSUMO (L) KURIVERTER IK-220 (Biocida)</t>
  </si>
  <si>
    <t>CONSUMO (L) VITEC 7000 (Antiincrustante)</t>
  </si>
  <si>
    <t>CONSUMO (L) Hidróxido de Sodio (NaOH)</t>
  </si>
  <si>
    <t>CONSUMO (Kg) HCL (10%)22</t>
  </si>
  <si>
    <t>CONSUMO (Kg) Bisulfito de sodio6</t>
  </si>
  <si>
    <t>CONSUMO (Kg) Hidróxido de Sodio (NaOH)</t>
  </si>
  <si>
    <t>CONSUMO (Kg) VITEC 7000 (Antiincrustante)</t>
  </si>
  <si>
    <t>CONSUMO (Kg) KURIVERTER IK-220 (Biocida)</t>
  </si>
  <si>
    <t xml:space="preserve"> CONSUMO (L) HCL (10%)</t>
  </si>
  <si>
    <t xml:space="preserve"> CONSUMO (L) KURIVERTER IK-220 (Biocida)</t>
  </si>
  <si>
    <t xml:space="preserve">CONSUMO (L) VITEC 7000 (Antiincrustante) </t>
  </si>
  <si>
    <t xml:space="preserve">CONSUMO (L) Hidróxido de Sodio (NaOH) </t>
  </si>
  <si>
    <t xml:space="preserve">CONSUMO (L) Bisulfito de sodio </t>
  </si>
  <si>
    <t>PRODUCTO QUÍMICO</t>
  </si>
  <si>
    <t xml:space="preserve"> CONSUMO (Kg) HCL (10%)22</t>
  </si>
  <si>
    <t xml:space="preserve"> CONSUMO (Kg) KURIVERTER IK-220 (Biocida)</t>
  </si>
  <si>
    <t xml:space="preserve"> CONSUMO (Kg) VITEC 7000 (Antiincrustante)</t>
  </si>
  <si>
    <t xml:space="preserve"> CONSUMO (Kg) Hidróxido de Sodio (NaOH)</t>
  </si>
  <si>
    <t xml:space="preserve"> CONSUMO (Kg) Bisulfito de sodio6</t>
  </si>
  <si>
    <t>CONSUMO QUIMICO DE PRODUCTO EN SOLUCIÓN</t>
  </si>
  <si>
    <t>A LA FECHA SE PREPARAN LOS SIGUIENTES PRODUCTOS QUÍMICOS</t>
  </si>
  <si>
    <t>INVENTARIO COMPORTAMIENTO QUÍMICO PREPARADO</t>
  </si>
  <si>
    <t>ANALISIS TURNO</t>
  </si>
  <si>
    <t>DILIGENCIAR BITACORA</t>
  </si>
  <si>
    <t>Lectura Horometro INICIAL (06:00)</t>
  </si>
  <si>
    <t xml:space="preserve"> COF 235 - PPM COAGULANTE </t>
  </si>
  <si>
    <t xml:space="preserve"> COF 255 - PPM DECOLORANTE</t>
  </si>
  <si>
    <t>COF 280 - PPM ACIDO</t>
  </si>
  <si>
    <t xml:space="preserve"> COF 440 - PPM POL ANIONICO</t>
  </si>
  <si>
    <t xml:space="preserve"> COF 494 - PPM POL CATIONICO</t>
  </si>
  <si>
    <t>TIEMPO DE OPERACIÓN (minutos)</t>
  </si>
  <si>
    <t>OBSERVACIÓN:</t>
  </si>
  <si>
    <t>Kg</t>
  </si>
  <si>
    <t>PREPARACIÓN - GASTO DE QUIMICO EN STOCK cip</t>
  </si>
  <si>
    <t xml:space="preserve">PRODUCTOS QUÍMICOS RECIBIDO </t>
  </si>
  <si>
    <t>PRODUCTOS QUÍMICOS PREPARADO</t>
  </si>
  <si>
    <t xml:space="preserve"> VOLUMEN ENVIADO A RO (m3)</t>
  </si>
  <si>
    <t xml:space="preserve"> LIMITE INDICADOR M3</t>
  </si>
  <si>
    <t xml:space="preserve"> INDICADOR $m3 RO</t>
  </si>
  <si>
    <t>DÍA</t>
  </si>
  <si>
    <t>TABLA GRAFICA 2. COSTO CONSUMO QUIMICO VS $M3</t>
  </si>
  <si>
    <t>TABLA GRAFICA 3. RO COSTO CONSUMO QUIMICO VS $M3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</si>
  <si>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</si>
  <si>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OSMOSIS INVERSA</t>
  </si>
  <si>
    <t>CONSOLIDADO COSTO TTO - CAUDAL TRATADP RO Vs $M3</t>
  </si>
  <si>
    <t>TOTAL CAUDAL TRATADO RO</t>
  </si>
  <si>
    <t>CONSOLIDADO CONSUMO DIARIO QUÍMICA (PPM)</t>
  </si>
  <si>
    <t>Suma de PPM HCL</t>
  </si>
  <si>
    <t xml:space="preserve"> TIEMPO DE OPERACIÓN (minutos)</t>
  </si>
  <si>
    <t>Suma de PPM KURIVERTER</t>
  </si>
  <si>
    <t>Suma de PPM VITEC</t>
  </si>
  <si>
    <t>Suma de PPM NaOH</t>
  </si>
  <si>
    <t>Suma de PPM BISULFITO</t>
  </si>
  <si>
    <t>TIEMPO DE OPERACIÓN (horas)</t>
  </si>
  <si>
    <t xml:space="preserve"> PPM HCL</t>
  </si>
  <si>
    <t xml:space="preserve"> PPM KURIVERTER</t>
  </si>
  <si>
    <t xml:space="preserve"> PPM VITEC</t>
  </si>
  <si>
    <t xml:space="preserve"> PPM BISULFITO</t>
  </si>
  <si>
    <t xml:space="preserve">TABLA GRAFICA 4. RO PPM CONSUMO QUIMICO </t>
  </si>
  <si>
    <t>CONSUMO QUIMICO PPM</t>
  </si>
  <si>
    <t>FINAL ACIDO (L)</t>
  </si>
  <si>
    <t>FINAL COAGULANTE (L)</t>
  </si>
  <si>
    <t>FINAL DECOLORANTE (L)</t>
  </si>
  <si>
    <t>FINAL POL ANIONICO (KG)</t>
  </si>
  <si>
    <t>FINAL POL CATIONICO (KG)</t>
  </si>
  <si>
    <t>ACUMULADO CAUDAL TRATADO RO</t>
  </si>
  <si>
    <t>1.500</t>
  </si>
  <si>
    <t>420</t>
  </si>
  <si>
    <t>140</t>
  </si>
  <si>
    <t>155</t>
  </si>
  <si>
    <t>3/01/2025 - 4/01/2025</t>
  </si>
  <si>
    <t xml:space="preserve">  2024 $m3 GEM</t>
  </si>
  <si>
    <t xml:space="preserve">  2024-2 $m3 GEM </t>
  </si>
  <si>
    <t>Caudal:</t>
  </si>
  <si>
    <t>COAGULANTE</t>
  </si>
  <si>
    <t>DECOLORANTE</t>
  </si>
  <si>
    <t>ÁCIDO</t>
  </si>
  <si>
    <t>KG CONSUMIDOS MES</t>
  </si>
  <si>
    <t>COSTO MES</t>
  </si>
  <si>
    <t>POLÍMERO ANIÓNICO</t>
  </si>
  <si>
    <t>POLÍMERO CATIÓNICO</t>
  </si>
  <si>
    <t>KG PROMEDIO DIÁRIO</t>
  </si>
  <si>
    <t>$ PROMEDIO DIÁRIO</t>
  </si>
  <si>
    <t>ÁCIDO CLORHÍDRICO</t>
  </si>
  <si>
    <t>SODA</t>
  </si>
  <si>
    <t>CARTUCHOS 5 MICRAS</t>
  </si>
  <si>
    <t>CONSUMO GEM</t>
  </si>
  <si>
    <t>CONSUMO ÓSMOSIS INVERSA</t>
  </si>
  <si>
    <t>TOTAL</t>
  </si>
  <si>
    <t>VOLUMEN TRATADO m3</t>
  </si>
  <si>
    <t>VOLUMEN ENVIADO A RECIRCULACIÓN m3</t>
  </si>
  <si>
    <t>INDICADOR AGUA TRATADA $/m3</t>
  </si>
  <si>
    <t>INDICADOR AGUA RECIRCULADA $/m3</t>
  </si>
  <si>
    <t>INDICADOR TOTAL PTAR TRATADO</t>
  </si>
  <si>
    <t xml:space="preserve">INDICADOR TOTAL RECIRCULADO </t>
  </si>
  <si>
    <t>INDICADOR POR PRODUCTO QUÍMICO</t>
  </si>
  <si>
    <t>CAUDAL DE TRATAMIENTO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</si>
  <si>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</si>
  <si>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</si>
  <si>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</si>
  <si>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</si>
  <si>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</si>
  <si>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</si>
  <si>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</si>
  <si>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</si>
  <si>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</si>
  <si>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</si>
  <si>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</si>
  <si>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</si>
  <si>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</si>
  <si>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</si>
  <si>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</si>
  <si>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</si>
  <si>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</si>
  <si>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</si>
  <si>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</si>
  <si>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</si>
  <si>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</si>
  <si>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</si>
  <si>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</si>
  <si>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</si>
  <si>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</si>
  <si>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</si>
  <si>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</si>
  <si>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</si>
  <si>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</si>
  <si>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</si>
  <si>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</si>
  <si>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</si>
  <si>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</si>
  <si>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</si>
  <si>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</si>
  <si>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</si>
  <si>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</si>
  <si>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</si>
  <si>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</si>
  <si>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</si>
  <si>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</si>
  <si>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</si>
  <si>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</si>
  <si>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</si>
  <si>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</si>
  <si>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</si>
  <si>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</si>
  <si>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</si>
  <si>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</si>
  <si>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</si>
  <si>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</si>
  <si>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</si>
  <si>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</si>
  <si>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</si>
  <si>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</si>
  <si>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</si>
  <si>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</si>
  <si>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</si>
  <si>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</si>
  <si>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</si>
  <si>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(en blanco)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</si>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</sst>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[$$-240A]\ #,##0"/>
    <numFmt numFmtId="166" formatCode="&quot;$&quot;\ #,##0"/>
    <numFmt numFmtId="167" formatCode="_-&quot;$&quot;\ * #,##0_-;\-&quot;$&quot;\ * #,##0_-;_-&quot;$&quot;\ * &quot;-&quot;??_-;_-@_-"/>
    <numFmt numFmtId="168" formatCode="[$$-240A]\ #,##0.00"/>
    <numFmt numFmtId="169" formatCode="#,##0.00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8"/>
      <color theme="4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theme="8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9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2" fillId="0" borderId="0"/>
    <xf numFmtId="0" fontId="22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638">
    <xf numFmtId="0" fontId="0" fillId="0" borderId="0" xfId="0"/>
    <xf numFmtId="0" fontId="0" fillId="0" borderId="0" xfId="0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left" vertical="top"/>
    </xf>
    <xf numFmtId="3" fontId="3" fillId="0" borderId="55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top"/>
    </xf>
    <xf numFmtId="3" fontId="3" fillId="0" borderId="18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3" fontId="3" fillId="0" borderId="19" xfId="0" applyNumberFormat="1" applyFont="1" applyBorder="1" applyAlignment="1">
      <alignment horizontal="center" vertical="center" wrapText="1"/>
    </xf>
    <xf numFmtId="0" fontId="3" fillId="0" borderId="0" xfId="0" applyFont="1"/>
    <xf numFmtId="0" fontId="2" fillId="13" borderId="15" xfId="0" applyFont="1" applyFill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top"/>
    </xf>
    <xf numFmtId="3" fontId="3" fillId="0" borderId="38" xfId="0" applyNumberFormat="1" applyFont="1" applyBorder="1" applyAlignment="1">
      <alignment horizontal="center" vertical="center" wrapText="1"/>
    </xf>
    <xf numFmtId="3" fontId="3" fillId="0" borderId="39" xfId="0" applyNumberFormat="1" applyFont="1" applyBorder="1" applyAlignment="1">
      <alignment horizontal="center" vertical="center" wrapText="1"/>
    </xf>
    <xf numFmtId="0" fontId="2" fillId="0" borderId="40" xfId="0" applyFont="1" applyBorder="1" applyAlignment="1">
      <alignment horizontal="left" vertical="top"/>
    </xf>
    <xf numFmtId="3" fontId="3" fillId="0" borderId="40" xfId="0" applyNumberFormat="1" applyFont="1" applyBorder="1" applyAlignment="1">
      <alignment horizontal="center" vertical="center" wrapText="1"/>
    </xf>
    <xf numFmtId="0" fontId="2" fillId="0" borderId="42" xfId="0" applyFont="1" applyBorder="1" applyAlignment="1">
      <alignment horizontal="left" vertical="top"/>
    </xf>
    <xf numFmtId="3" fontId="3" fillId="0" borderId="42" xfId="0" applyNumberFormat="1" applyFont="1" applyBorder="1" applyAlignment="1">
      <alignment horizontal="center" vertical="center" wrapText="1"/>
    </xf>
    <xf numFmtId="3" fontId="3" fillId="0" borderId="56" xfId="0" applyNumberFormat="1" applyFont="1" applyBorder="1" applyAlignment="1">
      <alignment horizontal="center" vertical="center" wrapText="1"/>
    </xf>
    <xf numFmtId="3" fontId="3" fillId="0" borderId="50" xfId="0" applyNumberFormat="1" applyFont="1" applyBorder="1" applyAlignment="1">
      <alignment horizontal="center" vertical="center" wrapText="1"/>
    </xf>
    <xf numFmtId="3" fontId="3" fillId="0" borderId="60" xfId="0" applyNumberFormat="1" applyFont="1" applyBorder="1" applyAlignment="1">
      <alignment horizontal="center" vertical="center" wrapText="1"/>
    </xf>
    <xf numFmtId="3" fontId="3" fillId="0" borderId="25" xfId="0" applyNumberFormat="1" applyFont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0" fontId="2" fillId="19" borderId="19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0" fillId="0" borderId="8" xfId="0" applyBorder="1"/>
    <xf numFmtId="0" fontId="2" fillId="0" borderId="80" xfId="0" applyFont="1" applyBorder="1" applyAlignment="1">
      <alignment horizontal="left" vertical="top"/>
    </xf>
    <xf numFmtId="0" fontId="2" fillId="0" borderId="81" xfId="0" applyFont="1" applyBorder="1" applyAlignment="1">
      <alignment horizontal="left" vertical="top"/>
    </xf>
    <xf numFmtId="0" fontId="2" fillId="0" borderId="79" xfId="0" applyFont="1" applyBorder="1" applyAlignment="1">
      <alignment horizontal="left" vertical="top"/>
    </xf>
    <xf numFmtId="0" fontId="2" fillId="21" borderId="60" xfId="0" applyFont="1" applyFill="1" applyBorder="1" applyAlignment="1">
      <alignment horizontal="center" vertical="center" wrapText="1"/>
    </xf>
    <xf numFmtId="0" fontId="2" fillId="21" borderId="77" xfId="0" applyFont="1" applyFill="1" applyBorder="1" applyAlignment="1">
      <alignment horizontal="center" vertical="center" wrapText="1"/>
    </xf>
    <xf numFmtId="0" fontId="2" fillId="21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8" borderId="0" xfId="0" applyFill="1"/>
    <xf numFmtId="0" fontId="0" fillId="8" borderId="0" xfId="0" applyFill="1" applyAlignment="1">
      <alignment horizontal="left"/>
    </xf>
    <xf numFmtId="0" fontId="2" fillId="17" borderId="14" xfId="0" applyFont="1" applyFill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top"/>
    </xf>
    <xf numFmtId="0" fontId="2" fillId="0" borderId="27" xfId="0" applyFont="1" applyBorder="1" applyAlignment="1">
      <alignment horizontal="left" vertical="top"/>
    </xf>
    <xf numFmtId="0" fontId="2" fillId="0" borderId="28" xfId="0" applyFont="1" applyBorder="1" applyAlignment="1">
      <alignment horizontal="left" vertical="top"/>
    </xf>
    <xf numFmtId="0" fontId="2" fillId="17" borderId="21" xfId="0" applyFont="1" applyFill="1" applyBorder="1" applyAlignment="1">
      <alignment horizontal="center" vertical="center" wrapText="1"/>
    </xf>
    <xf numFmtId="3" fontId="3" fillId="0" borderId="62" xfId="0" applyNumberFormat="1" applyFont="1" applyBorder="1" applyAlignment="1">
      <alignment horizontal="center" vertical="center" wrapText="1"/>
    </xf>
    <xf numFmtId="3" fontId="3" fillId="0" borderId="59" xfId="0" applyNumberFormat="1" applyFont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2" borderId="85" xfId="0" applyFont="1" applyFill="1" applyBorder="1" applyAlignment="1">
      <alignment horizontal="center" vertical="center" wrapText="1"/>
    </xf>
    <xf numFmtId="3" fontId="3" fillId="0" borderId="11" xfId="0" applyNumberFormat="1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 wrapText="1"/>
    </xf>
    <xf numFmtId="4" fontId="3" fillId="0" borderId="40" xfId="0" applyNumberFormat="1" applyFont="1" applyBorder="1" applyAlignment="1">
      <alignment horizontal="center" vertical="center" wrapText="1"/>
    </xf>
    <xf numFmtId="4" fontId="3" fillId="0" borderId="38" xfId="0" applyNumberFormat="1" applyFont="1" applyBorder="1" applyAlignment="1">
      <alignment horizontal="center" vertical="center" wrapText="1"/>
    </xf>
    <xf numFmtId="4" fontId="3" fillId="0" borderId="42" xfId="0" applyNumberFormat="1" applyFont="1" applyBorder="1" applyAlignment="1">
      <alignment horizontal="center" vertical="center" wrapText="1"/>
    </xf>
    <xf numFmtId="0" fontId="2" fillId="17" borderId="57" xfId="0" applyFont="1" applyFill="1" applyBorder="1" applyAlignment="1">
      <alignment horizontal="center" vertical="center" wrapText="1"/>
    </xf>
    <xf numFmtId="0" fontId="2" fillId="17" borderId="58" xfId="0" applyFont="1" applyFill="1" applyBorder="1" applyAlignment="1">
      <alignment horizontal="center" vertical="center" wrapText="1"/>
    </xf>
    <xf numFmtId="3" fontId="3" fillId="0" borderId="36" xfId="0" applyNumberFormat="1" applyFont="1" applyBorder="1" applyAlignment="1">
      <alignment horizontal="center" vertical="center" wrapText="1"/>
    </xf>
    <xf numFmtId="3" fontId="3" fillId="0" borderId="37" xfId="0" applyNumberFormat="1" applyFont="1" applyBorder="1" applyAlignment="1">
      <alignment horizontal="center" vertical="center" wrapText="1"/>
    </xf>
    <xf numFmtId="0" fontId="2" fillId="12" borderId="71" xfId="0" applyFont="1" applyFill="1" applyBorder="1" applyAlignment="1">
      <alignment horizontal="center" vertical="center" wrapText="1"/>
    </xf>
    <xf numFmtId="0" fontId="2" fillId="12" borderId="76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0" fontId="2" fillId="17" borderId="43" xfId="0" applyFont="1" applyFill="1" applyBorder="1" applyAlignment="1">
      <alignment horizontal="center" vertical="center" wrapText="1"/>
    </xf>
    <xf numFmtId="0" fontId="2" fillId="11" borderId="57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91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21" borderId="0" xfId="0" applyFill="1"/>
    <xf numFmtId="165" fontId="0" fillId="21" borderId="0" xfId="0" applyNumberFormat="1" applyFill="1"/>
    <xf numFmtId="166" fontId="0" fillId="0" borderId="0" xfId="0" applyNumberFormat="1"/>
    <xf numFmtId="0" fontId="0" fillId="8" borderId="0" xfId="0" applyFill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0" xfId="0" applyFont="1" applyBorder="1" applyAlignment="1">
      <alignment horizontal="center" vertical="center" wrapText="1"/>
    </xf>
    <xf numFmtId="49" fontId="12" fillId="5" borderId="74" xfId="0" applyNumberFormat="1" applyFont="1" applyFill="1" applyBorder="1" applyAlignment="1">
      <alignment horizontal="center" vertical="center" wrapText="1"/>
    </xf>
    <xf numFmtId="49" fontId="12" fillId="5" borderId="84" xfId="0" applyNumberFormat="1" applyFont="1" applyFill="1" applyBorder="1" applyAlignment="1">
      <alignment horizontal="center" vertical="center" wrapText="1"/>
    </xf>
    <xf numFmtId="49" fontId="12" fillId="25" borderId="92" xfId="0" applyNumberFormat="1" applyFont="1" applyFill="1" applyBorder="1" applyAlignment="1">
      <alignment horizontal="center" vertical="center" wrapText="1"/>
    </xf>
    <xf numFmtId="49" fontId="12" fillId="25" borderId="84" xfId="0" applyNumberFormat="1" applyFont="1" applyFill="1" applyBorder="1" applyAlignment="1">
      <alignment horizontal="center" vertical="center" wrapText="1"/>
    </xf>
    <xf numFmtId="49" fontId="12" fillId="25" borderId="85" xfId="0" applyNumberFormat="1" applyFont="1" applyFill="1" applyBorder="1" applyAlignment="1">
      <alignment horizontal="center" vertical="center" wrapText="1"/>
    </xf>
    <xf numFmtId="0" fontId="12" fillId="21" borderId="91" xfId="0" applyFont="1" applyFill="1" applyBorder="1" applyAlignment="1">
      <alignment horizontal="center" vertical="center" wrapText="1"/>
    </xf>
    <xf numFmtId="0" fontId="12" fillId="21" borderId="0" xfId="0" applyFont="1" applyFill="1" applyAlignment="1">
      <alignment horizontal="center" vertical="center" wrapText="1"/>
    </xf>
    <xf numFmtId="49" fontId="12" fillId="21" borderId="92" xfId="0" applyNumberFormat="1" applyFont="1" applyFill="1" applyBorder="1" applyAlignment="1">
      <alignment horizontal="center" vertical="center" wrapText="1"/>
    </xf>
    <xf numFmtId="49" fontId="12" fillId="21" borderId="84" xfId="0" applyNumberFormat="1" applyFont="1" applyFill="1" applyBorder="1" applyAlignment="1">
      <alignment horizontal="center" vertical="center" wrapText="1"/>
    </xf>
    <xf numFmtId="49" fontId="12" fillId="21" borderId="85" xfId="0" applyNumberFormat="1" applyFont="1" applyFill="1" applyBorder="1" applyAlignment="1">
      <alignment horizontal="center" vertical="center" wrapText="1"/>
    </xf>
    <xf numFmtId="0" fontId="12" fillId="4" borderId="83" xfId="0" applyFont="1" applyFill="1" applyBorder="1" applyAlignment="1">
      <alignment horizontal="center" vertical="center" wrapText="1"/>
    </xf>
    <xf numFmtId="166" fontId="12" fillId="4" borderId="85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4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8" borderId="0" xfId="0" applyNumberFormat="1" applyFill="1" applyAlignment="1">
      <alignment horizontal="center"/>
    </xf>
    <xf numFmtId="3" fontId="0" fillId="8" borderId="0" xfId="0" applyNumberFormat="1" applyFill="1"/>
    <xf numFmtId="3" fontId="0" fillId="0" borderId="12" xfId="0" applyNumberFormat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1" fillId="7" borderId="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 applyAlignment="1">
      <alignment horizontal="center"/>
    </xf>
    <xf numFmtId="3" fontId="0" fillId="21" borderId="14" xfId="0" applyNumberFormat="1" applyFill="1" applyBorder="1" applyAlignment="1">
      <alignment horizontal="center"/>
    </xf>
    <xf numFmtId="3" fontId="0" fillId="21" borderId="15" xfId="0" applyNumberFormat="1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64" xfId="0" applyNumberFormat="1" applyBorder="1" applyAlignment="1">
      <alignment horizontal="center"/>
    </xf>
    <xf numFmtId="0" fontId="1" fillId="8" borderId="22" xfId="0" applyFont="1" applyFill="1" applyBorder="1" applyAlignment="1">
      <alignment vertical="top" wrapText="1"/>
    </xf>
    <xf numFmtId="0" fontId="1" fillId="8" borderId="23" xfId="0" applyFont="1" applyFill="1" applyBorder="1" applyAlignment="1">
      <alignment vertical="center" wrapText="1"/>
    </xf>
    <xf numFmtId="0" fontId="1" fillId="8" borderId="24" xfId="0" applyFont="1" applyFill="1" applyBorder="1" applyAlignment="1">
      <alignment vertical="center" wrapText="1"/>
    </xf>
    <xf numFmtId="3" fontId="1" fillId="26" borderId="90" xfId="0" applyNumberFormat="1" applyFont="1" applyFill="1" applyBorder="1" applyAlignment="1">
      <alignment horizontal="center" vertical="center" wrapText="1"/>
    </xf>
    <xf numFmtId="3" fontId="0" fillId="21" borderId="6" xfId="0" applyNumberFormat="1" applyFill="1" applyBorder="1" applyAlignment="1">
      <alignment horizontal="center"/>
    </xf>
    <xf numFmtId="3" fontId="0" fillId="21" borderId="1" xfId="0" applyNumberFormat="1" applyFill="1" applyBorder="1" applyAlignment="1">
      <alignment horizontal="center"/>
    </xf>
    <xf numFmtId="3" fontId="0" fillId="21" borderId="7" xfId="0" applyNumberFormat="1" applyFill="1" applyBorder="1" applyAlignment="1">
      <alignment horizontal="center"/>
    </xf>
    <xf numFmtId="3" fontId="0" fillId="21" borderId="19" xfId="0" applyNumberFormat="1" applyFill="1" applyBorder="1" applyAlignment="1">
      <alignment horizontal="center"/>
    </xf>
    <xf numFmtId="1" fontId="0" fillId="21" borderId="24" xfId="0" applyNumberFormat="1" applyFill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18" borderId="90" xfId="0" applyFill="1" applyBorder="1"/>
    <xf numFmtId="0" fontId="0" fillId="18" borderId="6" xfId="0" applyFill="1" applyBorder="1"/>
    <xf numFmtId="0" fontId="0" fillId="18" borderId="1" xfId="0" applyFill="1" applyBorder="1"/>
    <xf numFmtId="0" fontId="0" fillId="18" borderId="7" xfId="0" applyFill="1" applyBorder="1"/>
    <xf numFmtId="1" fontId="0" fillId="18" borderId="6" xfId="0" applyNumberFormat="1" applyFill="1" applyBorder="1" applyAlignment="1">
      <alignment horizontal="center"/>
    </xf>
    <xf numFmtId="1" fontId="0" fillId="18" borderId="1" xfId="0" applyNumberFormat="1" applyFill="1" applyBorder="1" applyAlignment="1">
      <alignment horizontal="center"/>
    </xf>
    <xf numFmtId="1" fontId="0" fillId="18" borderId="7" xfId="0" applyNumberFormat="1" applyFill="1" applyBorder="1" applyAlignment="1">
      <alignment horizontal="center"/>
    </xf>
    <xf numFmtId="1" fontId="0" fillId="18" borderId="90" xfId="0" applyNumberForma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7" xfId="0" applyFont="1" applyBorder="1" applyAlignment="1">
      <alignment horizontal="left"/>
    </xf>
    <xf numFmtId="0" fontId="0" fillId="18" borderId="90" xfId="0" applyFill="1" applyBorder="1" applyAlignment="1">
      <alignment horizontal="center"/>
    </xf>
    <xf numFmtId="0" fontId="0" fillId="21" borderId="90" xfId="0" applyFill="1" applyBorder="1" applyAlignment="1">
      <alignment horizontal="center" vertical="top"/>
    </xf>
    <xf numFmtId="3" fontId="0" fillId="15" borderId="4" xfId="0" applyNumberFormat="1" applyFill="1" applyBorder="1" applyAlignment="1">
      <alignment horizontal="center"/>
    </xf>
    <xf numFmtId="3" fontId="0" fillId="15" borderId="48" xfId="0" applyNumberFormat="1" applyFill="1" applyBorder="1" applyAlignment="1">
      <alignment horizontal="center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3" fontId="1" fillId="15" borderId="3" xfId="0" applyNumberFormat="1" applyFont="1" applyFill="1" applyBorder="1" applyAlignment="1">
      <alignment horizontal="center" vertical="center" wrapText="1"/>
    </xf>
    <xf numFmtId="3" fontId="0" fillId="15" borderId="52" xfId="0" applyNumberFormat="1" applyFill="1" applyBorder="1" applyAlignment="1">
      <alignment horizontal="center"/>
    </xf>
    <xf numFmtId="3" fontId="0" fillId="15" borderId="11" xfId="0" applyNumberFormat="1" applyFill="1" applyBorder="1" applyAlignment="1">
      <alignment horizontal="center"/>
    </xf>
    <xf numFmtId="3" fontId="0" fillId="15" borderId="12" xfId="0" applyNumberFormat="1" applyFill="1" applyBorder="1" applyAlignment="1">
      <alignment horizontal="center"/>
    </xf>
    <xf numFmtId="3" fontId="0" fillId="15" borderId="17" xfId="0" applyNumberFormat="1" applyFill="1" applyBorder="1" applyAlignment="1">
      <alignment horizontal="center"/>
    </xf>
    <xf numFmtId="0" fontId="0" fillId="15" borderId="22" xfId="0" applyFill="1" applyBorder="1" applyAlignment="1">
      <alignment horizontal="center"/>
    </xf>
    <xf numFmtId="3" fontId="0" fillId="7" borderId="52" xfId="0" applyNumberFormat="1" applyFill="1" applyBorder="1"/>
    <xf numFmtId="3" fontId="0" fillId="7" borderId="4" xfId="0" applyNumberFormat="1" applyFill="1" applyBorder="1"/>
    <xf numFmtId="3" fontId="0" fillId="7" borderId="48" xfId="0" applyNumberFormat="1" applyFill="1" applyBorder="1"/>
    <xf numFmtId="3" fontId="0" fillId="7" borderId="11" xfId="0" applyNumberForma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3" fontId="0" fillId="7" borderId="17" xfId="0" applyNumberFormat="1" applyFill="1" applyBorder="1" applyAlignment="1">
      <alignment horizontal="center"/>
    </xf>
    <xf numFmtId="1" fontId="0" fillId="7" borderId="22" xfId="0" applyNumberFormat="1" applyFill="1" applyBorder="1" applyAlignment="1">
      <alignment horizontal="center"/>
    </xf>
    <xf numFmtId="0" fontId="0" fillId="21" borderId="1" xfId="0" applyFill="1" applyBorder="1"/>
    <xf numFmtId="1" fontId="0" fillId="0" borderId="29" xfId="0" applyNumberFormat="1" applyBorder="1" applyAlignment="1">
      <alignment horizontal="left"/>
    </xf>
    <xf numFmtId="165" fontId="0" fillId="0" borderId="0" xfId="0" applyNumberFormat="1"/>
    <xf numFmtId="0" fontId="0" fillId="21" borderId="90" xfId="0" applyFill="1" applyBorder="1"/>
    <xf numFmtId="44" fontId="0" fillId="0" borderId="5" xfId="2" applyFont="1" applyBorder="1"/>
    <xf numFmtId="44" fontId="0" fillId="0" borderId="0" xfId="2" applyFont="1" applyBorder="1"/>
    <xf numFmtId="44" fontId="0" fillId="0" borderId="64" xfId="2" applyFont="1" applyBorder="1"/>
    <xf numFmtId="44" fontId="0" fillId="0" borderId="16" xfId="2" applyFont="1" applyBorder="1"/>
    <xf numFmtId="0" fontId="0" fillId="0" borderId="0" xfId="2" applyNumberFormat="1" applyFont="1" applyBorder="1"/>
    <xf numFmtId="0" fontId="0" fillId="0" borderId="64" xfId="2" applyNumberFormat="1" applyFont="1" applyBorder="1"/>
    <xf numFmtId="42" fontId="0" fillId="0" borderId="8" xfId="2" applyNumberFormat="1" applyFont="1" applyBorder="1"/>
    <xf numFmtId="42" fontId="0" fillId="0" borderId="0" xfId="2" applyNumberFormat="1" applyFont="1" applyBorder="1"/>
    <xf numFmtId="42" fontId="0" fillId="0" borderId="64" xfId="2" applyNumberFormat="1" applyFont="1" applyBorder="1"/>
    <xf numFmtId="42" fontId="0" fillId="0" borderId="9" xfId="2" applyNumberFormat="1" applyFont="1" applyBorder="1"/>
    <xf numFmtId="42" fontId="0" fillId="0" borderId="5" xfId="2" applyNumberFormat="1" applyFont="1" applyBorder="1"/>
    <xf numFmtId="42" fontId="0" fillId="0" borderId="16" xfId="2" applyNumberFormat="1" applyFont="1" applyBorder="1"/>
    <xf numFmtId="0" fontId="0" fillId="6" borderId="0" xfId="0" applyFill="1"/>
    <xf numFmtId="0" fontId="0" fillId="22" borderId="0" xfId="0" applyFill="1"/>
    <xf numFmtId="0" fontId="0" fillId="22" borderId="0" xfId="0" applyFill="1" applyAlignment="1">
      <alignment horizontal="center"/>
    </xf>
    <xf numFmtId="44" fontId="0" fillId="22" borderId="0" xfId="2" applyFont="1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8" fillId="6" borderId="0" xfId="0" applyFont="1" applyFill="1" applyAlignment="1">
      <alignment vertical="center"/>
    </xf>
    <xf numFmtId="14" fontId="0" fillId="8" borderId="70" xfId="0" applyNumberFormat="1" applyFill="1" applyBorder="1" applyAlignment="1">
      <alignment horizontal="left"/>
    </xf>
    <xf numFmtId="3" fontId="11" fillId="8" borderId="61" xfId="0" applyNumberFormat="1" applyFont="1" applyFill="1" applyBorder="1"/>
    <xf numFmtId="3" fontId="11" fillId="8" borderId="65" xfId="0" applyNumberFormat="1" applyFont="1" applyFill="1" applyBorder="1"/>
    <xf numFmtId="3" fontId="11" fillId="8" borderId="93" xfId="0" applyNumberFormat="1" applyFont="1" applyFill="1" applyBorder="1"/>
    <xf numFmtId="3" fontId="4" fillId="21" borderId="58" xfId="0" applyNumberFormat="1" applyFont="1" applyFill="1" applyBorder="1" applyAlignment="1">
      <alignment horizontal="center" vertical="center" wrapText="1"/>
    </xf>
    <xf numFmtId="165" fontId="11" fillId="8" borderId="93" xfId="0" applyNumberFormat="1" applyFont="1" applyFill="1" applyBorder="1"/>
    <xf numFmtId="3" fontId="0" fillId="8" borderId="5" xfId="0" applyNumberFormat="1" applyFill="1" applyBorder="1" applyAlignment="1">
      <alignment horizontal="center"/>
    </xf>
    <xf numFmtId="3" fontId="20" fillId="8" borderId="10" xfId="0" applyNumberFormat="1" applyFont="1" applyFill="1" applyBorder="1" applyAlignment="1">
      <alignment horizontal="center"/>
    </xf>
    <xf numFmtId="0" fontId="19" fillId="8" borderId="10" xfId="0" applyFont="1" applyFill="1" applyBorder="1" applyAlignment="1">
      <alignment horizontal="center"/>
    </xf>
    <xf numFmtId="165" fontId="20" fillId="8" borderId="10" xfId="0" applyNumberFormat="1" applyFont="1" applyFill="1" applyBorder="1" applyAlignment="1">
      <alignment horizontal="right"/>
    </xf>
    <xf numFmtId="14" fontId="0" fillId="8" borderId="10" xfId="0" applyNumberFormat="1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14" fontId="0" fillId="0" borderId="62" xfId="0" applyNumberFormat="1" applyBorder="1" applyAlignment="1">
      <alignment horizontal="left"/>
    </xf>
    <xf numFmtId="0" fontId="0" fillId="18" borderId="29" xfId="0" applyFill="1" applyBorder="1"/>
    <xf numFmtId="0" fontId="0" fillId="0" borderId="29" xfId="0" applyBorder="1"/>
    <xf numFmtId="0" fontId="0" fillId="0" borderId="62" xfId="0" applyBorder="1"/>
    <xf numFmtId="0" fontId="0" fillId="0" borderId="51" xfId="0" applyBorder="1"/>
    <xf numFmtId="1" fontId="0" fillId="0" borderId="8" xfId="0" applyNumberFormat="1" applyBorder="1"/>
    <xf numFmtId="1" fontId="0" fillId="0" borderId="0" xfId="0" applyNumberFormat="1"/>
    <xf numFmtId="1" fontId="0" fillId="0" borderId="64" xfId="0" applyNumberFormat="1" applyBorder="1"/>
    <xf numFmtId="14" fontId="0" fillId="0" borderId="26" xfId="0" applyNumberFormat="1" applyBorder="1" applyAlignment="1">
      <alignment horizontal="left"/>
    </xf>
    <xf numFmtId="0" fontId="0" fillId="21" borderId="27" xfId="0" applyFill="1" applyBorder="1"/>
    <xf numFmtId="0" fontId="0" fillId="0" borderId="27" xfId="0" applyBorder="1"/>
    <xf numFmtId="0" fontId="0" fillId="0" borderId="26" xfId="0" applyBorder="1"/>
    <xf numFmtId="0" fontId="0" fillId="0" borderId="10" xfId="0" applyBorder="1"/>
    <xf numFmtId="14" fontId="0" fillId="0" borderId="54" xfId="0" applyNumberFormat="1" applyBorder="1" applyAlignment="1">
      <alignment horizontal="left"/>
    </xf>
    <xf numFmtId="0" fontId="0" fillId="7" borderId="28" xfId="0" applyFill="1" applyBorder="1"/>
    <xf numFmtId="0" fontId="0" fillId="0" borderId="28" xfId="0" applyBorder="1"/>
    <xf numFmtId="0" fontId="0" fillId="0" borderId="54" xfId="0" applyBorder="1"/>
    <xf numFmtId="0" fontId="0" fillId="0" borderId="15" xfId="0" applyBorder="1"/>
    <xf numFmtId="0" fontId="0" fillId="0" borderId="21" xfId="0" applyBorder="1"/>
    <xf numFmtId="0" fontId="0" fillId="0" borderId="35" xfId="0" applyBorder="1"/>
    <xf numFmtId="1" fontId="0" fillId="0" borderId="9" xfId="0" applyNumberFormat="1" applyBorder="1"/>
    <xf numFmtId="1" fontId="0" fillId="0" borderId="5" xfId="0" applyNumberFormat="1" applyBorder="1"/>
    <xf numFmtId="1" fontId="0" fillId="0" borderId="16" xfId="0" applyNumberFormat="1" applyBorder="1"/>
    <xf numFmtId="14" fontId="0" fillId="0" borderId="22" xfId="0" applyNumberFormat="1" applyBorder="1" applyAlignment="1">
      <alignment horizontal="left"/>
    </xf>
    <xf numFmtId="0" fontId="0" fillId="0" borderId="49" xfId="0" applyBorder="1"/>
    <xf numFmtId="0" fontId="0" fillId="0" borderId="75" xfId="0" applyBorder="1"/>
    <xf numFmtId="0" fontId="0" fillId="0" borderId="12" xfId="0" applyBorder="1"/>
    <xf numFmtId="1" fontId="0" fillId="0" borderId="52" xfId="0" applyNumberFormat="1" applyBorder="1"/>
    <xf numFmtId="1" fontId="0" fillId="0" borderId="4" xfId="0" applyNumberFormat="1" applyBorder="1"/>
    <xf numFmtId="1" fontId="0" fillId="0" borderId="48" xfId="0" applyNumberFormat="1" applyBorder="1"/>
    <xf numFmtId="14" fontId="0" fillId="0" borderId="23" xfId="0" applyNumberFormat="1" applyBorder="1" applyAlignment="1">
      <alignment horizontal="left"/>
    </xf>
    <xf numFmtId="14" fontId="0" fillId="0" borderId="24" xfId="0" applyNumberFormat="1" applyBorder="1" applyAlignment="1">
      <alignment horizontal="left"/>
    </xf>
    <xf numFmtId="0" fontId="0" fillId="0" borderId="9" xfId="0" applyBorder="1"/>
    <xf numFmtId="0" fontId="0" fillId="0" borderId="59" xfId="0" applyBorder="1"/>
    <xf numFmtId="0" fontId="0" fillId="0" borderId="77" xfId="0" applyBorder="1"/>
    <xf numFmtId="0" fontId="0" fillId="18" borderId="49" xfId="0" applyFill="1" applyBorder="1"/>
    <xf numFmtId="49" fontId="18" fillId="25" borderId="60" xfId="0" applyNumberFormat="1" applyFont="1" applyFill="1" applyBorder="1" applyAlignment="1">
      <alignment horizontal="center" vertical="center" wrapText="1"/>
    </xf>
    <xf numFmtId="49" fontId="18" fillId="25" borderId="77" xfId="0" applyNumberFormat="1" applyFont="1" applyFill="1" applyBorder="1" applyAlignment="1">
      <alignment horizontal="center" vertical="center" wrapText="1"/>
    </xf>
    <xf numFmtId="49" fontId="18" fillId="25" borderId="25" xfId="0" applyNumberFormat="1" applyFont="1" applyFill="1" applyBorder="1" applyAlignment="1">
      <alignment horizontal="center" vertical="center" wrapText="1"/>
    </xf>
    <xf numFmtId="0" fontId="18" fillId="4" borderId="83" xfId="0" applyFont="1" applyFill="1" applyBorder="1" applyAlignment="1">
      <alignment horizontal="center" vertical="center" wrapText="1"/>
    </xf>
    <xf numFmtId="0" fontId="18" fillId="4" borderId="90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23" borderId="9" xfId="0" applyFont="1" applyFill="1" applyBorder="1" applyAlignment="1">
      <alignment horizontal="center" vertical="center" wrapText="1"/>
    </xf>
    <xf numFmtId="0" fontId="18" fillId="23" borderId="59" xfId="0" applyFont="1" applyFill="1" applyBorder="1" applyAlignment="1">
      <alignment horizontal="center" vertical="center" wrapText="1"/>
    </xf>
    <xf numFmtId="0" fontId="18" fillId="23" borderId="77" xfId="0" applyFont="1" applyFill="1" applyBorder="1" applyAlignment="1">
      <alignment horizontal="center" vertical="center" wrapText="1"/>
    </xf>
    <xf numFmtId="0" fontId="18" fillId="24" borderId="84" xfId="0" applyFont="1" applyFill="1" applyBorder="1" applyAlignment="1">
      <alignment horizontal="center" vertical="center" wrapText="1"/>
    </xf>
    <xf numFmtId="0" fontId="18" fillId="24" borderId="85" xfId="0" applyFont="1" applyFill="1" applyBorder="1" applyAlignment="1">
      <alignment horizontal="center" vertical="center" wrapText="1"/>
    </xf>
    <xf numFmtId="0" fontId="18" fillId="20" borderId="87" xfId="0" applyFont="1" applyFill="1" applyBorder="1" applyAlignment="1">
      <alignment horizontal="center" vertical="center" wrapText="1"/>
    </xf>
    <xf numFmtId="0" fontId="18" fillId="20" borderId="77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7" borderId="77" xfId="0" applyFont="1" applyFill="1" applyBorder="1" applyAlignment="1">
      <alignment horizontal="center" vertical="center" wrapText="1"/>
    </xf>
    <xf numFmtId="0" fontId="18" fillId="7" borderId="25" xfId="0" applyFont="1" applyFill="1" applyBorder="1" applyAlignment="1">
      <alignment horizontal="center" vertical="center" wrapText="1"/>
    </xf>
    <xf numFmtId="0" fontId="18" fillId="21" borderId="5" xfId="0" applyFont="1" applyFill="1" applyBorder="1" applyAlignment="1">
      <alignment horizontal="center" vertical="center" wrapText="1"/>
    </xf>
    <xf numFmtId="0" fontId="18" fillId="21" borderId="59" xfId="0" applyFont="1" applyFill="1" applyBorder="1" applyAlignment="1">
      <alignment horizontal="center" vertical="center" wrapText="1"/>
    </xf>
    <xf numFmtId="0" fontId="18" fillId="21" borderId="77" xfId="0" applyFont="1" applyFill="1" applyBorder="1" applyAlignment="1">
      <alignment horizontal="center" vertical="center" wrapText="1"/>
    </xf>
    <xf numFmtId="0" fontId="18" fillId="21" borderId="2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8" fillId="5" borderId="59" xfId="0" applyFont="1" applyFill="1" applyBorder="1" applyAlignment="1">
      <alignment horizontal="center" vertical="center" wrapText="1"/>
    </xf>
    <xf numFmtId="0" fontId="18" fillId="5" borderId="77" xfId="0" applyFont="1" applyFill="1" applyBorder="1" applyAlignment="1">
      <alignment horizontal="center" vertical="center" wrapText="1"/>
    </xf>
    <xf numFmtId="0" fontId="18" fillId="5" borderId="25" xfId="0" applyFont="1" applyFill="1" applyBorder="1" applyAlignment="1">
      <alignment horizontal="center" vertical="center" wrapText="1"/>
    </xf>
    <xf numFmtId="0" fontId="18" fillId="21" borderId="9" xfId="0" applyFont="1" applyFill="1" applyBorder="1" applyAlignment="1">
      <alignment horizontal="center" vertical="center" wrapText="1"/>
    </xf>
    <xf numFmtId="0" fontId="18" fillId="0" borderId="0" xfId="0" applyFont="1"/>
    <xf numFmtId="1" fontId="0" fillId="0" borderId="63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62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64" xfId="0" applyNumberFormat="1" applyBorder="1" applyAlignment="1">
      <alignment horizontal="center"/>
    </xf>
    <xf numFmtId="0" fontId="0" fillId="21" borderId="5" xfId="0" applyFill="1" applyBorder="1" applyAlignment="1">
      <alignment horizontal="center"/>
    </xf>
    <xf numFmtId="1" fontId="0" fillId="0" borderId="2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21" borderId="1" xfId="0" applyFill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4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5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48" xfId="0" applyNumberFormat="1" applyBorder="1" applyAlignment="1">
      <alignment horizontal="center"/>
    </xf>
    <xf numFmtId="1" fontId="0" fillId="0" borderId="34" xfId="0" applyNumberFormat="1" applyBorder="1" applyAlignment="1">
      <alignment horizontal="left"/>
    </xf>
    <xf numFmtId="1" fontId="0" fillId="0" borderId="31" xfId="0" applyNumberFormat="1" applyBorder="1" applyAlignment="1">
      <alignment horizontal="left"/>
    </xf>
    <xf numFmtId="1" fontId="0" fillId="0" borderId="35" xfId="0" applyNumberFormat="1" applyBorder="1" applyAlignment="1">
      <alignment horizontal="left"/>
    </xf>
    <xf numFmtId="1" fontId="0" fillId="0" borderId="27" xfId="0" applyNumberFormat="1" applyBorder="1" applyAlignment="1">
      <alignment horizontal="left"/>
    </xf>
    <xf numFmtId="1" fontId="0" fillId="0" borderId="28" xfId="0" applyNumberFormat="1" applyBorder="1" applyAlignment="1">
      <alignment horizontal="left"/>
    </xf>
    <xf numFmtId="1" fontId="0" fillId="0" borderId="49" xfId="0" applyNumberFormat="1" applyBorder="1" applyAlignment="1">
      <alignment horizontal="left"/>
    </xf>
    <xf numFmtId="0" fontId="0" fillId="18" borderId="52" xfId="0" applyFill="1" applyBorder="1"/>
    <xf numFmtId="0" fontId="0" fillId="18" borderId="4" xfId="0" applyFill="1" applyBorder="1"/>
    <xf numFmtId="0" fontId="0" fillId="18" borderId="48" xfId="0" applyFill="1" applyBorder="1"/>
    <xf numFmtId="3" fontId="0" fillId="8" borderId="17" xfId="0" applyNumberFormat="1" applyFill="1" applyBorder="1" applyAlignment="1">
      <alignment horizontal="center"/>
    </xf>
    <xf numFmtId="3" fontId="0" fillId="8" borderId="18" xfId="0" applyNumberFormat="1" applyFill="1" applyBorder="1" applyAlignment="1">
      <alignment horizontal="center"/>
    </xf>
    <xf numFmtId="0" fontId="0" fillId="18" borderId="3" xfId="0" applyFill="1" applyBorder="1"/>
    <xf numFmtId="3" fontId="0" fillId="8" borderId="4" xfId="0" applyNumberFormat="1" applyFill="1" applyBorder="1" applyAlignment="1">
      <alignment horizontal="center"/>
    </xf>
    <xf numFmtId="3" fontId="0" fillId="8" borderId="48" xfId="0" applyNumberFormat="1" applyFill="1" applyBorder="1" applyAlignment="1">
      <alignment horizontal="center"/>
    </xf>
    <xf numFmtId="3" fontId="0" fillId="8" borderId="64" xfId="0" applyNumberFormat="1" applyFill="1" applyBorder="1" applyAlignment="1">
      <alignment horizontal="center"/>
    </xf>
    <xf numFmtId="3" fontId="0" fillId="8" borderId="16" xfId="0" applyNumberFormat="1" applyFill="1" applyBorder="1" applyAlignment="1">
      <alignment horizontal="center"/>
    </xf>
    <xf numFmtId="0" fontId="0" fillId="21" borderId="6" xfId="0" applyFill="1" applyBorder="1"/>
    <xf numFmtId="0" fontId="0" fillId="21" borderId="7" xfId="0" applyFill="1" applyBorder="1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7" xfId="0" applyBorder="1" applyAlignment="1">
      <alignment horizontal="left"/>
    </xf>
    <xf numFmtId="1" fontId="0" fillId="21" borderId="10" xfId="0" applyNumberFormat="1" applyFill="1" applyBorder="1" applyAlignment="1">
      <alignment horizontal="center"/>
    </xf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1" fontId="0" fillId="18" borderId="11" xfId="0" applyNumberFormat="1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" fontId="0" fillId="18" borderId="17" xfId="0" applyNumberFormat="1" applyFill="1" applyBorder="1" applyAlignment="1">
      <alignment horizontal="center"/>
    </xf>
    <xf numFmtId="1" fontId="0" fillId="18" borderId="22" xfId="0" applyNumberFormat="1" applyFill="1" applyBorder="1" applyAlignment="1">
      <alignment horizontal="center"/>
    </xf>
    <xf numFmtId="0" fontId="0" fillId="0" borderId="67" xfId="0" applyBorder="1"/>
    <xf numFmtId="0" fontId="0" fillId="0" borderId="90" xfId="0" pivotButton="1" applyBorder="1"/>
    <xf numFmtId="0" fontId="0" fillId="0" borderId="6" xfId="0" applyBorder="1"/>
    <xf numFmtId="0" fontId="0" fillId="0" borderId="1" xfId="0" applyBorder="1"/>
    <xf numFmtId="0" fontId="0" fillId="0" borderId="7" xfId="0" applyBorder="1"/>
    <xf numFmtId="1" fontId="0" fillId="0" borderId="90" xfId="0" applyNumberFormat="1" applyBorder="1"/>
    <xf numFmtId="1" fontId="0" fillId="0" borderId="6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3" fontId="0" fillId="0" borderId="7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54" xfId="0" applyNumberFormat="1" applyBorder="1" applyAlignment="1">
      <alignment horizontal="center"/>
    </xf>
    <xf numFmtId="0" fontId="1" fillId="7" borderId="83" xfId="0" applyFont="1" applyFill="1" applyBorder="1" applyAlignment="1">
      <alignment horizontal="center" vertical="center" wrapText="1"/>
    </xf>
    <xf numFmtId="0" fontId="1" fillId="7" borderId="73" xfId="0" applyFont="1" applyFill="1" applyBorder="1" applyAlignment="1">
      <alignment horizontal="center" vertical="center" wrapText="1"/>
    </xf>
    <xf numFmtId="0" fontId="1" fillId="13" borderId="83" xfId="0" applyFont="1" applyFill="1" applyBorder="1" applyAlignment="1">
      <alignment horizontal="center" vertical="center" wrapText="1"/>
    </xf>
    <xf numFmtId="0" fontId="1" fillId="13" borderId="85" xfId="0" applyFont="1" applyFill="1" applyBorder="1" applyAlignment="1">
      <alignment horizontal="center" vertical="center" wrapText="1"/>
    </xf>
    <xf numFmtId="0" fontId="1" fillId="19" borderId="68" xfId="0" applyFont="1" applyFill="1" applyBorder="1" applyAlignment="1">
      <alignment horizontal="center" vertical="center" wrapText="1"/>
    </xf>
    <xf numFmtId="0" fontId="1" fillId="19" borderId="66" xfId="0" applyFont="1" applyFill="1" applyBorder="1" applyAlignment="1">
      <alignment horizontal="center" vertical="center" wrapText="1"/>
    </xf>
    <xf numFmtId="0" fontId="1" fillId="12" borderId="83" xfId="0" applyFont="1" applyFill="1" applyBorder="1" applyAlignment="1">
      <alignment horizontal="center" vertical="center" wrapText="1"/>
    </xf>
    <xf numFmtId="0" fontId="1" fillId="12" borderId="85" xfId="0" applyFont="1" applyFill="1" applyBorder="1" applyAlignment="1">
      <alignment horizontal="center" vertical="center" wrapText="1"/>
    </xf>
    <xf numFmtId="165" fontId="0" fillId="6" borderId="0" xfId="0" applyNumberFormat="1" applyFill="1"/>
    <xf numFmtId="0" fontId="2" fillId="12" borderId="52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2" fillId="19" borderId="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13" borderId="61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8" fillId="24" borderId="74" xfId="0" applyFont="1" applyFill="1" applyBorder="1" applyAlignment="1">
      <alignment horizontal="center" vertical="center" wrapText="1"/>
    </xf>
    <xf numFmtId="0" fontId="18" fillId="2" borderId="9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2" fillId="3" borderId="14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13" borderId="90" xfId="0" applyFont="1" applyFill="1" applyBorder="1" applyAlignment="1">
      <alignment horizontal="center" vertical="center" wrapText="1"/>
    </xf>
    <xf numFmtId="3" fontId="3" fillId="0" borderId="69" xfId="0" applyNumberFormat="1" applyFont="1" applyBorder="1" applyAlignment="1">
      <alignment horizontal="center" vertical="center" wrapText="1"/>
    </xf>
    <xf numFmtId="3" fontId="3" fillId="0" borderId="67" xfId="0" applyNumberFormat="1" applyFont="1" applyBorder="1" applyAlignment="1">
      <alignment horizontal="center" vertical="center" wrapText="1"/>
    </xf>
    <xf numFmtId="3" fontId="3" fillId="0" borderId="22" xfId="0" applyNumberFormat="1" applyFont="1" applyBorder="1" applyAlignment="1">
      <alignment horizontal="center" vertical="center" wrapText="1"/>
    </xf>
    <xf numFmtId="14" fontId="2" fillId="17" borderId="78" xfId="0" applyNumberFormat="1" applyFont="1" applyFill="1" applyBorder="1" applyAlignment="1">
      <alignment vertical="center" wrapText="1"/>
    </xf>
    <xf numFmtId="0" fontId="2" fillId="17" borderId="24" xfId="0" applyFont="1" applyFill="1" applyBorder="1" applyAlignment="1">
      <alignment horizontal="center" vertical="center" wrapText="1"/>
    </xf>
    <xf numFmtId="3" fontId="3" fillId="0" borderId="88" xfId="0" applyNumberFormat="1" applyFont="1" applyBorder="1" applyAlignment="1">
      <alignment horizontal="center" vertical="center" wrapText="1"/>
    </xf>
    <xf numFmtId="3" fontId="3" fillId="0" borderId="89" xfId="0" applyNumberFormat="1" applyFont="1" applyBorder="1" applyAlignment="1">
      <alignment horizontal="center" vertical="center" wrapText="1"/>
    </xf>
    <xf numFmtId="3" fontId="3" fillId="0" borderId="30" xfId="0" applyNumberFormat="1" applyFont="1" applyBorder="1" applyAlignment="1">
      <alignment horizontal="center" vertical="center" wrapText="1"/>
    </xf>
    <xf numFmtId="14" fontId="2" fillId="3" borderId="78" xfId="0" applyNumberFormat="1" applyFont="1" applyFill="1" applyBorder="1" applyAlignment="1">
      <alignment vertical="center" wrapText="1"/>
    </xf>
    <xf numFmtId="0" fontId="2" fillId="3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16" borderId="66" xfId="0" applyFont="1" applyFill="1" applyBorder="1" applyAlignment="1">
      <alignment horizontal="center" wrapText="1"/>
    </xf>
    <xf numFmtId="0" fontId="0" fillId="11" borderId="10" xfId="0" applyFill="1" applyBorder="1" applyAlignment="1">
      <alignment horizontal="center" wrapText="1"/>
    </xf>
    <xf numFmtId="44" fontId="0" fillId="0" borderId="0" xfId="2" applyFont="1" applyAlignment="1">
      <alignment horizontal="center"/>
    </xf>
    <xf numFmtId="3" fontId="0" fillId="11" borderId="10" xfId="0" applyNumberFormat="1" applyFill="1" applyBorder="1" applyAlignment="1">
      <alignment horizontal="center" vertical="center" wrapText="1"/>
    </xf>
    <xf numFmtId="0" fontId="0" fillId="20" borderId="10" xfId="0" applyFill="1" applyBorder="1" applyAlignment="1">
      <alignment horizontal="center" wrapText="1"/>
    </xf>
    <xf numFmtId="0" fontId="5" fillId="11" borderId="0" xfId="0" applyFont="1" applyFill="1" applyAlignment="1">
      <alignment horizontal="center"/>
    </xf>
    <xf numFmtId="0" fontId="0" fillId="11" borderId="0" xfId="0" applyFill="1"/>
    <xf numFmtId="14" fontId="0" fillId="0" borderId="94" xfId="0" applyNumberFormat="1" applyBorder="1" applyAlignment="1">
      <alignment horizontal="left"/>
    </xf>
    <xf numFmtId="1" fontId="0" fillId="0" borderId="86" xfId="0" applyNumberFormat="1" applyBorder="1" applyAlignment="1">
      <alignment horizontal="left"/>
    </xf>
    <xf numFmtId="0" fontId="0" fillId="0" borderId="86" xfId="0" applyBorder="1"/>
    <xf numFmtId="0" fontId="0" fillId="0" borderId="95" xfId="0" applyBorder="1"/>
    <xf numFmtId="1" fontId="0" fillId="0" borderId="94" xfId="0" applyNumberFormat="1" applyBorder="1" applyAlignment="1">
      <alignment horizontal="center"/>
    </xf>
    <xf numFmtId="0" fontId="0" fillId="21" borderId="4" xfId="0" applyFill="1" applyBorder="1" applyAlignment="1">
      <alignment horizontal="center"/>
    </xf>
    <xf numFmtId="0" fontId="0" fillId="5" borderId="90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1" fontId="0" fillId="5" borderId="10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0" fillId="11" borderId="10" xfId="0" applyFill="1" applyBorder="1" applyAlignment="1">
      <alignment horizontal="center" vertical="center" wrapText="1"/>
    </xf>
    <xf numFmtId="1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67" fontId="0" fillId="0" borderId="0" xfId="0" applyNumberFormat="1"/>
    <xf numFmtId="0" fontId="0" fillId="28" borderId="10" xfId="0" applyFill="1" applyBorder="1" applyAlignment="1">
      <alignment horizontal="center" wrapText="1"/>
    </xf>
    <xf numFmtId="42" fontId="0" fillId="0" borderId="8" xfId="0" applyNumberFormat="1" applyBorder="1"/>
    <xf numFmtId="42" fontId="0" fillId="0" borderId="0" xfId="0" applyNumberFormat="1"/>
    <xf numFmtId="42" fontId="0" fillId="0" borderId="64" xfId="0" applyNumberFormat="1" applyBorder="1"/>
    <xf numFmtId="3" fontId="3" fillId="8" borderId="36" xfId="0" applyNumberFormat="1" applyFont="1" applyFill="1" applyBorder="1" applyAlignment="1">
      <alignment horizontal="center" vertical="center" wrapText="1"/>
    </xf>
    <xf numFmtId="3" fontId="3" fillId="8" borderId="37" xfId="0" applyNumberFormat="1" applyFont="1" applyFill="1" applyBorder="1" applyAlignment="1">
      <alignment horizontal="center" vertical="center" wrapText="1"/>
    </xf>
    <xf numFmtId="3" fontId="3" fillId="8" borderId="40" xfId="0" applyNumberFormat="1" applyFont="1" applyFill="1" applyBorder="1" applyAlignment="1">
      <alignment horizontal="center" vertical="center" wrapText="1"/>
    </xf>
    <xf numFmtId="3" fontId="3" fillId="8" borderId="39" xfId="0" applyNumberFormat="1" applyFont="1" applyFill="1" applyBorder="1" applyAlignment="1">
      <alignment horizontal="center" vertical="center" wrapText="1"/>
    </xf>
    <xf numFmtId="3" fontId="3" fillId="8" borderId="42" xfId="0" applyNumberFormat="1" applyFont="1" applyFill="1" applyBorder="1" applyAlignment="1">
      <alignment horizontal="center" vertical="center" wrapText="1"/>
    </xf>
    <xf numFmtId="3" fontId="3" fillId="8" borderId="56" xfId="0" applyNumberFormat="1" applyFont="1" applyFill="1" applyBorder="1" applyAlignment="1">
      <alignment horizontal="center" vertical="center" wrapText="1"/>
    </xf>
    <xf numFmtId="168" fontId="20" fillId="8" borderId="10" xfId="0" applyNumberFormat="1" applyFont="1" applyFill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96" xfId="0" applyBorder="1" applyAlignment="1">
      <alignment horizontal="center"/>
    </xf>
    <xf numFmtId="0" fontId="0" fillId="0" borderId="71" xfId="0" applyBorder="1" applyAlignment="1">
      <alignment horizontal="center"/>
    </xf>
    <xf numFmtId="49" fontId="12" fillId="5" borderId="85" xfId="0" applyNumberFormat="1" applyFont="1" applyFill="1" applyBorder="1" applyAlignment="1">
      <alignment horizontal="center" vertical="center" wrapText="1"/>
    </xf>
    <xf numFmtId="42" fontId="0" fillId="0" borderId="0" xfId="2" applyNumberFormat="1" applyFont="1"/>
    <xf numFmtId="2" fontId="0" fillId="0" borderId="69" xfId="0" applyNumberFormat="1" applyBorder="1" applyAlignment="1">
      <alignment horizontal="center"/>
    </xf>
    <xf numFmtId="49" fontId="12" fillId="7" borderId="61" xfId="0" applyNumberFormat="1" applyFont="1" applyFill="1" applyBorder="1" applyAlignment="1">
      <alignment horizontal="center" vertical="center" wrapText="1"/>
    </xf>
    <xf numFmtId="49" fontId="12" fillId="7" borderId="65" xfId="0" applyNumberFormat="1" applyFont="1" applyFill="1" applyBorder="1" applyAlignment="1">
      <alignment horizontal="center" vertical="center" wrapText="1"/>
    </xf>
    <xf numFmtId="3" fontId="11" fillId="8" borderId="0" xfId="0" applyNumberFormat="1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8" borderId="0" xfId="0" applyFill="1" applyAlignment="1">
      <alignment horizontal="center" vertical="center"/>
    </xf>
    <xf numFmtId="3" fontId="3" fillId="5" borderId="36" xfId="0" applyNumberFormat="1" applyFont="1" applyFill="1" applyBorder="1" applyAlignment="1">
      <alignment horizontal="center" vertical="center" wrapText="1"/>
    </xf>
    <xf numFmtId="3" fontId="3" fillId="5" borderId="40" xfId="0" applyNumberFormat="1" applyFont="1" applyFill="1" applyBorder="1" applyAlignment="1">
      <alignment horizontal="center" vertical="center" wrapText="1"/>
    </xf>
    <xf numFmtId="3" fontId="3" fillId="5" borderId="42" xfId="0" applyNumberFormat="1" applyFont="1" applyFill="1" applyBorder="1" applyAlignment="1">
      <alignment horizontal="center" vertical="center" wrapText="1"/>
    </xf>
    <xf numFmtId="3" fontId="3" fillId="5" borderId="38" xfId="0" applyNumberFormat="1" applyFont="1" applyFill="1" applyBorder="1" applyAlignment="1">
      <alignment horizontal="center" vertical="center" wrapText="1"/>
    </xf>
    <xf numFmtId="49" fontId="12" fillId="20" borderId="6" xfId="0" applyNumberFormat="1" applyFont="1" applyFill="1" applyBorder="1" applyAlignment="1">
      <alignment horizontal="center" vertical="center" wrapText="1"/>
    </xf>
    <xf numFmtId="49" fontId="12" fillId="20" borderId="73" xfId="0" applyNumberFormat="1" applyFont="1" applyFill="1" applyBorder="1" applyAlignment="1">
      <alignment horizontal="center" vertical="center" wrapText="1"/>
    </xf>
    <xf numFmtId="49" fontId="12" fillId="20" borderId="84" xfId="0" applyNumberFormat="1" applyFont="1" applyFill="1" applyBorder="1" applyAlignment="1">
      <alignment horizontal="center" vertical="center" wrapText="1"/>
    </xf>
    <xf numFmtId="0" fontId="18" fillId="29" borderId="83" xfId="0" applyFont="1" applyFill="1" applyBorder="1" applyAlignment="1">
      <alignment horizontal="center" vertical="center" wrapText="1"/>
    </xf>
    <xf numFmtId="166" fontId="0" fillId="8" borderId="10" xfId="0" applyNumberFormat="1" applyFill="1" applyBorder="1" applyAlignment="1">
      <alignment horizontal="center"/>
    </xf>
    <xf numFmtId="166" fontId="17" fillId="30" borderId="10" xfId="0" applyNumberFormat="1" applyFont="1" applyFill="1" applyBorder="1" applyAlignment="1">
      <alignment horizontal="center" vertical="center"/>
    </xf>
    <xf numFmtId="3" fontId="0" fillId="8" borderId="0" xfId="0" applyNumberFormat="1" applyFill="1" applyAlignment="1">
      <alignment horizontal="center" vertical="center"/>
    </xf>
    <xf numFmtId="0" fontId="13" fillId="4" borderId="48" xfId="0" applyFont="1" applyFill="1" applyBorder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14" fontId="0" fillId="8" borderId="0" xfId="0" applyNumberFormat="1" applyFill="1" applyAlignment="1">
      <alignment horizontal="center" vertical="center"/>
    </xf>
    <xf numFmtId="3" fontId="0" fillId="8" borderId="91" xfId="0" applyNumberFormat="1" applyFill="1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0" fillId="0" borderId="10" xfId="0" applyBorder="1" applyAlignment="1">
      <alignment horizontal="left"/>
    </xf>
    <xf numFmtId="167" fontId="0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 vertical="center"/>
    </xf>
    <xf numFmtId="167" fontId="1" fillId="0" borderId="10" xfId="2" applyNumberFormat="1" applyFont="1" applyBorder="1" applyAlignment="1"/>
    <xf numFmtId="0" fontId="1" fillId="11" borderId="10" xfId="0" applyFont="1" applyFill="1" applyBorder="1" applyAlignment="1">
      <alignment horizontal="center" vertical="center" wrapText="1"/>
    </xf>
    <xf numFmtId="167" fontId="0" fillId="0" borderId="10" xfId="0" applyNumberFormat="1" applyBorder="1"/>
    <xf numFmtId="167" fontId="1" fillId="0" borderId="10" xfId="0" applyNumberFormat="1" applyFont="1" applyBorder="1"/>
    <xf numFmtId="3" fontId="11" fillId="0" borderId="22" xfId="0" applyNumberFormat="1" applyFont="1" applyBorder="1" applyAlignment="1">
      <alignment horizontal="center"/>
    </xf>
    <xf numFmtId="3" fontId="11" fillId="0" borderId="17" xfId="0" applyNumberFormat="1" applyFont="1" applyBorder="1"/>
    <xf numFmtId="3" fontId="11" fillId="0" borderId="23" xfId="0" applyNumberFormat="1" applyFont="1" applyBorder="1" applyAlignment="1">
      <alignment horizontal="center"/>
    </xf>
    <xf numFmtId="3" fontId="11" fillId="0" borderId="18" xfId="0" applyNumberFormat="1" applyFont="1" applyBorder="1"/>
    <xf numFmtId="3" fontId="11" fillId="0" borderId="24" xfId="0" applyNumberFormat="1" applyFont="1" applyBorder="1" applyAlignment="1">
      <alignment horizontal="center"/>
    </xf>
    <xf numFmtId="3" fontId="11" fillId="0" borderId="19" xfId="0" applyNumberFormat="1" applyFont="1" applyBorder="1"/>
    <xf numFmtId="3" fontId="0" fillId="0" borderId="29" xfId="0" applyNumberFormat="1" applyBorder="1"/>
    <xf numFmtId="3" fontId="0" fillId="0" borderId="29" xfId="0" applyNumberFormat="1" applyBorder="1" applyAlignment="1">
      <alignment horizontal="center"/>
    </xf>
    <xf numFmtId="3" fontId="11" fillId="0" borderId="11" xfId="0" applyNumberFormat="1" applyFont="1" applyBorder="1" applyAlignment="1">
      <alignment horizontal="right"/>
    </xf>
    <xf numFmtId="3" fontId="11" fillId="0" borderId="12" xfId="0" applyNumberFormat="1" applyFont="1" applyBorder="1" applyAlignment="1">
      <alignment horizontal="right"/>
    </xf>
    <xf numFmtId="3" fontId="11" fillId="0" borderId="11" xfId="0" applyNumberFormat="1" applyFont="1" applyBorder="1"/>
    <xf numFmtId="3" fontId="11" fillId="0" borderId="12" xfId="0" applyNumberFormat="1" applyFont="1" applyBorder="1"/>
    <xf numFmtId="169" fontId="4" fillId="0" borderId="41" xfId="0" applyNumberFormat="1" applyFont="1" applyBorder="1" applyAlignment="1">
      <alignment horizontal="center" vertical="center" wrapText="1"/>
    </xf>
    <xf numFmtId="3" fontId="4" fillId="0" borderId="41" xfId="0" applyNumberFormat="1" applyFont="1" applyBorder="1" applyAlignment="1">
      <alignment horizontal="center" vertical="center" wrapText="1"/>
    </xf>
    <xf numFmtId="3" fontId="4" fillId="0" borderId="43" xfId="0" applyNumberFormat="1" applyFont="1" applyBorder="1" applyAlignment="1">
      <alignment horizontal="center" vertical="center" wrapText="1"/>
    </xf>
    <xf numFmtId="165" fontId="11" fillId="0" borderId="11" xfId="0" applyNumberFormat="1" applyFont="1" applyBorder="1"/>
    <xf numFmtId="165" fontId="11" fillId="0" borderId="12" xfId="0" applyNumberFormat="1" applyFont="1" applyBorder="1"/>
    <xf numFmtId="165" fontId="11" fillId="0" borderId="17" xfId="0" applyNumberFormat="1" applyFont="1" applyBorder="1"/>
    <xf numFmtId="165" fontId="11" fillId="0" borderId="10" xfId="0" applyNumberFormat="1" applyFont="1" applyBorder="1"/>
    <xf numFmtId="14" fontId="0" fillId="0" borderId="69" xfId="0" applyNumberFormat="1" applyBorder="1" applyAlignment="1">
      <alignment horizontal="left"/>
    </xf>
    <xf numFmtId="3" fontId="0" fillId="0" borderId="27" xfId="0" applyNumberFormat="1" applyBorder="1"/>
    <xf numFmtId="3" fontId="0" fillId="0" borderId="27" xfId="0" applyNumberFormat="1" applyBorder="1" applyAlignment="1">
      <alignment horizontal="center"/>
    </xf>
    <xf numFmtId="3" fontId="11" fillId="0" borderId="13" xfId="0" applyNumberFormat="1" applyFont="1" applyBorder="1" applyAlignment="1">
      <alignment horizontal="right"/>
    </xf>
    <xf numFmtId="3" fontId="11" fillId="0" borderId="10" xfId="0" applyNumberFormat="1" applyFont="1" applyBorder="1" applyAlignment="1">
      <alignment horizontal="right"/>
    </xf>
    <xf numFmtId="3" fontId="11" fillId="0" borderId="10" xfId="0" applyNumberFormat="1" applyFont="1" applyBorder="1"/>
    <xf numFmtId="3" fontId="11" fillId="0" borderId="13" xfId="0" applyNumberFormat="1" applyFont="1" applyBorder="1"/>
    <xf numFmtId="165" fontId="11" fillId="0" borderId="13" xfId="0" applyNumberFormat="1" applyFont="1" applyBorder="1"/>
    <xf numFmtId="165" fontId="11" fillId="0" borderId="18" xfId="0" applyNumberFormat="1" applyFont="1" applyBorder="1"/>
    <xf numFmtId="14" fontId="0" fillId="0" borderId="67" xfId="0" applyNumberFormat="1" applyBorder="1" applyAlignment="1">
      <alignment horizontal="left"/>
    </xf>
    <xf numFmtId="3" fontId="0" fillId="0" borderId="28" xfId="0" applyNumberFormat="1" applyBorder="1"/>
    <xf numFmtId="3" fontId="0" fillId="0" borderId="28" xfId="0" applyNumberFormat="1" applyBorder="1" applyAlignment="1">
      <alignment horizontal="center"/>
    </xf>
    <xf numFmtId="3" fontId="11" fillId="0" borderId="15" xfId="0" applyNumberFormat="1" applyFont="1" applyBorder="1"/>
    <xf numFmtId="165" fontId="11" fillId="0" borderId="15" xfId="0" applyNumberFormat="1" applyFont="1" applyBorder="1"/>
    <xf numFmtId="165" fontId="11" fillId="0" borderId="19" xfId="0" applyNumberFormat="1" applyFont="1" applyBorder="1"/>
    <xf numFmtId="0" fontId="13" fillId="4" borderId="4" xfId="0" applyFont="1" applyFill="1" applyBorder="1" applyAlignment="1">
      <alignment horizontal="center" vertical="center" wrapText="1"/>
    </xf>
    <xf numFmtId="0" fontId="13" fillId="4" borderId="61" xfId="0" applyFont="1" applyFill="1" applyBorder="1" applyAlignment="1">
      <alignment horizontal="center" vertical="center" wrapText="1"/>
    </xf>
    <xf numFmtId="3" fontId="11" fillId="18" borderId="10" xfId="0" applyNumberFormat="1" applyFont="1" applyFill="1" applyBorder="1" applyAlignment="1">
      <alignment horizontal="center" vertical="center"/>
    </xf>
    <xf numFmtId="3" fontId="11" fillId="18" borderId="89" xfId="0" applyNumberFormat="1" applyFont="1" applyFill="1" applyBorder="1" applyAlignment="1">
      <alignment horizontal="center" vertical="center"/>
    </xf>
    <xf numFmtId="3" fontId="11" fillId="18" borderId="11" xfId="0" applyNumberFormat="1" applyFont="1" applyFill="1" applyBorder="1" applyAlignment="1">
      <alignment horizontal="right"/>
    </xf>
    <xf numFmtId="3" fontId="11" fillId="18" borderId="12" xfId="0" applyNumberFormat="1" applyFont="1" applyFill="1" applyBorder="1" applyAlignment="1">
      <alignment horizontal="center" vertical="center"/>
    </xf>
    <xf numFmtId="3" fontId="11" fillId="18" borderId="78" xfId="0" applyNumberFormat="1" applyFont="1" applyFill="1" applyBorder="1" applyAlignment="1">
      <alignment horizontal="center" vertical="center"/>
    </xf>
    <xf numFmtId="3" fontId="11" fillId="18" borderId="13" xfId="0" applyNumberFormat="1" applyFont="1" applyFill="1" applyBorder="1" applyAlignment="1">
      <alignment horizontal="right"/>
    </xf>
    <xf numFmtId="3" fontId="11" fillId="18" borderId="14" xfId="0" applyNumberFormat="1" applyFont="1" applyFill="1" applyBorder="1" applyAlignment="1">
      <alignment horizontal="right"/>
    </xf>
    <xf numFmtId="3" fontId="11" fillId="18" borderId="15" xfId="0" applyNumberFormat="1" applyFont="1" applyFill="1" applyBorder="1" applyAlignment="1">
      <alignment horizontal="center" vertical="center"/>
    </xf>
    <xf numFmtId="3" fontId="11" fillId="18" borderId="30" xfId="0" applyNumberFormat="1" applyFont="1" applyFill="1" applyBorder="1" applyAlignment="1">
      <alignment horizontal="center" vertical="center"/>
    </xf>
    <xf numFmtId="0" fontId="0" fillId="29" borderId="0" xfId="0" applyFill="1"/>
    <xf numFmtId="0" fontId="0" fillId="31" borderId="0" xfId="0" applyFill="1"/>
    <xf numFmtId="0" fontId="0" fillId="0" borderId="96" xfId="0" applyBorder="1"/>
    <xf numFmtId="0" fontId="0" fillId="8" borderId="10" xfId="0" applyFill="1" applyBorder="1" applyAlignment="1">
      <alignment horizontal="center"/>
    </xf>
    <xf numFmtId="3" fontId="0" fillId="8" borderId="12" xfId="0" applyNumberFormat="1" applyFill="1" applyBorder="1" applyAlignment="1">
      <alignment horizontal="center"/>
    </xf>
    <xf numFmtId="1" fontId="0" fillId="8" borderId="10" xfId="0" applyNumberFormat="1" applyFill="1" applyBorder="1" applyAlignment="1">
      <alignment horizontal="center"/>
    </xf>
    <xf numFmtId="3" fontId="0" fillId="8" borderId="10" xfId="0" applyNumberFormat="1" applyFill="1" applyBorder="1" applyAlignment="1">
      <alignment horizontal="center"/>
    </xf>
    <xf numFmtId="3" fontId="0" fillId="8" borderId="15" xfId="0" applyNumberFormat="1" applyFill="1" applyBorder="1" applyAlignment="1">
      <alignment horizontal="center"/>
    </xf>
    <xf numFmtId="3" fontId="0" fillId="8" borderId="19" xfId="0" applyNumberFormat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3" fontId="11" fillId="0" borderId="72" xfId="0" applyNumberFormat="1" applyFont="1" applyBorder="1" applyAlignment="1">
      <alignment horizontal="center"/>
    </xf>
    <xf numFmtId="3" fontId="11" fillId="0" borderId="31" xfId="0" applyNumberFormat="1" applyFont="1" applyBorder="1" applyAlignment="1">
      <alignment horizontal="center"/>
    </xf>
    <xf numFmtId="3" fontId="11" fillId="0" borderId="35" xfId="0" applyNumberFormat="1" applyFont="1" applyBorder="1" applyAlignment="1">
      <alignment horizontal="center"/>
    </xf>
    <xf numFmtId="14" fontId="0" fillId="0" borderId="31" xfId="0" applyNumberFormat="1" applyBorder="1" applyAlignment="1">
      <alignment horizontal="left"/>
    </xf>
    <xf numFmtId="3" fontId="0" fillId="18" borderId="97" xfId="0" applyNumberFormat="1" applyFill="1" applyBorder="1" applyAlignment="1">
      <alignment horizontal="center" vertical="center"/>
    </xf>
    <xf numFmtId="3" fontId="11" fillId="0" borderId="18" xfId="0" applyNumberFormat="1" applyFont="1" applyBorder="1" applyAlignment="1">
      <alignment horizontal="center"/>
    </xf>
    <xf numFmtId="3" fontId="11" fillId="0" borderId="98" xfId="0" applyNumberFormat="1" applyFont="1" applyBorder="1"/>
    <xf numFmtId="165" fontId="11" fillId="0" borderId="98" xfId="0" applyNumberFormat="1" applyFont="1" applyBorder="1"/>
    <xf numFmtId="0" fontId="0" fillId="8" borderId="3" xfId="0" applyFill="1" applyBorder="1"/>
    <xf numFmtId="0" fontId="0" fillId="8" borderId="67" xfId="0" applyFill="1" applyBorder="1"/>
    <xf numFmtId="3" fontId="0" fillId="0" borderId="83" xfId="0" applyNumberFormat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85" xfId="0" applyNumberFormat="1" applyBorder="1" applyAlignment="1">
      <alignment horizontal="center"/>
    </xf>
    <xf numFmtId="0" fontId="1" fillId="6" borderId="0" xfId="0" applyFont="1" applyFill="1" applyAlignment="1">
      <alignment horizontal="right" indent="1"/>
    </xf>
    <xf numFmtId="3" fontId="11" fillId="14" borderId="24" xfId="0" applyNumberFormat="1" applyFont="1" applyFill="1" applyBorder="1" applyAlignment="1">
      <alignment horizontal="center"/>
    </xf>
    <xf numFmtId="3" fontId="11" fillId="14" borderId="35" xfId="0" applyNumberFormat="1" applyFont="1" applyFill="1" applyBorder="1" applyAlignment="1">
      <alignment horizontal="center"/>
    </xf>
    <xf numFmtId="3" fontId="11" fillId="32" borderId="35" xfId="0" applyNumberFormat="1" applyFont="1" applyFill="1" applyBorder="1" applyAlignment="1">
      <alignment horizontal="center"/>
    </xf>
    <xf numFmtId="3" fontId="11" fillId="32" borderId="72" xfId="0" applyNumberFormat="1" applyFont="1" applyFill="1" applyBorder="1" applyAlignment="1">
      <alignment horizontal="center"/>
    </xf>
    <xf numFmtId="3" fontId="11" fillId="14" borderId="19" xfId="0" applyNumberFormat="1" applyFont="1" applyFill="1" applyBorder="1"/>
    <xf numFmtId="3" fontId="11" fillId="32" borderId="31" xfId="0" applyNumberFormat="1" applyFont="1" applyFill="1" applyBorder="1" applyAlignment="1">
      <alignment horizontal="center"/>
    </xf>
    <xf numFmtId="3" fontId="11" fillId="14" borderId="23" xfId="0" applyNumberFormat="1" applyFont="1" applyFill="1" applyBorder="1" applyAlignment="1">
      <alignment horizontal="center"/>
    </xf>
    <xf numFmtId="3" fontId="11" fillId="32" borderId="12" xfId="0" applyNumberFormat="1" applyFont="1" applyFill="1" applyBorder="1" applyAlignment="1">
      <alignment horizontal="center" vertical="center"/>
    </xf>
    <xf numFmtId="3" fontId="11" fillId="32" borderId="10" xfId="0" applyNumberFormat="1" applyFont="1" applyFill="1" applyBorder="1" applyAlignment="1">
      <alignment horizontal="center" vertical="center"/>
    </xf>
    <xf numFmtId="3" fontId="11" fillId="32" borderId="15" xfId="0" applyNumberFormat="1" applyFont="1" applyFill="1" applyBorder="1" applyAlignment="1">
      <alignment horizontal="center" vertical="center"/>
    </xf>
    <xf numFmtId="3" fontId="11" fillId="14" borderId="18" xfId="0" applyNumberFormat="1" applyFont="1" applyFill="1" applyBorder="1"/>
    <xf numFmtId="3" fontId="11" fillId="32" borderId="23" xfId="0" applyNumberFormat="1" applyFont="1" applyFill="1" applyBorder="1" applyAlignment="1">
      <alignment horizontal="center"/>
    </xf>
    <xf numFmtId="3" fontId="11" fillId="32" borderId="24" xfId="0" applyNumberFormat="1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20" fillId="27" borderId="10" xfId="0" applyFont="1" applyFill="1" applyBorder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15" fillId="22" borderId="0" xfId="0" applyFont="1" applyFill="1" applyAlignment="1">
      <alignment horizontal="center" vertical="top"/>
    </xf>
    <xf numFmtId="0" fontId="1" fillId="15" borderId="52" xfId="0" applyFont="1" applyFill="1" applyBorder="1" applyAlignment="1">
      <alignment horizontal="center"/>
    </xf>
    <xf numFmtId="0" fontId="1" fillId="15" borderId="4" xfId="0" applyFont="1" applyFill="1" applyBorder="1" applyAlignment="1">
      <alignment horizontal="center"/>
    </xf>
    <xf numFmtId="0" fontId="1" fillId="15" borderId="48" xfId="0" applyFont="1" applyFill="1" applyBorder="1" applyAlignment="1">
      <alignment horizontal="center"/>
    </xf>
    <xf numFmtId="0" fontId="1" fillId="9" borderId="52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48" xfId="0" applyFont="1" applyFill="1" applyBorder="1" applyAlignment="1">
      <alignment horizontal="center" vertical="center" wrapText="1"/>
    </xf>
    <xf numFmtId="0" fontId="1" fillId="4" borderId="5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48" xfId="0" applyFont="1" applyFill="1" applyBorder="1" applyAlignment="1">
      <alignment horizontal="center"/>
    </xf>
    <xf numFmtId="0" fontId="2" fillId="21" borderId="82" xfId="0" applyFont="1" applyFill="1" applyBorder="1" applyAlignment="1">
      <alignment horizontal="center" vertical="center" wrapText="1"/>
    </xf>
    <xf numFmtId="0" fontId="2" fillId="21" borderId="8" xfId="0" applyFont="1" applyFill="1" applyBorder="1" applyAlignment="1">
      <alignment horizontal="center" vertical="center" wrapText="1"/>
    </xf>
    <xf numFmtId="0" fontId="2" fillId="21" borderId="79" xfId="0" applyFont="1" applyFill="1" applyBorder="1" applyAlignment="1">
      <alignment horizontal="center" vertical="center" wrapText="1"/>
    </xf>
    <xf numFmtId="14" fontId="2" fillId="21" borderId="6" xfId="0" applyNumberFormat="1" applyFont="1" applyFill="1" applyBorder="1" applyAlignment="1">
      <alignment horizontal="center" vertical="center" wrapText="1"/>
    </xf>
    <xf numFmtId="14" fontId="2" fillId="21" borderId="1" xfId="0" applyNumberFormat="1" applyFont="1" applyFill="1" applyBorder="1" applyAlignment="1">
      <alignment horizontal="center" vertical="center" wrapText="1"/>
    </xf>
    <xf numFmtId="14" fontId="2" fillId="21" borderId="7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7" borderId="36" xfId="0" applyFont="1" applyFill="1" applyBorder="1" applyAlignment="1">
      <alignment horizontal="center" vertical="center" wrapText="1"/>
    </xf>
    <xf numFmtId="0" fontId="2" fillId="17" borderId="46" xfId="0" applyFont="1" applyFill="1" applyBorder="1" applyAlignment="1">
      <alignment horizontal="center" vertical="center" wrapText="1"/>
    </xf>
    <xf numFmtId="0" fontId="2" fillId="17" borderId="42" xfId="0" applyFont="1" applyFill="1" applyBorder="1" applyAlignment="1">
      <alignment horizontal="center" vertical="center" wrapText="1"/>
    </xf>
    <xf numFmtId="14" fontId="2" fillId="17" borderId="47" xfId="0" applyNumberFormat="1" applyFont="1" applyFill="1" applyBorder="1" applyAlignment="1">
      <alignment horizontal="center" vertical="center" wrapText="1"/>
    </xf>
    <xf numFmtId="14" fontId="2" fillId="17" borderId="45" xfId="0" applyNumberFormat="1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7" borderId="78" xfId="0" applyFont="1" applyFill="1" applyBorder="1" applyAlignment="1">
      <alignment horizontal="center" vertical="center" wrapText="1"/>
    </xf>
    <xf numFmtId="0" fontId="2" fillId="13" borderId="49" xfId="0" applyFont="1" applyFill="1" applyBorder="1" applyAlignment="1">
      <alignment horizontal="center" vertical="center" wrapText="1"/>
    </xf>
    <xf numFmtId="0" fontId="2" fillId="13" borderId="78" xfId="0" applyFont="1" applyFill="1" applyBorder="1" applyAlignment="1">
      <alignment horizontal="center" vertical="center" wrapText="1"/>
    </xf>
    <xf numFmtId="0" fontId="2" fillId="16" borderId="17" xfId="0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2" fillId="19" borderId="49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2" fillId="8" borderId="49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12" borderId="49" xfId="0" applyFont="1" applyFill="1" applyBorder="1" applyAlignment="1">
      <alignment horizontal="center" vertical="center" wrapText="1"/>
    </xf>
    <xf numFmtId="0" fontId="2" fillId="12" borderId="78" xfId="0" applyFont="1" applyFill="1" applyBorder="1" applyAlignment="1">
      <alignment horizontal="center" vertical="center" wrapText="1"/>
    </xf>
    <xf numFmtId="0" fontId="2" fillId="17" borderId="45" xfId="0" applyFont="1" applyFill="1" applyBorder="1" applyAlignment="1">
      <alignment horizontal="center" vertical="center" wrapText="1"/>
    </xf>
    <xf numFmtId="14" fontId="2" fillId="10" borderId="47" xfId="0" applyNumberFormat="1" applyFont="1" applyFill="1" applyBorder="1" applyAlignment="1">
      <alignment horizontal="center" vertical="center" wrapText="1"/>
    </xf>
    <xf numFmtId="14" fontId="2" fillId="10" borderId="45" xfId="0" applyNumberFormat="1" applyFont="1" applyFill="1" applyBorder="1" applyAlignment="1">
      <alignment horizontal="center" vertical="center" wrapText="1"/>
    </xf>
    <xf numFmtId="0" fontId="2" fillId="21" borderId="9" xfId="0" applyFont="1" applyFill="1" applyBorder="1" applyAlignment="1">
      <alignment horizontal="center" vertical="center" wrapText="1"/>
    </xf>
    <xf numFmtId="0" fontId="2" fillId="21" borderId="5" xfId="0" applyFont="1" applyFill="1" applyBorder="1" applyAlignment="1">
      <alignment horizontal="center" vertical="center" wrapText="1"/>
    </xf>
    <xf numFmtId="0" fontId="2" fillId="17" borderId="6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7" xfId="0" applyFont="1" applyFill="1" applyBorder="1" applyAlignment="1">
      <alignment horizontal="center" vertical="center" wrapText="1"/>
    </xf>
    <xf numFmtId="0" fontId="1" fillId="9" borderId="32" xfId="0" applyFont="1" applyFill="1" applyBorder="1" applyAlignment="1">
      <alignment horizontal="center" vertical="center" wrapText="1"/>
    </xf>
    <xf numFmtId="0" fontId="1" fillId="9" borderId="33" xfId="0" applyFont="1" applyFill="1" applyBorder="1" applyAlignment="1">
      <alignment horizontal="center" vertical="center" wrapText="1"/>
    </xf>
    <xf numFmtId="0" fontId="1" fillId="9" borderId="44" xfId="0" applyFont="1" applyFill="1" applyBorder="1" applyAlignment="1">
      <alignment horizontal="center" vertical="center" wrapText="1"/>
    </xf>
    <xf numFmtId="0" fontId="1" fillId="4" borderId="32" xfId="0" applyFont="1" applyFill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0" fontId="1" fillId="4" borderId="4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1" fillId="15" borderId="6" xfId="0" applyFont="1" applyFill="1" applyBorder="1" applyAlignment="1">
      <alignment horizontal="center"/>
    </xf>
    <xf numFmtId="0" fontId="1" fillId="14" borderId="32" xfId="0" applyFont="1" applyFill="1" applyBorder="1" applyAlignment="1">
      <alignment horizontal="center"/>
    </xf>
    <xf numFmtId="0" fontId="1" fillId="14" borderId="33" xfId="0" applyFont="1" applyFill="1" applyBorder="1" applyAlignment="1">
      <alignment horizontal="center"/>
    </xf>
    <xf numFmtId="0" fontId="1" fillId="14" borderId="44" xfId="0" applyFont="1" applyFill="1" applyBorder="1" applyAlignment="1">
      <alignment horizontal="center"/>
    </xf>
    <xf numFmtId="0" fontId="16" fillId="22" borderId="5" xfId="0" applyFont="1" applyFill="1" applyBorder="1" applyAlignment="1">
      <alignment horizontal="center"/>
    </xf>
    <xf numFmtId="0" fontId="2" fillId="17" borderId="22" xfId="0" applyFont="1" applyFill="1" applyBorder="1" applyAlignment="1">
      <alignment horizontal="center" vertical="center" wrapText="1"/>
    </xf>
    <xf numFmtId="0" fontId="2" fillId="17" borderId="27" xfId="0" applyFont="1" applyFill="1" applyBorder="1" applyAlignment="1">
      <alignment horizontal="center" vertical="center" wrapText="1"/>
    </xf>
    <xf numFmtId="0" fontId="2" fillId="17" borderId="28" xfId="0" applyFont="1" applyFill="1" applyBorder="1" applyAlignment="1">
      <alignment horizontal="center" vertical="center" wrapText="1"/>
    </xf>
    <xf numFmtId="0" fontId="2" fillId="17" borderId="83" xfId="0" applyFont="1" applyFill="1" applyBorder="1" applyAlignment="1">
      <alignment horizontal="center" vertical="center" wrapText="1"/>
    </xf>
    <xf numFmtId="0" fontId="2" fillId="17" borderId="84" xfId="0" applyFont="1" applyFill="1" applyBorder="1" applyAlignment="1">
      <alignment horizontal="center" vertical="center" wrapText="1"/>
    </xf>
    <xf numFmtId="0" fontId="2" fillId="17" borderId="85" xfId="0" applyFont="1" applyFill="1" applyBorder="1" applyAlignment="1">
      <alignment horizontal="center" vertical="center" wrapText="1"/>
    </xf>
    <xf numFmtId="14" fontId="2" fillId="17" borderId="11" xfId="0" applyNumberFormat="1" applyFont="1" applyFill="1" applyBorder="1" applyAlignment="1">
      <alignment horizontal="center" vertical="center" wrapText="1"/>
    </xf>
    <xf numFmtId="0" fontId="2" fillId="17" borderId="17" xfId="0" applyFont="1" applyFill="1" applyBorder="1" applyAlignment="1">
      <alignment horizontal="center" vertical="center" wrapText="1"/>
    </xf>
    <xf numFmtId="14" fontId="2" fillId="17" borderId="53" xfId="0" applyNumberFormat="1" applyFont="1" applyFill="1" applyBorder="1" applyAlignment="1">
      <alignment horizontal="center" vertical="center" wrapText="1"/>
    </xf>
    <xf numFmtId="0" fontId="3" fillId="12" borderId="52" xfId="0" applyFont="1" applyFill="1" applyBorder="1" applyAlignment="1">
      <alignment horizontal="center" vertical="center" wrapText="1"/>
    </xf>
    <xf numFmtId="0" fontId="3" fillId="12" borderId="48" xfId="0" applyFont="1" applyFill="1" applyBorder="1" applyAlignment="1">
      <alignment horizontal="center" vertical="center" wrapText="1"/>
    </xf>
    <xf numFmtId="0" fontId="2" fillId="18" borderId="61" xfId="0" applyFont="1" applyFill="1" applyBorder="1" applyAlignment="1">
      <alignment horizontal="center" vertical="center" wrapText="1"/>
    </xf>
    <xf numFmtId="0" fontId="2" fillId="18" borderId="60" xfId="0" applyFont="1" applyFill="1" applyBorder="1" applyAlignment="1">
      <alignment horizontal="center" vertical="center" wrapText="1"/>
    </xf>
    <xf numFmtId="0" fontId="2" fillId="16" borderId="66" xfId="0" applyFont="1" applyFill="1" applyBorder="1" applyAlignment="1">
      <alignment horizontal="center" vertical="center" wrapText="1"/>
    </xf>
    <xf numFmtId="0" fontId="2" fillId="16" borderId="25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13" borderId="61" xfId="0" applyFont="1" applyFill="1" applyBorder="1" applyAlignment="1">
      <alignment horizontal="center" vertical="center" wrapText="1"/>
    </xf>
    <xf numFmtId="0" fontId="3" fillId="13" borderId="6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19" borderId="4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 vertical="center" wrapText="1"/>
    </xf>
    <xf numFmtId="167" fontId="1" fillId="0" borderId="10" xfId="2" applyNumberFormat="1" applyFont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167" fontId="1" fillId="0" borderId="26" xfId="2" applyNumberFormat="1" applyFont="1" applyBorder="1" applyAlignment="1">
      <alignment horizontal="center"/>
    </xf>
    <xf numFmtId="167" fontId="1" fillId="0" borderId="31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7" fontId="1" fillId="0" borderId="10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11" borderId="51" xfId="0" applyFon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0" borderId="0" xfId="0" applyNumberFormat="1"/>
    <xf numFmtId="3" fontId="0" fillId="11" borderId="10" xfId="0" applyNumberFormat="1" applyFont="1" applyFill="1" applyBorder="1" applyAlignment="1">
      <alignment horizontal="center" vertical="center" wrapText="1"/>
    </xf>
    <xf numFmtId="0" fontId="0" fillId="0" borderId="52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48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64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16" xfId="0" applyNumberForma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0" fontId="0" fillId="21" borderId="90" xfId="0" applyFill="1" applyBorder="1" applyAlignment="1"/>
    <xf numFmtId="0" fontId="0" fillId="15" borderId="22" xfId="0" applyFill="1" applyBorder="1" applyAlignment="1"/>
    <xf numFmtId="0" fontId="0" fillId="8" borderId="6" xfId="0" applyNumberFormat="1" applyFont="1" applyFill="1" applyBorder="1" applyAlignment="1">
      <alignment horizontal="center"/>
    </xf>
    <xf numFmtId="0" fontId="0" fillId="8" borderId="1" xfId="0" applyNumberFormat="1" applyFont="1" applyFill="1" applyBorder="1" applyAlignment="1">
      <alignment horizontal="center"/>
    </xf>
    <xf numFmtId="0" fontId="0" fillId="8" borderId="7" xfId="0" applyNumberFormat="1" applyFont="1" applyFill="1" applyBorder="1"/>
    <xf numFmtId="0" fontId="0" fillId="8" borderId="90" xfId="0" applyFont="1" applyFill="1" applyBorder="1"/>
    <xf numFmtId="3" fontId="0" fillId="8" borderId="0" xfId="0" applyNumberFormat="1" applyFill="1" applyBorder="1" applyAlignment="1">
      <alignment horizontal="center"/>
    </xf>
  </cellXfs>
  <cellStyles count="7">
    <cellStyle name="Millares 2" xfId="5" xr:uid="{2C68F984-66DD-4E9A-9396-C2F9F3FE6657}"/>
    <cellStyle name="Moneda" xfId="2" builtinId="4"/>
    <cellStyle name="Moneda 2" xfId="6" xr:uid="{2D6706FF-A95C-4230-993C-F7065A8E9301}"/>
    <cellStyle name="Normal" xfId="0" builtinId="0"/>
    <cellStyle name="Normal 2" xfId="3" xr:uid="{9A1E587F-2BA3-4FF7-B696-67E326A2487C}"/>
    <cellStyle name="Normal 3" xfId="4" xr:uid="{F3EA175A-61D6-4DB8-A9C2-FE2C6568079F}"/>
    <cellStyle name="Porcentaje 2" xfId="1" xr:uid="{9BABFD08-0A55-4FCC-BE37-D74FD39BB202}"/>
  </cellStyles>
  <dxfs count="596"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</dxf>
    <dxf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numFmt numFmtId="1" formatCode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</dxf>
    <dxf>
      <numFmt numFmtId="1" formatCode="0"/>
    </dxf>
    <dxf>
      <numFmt numFmtId="1" formatCode="0"/>
    </dxf>
    <dxf>
      <numFmt numFmtId="1" formatCode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/>
      </border>
    </dxf>
    <dxf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border>
        <left style="medium">
          <color indexed="64"/>
        </lef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alignment horizontal="center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/>
        <top/>
        <bottom/>
        <vertical/>
      </border>
    </dxf>
    <dxf>
      <border>
        <right/>
        <top/>
        <bottom/>
        <vertic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numFmt numFmtId="3" formatCode="#,##0"/>
    </dxf>
    <dxf>
      <alignment horizontal="center"/>
    </dxf>
    <dxf>
      <font>
        <b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</font>
    </dxf>
    <dxf>
      <alignment horizontal="general"/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fgColor theme="8" tint="0.79998168889431442"/>
        </patternFill>
      </fill>
    </dxf>
    <dxf>
      <font>
        <b/>
      </font>
      <fill>
        <patternFill patternType="none">
          <fgColor indexed="64"/>
          <bgColor indexed="65"/>
        </patternFill>
      </fill>
      <alignment horizontal="left" vertical="top"/>
    </dxf>
    <dxf>
      <font>
        <b/>
      </font>
      <fill>
        <patternFill patternType="solid">
          <fgColor indexed="64"/>
          <bgColor theme="9" tint="0.79998168889431442"/>
        </patternFill>
      </fill>
      <alignment vertical="center" wrapText="1"/>
    </dxf>
    <dxf>
      <numFmt numFmtId="3" formatCode="#,##0"/>
    </dxf>
    <dxf>
      <alignment vertical="top"/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font>
        <b/>
      </font>
    </dxf>
    <dxf>
      <alignment horizontal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</font>
      <alignment horizontal="left" vertical="top" wrapText="1"/>
    </dxf>
    <dxf>
      <font>
        <b/>
      </font>
      <fill>
        <patternFill patternType="solid">
          <fgColor indexed="64"/>
          <bgColor theme="8" tint="0.79998168889431442"/>
        </patternFill>
      </fill>
      <alignment vertical="center" wrapText="1"/>
    </dxf>
    <dxf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fill>
        <patternFill>
          <bgColor theme="4" tint="0.39997558519241921"/>
        </patternFill>
      </fill>
    </dxf>
    <dxf>
      <border>
        <right style="thin">
          <color indexed="64"/>
        </right>
        <bottom style="thin">
          <color indexed="64"/>
        </bottom>
        <horizontal style="thin">
          <color indexed="64"/>
        </horizontal>
      </border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59999389629810485"/>
        </patternFill>
      </fill>
    </dxf>
    <dxf>
      <alignment vertical="center"/>
    </dxf>
    <dxf>
      <alignment horizontal="center"/>
    </dxf>
    <dxf>
      <alignment wrapText="1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00FF0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</font>
      <fill>
        <patternFill patternType="solid">
          <fgColor indexed="64"/>
          <bgColor theme="9" tint="0.79998168889431442"/>
        </patternFill>
      </fill>
      <alignment horizontal="center" vertical="center" wrapText="1"/>
    </dxf>
    <dxf>
      <alignment horizontal="center"/>
    </dxf>
    <dxf>
      <alignment vertical="center"/>
    </dxf>
    <dxf>
      <alignment horizont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>
          <fgColor indexed="64"/>
          <bgColor theme="8" tint="0.79998168889431442"/>
        </patternFill>
      </fill>
      <alignment wrapText="1"/>
    </dxf>
    <dxf>
      <numFmt numFmtId="166" formatCode="&quot;$&quot;\ #,##0"/>
    </dxf>
    <dxf>
      <font>
        <b/>
        <sz val="18"/>
      </font>
      <fill>
        <patternFill>
          <fgColor theme="0" tint="-0.14999847407452621"/>
        </patternFill>
      </fill>
      <alignment horizontal="center" vertical="center"/>
    </dxf>
    <dxf>
      <font>
        <b/>
        <sz val="18"/>
      </font>
      <fill>
        <patternFill>
          <fgColor theme="0" tint="-0.14999847407452621"/>
        </patternFill>
      </fill>
      <alignment horizontal="center" vertical="center"/>
    </dxf>
    <dxf>
      <numFmt numFmtId="3" formatCode="#,##0"/>
    </dxf>
    <dxf>
      <numFmt numFmtId="167" formatCode="_-&quot;$&quot;\ * #,##0_-;\-&quot;$&quot;\ * #,##0_-;_-&quot;$&quot;\ * &quot;-&quot;??_-;_-@_-"/>
    </dxf>
    <dxf>
      <numFmt numFmtId="167" formatCode="_-&quot;$&quot;\ * #,##0_-;\-&quot;$&quot;\ * #,##0_-;_-&quot;$&quot;\ * &quot;-&quot;??_-;_-@_-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vertical="center"/>
    </dxf>
    <dxf>
      <alignment wrapText="1"/>
    </dxf>
    <dxf>
      <numFmt numFmtId="3" formatCode="#,##0"/>
    </dxf>
    <dxf>
      <fill>
        <patternFill patternType="solid">
          <fgColor indexed="64"/>
          <bgColor theme="8" tint="0.79998168889431442"/>
        </patternFill>
      </fill>
    </dxf>
    <dxf>
      <alignment horizontal="center"/>
    </dxf>
    <dxf>
      <alignment wrapText="1"/>
    </dxf>
    <dxf>
      <alignment wrapText="1"/>
    </dxf>
    <dxf>
      <numFmt numFmtId="166" formatCode="&quot;$&quot;\ #,##0"/>
    </dxf>
    <dxf>
      <numFmt numFmtId="167" formatCode="_-&quot;$&quot;\ * #,##0_-;\-&quot;$&quot;\ * #,##0_-;_-&quot;$&quot;\ * &quot;-&quot;??_-;_-@_-"/>
    </dxf>
    <dxf>
      <fill>
        <patternFill patternType="solid">
          <fgColor indexed="64"/>
          <bgColor theme="8" tint="0.79998168889431442"/>
        </patternFill>
      </fill>
      <alignment horizontal="center"/>
    </dxf>
    <dxf>
      <fill>
        <patternFill>
          <fgColor theme="4" tint="0.79998168889431442"/>
        </patternFill>
      </fill>
    </dxf>
    <dxf>
      <fill>
        <patternFill>
          <bgColor theme="8" tint="0.79998168889431442"/>
        </patternFill>
      </fill>
    </dxf>
    <dxf>
      <alignment wrapText="1"/>
    </dxf>
    <dxf>
      <numFmt numFmtId="3" formatCode="#,##0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ill>
        <patternFill patternType="solid"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[$$-240A]\ 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numFmt numFmtId="165" formatCode="[$$-240A]\ #,##0"/>
      <fill>
        <patternFill patternType="solid">
          <fgColor indexed="64"/>
          <bgColor theme="5" tint="0.79998168889431442"/>
        </patternFill>
      </fill>
    </dxf>
    <dxf>
      <numFmt numFmtId="165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indent="0" justifyLastLine="0" shrinkToFit="0" readingOrder="0"/>
      <border>
        <left style="thin">
          <color indexed="64"/>
        </left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textRotation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2" formatCode="_-&quot;$&quot;\ * #,##0_-;\-&quot;$&quot;\ * #,##0_-;_-&quot;$&quot;\ * &quot;-&quot;_-;_-@_-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0" formatCode="General"/>
      <alignment horizontal="center" textRotation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textRotation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" formatCode="0"/>
      <alignment horizontal="center" textRotation="0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outline="0"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5" tint="0.3999755851924192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  <color rgb="FFFF9900"/>
      <color rgb="FF47C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MARZO 2026.xlsx]DB QUIMICA!TablaDinámica2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QUIMÍCA PPM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</c:pivotFmt>
      <c:pivotFmt>
        <c:idx val="5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8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bg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60000"/>
              <a:lumOff val="4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40000"/>
              <a:lumOff val="60000"/>
            </a:schemeClr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</c:pivotFmt>
      <c:pivotFmt>
        <c:idx val="31"/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QUIMICA'!$N$4</c:f>
              <c:strCache>
                <c:ptCount val="1"/>
                <c:pt idx="0">
                  <c:v> COF 235 - PPM COAGULANTE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1/03/2026</c:v>
                </c:pt>
                <c:pt idx="2">
                  <c:v>2/03/2026</c:v>
                </c:pt>
                <c:pt idx="3">
                  <c:v>3/03/2026</c:v>
                </c:pt>
                <c:pt idx="4">
                  <c:v>4/03/2026</c:v>
                </c:pt>
                <c:pt idx="5">
                  <c:v>5/03/2026</c:v>
                </c:pt>
                <c:pt idx="6">
                  <c:v>6/03/2026</c:v>
                </c:pt>
                <c:pt idx="7">
                  <c:v>7/03/2026</c:v>
                </c:pt>
                <c:pt idx="8">
                  <c:v>8/03/2026</c:v>
                </c:pt>
                <c:pt idx="9">
                  <c:v>9/03/2026</c:v>
                </c:pt>
                <c:pt idx="10">
                  <c:v>10/03/2026</c:v>
                </c:pt>
                <c:pt idx="11">
                  <c:v>11/03/2026</c:v>
                </c:pt>
                <c:pt idx="12">
                  <c:v>12/03/2026</c:v>
                </c:pt>
                <c:pt idx="13">
                  <c:v>13/03/2026</c:v>
                </c:pt>
                <c:pt idx="14">
                  <c:v>14/03/2026</c:v>
                </c:pt>
                <c:pt idx="15">
                  <c:v>15/03/2026</c:v>
                </c:pt>
                <c:pt idx="16">
                  <c:v>16/03/2026</c:v>
                </c:pt>
                <c:pt idx="17">
                  <c:v>17/03/2026</c:v>
                </c:pt>
                <c:pt idx="18">
                  <c:v>18/03/2026</c:v>
                </c:pt>
                <c:pt idx="19">
                  <c:v>19/03/2026</c:v>
                </c:pt>
                <c:pt idx="20">
                  <c:v>20/03/2026</c:v>
                </c:pt>
                <c:pt idx="21">
                  <c:v>21/03/2026</c:v>
                </c:pt>
                <c:pt idx="22">
                  <c:v>22/03/2026</c:v>
                </c:pt>
                <c:pt idx="23">
                  <c:v>23/03/2026</c:v>
                </c:pt>
                <c:pt idx="24">
                  <c:v>24/03/2026</c:v>
                </c:pt>
                <c:pt idx="25">
                  <c:v>25/03/2026</c:v>
                </c:pt>
                <c:pt idx="26">
                  <c:v>26/03/2026</c:v>
                </c:pt>
                <c:pt idx="27">
                  <c:v>27/03/2026</c:v>
                </c:pt>
                <c:pt idx="28">
                  <c:v>28/03/2026</c:v>
                </c:pt>
                <c:pt idx="29">
                  <c:v>29/03/2026</c:v>
                </c:pt>
                <c:pt idx="30">
                  <c:v>30/03/2026</c:v>
                </c:pt>
                <c:pt idx="31">
                  <c:v>31/03/2026</c:v>
                </c:pt>
              </c:strCache>
            </c:strRef>
          </c:cat>
          <c:val>
            <c:numRef>
              <c:f>'DB QUIMICA'!$N$5:$N$37</c:f>
              <c:numCache>
                <c:formatCode>#,##0</c:formatCode>
                <c:ptCount val="32"/>
                <c:pt idx="0">
                  <c:v>-5.3760923845193505</c:v>
                </c:pt>
                <c:pt idx="1">
                  <c:v>0</c:v>
                </c:pt>
                <c:pt idx="2">
                  <c:v>372.65625</c:v>
                </c:pt>
                <c:pt idx="3">
                  <c:v>322.04861111111109</c:v>
                </c:pt>
                <c:pt idx="4">
                  <c:v>339.53125</c:v>
                </c:pt>
                <c:pt idx="5">
                  <c:v>496.875</c:v>
                </c:pt>
                <c:pt idx="6">
                  <c:v>575.32894736842104</c:v>
                </c:pt>
                <c:pt idx="7">
                  <c:v>652.1484375</c:v>
                </c:pt>
                <c:pt idx="8">
                  <c:v>0</c:v>
                </c:pt>
                <c:pt idx="9">
                  <c:v>714.8026315789474</c:v>
                </c:pt>
                <c:pt idx="10">
                  <c:v>523.02631578947364</c:v>
                </c:pt>
                <c:pt idx="11">
                  <c:v>973.046875</c:v>
                </c:pt>
                <c:pt idx="12">
                  <c:v>732.23684210526312</c:v>
                </c:pt>
                <c:pt idx="13">
                  <c:v>486.5234375</c:v>
                </c:pt>
                <c:pt idx="14">
                  <c:v>351.953125</c:v>
                </c:pt>
                <c:pt idx="15">
                  <c:v>0</c:v>
                </c:pt>
                <c:pt idx="16">
                  <c:v>819.79891724671302</c:v>
                </c:pt>
                <c:pt idx="17">
                  <c:v>563.125</c:v>
                </c:pt>
                <c:pt idx="18">
                  <c:v>450.14771048744461</c:v>
                </c:pt>
                <c:pt idx="19">
                  <c:v>364.375</c:v>
                </c:pt>
                <c:pt idx="20">
                  <c:v>520.53571428571433</c:v>
                </c:pt>
                <c:pt idx="21">
                  <c:v>376.22005323868677</c:v>
                </c:pt>
                <c:pt idx="22">
                  <c:v>0</c:v>
                </c:pt>
                <c:pt idx="23">
                  <c:v>276.04166666666669</c:v>
                </c:pt>
                <c:pt idx="24">
                  <c:v>266.02316602316603</c:v>
                </c:pt>
                <c:pt idx="25">
                  <c:v>342.29166666666669</c:v>
                </c:pt>
                <c:pt idx="26">
                  <c:v>204.59558823529412</c:v>
                </c:pt>
                <c:pt idx="27">
                  <c:v>390.40178571428572</c:v>
                </c:pt>
                <c:pt idx="28">
                  <c:v>427.13815789473682</c:v>
                </c:pt>
                <c:pt idx="29">
                  <c:v>220.83333333333334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0C-4791-AEF5-6F0BB149EC90}"/>
            </c:ext>
          </c:extLst>
        </c:ser>
        <c:ser>
          <c:idx val="2"/>
          <c:order val="2"/>
          <c:tx>
            <c:strRef>
              <c:f>'DB QUIMICA'!$O$4</c:f>
              <c:strCache>
                <c:ptCount val="1"/>
                <c:pt idx="0">
                  <c:v> COF 255 - PPM DECOLORANTE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1/03/2026</c:v>
                </c:pt>
                <c:pt idx="2">
                  <c:v>2/03/2026</c:v>
                </c:pt>
                <c:pt idx="3">
                  <c:v>3/03/2026</c:v>
                </c:pt>
                <c:pt idx="4">
                  <c:v>4/03/2026</c:v>
                </c:pt>
                <c:pt idx="5">
                  <c:v>5/03/2026</c:v>
                </c:pt>
                <c:pt idx="6">
                  <c:v>6/03/2026</c:v>
                </c:pt>
                <c:pt idx="7">
                  <c:v>7/03/2026</c:v>
                </c:pt>
                <c:pt idx="8">
                  <c:v>8/03/2026</c:v>
                </c:pt>
                <c:pt idx="9">
                  <c:v>9/03/2026</c:v>
                </c:pt>
                <c:pt idx="10">
                  <c:v>10/03/2026</c:v>
                </c:pt>
                <c:pt idx="11">
                  <c:v>11/03/2026</c:v>
                </c:pt>
                <c:pt idx="12">
                  <c:v>12/03/2026</c:v>
                </c:pt>
                <c:pt idx="13">
                  <c:v>13/03/2026</c:v>
                </c:pt>
                <c:pt idx="14">
                  <c:v>14/03/2026</c:v>
                </c:pt>
                <c:pt idx="15">
                  <c:v>15/03/2026</c:v>
                </c:pt>
                <c:pt idx="16">
                  <c:v>16/03/2026</c:v>
                </c:pt>
                <c:pt idx="17">
                  <c:v>17/03/2026</c:v>
                </c:pt>
                <c:pt idx="18">
                  <c:v>18/03/2026</c:v>
                </c:pt>
                <c:pt idx="19">
                  <c:v>19/03/2026</c:v>
                </c:pt>
                <c:pt idx="20">
                  <c:v>20/03/2026</c:v>
                </c:pt>
                <c:pt idx="21">
                  <c:v>21/03/2026</c:v>
                </c:pt>
                <c:pt idx="22">
                  <c:v>22/03/2026</c:v>
                </c:pt>
                <c:pt idx="23">
                  <c:v>23/03/2026</c:v>
                </c:pt>
                <c:pt idx="24">
                  <c:v>24/03/2026</c:v>
                </c:pt>
                <c:pt idx="25">
                  <c:v>25/03/2026</c:v>
                </c:pt>
                <c:pt idx="26">
                  <c:v>26/03/2026</c:v>
                </c:pt>
                <c:pt idx="27">
                  <c:v>27/03/2026</c:v>
                </c:pt>
                <c:pt idx="28">
                  <c:v>28/03/2026</c:v>
                </c:pt>
                <c:pt idx="29">
                  <c:v>29/03/2026</c:v>
                </c:pt>
                <c:pt idx="30">
                  <c:v>30/03/2026</c:v>
                </c:pt>
                <c:pt idx="31">
                  <c:v>31/03/2026</c:v>
                </c:pt>
              </c:strCache>
            </c:strRef>
          </c:cat>
          <c:val>
            <c:numRef>
              <c:f>'DB QUIMICA'!$O$5:$O$37</c:f>
              <c:numCache>
                <c:formatCode>#,##0</c:formatCode>
                <c:ptCount val="32"/>
                <c:pt idx="0">
                  <c:v>-3.7949721938485985</c:v>
                </c:pt>
                <c:pt idx="1">
                  <c:v>0</c:v>
                </c:pt>
                <c:pt idx="2">
                  <c:v>343.75</c:v>
                </c:pt>
                <c:pt idx="3">
                  <c:v>130.20833333333334</c:v>
                </c:pt>
                <c:pt idx="4">
                  <c:v>203.125</c:v>
                </c:pt>
                <c:pt idx="5">
                  <c:v>220.17045454545453</c:v>
                </c:pt>
                <c:pt idx="6">
                  <c:v>148.02631578947367</c:v>
                </c:pt>
                <c:pt idx="7">
                  <c:v>273.4375</c:v>
                </c:pt>
                <c:pt idx="8">
                  <c:v>0</c:v>
                </c:pt>
                <c:pt idx="9">
                  <c:v>197.36842105263159</c:v>
                </c:pt>
                <c:pt idx="10">
                  <c:v>213.81578947368422</c:v>
                </c:pt>
                <c:pt idx="11">
                  <c:v>263.671875</c:v>
                </c:pt>
                <c:pt idx="12">
                  <c:v>246.71052631578948</c:v>
                </c:pt>
                <c:pt idx="13">
                  <c:v>195.3125</c:v>
                </c:pt>
                <c:pt idx="14">
                  <c:v>97.65625</c:v>
                </c:pt>
                <c:pt idx="15">
                  <c:v>0</c:v>
                </c:pt>
                <c:pt idx="16">
                  <c:v>145.01160092807424</c:v>
                </c:pt>
                <c:pt idx="17">
                  <c:v>197.91666666666666</c:v>
                </c:pt>
                <c:pt idx="18">
                  <c:v>156.9423929098966</c:v>
                </c:pt>
                <c:pt idx="19">
                  <c:v>145.83333333333334</c:v>
                </c:pt>
                <c:pt idx="20">
                  <c:v>267.85714285714283</c:v>
                </c:pt>
                <c:pt idx="21">
                  <c:v>122.00532386867791</c:v>
                </c:pt>
                <c:pt idx="22">
                  <c:v>0</c:v>
                </c:pt>
                <c:pt idx="23">
                  <c:v>173.61111111111111</c:v>
                </c:pt>
                <c:pt idx="24">
                  <c:v>96.525096525096529</c:v>
                </c:pt>
                <c:pt idx="25">
                  <c:v>125</c:v>
                </c:pt>
                <c:pt idx="26">
                  <c:v>91.911764705882348</c:v>
                </c:pt>
                <c:pt idx="27">
                  <c:v>145.08928571428572</c:v>
                </c:pt>
                <c:pt idx="28">
                  <c:v>131.57894736842104</c:v>
                </c:pt>
                <c:pt idx="29">
                  <c:v>26.041666666666668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0C-4791-AEF5-6F0BB149EC90}"/>
            </c:ext>
          </c:extLst>
        </c:ser>
        <c:ser>
          <c:idx val="3"/>
          <c:order val="3"/>
          <c:tx>
            <c:strRef>
              <c:f>'DB QUIMICA'!$P$4</c:f>
              <c:strCache>
                <c:ptCount val="1"/>
                <c:pt idx="0">
                  <c:v>COF 280 - PPM ACIDO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1/03/2026</c:v>
                </c:pt>
                <c:pt idx="2">
                  <c:v>2/03/2026</c:v>
                </c:pt>
                <c:pt idx="3">
                  <c:v>3/03/2026</c:v>
                </c:pt>
                <c:pt idx="4">
                  <c:v>4/03/2026</c:v>
                </c:pt>
                <c:pt idx="5">
                  <c:v>5/03/2026</c:v>
                </c:pt>
                <c:pt idx="6">
                  <c:v>6/03/2026</c:v>
                </c:pt>
                <c:pt idx="7">
                  <c:v>7/03/2026</c:v>
                </c:pt>
                <c:pt idx="8">
                  <c:v>8/03/2026</c:v>
                </c:pt>
                <c:pt idx="9">
                  <c:v>9/03/2026</c:v>
                </c:pt>
                <c:pt idx="10">
                  <c:v>10/03/2026</c:v>
                </c:pt>
                <c:pt idx="11">
                  <c:v>11/03/2026</c:v>
                </c:pt>
                <c:pt idx="12">
                  <c:v>12/03/2026</c:v>
                </c:pt>
                <c:pt idx="13">
                  <c:v>13/03/2026</c:v>
                </c:pt>
                <c:pt idx="14">
                  <c:v>14/03/2026</c:v>
                </c:pt>
                <c:pt idx="15">
                  <c:v>15/03/2026</c:v>
                </c:pt>
                <c:pt idx="16">
                  <c:v>16/03/2026</c:v>
                </c:pt>
                <c:pt idx="17">
                  <c:v>17/03/2026</c:v>
                </c:pt>
                <c:pt idx="18">
                  <c:v>18/03/2026</c:v>
                </c:pt>
                <c:pt idx="19">
                  <c:v>19/03/2026</c:v>
                </c:pt>
                <c:pt idx="20">
                  <c:v>20/03/2026</c:v>
                </c:pt>
                <c:pt idx="21">
                  <c:v>21/03/2026</c:v>
                </c:pt>
                <c:pt idx="22">
                  <c:v>22/03/2026</c:v>
                </c:pt>
                <c:pt idx="23">
                  <c:v>23/03/2026</c:v>
                </c:pt>
                <c:pt idx="24">
                  <c:v>24/03/2026</c:v>
                </c:pt>
                <c:pt idx="25">
                  <c:v>25/03/2026</c:v>
                </c:pt>
                <c:pt idx="26">
                  <c:v>26/03/2026</c:v>
                </c:pt>
                <c:pt idx="27">
                  <c:v>27/03/2026</c:v>
                </c:pt>
                <c:pt idx="28">
                  <c:v>28/03/2026</c:v>
                </c:pt>
                <c:pt idx="29">
                  <c:v>29/03/2026</c:v>
                </c:pt>
                <c:pt idx="30">
                  <c:v>30/03/2026</c:v>
                </c:pt>
                <c:pt idx="31">
                  <c:v>31/03/2026</c:v>
                </c:pt>
              </c:strCache>
            </c:strRef>
          </c:cat>
          <c:val>
            <c:numRef>
              <c:f>'DB QUIMICA'!$P$5:$P$37</c:f>
              <c:numCache>
                <c:formatCode>#,##0</c:formatCode>
                <c:ptCount val="32"/>
                <c:pt idx="0">
                  <c:v>-2.5635569174895019</c:v>
                </c:pt>
                <c:pt idx="1">
                  <c:v>0</c:v>
                </c:pt>
                <c:pt idx="2">
                  <c:v>390</c:v>
                </c:pt>
                <c:pt idx="3">
                  <c:v>0</c:v>
                </c:pt>
                <c:pt idx="4">
                  <c:v>373.75</c:v>
                </c:pt>
                <c:pt idx="5">
                  <c:v>450.56818181818181</c:v>
                </c:pt>
                <c:pt idx="6">
                  <c:v>521.71052631578948</c:v>
                </c:pt>
                <c:pt idx="7">
                  <c:v>1046.09375</c:v>
                </c:pt>
                <c:pt idx="8">
                  <c:v>0</c:v>
                </c:pt>
                <c:pt idx="9">
                  <c:v>615.78947368421052</c:v>
                </c:pt>
                <c:pt idx="10">
                  <c:v>478.94736842105266</c:v>
                </c:pt>
                <c:pt idx="11">
                  <c:v>650</c:v>
                </c:pt>
                <c:pt idx="12">
                  <c:v>290.78947368421052</c:v>
                </c:pt>
                <c:pt idx="13">
                  <c:v>365.625</c:v>
                </c:pt>
                <c:pt idx="14">
                  <c:v>213.28125</c:v>
                </c:pt>
                <c:pt idx="15">
                  <c:v>0</c:v>
                </c:pt>
                <c:pt idx="16">
                  <c:v>301.62412993039442</c:v>
                </c:pt>
                <c:pt idx="17">
                  <c:v>455</c:v>
                </c:pt>
                <c:pt idx="18">
                  <c:v>652.88035450516986</c:v>
                </c:pt>
                <c:pt idx="19">
                  <c:v>314.16666666666669</c:v>
                </c:pt>
                <c:pt idx="20">
                  <c:v>150.89285714285714</c:v>
                </c:pt>
                <c:pt idx="21">
                  <c:v>392.19165927240459</c:v>
                </c:pt>
                <c:pt idx="22">
                  <c:v>0</c:v>
                </c:pt>
                <c:pt idx="23">
                  <c:v>180.55555555555554</c:v>
                </c:pt>
                <c:pt idx="24">
                  <c:v>120.46332046332046</c:v>
                </c:pt>
                <c:pt idx="25">
                  <c:v>303.33333333333331</c:v>
                </c:pt>
                <c:pt idx="26">
                  <c:v>286.76470588235293</c:v>
                </c:pt>
                <c:pt idx="27">
                  <c:v>290.17857142857144</c:v>
                </c:pt>
                <c:pt idx="28">
                  <c:v>299.34210526315792</c:v>
                </c:pt>
                <c:pt idx="29">
                  <c:v>54.166666666666664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0C-4791-AEF5-6F0BB149EC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753677104"/>
        <c:axId val="753677464"/>
      </c:barChart>
      <c:lineChart>
        <c:grouping val="standard"/>
        <c:varyColors val="0"/>
        <c:ser>
          <c:idx val="0"/>
          <c:order val="0"/>
          <c:tx>
            <c:strRef>
              <c:f>'DB QUIMICA'!$M$4</c:f>
              <c:strCache>
                <c:ptCount val="1"/>
                <c:pt idx="0">
                  <c:v> CAUDAL TOTAL TRATADO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1/03/2026</c:v>
                </c:pt>
                <c:pt idx="2">
                  <c:v>2/03/2026</c:v>
                </c:pt>
                <c:pt idx="3">
                  <c:v>3/03/2026</c:v>
                </c:pt>
                <c:pt idx="4">
                  <c:v>4/03/2026</c:v>
                </c:pt>
                <c:pt idx="5">
                  <c:v>5/03/2026</c:v>
                </c:pt>
                <c:pt idx="6">
                  <c:v>6/03/2026</c:v>
                </c:pt>
                <c:pt idx="7">
                  <c:v>7/03/2026</c:v>
                </c:pt>
                <c:pt idx="8">
                  <c:v>8/03/2026</c:v>
                </c:pt>
                <c:pt idx="9">
                  <c:v>9/03/2026</c:v>
                </c:pt>
                <c:pt idx="10">
                  <c:v>10/03/2026</c:v>
                </c:pt>
                <c:pt idx="11">
                  <c:v>11/03/2026</c:v>
                </c:pt>
                <c:pt idx="12">
                  <c:v>12/03/2026</c:v>
                </c:pt>
                <c:pt idx="13">
                  <c:v>13/03/2026</c:v>
                </c:pt>
                <c:pt idx="14">
                  <c:v>14/03/2026</c:v>
                </c:pt>
                <c:pt idx="15">
                  <c:v>15/03/2026</c:v>
                </c:pt>
                <c:pt idx="16">
                  <c:v>16/03/2026</c:v>
                </c:pt>
                <c:pt idx="17">
                  <c:v>17/03/2026</c:v>
                </c:pt>
                <c:pt idx="18">
                  <c:v>18/03/2026</c:v>
                </c:pt>
                <c:pt idx="19">
                  <c:v>19/03/2026</c:v>
                </c:pt>
                <c:pt idx="20">
                  <c:v>20/03/2026</c:v>
                </c:pt>
                <c:pt idx="21">
                  <c:v>21/03/2026</c:v>
                </c:pt>
                <c:pt idx="22">
                  <c:v>22/03/2026</c:v>
                </c:pt>
                <c:pt idx="23">
                  <c:v>23/03/2026</c:v>
                </c:pt>
                <c:pt idx="24">
                  <c:v>24/03/2026</c:v>
                </c:pt>
                <c:pt idx="25">
                  <c:v>25/03/2026</c:v>
                </c:pt>
                <c:pt idx="26">
                  <c:v>26/03/2026</c:v>
                </c:pt>
                <c:pt idx="27">
                  <c:v>27/03/2026</c:v>
                </c:pt>
                <c:pt idx="28">
                  <c:v>28/03/2026</c:v>
                </c:pt>
                <c:pt idx="29">
                  <c:v>29/03/2026</c:v>
                </c:pt>
                <c:pt idx="30">
                  <c:v>30/03/2026</c:v>
                </c:pt>
                <c:pt idx="31">
                  <c:v>31/03/2026</c:v>
                </c:pt>
              </c:strCache>
            </c:strRef>
          </c:cat>
          <c:val>
            <c:numRef>
              <c:f>'DB QUIMICA'!$M$5:$M$37</c:f>
              <c:numCache>
                <c:formatCode>#,##0</c:formatCode>
                <c:ptCount val="32"/>
                <c:pt idx="0">
                  <c:v>-1409760</c:v>
                </c:pt>
                <c:pt idx="1">
                  <c:v>240</c:v>
                </c:pt>
                <c:pt idx="2">
                  <c:v>1600</c:v>
                </c:pt>
                <c:pt idx="3">
                  <c:v>1440</c:v>
                </c:pt>
                <c:pt idx="4">
                  <c:v>1600</c:v>
                </c:pt>
                <c:pt idx="5">
                  <c:v>1760</c:v>
                </c:pt>
                <c:pt idx="6">
                  <c:v>1520</c:v>
                </c:pt>
                <c:pt idx="7">
                  <c:v>1280</c:v>
                </c:pt>
                <c:pt idx="8">
                  <c:v>0</c:v>
                </c:pt>
                <c:pt idx="9">
                  <c:v>1520</c:v>
                </c:pt>
                <c:pt idx="10">
                  <c:v>1520</c:v>
                </c:pt>
                <c:pt idx="11">
                  <c:v>1280</c:v>
                </c:pt>
                <c:pt idx="12">
                  <c:v>1520</c:v>
                </c:pt>
                <c:pt idx="13">
                  <c:v>1280</c:v>
                </c:pt>
                <c:pt idx="14">
                  <c:v>1280</c:v>
                </c:pt>
                <c:pt idx="15">
                  <c:v>0</c:v>
                </c:pt>
                <c:pt idx="16">
                  <c:v>1293</c:v>
                </c:pt>
                <c:pt idx="17">
                  <c:v>1200</c:v>
                </c:pt>
                <c:pt idx="18">
                  <c:v>1354</c:v>
                </c:pt>
                <c:pt idx="19">
                  <c:v>1200</c:v>
                </c:pt>
                <c:pt idx="20">
                  <c:v>1120</c:v>
                </c:pt>
                <c:pt idx="21">
                  <c:v>1127</c:v>
                </c:pt>
                <c:pt idx="22">
                  <c:v>0</c:v>
                </c:pt>
                <c:pt idx="23">
                  <c:v>720</c:v>
                </c:pt>
                <c:pt idx="24">
                  <c:v>1295</c:v>
                </c:pt>
                <c:pt idx="25">
                  <c:v>1200</c:v>
                </c:pt>
                <c:pt idx="26">
                  <c:v>1360</c:v>
                </c:pt>
                <c:pt idx="27">
                  <c:v>1120</c:v>
                </c:pt>
                <c:pt idx="28">
                  <c:v>1520</c:v>
                </c:pt>
                <c:pt idx="29">
                  <c:v>480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A0-40B1-B9D8-80EFFDC49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677104"/>
        <c:axId val="753677464"/>
      </c:lineChart>
      <c:lineChart>
        <c:grouping val="standard"/>
        <c:varyColors val="0"/>
        <c:ser>
          <c:idx val="4"/>
          <c:order val="4"/>
          <c:tx>
            <c:strRef>
              <c:f>'DB QUIMICA'!$Q$4</c:f>
              <c:strCache>
                <c:ptCount val="1"/>
                <c:pt idx="0">
                  <c:v> COF 440 - PPM POL ANIONICO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1/03/2026</c:v>
                </c:pt>
                <c:pt idx="2">
                  <c:v>2/03/2026</c:v>
                </c:pt>
                <c:pt idx="3">
                  <c:v>3/03/2026</c:v>
                </c:pt>
                <c:pt idx="4">
                  <c:v>4/03/2026</c:v>
                </c:pt>
                <c:pt idx="5">
                  <c:v>5/03/2026</c:v>
                </c:pt>
                <c:pt idx="6">
                  <c:v>6/03/2026</c:v>
                </c:pt>
                <c:pt idx="7">
                  <c:v>7/03/2026</c:v>
                </c:pt>
                <c:pt idx="8">
                  <c:v>8/03/2026</c:v>
                </c:pt>
                <c:pt idx="9">
                  <c:v>9/03/2026</c:v>
                </c:pt>
                <c:pt idx="10">
                  <c:v>10/03/2026</c:v>
                </c:pt>
                <c:pt idx="11">
                  <c:v>11/03/2026</c:v>
                </c:pt>
                <c:pt idx="12">
                  <c:v>12/03/2026</c:v>
                </c:pt>
                <c:pt idx="13">
                  <c:v>13/03/2026</c:v>
                </c:pt>
                <c:pt idx="14">
                  <c:v>14/03/2026</c:v>
                </c:pt>
                <c:pt idx="15">
                  <c:v>15/03/2026</c:v>
                </c:pt>
                <c:pt idx="16">
                  <c:v>16/03/2026</c:v>
                </c:pt>
                <c:pt idx="17">
                  <c:v>17/03/2026</c:v>
                </c:pt>
                <c:pt idx="18">
                  <c:v>18/03/2026</c:v>
                </c:pt>
                <c:pt idx="19">
                  <c:v>19/03/2026</c:v>
                </c:pt>
                <c:pt idx="20">
                  <c:v>20/03/2026</c:v>
                </c:pt>
                <c:pt idx="21">
                  <c:v>21/03/2026</c:v>
                </c:pt>
                <c:pt idx="22">
                  <c:v>22/03/2026</c:v>
                </c:pt>
                <c:pt idx="23">
                  <c:v>23/03/2026</c:v>
                </c:pt>
                <c:pt idx="24">
                  <c:v>24/03/2026</c:v>
                </c:pt>
                <c:pt idx="25">
                  <c:v>25/03/2026</c:v>
                </c:pt>
                <c:pt idx="26">
                  <c:v>26/03/2026</c:v>
                </c:pt>
                <c:pt idx="27">
                  <c:v>27/03/2026</c:v>
                </c:pt>
                <c:pt idx="28">
                  <c:v>28/03/2026</c:v>
                </c:pt>
                <c:pt idx="29">
                  <c:v>29/03/2026</c:v>
                </c:pt>
                <c:pt idx="30">
                  <c:v>30/03/2026</c:v>
                </c:pt>
                <c:pt idx="31">
                  <c:v>31/03/2026</c:v>
                </c:pt>
              </c:strCache>
            </c:strRef>
          </c:cat>
          <c:val>
            <c:numRef>
              <c:f>'DB QUIMICA'!$Q$5:$Q$37</c:f>
              <c:numCache>
                <c:formatCode>#,##0</c:formatCode>
                <c:ptCount val="32"/>
                <c:pt idx="0">
                  <c:v>-0.13619339462036092</c:v>
                </c:pt>
                <c:pt idx="1">
                  <c:v>0</c:v>
                </c:pt>
                <c:pt idx="2">
                  <c:v>6.25</c:v>
                </c:pt>
                <c:pt idx="3">
                  <c:v>3.4722222222222223</c:v>
                </c:pt>
                <c:pt idx="4">
                  <c:v>0</c:v>
                </c:pt>
                <c:pt idx="5">
                  <c:v>2.8409090909090908</c:v>
                </c:pt>
                <c:pt idx="6">
                  <c:v>3.2894736842105261</c:v>
                </c:pt>
                <c:pt idx="7">
                  <c:v>7.8125</c:v>
                </c:pt>
                <c:pt idx="8">
                  <c:v>0</c:v>
                </c:pt>
                <c:pt idx="9">
                  <c:v>3.2894736842105261</c:v>
                </c:pt>
                <c:pt idx="10">
                  <c:v>3.2894736842105261</c:v>
                </c:pt>
                <c:pt idx="11">
                  <c:v>7.8125</c:v>
                </c:pt>
                <c:pt idx="12">
                  <c:v>3.2894736842105261</c:v>
                </c:pt>
                <c:pt idx="13">
                  <c:v>7.8125</c:v>
                </c:pt>
                <c:pt idx="14">
                  <c:v>3.90625</c:v>
                </c:pt>
                <c:pt idx="15">
                  <c:v>0</c:v>
                </c:pt>
                <c:pt idx="16">
                  <c:v>7.7339520494972929</c:v>
                </c:pt>
                <c:pt idx="17">
                  <c:v>4.166666666666667</c:v>
                </c:pt>
                <c:pt idx="18">
                  <c:v>5.9084194977843429</c:v>
                </c:pt>
                <c:pt idx="19">
                  <c:v>5.833333333333333</c:v>
                </c:pt>
                <c:pt idx="20">
                  <c:v>4.4642857142857144</c:v>
                </c:pt>
                <c:pt idx="21">
                  <c:v>4.4365572315882877</c:v>
                </c:pt>
                <c:pt idx="22">
                  <c:v>0</c:v>
                </c:pt>
                <c:pt idx="23">
                  <c:v>6.9444444444444446</c:v>
                </c:pt>
                <c:pt idx="24">
                  <c:v>6.1776061776061777</c:v>
                </c:pt>
                <c:pt idx="25">
                  <c:v>16.666666666666668</c:v>
                </c:pt>
                <c:pt idx="26">
                  <c:v>7.3529411764705879</c:v>
                </c:pt>
                <c:pt idx="27">
                  <c:v>0</c:v>
                </c:pt>
                <c:pt idx="28">
                  <c:v>6.5789473684210522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A0C-4791-AEF5-6F0BB149EC90}"/>
            </c:ext>
          </c:extLst>
        </c:ser>
        <c:ser>
          <c:idx val="5"/>
          <c:order val="5"/>
          <c:tx>
            <c:strRef>
              <c:f>'DB QUIMICA'!$R$4</c:f>
              <c:strCache>
                <c:ptCount val="1"/>
                <c:pt idx="0">
                  <c:v> COF 494 - PPM POL CATIONICO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QUIMICA'!$L$5:$L$37</c:f>
              <c:strCache>
                <c:ptCount val="32"/>
                <c:pt idx="0">
                  <c:v>(en blanco)</c:v>
                </c:pt>
                <c:pt idx="1">
                  <c:v>1/03/2026</c:v>
                </c:pt>
                <c:pt idx="2">
                  <c:v>2/03/2026</c:v>
                </c:pt>
                <c:pt idx="3">
                  <c:v>3/03/2026</c:v>
                </c:pt>
                <c:pt idx="4">
                  <c:v>4/03/2026</c:v>
                </c:pt>
                <c:pt idx="5">
                  <c:v>5/03/2026</c:v>
                </c:pt>
                <c:pt idx="6">
                  <c:v>6/03/2026</c:v>
                </c:pt>
                <c:pt idx="7">
                  <c:v>7/03/2026</c:v>
                </c:pt>
                <c:pt idx="8">
                  <c:v>8/03/2026</c:v>
                </c:pt>
                <c:pt idx="9">
                  <c:v>9/03/2026</c:v>
                </c:pt>
                <c:pt idx="10">
                  <c:v>10/03/2026</c:v>
                </c:pt>
                <c:pt idx="11">
                  <c:v>11/03/2026</c:v>
                </c:pt>
                <c:pt idx="12">
                  <c:v>12/03/2026</c:v>
                </c:pt>
                <c:pt idx="13">
                  <c:v>13/03/2026</c:v>
                </c:pt>
                <c:pt idx="14">
                  <c:v>14/03/2026</c:v>
                </c:pt>
                <c:pt idx="15">
                  <c:v>15/03/2026</c:v>
                </c:pt>
                <c:pt idx="16">
                  <c:v>16/03/2026</c:v>
                </c:pt>
                <c:pt idx="17">
                  <c:v>17/03/2026</c:v>
                </c:pt>
                <c:pt idx="18">
                  <c:v>18/03/2026</c:v>
                </c:pt>
                <c:pt idx="19">
                  <c:v>19/03/2026</c:v>
                </c:pt>
                <c:pt idx="20">
                  <c:v>20/03/2026</c:v>
                </c:pt>
                <c:pt idx="21">
                  <c:v>21/03/2026</c:v>
                </c:pt>
                <c:pt idx="22">
                  <c:v>22/03/2026</c:v>
                </c:pt>
                <c:pt idx="23">
                  <c:v>23/03/2026</c:v>
                </c:pt>
                <c:pt idx="24">
                  <c:v>24/03/2026</c:v>
                </c:pt>
                <c:pt idx="25">
                  <c:v>25/03/2026</c:v>
                </c:pt>
                <c:pt idx="26">
                  <c:v>26/03/2026</c:v>
                </c:pt>
                <c:pt idx="27">
                  <c:v>27/03/2026</c:v>
                </c:pt>
                <c:pt idx="28">
                  <c:v>28/03/2026</c:v>
                </c:pt>
                <c:pt idx="29">
                  <c:v>29/03/2026</c:v>
                </c:pt>
                <c:pt idx="30">
                  <c:v>30/03/2026</c:v>
                </c:pt>
                <c:pt idx="31">
                  <c:v>31/03/2026</c:v>
                </c:pt>
              </c:strCache>
            </c:strRef>
          </c:cat>
          <c:val>
            <c:numRef>
              <c:f>'DB QUIMICA'!$R$5:$R$37</c:f>
              <c:numCache>
                <c:formatCode>#,##0</c:formatCode>
                <c:ptCount val="32"/>
                <c:pt idx="0">
                  <c:v>-8.8667574622630807E-2</c:v>
                </c:pt>
                <c:pt idx="1">
                  <c:v>0</c:v>
                </c:pt>
                <c:pt idx="2">
                  <c:v>9.375</c:v>
                </c:pt>
                <c:pt idx="3">
                  <c:v>6.9444444444444446</c:v>
                </c:pt>
                <c:pt idx="4">
                  <c:v>0</c:v>
                </c:pt>
                <c:pt idx="5">
                  <c:v>5.6818181818181817</c:v>
                </c:pt>
                <c:pt idx="6">
                  <c:v>9.8684210526315788</c:v>
                </c:pt>
                <c:pt idx="7">
                  <c:v>11.71875</c:v>
                </c:pt>
                <c:pt idx="8">
                  <c:v>0</c:v>
                </c:pt>
                <c:pt idx="9">
                  <c:v>9.8684210526315788</c:v>
                </c:pt>
                <c:pt idx="10">
                  <c:v>9.8684210526315788</c:v>
                </c:pt>
                <c:pt idx="11">
                  <c:v>11.71875</c:v>
                </c:pt>
                <c:pt idx="12">
                  <c:v>9.8684210526315788</c:v>
                </c:pt>
                <c:pt idx="13">
                  <c:v>11.71875</c:v>
                </c:pt>
                <c:pt idx="14">
                  <c:v>11.71875</c:v>
                </c:pt>
                <c:pt idx="15">
                  <c:v>0</c:v>
                </c:pt>
                <c:pt idx="16">
                  <c:v>11.600928074245939</c:v>
                </c:pt>
                <c:pt idx="17">
                  <c:v>12.5</c:v>
                </c:pt>
                <c:pt idx="18">
                  <c:v>13.293943870014772</c:v>
                </c:pt>
                <c:pt idx="19">
                  <c:v>12.5</c:v>
                </c:pt>
                <c:pt idx="20">
                  <c:v>4.4642857142857144</c:v>
                </c:pt>
                <c:pt idx="21">
                  <c:v>4.4365572315882877</c:v>
                </c:pt>
                <c:pt idx="22">
                  <c:v>0</c:v>
                </c:pt>
                <c:pt idx="23">
                  <c:v>6.9444444444444446</c:v>
                </c:pt>
                <c:pt idx="24">
                  <c:v>9.2664092664092657</c:v>
                </c:pt>
                <c:pt idx="25">
                  <c:v>16.666666666666668</c:v>
                </c:pt>
                <c:pt idx="26">
                  <c:v>14.705882352941176</c:v>
                </c:pt>
                <c:pt idx="27">
                  <c:v>8.9285714285714288</c:v>
                </c:pt>
                <c:pt idx="28">
                  <c:v>16.44736842105263</c:v>
                </c:pt>
                <c:pt idx="29">
                  <c:v>10.416666666666666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A0C-4791-AEF5-6F0BB149E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791168"/>
        <c:axId val="699790808"/>
      </c:lineChart>
      <c:catAx>
        <c:axId val="75367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677464"/>
        <c:crosses val="autoZero"/>
        <c:auto val="1"/>
        <c:lblAlgn val="ctr"/>
        <c:lblOffset val="100"/>
        <c:noMultiLvlLbl val="0"/>
      </c:catAx>
      <c:valAx>
        <c:axId val="753677464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53677104"/>
        <c:crosses val="autoZero"/>
        <c:crossBetween val="between"/>
      </c:valAx>
      <c:valAx>
        <c:axId val="699790808"/>
        <c:scaling>
          <c:orientation val="minMax"/>
          <c:max val="100"/>
          <c:min val="0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99791168"/>
        <c:crosses val="max"/>
        <c:crossBetween val="between"/>
      </c:valAx>
      <c:catAx>
        <c:axId val="69979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97908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MARZO 2026.xlsx]DB QUIMICA!TablaDinámica1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$/m3</a:t>
            </a:r>
            <a:r>
              <a:rPr lang="es-CO" baseline="0"/>
              <a:t> TRATAMIENTO QUIMICO GEM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  <a:alpha val="66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rgbClr val="0070C0">
                <a:alpha val="0"/>
              </a:srgbClr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9469688860083882E-2"/>
          <c:y val="4.9365229571163557E-2"/>
          <c:w val="0.91434926425150476"/>
          <c:h val="0.76939477151695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'DB QUIMICA'!$V$4</c:f>
              <c:strCache>
                <c:ptCount val="1"/>
                <c:pt idx="0">
                  <c:v>  CAUDAL TOTAL TRATADO GEM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QUIMICA'!$V$5:$V$36</c:f>
              <c:numCache>
                <c:formatCode>#,##0</c:formatCode>
                <c:ptCount val="31"/>
                <c:pt idx="0">
                  <c:v>240</c:v>
                </c:pt>
                <c:pt idx="1">
                  <c:v>1600</c:v>
                </c:pt>
                <c:pt idx="2">
                  <c:v>1440</c:v>
                </c:pt>
                <c:pt idx="3">
                  <c:v>1600</c:v>
                </c:pt>
                <c:pt idx="4">
                  <c:v>1760</c:v>
                </c:pt>
                <c:pt idx="5">
                  <c:v>1520</c:v>
                </c:pt>
                <c:pt idx="6">
                  <c:v>1280</c:v>
                </c:pt>
                <c:pt idx="7">
                  <c:v>0</c:v>
                </c:pt>
                <c:pt idx="8">
                  <c:v>1520</c:v>
                </c:pt>
                <c:pt idx="9">
                  <c:v>1520</c:v>
                </c:pt>
                <c:pt idx="10">
                  <c:v>1280</c:v>
                </c:pt>
                <c:pt idx="11">
                  <c:v>1520</c:v>
                </c:pt>
                <c:pt idx="12">
                  <c:v>1280</c:v>
                </c:pt>
                <c:pt idx="13">
                  <c:v>1280</c:v>
                </c:pt>
                <c:pt idx="14">
                  <c:v>0</c:v>
                </c:pt>
                <c:pt idx="15">
                  <c:v>1293</c:v>
                </c:pt>
                <c:pt idx="16">
                  <c:v>1200</c:v>
                </c:pt>
                <c:pt idx="17">
                  <c:v>1354</c:v>
                </c:pt>
                <c:pt idx="18">
                  <c:v>1200</c:v>
                </c:pt>
                <c:pt idx="19">
                  <c:v>1120</c:v>
                </c:pt>
                <c:pt idx="20">
                  <c:v>1127</c:v>
                </c:pt>
                <c:pt idx="21">
                  <c:v>0</c:v>
                </c:pt>
                <c:pt idx="22">
                  <c:v>720</c:v>
                </c:pt>
                <c:pt idx="23">
                  <c:v>1295</c:v>
                </c:pt>
                <c:pt idx="24">
                  <c:v>1200</c:v>
                </c:pt>
                <c:pt idx="25">
                  <c:v>1360</c:v>
                </c:pt>
                <c:pt idx="26">
                  <c:v>1120</c:v>
                </c:pt>
                <c:pt idx="27">
                  <c:v>1520</c:v>
                </c:pt>
                <c:pt idx="28">
                  <c:v>480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9-42C5-A373-95D4B1FB5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1013664"/>
        <c:axId val="531007184"/>
      </c:barChart>
      <c:lineChart>
        <c:grouping val="standard"/>
        <c:varyColors val="0"/>
        <c:ser>
          <c:idx val="1"/>
          <c:order val="1"/>
          <c:tx>
            <c:strRef>
              <c:f>'DB QUIMICA'!$W$4</c:f>
              <c:strCache>
                <c:ptCount val="1"/>
                <c:pt idx="0">
                  <c:v>  INDICADOR $m3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BCE-49F0-AB8F-E64A9A8C6CB3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CC-40D8-A753-04E0BCC547DF}"/>
              </c:ext>
            </c:extLst>
          </c:dPt>
          <c:dPt>
            <c:idx val="15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52-4C8F-94F9-622159A455B7}"/>
              </c:ext>
            </c:extLst>
          </c:dPt>
          <c:dPt>
            <c:idx val="16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3C-4BD4-B2A6-994B72521871}"/>
              </c:ext>
            </c:extLst>
          </c:dPt>
          <c:dLbls>
            <c:spPr>
              <a:solidFill>
                <a:schemeClr val="accent6">
                  <a:lumMod val="20000"/>
                  <a:lumOff val="80000"/>
                  <a:alpha val="66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QUIMICA'!$W$5:$W$36</c:f>
              <c:numCache>
                <c:formatCode>#,##0</c:formatCode>
                <c:ptCount val="31"/>
                <c:pt idx="0">
                  <c:v>0</c:v>
                </c:pt>
                <c:pt idx="1">
                  <c:v>3863.5328125000001</c:v>
                </c:pt>
                <c:pt idx="2">
                  <c:v>1946.4652777777778</c:v>
                </c:pt>
                <c:pt idx="3">
                  <c:v>2545.6834374999999</c:v>
                </c:pt>
                <c:pt idx="4">
                  <c:v>3339.5417613636364</c:v>
                </c:pt>
                <c:pt idx="5">
                  <c:v>3266.3855263157893</c:v>
                </c:pt>
                <c:pt idx="6">
                  <c:v>4834.5277343750004</c:v>
                </c:pt>
                <c:pt idx="7">
                  <c:v>0</c:v>
                </c:pt>
                <c:pt idx="8">
                  <c:v>4048.1164473684212</c:v>
                </c:pt>
                <c:pt idx="9">
                  <c:v>3497.6480263157896</c:v>
                </c:pt>
                <c:pt idx="10">
                  <c:v>5348.5871093750002</c:v>
                </c:pt>
                <c:pt idx="11">
                  <c:v>4138.1046052631582</c:v>
                </c:pt>
                <c:pt idx="12">
                  <c:v>3311.2105468750001</c:v>
                </c:pt>
                <c:pt idx="13">
                  <c:v>2116.3859375000002</c:v>
                </c:pt>
                <c:pt idx="14">
                  <c:v>0</c:v>
                </c:pt>
                <c:pt idx="15">
                  <c:v>3876.5216550657387</c:v>
                </c:pt>
                <c:pt idx="16">
                  <c:v>3565.4216666666666</c:v>
                </c:pt>
                <c:pt idx="17">
                  <c:v>3204.0461595273264</c:v>
                </c:pt>
                <c:pt idx="18">
                  <c:v>2592.3379166666668</c:v>
                </c:pt>
                <c:pt idx="19">
                  <c:v>3461.7535714285714</c:v>
                </c:pt>
                <c:pt idx="20">
                  <c:v>2336.0732031943212</c:v>
                </c:pt>
                <c:pt idx="21">
                  <c:v>0</c:v>
                </c:pt>
                <c:pt idx="22">
                  <c:v>2306.0451388888887</c:v>
                </c:pt>
                <c:pt idx="23">
                  <c:v>1779.2710424710424</c:v>
                </c:pt>
                <c:pt idx="24">
                  <c:v>2688.2195833333335</c:v>
                </c:pt>
                <c:pt idx="25">
                  <c:v>1857.4878676470589</c:v>
                </c:pt>
                <c:pt idx="26">
                  <c:v>2451.2125000000001</c:v>
                </c:pt>
                <c:pt idx="27">
                  <c:v>2768.4121710526315</c:v>
                </c:pt>
                <c:pt idx="28">
                  <c:v>1060.8864583333334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19-42C5-A373-95D4B1FB548E}"/>
            </c:ext>
          </c:extLst>
        </c:ser>
        <c:ser>
          <c:idx val="2"/>
          <c:order val="2"/>
          <c:tx>
            <c:strRef>
              <c:f>'DB QUIMICA'!$X$4</c:f>
              <c:strCache>
                <c:ptCount val="1"/>
                <c:pt idx="0">
                  <c:v>  2024-2 $m3 GEM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QUIMICA'!$X$5:$X$36</c:f>
              <c:numCache>
                <c:formatCode>"$"\ #,##0</c:formatCode>
                <c:ptCount val="31"/>
                <c:pt idx="0">
                  <c:v>3599</c:v>
                </c:pt>
                <c:pt idx="1">
                  <c:v>3599</c:v>
                </c:pt>
                <c:pt idx="2">
                  <c:v>3599</c:v>
                </c:pt>
                <c:pt idx="3">
                  <c:v>3599</c:v>
                </c:pt>
                <c:pt idx="4">
                  <c:v>3599</c:v>
                </c:pt>
                <c:pt idx="5">
                  <c:v>3599</c:v>
                </c:pt>
                <c:pt idx="6">
                  <c:v>3599</c:v>
                </c:pt>
                <c:pt idx="7">
                  <c:v>3599</c:v>
                </c:pt>
                <c:pt idx="8">
                  <c:v>3599</c:v>
                </c:pt>
                <c:pt idx="9">
                  <c:v>3599</c:v>
                </c:pt>
                <c:pt idx="10">
                  <c:v>3599</c:v>
                </c:pt>
                <c:pt idx="11">
                  <c:v>3599</c:v>
                </c:pt>
                <c:pt idx="12">
                  <c:v>3599</c:v>
                </c:pt>
                <c:pt idx="13">
                  <c:v>3599</c:v>
                </c:pt>
                <c:pt idx="14">
                  <c:v>3599</c:v>
                </c:pt>
                <c:pt idx="15">
                  <c:v>3599</c:v>
                </c:pt>
                <c:pt idx="16">
                  <c:v>3599</c:v>
                </c:pt>
                <c:pt idx="17">
                  <c:v>3599</c:v>
                </c:pt>
                <c:pt idx="18">
                  <c:v>3599</c:v>
                </c:pt>
                <c:pt idx="19">
                  <c:v>3599</c:v>
                </c:pt>
                <c:pt idx="20">
                  <c:v>3599</c:v>
                </c:pt>
                <c:pt idx="21">
                  <c:v>3599</c:v>
                </c:pt>
                <c:pt idx="22">
                  <c:v>3599</c:v>
                </c:pt>
                <c:pt idx="23">
                  <c:v>3599</c:v>
                </c:pt>
                <c:pt idx="24">
                  <c:v>3599</c:v>
                </c:pt>
                <c:pt idx="25">
                  <c:v>3599</c:v>
                </c:pt>
                <c:pt idx="26">
                  <c:v>3599</c:v>
                </c:pt>
                <c:pt idx="27">
                  <c:v>3599</c:v>
                </c:pt>
                <c:pt idx="28">
                  <c:v>3599</c:v>
                </c:pt>
                <c:pt idx="29">
                  <c:v>3599</c:v>
                </c:pt>
                <c:pt idx="30">
                  <c:v>3599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19-42C5-A373-95D4B1FB548E}"/>
            </c:ext>
          </c:extLst>
        </c:ser>
        <c:ser>
          <c:idx val="3"/>
          <c:order val="3"/>
          <c:tx>
            <c:strRef>
              <c:f>'DB QUIMICA'!$Y$4</c:f>
              <c:strCache>
                <c:ptCount val="1"/>
                <c:pt idx="0">
                  <c:v>  2024 $m3 GEM</c:v>
                </c:pt>
              </c:strCache>
            </c:strRef>
          </c:tx>
          <c:spPr>
            <a:ln w="28575" cap="rnd">
              <a:solidFill>
                <a:srgbClr val="0070C0">
                  <a:alpha val="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'DB QUIMICA'!$U$5:$U$36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QUIMICA'!$Y$5:$Y$36</c:f>
              <c:numCache>
                <c:formatCode>"$"\ #,##0</c:formatCode>
                <c:ptCount val="31"/>
                <c:pt idx="0">
                  <c:v>4909</c:v>
                </c:pt>
                <c:pt idx="1">
                  <c:v>4909</c:v>
                </c:pt>
                <c:pt idx="2">
                  <c:v>4909</c:v>
                </c:pt>
                <c:pt idx="3">
                  <c:v>4909</c:v>
                </c:pt>
                <c:pt idx="4">
                  <c:v>4909</c:v>
                </c:pt>
                <c:pt idx="5">
                  <c:v>4909</c:v>
                </c:pt>
                <c:pt idx="6">
                  <c:v>4909</c:v>
                </c:pt>
                <c:pt idx="7">
                  <c:v>4909</c:v>
                </c:pt>
                <c:pt idx="8">
                  <c:v>4909</c:v>
                </c:pt>
                <c:pt idx="9">
                  <c:v>4909</c:v>
                </c:pt>
                <c:pt idx="10">
                  <c:v>4909</c:v>
                </c:pt>
                <c:pt idx="11">
                  <c:v>4909</c:v>
                </c:pt>
                <c:pt idx="12">
                  <c:v>4909</c:v>
                </c:pt>
                <c:pt idx="13">
                  <c:v>4909</c:v>
                </c:pt>
                <c:pt idx="14">
                  <c:v>4909</c:v>
                </c:pt>
                <c:pt idx="15">
                  <c:v>4909</c:v>
                </c:pt>
                <c:pt idx="16">
                  <c:v>4909</c:v>
                </c:pt>
                <c:pt idx="17">
                  <c:v>4909</c:v>
                </c:pt>
                <c:pt idx="18">
                  <c:v>4909</c:v>
                </c:pt>
                <c:pt idx="19">
                  <c:v>4909</c:v>
                </c:pt>
                <c:pt idx="20">
                  <c:v>4909</c:v>
                </c:pt>
                <c:pt idx="21">
                  <c:v>4909</c:v>
                </c:pt>
                <c:pt idx="22">
                  <c:v>4909</c:v>
                </c:pt>
                <c:pt idx="23">
                  <c:v>4909</c:v>
                </c:pt>
                <c:pt idx="24">
                  <c:v>4909</c:v>
                </c:pt>
                <c:pt idx="25">
                  <c:v>4909</c:v>
                </c:pt>
                <c:pt idx="26">
                  <c:v>4909</c:v>
                </c:pt>
                <c:pt idx="27">
                  <c:v>4909</c:v>
                </c:pt>
                <c:pt idx="28">
                  <c:v>4909</c:v>
                </c:pt>
                <c:pt idx="29">
                  <c:v>4909</c:v>
                </c:pt>
                <c:pt idx="30">
                  <c:v>4909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53-4676-AD69-22D5128A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692992"/>
        <c:axId val="2004701152"/>
      </c:lineChart>
      <c:valAx>
        <c:axId val="531007184"/>
        <c:scaling>
          <c:orientation val="minMax"/>
          <c:max val="25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aseline="0"/>
                  <a:t>volumen m3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13664"/>
        <c:crosses val="max"/>
        <c:crossBetween val="between"/>
      </c:valAx>
      <c:catAx>
        <c:axId val="53101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1007184"/>
        <c:crosses val="autoZero"/>
        <c:auto val="1"/>
        <c:lblAlgn val="ctr"/>
        <c:lblOffset val="100"/>
        <c:noMultiLvlLbl val="0"/>
      </c:catAx>
      <c:valAx>
        <c:axId val="2004701152"/>
        <c:scaling>
          <c:orientation val="minMax"/>
          <c:max val="14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4692992"/>
        <c:crosses val="autoZero"/>
        <c:crossBetween val="between"/>
      </c:valAx>
      <c:catAx>
        <c:axId val="200469299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2004701152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230171944603732"/>
          <c:y val="0.91023503291759078"/>
          <c:w val="0.51539656110792542"/>
          <c:h val="5.4342170522350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MARZO 2026.xlsx]DB QUIMICA!TablaDinámica3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INDICADOR 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841388888888888E-2"/>
              <c:y val="5.9972222222222225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1.4643833333333437E-2"/>
              <c:y val="1.4111111111110982E-2"/>
            </c:manualLayout>
          </c:layout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6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layout>
            <c:manualLayout>
              <c:x val="-7.9337513025095636E-3"/>
              <c:y val="3.527777777777777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1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1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rgbClr val="92D050"/>
            </a:solidFill>
            <a:prstDash val="sysDash"/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QUIMICA'!$AB$4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QUIMICA'!$AB$5:$AB$36</c:f>
              <c:numCache>
                <c:formatCode>General</c:formatCode>
                <c:ptCount val="31"/>
                <c:pt idx="0">
                  <c:v>0</c:v>
                </c:pt>
                <c:pt idx="1">
                  <c:v>463.75</c:v>
                </c:pt>
                <c:pt idx="2">
                  <c:v>1090.694</c:v>
                </c:pt>
                <c:pt idx="3">
                  <c:v>972.35</c:v>
                </c:pt>
                <c:pt idx="4">
                  <c:v>920.28000000000009</c:v>
                </c:pt>
                <c:pt idx="5">
                  <c:v>972.56500000000005</c:v>
                </c:pt>
                <c:pt idx="6">
                  <c:v>544.53600000000006</c:v>
                </c:pt>
                <c:pt idx="7">
                  <c:v>0</c:v>
                </c:pt>
                <c:pt idx="8">
                  <c:v>908.00700000000006</c:v>
                </c:pt>
                <c:pt idx="9">
                  <c:v>877.67700000000013</c:v>
                </c:pt>
                <c:pt idx="10">
                  <c:v>822.90300000000002</c:v>
                </c:pt>
                <c:pt idx="11">
                  <c:v>791.274</c:v>
                </c:pt>
                <c:pt idx="12">
                  <c:v>714.38900000000001</c:v>
                </c:pt>
                <c:pt idx="13">
                  <c:v>188.70699999999999</c:v>
                </c:pt>
                <c:pt idx="14">
                  <c:v>0</c:v>
                </c:pt>
                <c:pt idx="15">
                  <c:v>857.15499999999997</c:v>
                </c:pt>
                <c:pt idx="16">
                  <c:v>946.31399999999996</c:v>
                </c:pt>
                <c:pt idx="17">
                  <c:v>890.56500000000005</c:v>
                </c:pt>
                <c:pt idx="18">
                  <c:v>939.26800000000003</c:v>
                </c:pt>
                <c:pt idx="19">
                  <c:v>922.202</c:v>
                </c:pt>
                <c:pt idx="20">
                  <c:v>699.88799999999992</c:v>
                </c:pt>
                <c:pt idx="21">
                  <c:v>0</c:v>
                </c:pt>
                <c:pt idx="22">
                  <c:v>466.81799999999998</c:v>
                </c:pt>
                <c:pt idx="23">
                  <c:v>989.19299999999998</c:v>
                </c:pt>
                <c:pt idx="24">
                  <c:v>936.42200000000003</c:v>
                </c:pt>
                <c:pt idx="25">
                  <c:v>873.69900000000007</c:v>
                </c:pt>
                <c:pt idx="26">
                  <c:v>841.70099999999991</c:v>
                </c:pt>
                <c:pt idx="27">
                  <c:v>368.13300000000004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41659064"/>
        <c:axId val="441660864"/>
      </c:barChart>
      <c:lineChart>
        <c:grouping val="standard"/>
        <c:varyColors val="0"/>
        <c:ser>
          <c:idx val="1"/>
          <c:order val="1"/>
          <c:tx>
            <c:strRef>
              <c:f>'DB QUIMICA'!$AC$4</c:f>
              <c:strCache>
                <c:ptCount val="1"/>
                <c:pt idx="0">
                  <c:v> LIMITE INDICADOR M3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CE05-47A7-A89B-60F0B9BB1DE8}"/>
              </c:ext>
            </c:extLst>
          </c:dPt>
          <c:dPt>
            <c:idx val="18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E-410A-937B-A73D3C28EAA3}"/>
              </c:ext>
            </c:extLst>
          </c:dPt>
          <c:dPt>
            <c:idx val="24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28575" cap="rnd">
                <a:solidFill>
                  <a:srgbClr val="92D050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62D-436C-8922-C967781757AD}"/>
              </c:ext>
            </c:extLst>
          </c:dPt>
          <c:dLbls>
            <c:dLbl>
              <c:idx val="12"/>
              <c:layout>
                <c:manualLayout>
                  <c:x val="-7.9337513025095636E-3"/>
                  <c:y val="3.527777777777777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05-47A7-A89B-60F0B9BB1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QUIMICA'!$AC$5:$AC$36</c:f>
              <c:numCache>
                <c:formatCode>_-"$"\ * #,##0_-;\-"$"\ * #,##0_-;_-"$"\ * "-"??_-;_-@_-</c:formatCode>
                <c:ptCount val="31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1000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72-41B0-BF7A-17BAECB00B46}"/>
            </c:ext>
          </c:extLst>
        </c:ser>
        <c:ser>
          <c:idx val="2"/>
          <c:order val="2"/>
          <c:tx>
            <c:strRef>
              <c:f>'DB QUIMICA'!$AD$4</c:f>
              <c:strCache>
                <c:ptCount val="1"/>
                <c:pt idx="0">
                  <c:v> INDICADOR $m3 RO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418-4A0F-BA35-BC5E8572085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418-4A0F-BA35-BC5E8572085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B-481D-9419-630F724F9D50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B72-41B0-BF7A-17BAECB00B46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35CD-4B27-ABAF-854A0E4AC70D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46E-410A-937B-A73D3C28EAA3}"/>
              </c:ext>
            </c:extLst>
          </c:dPt>
          <c:dPt>
            <c:idx val="1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46E-410A-937B-A73D3C28EAA3}"/>
              </c:ext>
            </c:extLst>
          </c:dPt>
          <c:dPt>
            <c:idx val="2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46E-410A-937B-A73D3C28EAA3}"/>
              </c:ext>
            </c:extLst>
          </c:dPt>
          <c:dPt>
            <c:idx val="2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46E-410A-937B-A73D3C28EAA3}"/>
              </c:ext>
            </c:extLst>
          </c:dPt>
          <c:dPt>
            <c:idx val="2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46E-410A-937B-A73D3C28EAA3}"/>
              </c:ext>
            </c:extLst>
          </c:dPt>
          <c:dPt>
            <c:idx val="2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BEFB-481D-9419-630F724F9D50}"/>
              </c:ext>
            </c:extLst>
          </c:dPt>
          <c:dPt>
            <c:idx val="2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B72-41B0-BF7A-17BAECB00B46}"/>
              </c:ext>
            </c:extLst>
          </c:dPt>
          <c:dPt>
            <c:idx val="2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CD-4B27-ABAF-854A0E4AC70D}"/>
              </c:ext>
            </c:extLst>
          </c:dPt>
          <c:dPt>
            <c:idx val="26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762D-436C-8922-C967781757AD}"/>
              </c:ext>
            </c:extLst>
          </c:dPt>
          <c:dPt>
            <c:idx val="27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E661-4651-968A-054DB8B65335}"/>
              </c:ext>
            </c:extLst>
          </c:dPt>
          <c:dPt>
            <c:idx val="2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E661-4651-968A-054DB8B65335}"/>
              </c:ext>
            </c:extLst>
          </c:dPt>
          <c:dPt>
            <c:idx val="29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E661-4651-968A-054DB8B65335}"/>
              </c:ext>
            </c:extLst>
          </c:dPt>
          <c:dLbls>
            <c:dLbl>
              <c:idx val="15"/>
              <c:layout>
                <c:manualLayout>
                  <c:x val="-1.4841388888888888E-2"/>
                  <c:y val="5.9972222222222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72-41B0-BF7A-17BAECB00B46}"/>
                </c:ext>
              </c:extLst>
            </c:dLbl>
            <c:dLbl>
              <c:idx val="24"/>
              <c:layout>
                <c:manualLayout>
                  <c:x val="-1.4643833333333437E-2"/>
                  <c:y val="1.4111111111110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72-41B0-BF7A-17BAECB00B46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QUIMICA'!$AA$5:$AA$36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'DB QUIMICA'!$AD$5:$AD$36</c:f>
              <c:numCache>
                <c:formatCode>"$"\ 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610.75629578909479</c:v>
                </c:pt>
                <c:pt idx="4">
                  <c:v>1163.0228328677997</c:v>
                </c:pt>
                <c:pt idx="5">
                  <c:v>691.61924774612544</c:v>
                </c:pt>
                <c:pt idx="6">
                  <c:v>0</c:v>
                </c:pt>
                <c:pt idx="7">
                  <c:v>0</c:v>
                </c:pt>
                <c:pt idx="8">
                  <c:v>83.885604174278058</c:v>
                </c:pt>
                <c:pt idx="9">
                  <c:v>542.80076539367087</c:v>
                </c:pt>
                <c:pt idx="10">
                  <c:v>804.85603054705473</c:v>
                </c:pt>
                <c:pt idx="11">
                  <c:v>791.33096885861471</c:v>
                </c:pt>
                <c:pt idx="12">
                  <c:v>558.43525026281202</c:v>
                </c:pt>
                <c:pt idx="13">
                  <c:v>0</c:v>
                </c:pt>
                <c:pt idx="14">
                  <c:v>0</c:v>
                </c:pt>
                <c:pt idx="15">
                  <c:v>307.26057345766526</c:v>
                </c:pt>
                <c:pt idx="16">
                  <c:v>477.51930120446298</c:v>
                </c:pt>
                <c:pt idx="17">
                  <c:v>824.88147234738904</c:v>
                </c:pt>
                <c:pt idx="18">
                  <c:v>1094.6886253864429</c:v>
                </c:pt>
                <c:pt idx="19">
                  <c:v>561.38316083050188</c:v>
                </c:pt>
                <c:pt idx="20">
                  <c:v>446.42150262839056</c:v>
                </c:pt>
                <c:pt idx="21">
                  <c:v>0</c:v>
                </c:pt>
                <c:pt idx="22">
                  <c:v>1059.2450433179076</c:v>
                </c:pt>
                <c:pt idx="23">
                  <c:v>335.41885046433646</c:v>
                </c:pt>
                <c:pt idx="24">
                  <c:v>27.568317433132091</c:v>
                </c:pt>
                <c:pt idx="25">
                  <c:v>88.642354909534404</c:v>
                </c:pt>
                <c:pt idx="26">
                  <c:v>64.408520115187798</c:v>
                </c:pt>
                <c:pt idx="27">
                  <c:v>56.100548328714716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72-41B0-BF7A-17BAECB00B4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4821320"/>
        <c:axId val="434822400"/>
      </c:lineChart>
      <c:catAx>
        <c:axId val="434821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2400"/>
        <c:crosses val="autoZero"/>
        <c:auto val="1"/>
        <c:lblAlgn val="ctr"/>
        <c:lblOffset val="100"/>
        <c:noMultiLvlLbl val="0"/>
      </c:catAx>
      <c:valAx>
        <c:axId val="434822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$m3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34821320"/>
        <c:crosses val="autoZero"/>
        <c:crossBetween val="between"/>
      </c:valAx>
      <c:valAx>
        <c:axId val="441660864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1659064"/>
        <c:crosses val="max"/>
        <c:crossBetween val="between"/>
        <c:majorUnit val="100"/>
      </c:valAx>
      <c:catAx>
        <c:axId val="441659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66086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MARZO 2026.xlsx]DB QUIMICA!TablaDinámica4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QUIMICO PPM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5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rgbClr val="00B050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'DB QUIMICA'!$AH$4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QUIMICA'!$AH$5:$AH$37</c:f>
              <c:numCache>
                <c:formatCode>#,##0</c:formatCode>
                <c:ptCount val="32"/>
                <c:pt idx="0">
                  <c:v>0</c:v>
                </c:pt>
                <c:pt idx="1">
                  <c:v>463.75</c:v>
                </c:pt>
                <c:pt idx="2">
                  <c:v>1090.694</c:v>
                </c:pt>
                <c:pt idx="3">
                  <c:v>972.35</c:v>
                </c:pt>
                <c:pt idx="4">
                  <c:v>920.28000000000009</c:v>
                </c:pt>
                <c:pt idx="5">
                  <c:v>972.56500000000005</c:v>
                </c:pt>
                <c:pt idx="6">
                  <c:v>544.53600000000006</c:v>
                </c:pt>
                <c:pt idx="7">
                  <c:v>0</c:v>
                </c:pt>
                <c:pt idx="8">
                  <c:v>908.00700000000006</c:v>
                </c:pt>
                <c:pt idx="9">
                  <c:v>877.67700000000013</c:v>
                </c:pt>
                <c:pt idx="10">
                  <c:v>822.90300000000002</c:v>
                </c:pt>
                <c:pt idx="11">
                  <c:v>791.274</c:v>
                </c:pt>
                <c:pt idx="12">
                  <c:v>714.38900000000001</c:v>
                </c:pt>
                <c:pt idx="13">
                  <c:v>188.70699999999999</c:v>
                </c:pt>
                <c:pt idx="14">
                  <c:v>0</c:v>
                </c:pt>
                <c:pt idx="15">
                  <c:v>857.15499999999997</c:v>
                </c:pt>
                <c:pt idx="16">
                  <c:v>946.31399999999996</c:v>
                </c:pt>
                <c:pt idx="17">
                  <c:v>890.56500000000005</c:v>
                </c:pt>
                <c:pt idx="18">
                  <c:v>939.26800000000003</c:v>
                </c:pt>
                <c:pt idx="19">
                  <c:v>922.202</c:v>
                </c:pt>
                <c:pt idx="20">
                  <c:v>699.88799999999992</c:v>
                </c:pt>
                <c:pt idx="21">
                  <c:v>0</c:v>
                </c:pt>
                <c:pt idx="22">
                  <c:v>466.81799999999998</c:v>
                </c:pt>
                <c:pt idx="23">
                  <c:v>989.19299999999998</c:v>
                </c:pt>
                <c:pt idx="24">
                  <c:v>936.42200000000003</c:v>
                </c:pt>
                <c:pt idx="25">
                  <c:v>873.69900000000007</c:v>
                </c:pt>
                <c:pt idx="26">
                  <c:v>841.70099999999991</c:v>
                </c:pt>
                <c:pt idx="27">
                  <c:v>368.13300000000004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988-4851-80FF-D51C3EA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6102208"/>
        <c:axId val="776103648"/>
      </c:barChart>
      <c:lineChart>
        <c:grouping val="standard"/>
        <c:varyColors val="0"/>
        <c:ser>
          <c:idx val="1"/>
          <c:order val="1"/>
          <c:tx>
            <c:strRef>
              <c:f>'DB QUIMICA'!$AI$4</c:f>
              <c:strCache>
                <c:ptCount val="1"/>
                <c:pt idx="0">
                  <c:v> PPM HCL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QUIMICA'!$AI$5:$AI$37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88-4851-80FF-D51C3EA2110D}"/>
            </c:ext>
          </c:extLst>
        </c:ser>
        <c:ser>
          <c:idx val="2"/>
          <c:order val="2"/>
          <c:tx>
            <c:strRef>
              <c:f>'DB QUIMICA'!$AJ$4</c:f>
              <c:strCache>
                <c:ptCount val="1"/>
                <c:pt idx="0">
                  <c:v> PPM KURIVERTER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QUIMICA'!$AJ$5:$AJ$37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704.38862621664452</c:v>
                </c:pt>
                <c:pt idx="4">
                  <c:v>378.22203616138199</c:v>
                </c:pt>
                <c:pt idx="5">
                  <c:v>380.97845983504817</c:v>
                </c:pt>
                <c:pt idx="6">
                  <c:v>0</c:v>
                </c:pt>
                <c:pt idx="7">
                  <c:v>0</c:v>
                </c:pt>
                <c:pt idx="8">
                  <c:v>123.65620722569979</c:v>
                </c:pt>
                <c:pt idx="9">
                  <c:v>281.4447044409834</c:v>
                </c:pt>
                <c:pt idx="10">
                  <c:v>395.68944953137782</c:v>
                </c:pt>
                <c:pt idx="11">
                  <c:v>581.78440994267783</c:v>
                </c:pt>
                <c:pt idx="12">
                  <c:v>282.90646014691538</c:v>
                </c:pt>
                <c:pt idx="13">
                  <c:v>0</c:v>
                </c:pt>
                <c:pt idx="14">
                  <c:v>0</c:v>
                </c:pt>
                <c:pt idx="15">
                  <c:v>314.38151117420563</c:v>
                </c:pt>
                <c:pt idx="16">
                  <c:v>71.190345966171492</c:v>
                </c:pt>
                <c:pt idx="17">
                  <c:v>554.7434355934696</c:v>
                </c:pt>
                <c:pt idx="18">
                  <c:v>564.23184041264233</c:v>
                </c:pt>
                <c:pt idx="19">
                  <c:v>462.66074750072841</c:v>
                </c:pt>
                <c:pt idx="20">
                  <c:v>64.17066830943574</c:v>
                </c:pt>
                <c:pt idx="21">
                  <c:v>0</c:v>
                </c:pt>
                <c:pt idx="22">
                  <c:v>697.5181657256561</c:v>
                </c:pt>
                <c:pt idx="23">
                  <c:v>351.8728654960118</c:v>
                </c:pt>
                <c:pt idx="24">
                  <c:v>119.9039554328988</c:v>
                </c:pt>
                <c:pt idx="25">
                  <c:v>385.53564243882391</c:v>
                </c:pt>
                <c:pt idx="26">
                  <c:v>280.13448205979381</c:v>
                </c:pt>
                <c:pt idx="27">
                  <c:v>244.00029718473692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88-4851-80FF-D51C3EA2110D}"/>
            </c:ext>
          </c:extLst>
        </c:ser>
        <c:ser>
          <c:idx val="3"/>
          <c:order val="3"/>
          <c:tx>
            <c:strRef>
              <c:f>'DB QUIMICA'!$AK$4</c:f>
              <c:strCache>
                <c:ptCount val="1"/>
                <c:pt idx="0">
                  <c:v> PPM VITEC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QUIMICA'!$AK$5:$AK$37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281.46676662345436</c:v>
                </c:pt>
                <c:pt idx="4">
                  <c:v>674.85181855407836</c:v>
                </c:pt>
                <c:pt idx="5">
                  <c:v>378.81380949507633</c:v>
                </c:pt>
                <c:pt idx="6">
                  <c:v>0</c:v>
                </c:pt>
                <c:pt idx="7">
                  <c:v>0</c:v>
                </c:pt>
                <c:pt idx="8">
                  <c:v>34.778308282228053</c:v>
                </c:pt>
                <c:pt idx="9">
                  <c:v>299.83455728797958</c:v>
                </c:pt>
                <c:pt idx="10">
                  <c:v>447.7089676809768</c:v>
                </c:pt>
                <c:pt idx="11">
                  <c:v>412.39291253558719</c:v>
                </c:pt>
                <c:pt idx="12">
                  <c:v>309.42894078568872</c:v>
                </c:pt>
                <c:pt idx="13">
                  <c:v>0</c:v>
                </c:pt>
                <c:pt idx="14">
                  <c:v>0</c:v>
                </c:pt>
                <c:pt idx="15">
                  <c:v>147.36633336290885</c:v>
                </c:pt>
                <c:pt idx="16">
                  <c:v>289.21078048757175</c:v>
                </c:pt>
                <c:pt idx="17">
                  <c:v>437.33324823064709</c:v>
                </c:pt>
                <c:pt idx="18">
                  <c:v>605.17451103580549</c:v>
                </c:pt>
                <c:pt idx="19">
                  <c:v>285.35819130390314</c:v>
                </c:pt>
                <c:pt idx="20">
                  <c:v>270.72000693043231</c:v>
                </c:pt>
                <c:pt idx="21">
                  <c:v>0</c:v>
                </c:pt>
                <c:pt idx="22">
                  <c:v>563.72696583431252</c:v>
                </c:pt>
                <c:pt idx="23">
                  <c:v>159.61974745282799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88-4851-80FF-D51C3EA2110D}"/>
            </c:ext>
          </c:extLst>
        </c:ser>
        <c:ser>
          <c:idx val="4"/>
          <c:order val="4"/>
          <c:tx>
            <c:strRef>
              <c:f>'DB QUIMICA'!$AL$4</c:f>
              <c:strCache>
                <c:ptCount val="1"/>
                <c:pt idx="0">
                  <c:v> PPM BISULFITO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QUIMICA'!$AL$5:$AL$37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88-4851-80FF-D51C3EA2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1298072"/>
        <c:axId val="771295912"/>
      </c:lineChart>
      <c:catAx>
        <c:axId val="77129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5912"/>
        <c:crosses val="autoZero"/>
        <c:auto val="1"/>
        <c:lblAlgn val="ctr"/>
        <c:lblOffset val="100"/>
        <c:noMultiLvlLbl val="0"/>
      </c:catAx>
      <c:valAx>
        <c:axId val="771295912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8072"/>
        <c:crosses val="autoZero"/>
        <c:crossBetween val="between"/>
      </c:valAx>
      <c:valAx>
        <c:axId val="776103648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6102208"/>
        <c:crosses val="max"/>
        <c:crossBetween val="between"/>
      </c:valAx>
      <c:catAx>
        <c:axId val="776102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610364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accent3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[FORMATO BITÁCORA OPERACIÓN PTAR - MARZO 2026.xlsx]DB QUIMICA!TablaDinámica4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CONSUMO</a:t>
            </a:r>
            <a:r>
              <a:rPr lang="es-CO" baseline="0"/>
              <a:t> QUIMICO PPM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bg2">
              <a:lumMod val="9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bg2">
              <a:lumMod val="90000"/>
            </a:schemeClr>
          </a:solidFill>
          <a:ln>
            <a:noFill/>
          </a:ln>
          <a:effectLst/>
        </c:spPr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QUIMICA'!$AI$4</c:f>
              <c:strCache>
                <c:ptCount val="1"/>
                <c:pt idx="0">
                  <c:v> PPM HCL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QUIMICA'!$AI$5:$AI$37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F-42C7-9085-A621291A285A}"/>
            </c:ext>
          </c:extLst>
        </c:ser>
        <c:ser>
          <c:idx val="2"/>
          <c:order val="2"/>
          <c:tx>
            <c:strRef>
              <c:f>'DB QUIMICA'!$AJ$4</c:f>
              <c:strCache>
                <c:ptCount val="1"/>
                <c:pt idx="0">
                  <c:v> PPM KURIVERTER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QUIMICA'!$AJ$5:$AJ$37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704.38862621664452</c:v>
                </c:pt>
                <c:pt idx="4">
                  <c:v>378.22203616138199</c:v>
                </c:pt>
                <c:pt idx="5">
                  <c:v>380.97845983504817</c:v>
                </c:pt>
                <c:pt idx="6">
                  <c:v>0</c:v>
                </c:pt>
                <c:pt idx="7">
                  <c:v>0</c:v>
                </c:pt>
                <c:pt idx="8">
                  <c:v>123.65620722569979</c:v>
                </c:pt>
                <c:pt idx="9">
                  <c:v>281.4447044409834</c:v>
                </c:pt>
                <c:pt idx="10">
                  <c:v>395.68944953137782</c:v>
                </c:pt>
                <c:pt idx="11">
                  <c:v>581.78440994267783</c:v>
                </c:pt>
                <c:pt idx="12">
                  <c:v>282.90646014691538</c:v>
                </c:pt>
                <c:pt idx="13">
                  <c:v>0</c:v>
                </c:pt>
                <c:pt idx="14">
                  <c:v>0</c:v>
                </c:pt>
                <c:pt idx="15">
                  <c:v>314.38151117420563</c:v>
                </c:pt>
                <c:pt idx="16">
                  <c:v>71.190345966171492</c:v>
                </c:pt>
                <c:pt idx="17">
                  <c:v>554.7434355934696</c:v>
                </c:pt>
                <c:pt idx="18">
                  <c:v>564.23184041264233</c:v>
                </c:pt>
                <c:pt idx="19">
                  <c:v>462.66074750072841</c:v>
                </c:pt>
                <c:pt idx="20">
                  <c:v>64.17066830943574</c:v>
                </c:pt>
                <c:pt idx="21">
                  <c:v>0</c:v>
                </c:pt>
                <c:pt idx="22">
                  <c:v>697.5181657256561</c:v>
                </c:pt>
                <c:pt idx="23">
                  <c:v>351.8728654960118</c:v>
                </c:pt>
                <c:pt idx="24">
                  <c:v>119.9039554328988</c:v>
                </c:pt>
                <c:pt idx="25">
                  <c:v>385.53564243882391</c:v>
                </c:pt>
                <c:pt idx="26">
                  <c:v>280.13448205979381</c:v>
                </c:pt>
                <c:pt idx="27">
                  <c:v>244.00029718473692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DF-42C7-9085-A621291A285A}"/>
            </c:ext>
          </c:extLst>
        </c:ser>
        <c:ser>
          <c:idx val="3"/>
          <c:order val="3"/>
          <c:tx>
            <c:strRef>
              <c:f>'DB QUIMICA'!$AK$4</c:f>
              <c:strCache>
                <c:ptCount val="1"/>
                <c:pt idx="0">
                  <c:v> PPM VITEC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QUIMICA'!$AK$5:$AK$37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281.46676662345436</c:v>
                </c:pt>
                <c:pt idx="4">
                  <c:v>674.85181855407836</c:v>
                </c:pt>
                <c:pt idx="5">
                  <c:v>378.81380949507633</c:v>
                </c:pt>
                <c:pt idx="6">
                  <c:v>0</c:v>
                </c:pt>
                <c:pt idx="7">
                  <c:v>0</c:v>
                </c:pt>
                <c:pt idx="8">
                  <c:v>34.778308282228053</c:v>
                </c:pt>
                <c:pt idx="9">
                  <c:v>299.83455728797958</c:v>
                </c:pt>
                <c:pt idx="10">
                  <c:v>447.7089676809768</c:v>
                </c:pt>
                <c:pt idx="11">
                  <c:v>412.39291253558719</c:v>
                </c:pt>
                <c:pt idx="12">
                  <c:v>309.42894078568872</c:v>
                </c:pt>
                <c:pt idx="13">
                  <c:v>0</c:v>
                </c:pt>
                <c:pt idx="14">
                  <c:v>0</c:v>
                </c:pt>
                <c:pt idx="15">
                  <c:v>147.36633336290885</c:v>
                </c:pt>
                <c:pt idx="16">
                  <c:v>289.21078048757175</c:v>
                </c:pt>
                <c:pt idx="17">
                  <c:v>437.33324823064709</c:v>
                </c:pt>
                <c:pt idx="18">
                  <c:v>605.17451103580549</c:v>
                </c:pt>
                <c:pt idx="19">
                  <c:v>285.35819130390314</c:v>
                </c:pt>
                <c:pt idx="20">
                  <c:v>270.72000693043231</c:v>
                </c:pt>
                <c:pt idx="21">
                  <c:v>0</c:v>
                </c:pt>
                <c:pt idx="22">
                  <c:v>563.72696583431252</c:v>
                </c:pt>
                <c:pt idx="23">
                  <c:v>159.61974745282799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DF-42C7-9085-A621291A285A}"/>
            </c:ext>
          </c:extLst>
        </c:ser>
        <c:ser>
          <c:idx val="4"/>
          <c:order val="4"/>
          <c:tx>
            <c:strRef>
              <c:f>'DB QUIMICA'!$AL$4</c:f>
              <c:strCache>
                <c:ptCount val="1"/>
                <c:pt idx="0">
                  <c:v> PPM BISULFITO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QUIMICA'!$AL$5:$AL$37</c:f>
              <c:numCache>
                <c:formatCode>#,##0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DF-42C7-9085-A621291A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771298072"/>
        <c:axId val="771295912"/>
      </c:barChart>
      <c:lineChart>
        <c:grouping val="standard"/>
        <c:varyColors val="0"/>
        <c:ser>
          <c:idx val="0"/>
          <c:order val="0"/>
          <c:tx>
            <c:strRef>
              <c:f>'DB QUIMICA'!$AH$4</c:f>
              <c:strCache>
                <c:ptCount val="1"/>
                <c:pt idx="0">
                  <c:v> VOLUMEN ENVIADO A RO (m3)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QUIMICA'!$AG$5:$AG$37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0</c:v>
                </c:pt>
              </c:strCache>
            </c:strRef>
          </c:cat>
          <c:val>
            <c:numRef>
              <c:f>'DB QUIMICA'!$AH$5:$AH$37</c:f>
              <c:numCache>
                <c:formatCode>#,##0</c:formatCode>
                <c:ptCount val="32"/>
                <c:pt idx="0">
                  <c:v>0</c:v>
                </c:pt>
                <c:pt idx="1">
                  <c:v>463.75</c:v>
                </c:pt>
                <c:pt idx="2">
                  <c:v>1090.694</c:v>
                </c:pt>
                <c:pt idx="3">
                  <c:v>972.35</c:v>
                </c:pt>
                <c:pt idx="4">
                  <c:v>920.28000000000009</c:v>
                </c:pt>
                <c:pt idx="5">
                  <c:v>972.56500000000005</c:v>
                </c:pt>
                <c:pt idx="6">
                  <c:v>544.53600000000006</c:v>
                </c:pt>
                <c:pt idx="7">
                  <c:v>0</c:v>
                </c:pt>
                <c:pt idx="8">
                  <c:v>908.00700000000006</c:v>
                </c:pt>
                <c:pt idx="9">
                  <c:v>877.67700000000013</c:v>
                </c:pt>
                <c:pt idx="10">
                  <c:v>822.90300000000002</c:v>
                </c:pt>
                <c:pt idx="11">
                  <c:v>791.274</c:v>
                </c:pt>
                <c:pt idx="12">
                  <c:v>714.38900000000001</c:v>
                </c:pt>
                <c:pt idx="13">
                  <c:v>188.70699999999999</c:v>
                </c:pt>
                <c:pt idx="14">
                  <c:v>0</c:v>
                </c:pt>
                <c:pt idx="15">
                  <c:v>857.15499999999997</c:v>
                </c:pt>
                <c:pt idx="16">
                  <c:v>946.31399999999996</c:v>
                </c:pt>
                <c:pt idx="17">
                  <c:v>890.56500000000005</c:v>
                </c:pt>
                <c:pt idx="18">
                  <c:v>939.26800000000003</c:v>
                </c:pt>
                <c:pt idx="19">
                  <c:v>922.202</c:v>
                </c:pt>
                <c:pt idx="20">
                  <c:v>699.88799999999992</c:v>
                </c:pt>
                <c:pt idx="21">
                  <c:v>0</c:v>
                </c:pt>
                <c:pt idx="22">
                  <c:v>466.81799999999998</c:v>
                </c:pt>
                <c:pt idx="23">
                  <c:v>989.19299999999998</c:v>
                </c:pt>
                <c:pt idx="24">
                  <c:v>936.42200000000003</c:v>
                </c:pt>
                <c:pt idx="25">
                  <c:v>873.69900000000007</c:v>
                </c:pt>
                <c:pt idx="26">
                  <c:v>841.70099999999991</c:v>
                </c:pt>
                <c:pt idx="27">
                  <c:v>368.13300000000004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DF-42C7-9085-A621291A28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4832096"/>
        <c:axId val="594832456"/>
      </c:lineChart>
      <c:catAx>
        <c:axId val="771298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5912"/>
        <c:crosses val="autoZero"/>
        <c:auto val="1"/>
        <c:lblAlgn val="ctr"/>
        <c:lblOffset val="100"/>
        <c:noMultiLvlLbl val="0"/>
      </c:catAx>
      <c:valAx>
        <c:axId val="77129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1298072"/>
        <c:crosses val="autoZero"/>
        <c:crossBetween val="between"/>
      </c:valAx>
      <c:valAx>
        <c:axId val="59483245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4832096"/>
        <c:crosses val="max"/>
        <c:crossBetween val="between"/>
      </c:valAx>
      <c:catAx>
        <c:axId val="59483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9483245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321450</xdr:colOff>
      <xdr:row>3</xdr:row>
      <xdr:rowOff>102774</xdr:rowOff>
    </xdr:from>
    <xdr:to>
      <xdr:col>0</xdr:col>
      <xdr:colOff>2154060</xdr:colOff>
      <xdr:row>10</xdr:row>
      <xdr:rowOff>129908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0453178C-B9C2-8171-C76E-F61D26E264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50" y="93281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2566308</xdr:colOff>
      <xdr:row>3</xdr:row>
      <xdr:rowOff>99572</xdr:rowOff>
    </xdr:from>
    <xdr:to>
      <xdr:col>9</xdr:col>
      <xdr:colOff>2561808</xdr:colOff>
      <xdr:row>26</xdr:row>
      <xdr:rowOff>27186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0EFCD5-48BA-4A32-81CA-120726568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2573348</xdr:colOff>
      <xdr:row>28</xdr:row>
      <xdr:rowOff>58692</xdr:rowOff>
    </xdr:from>
    <xdr:to>
      <xdr:col>4</xdr:col>
      <xdr:colOff>3906982</xdr:colOff>
      <xdr:row>44</xdr:row>
      <xdr:rowOff>41564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9D93F93-66A6-D102-8DBB-F02002F49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324411</xdr:colOff>
      <xdr:row>30</xdr:row>
      <xdr:rowOff>109097</xdr:rowOff>
    </xdr:from>
    <xdr:to>
      <xdr:col>0</xdr:col>
      <xdr:colOff>2149401</xdr:colOff>
      <xdr:row>34</xdr:row>
      <xdr:rowOff>278081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FECHA 1">
              <a:extLst>
                <a:ext uri="{FF2B5EF4-FFF2-40B4-BE49-F238E27FC236}">
                  <a16:creationId xmlns:a16="http://schemas.microsoft.com/office/drawing/2014/main" id="{F2C66CB9-D032-4EC1-66AA-7DA2F76738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411" y="6708562"/>
              <a:ext cx="1832610" cy="2526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2503714</xdr:colOff>
      <xdr:row>59</xdr:row>
      <xdr:rowOff>50426</xdr:rowOff>
    </xdr:from>
    <xdr:to>
      <xdr:col>5</xdr:col>
      <xdr:colOff>1527643</xdr:colOff>
      <xdr:row>80</xdr:row>
      <xdr:rowOff>163286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DD9BAC3-17B4-4D71-86B6-84C440A4C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391886</xdr:colOff>
      <xdr:row>61</xdr:row>
      <xdr:rowOff>35379</xdr:rowOff>
    </xdr:from>
    <xdr:to>
      <xdr:col>0</xdr:col>
      <xdr:colOff>2226401</xdr:colOff>
      <xdr:row>74</xdr:row>
      <xdr:rowOff>92530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2B6D1C31-1DB1-3A04-FF7B-AF3CFEBE6A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1886" y="1305741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40823</xdr:colOff>
      <xdr:row>63</xdr:row>
      <xdr:rowOff>40822</xdr:rowOff>
    </xdr:from>
    <xdr:to>
      <xdr:col>1</xdr:col>
      <xdr:colOff>721180</xdr:colOff>
      <xdr:row>64</xdr:row>
      <xdr:rowOff>40822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7AD8647-D7F9-A3FA-8390-E7EF8768A1DA}"/>
            </a:ext>
          </a:extLst>
        </xdr:cNvPr>
        <xdr:cNvSpPr txBox="1"/>
      </xdr:nvSpPr>
      <xdr:spPr>
        <a:xfrm>
          <a:off x="4041323" y="16736786"/>
          <a:ext cx="680357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6"/>
              </a:solidFill>
            </a:rPr>
            <a:t>$1.000</a:t>
          </a:r>
        </a:p>
      </xdr:txBody>
    </xdr:sp>
    <xdr:clientData/>
  </xdr:twoCellAnchor>
  <xdr:twoCellAnchor>
    <xdr:from>
      <xdr:col>0</xdr:col>
      <xdr:colOff>2449286</xdr:colOff>
      <xdr:row>108</xdr:row>
      <xdr:rowOff>136071</xdr:rowOff>
    </xdr:from>
    <xdr:to>
      <xdr:col>6</xdr:col>
      <xdr:colOff>1072715</xdr:colOff>
      <xdr:row>127</xdr:row>
      <xdr:rowOff>116571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AD033D9-3B89-43FC-8890-CD37C7E4A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2462893</xdr:colOff>
      <xdr:row>81</xdr:row>
      <xdr:rowOff>136071</xdr:rowOff>
    </xdr:from>
    <xdr:to>
      <xdr:col>5</xdr:col>
      <xdr:colOff>1486822</xdr:colOff>
      <xdr:row>106</xdr:row>
      <xdr:rowOff>53571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74D1542-F434-4A5D-B99D-59D5EF09B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0.01092</cdr:x>
      <cdr:y>0.60062</cdr:y>
    </cdr:from>
    <cdr:to>
      <cdr:x>0.07441</cdr:x>
      <cdr:y>0.65855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91602CB-D3AA-7BCB-6F10-9A4887F26E98}"/>
            </a:ext>
          </a:extLst>
        </cdr:cNvPr>
        <cdr:cNvSpPr txBox="1"/>
      </cdr:nvSpPr>
      <cdr:spPr>
        <a:xfrm xmlns:a="http://schemas.openxmlformats.org/drawingml/2006/main">
          <a:off x="143190" y="2325971"/>
          <a:ext cx="832519" cy="2243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>
              <a:solidFill>
                <a:schemeClr val="accent6"/>
              </a:solidFill>
            </a:rPr>
            <a:t>$3,599</a:t>
          </a: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Edward Fernando Montaño Gomez" id="{EE5C7DE3-FA37-4B1A-A8D2-FF232E6C14FC}" userId="S::fernandomg@permoda.com.co::63e6bda6-0f55-41d8-a960-01e830b5153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22.345830092592" createdVersion="8" refreshedVersion="8" minRefreshableVersion="3" recordCount="94" xr:uid="{C3C8AE66-DB41-4ED1-9375-F4773019D99D}">
  <cacheSource type="worksheet">
    <worksheetSource name="Tabla1"/>
  </cacheSource>
  <cacheFields count="54">
    <cacheField name="FECHA" numFmtId="0">
      <sharedItems containsNonDate="0" containsDate="1" containsString="0" containsBlank="1" minDate="2024-09-01T00:00:00" maxDate="2026-04-01T00:00:00" count="517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m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9-01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1-01T00:00:00" u="1"/>
        <d v="2024-11-02T00:00:00" u="1"/>
        <d v="2024-11-03T00:00:00" u="1"/>
        <d v="2024-11-04T00:00:00" u="1"/>
        <d v="2024-11-05T00:00:00" u="1"/>
        <d v="2024-11-06T00:00:00" u="1"/>
        <d v="2024-11-07T00:00:00" u="1"/>
        <d v="2024-11-08T00:00:00" u="1"/>
        <d v="2024-11-09T00:00:00" u="1"/>
        <d v="2024-11-10T00:00:00" u="1"/>
        <d v="2024-11-11T00:00:00" u="1"/>
        <d v="2024-11-12T00:00:00" u="1"/>
        <d v="2024-11-13T00:00:00" u="1"/>
        <d v="2024-11-14T00:00:00" u="1"/>
        <d v="2024-11-15T00:00:00" u="1"/>
        <d v="2024-11-16T00:00:00" u="1"/>
        <d v="2024-11-17T00:00:00" u="1"/>
        <d v="2024-11-18T00:00:00" u="1"/>
        <d v="2024-11-19T00:00:00" u="1"/>
        <d v="2024-11-20T00:00:00" u="1"/>
        <d v="2024-11-21T00:00:00" u="1"/>
        <d v="2024-11-22T00:00:00" u="1"/>
        <d v="2024-11-23T00:00:00" u="1"/>
        <d v="2024-11-24T00:00:00" u="1"/>
        <d v="2024-11-25T00:00:00" u="1"/>
        <d v="2024-11-26T00:00:00" u="1"/>
        <d v="2024-11-27T00:00:00" u="1"/>
        <d v="2024-11-28T00:00:00" u="1"/>
        <d v="2024-11-29T00:00:00" u="1"/>
        <d v="2024-11-30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</cacheField>
    <cacheField name="DIA" numFmtId="0">
      <sharedItems containsString="0" containsBlank="1" containsNumber="1" minValue="1" maxValue="31" count="3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m/>
        <n v="3.6857142857142899" u="1"/>
      </sharedItems>
    </cacheField>
    <cacheField name="ANALISIS TURNO" numFmtId="0">
      <sharedItems containsBlank="1"/>
    </cacheField>
    <cacheField name="# TURNO" numFmtId="0">
      <sharedItems containsString="0" containsBlank="1" containsNumber="1" containsInteger="1" minValue="1" maxValue="93"/>
    </cacheField>
    <cacheField name="DILIGENCIAR BITACORA" numFmtId="0">
      <sharedItems containsBlank="1"/>
    </cacheField>
    <cacheField name="FINAL ACIDO (L)" numFmtId="0">
      <sharedItems containsSemiMixedTypes="0" containsString="0" containsNumber="1" containsInteger="1" minValue="0" maxValue="3680"/>
    </cacheField>
    <cacheField name="FINAL COAGULANTE (L)" numFmtId="0">
      <sharedItems containsSemiMixedTypes="0" containsString="0" containsNumber="1" containsInteger="1" minValue="740" maxValue="6290"/>
    </cacheField>
    <cacheField name="FINAL DECOLORANTE (L)" numFmtId="0">
      <sharedItems containsSemiMixedTypes="0" containsString="0" containsNumber="1" containsInteger="1" minValue="1550" maxValue="4450"/>
    </cacheField>
    <cacheField name="FINAL POL ANIONICO (KG)" numFmtId="3">
      <sharedItems containsSemiMixedTypes="0" containsString="0" containsNumber="1" minValue="65" maxValue="275"/>
    </cacheField>
    <cacheField name="FINAL POL CATIONICO (KG)" numFmtId="3">
      <sharedItems containsSemiMixedTypes="0" containsString="0" containsNumber="1" containsInteger="1" minValue="95" maxValue="220"/>
    </cacheField>
    <cacheField name="Lectura Horometro INICIAL (06:00)" numFmtId="3">
      <sharedItems containsSemiMixedTypes="0" containsString="0" containsNumber="1" containsInteger="1" minValue="17228" maxValue="17622"/>
    </cacheField>
    <cacheField name="CAUDAL TOTAL TRATADO GEM " numFmtId="3">
      <sharedItems containsSemiMixedTypes="0" containsString="0" containsNumber="1" containsInteger="1" minValue="-1409760" maxValue="640"/>
    </cacheField>
    <cacheField name="CAUDAL DE TRATAMIENTO" numFmtId="3">
      <sharedItems containsSemiMixedTypes="0" containsString="0" containsNumber="1" containsInteger="1" minValue="80" maxValue="90"/>
    </cacheField>
    <cacheField name="CONSUMO LITROS ACIDO (L)" numFmtId="3">
      <sharedItems containsSemiMixedTypes="0" containsString="0" containsNumber="1" containsInteger="1" minValue="0" maxValue="2780"/>
    </cacheField>
    <cacheField name="CONSUMO LITROS COAGULANTE (L)" numFmtId="3">
      <sharedItems containsSemiMixedTypes="0" containsString="0" containsNumber="1" containsInteger="1" minValue="0" maxValue="5720"/>
    </cacheField>
    <cacheField name="CONSUMO LITROS DECOLORANTE (L)" numFmtId="3">
      <sharedItems containsString="0" containsBlank="1" containsNumber="1" containsInteger="1" minValue="0" maxValue="4280"/>
    </cacheField>
    <cacheField name="CONSUMO POL ANIONICO (KG)" numFmtId="3">
      <sharedItems containsSemiMixedTypes="0" containsString="0" containsNumber="1" minValue="0" maxValue="192"/>
    </cacheField>
    <cacheField name="CONSUMO POL CATIONICO (KG)" numFmtId="3">
      <sharedItems containsSemiMixedTypes="0" containsString="0" containsNumber="1" containsInteger="1" minValue="0" maxValue="125"/>
    </cacheField>
    <cacheField name="KG ACIDO" numFmtId="3">
      <sharedItems containsSemiMixedTypes="0" containsString="0" containsNumber="1" minValue="0" maxValue="3614"/>
    </cacheField>
    <cacheField name="KG COAGULANTE" numFmtId="3">
      <sharedItems containsSemiMixedTypes="0" containsString="0" containsNumber="1" minValue="0" maxValue="7579"/>
    </cacheField>
    <cacheField name="KG DECOLORANTE " numFmtId="3">
      <sharedItems containsSemiMixedTypes="0" containsString="0" containsNumber="1" minValue="0" maxValue="5350"/>
    </cacheField>
    <cacheField name="KG POL ANIONICO " numFmtId="3">
      <sharedItems containsSemiMixedTypes="0" containsString="0" containsNumber="1" minValue="0" maxValue="192"/>
    </cacheField>
    <cacheField name="KG POL CATIONICO " numFmtId="3">
      <sharedItems containsSemiMixedTypes="0" containsString="0" containsNumber="1" containsInteger="1" minValue="0" maxValue="125"/>
    </cacheField>
    <cacheField name="PPM ACIDO " numFmtId="3">
      <sharedItems containsMixedTypes="1" containsNumber="1" minValue="-2.5635569174895019" maxValue="1326.5306122448981"/>
    </cacheField>
    <cacheField name="PPM COAGULANTE " numFmtId="3">
      <sharedItems containsMixedTypes="1" containsNumber="1" minValue="-5.3760923845193505" maxValue="1435.4166666666667"/>
    </cacheField>
    <cacheField name="PPM DECOLORANTE " numFmtId="3">
      <sharedItems containsMixedTypes="1" containsNumber="1" minValue="-3.7949721938485985" maxValue="755.20833333333337"/>
    </cacheField>
    <cacheField name="PPM POL ANIONICO " numFmtId="3">
      <sharedItems containsMixedTypes="1" containsNumber="1" minValue="-0.13619339462036092" maxValue="31.25"/>
    </cacheField>
    <cacheField name="PPM POL CATIONICO" numFmtId="3">
      <sharedItems containsMixedTypes="1" containsNumber="1" minValue="-8.8667574622630807E-2" maxValue="31.25"/>
    </cacheField>
    <cacheField name="DENSIDAD ACIDO" numFmtId="0">
      <sharedItems containsString="0" containsBlank="1" containsNumber="1" minValue="1.3" maxValue="1.3"/>
    </cacheField>
    <cacheField name="DENSIDAD COAGULANTE" numFmtId="0">
      <sharedItems containsString="0" containsBlank="1" containsNumber="1" minValue="1.325" maxValue="1.325"/>
    </cacheField>
    <cacheField name="DENSIDAD DECOLORANTE" numFmtId="0">
      <sharedItems containsString="0" containsBlank="1" containsNumber="1" minValue="1.25" maxValue="1.25"/>
    </cacheField>
    <cacheField name="DENSIDAD ANIONICO" numFmtId="3">
      <sharedItems containsString="0" containsBlank="1" containsNumber="1" containsInteger="1" minValue="2500" maxValue="2500"/>
    </cacheField>
    <cacheField name="DENSIDAD CATIONICO" numFmtId="3">
      <sharedItems containsString="0" containsBlank="1" containsNumber="1" containsInteger="1" minValue="2500" maxValue="2500"/>
    </cacheField>
    <cacheField name="PRECIO (KG) ACIDO" numFmtId="165">
      <sharedItems containsString="0" containsBlank="1" containsNumber="1" containsInteger="1" minValue="830" maxValue="830"/>
    </cacheField>
    <cacheField name="PRECIO (KG) COAGULANTE" numFmtId="165">
      <sharedItems containsString="0" containsBlank="1" containsNumber="1" containsInteger="1" minValue="2818" maxValue="2818"/>
    </cacheField>
    <cacheField name="PRECIO (KG) DECOLORANTE" numFmtId="165">
      <sharedItems containsString="0" containsBlank="1" containsNumber="1" containsInteger="1" minValue="6295" maxValue="6295"/>
    </cacheField>
    <cacheField name="PRECIO (KG) ANIONICO" numFmtId="165">
      <sharedItems containsString="0" containsBlank="1" containsNumber="1" containsInteger="1" minValue="19050" maxValue="19050"/>
    </cacheField>
    <cacheField name="PRECIO (KG) CATIONICO" numFmtId="165">
      <sharedItems containsString="0" containsBlank="1" containsNumber="1" containsInteger="1" minValue="22050" maxValue="22050"/>
    </cacheField>
    <cacheField name="COSTO OPERATIVO ACIDO" numFmtId="165">
      <sharedItems containsSemiMixedTypes="0" containsString="0" containsNumber="1" containsInteger="1" minValue="0" maxValue="517920"/>
    </cacheField>
    <cacheField name="COSTO OPERATIVO COAGULANTE" numFmtId="165">
      <sharedItems containsSemiMixedTypes="0" containsString="0" containsNumber="1" minValue="0" maxValue="1941602"/>
    </cacheField>
    <cacheField name="COSTO OPERATIVO DECOLORANTE" numFmtId="165">
      <sharedItems containsSemiMixedTypes="0" containsString="0" containsNumber="1" minValue="0" maxValue="2281937.5"/>
    </cacheField>
    <cacheField name="COSTO OPERATIVO ANIONICO" numFmtId="165">
      <sharedItems containsSemiMixedTypes="0" containsString="0" containsNumber="1" containsInteger="1" minValue="0" maxValue="190500"/>
    </cacheField>
    <cacheField name="COSTO OPERATIVO CATIONICO" numFmtId="165">
      <sharedItems containsSemiMixedTypes="0" containsString="0" containsNumber="1" containsInteger="1" minValue="0" maxValue="220500"/>
    </cacheField>
    <cacheField name="COSTO QUIMICA " numFmtId="165">
      <sharedItems containsSemiMixedTypes="0" containsString="0" containsNumber="1" minValue="0" maxValue="3702862.5"/>
    </cacheField>
    <cacheField name="LIMITE INDICADOR M3" numFmtId="165">
      <sharedItems containsString="0" containsBlank="1" containsNumber="1" containsInteger="1" minValue="3599" maxValue="3599"/>
    </cacheField>
    <cacheField name="$ m3" numFmtId="165">
      <sharedItems containsMixedTypes="1" containsNumber="1" minValue="0" maxValue="7714.296875"/>
    </cacheField>
    <cacheField name="INDICADOR" numFmtId="0" formula="(#NAME? /'CAUDAL TOTAL TRATADO GEM ')" databaseField="0"/>
    <cacheField name="INDICADOR $m3" numFmtId="0" formula=" ('COSTO QUIMICA '/'CAUDAL TOTAL TRATADO GEM ')" databaseField="0"/>
    <cacheField name="ppm diario acido" numFmtId="0" formula="('KG ACIDO'*1000)/'CAUDAL TOTAL TRATADO GEM '" databaseField="0"/>
    <cacheField name="COF 235 - PPM COAGULANTE " numFmtId="0" formula=" ('KG COAGULANTE'*1000)/'CAUDAL TOTAL TRATADO GEM '" databaseField="0"/>
    <cacheField name="COF 255 - PPM DECOLORANTE" numFmtId="0" formula="('KG DECOLORANTE '*1000)/'CAUDAL TOTAL TRATADO GEM '" databaseField="0"/>
    <cacheField name="COF 440 - PPM POL ANIONICO" numFmtId="0" formula="('KG POL ANIONICO '*1000)/'CAUDAL TOTAL TRATADO GEM '" databaseField="0"/>
    <cacheField name="COF 494 - PPM POL CATIONICO" numFmtId="0" formula="('KG POL CATIONICO '*1000)/'CAUDAL TOTAL TRATADO GEM '" databaseField="0"/>
    <cacheField name="2024 $m3 GEM" numFmtId="0" formula="('LIMITE INDICADOR M3'-'LIMITE INDICADOR M3')+4909" databaseField="0"/>
  </cacheFields>
  <extLst>
    <ext xmlns:x14="http://schemas.microsoft.com/office/spreadsheetml/2009/9/main" uri="{725AE2AE-9491-48be-B2B4-4EB974FC3084}">
      <x14:pivotCacheDefinition pivotCacheId="151529139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122.345831134262" createdVersion="8" refreshedVersion="8" minRefreshableVersion="3" recordCount="94" xr:uid="{B88EE19A-5615-4F82-AE52-3176984C19D2}">
  <cacheSource type="worksheet">
    <worksheetSource name="Tabla2"/>
  </cacheSource>
  <cacheFields count="62">
    <cacheField name="FECHA" numFmtId="14">
      <sharedItems containsNonDate="0" containsDate="1" containsString="0" containsBlank="1" minDate="2024-09-01T00:00:00" maxDate="2026-04-01T00:00:00" count="459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m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2-23T00:00:00" u="1"/>
        <d v="2026-02-24T00:00:00" u="1"/>
        <d v="2026-02-25T00:00:00" u="1"/>
        <d v="2026-02-26T00:00:00" u="1"/>
        <d v="2026-02-27T00:00:00" u="1"/>
        <d v="2026-02-28T00:00:00" u="1"/>
        <d v="2026-01-01T00:00:00" u="1"/>
        <d v="2026-01-02T00:00:00" u="1"/>
        <d v="2026-01-03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  <d v="2026-01-25T00:00:00" u="1"/>
        <d v="2026-01-26T00:00:00" u="1"/>
        <d v="2026-01-27T00:00:00" u="1"/>
        <d v="2026-01-28T00:00:00" u="1"/>
        <d v="2026-01-29T00:00:00" u="1"/>
        <d v="2026-01-30T00:00:00" u="1"/>
        <d v="2026-01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2-01T00:00:00" u="1"/>
        <d v="2025-02-02T00:00:00" u="1"/>
        <d v="2025-02-03T00:00:00" u="1"/>
        <d v="2025-02-04T00:00:00" u="1"/>
        <d v="2025-02-05T00:00:00" u="1"/>
        <d v="2025-02-06T00:00:00" u="1"/>
        <d v="2025-02-07T00:00:00" u="1"/>
        <d v="2025-02-08T00:00:00" u="1"/>
        <d v="2025-02-09T00:00:00" u="1"/>
        <d v="2025-02-10T00:00:00" u="1"/>
        <d v="2025-02-11T00:00:00" u="1"/>
        <d v="2025-02-12T00:00:00" u="1"/>
        <d v="2025-02-13T00:00:00" u="1"/>
        <d v="2025-02-14T00:00:00" u="1"/>
        <d v="2025-02-15T00:00:00" u="1"/>
        <d v="2025-02-16T00:00:00" u="1"/>
        <d v="2025-02-17T00:00:00" u="1"/>
        <d v="2025-02-18T00:00:00" u="1"/>
        <d v="2025-02-19T00:00:00" u="1"/>
        <d v="2025-02-20T00:00:00" u="1"/>
        <d v="2025-02-21T00:00:00" u="1"/>
        <d v="2025-02-22T00:00:00" u="1"/>
        <d v="2025-02-23T00:00:00" u="1"/>
        <d v="2025-02-24T00:00:00" u="1"/>
        <d v="2025-02-25T00:00:00" u="1"/>
        <d v="2025-02-26T00:00:00" u="1"/>
        <d v="2025-02-27T00:00:00" u="1"/>
        <d v="2025-02-28T00:00:00" u="1"/>
        <d v="2025-03-01T00:00:00" u="1"/>
        <d v="2025-03-02T00:00:00" u="1"/>
        <d v="2025-03-03T00:00:00" u="1"/>
        <d v="2025-01-01T00:00:00" u="1"/>
        <d v="2025-01-02T00:00:00" u="1"/>
        <d v="2025-01-03T00:00:00" u="1"/>
        <d v="2025-01-04T00:00:00" u="1"/>
        <d v="2025-01-05T00:00:00" u="1"/>
        <d v="2025-01-06T00:00:00" u="1"/>
        <d v="2025-01-07T00:00:00" u="1"/>
        <d v="2025-01-08T00:00:00" u="1"/>
        <d v="2025-01-09T00:00:00" u="1"/>
        <d v="2025-01-10T00:00:00" u="1"/>
        <d v="2025-01-11T00:00:00" u="1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5-01-19T00:00:00" u="1"/>
        <d v="2025-01-20T00:00:00" u="1"/>
        <d v="2025-01-21T00:00:00" u="1"/>
        <d v="2025-01-22T00:00:00" u="1"/>
        <d v="2025-01-23T00:00:00" u="1"/>
        <d v="2025-01-24T00:00:00" u="1"/>
        <d v="2025-01-25T00:00:00" u="1"/>
        <d v="2025-01-26T00:00:00" u="1"/>
        <d v="2025-01-27T00:00:00" u="1"/>
        <d v="2025-01-28T00:00:00" u="1"/>
        <d v="2025-01-29T00:00:00" u="1"/>
        <d v="2025-01-30T00:00:00" u="1"/>
        <d v="2025-01-31T00:00:00" u="1"/>
        <d v="2024-12-01T00:00:00" u="1"/>
        <d v="2024-12-02T00:00:00" u="1"/>
        <d v="2024-12-03T00:00:00" u="1"/>
        <d v="2024-12-04T00:00:00" u="1"/>
        <d v="2024-12-05T00:00:00" u="1"/>
        <d v="2024-12-06T00:00:00" u="1"/>
        <d v="2024-12-07T00:00:00" u="1"/>
        <d v="2024-12-08T00:00:00" u="1"/>
        <d v="2024-12-09T00:00:00" u="1"/>
        <d v="2024-12-10T00:00:00" u="1"/>
        <d v="2024-12-11T00:00:00" u="1"/>
        <d v="2024-12-12T00:00:00" u="1"/>
        <d v="2024-12-13T00:00:00" u="1"/>
        <d v="2024-12-14T00:00:00" u="1"/>
        <d v="2024-12-15T00:00:00" u="1"/>
        <d v="2024-12-16T00:00:00" u="1"/>
        <d v="2024-12-17T00:00:00" u="1"/>
        <d v="2024-12-18T00:00:00" u="1"/>
        <d v="2024-12-19T00:00:00" u="1"/>
        <d v="2024-12-20T00:00:00" u="1"/>
        <d v="2024-12-21T00:00:00" u="1"/>
        <d v="2024-12-22T00:00:00" u="1"/>
        <d v="2024-12-23T00:00:00" u="1"/>
        <d v="2024-12-24T00:00:00" u="1"/>
        <d v="2024-12-25T00:00:00" u="1"/>
        <d v="2024-12-26T00:00:00" u="1"/>
        <d v="2024-12-27T00:00:00" u="1"/>
        <d v="2024-12-28T00:00:00" u="1"/>
        <d v="2024-12-29T00:00:00" u="1"/>
        <d v="2024-12-30T00:00:00" u="1"/>
        <d v="2024-12-31T00:00:00" u="1"/>
        <d v="2024-10-01T00:00:00" u="1"/>
        <d v="2024-10-02T00:00:00" u="1"/>
        <d v="2024-10-03T00:00:00" u="1"/>
        <d v="2024-10-04T00:00:00" u="1"/>
        <d v="2024-10-05T00:00:00" u="1"/>
        <d v="2024-10-06T00:00:00" u="1"/>
        <d v="2024-10-07T00:00:00" u="1"/>
        <d v="2024-10-08T00:00:00" u="1"/>
        <d v="2024-10-09T00:00:00" u="1"/>
        <d v="2024-10-10T00:00:00" u="1"/>
        <d v="2024-10-11T00:00:00" u="1"/>
        <d v="2024-10-12T00:00:00" u="1"/>
        <d v="2024-10-13T00:00:00" u="1"/>
        <d v="2024-10-14T00:00:00" u="1"/>
        <d v="2024-10-15T00:00:00" u="1"/>
        <d v="2024-10-16T00:00:00" u="1"/>
        <d v="2024-10-17T00:00:00" u="1"/>
        <d v="2024-10-18T00:00:00" u="1"/>
        <d v="2024-10-19T00:00:00" u="1"/>
        <d v="2024-10-20T00:00:00" u="1"/>
        <d v="2024-10-21T00:00:00" u="1"/>
        <d v="2024-10-22T00:00:00" u="1"/>
        <d v="2024-10-23T00:00:00" u="1"/>
        <d v="2024-10-24T00:00:00" u="1"/>
        <d v="2024-10-25T00:00:00" u="1"/>
        <d v="2024-10-26T00:00:00" u="1"/>
        <d v="2024-10-27T00:00:00" u="1"/>
        <d v="2024-10-28T00:00:00" u="1"/>
        <d v="2024-10-29T00:00:00" u="1"/>
        <d v="2024-10-30T00:00:00" u="1"/>
        <d v="2024-10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5T00:00:00" u="1"/>
        <d v="2024-09-16T00:00:00" u="1"/>
        <d v="2024-09-17T00:00:00" u="1"/>
        <d v="2024-09-18T00:00:00" u="1"/>
        <d v="2024-09-19T00:00:00" u="1"/>
        <d v="2024-09-20T00:00:00" u="1"/>
        <d v="2024-09-21T00:00:00" u="1"/>
        <d v="2024-09-22T00:00:00" u="1"/>
        <d v="2024-09-23T00:00:00" u="1"/>
        <d v="2024-09-24T00:00:00" u="1"/>
        <d v="2024-09-25T00:00:00" u="1"/>
        <d v="2024-09-26T00:00:00" u="1"/>
        <d v="2024-09-27T00:00:00" u="1"/>
        <d v="2024-09-28T00:00:00" u="1"/>
        <d v="2024-09-29T00:00:00" u="1"/>
        <d v="2024-09-30T00:00:00" u="1"/>
      </sharedItems>
      <fieldGroup par="61"/>
    </cacheField>
    <cacheField name="DIA" numFmtId="1">
      <sharedItems containsSemiMixedTypes="0" containsString="0" containsNumber="1" containsInteger="1" minValue="0" maxValue="31" count="3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0"/>
      </sharedItems>
    </cacheField>
    <cacheField name="TURNO" numFmtId="0">
      <sharedItems containsBlank="1"/>
    </cacheField>
    <cacheField name="HCL (10%)" numFmtId="0">
      <sharedItems containsNonDate="0" containsString="0" containsBlank="1"/>
    </cacheField>
    <cacheField name="KURIVERTER IK-220 (Biocida)" numFmtId="0">
      <sharedItems containsString="0" containsBlank="1" containsNumber="1" containsInteger="1" minValue="0" maxValue="0"/>
    </cacheField>
    <cacheField name="VITEC 7000 (Antiincrustante)" numFmtId="0">
      <sharedItems containsString="0" containsBlank="1" containsNumber="1" containsInteger="1" minValue="0" maxValue="0"/>
    </cacheField>
    <cacheField name="Hidróxido de Sodio (NaOH)" numFmtId="0">
      <sharedItems containsNonDate="0" containsString="0" containsBlank="1"/>
    </cacheField>
    <cacheField name="Bisulfito de sodio " numFmtId="0">
      <sharedItems containsNonDate="0" containsString="0" containsBlank="1"/>
    </cacheField>
    <cacheField name="TIEMPO DE OPERACIÓN (minutos)" numFmtId="2">
      <sharedItems containsSemiMixedTypes="0" containsString="0" containsNumber="1" minValue="0" maxValue="159.21199999999999"/>
    </cacheField>
    <cacheField name="cm HCL (10%)" numFmtId="0">
      <sharedItems containsSemiMixedTypes="0" containsString="0" containsNumber="1" containsInteger="1" minValue="0" maxValue="0"/>
    </cacheField>
    <cacheField name="cm IK-220 (Biocida)" numFmtId="0">
      <sharedItems containsSemiMixedTypes="0" containsString="0" containsNumber="1" containsInteger="1" minValue="15" maxValue="175"/>
    </cacheField>
    <cacheField name="cm          Vitec 7000" numFmtId="0">
      <sharedItems containsSemiMixedTypes="0" containsString="0" containsNumber="1" containsInteger="1" minValue="5" maxValue="110"/>
    </cacheField>
    <cacheField name="cm NaOH" numFmtId="0">
      <sharedItems containsSemiMixedTypes="0" containsString="0" containsNumber="1" containsInteger="1" minValue="0" maxValue="0"/>
    </cacheField>
    <cacheField name="cm Bisulfito de sodio" numFmtId="0">
      <sharedItems containsSemiMixedTypes="0" containsString="0" containsNumber="1" containsInteger="1" minValue="0" maxValue="0"/>
    </cacheField>
    <cacheField name="(INV- L) - HCL (10%)" numFmtId="1">
      <sharedItems containsSemiMixedTypes="0" containsString="0" containsNumber="1" containsInteger="1" minValue="0" maxValue="0"/>
    </cacheField>
    <cacheField name="(INV -L) - KURIVERTER IK-220 (Biocida)" numFmtId="1">
      <sharedItems containsSemiMixedTypes="0" containsString="0" containsNumber="1" minValue="131.57894736842107" maxValue="1535.0877192982457"/>
    </cacheField>
    <cacheField name="(INV -L) - VITEC 7000 (Antiincrustante)" numFmtId="1">
      <sharedItems containsSemiMixedTypes="0" containsString="0" containsNumber="1" minValue="43.859649122807021" maxValue="964.91228070175441"/>
    </cacheField>
    <cacheField name="(INV -L) - Hidróxido de Sodio (NaOH)" numFmtId="1">
      <sharedItems containsSemiMixedTypes="0" containsString="0" containsNumber="1" containsInteger="1" minValue="0" maxValue="0"/>
    </cacheField>
    <cacheField name="(INV -L) Bisulfito de sodio " numFmtId="1">
      <sharedItems containsSemiMixedTypes="0" containsString="0" containsNumber="1" containsInteger="1" minValue="0" maxValue="0"/>
    </cacheField>
    <cacheField name="CONSUMO (L) HCL (10%)2" numFmtId="1">
      <sharedItems containsSemiMixedTypes="0" containsString="0" containsNumber="1" containsInteger="1" minValue="0" maxValue="0"/>
    </cacheField>
    <cacheField name="CONSUMO (L) KURIVERTER IK-220 (Biocida)" numFmtId="1">
      <sharedItems containsSemiMixedTypes="0" containsString="0" containsNumber="1" minValue="0" maxValue="377.19298245614038"/>
    </cacheField>
    <cacheField name="CONSUMO (L) VITEC 7000 (Antiincrustante)" numFmtId="1">
      <sharedItems containsSemiMixedTypes="0" containsString="0" containsNumber="1" minValue="0" maxValue="280.70175438596482"/>
    </cacheField>
    <cacheField name="CONSUMO (L) Hidróxido de Sodio (NaOH)" numFmtId="1">
      <sharedItems containsSemiMixedTypes="0" containsString="0" containsNumber="1" containsInteger="1" minValue="0" maxValue="0"/>
    </cacheField>
    <cacheField name="CONSUMO (L) Bisulfito de sodio" numFmtId="1">
      <sharedItems containsSemiMixedTypes="0" containsString="0" containsNumber="1" containsInteger="1" minValue="0" maxValue="0"/>
    </cacheField>
    <cacheField name="DENSIDAD HCL (10%)" numFmtId="0">
      <sharedItems containsString="0" containsBlank="1" containsNumber="1" minValue="1.18" maxValue="1.18"/>
    </cacheField>
    <cacheField name="DENSIDAD KURIVERTER IK-220 (Biocida)" numFmtId="0">
      <sharedItems containsString="0" containsBlank="1" containsNumber="1" minValue="1.28" maxValue="1.28"/>
    </cacheField>
    <cacheField name="DENSIDAD VITEC 7000 (Antiincrustante)" numFmtId="0">
      <sharedItems containsString="0" containsBlank="1" containsNumber="1" minValue="1.2" maxValue="1.2"/>
    </cacheField>
    <cacheField name="DENSIDAD Hidróxido de Sodio (NaOH)" numFmtId="0">
      <sharedItems containsString="0" containsBlank="1" containsNumber="1" minValue="1.53" maxValue="1.53"/>
    </cacheField>
    <cacheField name="DENSIDAD Bisulfito de sodio " numFmtId="0">
      <sharedItems containsString="0" containsBlank="1" containsNumber="1" minValue="1.2" maxValue="1.2"/>
    </cacheField>
    <cacheField name="CONSUMO (Kg) HCL (10%)22" numFmtId="1">
      <sharedItems containsSemiMixedTypes="0" containsString="0" containsNumber="1" containsInteger="1" minValue="0" maxValue="0"/>
    </cacheField>
    <cacheField name="CONSUMO (Kg) KURIVERTER IK-220 (Biocida)" numFmtId="1">
      <sharedItems containsSemiMixedTypes="0" containsString="0" containsNumber="1" minValue="0" maxValue="404.21052631578948"/>
    </cacheField>
    <cacheField name="CONSUMO (Kg) VITEC 7000 (Antiincrustante)" numFmtId="1">
      <sharedItems containsSemiMixedTypes="0" containsString="0" containsNumber="1" minValue="0" maxValue="336.84210526315775"/>
    </cacheField>
    <cacheField name="CONSUMO (Kg) Hidróxido de Sodio (NaOH)" numFmtId="1">
      <sharedItems containsSemiMixedTypes="0" containsString="0" containsNumber="1" containsInteger="1" minValue="0" maxValue="0"/>
    </cacheField>
    <cacheField name="CONSUMO (Kg) Bisulfito de sodio6" numFmtId="1">
      <sharedItems containsSemiMixedTypes="0" containsString="0" containsNumber="1" containsInteger="1" minValue="0" maxValue="0"/>
    </cacheField>
    <cacheField name="VOLUMEN ENVIADO A RO (m3)" numFmtId="0">
      <sharedItems containsString="0" containsBlank="1" containsNumber="1" minValue="0" maxValue="636.84799999999996"/>
    </cacheField>
    <cacheField name="PPM HCL (10%)" numFmtId="1">
      <sharedItems containsMixedTypes="1" containsNumber="1" containsInteger="1" minValue="0" maxValue="0"/>
    </cacheField>
    <cacheField name="PPM  KURIVERTER IK-220 (Biocida)" numFmtId="1">
      <sharedItems containsMixedTypes="1" containsNumber="1" minValue="0" maxValue="1351.4407625504502"/>
    </cacheField>
    <cacheField name="PPM  VITEC 7000 (Antiincrustante)" numFmtId="1">
      <sharedItems containsMixedTypes="1" containsNumber="1" minValue="0" maxValue="1207.5011480694502"/>
    </cacheField>
    <cacheField name="PPM  Hidróxido de Sodio (NaOH)" numFmtId="1">
      <sharedItems containsMixedTypes="1" containsNumber="1" containsInteger="1" minValue="0" maxValue="0"/>
    </cacheField>
    <cacheField name="PPM Bisulfito de sodio " numFmtId="1">
      <sharedItems containsMixedTypes="1" containsNumber="1" containsInteger="1" minValue="0" maxValue="0"/>
    </cacheField>
    <cacheField name="PRECIO HCL (10%)" numFmtId="42">
      <sharedItems containsSemiMixedTypes="0" containsString="0" containsNumber="1" containsInteger="1" minValue="1550" maxValue="1550"/>
    </cacheField>
    <cacheField name="PRECIO KURIVERTER IK-220 (Biocida)" numFmtId="42">
      <sharedItems containsSemiMixedTypes="0" containsString="0" containsNumber="1" containsInteger="1" minValue="19160" maxValue="19160"/>
    </cacheField>
    <cacheField name="PRECIO VITEC 7000 (Antiincrustante)" numFmtId="42">
      <sharedItems containsSemiMixedTypes="0" containsString="0" containsNumber="1" containsInteger="1" minValue="36239" maxValue="36239"/>
    </cacheField>
    <cacheField name="PRECIO Hidróxido de Sodio (NaOH)" numFmtId="42">
      <sharedItems containsSemiMixedTypes="0" containsString="0" containsNumber="1" containsInteger="1" minValue="1560" maxValue="1560"/>
    </cacheField>
    <cacheField name="PRECIO Bisulfito de sodio " numFmtId="42">
      <sharedItems containsSemiMixedTypes="0" containsString="0" containsNumber="1" containsInteger="1" minValue="3640" maxValue="3640"/>
    </cacheField>
    <cacheField name="COSTO OPERATIVO HCL (10%)" numFmtId="42">
      <sharedItems containsSemiMixedTypes="0" containsString="0" containsNumber="1" containsInteger="1" minValue="0" maxValue="0"/>
    </cacheField>
    <cacheField name="COSTO OPERATIVO KURIVERTER IK-220 (Biocida)" numFmtId="42">
      <sharedItems containsSemiMixedTypes="0" containsString="0" containsNumber="1" minValue="0" maxValue="92936.084210526329"/>
    </cacheField>
    <cacheField name="COSTO OPERATIVO VITEC 7000 (Antiincrustante)" numFmtId="42">
      <sharedItems containsSemiMixedTypes="0" containsString="0" containsNumber="1" minValue="0" maxValue="537100.12631578918"/>
    </cacheField>
    <cacheField name="COSTO OPERATIVO Hidróxido de Sodio (NaOH)" numFmtId="42">
      <sharedItems containsSemiMixedTypes="0" containsString="0" containsNumber="1" containsInteger="1" minValue="0" maxValue="0"/>
    </cacheField>
    <cacheField name="COSTO OPERATIVO Bisulfito de sodio " numFmtId="42">
      <sharedItems containsSemiMixedTypes="0" containsString="0" containsNumber="1" containsInteger="1" minValue="0" maxValue="0"/>
    </cacheField>
    <cacheField name="COSTO QUIMICA " numFmtId="42">
      <sharedItems containsSemiMixedTypes="0" containsString="0" containsNumber="1" minValue="0" maxValue="555171.03157894709"/>
    </cacheField>
    <cacheField name="LIMITE INDICADOR M3" numFmtId="42">
      <sharedItems containsString="0" containsBlank="1" containsNumber="1" containsInteger="1" minValue="1000" maxValue="1000"/>
    </cacheField>
    <cacheField name="$m3 ENVIADO A RO (m3)" numFmtId="42">
      <sharedItems containsMixedTypes="1" containsNumber="1" minValue="0" maxValue="2118.027757186393"/>
    </cacheField>
    <cacheField name="INDICADOR $m3 RO" numFmtId="0" formula="('COSTO QUIMICA '/'VOLUMEN ENVIADO A RO (m3)')" databaseField="0"/>
    <cacheField name="PPM HCL" numFmtId="0" formula=" ('CONSUMO (Kg) HCL (10%)22'*1000)/'VOLUMEN ENVIADO A RO (m3)'" databaseField="0"/>
    <cacheField name="PPM KURIVERTER" numFmtId="0" formula="('CONSUMO (Kg) KURIVERTER IK-220 (Biocida)'*1000)/'VOLUMEN ENVIADO A RO (m3)'" databaseField="0"/>
    <cacheField name="PPM VITEC" numFmtId="0" formula=" ('CONSUMO (Kg) VITEC 7000 (Antiincrustante)'*1000)/'VOLUMEN ENVIADO A RO (m3)'" databaseField="0"/>
    <cacheField name="PPM NaOH" numFmtId="0" formula=" ('CONSUMO (Kg) Hidróxido de Sodio (NaOH)'*1000)/#NAME?" databaseField="0"/>
    <cacheField name="PPM BISULFITO" numFmtId="0" formula=" ('CONSUMO (Kg) Bisulfito de sodio6'*1000)/'VOLUMEN ENVIADO A RO (m3)'" databaseField="0"/>
    <cacheField name="Meses (FECHA)" numFmtId="0" databaseField="0">
      <fieldGroup base="0">
        <rangePr groupBy="months" startDate="2026-03-01T00:00:00" endDate="2026-04-01T00:00:00"/>
        <groupItems count="14">
          <s v="&lt;1/03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1/04/2026"/>
        </groupItems>
      </fieldGroup>
    </cacheField>
    <cacheField name="Trimestres (FECHA)" numFmtId="0" databaseField="0">
      <fieldGroup base="0">
        <rangePr groupBy="quarters" startDate="2026-03-01T00:00:00" endDate="2026-04-01T00:00:00"/>
        <groupItems count="6">
          <s v="&lt;1/03/2026"/>
          <s v="Trim.1"/>
          <s v="Trim.2"/>
          <s v="Trim.3"/>
          <s v="Trim.4"/>
          <s v="&gt;1/04/2026"/>
        </groupItems>
      </fieldGroup>
    </cacheField>
    <cacheField name="Años (FECHA)" numFmtId="0" databaseField="0">
      <fieldGroup base="0">
        <rangePr groupBy="years" startDate="2026-03-01T00:00:00" endDate="2026-04-01T00:00:00"/>
        <groupItems count="3">
          <s v="&lt;1/03/2026"/>
          <s v="2026"/>
          <s v="&gt;1/04/2026"/>
        </groupItems>
      </fieldGroup>
    </cacheField>
  </cacheFields>
  <extLst>
    <ext xmlns:x14="http://schemas.microsoft.com/office/spreadsheetml/2009/9/main" uri="{725AE2AE-9491-48be-B2B4-4EB974FC3084}">
      <x14:pivotCacheDefinition pivotCacheId="140647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n v="1"/>
    <s v="FINAL TURNO 3"/>
    <n v="480"/>
    <n v="1700"/>
    <n v="2090"/>
    <n v="125"/>
    <n v="175"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0"/>
    <x v="0"/>
    <s v="2 (MAÑANA)"/>
    <n v="2"/>
    <s v="FINAL TURNO 1"/>
    <n v="480"/>
    <n v="1700"/>
    <n v="2090"/>
    <n v="125"/>
    <n v="175"/>
    <n v="17228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0"/>
    <x v="0"/>
    <s v="3(TARDE)"/>
    <n v="3"/>
    <s v="FINAL TURNO 2"/>
    <n v="480"/>
    <n v="1700"/>
    <n v="2090"/>
    <n v="125"/>
    <n v="175"/>
    <n v="17228"/>
    <n v="240"/>
    <n v="80"/>
    <n v="0"/>
    <n v="0"/>
    <n v="0"/>
    <n v="0"/>
    <n v="0"/>
    <n v="0"/>
    <n v="0"/>
    <n v="0"/>
    <n v="0"/>
    <n v="0"/>
    <n v="0"/>
    <n v="0"/>
    <n v="0"/>
    <n v="0"/>
    <n v="0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n v="0"/>
  </r>
  <r>
    <x v="1"/>
    <x v="1"/>
    <s v="2 (NOCHE)"/>
    <n v="4"/>
    <s v="FINAL TURNO 3"/>
    <n v="480"/>
    <n v="1700"/>
    <n v="2090"/>
    <n v="125"/>
    <n v="165"/>
    <n v="17231"/>
    <n v="480"/>
    <n v="80"/>
    <n v="480"/>
    <n v="50"/>
    <n v="290"/>
    <n v="5"/>
    <n v="5"/>
    <n v="624"/>
    <n v="66.25"/>
    <n v="362.5"/>
    <n v="5"/>
    <n v="5"/>
    <n v="1300"/>
    <n v="138.02083333333334"/>
    <n v="755.20833333333337"/>
    <n v="10.416666666666666"/>
    <n v="10.416666666666666"/>
    <n v="1.3"/>
    <n v="1.325"/>
    <n v="1.25"/>
    <n v="2500"/>
    <n v="2500"/>
    <n v="830"/>
    <n v="2818"/>
    <n v="6295"/>
    <n v="19050"/>
    <n v="22050"/>
    <n v="517920"/>
    <n v="186692.5"/>
    <n v="2281937.5"/>
    <n v="95250"/>
    <n v="110250"/>
    <n v="3192050"/>
    <n v="3599"/>
    <n v="6650.104166666667"/>
  </r>
  <r>
    <x v="1"/>
    <x v="1"/>
    <s v="3 (MAÑANA)"/>
    <n v="5"/>
    <s v="FINAL TURNO 1"/>
    <n v="0"/>
    <n v="3650"/>
    <n v="1800"/>
    <n v="120"/>
    <n v="160"/>
    <n v="17237"/>
    <n v="560"/>
    <n v="80"/>
    <n v="0"/>
    <n v="210"/>
    <n v="90"/>
    <n v="5"/>
    <n v="5"/>
    <n v="0"/>
    <n v="278.25"/>
    <n v="112.5"/>
    <n v="5"/>
    <n v="5"/>
    <n v="0"/>
    <n v="496.875"/>
    <n v="200.89285714285714"/>
    <n v="8.9285714285714288"/>
    <n v="8.9285714285714288"/>
    <n v="1.3"/>
    <n v="1.325"/>
    <n v="1.25"/>
    <n v="2500"/>
    <n v="2500"/>
    <n v="830"/>
    <n v="2818"/>
    <n v="6295"/>
    <n v="19050"/>
    <n v="22050"/>
    <n v="0"/>
    <n v="784108.5"/>
    <n v="708187.5"/>
    <n v="95250"/>
    <n v="110250"/>
    <n v="1697796"/>
    <n v="3599"/>
    <n v="3031.7785714285715"/>
  </r>
  <r>
    <x v="1"/>
    <x v="1"/>
    <s v="3(TARDE)"/>
    <n v="6"/>
    <s v="FINAL TURNO 2"/>
    <n v="0"/>
    <n v="3440"/>
    <n v="1710"/>
    <n v="115"/>
    <n v="155"/>
    <n v="17244"/>
    <n v="560"/>
    <n v="80"/>
    <n v="0"/>
    <n v="190"/>
    <n v="60"/>
    <n v="0"/>
    <n v="5"/>
    <n v="0"/>
    <n v="251.75"/>
    <n v="75"/>
    <n v="0"/>
    <n v="5"/>
    <n v="0"/>
    <n v="449.55357142857144"/>
    <n v="133.92857142857142"/>
    <n v="0"/>
    <n v="8.9285714285714288"/>
    <n v="1.3"/>
    <n v="1.325"/>
    <n v="1.25"/>
    <n v="2500"/>
    <n v="2500"/>
    <n v="830"/>
    <n v="2818"/>
    <n v="6295"/>
    <n v="19050"/>
    <n v="22050"/>
    <n v="0"/>
    <n v="709431.5"/>
    <n v="472125"/>
    <n v="0"/>
    <n v="110250"/>
    <n v="1291806.5"/>
    <n v="3599"/>
    <n v="2306.7973214285716"/>
  </r>
  <r>
    <x v="2"/>
    <x v="2"/>
    <s v="3 (NOCHE)"/>
    <n v="7"/>
    <s v="FINAL TURNO 3"/>
    <n v="0"/>
    <n v="3250"/>
    <n v="1650"/>
    <n v="115"/>
    <n v="150"/>
    <n v="17251"/>
    <n v="400"/>
    <n v="80"/>
    <n v="0"/>
    <n v="100"/>
    <n v="40"/>
    <n v="5"/>
    <n v="5"/>
    <n v="0"/>
    <n v="132.5"/>
    <n v="50"/>
    <n v="5"/>
    <n v="5"/>
    <n v="0"/>
    <n v="331.25"/>
    <n v="125"/>
    <n v="12.5"/>
    <n v="12.5"/>
    <n v="1.3"/>
    <n v="1.325"/>
    <n v="1.25"/>
    <n v="2500"/>
    <n v="2500"/>
    <n v="830"/>
    <n v="2818"/>
    <n v="6295"/>
    <n v="19050"/>
    <n v="22050"/>
    <n v="0"/>
    <n v="373385"/>
    <n v="314750"/>
    <n v="95250"/>
    <n v="110250"/>
    <n v="893635"/>
    <n v="3599"/>
    <n v="2234.0875000000001"/>
  </r>
  <r>
    <x v="2"/>
    <x v="2"/>
    <s v="4 (MAÑANA)"/>
    <n v="8"/>
    <s v="FINAL TURNO 1"/>
    <n v="0"/>
    <n v="3000"/>
    <n v="1610"/>
    <n v="110"/>
    <n v="145"/>
    <n v="17256"/>
    <n v="400"/>
    <n v="80"/>
    <n v="0"/>
    <n v="150"/>
    <n v="60"/>
    <n v="0"/>
    <n v="5"/>
    <n v="0"/>
    <n v="198.75"/>
    <n v="75"/>
    <n v="0"/>
    <n v="5"/>
    <n v="0"/>
    <n v="496.875"/>
    <n v="187.5"/>
    <n v="0"/>
    <n v="12.5"/>
    <n v="1.3"/>
    <n v="1.325"/>
    <n v="1.25"/>
    <n v="2500"/>
    <n v="2500"/>
    <n v="830"/>
    <n v="2818"/>
    <n v="6295"/>
    <n v="19050"/>
    <n v="22050"/>
    <n v="0"/>
    <n v="560077.5"/>
    <n v="472125"/>
    <n v="0"/>
    <n v="110250"/>
    <n v="1142452.5"/>
    <n v="3599"/>
    <n v="2856.1312499999999"/>
  </r>
  <r>
    <x v="2"/>
    <x v="2"/>
    <s v="3(TARDE)"/>
    <n v="9"/>
    <s v="FINAL TURNO 2"/>
    <n v="0"/>
    <n v="2850"/>
    <n v="1550"/>
    <n v="110"/>
    <n v="140"/>
    <n v="17261"/>
    <n v="640"/>
    <n v="80"/>
    <n v="0"/>
    <n v="100"/>
    <n v="50"/>
    <n v="0"/>
    <n v="0"/>
    <n v="0"/>
    <n v="132.5"/>
    <n v="62.5"/>
    <n v="0"/>
    <n v="0"/>
    <n v="0"/>
    <n v="207.03125"/>
    <n v="97.65625"/>
    <n v="0"/>
    <n v="0"/>
    <n v="1.3"/>
    <n v="1.325"/>
    <n v="1.25"/>
    <n v="2500"/>
    <n v="2500"/>
    <n v="830"/>
    <n v="2818"/>
    <n v="6295"/>
    <n v="19050"/>
    <n v="22050"/>
    <n v="0"/>
    <n v="373385"/>
    <n v="393437.5"/>
    <n v="0"/>
    <n v="0"/>
    <n v="766822.5"/>
    <n v="3599"/>
    <n v="1198.16015625"/>
  </r>
  <r>
    <x v="3"/>
    <x v="3"/>
    <s v="4 (NOCHE)"/>
    <n v="10"/>
    <s v="FINAL TURNO 3"/>
    <n v="2000"/>
    <n v="4750"/>
    <n v="2500"/>
    <n v="105"/>
    <n v="135"/>
    <n v="17269"/>
    <n v="400"/>
    <n v="80"/>
    <n v="130"/>
    <n v="120"/>
    <n v="70"/>
    <n v="0"/>
    <n v="0"/>
    <n v="169"/>
    <n v="159"/>
    <n v="87.5"/>
    <n v="0"/>
    <n v="0"/>
    <n v="422.5"/>
    <n v="397.5"/>
    <n v="218.75"/>
    <n v="0"/>
    <n v="0"/>
    <n v="1.3"/>
    <n v="1.325"/>
    <n v="1.25"/>
    <n v="2500"/>
    <n v="2500"/>
    <n v="830"/>
    <n v="2818"/>
    <n v="6295"/>
    <n v="19050"/>
    <n v="22050"/>
    <n v="140270"/>
    <n v="448062"/>
    <n v="550812.5"/>
    <n v="0"/>
    <n v="0"/>
    <n v="1139144.5"/>
    <n v="3599"/>
    <n v="2847.8612499999999"/>
  </r>
  <r>
    <x v="3"/>
    <x v="3"/>
    <s v="5 (MAÑANA)"/>
    <n v="11"/>
    <s v="FINAL TURNO 1"/>
    <n v="1870"/>
    <n v="4480"/>
    <n v="2430"/>
    <n v="105"/>
    <n v="130"/>
    <n v="17274"/>
    <n v="560"/>
    <n v="80"/>
    <n v="180"/>
    <n v="180"/>
    <n v="110"/>
    <n v="0"/>
    <n v="0"/>
    <n v="234"/>
    <n v="238.5"/>
    <n v="137.5"/>
    <n v="0"/>
    <n v="0"/>
    <n v="417.85714285714283"/>
    <n v="425.89285714285717"/>
    <n v="245.53571428571428"/>
    <n v="0"/>
    <n v="0"/>
    <n v="1.3"/>
    <n v="1.325"/>
    <n v="1.25"/>
    <n v="2500"/>
    <n v="2500"/>
    <n v="830"/>
    <n v="2818"/>
    <n v="6295"/>
    <n v="19050"/>
    <n v="22050"/>
    <n v="194220"/>
    <n v="672093"/>
    <n v="865562.5"/>
    <n v="0"/>
    <n v="0"/>
    <n v="1731875.5"/>
    <n v="3599"/>
    <n v="3092.6348214285713"/>
  </r>
  <r>
    <x v="3"/>
    <x v="3"/>
    <s v="3(TARDE)"/>
    <n v="12"/>
    <s v="FINAL TURNO 2"/>
    <n v="1650"/>
    <n v="4300"/>
    <n v="2320"/>
    <n v="100"/>
    <n v="125"/>
    <n v="17281"/>
    <n v="640"/>
    <n v="80"/>
    <n v="150"/>
    <n v="110"/>
    <n v="80"/>
    <n v="0"/>
    <n v="0"/>
    <n v="195"/>
    <n v="145.75"/>
    <n v="100"/>
    <n v="0"/>
    <n v="0"/>
    <n v="304.6875"/>
    <n v="227.734375"/>
    <n v="156.25"/>
    <n v="0"/>
    <n v="0"/>
    <n v="1.3"/>
    <n v="1.325"/>
    <n v="1.25"/>
    <n v="2500"/>
    <n v="2500"/>
    <n v="830"/>
    <n v="2818"/>
    <n v="6295"/>
    <n v="19050"/>
    <n v="22050"/>
    <n v="161850"/>
    <n v="410723.5"/>
    <n v="629500"/>
    <n v="0"/>
    <n v="0"/>
    <n v="1202073.5"/>
    <n v="3599"/>
    <n v="1878.2398437500001"/>
  </r>
  <r>
    <x v="4"/>
    <x v="4"/>
    <s v="5 (NOCHE)"/>
    <n v="13"/>
    <s v="FINAL TURNO 3"/>
    <n v="1500"/>
    <n v="4190"/>
    <n v="2240"/>
    <n v="100"/>
    <n v="120"/>
    <n v="17289"/>
    <n v="560"/>
    <n v="80"/>
    <n v="250"/>
    <n v="130"/>
    <n v="90"/>
    <n v="0"/>
    <n v="0"/>
    <n v="325"/>
    <n v="172.25"/>
    <n v="112.5"/>
    <n v="0"/>
    <n v="0"/>
    <n v="580.35714285714289"/>
    <n v="307.58928571428572"/>
    <n v="200.89285714285714"/>
    <n v="0"/>
    <n v="0"/>
    <n v="1.3"/>
    <n v="1.325"/>
    <n v="1.25"/>
    <n v="2500"/>
    <n v="2500"/>
    <n v="830"/>
    <n v="2818"/>
    <n v="6295"/>
    <n v="19050"/>
    <n v="22050"/>
    <n v="269750"/>
    <n v="485400.5"/>
    <n v="708187.5"/>
    <n v="0"/>
    <n v="0"/>
    <n v="1463338"/>
    <n v="3599"/>
    <n v="2613.1035714285713"/>
  </r>
  <r>
    <x v="4"/>
    <x v="4"/>
    <s v="6 (MAÑANA)"/>
    <n v="14"/>
    <s v="FINAL TURNO 1"/>
    <n v="1250"/>
    <n v="4060"/>
    <n v="2150"/>
    <n v="95"/>
    <n v="115"/>
    <n v="17296"/>
    <n v="640"/>
    <n v="80"/>
    <n v="250"/>
    <n v="310"/>
    <n v="60"/>
    <n v="0"/>
    <n v="5"/>
    <n v="325"/>
    <n v="410.75"/>
    <n v="75"/>
    <n v="0"/>
    <n v="5"/>
    <n v="507.8125"/>
    <n v="641.796875"/>
    <n v="117.1875"/>
    <n v="0"/>
    <n v="7.8125"/>
    <n v="1.3"/>
    <n v="1.325"/>
    <n v="1.25"/>
    <n v="2500"/>
    <n v="2500"/>
    <n v="830"/>
    <n v="2818"/>
    <n v="6295"/>
    <n v="19050"/>
    <n v="22050"/>
    <n v="269750"/>
    <n v="1157493.5"/>
    <n v="472125"/>
    <n v="0"/>
    <n v="110250"/>
    <n v="2009618.5"/>
    <n v="3599"/>
    <n v="3140.0289062500001"/>
  </r>
  <r>
    <x v="4"/>
    <x v="4"/>
    <s v="3(TARDE)"/>
    <n v="15"/>
    <s v="FINAL TURNO 2"/>
    <n v="1000"/>
    <n v="3750"/>
    <n v="2090"/>
    <n v="95"/>
    <n v="110"/>
    <n v="17304"/>
    <n v="560"/>
    <n v="80"/>
    <n v="110"/>
    <n v="220"/>
    <n v="160"/>
    <n v="5"/>
    <n v="5"/>
    <n v="143"/>
    <n v="291.5"/>
    <n v="200"/>
    <n v="5"/>
    <n v="5"/>
    <n v="255.35714285714286"/>
    <n v="520.53571428571433"/>
    <n v="357.14285714285717"/>
    <n v="8.9285714285714288"/>
    <n v="8.9285714285714288"/>
    <n v="1.3"/>
    <n v="1.325"/>
    <n v="1.25"/>
    <n v="2500"/>
    <n v="2500"/>
    <n v="830"/>
    <n v="2818"/>
    <n v="6295"/>
    <n v="19050"/>
    <n v="22050"/>
    <n v="118690"/>
    <n v="821447"/>
    <n v="1259000"/>
    <n v="95250"/>
    <n v="110250"/>
    <n v="2404637"/>
    <n v="3599"/>
    <n v="4293.9946428571429"/>
  </r>
  <r>
    <x v="5"/>
    <x v="5"/>
    <s v="6 (NOCHE)"/>
    <n v="16"/>
    <s v="FINAL TURNO 3"/>
    <n v="890"/>
    <n v="3530"/>
    <n v="1930"/>
    <n v="90"/>
    <n v="105"/>
    <n v="17311"/>
    <n v="400"/>
    <n v="80"/>
    <n v="40"/>
    <n v="180"/>
    <n v="30"/>
    <n v="0"/>
    <n v="5"/>
    <n v="52"/>
    <n v="238.5"/>
    <n v="37.5"/>
    <n v="0"/>
    <n v="5"/>
    <n v="130"/>
    <n v="596.25"/>
    <n v="93.75"/>
    <n v="0"/>
    <n v="12.5"/>
    <n v="1.3"/>
    <n v="1.325"/>
    <n v="1.25"/>
    <n v="2500"/>
    <n v="2500"/>
    <n v="830"/>
    <n v="2818"/>
    <n v="6295"/>
    <n v="19050"/>
    <n v="22050"/>
    <n v="43160"/>
    <n v="672093"/>
    <n v="236062.5"/>
    <n v="0"/>
    <n v="110250"/>
    <n v="1061565.5"/>
    <n v="3599"/>
    <n v="2653.9137500000002"/>
  </r>
  <r>
    <x v="5"/>
    <x v="5"/>
    <s v="7 (MAÑANA)"/>
    <n v="17"/>
    <s v="FINAL TURNO 1"/>
    <n v="850"/>
    <n v="3350"/>
    <n v="1900"/>
    <n v="90"/>
    <n v="100"/>
    <n v="17316"/>
    <n v="480"/>
    <n v="80"/>
    <n v="200"/>
    <n v="160"/>
    <n v="40"/>
    <n v="5"/>
    <n v="5"/>
    <n v="260"/>
    <n v="212"/>
    <n v="50"/>
    <n v="5"/>
    <n v="5"/>
    <n v="541.66666666666663"/>
    <n v="441.66666666666669"/>
    <n v="104.16666666666667"/>
    <n v="10.416666666666666"/>
    <n v="10.416666666666666"/>
    <n v="1.3"/>
    <n v="1.325"/>
    <n v="1.25"/>
    <n v="2500"/>
    <n v="2500"/>
    <n v="830"/>
    <n v="2818"/>
    <n v="6295"/>
    <n v="19050"/>
    <n v="22050"/>
    <n v="215800"/>
    <n v="597416"/>
    <n v="314750"/>
    <n v="95250"/>
    <n v="110250"/>
    <n v="1333466"/>
    <n v="3599"/>
    <n v="2778.0541666666668"/>
  </r>
  <r>
    <x v="5"/>
    <x v="5"/>
    <s v="3(TARDE)"/>
    <n v="18"/>
    <s v="FINAL TURNO 2"/>
    <n v="650"/>
    <n v="3190"/>
    <n v="1860"/>
    <n v="85"/>
    <n v="95"/>
    <n v="17322"/>
    <n v="640"/>
    <n v="80"/>
    <n v="370"/>
    <n v="320"/>
    <n v="110"/>
    <n v="0"/>
    <n v="5"/>
    <n v="481"/>
    <n v="424"/>
    <n v="137.5"/>
    <n v="0"/>
    <n v="5"/>
    <n v="751.5625"/>
    <n v="662.5"/>
    <n v="214.84375"/>
    <n v="0"/>
    <n v="7.8125"/>
    <n v="1.3"/>
    <n v="1.325"/>
    <n v="1.25"/>
    <n v="2500"/>
    <n v="2500"/>
    <n v="830"/>
    <n v="2818"/>
    <n v="6295"/>
    <n v="19050"/>
    <n v="22050"/>
    <n v="399230"/>
    <n v="1194832"/>
    <n v="865562.5"/>
    <n v="0"/>
    <n v="110250"/>
    <n v="2569874.5"/>
    <n v="3599"/>
    <n v="4015.4289062500002"/>
  </r>
  <r>
    <x v="6"/>
    <x v="6"/>
    <s v="7 (NOCHE)"/>
    <n v="19"/>
    <s v="FINAL TURNO 3"/>
    <n v="2280"/>
    <n v="4750"/>
    <n v="2750"/>
    <n v="85"/>
    <n v="165"/>
    <n v="17330"/>
    <n v="480"/>
    <n v="80"/>
    <n v="380"/>
    <n v="300"/>
    <n v="250"/>
    <n v="5"/>
    <n v="5"/>
    <n v="494"/>
    <n v="397.5"/>
    <n v="312.5"/>
    <n v="5"/>
    <n v="5"/>
    <n v="1029.1666666666667"/>
    <n v="828.125"/>
    <n v="651.04166666666663"/>
    <n v="10.416666666666666"/>
    <n v="10.416666666666666"/>
    <n v="1.3"/>
    <n v="1.325"/>
    <n v="1.25"/>
    <n v="2500"/>
    <n v="2500"/>
    <n v="830"/>
    <n v="2818"/>
    <n v="6295"/>
    <n v="19050"/>
    <n v="22050"/>
    <n v="410020"/>
    <n v="1120155"/>
    <n v="1967187.5"/>
    <n v="95250"/>
    <n v="110250"/>
    <n v="3702862.5"/>
    <n v="3599"/>
    <n v="7714.296875"/>
  </r>
  <r>
    <x v="6"/>
    <x v="6"/>
    <s v="8 (MAÑANA)"/>
    <n v="20"/>
    <s v="FINAL TURNO 1"/>
    <n v="1900"/>
    <n v="4300"/>
    <n v="2500"/>
    <n v="80"/>
    <n v="160"/>
    <n v="17336"/>
    <n v="480"/>
    <n v="80"/>
    <n v="325"/>
    <n v="165"/>
    <n v="15"/>
    <n v="2.5"/>
    <n v="5"/>
    <n v="422.5"/>
    <n v="218.625"/>
    <n v="18.75"/>
    <n v="2.5"/>
    <n v="5"/>
    <n v="880.20833333333337"/>
    <n v="455.46875"/>
    <n v="39.0625"/>
    <n v="5.208333333333333"/>
    <n v="10.416666666666666"/>
    <n v="1.3"/>
    <n v="1.325"/>
    <n v="1.25"/>
    <n v="2500"/>
    <n v="2500"/>
    <n v="830"/>
    <n v="2818"/>
    <n v="6295"/>
    <n v="19050"/>
    <n v="22050"/>
    <n v="350675"/>
    <n v="616085.25"/>
    <n v="118031.25"/>
    <n v="47625"/>
    <n v="110250"/>
    <n v="1242666.5"/>
    <n v="3599"/>
    <n v="2588.8885416666667"/>
  </r>
  <r>
    <x v="6"/>
    <x v="6"/>
    <s v="3(TARDE)"/>
    <n v="21"/>
    <s v="FINAL TURNO 2"/>
    <n v="1575"/>
    <n v="4135"/>
    <n v="2485"/>
    <n v="77.5"/>
    <n v="155"/>
    <n v="17342"/>
    <n v="320"/>
    <n v="80"/>
    <n v="325"/>
    <n v="165"/>
    <n v="15"/>
    <n v="2.5"/>
    <n v="5"/>
    <n v="422.5"/>
    <n v="218.625"/>
    <n v="18.75"/>
    <n v="2.5"/>
    <n v="5"/>
    <n v="1320.3125"/>
    <n v="683.203125"/>
    <n v="58.59375"/>
    <n v="7.8125"/>
    <n v="15.625"/>
    <n v="1.3"/>
    <n v="1.325"/>
    <n v="1.25"/>
    <n v="2500"/>
    <n v="2500"/>
    <n v="830"/>
    <n v="2818"/>
    <n v="6295"/>
    <n v="19050"/>
    <n v="22050"/>
    <n v="350675"/>
    <n v="616085.25"/>
    <n v="118031.25"/>
    <n v="47625"/>
    <n v="110250"/>
    <n v="1242666.5"/>
    <n v="3599"/>
    <n v="3883.3328124999998"/>
  </r>
  <r>
    <x v="7"/>
    <x v="7"/>
    <s v="8 (NOCHE)"/>
    <n v="22"/>
    <s v="FINAL TURNO 3"/>
    <n v="1250"/>
    <n v="3970"/>
    <n v="2470"/>
    <n v="75"/>
    <n v="150"/>
    <n v="1734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7"/>
    <x v="7"/>
    <s v="9 (MAÑANA)"/>
    <n v="23"/>
    <s v="FINAL TURNO 1"/>
    <n v="1250"/>
    <n v="3970"/>
    <n v="2470"/>
    <n v="75"/>
    <n v="150"/>
    <n v="1734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7"/>
    <x v="7"/>
    <s v="3(TARDE)"/>
    <n v="24"/>
    <s v="FINAL TURNO 2"/>
    <n v="1250"/>
    <n v="3970"/>
    <n v="2470"/>
    <n v="75"/>
    <n v="150"/>
    <n v="17346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8"/>
    <x v="8"/>
    <s v="9 (NOCHE)"/>
    <n v="25"/>
    <s v="FINAL TURNO 3"/>
    <n v="1250"/>
    <n v="3970"/>
    <n v="2470"/>
    <n v="75"/>
    <n v="150"/>
    <n v="17346"/>
    <n v="480"/>
    <n v="80"/>
    <n v="50"/>
    <n v="520"/>
    <n v="70"/>
    <n v="0"/>
    <n v="5"/>
    <n v="65"/>
    <n v="689"/>
    <n v="87.5"/>
    <n v="0"/>
    <n v="5"/>
    <n v="135.41666666666666"/>
    <n v="1435.4166666666667"/>
    <n v="182.29166666666666"/>
    <n v="0"/>
    <n v="10.416666666666666"/>
    <n v="1.3"/>
    <n v="1.325"/>
    <n v="1.25"/>
    <n v="2500"/>
    <n v="2500"/>
    <n v="830"/>
    <n v="2818"/>
    <n v="6295"/>
    <n v="19050"/>
    <n v="22050"/>
    <n v="53950"/>
    <n v="1941602"/>
    <n v="550812.5"/>
    <n v="0"/>
    <n v="110250"/>
    <n v="2656614.5"/>
    <n v="3599"/>
    <n v="5534.6135416666666"/>
  </r>
  <r>
    <x v="8"/>
    <x v="8"/>
    <s v="10 (MAÑANA)"/>
    <n v="26"/>
    <s v="FINAL TURNO 1"/>
    <n v="1200"/>
    <n v="3450"/>
    <n v="2400"/>
    <n v="75"/>
    <n v="145"/>
    <n v="17352"/>
    <n v="400"/>
    <n v="80"/>
    <n v="350"/>
    <n v="200"/>
    <n v="100"/>
    <n v="0"/>
    <n v="5"/>
    <n v="455"/>
    <n v="265"/>
    <n v="125"/>
    <n v="0"/>
    <n v="5"/>
    <n v="1137.5"/>
    <n v="662.5"/>
    <n v="312.5"/>
    <n v="0"/>
    <n v="12.5"/>
    <n v="1.3"/>
    <n v="1.325"/>
    <n v="1.25"/>
    <n v="2500"/>
    <n v="2500"/>
    <n v="830"/>
    <n v="2818"/>
    <n v="6295"/>
    <n v="19050"/>
    <n v="22050"/>
    <n v="377650"/>
    <n v="746770"/>
    <n v="786875"/>
    <n v="0"/>
    <n v="110250"/>
    <n v="2021545"/>
    <n v="3599"/>
    <n v="5053.8625000000002"/>
  </r>
  <r>
    <x v="8"/>
    <x v="8"/>
    <s v="3(TARDE)"/>
    <n v="27"/>
    <s v="FINAL TURNO 2"/>
    <n v="850"/>
    <n v="3150"/>
    <n v="2300"/>
    <n v="75"/>
    <n v="140"/>
    <n v="17357"/>
    <n v="640"/>
    <n v="80"/>
    <n v="320"/>
    <n v="100"/>
    <n v="70"/>
    <n v="5"/>
    <n v="5"/>
    <n v="416"/>
    <n v="132.5"/>
    <n v="87.5"/>
    <n v="5"/>
    <n v="5"/>
    <n v="650"/>
    <n v="207.03125"/>
    <n v="136.71875"/>
    <n v="7.8125"/>
    <n v="7.8125"/>
    <n v="1.3"/>
    <n v="1.325"/>
    <n v="1.25"/>
    <n v="2500"/>
    <n v="2500"/>
    <n v="830"/>
    <n v="2818"/>
    <n v="6295"/>
    <n v="19050"/>
    <n v="22050"/>
    <n v="345280"/>
    <n v="373385"/>
    <n v="550812.5"/>
    <n v="95250"/>
    <n v="110250"/>
    <n v="1474977.5"/>
    <n v="3599"/>
    <n v="2304.65234375"/>
  </r>
  <r>
    <x v="9"/>
    <x v="9"/>
    <s v="10 (NOCHE)"/>
    <n v="28"/>
    <s v="FINAL TURNO 3"/>
    <n v="530"/>
    <n v="3050"/>
    <n v="2230"/>
    <n v="70"/>
    <n v="135"/>
    <n v="17365"/>
    <n v="640"/>
    <n v="80"/>
    <n v="330"/>
    <n v="220"/>
    <n v="50"/>
    <n v="0"/>
    <n v="5"/>
    <n v="429"/>
    <n v="291.5"/>
    <n v="62.5"/>
    <n v="0"/>
    <n v="5"/>
    <n v="670.3125"/>
    <n v="455.46875"/>
    <n v="97.65625"/>
    <n v="0"/>
    <n v="7.8125"/>
    <n v="1.3"/>
    <n v="1.325"/>
    <n v="1.25"/>
    <n v="2500"/>
    <n v="2500"/>
    <n v="830"/>
    <n v="2818"/>
    <n v="6295"/>
    <n v="19050"/>
    <n v="22050"/>
    <n v="356070"/>
    <n v="821447"/>
    <n v="393437.5"/>
    <n v="0"/>
    <n v="110250"/>
    <n v="1681204.5"/>
    <n v="3599"/>
    <n v="2626.8820312500002"/>
  </r>
  <r>
    <x v="9"/>
    <x v="9"/>
    <s v="11 (MAÑANA)"/>
    <n v="29"/>
    <s v="FINAL TURNO 1"/>
    <n v="200"/>
    <n v="2680"/>
    <n v="2180"/>
    <n v="70"/>
    <n v="130"/>
    <n v="17373"/>
    <n v="400"/>
    <n v="80"/>
    <n v="200"/>
    <n v="170"/>
    <n v="180"/>
    <n v="5"/>
    <n v="5"/>
    <n v="260"/>
    <n v="225.25"/>
    <n v="225"/>
    <n v="5"/>
    <n v="5"/>
    <n v="650"/>
    <n v="563.125"/>
    <n v="562.5"/>
    <n v="12.5"/>
    <n v="12.5"/>
    <n v="1.3"/>
    <n v="1.325"/>
    <n v="1.25"/>
    <n v="2500"/>
    <n v="2500"/>
    <n v="830"/>
    <n v="2818"/>
    <n v="6295"/>
    <n v="19050"/>
    <n v="22050"/>
    <n v="215800"/>
    <n v="634754.5"/>
    <n v="1416375"/>
    <n v="95250"/>
    <n v="110250"/>
    <n v="2472429.5"/>
    <n v="3599"/>
    <n v="6181.0737499999996"/>
  </r>
  <r>
    <x v="9"/>
    <x v="9"/>
    <s v="3(TARDE)"/>
    <n v="30"/>
    <s v="FINAL TURNO 2"/>
    <n v="0"/>
    <n v="2510"/>
    <n v="2000"/>
    <n v="65"/>
    <n v="125"/>
    <n v="17378"/>
    <n v="480"/>
    <n v="80"/>
    <n v="30"/>
    <n v="210"/>
    <n v="30"/>
    <n v="0"/>
    <n v="5"/>
    <n v="39"/>
    <n v="278.25"/>
    <n v="37.5"/>
    <n v="0"/>
    <n v="5"/>
    <n v="81.25"/>
    <n v="579.6875"/>
    <n v="78.125"/>
    <n v="0"/>
    <n v="10.416666666666666"/>
    <n v="1.3"/>
    <n v="1.325"/>
    <n v="1.25"/>
    <n v="2500"/>
    <n v="2500"/>
    <n v="830"/>
    <n v="2818"/>
    <n v="6295"/>
    <n v="19050"/>
    <n v="22050"/>
    <n v="32370"/>
    <n v="784108.5"/>
    <n v="236062.5"/>
    <n v="0"/>
    <n v="110250"/>
    <n v="1162791"/>
    <n v="3599"/>
    <n v="2422.4812499999998"/>
  </r>
  <r>
    <x v="10"/>
    <x v="10"/>
    <s v="11 (NOCHE)"/>
    <n v="31"/>
    <s v="FINAL TURNO 3"/>
    <n v="970"/>
    <n v="4300"/>
    <n v="2970"/>
    <n v="215"/>
    <n v="220"/>
    <n v="17384"/>
    <n v="480"/>
    <n v="80"/>
    <n v="260"/>
    <n v="390"/>
    <n v="120"/>
    <n v="5"/>
    <n v="5"/>
    <n v="338"/>
    <n v="516.75"/>
    <n v="150"/>
    <n v="5"/>
    <n v="5"/>
    <n v="704.16666666666663"/>
    <n v="1076.5625"/>
    <n v="312.5"/>
    <n v="10.416666666666666"/>
    <n v="10.416666666666666"/>
    <n v="1.3"/>
    <n v="1.325"/>
    <n v="1.25"/>
    <n v="2500"/>
    <n v="2500"/>
    <n v="830"/>
    <n v="2818"/>
    <n v="6295"/>
    <n v="19050"/>
    <n v="22050"/>
    <n v="280540"/>
    <n v="1456201.5"/>
    <n v="944250"/>
    <n v="95250"/>
    <n v="110250"/>
    <n v="2886491.5"/>
    <n v="3599"/>
    <n v="6013.5239583333332"/>
  </r>
  <r>
    <x v="10"/>
    <x v="10"/>
    <s v="12 (MAÑANA)"/>
    <n v="32"/>
    <s v="FINAL TURNO 1"/>
    <n v="710"/>
    <n v="3910"/>
    <n v="2850"/>
    <n v="210"/>
    <n v="215"/>
    <n v="17390"/>
    <n v="400"/>
    <n v="80"/>
    <n v="210"/>
    <n v="240"/>
    <n v="150"/>
    <n v="0"/>
    <n v="5"/>
    <n v="273"/>
    <n v="318"/>
    <n v="187.5"/>
    <n v="0"/>
    <n v="5"/>
    <n v="682.5"/>
    <n v="795"/>
    <n v="468.75"/>
    <n v="0"/>
    <n v="12.5"/>
    <n v="1.3"/>
    <n v="1.325"/>
    <n v="1.25"/>
    <n v="2500"/>
    <n v="2500"/>
    <n v="830"/>
    <n v="2818"/>
    <n v="6295"/>
    <n v="19050"/>
    <n v="22050"/>
    <n v="226590"/>
    <n v="896124"/>
    <n v="1180312.5"/>
    <n v="0"/>
    <n v="110250"/>
    <n v="2413276.5"/>
    <n v="3599"/>
    <n v="6033.1912499999999"/>
  </r>
  <r>
    <x v="10"/>
    <x v="10"/>
    <s v="3(TARDE)"/>
    <n v="33"/>
    <s v="FINAL TURNO 2"/>
    <n v="500"/>
    <n v="3520"/>
    <n v="2700"/>
    <n v="210"/>
    <n v="210"/>
    <n v="17395"/>
    <n v="400"/>
    <n v="80"/>
    <n v="170"/>
    <n v="310"/>
    <n v="0"/>
    <n v="5"/>
    <n v="5"/>
    <n v="221"/>
    <n v="410.75"/>
    <n v="0"/>
    <n v="5"/>
    <n v="5"/>
    <n v="552.5"/>
    <n v="1026.875"/>
    <n v="0"/>
    <n v="12.5"/>
    <n v="12.5"/>
    <n v="1.3"/>
    <n v="1.325"/>
    <n v="1.25"/>
    <n v="2500"/>
    <n v="2500"/>
    <n v="830"/>
    <n v="2818"/>
    <n v="6295"/>
    <n v="19050"/>
    <n v="22050"/>
    <n v="183430"/>
    <n v="1157493.5"/>
    <n v="0"/>
    <n v="95250"/>
    <n v="110250"/>
    <n v="1546423.5"/>
    <n v="3599"/>
    <n v="3866.0587500000001"/>
  </r>
  <r>
    <x v="11"/>
    <x v="11"/>
    <s v="12 (NOCHE)"/>
    <n v="34"/>
    <s v="FINAL TURNO 3"/>
    <n v="330"/>
    <n v="3210"/>
    <n v="2700"/>
    <n v="205"/>
    <n v="205"/>
    <n v="17400"/>
    <n v="480"/>
    <n v="80"/>
    <n v="20"/>
    <n v="310"/>
    <n v="100"/>
    <n v="0"/>
    <n v="5"/>
    <n v="26"/>
    <n v="410.75"/>
    <n v="125"/>
    <n v="0"/>
    <n v="5"/>
    <n v="54.166666666666664"/>
    <n v="855.72916666666663"/>
    <n v="260.41666666666669"/>
    <n v="0"/>
    <n v="10.416666666666666"/>
    <n v="1.3"/>
    <n v="1.325"/>
    <n v="1.25"/>
    <n v="2500"/>
    <n v="2500"/>
    <n v="830"/>
    <n v="2818"/>
    <n v="6295"/>
    <n v="19050"/>
    <n v="22050"/>
    <n v="21580"/>
    <n v="1157493.5"/>
    <n v="786875"/>
    <n v="0"/>
    <n v="110250"/>
    <n v="2076198.5"/>
    <n v="3599"/>
    <n v="4325.4135416666668"/>
  </r>
  <r>
    <x v="11"/>
    <x v="11"/>
    <s v="13 (MAÑANA)"/>
    <n v="35"/>
    <s v="FINAL TURNO 1"/>
    <n v="310"/>
    <n v="2900"/>
    <n v="2600"/>
    <n v="205"/>
    <n v="200"/>
    <n v="17406"/>
    <n v="400"/>
    <n v="80"/>
    <n v="190"/>
    <n v="300"/>
    <n v="170"/>
    <n v="5"/>
    <n v="5"/>
    <n v="247"/>
    <n v="397.5"/>
    <n v="212.5"/>
    <n v="5"/>
    <n v="5"/>
    <n v="617.5"/>
    <n v="993.75"/>
    <n v="531.25"/>
    <n v="12.5"/>
    <n v="12.5"/>
    <n v="1.3"/>
    <n v="1.325"/>
    <n v="1.25"/>
    <n v="2500"/>
    <n v="2500"/>
    <n v="830"/>
    <n v="2818"/>
    <n v="6295"/>
    <n v="19050"/>
    <n v="22050"/>
    <n v="205010"/>
    <n v="1120155"/>
    <n v="1337687.5"/>
    <n v="95250"/>
    <n v="110250"/>
    <n v="2868352.5"/>
    <n v="3599"/>
    <n v="7170.8812500000004"/>
  </r>
  <r>
    <x v="11"/>
    <x v="11"/>
    <s v="3(TARDE)"/>
    <n v="36"/>
    <s v="FINAL TURNO 2"/>
    <n v="100"/>
    <n v="2600"/>
    <n v="2430"/>
    <n v="200"/>
    <n v="195"/>
    <n v="17411"/>
    <n v="640"/>
    <n v="80"/>
    <n v="130"/>
    <n v="230"/>
    <n v="30"/>
    <n v="0"/>
    <n v="5"/>
    <n v="169"/>
    <n v="304.75"/>
    <n v="37.5"/>
    <n v="0"/>
    <n v="5"/>
    <n v="264.0625"/>
    <n v="476.171875"/>
    <n v="58.59375"/>
    <n v="0"/>
    <n v="7.8125"/>
    <n v="1.3"/>
    <n v="1.325"/>
    <n v="1.25"/>
    <n v="2500"/>
    <n v="2500"/>
    <n v="830"/>
    <n v="2818"/>
    <n v="6295"/>
    <n v="19050"/>
    <n v="22050"/>
    <n v="140270"/>
    <n v="858785.5"/>
    <n v="236062.5"/>
    <n v="0"/>
    <n v="110250"/>
    <n v="1345368"/>
    <n v="3599"/>
    <n v="2102.1374999999998"/>
  </r>
  <r>
    <x v="12"/>
    <x v="12"/>
    <s v="13 (NOCHE)"/>
    <n v="37"/>
    <s v="FINAL TURNO 3"/>
    <n v="970"/>
    <n v="2220"/>
    <n v="2400"/>
    <n v="200"/>
    <n v="190"/>
    <n v="17419"/>
    <n v="480"/>
    <n v="80"/>
    <n v="80"/>
    <n v="220"/>
    <m/>
    <n v="5"/>
    <n v="5"/>
    <n v="104"/>
    <n v="291.5"/>
    <n v="0"/>
    <n v="5"/>
    <n v="5"/>
    <n v="216.66666666666666"/>
    <n v="607.29166666666663"/>
    <n v="0"/>
    <n v="10.416666666666666"/>
    <n v="10.416666666666666"/>
    <n v="1.3"/>
    <n v="1.325"/>
    <n v="1.25"/>
    <n v="2500"/>
    <n v="2500"/>
    <n v="830"/>
    <n v="2818"/>
    <n v="6295"/>
    <n v="19050"/>
    <n v="22050"/>
    <n v="86320"/>
    <n v="821447"/>
    <n v="0"/>
    <n v="95250"/>
    <n v="110250"/>
    <n v="1113267"/>
    <n v="3599"/>
    <n v="2319.3062500000001"/>
  </r>
  <r>
    <x v="12"/>
    <x v="12"/>
    <s v="14 (MAÑANA)"/>
    <n v="38"/>
    <s v="FINAL TURNO 1"/>
    <n v="890"/>
    <n v="2000"/>
    <n v="2300"/>
    <n v="195"/>
    <n v="185"/>
    <n v="17425"/>
    <n v="240"/>
    <n v="80"/>
    <n v="160"/>
    <n v="110"/>
    <n v="10"/>
    <n v="0"/>
    <n v="5"/>
    <n v="208"/>
    <n v="145.75"/>
    <n v="12.5"/>
    <n v="0"/>
    <n v="5"/>
    <n v="866.66666666666663"/>
    <n v="607.29166666666663"/>
    <n v="52.083333333333336"/>
    <n v="0"/>
    <n v="20.833333333333332"/>
    <n v="1.3"/>
    <n v="1.325"/>
    <n v="1.25"/>
    <n v="2500"/>
    <n v="2500"/>
    <n v="830"/>
    <n v="2818"/>
    <n v="6295"/>
    <n v="19050"/>
    <n v="22050"/>
    <n v="172640"/>
    <n v="410723.5"/>
    <n v="78687.5"/>
    <n v="0"/>
    <n v="110250"/>
    <n v="772301"/>
    <n v="3599"/>
    <n v="3217.9208333333331"/>
  </r>
  <r>
    <x v="12"/>
    <x v="12"/>
    <s v="3(TARDE)"/>
    <n v="39"/>
    <s v="FINAL TURNO 2"/>
    <n v="730"/>
    <n v="1890"/>
    <n v="2290"/>
    <n v="195"/>
    <n v="180"/>
    <n v="17428"/>
    <n v="560"/>
    <n v="80"/>
    <n v="120"/>
    <n v="140"/>
    <n v="190"/>
    <n v="5"/>
    <n v="5"/>
    <n v="156"/>
    <n v="185.5"/>
    <n v="237.5"/>
    <n v="5"/>
    <n v="5"/>
    <n v="278.57142857142856"/>
    <n v="331.25"/>
    <n v="424.10714285714283"/>
    <n v="8.9285714285714288"/>
    <n v="8.9285714285714288"/>
    <n v="1.3"/>
    <n v="1.325"/>
    <n v="1.25"/>
    <n v="2500"/>
    <n v="2500"/>
    <n v="830"/>
    <n v="2818"/>
    <n v="6295"/>
    <n v="19050"/>
    <n v="22050"/>
    <n v="129480"/>
    <n v="522739"/>
    <n v="1495062.5"/>
    <n v="95250"/>
    <n v="110250"/>
    <n v="2352781.5"/>
    <n v="3599"/>
    <n v="4201.3955357142859"/>
  </r>
  <r>
    <x v="13"/>
    <x v="13"/>
    <s v="14 (NOCHE)"/>
    <n v="40"/>
    <s v="FINAL TURNO 3"/>
    <n v="610"/>
    <n v="1750"/>
    <n v="2100"/>
    <n v="190"/>
    <n v="175"/>
    <n v="17435"/>
    <n v="560"/>
    <n v="80"/>
    <n v="120"/>
    <n v="220"/>
    <n v="10"/>
    <n v="0"/>
    <n v="5"/>
    <n v="156"/>
    <n v="291.5"/>
    <n v="12.5"/>
    <n v="0"/>
    <n v="5"/>
    <n v="278.57142857142856"/>
    <n v="520.53571428571433"/>
    <n v="22.321428571428573"/>
    <n v="0"/>
    <n v="8.9285714285714288"/>
    <n v="1.3"/>
    <n v="1.325"/>
    <n v="1.25"/>
    <n v="2500"/>
    <n v="2500"/>
    <n v="830"/>
    <n v="2818"/>
    <n v="6295"/>
    <n v="19050"/>
    <n v="22050"/>
    <n v="129480"/>
    <n v="821447"/>
    <n v="78687.5"/>
    <n v="0"/>
    <n v="110250"/>
    <n v="1139864.5"/>
    <n v="3599"/>
    <n v="2035.4723214285714"/>
  </r>
  <r>
    <x v="13"/>
    <x v="13"/>
    <s v="15 (MAÑANA)"/>
    <n v="41"/>
    <s v="FINAL TURNO 1"/>
    <n v="490"/>
    <n v="1420"/>
    <n v="2090"/>
    <n v="190"/>
    <n v="170"/>
    <n v="17442"/>
    <n v="240"/>
    <n v="80"/>
    <n v="90"/>
    <n v="120"/>
    <n v="90"/>
    <n v="5"/>
    <n v="5"/>
    <n v="117"/>
    <n v="159"/>
    <n v="112.5"/>
    <n v="5"/>
    <n v="5"/>
    <n v="487.5"/>
    <n v="662.5"/>
    <n v="468.75"/>
    <n v="20.833333333333332"/>
    <n v="20.833333333333332"/>
    <n v="1.3"/>
    <n v="1.325"/>
    <n v="1.25"/>
    <n v="2500"/>
    <n v="2500"/>
    <n v="830"/>
    <n v="2818"/>
    <n v="6295"/>
    <n v="19050"/>
    <n v="22050"/>
    <n v="97110"/>
    <n v="448062"/>
    <n v="708187.5"/>
    <n v="95250"/>
    <n v="110250"/>
    <n v="1458859.5"/>
    <n v="3599"/>
    <n v="6078.5812500000002"/>
  </r>
  <r>
    <x v="13"/>
    <x v="13"/>
    <s v="3(TARDE)"/>
    <n v="42"/>
    <s v="FINAL TURNO 2"/>
    <n v="400"/>
    <n v="1300"/>
    <n v="2000"/>
    <n v="185"/>
    <n v="165"/>
    <n v="17445"/>
    <n v="480"/>
    <n v="80"/>
    <n v="0"/>
    <n v="0"/>
    <n v="0"/>
    <n v="0"/>
    <n v="5"/>
    <n v="0"/>
    <n v="0"/>
    <n v="0"/>
    <n v="0"/>
    <n v="5"/>
    <n v="0"/>
    <n v="0"/>
    <n v="0"/>
    <n v="0"/>
    <n v="10.416666666666666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n v="229.6875"/>
  </r>
  <r>
    <x v="14"/>
    <x v="14"/>
    <s v="15 (NOCHE)"/>
    <n v="43"/>
    <s v="FINAL TURNO 3"/>
    <n v="400"/>
    <n v="1300"/>
    <n v="2000"/>
    <n v="185"/>
    <n v="160"/>
    <n v="17451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</r>
  <r>
    <x v="14"/>
    <x v="14"/>
    <s v="16 (MAÑANA)"/>
    <n v="44"/>
    <s v="FINAL TURNO 1"/>
    <n v="400"/>
    <n v="1300"/>
    <n v="2000"/>
    <n v="185"/>
    <n v="155"/>
    <n v="17451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</r>
  <r>
    <x v="14"/>
    <x v="14"/>
    <s v="3(TARDE)"/>
    <n v="45"/>
    <s v="FINAL TURNO 2"/>
    <n v="400"/>
    <n v="1300"/>
    <n v="2000"/>
    <n v="185"/>
    <n v="150"/>
    <n v="17451"/>
    <n v="0"/>
    <n v="80"/>
    <n v="0"/>
    <n v="0"/>
    <n v="0"/>
    <n v="0"/>
    <n v="5"/>
    <n v="0"/>
    <n v="0"/>
    <n v="0"/>
    <n v="0"/>
    <n v="5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110250"/>
    <n v="110250"/>
    <n v="3599"/>
    <e v="#DIV/0!"/>
  </r>
  <r>
    <x v="15"/>
    <x v="15"/>
    <s v="16 (NOCHE)"/>
    <n v="46"/>
    <s v="FINAL TURNO 3"/>
    <n v="400"/>
    <n v="1300"/>
    <n v="2000"/>
    <n v="185"/>
    <n v="145"/>
    <n v="17451"/>
    <n v="375"/>
    <n v="80"/>
    <n v="250"/>
    <n v="300"/>
    <n v="70"/>
    <n v="5"/>
    <n v="5"/>
    <n v="325"/>
    <n v="397.5"/>
    <n v="87.5"/>
    <n v="5"/>
    <n v="5"/>
    <n v="866.66666666666663"/>
    <n v="1060"/>
    <n v="233.33333333333334"/>
    <n v="13.333333333333334"/>
    <n v="13.333333333333334"/>
    <n v="1.3"/>
    <n v="1.325"/>
    <n v="1.25"/>
    <n v="2500"/>
    <n v="2500"/>
    <n v="830"/>
    <n v="2818"/>
    <n v="6295"/>
    <n v="19050"/>
    <n v="22050"/>
    <n v="269750"/>
    <n v="1120155"/>
    <n v="550812.5"/>
    <n v="95250"/>
    <n v="110250"/>
    <n v="2146217.5"/>
    <n v="3599"/>
    <n v="5723.2466666666669"/>
  </r>
  <r>
    <x v="15"/>
    <x v="15"/>
    <s v="17 (MAÑANA)"/>
    <n v="47"/>
    <s v="FINAL TURNO 1"/>
    <n v="150"/>
    <n v="850"/>
    <n v="1930"/>
    <n v="180"/>
    <n v="140"/>
    <n v="17455"/>
    <n v="457"/>
    <n v="80"/>
    <n v="50"/>
    <n v="110"/>
    <n v="30"/>
    <n v="0"/>
    <n v="5"/>
    <n v="65"/>
    <n v="145.75"/>
    <n v="37.5"/>
    <n v="0"/>
    <n v="5"/>
    <n v="142.23194748358861"/>
    <n v="318.92778993435451"/>
    <n v="82.056892778993429"/>
    <n v="0"/>
    <n v="10.940919037199125"/>
    <n v="1.3"/>
    <n v="1.325"/>
    <n v="1.25"/>
    <n v="2500"/>
    <n v="2500"/>
    <n v="830"/>
    <n v="2818"/>
    <n v="6295"/>
    <n v="19050"/>
    <n v="22050"/>
    <n v="53950"/>
    <n v="410723.5"/>
    <n v="236062.5"/>
    <n v="0"/>
    <n v="110250"/>
    <n v="810986"/>
    <n v="3599"/>
    <n v="1774.586433260394"/>
  </r>
  <r>
    <x v="15"/>
    <x v="15"/>
    <s v="3(TARDE)"/>
    <n v="48"/>
    <s v="FINAL TURNO 2"/>
    <n v="100"/>
    <n v="740"/>
    <n v="1900"/>
    <n v="180"/>
    <n v="135"/>
    <n v="17458"/>
    <n v="461"/>
    <n v="80"/>
    <n v="0"/>
    <n v="390"/>
    <n v="50"/>
    <n v="5"/>
    <n v="5"/>
    <n v="0"/>
    <n v="516.75"/>
    <n v="62.5"/>
    <n v="5"/>
    <n v="5"/>
    <n v="0"/>
    <n v="1120.9327548806941"/>
    <n v="135.57483731019522"/>
    <n v="10.845986984815617"/>
    <n v="10.845986984815617"/>
    <n v="1.3"/>
    <n v="1.325"/>
    <n v="1.25"/>
    <n v="2500"/>
    <n v="2500"/>
    <n v="830"/>
    <n v="2818"/>
    <n v="6295"/>
    <n v="19050"/>
    <n v="22050"/>
    <n v="0"/>
    <n v="1456201.5"/>
    <n v="393437.5"/>
    <n v="95250"/>
    <n v="110250"/>
    <n v="2055139"/>
    <n v="3599"/>
    <n v="4458.0021691973971"/>
  </r>
  <r>
    <x v="16"/>
    <x v="16"/>
    <s v="17 (NOCHE)"/>
    <n v="49"/>
    <s v="FINAL TURNO 3"/>
    <n v="2100"/>
    <n v="2350"/>
    <n v="2850"/>
    <n v="275"/>
    <n v="130"/>
    <n v="17462"/>
    <n v="480"/>
    <n v="80"/>
    <n v="180"/>
    <n v="50"/>
    <n v="100"/>
    <n v="0"/>
    <n v="5"/>
    <n v="234"/>
    <n v="66.25"/>
    <n v="125"/>
    <n v="0"/>
    <n v="5"/>
    <n v="487.5"/>
    <n v="138.02083333333334"/>
    <n v="260.41666666666669"/>
    <n v="0"/>
    <n v="10.416666666666666"/>
    <n v="1.3"/>
    <n v="1.325"/>
    <n v="1.25"/>
    <n v="2500"/>
    <n v="2500"/>
    <n v="830"/>
    <n v="2818"/>
    <n v="6295"/>
    <n v="19050"/>
    <n v="22050"/>
    <n v="194220"/>
    <n v="186692.5"/>
    <n v="786875"/>
    <n v="0"/>
    <n v="110250"/>
    <n v="1278037.5"/>
    <n v="3599"/>
    <n v="2662.578125"/>
  </r>
  <r>
    <x v="16"/>
    <x v="16"/>
    <s v="18 (MAÑANA)"/>
    <n v="50"/>
    <s v="FINAL TURNO 1"/>
    <n v="1920"/>
    <n v="2200"/>
    <n v="2750"/>
    <n v="275"/>
    <n v="125"/>
    <n v="17468"/>
    <n v="320"/>
    <n v="80"/>
    <n v="140"/>
    <n v="240"/>
    <n v="50"/>
    <n v="5"/>
    <n v="5"/>
    <n v="182"/>
    <n v="318"/>
    <n v="62.5"/>
    <n v="5"/>
    <n v="5"/>
    <n v="568.75"/>
    <n v="993.75"/>
    <n v="195.3125"/>
    <n v="15.625"/>
    <n v="15.625"/>
    <n v="1.3"/>
    <n v="1.325"/>
    <n v="1.25"/>
    <n v="2500"/>
    <n v="2500"/>
    <n v="830"/>
    <n v="2818"/>
    <n v="6295"/>
    <n v="19050"/>
    <n v="22050"/>
    <n v="151060"/>
    <n v="896124"/>
    <n v="393437.5"/>
    <n v="95250"/>
    <n v="110250"/>
    <n v="1646121.5"/>
    <n v="3599"/>
    <n v="5144.1296874999998"/>
  </r>
  <r>
    <x v="16"/>
    <x v="16"/>
    <s v="3(TARDE)"/>
    <n v="51"/>
    <s v="FINAL TURNO 2"/>
    <n v="2780"/>
    <n v="1960"/>
    <n v="2700"/>
    <n v="270"/>
    <n v="120"/>
    <n v="17472"/>
    <n v="400"/>
    <n v="80"/>
    <n v="100"/>
    <n v="220"/>
    <n v="40"/>
    <n v="0"/>
    <n v="5"/>
    <n v="130"/>
    <n v="291.5"/>
    <n v="50"/>
    <n v="0"/>
    <n v="5"/>
    <n v="325"/>
    <n v="728.75"/>
    <n v="125"/>
    <n v="0"/>
    <n v="12.5"/>
    <n v="1.3"/>
    <n v="1.325"/>
    <n v="1.25"/>
    <n v="2500"/>
    <n v="2500"/>
    <n v="830"/>
    <n v="2818"/>
    <n v="6295"/>
    <n v="19050"/>
    <n v="22050"/>
    <n v="107900"/>
    <n v="821447"/>
    <n v="314750"/>
    <n v="0"/>
    <n v="110250"/>
    <n v="1354347"/>
    <n v="3599"/>
    <n v="3385.8674999999998"/>
  </r>
  <r>
    <x v="17"/>
    <x v="17"/>
    <s v="18 (NOCHE)"/>
    <n v="52"/>
    <s v="FINAL TURNO 3"/>
    <n v="3680"/>
    <n v="4740"/>
    <n v="2660"/>
    <n v="270"/>
    <n v="140"/>
    <n v="17477"/>
    <n v="545"/>
    <n v="80"/>
    <n v="260"/>
    <n v="110"/>
    <n v="60"/>
    <n v="8"/>
    <n v="8"/>
    <n v="338"/>
    <n v="145.75"/>
    <n v="75"/>
    <n v="8"/>
    <n v="8"/>
    <n v="620.18348623853205"/>
    <n v="267.43119266055044"/>
    <n v="137.61467889908258"/>
    <n v="14.678899082568808"/>
    <n v="14.678899082568808"/>
    <n v="1.3"/>
    <n v="1.325"/>
    <n v="1.25"/>
    <n v="2500"/>
    <n v="2500"/>
    <n v="830"/>
    <n v="2818"/>
    <n v="6295"/>
    <n v="19050"/>
    <n v="22050"/>
    <n v="280540"/>
    <n v="410723.5"/>
    <n v="472125"/>
    <n v="152400"/>
    <n v="176400"/>
    <n v="1492188.5"/>
    <n v="3599"/>
    <n v="2737.9605504587157"/>
  </r>
  <r>
    <x v="17"/>
    <x v="17"/>
    <s v="19 (MAÑANA)"/>
    <n v="53"/>
    <s v="FINAL TURNO 1"/>
    <n v="3420"/>
    <n v="4510"/>
    <n v="2600"/>
    <n v="262"/>
    <n v="132"/>
    <n v="17484"/>
    <n v="390"/>
    <n v="80"/>
    <n v="260"/>
    <n v="170"/>
    <n v="50"/>
    <n v="0"/>
    <n v="5"/>
    <n v="338"/>
    <n v="225.25"/>
    <n v="62.5"/>
    <n v="0"/>
    <n v="5"/>
    <n v="866.66666666666663"/>
    <n v="577.56410256410254"/>
    <n v="160.25641025641025"/>
    <n v="0"/>
    <n v="12.820512820512821"/>
    <n v="1.3"/>
    <n v="1.325"/>
    <n v="1.25"/>
    <n v="2500"/>
    <n v="2500"/>
    <n v="830"/>
    <n v="2818"/>
    <n v="6295"/>
    <n v="19050"/>
    <n v="22050"/>
    <n v="280540"/>
    <n v="634754.5"/>
    <n v="393437.5"/>
    <n v="0"/>
    <n v="110250"/>
    <n v="1418982"/>
    <n v="3599"/>
    <n v="3638.4153846153845"/>
  </r>
  <r>
    <x v="17"/>
    <x v="17"/>
    <s v="3(TARDE)"/>
    <n v="54"/>
    <s v="FINAL TURNO 2"/>
    <n v="3160"/>
    <n v="4340"/>
    <n v="2550"/>
    <n v="262"/>
    <n v="127"/>
    <n v="17487"/>
    <n v="419"/>
    <n v="80"/>
    <n v="160"/>
    <n v="180"/>
    <n v="60"/>
    <n v="0"/>
    <n v="5"/>
    <n v="208"/>
    <n v="238.5"/>
    <n v="75"/>
    <n v="0"/>
    <n v="5"/>
    <n v="496.4200477326969"/>
    <n v="569.21241050119329"/>
    <n v="178.99761336515513"/>
    <n v="0"/>
    <n v="11.933174224343675"/>
    <n v="1.3"/>
    <n v="1.325"/>
    <n v="1.25"/>
    <n v="2500"/>
    <n v="2500"/>
    <n v="830"/>
    <n v="2818"/>
    <n v="6295"/>
    <n v="19050"/>
    <n v="22050"/>
    <n v="172640"/>
    <n v="672093"/>
    <n v="472125"/>
    <n v="0"/>
    <n v="110250"/>
    <n v="1427108"/>
    <n v="3599"/>
    <n v="3405.9856801909309"/>
  </r>
  <r>
    <x v="18"/>
    <x v="18"/>
    <s v="19 (NOCHE)"/>
    <n v="55"/>
    <s v="FINAL TURNO 3"/>
    <n v="3000"/>
    <n v="4010"/>
    <n v="2490"/>
    <n v="262"/>
    <n v="122"/>
    <n v="17491"/>
    <n v="400"/>
    <n v="80"/>
    <n v="8"/>
    <n v="110"/>
    <n v="70"/>
    <n v="0"/>
    <n v="5"/>
    <n v="10.4"/>
    <n v="145.75"/>
    <n v="87.5"/>
    <n v="0"/>
    <n v="5"/>
    <n v="26"/>
    <n v="364.375"/>
    <n v="218.75"/>
    <n v="0"/>
    <n v="12.5"/>
    <n v="1.3"/>
    <n v="1.325"/>
    <n v="1.25"/>
    <n v="2500"/>
    <n v="2500"/>
    <n v="830"/>
    <n v="2818"/>
    <n v="6295"/>
    <n v="19050"/>
    <n v="22050"/>
    <n v="8632"/>
    <n v="410723.5"/>
    <n v="550812.5"/>
    <n v="0"/>
    <n v="110250"/>
    <n v="1080418"/>
    <n v="3599"/>
    <n v="2701.0450000000001"/>
  </r>
  <r>
    <x v="18"/>
    <x v="18"/>
    <s v="20 (MAÑANA)"/>
    <n v="56"/>
    <s v="FINAL TURNO 1"/>
    <n v="2992"/>
    <n v="3900"/>
    <n v="2420"/>
    <n v="262"/>
    <n v="117"/>
    <n v="17496"/>
    <n v="320"/>
    <n v="80"/>
    <n v="162"/>
    <n v="80"/>
    <n v="20"/>
    <n v="0"/>
    <n v="5"/>
    <n v="210.6"/>
    <n v="106"/>
    <n v="25"/>
    <n v="0"/>
    <n v="5"/>
    <n v="658.125"/>
    <n v="331.25"/>
    <n v="78.125"/>
    <n v="0"/>
    <n v="15.625"/>
    <n v="1.3"/>
    <n v="1.325"/>
    <n v="1.25"/>
    <n v="2500"/>
    <n v="2500"/>
    <n v="830"/>
    <n v="2818"/>
    <n v="6295"/>
    <n v="19050"/>
    <n v="22050"/>
    <n v="174798"/>
    <n v="298708"/>
    <n v="157375"/>
    <n v="0"/>
    <n v="110250"/>
    <n v="741131"/>
    <n v="3599"/>
    <n v="2316.0343750000002"/>
  </r>
  <r>
    <x v="18"/>
    <x v="18"/>
    <s v="3(TARDE)"/>
    <n v="57"/>
    <s v="FINAL TURNO 2"/>
    <n v="2810"/>
    <n v="3820"/>
    <n v="3400"/>
    <n v="262"/>
    <n v="212"/>
    <n v="17500"/>
    <n v="480"/>
    <n v="80"/>
    <n v="120"/>
    <n v="140"/>
    <n v="50"/>
    <n v="7"/>
    <n v="5"/>
    <n v="156"/>
    <n v="185.5"/>
    <n v="62.5"/>
    <n v="7"/>
    <n v="5"/>
    <n v="325"/>
    <n v="386.45833333333331"/>
    <n v="130.20833333333334"/>
    <n v="14.583333333333334"/>
    <n v="10.416666666666666"/>
    <n v="1.3"/>
    <n v="1.325"/>
    <n v="1.25"/>
    <n v="2500"/>
    <n v="2500"/>
    <n v="830"/>
    <n v="2818"/>
    <n v="6295"/>
    <n v="19050"/>
    <n v="22050"/>
    <n v="129480"/>
    <n v="522739"/>
    <n v="393437.5"/>
    <n v="133350"/>
    <n v="110250"/>
    <n v="1289256.5"/>
    <n v="3599"/>
    <n v="2685.9510416666667"/>
  </r>
  <r>
    <x v="19"/>
    <x v="19"/>
    <s v="20 (NOCHE)"/>
    <n v="58"/>
    <s v="FINAL TURNO 3"/>
    <n v="2690"/>
    <n v="3680"/>
    <n v="3350"/>
    <n v="255"/>
    <n v="207"/>
    <n v="17506"/>
    <n v="400"/>
    <n v="80"/>
    <n v="30"/>
    <n v="100"/>
    <n v="50"/>
    <n v="0"/>
    <n v="0"/>
    <n v="39"/>
    <n v="132.5"/>
    <n v="62.5"/>
    <n v="0"/>
    <n v="0"/>
    <n v="97.5"/>
    <n v="331.25"/>
    <n v="156.25"/>
    <n v="0"/>
    <n v="0"/>
    <n v="1.3"/>
    <n v="1.325"/>
    <n v="1.25"/>
    <n v="2500"/>
    <n v="2500"/>
    <n v="830"/>
    <n v="2818"/>
    <n v="6295"/>
    <n v="19050"/>
    <n v="22050"/>
    <n v="32370"/>
    <n v="373385"/>
    <n v="393437.5"/>
    <n v="0"/>
    <n v="0"/>
    <n v="799192.5"/>
    <n v="3599"/>
    <n v="1997.98125"/>
  </r>
  <r>
    <x v="19"/>
    <x v="19"/>
    <s v="21 (MAÑANA)"/>
    <n v="59"/>
    <s v="FINAL TURNO 1"/>
    <n v="2660"/>
    <n v="3580"/>
    <n v="3300"/>
    <n v="255"/>
    <n v="207"/>
    <n v="17511"/>
    <n v="400"/>
    <n v="80"/>
    <n v="30"/>
    <n v="130"/>
    <n v="100"/>
    <n v="0"/>
    <n v="0"/>
    <n v="39"/>
    <n v="172.25"/>
    <n v="125"/>
    <n v="0"/>
    <n v="0"/>
    <n v="97.5"/>
    <n v="430.625"/>
    <n v="312.5"/>
    <n v="0"/>
    <n v="0"/>
    <n v="1.3"/>
    <n v="1.325"/>
    <n v="1.25"/>
    <n v="2500"/>
    <n v="2500"/>
    <n v="830"/>
    <n v="2818"/>
    <n v="6295"/>
    <n v="19050"/>
    <n v="22050"/>
    <n v="32370"/>
    <n v="485400.5"/>
    <n v="786875"/>
    <n v="0"/>
    <n v="0"/>
    <n v="1304645.5"/>
    <n v="3599"/>
    <n v="3261.61375"/>
  </r>
  <r>
    <x v="19"/>
    <x v="19"/>
    <s v="3(TARDE)"/>
    <n v="60"/>
    <s v="FINAL TURNO 2"/>
    <n v="2630"/>
    <n v="3450"/>
    <n v="3200"/>
    <n v="255"/>
    <n v="207"/>
    <n v="17516"/>
    <n v="320"/>
    <n v="80"/>
    <n v="70"/>
    <n v="210"/>
    <n v="90"/>
    <n v="5"/>
    <n v="5"/>
    <n v="91"/>
    <n v="278.25"/>
    <n v="112.5"/>
    <n v="5"/>
    <n v="5"/>
    <n v="284.375"/>
    <n v="869.53125"/>
    <n v="351.5625"/>
    <n v="15.625"/>
    <n v="15.625"/>
    <n v="1.3"/>
    <n v="1.325"/>
    <n v="1.25"/>
    <n v="2500"/>
    <n v="2500"/>
    <n v="830"/>
    <n v="2818"/>
    <n v="6295"/>
    <n v="19050"/>
    <n v="22050"/>
    <n v="75530"/>
    <n v="784108.5"/>
    <n v="708187.5"/>
    <n v="95250"/>
    <n v="110250"/>
    <n v="1773326"/>
    <n v="3599"/>
    <n v="5541.6437500000002"/>
  </r>
  <r>
    <x v="20"/>
    <x v="20"/>
    <s v="21 (NOCHE)"/>
    <n v="61"/>
    <s v="FINAL TURNO 3"/>
    <n v="2540"/>
    <n v="3240"/>
    <n v="3110"/>
    <n v="250"/>
    <n v="202"/>
    <n v="17520"/>
    <n v="450"/>
    <n v="80"/>
    <n v="42"/>
    <n v="80"/>
    <n v="50"/>
    <n v="0"/>
    <n v="0"/>
    <n v="54.6"/>
    <n v="106"/>
    <n v="62.5"/>
    <n v="0"/>
    <n v="0"/>
    <n v="121.33333333333333"/>
    <n v="235.55555555555554"/>
    <n v="138.88888888888889"/>
    <n v="0"/>
    <n v="0"/>
    <n v="1.3"/>
    <n v="1.325"/>
    <n v="1.25"/>
    <n v="2500"/>
    <n v="2500"/>
    <n v="830"/>
    <n v="2818"/>
    <n v="6295"/>
    <n v="19050"/>
    <n v="22050"/>
    <n v="45318"/>
    <n v="298708"/>
    <n v="393437.5"/>
    <n v="0"/>
    <n v="0"/>
    <n v="737463.5"/>
    <n v="3599"/>
    <n v="1638.8077777777778"/>
  </r>
  <r>
    <x v="20"/>
    <x v="20"/>
    <s v="22 (MAÑANA)"/>
    <n v="62"/>
    <s v="FINAL TURNO 1"/>
    <n v="2498"/>
    <n v="3160"/>
    <n v="3060"/>
    <n v="250"/>
    <n v="202"/>
    <n v="17525"/>
    <n v="481"/>
    <n v="80"/>
    <n v="98"/>
    <n v="140"/>
    <n v="50"/>
    <n v="0"/>
    <n v="0"/>
    <n v="127.4"/>
    <n v="185.5"/>
    <n v="62.5"/>
    <n v="0"/>
    <n v="0"/>
    <n v="264.86486486486484"/>
    <n v="385.65488565488567"/>
    <n v="129.93762993762994"/>
    <n v="0"/>
    <n v="0"/>
    <n v="1.3"/>
    <n v="1.325"/>
    <n v="1.25"/>
    <n v="2500"/>
    <n v="2500"/>
    <n v="830"/>
    <n v="2818"/>
    <n v="6295"/>
    <n v="19050"/>
    <n v="22050"/>
    <n v="105742"/>
    <n v="522739"/>
    <n v="393437.5"/>
    <n v="0"/>
    <n v="0"/>
    <n v="1021918.5"/>
    <n v="3599"/>
    <n v="2124.570686070686"/>
  </r>
  <r>
    <x v="20"/>
    <x v="20"/>
    <s v="3(TARDE)"/>
    <n v="63"/>
    <s v="FINAL TURNO 2"/>
    <n v="2400"/>
    <n v="2900"/>
    <n v="3010"/>
    <n v="250"/>
    <n v="202"/>
    <n v="17529"/>
    <n v="196"/>
    <n v="80"/>
    <n v="200"/>
    <n v="100"/>
    <n v="10"/>
    <n v="5"/>
    <n v="5"/>
    <n v="260"/>
    <n v="132.5"/>
    <n v="12.5"/>
    <n v="5"/>
    <n v="5"/>
    <n v="1326.5306122448981"/>
    <n v="676.0204081632653"/>
    <n v="63.775510204081634"/>
    <n v="25.510204081632654"/>
    <n v="25.510204081632654"/>
    <n v="1.3"/>
    <n v="1.325"/>
    <n v="1.25"/>
    <n v="2500"/>
    <n v="2500"/>
    <n v="830"/>
    <n v="2818"/>
    <n v="6295"/>
    <n v="19050"/>
    <n v="22050"/>
    <n v="215800"/>
    <n v="373385"/>
    <n v="78687.5"/>
    <n v="95250"/>
    <n v="110250"/>
    <n v="873372.5"/>
    <n v="3599"/>
    <n v="4455.9821428571431"/>
  </r>
  <r>
    <x v="21"/>
    <x v="21"/>
    <s v="22 (NOCHE)"/>
    <n v="64"/>
    <s v="FINAL TURNO 3"/>
    <n v="2200"/>
    <n v="2800"/>
    <n v="3000"/>
    <n v="245"/>
    <n v="197"/>
    <n v="1753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1"/>
    <x v="21"/>
    <s v="23 (MAÑANA)"/>
    <n v="65"/>
    <s v="FINAL TURNO 1"/>
    <n v="2200"/>
    <n v="2800"/>
    <n v="3000"/>
    <n v="245"/>
    <n v="197"/>
    <n v="1753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1"/>
    <x v="21"/>
    <s v="3(TARDE)"/>
    <n v="66"/>
    <s v="FINAL TURNO 2"/>
    <n v="2200"/>
    <n v="2800"/>
    <n v="3000"/>
    <n v="245"/>
    <n v="197"/>
    <n v="1753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2"/>
    <x v="22"/>
    <s v="23 (NOCHE)"/>
    <n v="67"/>
    <s v="FINAL TURNO 3"/>
    <n v="2200"/>
    <n v="2800"/>
    <n v="3000"/>
    <n v="245"/>
    <n v="197"/>
    <n v="17532"/>
    <n v="0"/>
    <n v="85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2"/>
    <x v="22"/>
    <s v="24 (MAÑANA)"/>
    <n v="68"/>
    <s v="FINAL TURNO 1"/>
    <n v="2200"/>
    <n v="2800"/>
    <n v="3000"/>
    <n v="245"/>
    <n v="197"/>
    <n v="17532"/>
    <n v="360"/>
    <n v="90"/>
    <n v="50"/>
    <n v="100"/>
    <n v="50"/>
    <n v="0"/>
    <n v="0"/>
    <n v="65"/>
    <n v="132.5"/>
    <n v="62.5"/>
    <n v="0"/>
    <n v="0"/>
    <n v="180.55555555555554"/>
    <n v="368.05555555555554"/>
    <n v="173.61111111111111"/>
    <n v="0"/>
    <n v="0"/>
    <n v="1.3"/>
    <n v="1.325"/>
    <n v="1.25"/>
    <n v="2500"/>
    <n v="2500"/>
    <n v="830"/>
    <n v="2818"/>
    <n v="6295"/>
    <n v="19050"/>
    <n v="22050"/>
    <n v="53950"/>
    <n v="373385"/>
    <n v="393437.5"/>
    <n v="0"/>
    <n v="0"/>
    <n v="820772.5"/>
    <n v="3599"/>
    <n v="2279.9236111111113"/>
  </r>
  <r>
    <x v="22"/>
    <x v="22"/>
    <s v="3(TARDE)"/>
    <n v="69"/>
    <s v="FINAL TURNO 2"/>
    <n v="2150"/>
    <n v="2700"/>
    <n v="2950"/>
    <n v="245"/>
    <n v="197"/>
    <n v="17536"/>
    <n v="360"/>
    <n v="90"/>
    <n v="50"/>
    <n v="50"/>
    <n v="50"/>
    <n v="5"/>
    <n v="5"/>
    <n v="65"/>
    <n v="66.25"/>
    <n v="62.5"/>
    <n v="5"/>
    <n v="5"/>
    <n v="180.55555555555554"/>
    <n v="184.02777777777777"/>
    <n v="173.61111111111111"/>
    <n v="13.888888888888889"/>
    <n v="13.888888888888889"/>
    <n v="1.3"/>
    <n v="1.325"/>
    <n v="1.25"/>
    <n v="2500"/>
    <n v="2500"/>
    <n v="830"/>
    <n v="2818"/>
    <n v="6295"/>
    <n v="19050"/>
    <n v="22050"/>
    <n v="53950"/>
    <n v="186692.5"/>
    <n v="393437.5"/>
    <n v="95250"/>
    <n v="110250"/>
    <n v="839580"/>
    <n v="3599"/>
    <n v="2332.1666666666665"/>
  </r>
  <r>
    <x v="23"/>
    <x v="23"/>
    <s v="24 (NOCHE)"/>
    <n v="70"/>
    <s v="FINAL TURNO 3"/>
    <n v="2100"/>
    <n v="2650"/>
    <n v="2900"/>
    <n v="240"/>
    <n v="192"/>
    <n v="17540"/>
    <n v="419"/>
    <n v="80"/>
    <n v="0"/>
    <n v="60"/>
    <n v="0"/>
    <n v="4"/>
    <n v="4"/>
    <n v="0"/>
    <n v="79.5"/>
    <n v="0"/>
    <n v="4"/>
    <n v="4"/>
    <n v="0"/>
    <n v="189.73747016706443"/>
    <n v="0"/>
    <n v="9.5465393794749396"/>
    <n v="9.5465393794749396"/>
    <n v="1.3"/>
    <n v="1.325"/>
    <n v="1.25"/>
    <n v="2500"/>
    <n v="2500"/>
    <n v="830"/>
    <n v="2818"/>
    <n v="6295"/>
    <n v="19050"/>
    <n v="22050"/>
    <n v="0"/>
    <n v="224031"/>
    <n v="0"/>
    <n v="76200"/>
    <n v="88200"/>
    <n v="388431"/>
    <n v="3599"/>
    <n v="927.04295942720762"/>
  </r>
  <r>
    <x v="23"/>
    <x v="23"/>
    <s v="25 (MAÑANA)"/>
    <n v="71"/>
    <s v="FINAL TURNO 1"/>
    <n v="2100"/>
    <n v="2440"/>
    <n v="2900"/>
    <n v="236"/>
    <n v="188"/>
    <n v="17542"/>
    <n v="464"/>
    <n v="80"/>
    <n v="50"/>
    <n v="140"/>
    <n v="50"/>
    <n v="4"/>
    <n v="4"/>
    <n v="65"/>
    <n v="185.5"/>
    <n v="62.5"/>
    <n v="4"/>
    <n v="4"/>
    <n v="140.08620689655172"/>
    <n v="399.7844827586207"/>
    <n v="134.69827586206895"/>
    <n v="8.6206896551724146"/>
    <n v="8.6206896551724146"/>
    <n v="1.3"/>
    <n v="1.325"/>
    <n v="1.25"/>
    <n v="2500"/>
    <n v="2500"/>
    <n v="830"/>
    <n v="2818"/>
    <n v="6295"/>
    <n v="19050"/>
    <n v="22050"/>
    <n v="53950"/>
    <n v="522739"/>
    <n v="393437.5"/>
    <n v="76200"/>
    <n v="88200"/>
    <n v="1134526.5"/>
    <n v="3599"/>
    <n v="2445.1002155172414"/>
  </r>
  <r>
    <x v="23"/>
    <x v="23"/>
    <s v="3(TARDE)"/>
    <n v="72"/>
    <s v="FINAL TURNO 2"/>
    <n v="2050"/>
    <n v="2300"/>
    <n v="2850"/>
    <n v="232"/>
    <n v="184"/>
    <n v="17546"/>
    <n v="412"/>
    <n v="80"/>
    <n v="70"/>
    <n v="60"/>
    <n v="50"/>
    <n v="0"/>
    <n v="4"/>
    <n v="91"/>
    <n v="79.5"/>
    <n v="62.5"/>
    <n v="0"/>
    <n v="4"/>
    <n v="220.873786407767"/>
    <n v="192.96116504854368"/>
    <n v="151.69902912621359"/>
    <n v="0"/>
    <n v="9.7087378640776691"/>
    <n v="1.3"/>
    <n v="1.325"/>
    <n v="1.25"/>
    <n v="2500"/>
    <n v="2500"/>
    <n v="830"/>
    <n v="2818"/>
    <n v="6295"/>
    <n v="19050"/>
    <n v="22050"/>
    <n v="75530"/>
    <n v="224031"/>
    <n v="393437.5"/>
    <n v="0"/>
    <n v="88200"/>
    <n v="781198.5"/>
    <n v="3599"/>
    <n v="1896.1128640776699"/>
  </r>
  <r>
    <x v="24"/>
    <x v="24"/>
    <s v="25 (NOCHE)"/>
    <n v="73"/>
    <s v="FINAL TURNO 3"/>
    <n v="2980"/>
    <n v="4240"/>
    <n v="3800"/>
    <n v="232"/>
    <n v="180"/>
    <n v="17551"/>
    <n v="560"/>
    <n v="80"/>
    <n v="110"/>
    <n v="140"/>
    <n v="60"/>
    <n v="5"/>
    <n v="5"/>
    <n v="143"/>
    <n v="185.5"/>
    <n v="75"/>
    <n v="5"/>
    <n v="5"/>
    <n v="255.35714285714286"/>
    <n v="331.25"/>
    <n v="133.92857142857142"/>
    <n v="8.9285714285714288"/>
    <n v="8.9285714285714288"/>
    <n v="1.3"/>
    <n v="1.325"/>
    <n v="1.25"/>
    <n v="2500"/>
    <n v="2500"/>
    <n v="830"/>
    <n v="2818"/>
    <n v="6295"/>
    <n v="19050"/>
    <n v="22050"/>
    <n v="118690"/>
    <n v="522739"/>
    <n v="472125"/>
    <n v="95250"/>
    <n v="110250"/>
    <n v="1319054"/>
    <n v="3599"/>
    <n v="2355.4535714285716"/>
  </r>
  <r>
    <x v="24"/>
    <x v="24"/>
    <s v="26 (MAÑANA)"/>
    <n v="74"/>
    <s v="FINAL TURNO 1"/>
    <n v="2870"/>
    <n v="4100"/>
    <n v="3740"/>
    <n v="227"/>
    <n v="175"/>
    <n v="17558"/>
    <n v="320"/>
    <n v="80"/>
    <n v="70"/>
    <n v="100"/>
    <n v="30"/>
    <n v="10"/>
    <n v="10"/>
    <n v="91"/>
    <n v="132.5"/>
    <n v="37.5"/>
    <n v="10"/>
    <n v="10"/>
    <n v="284.375"/>
    <n v="414.0625"/>
    <n v="117.1875"/>
    <n v="31.25"/>
    <n v="31.25"/>
    <n v="1.3"/>
    <n v="1.325"/>
    <n v="1.25"/>
    <n v="2500"/>
    <n v="2500"/>
    <n v="830"/>
    <n v="2818"/>
    <n v="6295"/>
    <n v="19050"/>
    <n v="22050"/>
    <n v="75530"/>
    <n v="373385"/>
    <n v="236062.5"/>
    <n v="190500"/>
    <n v="220500"/>
    <n v="1095977.5"/>
    <n v="3599"/>
    <n v="3424.9296875"/>
  </r>
  <r>
    <x v="24"/>
    <x v="24"/>
    <s v="3(TARDE)"/>
    <n v="75"/>
    <s v="FINAL TURNO 2"/>
    <n v="2800"/>
    <n v="4000"/>
    <n v="3710"/>
    <n v="217"/>
    <n v="165"/>
    <n v="17562"/>
    <n v="320"/>
    <n v="80"/>
    <n v="100"/>
    <n v="70"/>
    <n v="30"/>
    <n v="5"/>
    <n v="5"/>
    <n v="130"/>
    <n v="92.75"/>
    <n v="37.5"/>
    <n v="5"/>
    <n v="5"/>
    <n v="406.25"/>
    <n v="289.84375"/>
    <n v="117.1875"/>
    <n v="15.625"/>
    <n v="15.625"/>
    <n v="1.3"/>
    <n v="1.325"/>
    <n v="1.25"/>
    <n v="2500"/>
    <n v="2500"/>
    <n v="830"/>
    <n v="2818"/>
    <n v="6295"/>
    <n v="19050"/>
    <n v="22050"/>
    <n v="107900"/>
    <n v="261369.5"/>
    <n v="236062.5"/>
    <n v="95250"/>
    <n v="110250"/>
    <n v="810832"/>
    <n v="3599"/>
    <n v="2533.85"/>
  </r>
  <r>
    <x v="25"/>
    <x v="25"/>
    <s v="26 (NOCHE)"/>
    <n v="76"/>
    <s v="FINAL TURNO 3"/>
    <n v="2700"/>
    <n v="3930"/>
    <n v="3680"/>
    <n v="212"/>
    <n v="160"/>
    <n v="17566"/>
    <n v="480"/>
    <n v="80"/>
    <n v="50"/>
    <n v="30"/>
    <n v="30"/>
    <n v="5"/>
    <n v="5"/>
    <n v="65"/>
    <n v="39.75"/>
    <n v="37.5"/>
    <n v="5"/>
    <n v="5"/>
    <n v="135.41666666666666"/>
    <n v="82.8125"/>
    <n v="78.125"/>
    <n v="10.416666666666666"/>
    <n v="10.416666666666666"/>
    <n v="1.3"/>
    <n v="1.325"/>
    <n v="1.25"/>
    <n v="2500"/>
    <n v="2500"/>
    <n v="830"/>
    <n v="2818"/>
    <n v="6295"/>
    <n v="19050"/>
    <n v="22050"/>
    <n v="53950"/>
    <n v="112015.5"/>
    <n v="236062.5"/>
    <n v="95250"/>
    <n v="110250"/>
    <n v="607528"/>
    <n v="3599"/>
    <n v="1265.6833333333334"/>
  </r>
  <r>
    <x v="25"/>
    <x v="25"/>
    <s v="27 (MAÑANA)"/>
    <n v="77"/>
    <s v="FINAL TURNO 1"/>
    <n v="2650"/>
    <n v="3900"/>
    <n v="3650"/>
    <n v="207"/>
    <n v="155"/>
    <n v="17572"/>
    <n v="400"/>
    <n v="80"/>
    <n v="100"/>
    <n v="100"/>
    <n v="40"/>
    <n v="0"/>
    <n v="10"/>
    <n v="130"/>
    <n v="132.5"/>
    <n v="50"/>
    <n v="0"/>
    <n v="10"/>
    <n v="325"/>
    <n v="331.25"/>
    <n v="125"/>
    <n v="0"/>
    <n v="25"/>
    <n v="1.3"/>
    <n v="1.325"/>
    <n v="1.25"/>
    <n v="2500"/>
    <n v="2500"/>
    <n v="830"/>
    <n v="2818"/>
    <n v="6295"/>
    <n v="19050"/>
    <n v="22050"/>
    <n v="107900"/>
    <n v="373385"/>
    <n v="314750"/>
    <n v="0"/>
    <n v="220500"/>
    <n v="1016535"/>
    <n v="3599"/>
    <n v="2541.3375000000001"/>
  </r>
  <r>
    <x v="25"/>
    <x v="25"/>
    <s v="3(TARDE)"/>
    <n v="78"/>
    <s v="FINAL TURNO 2"/>
    <n v="2550"/>
    <n v="3700"/>
    <n v="3610"/>
    <n v="207"/>
    <n v="145"/>
    <n v="17577"/>
    <n v="480"/>
    <n v="80"/>
    <n v="150"/>
    <n v="80"/>
    <n v="30"/>
    <n v="5"/>
    <n v="5"/>
    <n v="195"/>
    <n v="106"/>
    <n v="37.5"/>
    <n v="5"/>
    <n v="5"/>
    <n v="406.25"/>
    <n v="220.83333333333334"/>
    <n v="78.125"/>
    <n v="10.416666666666666"/>
    <n v="10.416666666666666"/>
    <n v="1.3"/>
    <n v="1.325"/>
    <n v="1.25"/>
    <n v="2500"/>
    <n v="2500"/>
    <n v="830"/>
    <n v="2818"/>
    <n v="6295"/>
    <n v="19050"/>
    <n v="22050"/>
    <n v="161850"/>
    <n v="298708"/>
    <n v="236062.5"/>
    <n v="95250"/>
    <n v="110250"/>
    <n v="902120.5"/>
    <n v="3599"/>
    <n v="1879.4177083333334"/>
  </r>
  <r>
    <x v="26"/>
    <x v="26"/>
    <s v="27 (NOCHE)"/>
    <n v="79"/>
    <s v="FINAL TURNO 3"/>
    <n v="2400"/>
    <n v="3620"/>
    <n v="3580"/>
    <n v="202"/>
    <n v="140"/>
    <n v="17583"/>
    <n v="480"/>
    <n v="80"/>
    <n v="60"/>
    <n v="140"/>
    <n v="40"/>
    <n v="0"/>
    <n v="5"/>
    <n v="78"/>
    <n v="185.5"/>
    <n v="50"/>
    <n v="0"/>
    <n v="5"/>
    <n v="162.5"/>
    <n v="386.45833333333331"/>
    <n v="104.16666666666667"/>
    <n v="0"/>
    <n v="10.416666666666666"/>
    <n v="1.3"/>
    <n v="1.325"/>
    <n v="1.25"/>
    <n v="2500"/>
    <n v="2500"/>
    <n v="830"/>
    <n v="2818"/>
    <n v="6295"/>
    <n v="19050"/>
    <n v="22050"/>
    <n v="64740"/>
    <n v="522739"/>
    <n v="314750"/>
    <n v="0"/>
    <n v="110250"/>
    <n v="1012479"/>
    <n v="3599"/>
    <n v="2109.3312500000002"/>
  </r>
  <r>
    <x v="26"/>
    <x v="26"/>
    <s v="28 (MAÑANA)"/>
    <n v="80"/>
    <s v="FINAL TURNO 1"/>
    <n v="2340"/>
    <n v="3480"/>
    <n v="3540"/>
    <n v="202"/>
    <n v="135"/>
    <n v="17589"/>
    <n v="160"/>
    <n v="80"/>
    <n v="90"/>
    <n v="130"/>
    <n v="40"/>
    <n v="0"/>
    <n v="0"/>
    <n v="117"/>
    <n v="172.25"/>
    <n v="50"/>
    <n v="0"/>
    <n v="0"/>
    <n v="731.25"/>
    <n v="1076.5625"/>
    <n v="312.5"/>
    <n v="0"/>
    <n v="0"/>
    <n v="1.3"/>
    <n v="1.325"/>
    <n v="1.25"/>
    <n v="2500"/>
    <n v="2500"/>
    <n v="830"/>
    <n v="2818"/>
    <n v="6295"/>
    <n v="19050"/>
    <n v="22050"/>
    <n v="97110"/>
    <n v="485400.5"/>
    <n v="314750"/>
    <n v="0"/>
    <n v="0"/>
    <n v="897260.5"/>
    <n v="3599"/>
    <n v="5607.8781250000002"/>
  </r>
  <r>
    <x v="26"/>
    <x v="26"/>
    <s v="3(TARDE)"/>
    <n v="81"/>
    <s v="FINAL TURNO 2"/>
    <n v="2250"/>
    <n v="3350"/>
    <n v="3500"/>
    <n v="202"/>
    <n v="135"/>
    <n v="17591"/>
    <n v="480"/>
    <n v="80"/>
    <n v="100"/>
    <n v="60"/>
    <n v="50"/>
    <n v="0"/>
    <n v="5"/>
    <n v="130"/>
    <n v="79.5"/>
    <n v="62.5"/>
    <n v="0"/>
    <n v="5"/>
    <n v="270.83333333333331"/>
    <n v="165.625"/>
    <n v="130.20833333333334"/>
    <n v="0"/>
    <n v="10.416666666666666"/>
    <n v="1.3"/>
    <n v="1.325"/>
    <n v="1.25"/>
    <n v="2500"/>
    <n v="2500"/>
    <n v="830"/>
    <n v="2818"/>
    <n v="6295"/>
    <n v="19050"/>
    <n v="22050"/>
    <n v="107900"/>
    <n v="224031"/>
    <n v="393437.5"/>
    <n v="0"/>
    <n v="110250"/>
    <n v="835618.5"/>
    <n v="3599"/>
    <n v="1740.871875"/>
  </r>
  <r>
    <x v="27"/>
    <x v="27"/>
    <s v="28 (NOCHE)"/>
    <n v="82"/>
    <s v="FINAL TURNO 3"/>
    <n v="3150"/>
    <n v="6290"/>
    <n v="4450"/>
    <n v="202"/>
    <n v="155"/>
    <n v="17597"/>
    <n v="560"/>
    <n v="80"/>
    <n v="130"/>
    <n v="190"/>
    <n v="80"/>
    <n v="5"/>
    <n v="10"/>
    <n v="169"/>
    <n v="251.75"/>
    <n v="100"/>
    <n v="5"/>
    <n v="10"/>
    <n v="301.78571428571428"/>
    <n v="449.55357142857144"/>
    <n v="178.57142857142858"/>
    <n v="8.9285714285714288"/>
    <n v="17.857142857142858"/>
    <n v="1.3"/>
    <n v="1.325"/>
    <n v="1.25"/>
    <n v="2500"/>
    <n v="2500"/>
    <n v="830"/>
    <n v="2818"/>
    <n v="6295"/>
    <n v="19050"/>
    <n v="22050"/>
    <n v="140270"/>
    <n v="709431.5"/>
    <n v="629500"/>
    <n v="95250"/>
    <n v="220500"/>
    <n v="1794951.5"/>
    <n v="3599"/>
    <n v="3205.2705357142859"/>
  </r>
  <r>
    <x v="27"/>
    <x v="27"/>
    <s v="29 (MAÑANA)"/>
    <n v="83"/>
    <s v="FINAL TURNO 1"/>
    <n v="3020"/>
    <n v="6100"/>
    <n v="4370"/>
    <n v="197"/>
    <n v="145"/>
    <n v="17604"/>
    <n v="320"/>
    <n v="80"/>
    <n v="20"/>
    <n v="100"/>
    <n v="10"/>
    <n v="0"/>
    <n v="10"/>
    <n v="26"/>
    <n v="132.5"/>
    <n v="12.5"/>
    <n v="0"/>
    <n v="10"/>
    <n v="81.25"/>
    <n v="414.0625"/>
    <n v="39.0625"/>
    <n v="0"/>
    <n v="31.25"/>
    <n v="1.3"/>
    <n v="1.325"/>
    <n v="1.25"/>
    <n v="2500"/>
    <n v="2500"/>
    <n v="830"/>
    <n v="2818"/>
    <n v="6295"/>
    <n v="19050"/>
    <n v="22050"/>
    <n v="21580"/>
    <n v="373385"/>
    <n v="78687.5"/>
    <n v="0"/>
    <n v="220500"/>
    <n v="694152.5"/>
    <n v="3599"/>
    <n v="2169.2265625"/>
  </r>
  <r>
    <x v="27"/>
    <x v="27"/>
    <s v="3(TARDE)"/>
    <n v="84"/>
    <s v="FINAL TURNO 2"/>
    <n v="3000"/>
    <n v="6000"/>
    <n v="4360"/>
    <n v="197"/>
    <n v="135"/>
    <n v="17608"/>
    <n v="640"/>
    <n v="80"/>
    <n v="200"/>
    <n v="200"/>
    <n v="70"/>
    <n v="5"/>
    <n v="5"/>
    <n v="260"/>
    <n v="265"/>
    <n v="87.5"/>
    <n v="5"/>
    <n v="5"/>
    <n v="406.25"/>
    <n v="414.0625"/>
    <n v="136.71875"/>
    <n v="7.8125"/>
    <n v="7.8125"/>
    <n v="1.3"/>
    <n v="1.325"/>
    <n v="1.25"/>
    <n v="2500"/>
    <n v="2500"/>
    <n v="830"/>
    <n v="2818"/>
    <n v="6295"/>
    <n v="19050"/>
    <n v="22050"/>
    <n v="215800"/>
    <n v="746770"/>
    <n v="550812.5"/>
    <n v="95250"/>
    <n v="110250"/>
    <n v="1718882.5"/>
    <n v="3599"/>
    <n v="2685.75390625"/>
  </r>
  <r>
    <x v="28"/>
    <x v="28"/>
    <s v="29 (NOCHE)"/>
    <n v="85"/>
    <s v="FINAL TURNO 3"/>
    <n v="2800"/>
    <n v="5800"/>
    <n v="4290"/>
    <n v="192"/>
    <n v="130"/>
    <n v="17616"/>
    <n v="480"/>
    <n v="80"/>
    <n v="20"/>
    <n v="80"/>
    <n v="10"/>
    <n v="0"/>
    <n v="5"/>
    <n v="26"/>
    <n v="106"/>
    <n v="12.5"/>
    <n v="0"/>
    <n v="5"/>
    <n v="54.166666666666664"/>
    <n v="220.83333333333334"/>
    <n v="26.041666666666668"/>
    <n v="0"/>
    <n v="10.416666666666666"/>
    <n v="1.3"/>
    <n v="1.325"/>
    <n v="1.25"/>
    <n v="2500"/>
    <n v="2500"/>
    <n v="830"/>
    <n v="2818"/>
    <n v="6295"/>
    <n v="19050"/>
    <n v="22050"/>
    <n v="21580"/>
    <n v="298708"/>
    <n v="78687.5"/>
    <n v="0"/>
    <n v="110250"/>
    <n v="509225.5"/>
    <n v="3599"/>
    <n v="1060.8864583333334"/>
  </r>
  <r>
    <x v="28"/>
    <x v="28"/>
    <s v="30 (MAÑANA)"/>
    <n v="86"/>
    <s v="FINAL TURNO 1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8"/>
    <x v="28"/>
    <s v="3(TARDE)"/>
    <n v="87"/>
    <s v="FINAL TURNO 2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9"/>
    <x v="29"/>
    <s v="30 (NOCHE)"/>
    <n v="88"/>
    <s v="FINAL TURNO 3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9"/>
    <x v="29"/>
    <s v="31 (MAÑANA)"/>
    <n v="89"/>
    <s v="FINAL TURNO 1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29"/>
    <x v="29"/>
    <s v="3(TARDE)"/>
    <n v="90"/>
    <s v="FINAL TURNO 2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30"/>
    <x v="30"/>
    <s v="31 (NOCHE)"/>
    <n v="91"/>
    <s v="FINAL TURNO 3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30"/>
    <x v="30"/>
    <s v="32 (MAÑANA)"/>
    <n v="92"/>
    <s v="FINAL TURNO 1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30"/>
    <x v="30"/>
    <s v="3(TARDE)"/>
    <n v="93"/>
    <s v="FINAL TURNO 2"/>
    <n v="2780"/>
    <n v="5720"/>
    <n v="4280"/>
    <n v="192"/>
    <n v="125"/>
    <n v="17622"/>
    <n v="0"/>
    <n v="80"/>
    <n v="0"/>
    <n v="0"/>
    <n v="0"/>
    <n v="0"/>
    <n v="0"/>
    <n v="0"/>
    <n v="0"/>
    <n v="0"/>
    <n v="0"/>
    <n v="0"/>
    <e v="#DIV/0!"/>
    <e v="#DIV/0!"/>
    <e v="#DIV/0!"/>
    <e v="#DIV/0!"/>
    <e v="#DIV/0!"/>
    <n v="1.3"/>
    <n v="1.325"/>
    <n v="1.25"/>
    <n v="2500"/>
    <n v="2500"/>
    <n v="830"/>
    <n v="2818"/>
    <n v="6295"/>
    <n v="19050"/>
    <n v="22050"/>
    <n v="0"/>
    <n v="0"/>
    <n v="0"/>
    <n v="0"/>
    <n v="0"/>
    <n v="0"/>
    <n v="3599"/>
    <e v="#DIV/0!"/>
  </r>
  <r>
    <x v="31"/>
    <x v="31"/>
    <m/>
    <m/>
    <m/>
    <n v="2780"/>
    <n v="5720"/>
    <n v="4280"/>
    <n v="192"/>
    <n v="125"/>
    <n v="17622"/>
    <n v="-1409760"/>
    <n v="80"/>
    <n v="2780"/>
    <n v="5720"/>
    <n v="4280"/>
    <n v="192"/>
    <n v="125"/>
    <n v="3614"/>
    <n v="7579"/>
    <n v="5350"/>
    <n v="192"/>
    <n v="125"/>
    <n v="-2.5635569174895019"/>
    <n v="-5.3760923845193505"/>
    <n v="-3.7949721938485985"/>
    <n v="-0.13619339462036092"/>
    <n v="-8.8667574622630807E-2"/>
    <m/>
    <m/>
    <m/>
    <m/>
    <m/>
    <m/>
    <m/>
    <m/>
    <m/>
    <m/>
    <n v="0"/>
    <n v="0"/>
    <n v="0"/>
    <n v="0"/>
    <n v="0"/>
    <n v="0"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x v="0"/>
    <s v="1 (NOCHE)"/>
    <m/>
    <m/>
    <m/>
    <m/>
    <m/>
    <n v="0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0"/>
    <x v="0"/>
    <s v="2 (MAÑANA)"/>
    <m/>
    <m/>
    <m/>
    <m/>
    <m/>
    <n v="0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0"/>
    <x v="0"/>
    <s v="3(TARDE)"/>
    <m/>
    <m/>
    <m/>
    <m/>
    <m/>
    <n v="0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1"/>
    <x v="1"/>
    <s v="1 (NOCHE)"/>
    <m/>
    <m/>
    <m/>
    <m/>
    <m/>
    <n v="3.8170000000000002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5.2680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1"/>
    <x v="1"/>
    <s v="2 (MAÑANA)"/>
    <m/>
    <m/>
    <m/>
    <m/>
    <m/>
    <n v="70.57950000000001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82.31799999999998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1"/>
    <x v="1"/>
    <s v="3(TARDE)"/>
    <m/>
    <m/>
    <m/>
    <m/>
    <m/>
    <n v="41.540999999999997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66.163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"/>
    <x v="2"/>
    <s v="1 (NOCHE)"/>
    <m/>
    <m/>
    <m/>
    <m/>
    <m/>
    <n v="92.943999999999988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71.776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"/>
    <x v="2"/>
    <s v="2 (MAÑANA)"/>
    <m/>
    <m/>
    <m/>
    <m/>
    <m/>
    <n v="97.177000000000007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88.70800000000003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"/>
    <x v="2"/>
    <s v="3(TARDE)"/>
    <m/>
    <m/>
    <m/>
    <m/>
    <m/>
    <n v="82.552499999999995"/>
    <n v="0"/>
    <n v="175"/>
    <n v="40"/>
    <n v="0"/>
    <n v="0"/>
    <n v="0"/>
    <n v="1535.0877192982457"/>
    <n v="350.8771929824561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30.2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3"/>
    <x v="3"/>
    <s v="1 (NOCHE)"/>
    <m/>
    <m/>
    <m/>
    <m/>
    <m/>
    <n v="69.83175"/>
    <n v="0"/>
    <n v="175"/>
    <n v="40"/>
    <n v="0"/>
    <n v="0"/>
    <n v="0"/>
    <n v="1535.0877192982457"/>
    <n v="350.87719298245617"/>
    <n v="0"/>
    <n v="0"/>
    <n v="0"/>
    <n v="0"/>
    <n v="105.26315789473685"/>
    <n v="0"/>
    <n v="0"/>
    <n v="1.18"/>
    <n v="1.28"/>
    <n v="1.2"/>
    <n v="1.53"/>
    <n v="1.2"/>
    <n v="0"/>
    <n v="0"/>
    <n v="126.31578947368422"/>
    <n v="0"/>
    <n v="0"/>
    <n v="279.327"/>
    <n v="0"/>
    <n v="0"/>
    <n v="484.1948706816375"/>
    <n v="0"/>
    <n v="0"/>
    <n v="1550"/>
    <n v="19160"/>
    <n v="36239"/>
    <n v="1560"/>
    <n v="3640"/>
    <n v="0"/>
    <n v="0"/>
    <n v="201412.54736842107"/>
    <n v="0"/>
    <n v="0"/>
    <n v="201412.54736842107"/>
    <n v="1000"/>
    <n v="772.05646841980194"/>
  </r>
  <r>
    <x v="3"/>
    <x v="3"/>
    <s v="2 (MAÑANA)"/>
    <m/>
    <m/>
    <m/>
    <m/>
    <m/>
    <n v="99.022749999999988"/>
    <n v="0"/>
    <n v="175"/>
    <n v="28"/>
    <n v="0"/>
    <n v="0"/>
    <n v="0"/>
    <n v="1535.0877192982457"/>
    <n v="245.61403508771932"/>
    <n v="0"/>
    <n v="0"/>
    <n v="0"/>
    <n v="219.29824561403507"/>
    <n v="17.543859649122822"/>
    <n v="0"/>
    <n v="0"/>
    <n v="1.18"/>
    <n v="1.28"/>
    <n v="1.2"/>
    <n v="1.53"/>
    <n v="1.2"/>
    <n v="0"/>
    <n v="280.70175438596488"/>
    <n v="21.052631578947388"/>
    <n v="0"/>
    <n v="0"/>
    <n v="396.09100000000001"/>
    <e v="#DIV/0!"/>
    <e v="#DIV/0!"/>
    <e v="#DIV/0!"/>
    <e v="#DIV/0!"/>
    <e v="#DIV/0!"/>
    <n v="1550"/>
    <n v="19160"/>
    <n v="36239"/>
    <n v="1560"/>
    <n v="3640"/>
    <n v="0"/>
    <n v="64538.947368421046"/>
    <n v="33568.757894736867"/>
    <n v="0"/>
    <n v="0"/>
    <n v="98107.705263157914"/>
    <n v="1000"/>
    <e v="#DIV/0!"/>
  </r>
  <r>
    <x v="3"/>
    <x v="3"/>
    <s v="3(TARDE)"/>
    <m/>
    <m/>
    <m/>
    <m/>
    <m/>
    <n v="74.233000000000004"/>
    <n v="0"/>
    <n v="150"/>
    <n v="26"/>
    <n v="0"/>
    <n v="0"/>
    <n v="0"/>
    <n v="1315.7894736842106"/>
    <n v="228.07017543859649"/>
    <n v="0"/>
    <n v="0"/>
    <n v="0"/>
    <n v="315.78947368421052"/>
    <n v="105.26315789473684"/>
    <n v="0"/>
    <n v="0"/>
    <n v="1.18"/>
    <n v="1.28"/>
    <n v="1.2"/>
    <n v="1.53"/>
    <n v="1.2"/>
    <n v="0"/>
    <n v="404.21052631578948"/>
    <n v="126.31578947368419"/>
    <n v="0"/>
    <n v="0"/>
    <n v="296.93200000000002"/>
    <n v="0"/>
    <n v="1351.4407625504502"/>
    <n v="422.32523829701563"/>
    <n v="0"/>
    <n v="0"/>
    <n v="1550"/>
    <n v="19160"/>
    <n v="36239"/>
    <n v="1560"/>
    <n v="3640"/>
    <n v="0"/>
    <n v="92936.084210526329"/>
    <n v="201412.54736842102"/>
    <n v="0"/>
    <n v="0"/>
    <n v="294348.63157894736"/>
    <n v="1000"/>
    <n v="984.12760979400377"/>
  </r>
  <r>
    <x v="4"/>
    <x v="4"/>
    <s v="1 (NOCHE)"/>
    <m/>
    <m/>
    <m/>
    <m/>
    <m/>
    <n v="95.721500000000006"/>
    <n v="0"/>
    <n v="114"/>
    <n v="14"/>
    <n v="0"/>
    <n v="0"/>
    <n v="0"/>
    <n v="1000.0000000000001"/>
    <n v="122.80701754385966"/>
    <n v="0"/>
    <n v="0"/>
    <n v="0"/>
    <n v="61.403508771929864"/>
    <n v="280.70175438596482"/>
    <n v="0"/>
    <n v="0"/>
    <n v="1.18"/>
    <n v="1.28"/>
    <n v="1.2"/>
    <n v="1.53"/>
    <n v="1.2"/>
    <n v="0"/>
    <n v="78.596491228070235"/>
    <n v="336.84210526315775"/>
    <n v="0"/>
    <n v="0"/>
    <n v="382.88600000000002"/>
    <n v="0"/>
    <n v="281.75026788287209"/>
    <n v="1207.5011480694502"/>
    <n v="0"/>
    <n v="0"/>
    <n v="1550"/>
    <n v="19160"/>
    <n v="36239"/>
    <n v="1560"/>
    <n v="3640"/>
    <n v="0"/>
    <n v="18070.905263157911"/>
    <n v="537100.12631578918"/>
    <n v="0"/>
    <n v="0"/>
    <n v="555171.03157894709"/>
    <n v="1000"/>
    <n v="1990.1599222067373"/>
  </r>
  <r>
    <x v="4"/>
    <x v="4"/>
    <s v="2 (MAÑANA)"/>
    <m/>
    <m/>
    <m/>
    <m/>
    <m/>
    <n v="68.705500000000001"/>
    <n v="0"/>
    <n v="107"/>
    <n v="96"/>
    <n v="0"/>
    <n v="0"/>
    <n v="0"/>
    <n v="938.59649122807025"/>
    <n v="842.1052631578948"/>
    <n v="0"/>
    <n v="0"/>
    <n v="0"/>
    <n v="17.543859649122851"/>
    <n v="17.543859649122851"/>
    <n v="0"/>
    <n v="0"/>
    <n v="1.18"/>
    <n v="1.28"/>
    <n v="1.2"/>
    <n v="1.53"/>
    <n v="1.2"/>
    <n v="0"/>
    <n v="22.456140350877249"/>
    <n v="21.05263157894742"/>
    <n v="0"/>
    <n v="0"/>
    <n v="274.822"/>
    <n v="0"/>
    <n v="78.431040947192272"/>
    <n v="73.529100887992755"/>
    <n v="0"/>
    <n v="0"/>
    <n v="1550"/>
    <n v="19160"/>
    <n v="36239"/>
    <n v="1560"/>
    <n v="3640"/>
    <n v="0"/>
    <n v="5163.1157894736971"/>
    <n v="33568.757894736926"/>
    <n v="0"/>
    <n v="0"/>
    <n v="38731.873684210623"/>
    <n v="1000"/>
    <n v="135.2761927660971"/>
  </r>
  <r>
    <x v="4"/>
    <x v="4"/>
    <s v="3(TARDE)"/>
    <m/>
    <m/>
    <m/>
    <m/>
    <m/>
    <n v="65.643000000000001"/>
    <n v="0"/>
    <n v="105"/>
    <n v="94"/>
    <n v="0"/>
    <n v="0"/>
    <n v="0"/>
    <n v="921.0526315789474"/>
    <n v="824.56140350877195"/>
    <n v="0"/>
    <n v="0"/>
    <n v="0"/>
    <n v="192.98245614035091"/>
    <n v="219.29824561403507"/>
    <n v="0"/>
    <n v="0"/>
    <n v="1.18"/>
    <n v="1.28"/>
    <n v="1.2"/>
    <n v="1.53"/>
    <n v="1.2"/>
    <n v="0"/>
    <n v="247.01754385964915"/>
    <n v="263.15789473684208"/>
    <n v="0"/>
    <n v="0"/>
    <n v="262.572"/>
    <n v="0"/>
    <n v="1098.2071767839004"/>
    <n v="1169.965032085121"/>
    <n v="0"/>
    <n v="0"/>
    <n v="1550"/>
    <n v="19160"/>
    <n v="36239"/>
    <n v="1560"/>
    <n v="3640"/>
    <n v="0"/>
    <n v="56794.273684210537"/>
    <n v="419609.4736842105"/>
    <n v="0"/>
    <n v="0"/>
    <n v="476403.74736842106"/>
    <n v="1000"/>
    <n v="2118.027757186393"/>
  </r>
  <r>
    <x v="5"/>
    <x v="5"/>
    <s v="1 (NOCHE)"/>
    <m/>
    <m/>
    <m/>
    <m/>
    <m/>
    <n v="87.522249999999985"/>
    <n v="0"/>
    <n v="83"/>
    <n v="69"/>
    <n v="0"/>
    <n v="0"/>
    <n v="0"/>
    <n v="728.07017543859649"/>
    <n v="605.26315789473688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50.08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5"/>
    <x v="5"/>
    <s v="2 (MAÑANA)"/>
    <m/>
    <m/>
    <m/>
    <m/>
    <m/>
    <n v="77.570250000000001"/>
    <n v="0"/>
    <n v="83"/>
    <n v="69"/>
    <n v="0"/>
    <n v="0"/>
    <n v="0"/>
    <n v="728.07017543859649"/>
    <n v="605.26315789473688"/>
    <n v="0"/>
    <n v="0"/>
    <n v="0"/>
    <n v="192.98245614035079"/>
    <n v="228.07017543859649"/>
    <n v="0"/>
    <n v="0"/>
    <n v="1.18"/>
    <n v="1.28"/>
    <n v="1.2"/>
    <n v="1.53"/>
    <n v="1.2"/>
    <n v="0"/>
    <n v="247.01754385964901"/>
    <n v="273.68421052631578"/>
    <n v="0"/>
    <n v="0"/>
    <n v="310.28100000000001"/>
    <e v="#DIV/0!"/>
    <e v="#DIV/0!"/>
    <e v="#DIV/0!"/>
    <e v="#DIV/0!"/>
    <e v="#DIV/0!"/>
    <n v="1550"/>
    <n v="19160"/>
    <n v="36239"/>
    <n v="1560"/>
    <n v="3640"/>
    <n v="0"/>
    <n v="56794.273684210501"/>
    <n v="436393.85263157886"/>
    <n v="0"/>
    <n v="0"/>
    <n v="493188.12631578936"/>
    <n v="1000"/>
    <e v="#DIV/0!"/>
  </r>
  <r>
    <x v="5"/>
    <x v="5"/>
    <s v="3(TARDE)"/>
    <m/>
    <m/>
    <m/>
    <m/>
    <m/>
    <n v="78.048749999999998"/>
    <n v="0"/>
    <n v="61"/>
    <n v="43"/>
    <n v="0"/>
    <n v="0"/>
    <n v="0"/>
    <n v="535.0877192982457"/>
    <n v="377.19298245614038"/>
    <n v="0"/>
    <n v="0"/>
    <n v="0"/>
    <n v="96.491228070175509"/>
    <n v="78.947368421052659"/>
    <n v="0"/>
    <n v="0"/>
    <n v="1.18"/>
    <n v="1.28"/>
    <n v="1.2"/>
    <n v="1.53"/>
    <n v="1.2"/>
    <n v="0"/>
    <n v="123.50877192982466"/>
    <n v="94.736842105263193"/>
    <n v="0"/>
    <n v="0"/>
    <n v="312.19499999999999"/>
    <e v="#DIV/0!"/>
    <e v="#DIV/0!"/>
    <e v="#DIV/0!"/>
    <e v="#DIV/0!"/>
    <e v="#DIV/0!"/>
    <n v="1550"/>
    <n v="19160"/>
    <n v="36239"/>
    <n v="1560"/>
    <n v="3640"/>
    <n v="0"/>
    <n v="28397.136842105287"/>
    <n v="151059.41052631583"/>
    <n v="0"/>
    <n v="0"/>
    <n v="179456.5473684211"/>
    <n v="1000"/>
    <e v="#DIV/0!"/>
  </r>
  <r>
    <x v="6"/>
    <x v="6"/>
    <s v="1 (NOCHE)"/>
    <m/>
    <m/>
    <m/>
    <m/>
    <m/>
    <n v="70.914500000000004"/>
    <n v="0"/>
    <n v="50"/>
    <n v="34"/>
    <n v="0"/>
    <n v="0"/>
    <n v="0"/>
    <n v="438.59649122807019"/>
    <n v="298.2456140350877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83.65800000000002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6"/>
    <x v="6"/>
    <s v="2 (MAÑANA)"/>
    <m/>
    <m/>
    <m/>
    <m/>
    <m/>
    <n v="65.219499999999996"/>
    <n v="0"/>
    <n v="50"/>
    <n v="34"/>
    <n v="0"/>
    <n v="0"/>
    <n v="0"/>
    <n v="438.59649122807019"/>
    <n v="298.2456140350877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0.87799999999999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6"/>
    <x v="6"/>
    <s v="3(TARDE)"/>
    <m/>
    <m/>
    <m/>
    <m/>
    <m/>
    <n v="0"/>
    <n v="0"/>
    <n v="50"/>
    <n v="34"/>
    <n v="0"/>
    <n v="0"/>
    <n v="0"/>
    <n v="438.59649122807019"/>
    <n v="298.2456140350877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7"/>
    <x v="7"/>
    <s v="1 (NOCHE)"/>
    <m/>
    <m/>
    <m/>
    <m/>
    <m/>
    <n v="0"/>
    <n v="0"/>
    <n v="50"/>
    <n v="34"/>
    <n v="0"/>
    <n v="0"/>
    <n v="0"/>
    <n v="438.59649122807019"/>
    <n v="298.2456140350877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7"/>
    <x v="7"/>
    <s v="2 (MAÑANA)"/>
    <m/>
    <m/>
    <m/>
    <m/>
    <m/>
    <n v="0"/>
    <n v="0"/>
    <n v="50"/>
    <n v="34"/>
    <n v="0"/>
    <n v="0"/>
    <n v="0"/>
    <n v="438.59649122807019"/>
    <n v="298.24561403508773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7"/>
    <x v="7"/>
    <s v="3(TARDE)"/>
    <m/>
    <m/>
    <m/>
    <m/>
    <m/>
    <n v="0"/>
    <n v="0"/>
    <n v="50"/>
    <n v="34"/>
    <n v="0"/>
    <n v="0"/>
    <n v="0"/>
    <n v="438.59649122807019"/>
    <n v="298.24561403508773"/>
    <n v="0"/>
    <n v="0"/>
    <n v="0"/>
    <n v="201.75438596491227"/>
    <n v="228.07017543859649"/>
    <n v="0"/>
    <n v="0"/>
    <n v="1.18"/>
    <n v="1.28"/>
    <n v="1.2"/>
    <n v="1.53"/>
    <n v="1.2"/>
    <n v="0"/>
    <n v="258.24561403508773"/>
    <n v="273.68421052631578"/>
    <n v="0"/>
    <n v="0"/>
    <n v="0"/>
    <n v="0"/>
    <n v="1053.1481366611383"/>
    <n v="1116.1080796137064"/>
    <n v="0"/>
    <n v="0"/>
    <n v="1550"/>
    <n v="19160"/>
    <n v="36239"/>
    <n v="1560"/>
    <n v="3640"/>
    <n v="0"/>
    <n v="59375.831578947371"/>
    <n v="436393.85263157886"/>
    <n v="0"/>
    <n v="0"/>
    <n v="495769.68421052623"/>
    <n v="1000"/>
    <n v="2021.7920102544574"/>
  </r>
  <r>
    <x v="8"/>
    <x v="8"/>
    <s v="1 (NOCHE)"/>
    <m/>
    <m/>
    <m/>
    <m/>
    <m/>
    <n v="79.97775"/>
    <n v="0"/>
    <n v="27"/>
    <n v="8"/>
    <n v="0"/>
    <n v="0"/>
    <n v="0"/>
    <n v="236.84210526315792"/>
    <n v="70.175438596491233"/>
    <n v="0"/>
    <n v="0"/>
    <n v="0"/>
    <n v="17.543859649122822"/>
    <n v="0"/>
    <n v="0"/>
    <n v="0"/>
    <n v="1.18"/>
    <n v="1.28"/>
    <n v="1.2"/>
    <n v="1.53"/>
    <n v="1.2"/>
    <n v="0"/>
    <n v="22.456140350877213"/>
    <n v="0"/>
    <n v="0"/>
    <n v="0"/>
    <n v="319.911"/>
    <e v="#REF!"/>
    <e v="#REF!"/>
    <e v="#REF!"/>
    <e v="#REF!"/>
    <e v="#REF!"/>
    <n v="1550"/>
    <n v="19160"/>
    <n v="36239"/>
    <n v="1560"/>
    <n v="3640"/>
    <n v="0"/>
    <n v="5163.1157894736898"/>
    <n v="0"/>
    <n v="0"/>
    <n v="0"/>
    <n v="5163.1157894736898"/>
    <n v="1000"/>
    <e v="#REF!"/>
  </r>
  <r>
    <x v="8"/>
    <x v="8"/>
    <s v="2 (MAÑANA)"/>
    <m/>
    <m/>
    <m/>
    <m/>
    <m/>
    <n v="74.774000000000001"/>
    <n v="0"/>
    <n v="25"/>
    <n v="8"/>
    <n v="0"/>
    <n v="0"/>
    <n v="0"/>
    <n v="219.2982456140351"/>
    <n v="70.175438596491233"/>
    <n v="0"/>
    <n v="0"/>
    <n v="0"/>
    <n v="26.315789473684191"/>
    <n v="0"/>
    <n v="0"/>
    <n v="0"/>
    <n v="1.18"/>
    <n v="1.28"/>
    <n v="1.2"/>
    <n v="1.53"/>
    <n v="1.2"/>
    <n v="0"/>
    <n v="33.684210526315766"/>
    <n v="0"/>
    <n v="0"/>
    <n v="0"/>
    <n v="299.096"/>
    <e v="#REF!"/>
    <e v="#REF!"/>
    <e v="#REF!"/>
    <e v="#REF!"/>
    <e v="#REF!"/>
    <n v="1550"/>
    <n v="19160"/>
    <n v="36239"/>
    <n v="1560"/>
    <n v="3640"/>
    <n v="0"/>
    <n v="7744.6736842105211"/>
    <n v="0"/>
    <n v="0"/>
    <n v="0"/>
    <n v="7744.6736842105211"/>
    <n v="1000"/>
    <e v="#REF!"/>
  </r>
  <r>
    <x v="8"/>
    <x v="8"/>
    <s v="3(TARDE)"/>
    <m/>
    <m/>
    <m/>
    <m/>
    <m/>
    <n v="72.25"/>
    <n v="0"/>
    <n v="22"/>
    <n v="8"/>
    <n v="0"/>
    <n v="0"/>
    <n v="0"/>
    <n v="192.98245614035091"/>
    <n v="70.175438596491233"/>
    <n v="0"/>
    <n v="0"/>
    <n v="0"/>
    <n v="43.859649122807042"/>
    <n v="26.315789473684212"/>
    <n v="0"/>
    <n v="0"/>
    <n v="1.18"/>
    <n v="1.28"/>
    <n v="1.2"/>
    <n v="1.53"/>
    <n v="1.2"/>
    <n v="0"/>
    <n v="56.140350877193015"/>
    <n v="31.578947368421055"/>
    <n v="0"/>
    <n v="0"/>
    <n v="289"/>
    <e v="#REF!"/>
    <e v="#REF!"/>
    <e v="#REF!"/>
    <e v="#REF!"/>
    <e v="#REF!"/>
    <n v="1550"/>
    <n v="19160"/>
    <n v="36239"/>
    <n v="1560"/>
    <n v="3640"/>
    <n v="0"/>
    <n v="12907.789473684219"/>
    <n v="50353.136842105268"/>
    <n v="0"/>
    <n v="0"/>
    <n v="63260.926315789489"/>
    <n v="1000"/>
    <e v="#REF!"/>
  </r>
  <r>
    <x v="9"/>
    <x v="9"/>
    <s v="1 (NOCHE)"/>
    <m/>
    <m/>
    <m/>
    <m/>
    <m/>
    <n v="72.197000000000003"/>
    <n v="0"/>
    <n v="17"/>
    <n v="5"/>
    <n v="0"/>
    <n v="0"/>
    <n v="0"/>
    <n v="149.12280701754386"/>
    <n v="43.859649122807021"/>
    <n v="0"/>
    <n v="0"/>
    <n v="0"/>
    <n v="140.35087719298247"/>
    <n v="166.66666666666663"/>
    <n v="0"/>
    <n v="0"/>
    <n v="1.18"/>
    <n v="1.28"/>
    <n v="1.2"/>
    <n v="1.53"/>
    <n v="1.2"/>
    <n v="0"/>
    <n v="179.64912280701756"/>
    <n v="199.99999999999994"/>
    <n v="0"/>
    <n v="0"/>
    <n v="288.78800000000001"/>
    <e v="#REF!"/>
    <e v="#REF!"/>
    <e v="#REF!"/>
    <e v="#REF!"/>
    <e v="#REF!"/>
    <n v="1550"/>
    <n v="19160"/>
    <n v="36239"/>
    <n v="1560"/>
    <n v="3640"/>
    <n v="0"/>
    <n v="41304.926315789482"/>
    <n v="318903.1999999999"/>
    <n v="0"/>
    <n v="0"/>
    <n v="360208.12631578936"/>
    <n v="1000"/>
    <e v="#REF!"/>
  </r>
  <r>
    <x v="9"/>
    <x v="9"/>
    <s v="2 (MAÑANA)"/>
    <m/>
    <m/>
    <m/>
    <m/>
    <m/>
    <n v="69.739500000000007"/>
    <n v="0"/>
    <n v="115"/>
    <n v="100"/>
    <n v="0"/>
    <n v="0"/>
    <n v="0"/>
    <n v="1008.7719298245614"/>
    <n v="877.19298245614038"/>
    <n v="0"/>
    <n v="0"/>
    <n v="0"/>
    <n v="17.543859649122737"/>
    <n v="17.543859649122737"/>
    <n v="0"/>
    <n v="0"/>
    <n v="1.18"/>
    <n v="1.28"/>
    <n v="1.2"/>
    <n v="1.53"/>
    <n v="1.2"/>
    <n v="0"/>
    <n v="22.456140350877103"/>
    <n v="21.052631578947285"/>
    <n v="0"/>
    <n v="0"/>
    <n v="278.95800000000003"/>
    <e v="#REF!"/>
    <e v="#REF!"/>
    <e v="#REF!"/>
    <e v="#REF!"/>
    <e v="#REF!"/>
    <n v="1550"/>
    <n v="19160"/>
    <n v="36239"/>
    <n v="1560"/>
    <n v="3640"/>
    <n v="0"/>
    <n v="5163.1157894736643"/>
    <n v="33568.757894736707"/>
    <n v="0"/>
    <n v="0"/>
    <n v="38731.873684210368"/>
    <n v="1000"/>
    <e v="#REF!"/>
  </r>
  <r>
    <x v="9"/>
    <x v="9"/>
    <s v="3(TARDE)"/>
    <m/>
    <m/>
    <m/>
    <m/>
    <m/>
    <n v="77.482749999999996"/>
    <n v="0"/>
    <n v="113"/>
    <n v="98"/>
    <n v="0"/>
    <n v="0"/>
    <n v="0"/>
    <n v="991.22807017543869"/>
    <n v="859.64912280701765"/>
    <n v="0"/>
    <n v="0"/>
    <n v="0"/>
    <n v="35.087719298245588"/>
    <n v="35.087719298245702"/>
    <n v="0"/>
    <n v="0"/>
    <n v="1.18"/>
    <n v="1.28"/>
    <n v="1.2"/>
    <n v="1.53"/>
    <n v="1.2"/>
    <n v="0"/>
    <n v="44.912280701754355"/>
    <n v="42.105263157894839"/>
    <n v="0"/>
    <n v="0"/>
    <n v="309.93099999999998"/>
    <e v="#REF!"/>
    <e v="#REF!"/>
    <e v="#REF!"/>
    <e v="#REF!"/>
    <e v="#REF!"/>
    <n v="1550"/>
    <n v="19160"/>
    <n v="36239"/>
    <n v="1560"/>
    <n v="3640"/>
    <n v="0"/>
    <n v="10326.231578947361"/>
    <n v="67137.515789473851"/>
    <n v="0"/>
    <n v="0"/>
    <n v="77463.747368421216"/>
    <n v="1000"/>
    <e v="#REF!"/>
  </r>
  <r>
    <x v="10"/>
    <x v="10"/>
    <s v="1 (NOCHE)"/>
    <m/>
    <m/>
    <m/>
    <m/>
    <m/>
    <n v="72.388499999999993"/>
    <n v="0"/>
    <n v="109"/>
    <n v="94"/>
    <n v="0"/>
    <n v="0"/>
    <n v="0"/>
    <n v="956.1403508771931"/>
    <n v="824.56140350877195"/>
    <n v="0"/>
    <n v="0"/>
    <n v="0"/>
    <n v="149.12280701754389"/>
    <n v="175.43859649122805"/>
    <n v="0"/>
    <n v="0"/>
    <n v="1.18"/>
    <n v="1.28"/>
    <n v="1.2"/>
    <n v="1.53"/>
    <n v="1.2"/>
    <n v="0"/>
    <n v="190.87719298245619"/>
    <n v="210.52631578947367"/>
    <n v="0"/>
    <n v="0"/>
    <n v="289.55399999999997"/>
    <e v="#REF!"/>
    <e v="#REF!"/>
    <e v="#REF!"/>
    <e v="#REF!"/>
    <e v="#REF!"/>
    <n v="1550"/>
    <n v="19160"/>
    <n v="36239"/>
    <n v="1560"/>
    <n v="3640"/>
    <n v="0"/>
    <n v="43886.484210526331"/>
    <n v="335687.57894736837"/>
    <n v="0"/>
    <n v="0"/>
    <n v="379574.06315789471"/>
    <n v="1000"/>
    <e v="#REF!"/>
  </r>
  <r>
    <x v="10"/>
    <x v="10"/>
    <s v="2 (MAÑANA)"/>
    <m/>
    <m/>
    <m/>
    <m/>
    <m/>
    <n v="71.579250000000002"/>
    <n v="0"/>
    <n v="92"/>
    <n v="74"/>
    <n v="0"/>
    <n v="0"/>
    <n v="0"/>
    <n v="807.01754385964921"/>
    <n v="649.12280701754389"/>
    <n v="0"/>
    <n v="0"/>
    <n v="0"/>
    <n v="87.719298245614027"/>
    <n v="105.26315789473688"/>
    <n v="0"/>
    <n v="0"/>
    <n v="1.18"/>
    <n v="1.28"/>
    <n v="1.2"/>
    <n v="1.53"/>
    <n v="1.2"/>
    <n v="0"/>
    <n v="112.28070175438596"/>
    <n v="126.31578947368425"/>
    <n v="0"/>
    <n v="0"/>
    <n v="286.31700000000001"/>
    <e v="#REF!"/>
    <e v="#REF!"/>
    <e v="#REF!"/>
    <e v="#REF!"/>
    <e v="#REF!"/>
    <n v="1550"/>
    <n v="19160"/>
    <n v="36239"/>
    <n v="1560"/>
    <n v="3640"/>
    <n v="0"/>
    <n v="25815.57894736842"/>
    <n v="201412.5473684211"/>
    <n v="0"/>
    <n v="0"/>
    <n v="227228.12631578953"/>
    <n v="1000"/>
    <e v="#REF!"/>
  </r>
  <r>
    <x v="10"/>
    <x v="10"/>
    <s v="3(TARDE)"/>
    <m/>
    <m/>
    <m/>
    <m/>
    <m/>
    <n v="61.75800000000001"/>
    <n v="0"/>
    <n v="82"/>
    <n v="62"/>
    <n v="0"/>
    <n v="0"/>
    <n v="0"/>
    <n v="719.29824561403518"/>
    <n v="543.85964912280701"/>
    <n v="0"/>
    <n v="0"/>
    <n v="0"/>
    <n v="17.543859649122851"/>
    <n v="26.315789473684163"/>
    <n v="0"/>
    <n v="0"/>
    <n v="1.18"/>
    <n v="1.28"/>
    <n v="1.2"/>
    <n v="1.53"/>
    <n v="1.2"/>
    <n v="0"/>
    <n v="22.456140350877249"/>
    <n v="31.578947368420994"/>
    <n v="0"/>
    <n v="0"/>
    <n v="247.03200000000001"/>
    <e v="#REF!"/>
    <e v="#REF!"/>
    <e v="#REF!"/>
    <e v="#REF!"/>
    <e v="#REF!"/>
    <n v="1550"/>
    <n v="19160"/>
    <n v="36239"/>
    <n v="1560"/>
    <n v="3640"/>
    <n v="0"/>
    <n v="5163.1157894736971"/>
    <n v="50353.136842105174"/>
    <n v="0"/>
    <n v="0"/>
    <n v="55516.252631578871"/>
    <n v="1000"/>
    <e v="#REF!"/>
  </r>
  <r>
    <x v="11"/>
    <x v="11"/>
    <s v="1 (NOCHE)"/>
    <m/>
    <m/>
    <m/>
    <m/>
    <m/>
    <n v="71.27"/>
    <n v="0"/>
    <n v="80"/>
    <n v="59"/>
    <n v="0"/>
    <n v="0"/>
    <n v="0"/>
    <n v="701.75438596491233"/>
    <n v="517.54385964912285"/>
    <n v="0"/>
    <n v="0"/>
    <n v="0"/>
    <n v="166.66666666666663"/>
    <n v="122.80701754385967"/>
    <n v="0"/>
    <n v="0"/>
    <n v="1.18"/>
    <n v="1.28"/>
    <n v="1.2"/>
    <n v="1.53"/>
    <n v="1.2"/>
    <n v="0"/>
    <n v="213.33333333333329"/>
    <n v="147.36842105263159"/>
    <n v="0"/>
    <n v="0"/>
    <n v="285.08"/>
    <e v="#REF!"/>
    <e v="#REF!"/>
    <e v="#REF!"/>
    <e v="#REF!"/>
    <e v="#REF!"/>
    <n v="1550"/>
    <n v="19160"/>
    <n v="36239"/>
    <n v="1560"/>
    <n v="3640"/>
    <n v="0"/>
    <n v="49049.599999999991"/>
    <n v="234981.30526315788"/>
    <n v="0"/>
    <n v="0"/>
    <n v="284030.90526315785"/>
    <n v="1000"/>
    <e v="#REF!"/>
  </r>
  <r>
    <x v="11"/>
    <x v="11"/>
    <s v="2 (MAÑANA)"/>
    <m/>
    <m/>
    <m/>
    <m/>
    <m/>
    <n v="56.231999999999992"/>
    <n v="0"/>
    <n v="61"/>
    <n v="45"/>
    <n v="0"/>
    <n v="0"/>
    <n v="0"/>
    <n v="535.0877192982457"/>
    <n v="394.73684210526318"/>
    <n v="0"/>
    <n v="0"/>
    <n v="0"/>
    <n v="96.491228070175509"/>
    <n v="78.947368421052659"/>
    <n v="0"/>
    <n v="0"/>
    <n v="1.18"/>
    <n v="1.28"/>
    <n v="1.2"/>
    <n v="1.53"/>
    <n v="1.2"/>
    <n v="0"/>
    <n v="123.50877192982466"/>
    <n v="94.736842105263193"/>
    <n v="0"/>
    <n v="0"/>
    <n v="224.928"/>
    <e v="#REF!"/>
    <e v="#REF!"/>
    <e v="#REF!"/>
    <e v="#REF!"/>
    <e v="#REF!"/>
    <n v="1550"/>
    <n v="19160"/>
    <n v="36239"/>
    <n v="1560"/>
    <n v="3640"/>
    <n v="0"/>
    <n v="28397.136842105287"/>
    <n v="151059.41052631583"/>
    <n v="0"/>
    <n v="0"/>
    <n v="179456.5473684211"/>
    <n v="1000"/>
    <e v="#REF!"/>
  </r>
  <r>
    <x v="11"/>
    <x v="11"/>
    <s v="3(TARDE)"/>
    <m/>
    <n v="0"/>
    <n v="0"/>
    <m/>
    <m/>
    <n v="70.316500000000019"/>
    <n v="0"/>
    <n v="50"/>
    <n v="36"/>
    <n v="0"/>
    <n v="0"/>
    <n v="0"/>
    <n v="438.59649122807019"/>
    <n v="315.78947368421052"/>
    <n v="0"/>
    <n v="0"/>
    <n v="0"/>
    <n v="96.491228070175453"/>
    <n v="70.175438596491205"/>
    <n v="0"/>
    <n v="0"/>
    <n v="1.18"/>
    <n v="1.28"/>
    <n v="1.2"/>
    <n v="1.53"/>
    <n v="1.2"/>
    <n v="0"/>
    <n v="123.50877192982458"/>
    <n v="84.210526315789437"/>
    <n v="0"/>
    <n v="0"/>
    <n v="281.26600000000002"/>
    <e v="#REF!"/>
    <e v="#REF!"/>
    <e v="#REF!"/>
    <e v="#REF!"/>
    <e v="#REF!"/>
    <n v="1550"/>
    <n v="19160"/>
    <n v="36239"/>
    <n v="1560"/>
    <n v="3640"/>
    <n v="0"/>
    <n v="28397.136842105268"/>
    <n v="134275.0315789473"/>
    <n v="0"/>
    <n v="0"/>
    <n v="162672.16842105257"/>
    <n v="1000"/>
    <e v="#REF!"/>
  </r>
  <r>
    <x v="12"/>
    <x v="12"/>
    <s v="1 (NOCHE)"/>
    <m/>
    <m/>
    <m/>
    <m/>
    <m/>
    <n v="61.24325000000001"/>
    <n v="0"/>
    <n v="39"/>
    <n v="28"/>
    <n v="0"/>
    <n v="0"/>
    <n v="0"/>
    <n v="342.10526315789474"/>
    <n v="245.61403508771932"/>
    <n v="0"/>
    <n v="0"/>
    <n v="0"/>
    <n v="17.543859649122794"/>
    <n v="26.31578947368422"/>
    <n v="0"/>
    <n v="0"/>
    <n v="1.18"/>
    <n v="1.28"/>
    <n v="1.2"/>
    <n v="1.53"/>
    <n v="1.2"/>
    <n v="0"/>
    <n v="22.456140350877178"/>
    <n v="31.578947368421062"/>
    <n v="0"/>
    <n v="0"/>
    <n v="244.97300000000001"/>
    <e v="#REF!"/>
    <e v="#REF!"/>
    <e v="#REF!"/>
    <e v="#REF!"/>
    <e v="#REF!"/>
    <n v="1550"/>
    <n v="19160"/>
    <n v="36239"/>
    <n v="1560"/>
    <n v="3640"/>
    <n v="0"/>
    <n v="5163.1157894736807"/>
    <n v="50353.136842105276"/>
    <n v="0"/>
    <n v="0"/>
    <n v="55516.252631578958"/>
    <n v="1000"/>
    <e v="#REF!"/>
  </r>
  <r>
    <x v="12"/>
    <x v="12"/>
    <s v="2 (MAÑANA)"/>
    <m/>
    <m/>
    <m/>
    <m/>
    <m/>
    <n v="46.0105"/>
    <n v="0"/>
    <n v="37"/>
    <n v="25"/>
    <n v="0"/>
    <n v="0"/>
    <n v="0"/>
    <n v="324.56140350877195"/>
    <n v="219.2982456140351"/>
    <n v="0"/>
    <n v="0"/>
    <n v="0"/>
    <n v="61.403508771929808"/>
    <n v="105.26315789473685"/>
    <n v="0"/>
    <n v="0"/>
    <n v="1.18"/>
    <n v="1.28"/>
    <n v="1.2"/>
    <n v="1.53"/>
    <n v="1.2"/>
    <n v="0"/>
    <n v="78.59649122807015"/>
    <n v="126.31578947368422"/>
    <n v="0"/>
    <n v="0"/>
    <n v="184.042"/>
    <e v="#REF!"/>
    <e v="#REF!"/>
    <e v="#REF!"/>
    <e v="#REF!"/>
    <e v="#REF!"/>
    <n v="1550"/>
    <n v="19160"/>
    <n v="36239"/>
    <n v="1560"/>
    <n v="3640"/>
    <n v="0"/>
    <n v="18070.905263157889"/>
    <n v="201412.54736842107"/>
    <n v="0"/>
    <n v="0"/>
    <n v="219483.45263157896"/>
    <n v="1000"/>
    <e v="#REF!"/>
  </r>
  <r>
    <x v="12"/>
    <x v="12"/>
    <s v="3(TARDE)"/>
    <m/>
    <m/>
    <m/>
    <m/>
    <m/>
    <n v="71.343500000000006"/>
    <n v="0"/>
    <n v="30"/>
    <n v="13"/>
    <n v="0"/>
    <n v="0"/>
    <n v="0"/>
    <n v="263.15789473684214"/>
    <n v="114.03508771929825"/>
    <n v="0"/>
    <n v="0"/>
    <n v="0"/>
    <n v="78.947368421052659"/>
    <n v="52.631578947368418"/>
    <n v="0"/>
    <n v="0"/>
    <n v="1.18"/>
    <n v="1.28"/>
    <n v="1.2"/>
    <n v="1.53"/>
    <n v="1.2"/>
    <n v="0"/>
    <n v="101.0526315789474"/>
    <n v="63.157894736842096"/>
    <n v="0"/>
    <n v="0"/>
    <n v="285.37400000000002"/>
    <e v="#REF!"/>
    <e v="#REF!"/>
    <e v="#REF!"/>
    <e v="#REF!"/>
    <e v="#REF!"/>
    <n v="1550"/>
    <n v="19160"/>
    <n v="36239"/>
    <n v="1560"/>
    <n v="3640"/>
    <n v="0"/>
    <n v="23234.021052631586"/>
    <n v="100706.27368421051"/>
    <n v="0"/>
    <n v="0"/>
    <n v="123940.2947368421"/>
    <n v="1000"/>
    <e v="#REF!"/>
  </r>
  <r>
    <x v="13"/>
    <x v="13"/>
    <s v="1 (NOCHE)"/>
    <m/>
    <m/>
    <m/>
    <m/>
    <m/>
    <n v="47.176749999999998"/>
    <n v="0"/>
    <n v="21"/>
    <n v="7"/>
    <n v="0"/>
    <n v="0"/>
    <n v="0"/>
    <n v="184.21052631578948"/>
    <n v="61.40350877192982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88.706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3"/>
    <x v="13"/>
    <s v="2 (MAÑANA)"/>
    <m/>
    <m/>
    <m/>
    <m/>
    <m/>
    <n v="0"/>
    <n v="0"/>
    <n v="21"/>
    <n v="7"/>
    <n v="0"/>
    <n v="0"/>
    <n v="0"/>
    <n v="184.21052631578948"/>
    <n v="61.40350877192982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3"/>
    <x v="13"/>
    <s v="3(TARDE)"/>
    <m/>
    <m/>
    <m/>
    <m/>
    <m/>
    <n v="0"/>
    <n v="0"/>
    <n v="21"/>
    <n v="7"/>
    <n v="0"/>
    <n v="0"/>
    <n v="0"/>
    <n v="184.21052631578948"/>
    <n v="61.40350877192982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4"/>
    <x v="14"/>
    <s v="1 (NOCHE)"/>
    <m/>
    <m/>
    <m/>
    <m/>
    <m/>
    <n v="0"/>
    <n v="0"/>
    <n v="21"/>
    <n v="7"/>
    <n v="0"/>
    <n v="0"/>
    <n v="0"/>
    <n v="184.21052631578948"/>
    <n v="61.40350877192982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4"/>
    <x v="14"/>
    <s v="2 (MAÑANA)"/>
    <m/>
    <m/>
    <m/>
    <m/>
    <m/>
    <n v="0"/>
    <n v="0"/>
    <n v="21"/>
    <n v="7"/>
    <n v="0"/>
    <n v="0"/>
    <n v="0"/>
    <n v="184.21052631578948"/>
    <n v="61.40350877192982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4"/>
    <x v="14"/>
    <s v="3(TARDE)"/>
    <m/>
    <m/>
    <m/>
    <m/>
    <m/>
    <n v="0"/>
    <n v="0"/>
    <n v="21"/>
    <n v="7"/>
    <n v="0"/>
    <n v="0"/>
    <n v="0"/>
    <n v="184.21052631578948"/>
    <n v="61.403508771929829"/>
    <n v="0"/>
    <n v="0"/>
    <n v="0"/>
    <n v="43.859649122807014"/>
    <n v="96.491228070175453"/>
    <n v="0"/>
    <n v="0"/>
    <n v="1.18"/>
    <n v="1.28"/>
    <n v="1.2"/>
    <n v="1.53"/>
    <n v="1.2"/>
    <n v="0"/>
    <n v="56.140350877192979"/>
    <n v="115.78947368421053"/>
    <n v="0"/>
    <n v="0"/>
    <n v="0"/>
    <e v="#REF!"/>
    <e v="#REF!"/>
    <e v="#REF!"/>
    <e v="#REF!"/>
    <e v="#REF!"/>
    <n v="1550"/>
    <n v="19160"/>
    <n v="36239"/>
    <n v="1560"/>
    <n v="3640"/>
    <n v="0"/>
    <n v="12907.78947368421"/>
    <n v="184628.16842105263"/>
    <n v="0"/>
    <n v="0"/>
    <n v="197535.95789473684"/>
    <n v="1000"/>
    <e v="#REF!"/>
  </r>
  <r>
    <x v="15"/>
    <x v="15"/>
    <s v="1 (NOCHE)"/>
    <m/>
    <m/>
    <m/>
    <m/>
    <m/>
    <n v="69.127499999999998"/>
    <n v="0"/>
    <n v="16"/>
    <n v="110"/>
    <n v="0"/>
    <n v="0"/>
    <n v="0"/>
    <n v="140.35087719298247"/>
    <n v="964.91228070175441"/>
    <n v="0"/>
    <n v="0"/>
    <n v="0"/>
    <n v="210.52631578947364"/>
    <n v="0"/>
    <n v="0"/>
    <n v="0"/>
    <n v="1.18"/>
    <n v="1.28"/>
    <n v="1.2"/>
    <n v="1.53"/>
    <n v="1.2"/>
    <n v="0"/>
    <n v="269.47368421052624"/>
    <n v="0"/>
    <n v="0"/>
    <n v="0"/>
    <n v="276.51"/>
    <e v="#REF!"/>
    <e v="#REF!"/>
    <e v="#REF!"/>
    <e v="#REF!"/>
    <e v="#REF!"/>
    <n v="1550"/>
    <n v="19160"/>
    <n v="36239"/>
    <n v="1560"/>
    <n v="3640"/>
    <n v="0"/>
    <n v="61957.38947368419"/>
    <n v="0"/>
    <n v="0"/>
    <n v="0"/>
    <n v="61957.38947368419"/>
    <n v="1000"/>
    <e v="#REF!"/>
  </r>
  <r>
    <x v="15"/>
    <x v="15"/>
    <s v="2 (MAÑANA)"/>
    <m/>
    <m/>
    <m/>
    <m/>
    <m/>
    <n v="69.127499999999998"/>
    <n v="0"/>
    <n v="106"/>
    <n v="110"/>
    <n v="0"/>
    <n v="0"/>
    <n v="0"/>
    <n v="929.82456140350882"/>
    <n v="964.91228070175441"/>
    <n v="0"/>
    <n v="0"/>
    <n v="0"/>
    <n v="0"/>
    <n v="26.315789473684163"/>
    <n v="0"/>
    <n v="0"/>
    <n v="1.18"/>
    <n v="1.28"/>
    <n v="1.2"/>
    <n v="1.53"/>
    <n v="1.2"/>
    <n v="0"/>
    <n v="0"/>
    <n v="31.578947368420994"/>
    <n v="0"/>
    <n v="0"/>
    <n v="276.51"/>
    <e v="#REF!"/>
    <e v="#REF!"/>
    <e v="#REF!"/>
    <e v="#REF!"/>
    <e v="#REF!"/>
    <n v="1550"/>
    <n v="19160"/>
    <n v="36239"/>
    <n v="1560"/>
    <n v="3640"/>
    <n v="0"/>
    <n v="0"/>
    <n v="50353.136842105174"/>
    <n v="0"/>
    <n v="0"/>
    <n v="50353.136842105174"/>
    <n v="1000"/>
    <e v="#REF!"/>
  </r>
  <r>
    <x v="15"/>
    <x v="15"/>
    <s v="3(TARDE)"/>
    <m/>
    <m/>
    <m/>
    <m/>
    <m/>
    <n v="76.033749999999998"/>
    <n v="0"/>
    <n v="106"/>
    <n v="107"/>
    <n v="0"/>
    <n v="0"/>
    <n v="0"/>
    <n v="929.82456140350882"/>
    <n v="938.59649122807025"/>
    <n v="0"/>
    <n v="0"/>
    <n v="0"/>
    <n v="0"/>
    <n v="78.947368421052602"/>
    <n v="0"/>
    <n v="0"/>
    <n v="1.18"/>
    <n v="1.28"/>
    <n v="1.2"/>
    <n v="1.53"/>
    <n v="1.2"/>
    <n v="0"/>
    <n v="0"/>
    <n v="94.736842105263122"/>
    <n v="0"/>
    <n v="0"/>
    <n v="304.13499999999999"/>
    <e v="#REF!"/>
    <e v="#REF!"/>
    <e v="#REF!"/>
    <e v="#REF!"/>
    <e v="#REF!"/>
    <n v="1550"/>
    <n v="19160"/>
    <n v="36239"/>
    <n v="1560"/>
    <n v="3640"/>
    <n v="0"/>
    <n v="0"/>
    <n v="151059.41052631571"/>
    <n v="0"/>
    <n v="0"/>
    <n v="151059.41052631571"/>
    <n v="1000"/>
    <e v="#REF!"/>
  </r>
  <r>
    <x v="16"/>
    <x v="16"/>
    <s v="1 (NOCHE)"/>
    <m/>
    <m/>
    <m/>
    <m/>
    <m/>
    <n v="73.957499999999996"/>
    <n v="0"/>
    <n v="106"/>
    <n v="98"/>
    <n v="0"/>
    <n v="0"/>
    <n v="0"/>
    <n v="929.82456140350882"/>
    <n v="859.64912280701765"/>
    <n v="0"/>
    <n v="0"/>
    <n v="0"/>
    <n v="0"/>
    <n v="105.26315789473688"/>
    <n v="0"/>
    <n v="0"/>
    <n v="1.18"/>
    <n v="1.28"/>
    <n v="1.2"/>
    <n v="1.53"/>
    <n v="1.2"/>
    <n v="0"/>
    <n v="0"/>
    <n v="126.31578947368425"/>
    <n v="0"/>
    <n v="0"/>
    <n v="295.83"/>
    <e v="#REF!"/>
    <e v="#REF!"/>
    <e v="#REF!"/>
    <e v="#REF!"/>
    <e v="#REF!"/>
    <n v="1550"/>
    <n v="19160"/>
    <n v="36239"/>
    <n v="1560"/>
    <n v="3640"/>
    <n v="0"/>
    <n v="0"/>
    <n v="201412.5473684211"/>
    <n v="0"/>
    <n v="0"/>
    <n v="201412.5473684211"/>
    <n v="1000"/>
    <e v="#REF!"/>
  </r>
  <r>
    <x v="16"/>
    <x v="16"/>
    <s v="2 (MAÑANA)"/>
    <m/>
    <m/>
    <m/>
    <m/>
    <m/>
    <n v="84.981499999999983"/>
    <n v="0"/>
    <n v="106"/>
    <n v="86"/>
    <n v="0"/>
    <n v="0"/>
    <n v="0"/>
    <n v="929.82456140350882"/>
    <n v="754.38596491228077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39.92599999999999"/>
    <e v="#REF!"/>
    <e v="#REF!"/>
    <e v="#REF!"/>
    <e v="#REF!"/>
    <e v="#REF!"/>
    <n v="1550"/>
    <n v="19160"/>
    <n v="36239"/>
    <n v="1560"/>
    <n v="3640"/>
    <n v="0"/>
    <n v="0"/>
    <n v="0"/>
    <n v="0"/>
    <n v="0"/>
    <n v="0"/>
    <n v="1000"/>
    <e v="#REF!"/>
  </r>
  <r>
    <x v="16"/>
    <x v="16"/>
    <s v="3(TARDE)"/>
    <m/>
    <m/>
    <m/>
    <m/>
    <m/>
    <n v="77.639499999999998"/>
    <n v="0"/>
    <n v="106"/>
    <n v="86"/>
    <n v="0"/>
    <n v="0"/>
    <n v="0"/>
    <n v="929.82456140350882"/>
    <n v="754.38596491228077"/>
    <n v="0"/>
    <n v="0"/>
    <n v="0"/>
    <n v="52.631578947368439"/>
    <n v="122.80701754385973"/>
    <n v="0"/>
    <n v="0"/>
    <n v="1.18"/>
    <n v="1.28"/>
    <n v="1.2"/>
    <n v="1.53"/>
    <n v="1.2"/>
    <n v="0"/>
    <n v="67.368421052631604"/>
    <n v="147.36842105263167"/>
    <n v="0"/>
    <n v="0"/>
    <n v="310.55799999999999"/>
    <e v="#REF!"/>
    <e v="#REF!"/>
    <e v="#REF!"/>
    <e v="#REF!"/>
    <e v="#REF!"/>
    <n v="1550"/>
    <n v="19160"/>
    <n v="36239"/>
    <n v="1560"/>
    <n v="3640"/>
    <n v="0"/>
    <n v="15489.347368421058"/>
    <n v="234981.30526315805"/>
    <n v="0"/>
    <n v="0"/>
    <n v="250470.65263157911"/>
    <n v="1000"/>
    <e v="#REF!"/>
  </r>
  <r>
    <x v="17"/>
    <x v="17"/>
    <s v="1 (NOCHE)"/>
    <m/>
    <m/>
    <m/>
    <m/>
    <m/>
    <n v="75.436000000000007"/>
    <n v="0"/>
    <n v="100"/>
    <n v="72"/>
    <n v="0"/>
    <n v="0"/>
    <n v="0"/>
    <n v="877.19298245614038"/>
    <n v="631.57894736842104"/>
    <n v="0"/>
    <n v="0"/>
    <n v="0"/>
    <n v="157.8947368421052"/>
    <n v="175.43859649122805"/>
    <n v="0"/>
    <n v="0"/>
    <n v="1.18"/>
    <n v="1.28"/>
    <n v="1.2"/>
    <n v="1.53"/>
    <n v="1.2"/>
    <n v="0"/>
    <n v="202.10526315789465"/>
    <n v="210.52631578947367"/>
    <n v="0"/>
    <n v="0"/>
    <n v="301.74400000000003"/>
    <e v="#REF!"/>
    <e v="#REF!"/>
    <e v="#REF!"/>
    <e v="#REF!"/>
    <e v="#REF!"/>
    <n v="1550"/>
    <n v="19160"/>
    <n v="36239"/>
    <n v="1560"/>
    <n v="3640"/>
    <n v="0"/>
    <n v="46468.042105263143"/>
    <n v="335687.57894736837"/>
    <n v="0"/>
    <n v="0"/>
    <n v="382155.62105263153"/>
    <n v="1000"/>
    <e v="#REF!"/>
  </r>
  <r>
    <x v="17"/>
    <x v="17"/>
    <s v="2 (MAÑANA)"/>
    <m/>
    <m/>
    <m/>
    <m/>
    <m/>
    <n v="66.882249999999999"/>
    <n v="0"/>
    <n v="82"/>
    <n v="52"/>
    <n v="0"/>
    <n v="0"/>
    <n v="0"/>
    <n v="719.29824561403518"/>
    <n v="456.14035087719299"/>
    <n v="0"/>
    <n v="0"/>
    <n v="0"/>
    <n v="122.80701754385973"/>
    <n v="52.631578947368382"/>
    <n v="0"/>
    <n v="0"/>
    <n v="1.18"/>
    <n v="1.28"/>
    <n v="1.2"/>
    <n v="1.53"/>
    <n v="1.2"/>
    <n v="0"/>
    <n v="157.19298245614047"/>
    <n v="63.157894736842053"/>
    <n v="0"/>
    <n v="0"/>
    <n v="267.529"/>
    <e v="#REF!"/>
    <e v="#REF!"/>
    <e v="#REF!"/>
    <e v="#REF!"/>
    <e v="#REF!"/>
    <n v="1550"/>
    <n v="19160"/>
    <n v="36239"/>
    <n v="1560"/>
    <n v="3640"/>
    <n v="0"/>
    <n v="36141.810526315821"/>
    <n v="100706.27368421044"/>
    <n v="0"/>
    <n v="0"/>
    <n v="136848.08421052626"/>
    <n v="1000"/>
    <e v="#REF!"/>
  </r>
  <r>
    <x v="17"/>
    <x v="17"/>
    <s v="3(TARDE)"/>
    <m/>
    <m/>
    <m/>
    <m/>
    <m/>
    <n v="80.322999999999993"/>
    <n v="0"/>
    <n v="68"/>
    <n v="46"/>
    <n v="0"/>
    <n v="0"/>
    <n v="0"/>
    <n v="596.49122807017545"/>
    <n v="403.5087719298246"/>
    <n v="0"/>
    <n v="0"/>
    <n v="0"/>
    <n v="105.26315789473682"/>
    <n v="96.491228070175453"/>
    <n v="0"/>
    <n v="0"/>
    <n v="1.18"/>
    <n v="1.28"/>
    <n v="1.2"/>
    <n v="1.53"/>
    <n v="1.2"/>
    <n v="0"/>
    <n v="134.73684210526312"/>
    <n v="115.78947368421053"/>
    <n v="0"/>
    <n v="0"/>
    <n v="321.29199999999997"/>
    <e v="#REF!"/>
    <e v="#REF!"/>
    <e v="#REF!"/>
    <e v="#REF!"/>
    <e v="#REF!"/>
    <n v="1550"/>
    <n v="19160"/>
    <n v="36239"/>
    <n v="1560"/>
    <n v="3640"/>
    <n v="0"/>
    <n v="30978.694736842095"/>
    <n v="184628.16842105263"/>
    <n v="0"/>
    <n v="0"/>
    <n v="215606.86315789472"/>
    <n v="1000"/>
    <e v="#REF!"/>
  </r>
  <r>
    <x v="18"/>
    <x v="18"/>
    <s v="1 (NOCHE)"/>
    <m/>
    <m/>
    <m/>
    <m/>
    <m/>
    <n v="159.21199999999999"/>
    <n v="0"/>
    <n v="56"/>
    <n v="35"/>
    <n v="0"/>
    <n v="0"/>
    <n v="0"/>
    <n v="491.22807017543863"/>
    <n v="307.01754385964915"/>
    <n v="0"/>
    <n v="0"/>
    <n v="0"/>
    <n v="140.35087719298247"/>
    <n v="228.07017543859652"/>
    <n v="0"/>
    <n v="0"/>
    <n v="1.18"/>
    <n v="1.28"/>
    <n v="1.2"/>
    <n v="1.53"/>
    <n v="1.2"/>
    <n v="0"/>
    <n v="179.64912280701756"/>
    <n v="273.68421052631584"/>
    <n v="0"/>
    <n v="0"/>
    <n v="636.84799999999996"/>
    <e v="#REF!"/>
    <e v="#REF!"/>
    <e v="#REF!"/>
    <e v="#REF!"/>
    <e v="#REF!"/>
    <n v="1550"/>
    <n v="19160"/>
    <n v="36239"/>
    <n v="1560"/>
    <n v="3640"/>
    <n v="0"/>
    <n v="41304.926315789482"/>
    <n v="436393.85263157904"/>
    <n v="0"/>
    <n v="0"/>
    <n v="477698.7789473685"/>
    <n v="1000"/>
    <e v="#REF!"/>
  </r>
  <r>
    <x v="18"/>
    <x v="18"/>
    <s v="2 (MAÑANA)"/>
    <m/>
    <m/>
    <m/>
    <m/>
    <m/>
    <n v="0"/>
    <n v="0"/>
    <n v="40"/>
    <n v="9"/>
    <n v="0"/>
    <n v="0"/>
    <n v="0"/>
    <n v="350.87719298245617"/>
    <n v="78.94736842105263"/>
    <n v="0"/>
    <n v="0"/>
    <n v="0"/>
    <n v="70.175438596491233"/>
    <n v="122.8070175438595"/>
    <n v="0"/>
    <n v="0"/>
    <n v="1.18"/>
    <n v="1.28"/>
    <n v="1.2"/>
    <n v="1.53"/>
    <n v="1.2"/>
    <n v="0"/>
    <n v="89.824561403508781"/>
    <n v="147.36842105263139"/>
    <n v="0"/>
    <n v="0"/>
    <n v="0"/>
    <e v="#REF!"/>
    <e v="#REF!"/>
    <e v="#REF!"/>
    <e v="#REF!"/>
    <e v="#REF!"/>
    <n v="1550"/>
    <n v="19160"/>
    <n v="36239"/>
    <n v="1560"/>
    <n v="3640"/>
    <n v="0"/>
    <n v="20652.463157894741"/>
    <n v="234981.30526315758"/>
    <n v="0"/>
    <n v="0"/>
    <n v="255633.76842105231"/>
    <n v="1000"/>
    <e v="#REF!"/>
  </r>
  <r>
    <x v="18"/>
    <x v="18"/>
    <s v="3(TARDE)"/>
    <m/>
    <m/>
    <m/>
    <m/>
    <m/>
    <n v="75.605000000000004"/>
    <n v="0"/>
    <n v="32"/>
    <n v="109"/>
    <n v="0"/>
    <n v="0"/>
    <n v="0"/>
    <n v="280.70175438596493"/>
    <n v="956.1403508771931"/>
    <n v="0"/>
    <n v="0"/>
    <n v="0"/>
    <n v="203.50877192982455"/>
    <n v="122.80701754385973"/>
    <n v="0"/>
    <n v="0"/>
    <n v="1.18"/>
    <n v="1.28"/>
    <n v="1.2"/>
    <n v="1.53"/>
    <n v="1.2"/>
    <n v="0"/>
    <n v="260.49122807017545"/>
    <n v="147.36842105263167"/>
    <n v="0"/>
    <n v="0"/>
    <n v="302.42"/>
    <e v="#REF!"/>
    <e v="#REF!"/>
    <e v="#REF!"/>
    <e v="#REF!"/>
    <e v="#REF!"/>
    <n v="1550"/>
    <n v="19160"/>
    <n v="36239"/>
    <n v="1560"/>
    <n v="3640"/>
    <n v="0"/>
    <n v="59892.143157894738"/>
    <n v="234981.30526315805"/>
    <n v="0"/>
    <n v="0"/>
    <n v="294873.44842105277"/>
    <n v="1000"/>
    <e v="#REF!"/>
  </r>
  <r>
    <x v="19"/>
    <x v="19"/>
    <s v="1 (NOCHE)"/>
    <m/>
    <m/>
    <m/>
    <m/>
    <m/>
    <n v="79.476749999999996"/>
    <n v="0"/>
    <n v="100"/>
    <n v="95"/>
    <n v="0"/>
    <n v="0"/>
    <n v="0"/>
    <n v="877.19298245614038"/>
    <n v="833.33333333333337"/>
    <n v="0"/>
    <n v="0"/>
    <n v="0"/>
    <n v="175.43859649122805"/>
    <n v="0"/>
    <n v="0"/>
    <n v="0"/>
    <n v="1.18"/>
    <n v="1.28"/>
    <n v="1.2"/>
    <n v="1.53"/>
    <n v="1.2"/>
    <n v="0"/>
    <n v="224.56140350877192"/>
    <n v="0"/>
    <n v="0"/>
    <n v="0"/>
    <n v="317.90699999999998"/>
    <e v="#REF!"/>
    <e v="#REF!"/>
    <e v="#REF!"/>
    <e v="#REF!"/>
    <e v="#REF!"/>
    <n v="1550"/>
    <n v="19160"/>
    <n v="36239"/>
    <n v="1560"/>
    <n v="3640"/>
    <n v="0"/>
    <n v="51631.15789473684"/>
    <n v="0"/>
    <n v="0"/>
    <n v="0"/>
    <n v="51631.15789473684"/>
    <n v="1000"/>
    <e v="#REF!"/>
  </r>
  <r>
    <x v="19"/>
    <x v="19"/>
    <s v="2 (MAÑANA)"/>
    <m/>
    <m/>
    <m/>
    <m/>
    <m/>
    <n v="73.000500000000017"/>
    <n v="0"/>
    <n v="80"/>
    <n v="95"/>
    <n v="0"/>
    <n v="0"/>
    <n v="0"/>
    <n v="701.75438596491233"/>
    <n v="833.33333333333337"/>
    <n v="0"/>
    <n v="0"/>
    <n v="0"/>
    <n v="61.403508771929864"/>
    <n v="157.8947368421052"/>
    <n v="0"/>
    <n v="0"/>
    <n v="1.18"/>
    <n v="1.28"/>
    <n v="1.2"/>
    <n v="1.53"/>
    <n v="1.2"/>
    <n v="0"/>
    <n v="78.596491228070235"/>
    <n v="189.47368421052624"/>
    <n v="0"/>
    <n v="0"/>
    <n v="292.00200000000001"/>
    <e v="#REF!"/>
    <e v="#REF!"/>
    <e v="#REF!"/>
    <e v="#REF!"/>
    <e v="#REF!"/>
    <n v="1550"/>
    <n v="19160"/>
    <n v="36239"/>
    <n v="1560"/>
    <n v="3640"/>
    <n v="0"/>
    <n v="18070.905263157911"/>
    <n v="302118.82105263142"/>
    <n v="0"/>
    <n v="0"/>
    <n v="320189.72631578933"/>
    <n v="1000"/>
    <e v="#REF!"/>
  </r>
  <r>
    <x v="19"/>
    <x v="19"/>
    <s v="3(TARDE)"/>
    <m/>
    <m/>
    <m/>
    <m/>
    <m/>
    <n v="78.073250000000016"/>
    <n v="0"/>
    <n v="73"/>
    <n v="77"/>
    <n v="0"/>
    <n v="0"/>
    <n v="0"/>
    <n v="640.35087719298247"/>
    <n v="675.43859649122817"/>
    <n v="0"/>
    <n v="0"/>
    <n v="0"/>
    <n v="96.491228070175453"/>
    <n v="61.403508771929864"/>
    <n v="0"/>
    <n v="0"/>
    <n v="1.18"/>
    <n v="1.28"/>
    <n v="1.2"/>
    <n v="1.53"/>
    <n v="1.2"/>
    <n v="0"/>
    <n v="123.50877192982458"/>
    <n v="73.684210526315837"/>
    <n v="0"/>
    <n v="0"/>
    <n v="312.29300000000001"/>
    <e v="#REF!"/>
    <e v="#REF!"/>
    <e v="#REF!"/>
    <e v="#REF!"/>
    <e v="#REF!"/>
    <n v="1550"/>
    <n v="19160"/>
    <n v="36239"/>
    <n v="1560"/>
    <n v="3640"/>
    <n v="0"/>
    <n v="28397.136842105268"/>
    <n v="117490.65263157903"/>
    <n v="0"/>
    <n v="0"/>
    <n v="145887.7894736843"/>
    <n v="1000"/>
    <e v="#REF!"/>
  </r>
  <r>
    <x v="20"/>
    <x v="20"/>
    <s v="1 (NOCHE)"/>
    <m/>
    <m/>
    <m/>
    <m/>
    <m/>
    <n v="71.256"/>
    <n v="0"/>
    <n v="62"/>
    <n v="70"/>
    <n v="0"/>
    <n v="0"/>
    <n v="0"/>
    <n v="543.85964912280701"/>
    <n v="614.0350877192983"/>
    <n v="0"/>
    <n v="0"/>
    <n v="0"/>
    <n v="35.087719298245588"/>
    <n v="131.5789473684211"/>
    <n v="0"/>
    <n v="0"/>
    <n v="1.18"/>
    <n v="1.28"/>
    <n v="1.2"/>
    <n v="1.53"/>
    <n v="1.2"/>
    <n v="0"/>
    <n v="44.912280701754355"/>
    <n v="157.89473684210532"/>
    <n v="0"/>
    <n v="0"/>
    <n v="285.024"/>
    <n v="0"/>
    <n v="157.57368046815128"/>
    <n v="553.96997039584494"/>
    <n v="0"/>
    <n v="0"/>
    <n v="1550"/>
    <n v="19160"/>
    <n v="36239"/>
    <n v="1560"/>
    <n v="3640"/>
    <n v="0"/>
    <n v="10326.231578947361"/>
    <n v="251765.68421052638"/>
    <n v="0"/>
    <n v="0"/>
    <n v="262091.91578947374"/>
    <n v="1000"/>
    <n v="919.54332192893844"/>
  </r>
  <r>
    <x v="20"/>
    <x v="20"/>
    <s v="2 (MAÑANA)"/>
    <m/>
    <m/>
    <m/>
    <m/>
    <m/>
    <n v="61.303250000000006"/>
    <n v="0"/>
    <n v="58"/>
    <n v="55"/>
    <n v="0"/>
    <n v="0"/>
    <n v="0"/>
    <n v="508.77192982456143"/>
    <n v="482.45614035087721"/>
    <n v="0"/>
    <n v="0"/>
    <n v="0"/>
    <n v="0"/>
    <n v="26.31578947368422"/>
    <n v="0"/>
    <n v="0"/>
    <n v="1.18"/>
    <n v="1.28"/>
    <n v="1.2"/>
    <n v="1.53"/>
    <n v="1.2"/>
    <n v="0"/>
    <n v="0"/>
    <n v="31.578947368421062"/>
    <n v="0"/>
    <n v="0"/>
    <n v="245.21299999999999"/>
    <e v="#REF!"/>
    <e v="#REF!"/>
    <e v="#REF!"/>
    <e v="#REF!"/>
    <e v="#REF!"/>
    <n v="1550"/>
    <n v="19160"/>
    <n v="36239"/>
    <n v="1560"/>
    <n v="3640"/>
    <n v="0"/>
    <n v="0"/>
    <n v="50353.136842105276"/>
    <n v="0"/>
    <n v="0"/>
    <n v="50353.136842105276"/>
    <n v="1000"/>
    <e v="#REF!"/>
  </r>
  <r>
    <x v="20"/>
    <x v="20"/>
    <s v="3(TARDE)"/>
    <m/>
    <m/>
    <m/>
    <m/>
    <m/>
    <n v="42.412749999999996"/>
    <n v="0"/>
    <n v="58"/>
    <n v="52"/>
    <n v="0"/>
    <n v="0"/>
    <n v="0"/>
    <n v="508.77192982456143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169.65100000000001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1"/>
    <x v="21"/>
    <s v="1 (NOCHE)"/>
    <m/>
    <m/>
    <m/>
    <m/>
    <m/>
    <n v="0"/>
    <n v="0"/>
    <n v="58"/>
    <n v="52"/>
    <n v="0"/>
    <n v="0"/>
    <n v="0"/>
    <n v="508.77192982456143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1"/>
    <x v="21"/>
    <s v="2 (MAÑANA)"/>
    <m/>
    <m/>
    <m/>
    <m/>
    <m/>
    <n v="0"/>
    <n v="0"/>
    <n v="58"/>
    <n v="52"/>
    <n v="0"/>
    <n v="0"/>
    <n v="0"/>
    <n v="508.77192982456143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1"/>
    <x v="21"/>
    <s v="3(TARDE)"/>
    <m/>
    <m/>
    <m/>
    <m/>
    <m/>
    <n v="0"/>
    <n v="0"/>
    <n v="58"/>
    <n v="52"/>
    <n v="0"/>
    <n v="0"/>
    <n v="0"/>
    <n v="508.77192982456143"/>
    <n v="456.14035087719299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2"/>
    <x v="22"/>
    <s v="1 (NOCHE)"/>
    <m/>
    <m/>
    <m/>
    <m/>
    <m/>
    <n v="0"/>
    <n v="0"/>
    <n v="58"/>
    <n v="52"/>
    <n v="0"/>
    <n v="0"/>
    <n v="0"/>
    <n v="508.77192982456143"/>
    <n v="456.14035087719299"/>
    <n v="0"/>
    <n v="0"/>
    <n v="0"/>
    <n v="140.35087719298247"/>
    <n v="70.175438596491176"/>
    <n v="0"/>
    <n v="0"/>
    <n v="1.18"/>
    <n v="1.28"/>
    <n v="1.2"/>
    <n v="1.53"/>
    <n v="1.2"/>
    <n v="0"/>
    <n v="179.64912280701756"/>
    <n v="84.210526315789409"/>
    <n v="0"/>
    <n v="0"/>
    <n v="0"/>
    <e v="#DIV/0!"/>
    <e v="#DIV/0!"/>
    <e v="#DIV/0!"/>
    <e v="#DIV/0!"/>
    <e v="#DIV/0!"/>
    <n v="1550"/>
    <n v="19160"/>
    <n v="36239"/>
    <n v="1560"/>
    <n v="3640"/>
    <n v="0"/>
    <n v="41304.926315789482"/>
    <n v="134275.03157894727"/>
    <n v="0"/>
    <n v="0"/>
    <n v="175579.95789473676"/>
    <n v="1000"/>
    <e v="#DIV/0!"/>
  </r>
  <r>
    <x v="22"/>
    <x v="22"/>
    <s v="2 (MAÑANA)"/>
    <m/>
    <m/>
    <m/>
    <m/>
    <m/>
    <n v="42.4"/>
    <n v="0"/>
    <n v="42"/>
    <n v="44"/>
    <n v="0"/>
    <n v="0"/>
    <n v="0"/>
    <n v="368.42105263157896"/>
    <n v="385.96491228070181"/>
    <n v="0"/>
    <n v="0"/>
    <n v="0"/>
    <n v="43.859649122807014"/>
    <n v="43.85964912280707"/>
    <n v="0"/>
    <n v="0"/>
    <n v="1.18"/>
    <n v="1.28"/>
    <n v="1.2"/>
    <n v="1.53"/>
    <n v="1.2"/>
    <n v="0"/>
    <n v="56.140350877192979"/>
    <n v="52.631578947368482"/>
    <n v="0"/>
    <n v="0"/>
    <n v="169.6"/>
    <n v="0"/>
    <n v="331.01621979476994"/>
    <n v="310.3277060575972"/>
    <n v="0"/>
    <n v="0"/>
    <n v="1550"/>
    <n v="19160"/>
    <n v="36239"/>
    <n v="1560"/>
    <n v="3640"/>
    <n v="0"/>
    <n v="12907.78947368421"/>
    <n v="83921.894736842194"/>
    <n v="0"/>
    <n v="0"/>
    <n v="96829.684210526408"/>
    <n v="1000"/>
    <n v="570.92974180734916"/>
  </r>
  <r>
    <x v="22"/>
    <x v="22"/>
    <s v="3(TARDE)"/>
    <m/>
    <m/>
    <m/>
    <m/>
    <m/>
    <n v="74.304500000000004"/>
    <n v="0"/>
    <n v="37"/>
    <n v="39"/>
    <n v="0"/>
    <n v="0"/>
    <n v="0"/>
    <n v="324.56140350877195"/>
    <n v="342.10526315789474"/>
    <n v="0"/>
    <n v="0"/>
    <n v="0"/>
    <n v="70.175438596491233"/>
    <n v="105.26315789473682"/>
    <n v="0"/>
    <n v="0"/>
    <n v="1.18"/>
    <n v="1.28"/>
    <n v="1.2"/>
    <n v="1.53"/>
    <n v="1.2"/>
    <n v="0"/>
    <n v="89.824561403508781"/>
    <n v="126.31578947368418"/>
    <n v="0"/>
    <n v="0"/>
    <n v="297.21800000000002"/>
    <n v="0"/>
    <n v="302.21777080630642"/>
    <n v="424.99374019636821"/>
    <n v="0"/>
    <n v="0"/>
    <n v="1550"/>
    <n v="19160"/>
    <n v="36239"/>
    <n v="1560"/>
    <n v="3640"/>
    <n v="0"/>
    <n v="20652.463157894741"/>
    <n v="201412.54736842102"/>
    <n v="0"/>
    <n v="0"/>
    <n v="222065.01052631575"/>
    <n v="1000"/>
    <n v="747.14522850673825"/>
  </r>
  <r>
    <x v="23"/>
    <x v="23"/>
    <s v="1 (NOCHE)"/>
    <m/>
    <m/>
    <m/>
    <m/>
    <m/>
    <n v="84.545500000000004"/>
    <n v="0"/>
    <n v="29"/>
    <n v="27"/>
    <n v="0"/>
    <n v="0"/>
    <n v="0"/>
    <n v="254.38596491228071"/>
    <n v="236.84210526315792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38.18200000000002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3"/>
    <x v="23"/>
    <s v="2 (MAÑANA)"/>
    <m/>
    <m/>
    <m/>
    <m/>
    <m/>
    <n v="85.5"/>
    <n v="0"/>
    <n v="29"/>
    <n v="27"/>
    <n v="0"/>
    <n v="0"/>
    <n v="0"/>
    <n v="254.38596491228071"/>
    <n v="236.84210526315792"/>
    <n v="0"/>
    <n v="0"/>
    <n v="0"/>
    <n v="122.80701754385964"/>
    <n v="131.57894736842107"/>
    <n v="0"/>
    <n v="0"/>
    <n v="1.18"/>
    <n v="1.28"/>
    <n v="1.2"/>
    <n v="1.53"/>
    <n v="1.2"/>
    <n v="0"/>
    <n v="157.19298245614036"/>
    <n v="157.89473684210529"/>
    <n v="0"/>
    <n v="0"/>
    <n v="342"/>
    <n v="0"/>
    <n v="459.62860367292507"/>
    <n v="461.68051708217916"/>
    <n v="0"/>
    <n v="0"/>
    <n v="1550"/>
    <n v="19160"/>
    <n v="36239"/>
    <n v="1560"/>
    <n v="3640"/>
    <n v="0"/>
    <n v="36141.810526315792"/>
    <n v="251765.68421052632"/>
    <n v="0"/>
    <n v="0"/>
    <n v="287907.49473684211"/>
    <n v="1000"/>
    <n v="841.83477993228689"/>
  </r>
  <r>
    <x v="23"/>
    <x v="23"/>
    <s v="3(TARDE)"/>
    <m/>
    <m/>
    <m/>
    <m/>
    <m/>
    <n v="77.252750000000006"/>
    <n v="0"/>
    <n v="15"/>
    <n v="12"/>
    <n v="0"/>
    <n v="0"/>
    <n v="0"/>
    <n v="131.57894736842107"/>
    <n v="105.26315789473685"/>
    <n v="0"/>
    <n v="0"/>
    <n v="0"/>
    <n v="149.12280701754378"/>
    <n v="0"/>
    <n v="0"/>
    <n v="0"/>
    <n v="1.18"/>
    <n v="1.28"/>
    <n v="1.2"/>
    <n v="1.53"/>
    <n v="1.2"/>
    <n v="0"/>
    <n v="190.87719298245605"/>
    <n v="0"/>
    <n v="0"/>
    <n v="0"/>
    <n v="309.01100000000002"/>
    <n v="0"/>
    <n v="617.70355418563111"/>
    <n v="0"/>
    <n v="0"/>
    <n v="0"/>
    <n v="1550"/>
    <n v="19160"/>
    <n v="36239"/>
    <n v="1560"/>
    <n v="3640"/>
    <n v="0"/>
    <n v="43886.484210526294"/>
    <n v="0"/>
    <n v="0"/>
    <n v="0"/>
    <n v="43886.484210526294"/>
    <n v="1000"/>
    <n v="142.0224011783603"/>
  </r>
  <r>
    <x v="24"/>
    <x v="24"/>
    <s v="1 (NOCHE)"/>
    <m/>
    <m/>
    <m/>
    <m/>
    <m/>
    <n v="72.357500000000002"/>
    <n v="0"/>
    <n v="112"/>
    <n v="12"/>
    <n v="0"/>
    <n v="0"/>
    <n v="0"/>
    <n v="982.45614035087726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89.43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4"/>
    <x v="24"/>
    <s v="2 (MAÑANA)"/>
    <m/>
    <m/>
    <m/>
    <m/>
    <m/>
    <n v="80.07374999999999"/>
    <n v="0"/>
    <n v="112"/>
    <n v="12"/>
    <n v="0"/>
    <n v="0"/>
    <n v="0"/>
    <n v="982.45614035087726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20.29500000000002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4"/>
    <x v="24"/>
    <s v="3(TARDE)"/>
    <m/>
    <m/>
    <m/>
    <m/>
    <m/>
    <n v="81.674249999999986"/>
    <n v="0"/>
    <n v="112"/>
    <n v="12"/>
    <n v="0"/>
    <n v="0"/>
    <n v="0"/>
    <n v="982.45614035087726"/>
    <n v="105.26315789473685"/>
    <n v="0"/>
    <n v="0"/>
    <n v="0"/>
    <n v="87.719298245614027"/>
    <n v="0"/>
    <n v="0"/>
    <n v="0"/>
    <n v="1.18"/>
    <n v="1.28"/>
    <n v="1.2"/>
    <n v="1.53"/>
    <n v="1.2"/>
    <n v="0"/>
    <n v="112.28070175438596"/>
    <n v="0"/>
    <n v="0"/>
    <n v="0"/>
    <n v="326.697"/>
    <n v="0"/>
    <n v="343.68452037939119"/>
    <n v="0"/>
    <n v="0"/>
    <n v="0"/>
    <n v="1550"/>
    <n v="19160"/>
    <n v="36239"/>
    <n v="1560"/>
    <n v="3640"/>
    <n v="0"/>
    <n v="25815.57894736842"/>
    <n v="0"/>
    <n v="0"/>
    <n v="0"/>
    <n v="25815.57894736842"/>
    <n v="1000"/>
    <n v="79.019944925629616"/>
  </r>
  <r>
    <x v="25"/>
    <x v="25"/>
    <s v="1 (NOCHE)"/>
    <m/>
    <m/>
    <m/>
    <m/>
    <m/>
    <n v="77.585000000000008"/>
    <n v="0"/>
    <n v="102"/>
    <n v="12"/>
    <n v="0"/>
    <n v="0"/>
    <n v="0"/>
    <n v="894.73684210526324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310.33999999999997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5"/>
    <x v="25"/>
    <s v="2 (MAÑANA)"/>
    <m/>
    <m/>
    <m/>
    <m/>
    <m/>
    <n v="72.6815"/>
    <n v="0"/>
    <n v="102"/>
    <n v="12"/>
    <n v="0"/>
    <n v="0"/>
    <n v="0"/>
    <n v="894.73684210526324"/>
    <n v="105.26315789473685"/>
    <n v="0"/>
    <n v="0"/>
    <n v="0"/>
    <n v="140.35087719298247"/>
    <n v="0"/>
    <n v="0"/>
    <n v="0"/>
    <n v="1.18"/>
    <n v="1.28"/>
    <n v="1.2"/>
    <n v="1.53"/>
    <n v="1.2"/>
    <n v="0"/>
    <n v="179.64912280701756"/>
    <n v="0"/>
    <n v="0"/>
    <n v="0"/>
    <n v="290.726"/>
    <n v="0"/>
    <n v="617.93277108692564"/>
    <n v="0"/>
    <n v="0"/>
    <n v="0"/>
    <n v="1550"/>
    <n v="19160"/>
    <n v="36239"/>
    <n v="1560"/>
    <n v="3640"/>
    <n v="0"/>
    <n v="41304.926315789482"/>
    <n v="0"/>
    <n v="0"/>
    <n v="0"/>
    <n v="41304.926315789482"/>
    <n v="1000"/>
    <n v="142.07510272830598"/>
  </r>
  <r>
    <x v="25"/>
    <x v="25"/>
    <s v="3(TARDE)"/>
    <m/>
    <m/>
    <m/>
    <m/>
    <m/>
    <n v="68.158249999999995"/>
    <n v="0"/>
    <n v="86"/>
    <n v="12"/>
    <n v="0"/>
    <n v="0"/>
    <n v="0"/>
    <n v="754.38596491228077"/>
    <n v="105.26315789473685"/>
    <n v="0"/>
    <n v="0"/>
    <n v="0"/>
    <n v="122.80701754385973"/>
    <n v="0"/>
    <n v="0"/>
    <n v="0"/>
    <n v="1.18"/>
    <n v="1.28"/>
    <n v="1.2"/>
    <n v="1.53"/>
    <n v="1.2"/>
    <n v="0"/>
    <n v="157.19298245614047"/>
    <n v="0"/>
    <n v="0"/>
    <n v="0"/>
    <n v="272.63299999999998"/>
    <n v="0"/>
    <n v="576.57357127031753"/>
    <n v="0"/>
    <n v="0"/>
    <n v="0"/>
    <n v="1550"/>
    <n v="19160"/>
    <n v="36239"/>
    <n v="1560"/>
    <n v="3640"/>
    <n v="0"/>
    <n v="36141.810526315821"/>
    <n v="0"/>
    <n v="0"/>
    <n v="0"/>
    <n v="36141.810526315821"/>
    <n v="1000"/>
    <n v="132.56579550647143"/>
  </r>
  <r>
    <x v="26"/>
    <x v="26"/>
    <s v="1 (NOCHE)"/>
    <m/>
    <m/>
    <m/>
    <m/>
    <m/>
    <n v="86.86099999999999"/>
    <n v="0"/>
    <n v="72"/>
    <n v="12"/>
    <n v="0"/>
    <n v="0"/>
    <n v="0"/>
    <n v="631.57894736842104"/>
    <n v="105.26315789473685"/>
    <n v="0"/>
    <n v="0"/>
    <n v="0"/>
    <n v="17.543859649122737"/>
    <n v="0"/>
    <n v="0"/>
    <n v="0"/>
    <n v="1.18"/>
    <n v="1.28"/>
    <n v="1.2"/>
    <n v="1.53"/>
    <n v="1.2"/>
    <n v="0"/>
    <n v="22.456140350877103"/>
    <n v="0"/>
    <n v="0"/>
    <n v="0"/>
    <n v="347.44400000000002"/>
    <n v="0"/>
    <n v="64.632402202591223"/>
    <n v="0"/>
    <n v="0"/>
    <n v="0"/>
    <n v="1550"/>
    <n v="19160"/>
    <n v="36239"/>
    <n v="1560"/>
    <n v="3640"/>
    <n v="0"/>
    <n v="5163.1157894736643"/>
    <n v="0"/>
    <n v="0"/>
    <n v="0"/>
    <n v="5163.1157894736643"/>
    <n v="1000"/>
    <n v="14.860281914419774"/>
  </r>
  <r>
    <x v="26"/>
    <x v="26"/>
    <s v="2 (MAÑANA)"/>
    <m/>
    <m/>
    <m/>
    <m/>
    <m/>
    <n v="66.694999999999993"/>
    <n v="0"/>
    <n v="70"/>
    <n v="12"/>
    <n v="0"/>
    <n v="0"/>
    <n v="0"/>
    <n v="614.0350877192983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266.77999999999997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6"/>
    <x v="26"/>
    <s v="3(TARDE)"/>
    <m/>
    <m/>
    <m/>
    <m/>
    <m/>
    <n v="56.869250000000008"/>
    <n v="0"/>
    <n v="70"/>
    <n v="12"/>
    <n v="0"/>
    <n v="0"/>
    <n v="0"/>
    <n v="614.0350877192983"/>
    <n v="105.26315789473685"/>
    <n v="0"/>
    <n v="0"/>
    <n v="0"/>
    <n v="166.66666666666669"/>
    <n v="0"/>
    <n v="0"/>
    <n v="0"/>
    <n v="1.18"/>
    <n v="1.28"/>
    <n v="1.2"/>
    <n v="1.53"/>
    <n v="1.2"/>
    <n v="0"/>
    <n v="213.33333333333337"/>
    <n v="0"/>
    <n v="0"/>
    <n v="0"/>
    <n v="227.477"/>
    <n v="0"/>
    <n v="937.82375067955604"/>
    <n v="0"/>
    <n v="0"/>
    <n v="0"/>
    <n v="1550"/>
    <n v="19160"/>
    <n v="36239"/>
    <n v="1560"/>
    <n v="3640"/>
    <n v="0"/>
    <n v="49049.600000000013"/>
    <n v="0"/>
    <n v="0"/>
    <n v="0"/>
    <n v="49049.600000000013"/>
    <n v="1000"/>
    <n v="215.62443675624354"/>
  </r>
  <r>
    <x v="27"/>
    <x v="27"/>
    <s v="1 (NOCHE)"/>
    <m/>
    <m/>
    <m/>
    <m/>
    <m/>
    <n v="73.777000000000001"/>
    <n v="0"/>
    <n v="51"/>
    <n v="12"/>
    <n v="0"/>
    <n v="0"/>
    <n v="0"/>
    <n v="447.36842105263162"/>
    <n v="105.26315789473685"/>
    <n v="0"/>
    <n v="0"/>
    <n v="0"/>
    <n v="8.7719298245614254"/>
    <n v="0"/>
    <n v="0"/>
    <n v="0"/>
    <n v="1.18"/>
    <n v="1.28"/>
    <n v="1.2"/>
    <n v="1.53"/>
    <n v="1.2"/>
    <n v="0"/>
    <n v="11.228070175438624"/>
    <n v="0"/>
    <n v="0"/>
    <n v="0"/>
    <n v="295.108"/>
    <n v="0"/>
    <n v="38.047325641590959"/>
    <n v="0"/>
    <n v="0"/>
    <n v="0"/>
    <n v="1550"/>
    <n v="19160"/>
    <n v="36239"/>
    <n v="1560"/>
    <n v="3640"/>
    <n v="0"/>
    <n v="2581.5578947368485"/>
    <n v="0"/>
    <n v="0"/>
    <n v="0"/>
    <n v="2581.5578947368485"/>
    <n v="1000"/>
    <n v="8.7478411115145924"/>
  </r>
  <r>
    <x v="27"/>
    <x v="27"/>
    <s v="2 (MAÑANA)"/>
    <m/>
    <m/>
    <m/>
    <m/>
    <m/>
    <n v="0"/>
    <n v="0"/>
    <n v="50"/>
    <n v="12"/>
    <n v="0"/>
    <n v="0"/>
    <n v="0"/>
    <n v="438.59649122807019"/>
    <n v="105.26315789473685"/>
    <n v="0"/>
    <n v="0"/>
    <n v="0"/>
    <n v="61.403508771929808"/>
    <n v="0"/>
    <n v="0"/>
    <n v="0"/>
    <n v="1.18"/>
    <n v="1.28"/>
    <n v="1.2"/>
    <n v="1.53"/>
    <n v="1.2"/>
    <n v="0"/>
    <n v="78.59649122807015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18070.905263157889"/>
    <n v="0"/>
    <n v="0"/>
    <n v="0"/>
    <n v="18070.905263157889"/>
    <n v="1000"/>
    <e v="#DIV/0!"/>
  </r>
  <r>
    <x v="27"/>
    <x v="27"/>
    <s v="3(TARDE)"/>
    <m/>
    <m/>
    <m/>
    <m/>
    <m/>
    <n v="18.256249999999998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73.025000000000006"/>
    <n v="0"/>
    <n v="0"/>
    <n v="0"/>
    <n v="0"/>
    <n v="0"/>
    <n v="1550"/>
    <n v="19160"/>
    <n v="36239"/>
    <n v="1560"/>
    <n v="3640"/>
    <n v="0"/>
    <n v="0"/>
    <n v="0"/>
    <n v="0"/>
    <n v="0"/>
    <n v="0"/>
    <n v="1000"/>
    <n v="0"/>
  </r>
  <r>
    <x v="28"/>
    <x v="28"/>
    <s v="1 (NOCHE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8"/>
    <x v="28"/>
    <s v="2 (MAÑANA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8"/>
    <x v="28"/>
    <s v="3(TARDE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9"/>
    <x v="29"/>
    <s v="1 (NOCHE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9"/>
    <x v="29"/>
    <s v="2 (MAÑANA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29"/>
    <x v="29"/>
    <s v="3(TARDE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0"/>
    <x v="30"/>
    <s v="1 (NOCHE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0"/>
    <x v="30"/>
    <s v="2 (MAÑANA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0"/>
    <x v="30"/>
    <s v="3(TARDE)"/>
    <m/>
    <m/>
    <m/>
    <m/>
    <m/>
    <n v="0"/>
    <n v="0"/>
    <n v="43"/>
    <n v="12"/>
    <n v="0"/>
    <n v="0"/>
    <n v="0"/>
    <n v="377.19298245614038"/>
    <n v="105.26315789473685"/>
    <n v="0"/>
    <n v="0"/>
    <n v="0"/>
    <n v="0"/>
    <n v="0"/>
    <n v="0"/>
    <n v="0"/>
    <n v="1.18"/>
    <n v="1.28"/>
    <n v="1.2"/>
    <n v="1.53"/>
    <n v="1.2"/>
    <n v="0"/>
    <n v="0"/>
    <n v="0"/>
    <n v="0"/>
    <n v="0"/>
    <n v="0"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n v="1000"/>
    <e v="#DIV/0!"/>
  </r>
  <r>
    <x v="31"/>
    <x v="31"/>
    <m/>
    <m/>
    <m/>
    <m/>
    <m/>
    <m/>
    <n v="0"/>
    <n v="0"/>
    <n v="43"/>
    <n v="12"/>
    <n v="0"/>
    <n v="0"/>
    <n v="0"/>
    <n v="377.19298245614038"/>
    <n v="105.26315789473685"/>
    <n v="0"/>
    <n v="0"/>
    <n v="0"/>
    <n v="377.19298245614038"/>
    <n v="105.26315789473685"/>
    <n v="0"/>
    <n v="0"/>
    <m/>
    <m/>
    <m/>
    <m/>
    <m/>
    <n v="0"/>
    <n v="0"/>
    <n v="0"/>
    <n v="0"/>
    <n v="0"/>
    <m/>
    <e v="#DIV/0!"/>
    <e v="#DIV/0!"/>
    <e v="#DIV/0!"/>
    <e v="#DIV/0!"/>
    <e v="#DIV/0!"/>
    <n v="1550"/>
    <n v="19160"/>
    <n v="36239"/>
    <n v="1560"/>
    <n v="3640"/>
    <n v="0"/>
    <n v="0"/>
    <n v="0"/>
    <n v="0"/>
    <n v="0"/>
    <n v="0"/>
    <m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0E303-E04F-4112-8C13-54769680D078}" name="TablaDinámica1" cacheId="8" applyNumberFormats="0" applyBorderFormats="0" applyFontFormats="0" applyPatternFormats="0" applyAlignmentFormats="0" applyWidthHeightFormats="1" dataCaption="Valores" errorCaption="-" showError="1" missingCaption="0" updatedVersion="8" minRefreshableVersion="3" useAutoFormatting="1" itemPrintTitles="1" createdVersion="8" indent="0" outline="1" outlineData="1" multipleFieldFilters="0" chartFormat="131" rowHeaderCaption="DIA">
  <location ref="U4:Y36" firstHeaderRow="0" firstDataRow="1" firstDataCol="1"/>
  <pivotFields count="54">
    <pivotField showAll="0">
      <items count="518"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456"/>
        <item h="1" m="1" x="457"/>
        <item h="1" m="1" x="458"/>
        <item h="1" m="1" x="459"/>
        <item h="1" m="1" x="460"/>
        <item h="1" m="1" x="461"/>
        <item h="1" m="1" x="462"/>
        <item h="1" m="1" x="463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2"/>
        <item h="1" m="1" x="323"/>
        <item h="1" m="1" x="324"/>
        <item h="1" m="1" x="325"/>
        <item h="1" m="1" x="326"/>
        <item h="1" m="1" x="327"/>
        <item h="1" m="1" x="328"/>
        <item h="1" m="1" x="329"/>
        <item h="1" m="1" x="330"/>
        <item h="1" m="1" x="331"/>
        <item h="1" m="1" x="332"/>
        <item h="1" m="1" x="333"/>
        <item h="1" m="1" x="334"/>
        <item h="1" m="1" x="335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12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152"/>
        <item h="1" m="1" x="153"/>
        <item h="1" m="1" x="154"/>
        <item h="1" m="1" x="155"/>
        <item h="1" m="1" x="156"/>
        <item h="1" m="1" x="157"/>
        <item h="1" m="1" x="158"/>
        <item h="1" m="1" x="159"/>
        <item h="1" m="1" x="160"/>
        <item h="1" m="1" x="161"/>
        <item h="1" m="1" x="162"/>
        <item h="1" m="1" x="163"/>
        <item h="1" m="1" x="164"/>
        <item h="1" m="1" x="165"/>
        <item h="1" m="1" x="166"/>
        <item h="1" m="1" x="167"/>
        <item h="1" m="1" x="168"/>
        <item h="1" m="1" x="169"/>
        <item h="1" m="1" x="170"/>
        <item h="1" m="1" x="171"/>
        <item h="1" m="1" x="172"/>
        <item h="1" m="1" x="173"/>
        <item h="1" m="1" x="174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2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151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79"/>
        <item h="1" m="1" x="80"/>
        <item h="1" m="1" x="81"/>
        <item h="1" m="1" x="82"/>
        <item h="1" m="1" x="83"/>
        <item h="1" m="1" x="84"/>
        <item h="1" m="1" x="85"/>
        <item h="1" m="1" x="86"/>
        <item h="1" m="1" x="87"/>
        <item h="1" m="1" x="88"/>
        <item h="1" m="1" x="89"/>
        <item h="1" m="1" x="90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axis="axisRow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</pivotFields>
  <rowFields count="1">
    <field x="1"/>
  </rowFields>
  <row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  CAUDAL TOTAL TRATADO GEM " fld="11" baseField="0" baseItem="0"/>
    <dataField name="  INDICADOR $m3" fld="47" baseField="0" baseItem="0" numFmtId="3"/>
    <dataField name="  2024-2 $m3 GEM " fld="44" subtotal="min" baseField="0" baseItem="0" numFmtId="166"/>
    <dataField name="  2024 $m3 GEM" fld="53" baseField="0" baseItem="0" numFmtId="166"/>
  </dataFields>
  <formats count="38">
    <format dxfId="390">
      <pivotArea outline="0" collapsedLevelsAreSubtotals="1" fieldPosition="0"/>
    </format>
    <format dxfId="3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8">
      <pivotArea outline="0" collapsedLevelsAreSubtotals="1" fieldPosition="0"/>
    </format>
    <format dxfId="38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85">
      <pivotArea type="all" dataOnly="0" outline="0" fieldPosition="0"/>
    </format>
    <format dxfId="384">
      <pivotArea outline="0" collapsedLevelsAreSubtotals="1" fieldPosition="0"/>
    </format>
    <format dxfId="383">
      <pivotArea field="1" type="button" dataOnly="0" labelOnly="1" outline="0" axis="axisRow" fieldPosition="0"/>
    </format>
    <format dxfId="382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81">
      <pivotArea dataOnly="0" labelOnly="1" grandRow="1" outline="0" fieldPosition="0"/>
    </format>
    <format dxfId="38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1" type="button" dataOnly="0" labelOnly="1" outline="0" axis="axisRow" fieldPosition="0"/>
    </format>
    <format dxfId="376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75">
      <pivotArea dataOnly="0" labelOnly="1" grandRow="1" outline="0" fieldPosition="0"/>
    </format>
    <format dxfId="37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3">
      <pivotArea type="all" dataOnly="0" outline="0" fieldPosition="0"/>
    </format>
    <format dxfId="372">
      <pivotArea outline="0" collapsedLevelsAreSubtotals="1" fieldPosition="0"/>
    </format>
    <format dxfId="371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70">
      <pivotArea dataOnly="0" labelOnly="1" grandRow="1" outline="0" fieldPosition="0"/>
    </format>
    <format dxfId="369">
      <pivotArea field="1" type="button" dataOnly="0" labelOnly="1" outline="0" axis="axisRow" fieldPosition="0"/>
    </format>
    <format dxfId="3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7">
      <pivotArea type="all" dataOnly="0" outline="0" fieldPosition="0"/>
    </format>
    <format dxfId="366">
      <pivotArea outline="0" collapsedLevelsAreSubtotals="1" fieldPosition="0"/>
    </format>
    <format dxfId="365">
      <pivotArea field="1" type="button" dataOnly="0" labelOnly="1" outline="0" axis="axisRow" fieldPosition="0"/>
    </format>
    <format dxfId="364">
      <pivotArea dataOnly="0" labelOnly="1" fieldPosition="0">
        <references count="1">
          <reference field="1" count="29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363">
      <pivotArea dataOnly="0" labelOnly="1" grandRow="1" outline="0" fieldPosition="0"/>
    </format>
    <format dxfId="3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9">
      <pivotArea collapsedLevelsAreSubtotals="1" fieldPosition="0">
        <references count="2">
          <reference field="4294967294" count="1" selected="0">
            <x v="1"/>
          </reference>
          <reference field="1" count="28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35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5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35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5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353">
      <pivotArea dataOnly="0" labelOnly="1" outline="0" fieldPosition="0">
        <references count="1">
          <reference field="4294967294" count="1">
            <x v="3"/>
          </reference>
        </references>
      </pivotArea>
    </format>
  </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1" count="1" selected="0">
            <x v="2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3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4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4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4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4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5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5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25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25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25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25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5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6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6" format="22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26" format="23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26" format="24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26" format="25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26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6" format="2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8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8" format="14">
      <pivotArea type="data" outline="0" fieldPosition="0">
        <references count="2">
          <reference field="4294967294" count="1" selected="0">
            <x v="1"/>
          </reference>
          <reference field="1" count="1" selected="0">
            <x v="14"/>
          </reference>
        </references>
      </pivotArea>
    </chartFormat>
    <chartFormat chart="128" format="15">
      <pivotArea type="data" outline="0" fieldPosition="0">
        <references count="2">
          <reference field="4294967294" count="1" selected="0">
            <x v="1"/>
          </reference>
          <reference field="1" count="1" selected="0">
            <x v="15"/>
          </reference>
        </references>
      </pivotArea>
    </chartFormat>
    <chartFormat chart="128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6"/>
          </reference>
        </references>
      </pivotArea>
    </chartFormat>
    <chartFormat chart="128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17"/>
          </reference>
        </references>
      </pivotArea>
    </chartFormat>
    <chartFormat chart="128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8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62C15F-3728-46D5-B823-9AB3F851EDAE}" name="TablaDinámica4" cacheId="13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29" rowHeaderCaption="DÍA">
  <location ref="AG4:AL37" firstHeaderRow="0" firstDataRow="1" firstDataCol="1"/>
  <pivotFields count="62">
    <pivotField numFmtId="14" showAll="0">
      <items count="460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31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OLUMEN ENVIADO A RO (m3)" fld="34" baseField="0" baseItem="0"/>
    <dataField name=" PPM HCL" fld="54" baseField="0" baseItem="0" numFmtId="1"/>
    <dataField name=" PPM KURIVERTER" fld="55" baseField="0" baseItem="0" numFmtId="1"/>
    <dataField name=" PPM VITEC" fld="56" baseField="0" baseItem="0" numFmtId="1"/>
    <dataField name=" PPM BISULFITO" fld="58" baseField="0" baseItem="0" numFmtId="1"/>
  </dataFields>
  <formats count="26">
    <format dxfId="416">
      <pivotArea field="1" type="button" dataOnly="0" labelOnly="1" outline="0" axis="axisRow" fieldPosition="0"/>
    </format>
    <format dxfId="4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4">
      <pivotArea field="1" type="button" dataOnly="0" labelOnly="1" outline="0" axis="axisRow" fieldPosition="0"/>
    </format>
    <format dxfId="413">
      <pivotArea field="1" type="button" dataOnly="0" labelOnly="1" outline="0" axis="axisRow" fieldPosition="0"/>
    </format>
    <format dxfId="412">
      <pivotArea outline="0" collapsedLevelsAreSubtotals="1" fieldPosition="0"/>
    </format>
    <format dxfId="411">
      <pivotArea dataOnly="0" labelOnly="1" outline="0" fieldPosition="0">
        <references count="1">
          <reference field="4294967294" count="4">
            <x v="1"/>
            <x v="2"/>
            <x v="3"/>
            <x v="4"/>
          </reference>
        </references>
      </pivotArea>
    </format>
    <format dxfId="41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8">
      <pivotArea type="all" dataOnly="0" outline="0" fieldPosition="0"/>
    </format>
    <format dxfId="407">
      <pivotArea outline="0" collapsedLevelsAreSubtotals="1" fieldPosition="0"/>
    </format>
    <format dxfId="406">
      <pivotArea field="1" type="button" dataOnly="0" labelOnly="1" outline="0" axis="axisRow" fieldPosition="0"/>
    </format>
    <format dxfId="405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404">
      <pivotArea dataOnly="0" labelOnly="1" grandRow="1" outline="0" fieldPosition="0"/>
    </format>
    <format dxfId="40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field="1" type="button" dataOnly="0" labelOnly="1" outline="0" axis="axisRow" fieldPosition="0"/>
    </format>
    <format dxfId="399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98">
      <pivotArea dataOnly="0" labelOnly="1" grandRow="1" outline="0" fieldPosition="0"/>
    </format>
    <format dxfId="39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field="1" type="button" dataOnly="0" labelOnly="1" outline="0" axis="axisRow" fieldPosition="0"/>
    </format>
    <format dxfId="393">
      <pivotArea dataOnly="0" labelOnly="1" fieldPosition="0">
        <references count="1">
          <reference field="1" count="29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</reference>
        </references>
      </pivotArea>
    </format>
    <format dxfId="392">
      <pivotArea dataOnly="0" labelOnly="1" grandRow="1" outline="0" fieldPosition="0"/>
    </format>
    <format dxfId="39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7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2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4"/>
          </reference>
          <reference field="1" count="1" selected="0">
            <x v="24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1"/>
          </reference>
          <reference field="1" count="1" selected="0">
            <x v="19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3146D-00C2-4F51-94E4-C03C054F8751}" name="TablaDinámica3" cacheId="13" applyNumberFormats="0" applyBorderFormats="0" applyFontFormats="0" applyPatternFormats="0" applyAlignmentFormats="0" applyWidthHeightFormats="1" dataCaption="Valores" errorCaption="0" showError="1" missingCaption="0" updatedVersion="8" minRefreshableVersion="3" itemPrintTitles="1" createdVersion="8" indent="0" outline="1" outlineData="1" multipleFieldFilters="0" chartFormat="72" rowHeaderCaption="DÍA">
  <location ref="AA4:AD36" firstHeaderRow="0" firstDataRow="1" firstDataCol="1"/>
  <pivotFields count="62">
    <pivotField numFmtId="14" showAll="0">
      <items count="460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31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h="1"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dataField="1" numFmtId="42" showAll="0"/>
    <pivotField showAl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VOLUMEN ENVIADO A RO (m3)" fld="34" baseField="0" baseItem="0"/>
    <dataField name=" LIMITE INDICADOR M3" fld="51" subtotal="min" baseField="0" baseItem="0" numFmtId="167"/>
    <dataField name=" INDICADOR $m3 RO" fld="53" baseField="0" baseItem="0" numFmtId="166"/>
  </dataFields>
  <formats count="3">
    <format dxfId="419">
      <pivotArea field="1" type="button" dataOnly="0" labelOnly="1" outline="0" axis="axisRow" fieldPosition="0"/>
    </format>
    <format dxfId="4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54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2"/>
          </reference>
          <reference field="1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2"/>
          </reference>
          <reference field="1" count="1" selected="0">
            <x v="23"/>
          </reference>
        </references>
      </pivotArea>
    </chartFormat>
    <chartFormat chart="21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1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1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2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4"/>
          </reference>
        </references>
      </pivotArea>
    </chartFormat>
    <chartFormat chart="22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15"/>
          </reference>
        </references>
      </pivotArea>
    </chartFormat>
    <chartFormat chart="22" format="27">
      <pivotArea type="data" outline="0" fieldPosition="0">
        <references count="2">
          <reference field="4294967294" count="1" selected="0">
            <x v="2"/>
          </reference>
          <reference field="1" count="1" selected="0">
            <x v="16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1" count="1" selected="0">
            <x v="12"/>
          </reference>
        </references>
      </pivotArea>
    </chartFormat>
    <chartFormat chart="6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2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2" format="19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62" format="2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2" format="21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2" format="22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2" format="23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62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62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6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3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3" format="28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63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3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4"/>
          </reference>
        </references>
      </pivotArea>
    </chartFormat>
    <chartFormat chart="63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5"/>
          </reference>
        </references>
      </pivotArea>
    </chartFormat>
    <chartFormat chart="63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63" format="33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63" format="34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1" count="1" selected="0">
            <x v="2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2"/>
          </reference>
          <reference field="1" count="1" selected="0">
            <x v="26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2"/>
          </reference>
          <reference field="1" count="1" selected="0">
            <x v="27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2"/>
          </reference>
          <reference field="1" count="1" selected="0">
            <x v="28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2"/>
          </reference>
          <reference field="1" count="1" selected="0">
            <x v="12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2"/>
          </reference>
          <reference field="1" count="1" selected="0">
            <x v="13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2"/>
          </reference>
          <reference field="1" count="1" selected="0">
            <x v="29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1"/>
          </reference>
          <reference field="1" count="1" selected="0">
            <x v="18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2"/>
          </reference>
          <reference field="1" count="1" selected="0">
            <x v="18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2"/>
          </reference>
          <reference field="1" count="1" selected="0">
            <x v="19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2"/>
          </reference>
          <reference field="1" count="1" selected="0">
            <x v="20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2"/>
          </reference>
          <reference field="1" count="1" selected="0">
            <x v="21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2"/>
          </reference>
          <reference field="1" count="1" selected="0">
            <x v="2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77628-6D93-4395-93AE-E4C27DB44B50}" name="TablaDinámica2" cacheId="8" applyNumberFormats="0" applyBorderFormats="0" applyFontFormats="0" applyPatternFormats="0" applyAlignmentFormats="0" applyWidthHeightFormats="1" dataCaption="Valores" errorCaption="0" showError="1" missingCaption="0" updatedVersion="8" minRefreshableVersion="3" useAutoFormatting="1" itemPrintTitles="1" createdVersion="8" indent="0" outline="1" outlineData="1" multipleFieldFilters="0" chartFormat="44" rowHeaderCaption="FECHA">
  <location ref="L4:R37" firstHeaderRow="0" firstDataRow="1" firstDataCol="1"/>
  <pivotFields count="54">
    <pivotField axis="axisRow" showAll="0">
      <items count="518"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umFmtId="1"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0"/>
  </rowFields>
  <rowItems count="33">
    <i>
      <x v="457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 CAUDAL TOTAL TRATADO GEM " fld="11" baseField="0" baseItem="0"/>
    <dataField name=" COF 235 - PPM COAGULANTE " fld="49" baseField="0" baseItem="0"/>
    <dataField name=" COF 255 - PPM DECOLORANTE" fld="50" baseField="0" baseItem="0"/>
    <dataField name="COF 280 - PPM ACIDO" fld="48" baseField="0" baseItem="0"/>
    <dataField name=" COF 440 - PPM POL ANIONICO" fld="51" baseField="0" baseItem="0"/>
    <dataField name=" COF 494 - PPM POL CATIONICO" fld="52" baseField="0" baseItem="0"/>
  </dataFields>
  <formats count="28">
    <format dxfId="447">
      <pivotArea type="all" dataOnly="0" outline="0" fieldPosition="0"/>
    </format>
    <format dxfId="446">
      <pivotArea outline="0" collapsedLevelsAreSubtotals="1" fieldPosition="0"/>
    </format>
    <format dxfId="445">
      <pivotArea field="0" type="button" dataOnly="0" labelOnly="1" outline="0" axis="axisRow" fieldPosition="0"/>
    </format>
    <format dxfId="444">
      <pivotArea dataOnly="0" labelOnly="1" fieldPosition="0">
        <references count="1">
          <reference field="0" count="0"/>
        </references>
      </pivotArea>
    </format>
    <format dxfId="443">
      <pivotArea dataOnly="0" labelOnly="1" grandRow="1" outline="0" fieldPosition="0"/>
    </format>
    <format dxfId="4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41">
      <pivotArea type="all" dataOnly="0" outline="0" fieldPosition="0"/>
    </format>
    <format dxfId="440">
      <pivotArea outline="0" collapsedLevelsAreSubtotals="1" fieldPosition="0"/>
    </format>
    <format dxfId="439">
      <pivotArea field="0" type="button" dataOnly="0" labelOnly="1" outline="0" axis="axisRow" fieldPosition="0"/>
    </format>
    <format dxfId="438">
      <pivotArea dataOnly="0" labelOnly="1" fieldPosition="0">
        <references count="1">
          <reference field="0" count="0"/>
        </references>
      </pivotArea>
    </format>
    <format dxfId="437">
      <pivotArea dataOnly="0" labelOnly="1" grandRow="1" outline="0" fieldPosition="0"/>
    </format>
    <format dxfId="4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35">
      <pivotArea type="all" dataOnly="0" outline="0" fieldPosition="0"/>
    </format>
    <format dxfId="434">
      <pivotArea outline="0" collapsedLevelsAreSubtotals="1" fieldPosition="0"/>
    </format>
    <format dxfId="433">
      <pivotArea field="0" type="button" dataOnly="0" labelOnly="1" outline="0" axis="axisRow" fieldPosition="0"/>
    </format>
    <format dxfId="432">
      <pivotArea dataOnly="0" labelOnly="1" fieldPosition="0">
        <references count="1">
          <reference field="0" count="0"/>
        </references>
      </pivotArea>
    </format>
    <format dxfId="431">
      <pivotArea dataOnly="0" labelOnly="1" grandRow="1" outline="0" fieldPosition="0"/>
    </format>
    <format dxfId="4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9">
      <pivotArea type="all" dataOnly="0" outline="0" fieldPosition="0"/>
    </format>
    <format dxfId="428">
      <pivotArea outline="0" collapsedLevelsAreSubtotals="1" fieldPosition="0"/>
    </format>
    <format dxfId="427">
      <pivotArea dataOnly="0" labelOnly="1" fieldPosition="0">
        <references count="1">
          <reference field="0" count="0"/>
        </references>
      </pivotArea>
    </format>
    <format dxfId="426">
      <pivotArea dataOnly="0" labelOnly="1" grandRow="1" outline="0" fieldPosition="0"/>
    </format>
    <format dxfId="425">
      <pivotArea field="0" type="button" dataOnly="0" labelOnly="1" outline="0" axis="axisRow" fieldPosition="0"/>
    </format>
    <format dxfId="42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3">
      <pivotArea outline="0" collapsedLevelsAreSubtotals="1" fieldPosition="0"/>
    </format>
    <format dxfId="42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1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420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</formats>
  <chartFormats count="9"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7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28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5"/>
          </reference>
          <reference field="0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06D859-AE2C-4071-B467-E91DE3ACEFD5}" name="TablaDinámica2" cacheId="8" dataOnRows="1" applyNumberFormats="0" applyBorderFormats="0" applyFontFormats="0" applyPatternFormats="0" applyAlignmentFormats="0" applyWidthHeightFormats="1" dataCaption="PRODUCTOS QUÍMICOS " errorCaption="-" showError="1" missingCaption="-" updatedVersion="8" minRefreshableVersion="3" itemPrintTitles="1" createdVersion="8" indent="0" outline="1" outlineData="1" multipleFieldFilters="0" rowHeaderCaption="FECHA" colHeaderCaption="DIAS">
  <location ref="A2:AH8" firstHeaderRow="1" firstDataRow="2" firstDataCol="1"/>
  <pivotFields count="54">
    <pivotField showAll="0"/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5">
    <dataField name="COF 280 ACIDO (L)" fld="13" baseField="0" baseItem="0"/>
    <dataField name="COF 235 COAGULANTE (L)" fld="14" baseField="0" baseItem="0"/>
    <dataField name="COF 255  DECOLORANTE (L)" fld="15" baseField="0" baseItem="0"/>
    <dataField name="COF 440 POL ANIONICO (KG)" fld="16" baseField="0" baseItem="0"/>
    <dataField name="COF 494 POL CATIONICO (KG)" fld="17" baseField="0" baseItem="0"/>
  </dataFields>
  <formats count="26">
    <format dxfId="198">
      <pivotArea type="all" dataOnly="0" outline="0" fieldPosition="0"/>
    </format>
    <format dxfId="197">
      <pivotArea outline="0" collapsedLevelsAreSubtotals="1" fieldPosition="0"/>
    </format>
    <format dxfId="196">
      <pivotArea field="1" type="button" dataOnly="0" labelOnly="1" outline="0" axis="axisCol" fieldPosition="0"/>
    </format>
    <format dxfId="195">
      <pivotArea type="topRight" dataOnly="0" labelOnly="1" outline="0" fieldPosition="0"/>
    </format>
    <format dxfId="19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93">
      <pivotArea dataOnly="0" labelOnly="1" fieldPosition="0">
        <references count="1">
          <reference field="1" count="0"/>
        </references>
      </pivotArea>
    </format>
    <format dxfId="192">
      <pivotArea dataOnly="0" labelOnly="1" grandCol="1" outline="0" fieldPosition="0"/>
    </format>
    <format dxfId="191">
      <pivotArea outline="0" collapsedLevelsAreSubtotals="1" fieldPosition="0"/>
    </format>
    <format dxfId="19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89">
      <pivotArea dataOnly="0" labelOnly="1" fieldPosition="0">
        <references count="1">
          <reference field="1" count="0"/>
        </references>
      </pivotArea>
    </format>
    <format dxfId="188">
      <pivotArea dataOnly="0" labelOnly="1" grandCol="1" outline="0" fieldPosition="0"/>
    </format>
    <format dxfId="187">
      <pivotArea type="origin" dataOnly="0" labelOnly="1" outline="0" fieldPosition="0"/>
    </format>
    <format dxfId="186">
      <pivotArea field="-2" type="button" dataOnly="0" labelOnly="1" outline="0" axis="axisRow" fieldPosition="0"/>
    </format>
    <format dxfId="185">
      <pivotArea type="origin" dataOnly="0" labelOnly="1" outline="0" fieldPosition="0"/>
    </format>
    <format dxfId="184">
      <pivotArea field="-2" type="button" dataOnly="0" labelOnly="1" outline="0" axis="axisRow" fieldPosition="0"/>
    </format>
    <format dxfId="183">
      <pivotArea field="1" type="button" dataOnly="0" labelOnly="1" outline="0" axis="axisCol" fieldPosition="0"/>
    </format>
    <format dxfId="182">
      <pivotArea type="topRight" dataOnly="0" labelOnly="1" outline="0" fieldPosition="0"/>
    </format>
    <format dxfId="181">
      <pivotArea dataOnly="0" labelOnly="1" fieldPosition="0">
        <references count="1">
          <reference field="1" count="0"/>
        </references>
      </pivotArea>
    </format>
    <format dxfId="180">
      <pivotArea dataOnly="0" labelOnly="1" grandCol="1" outline="0" fieldPosition="0"/>
    </format>
    <format dxfId="179">
      <pivotArea outline="0" collapsedLevelsAreSubtotals="1" fieldPosition="0"/>
    </format>
    <format dxfId="178">
      <pivotArea dataOnly="0" labelOnly="1" fieldPosition="0">
        <references count="1">
          <reference field="1" count="0"/>
        </references>
      </pivotArea>
    </format>
    <format dxfId="177">
      <pivotArea dataOnly="0" labelOnly="1" grandCol="1" outline="0" fieldPosition="0"/>
    </format>
    <format dxfId="176">
      <pivotArea dataOnly="0" labelOnly="1" fieldPosition="0">
        <references count="1">
          <reference field="1" count="0"/>
        </references>
      </pivotArea>
    </format>
    <format dxfId="175">
      <pivotArea dataOnly="0" labelOnly="1" grandCol="1" outline="0" fieldPosition="0"/>
    </format>
    <format dxfId="1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3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70A10-4731-4093-A3F0-4394698F81CA}" name="TablaDinámica3" cacheId="8" dataOnRows="1" applyNumberFormats="0" applyBorderFormats="0" applyFontFormats="0" applyPatternFormats="0" applyAlignmentFormats="0" applyWidthHeightFormats="1" dataCaption="PRODUCTOS QUÍMICOS" updatedVersion="8" minRefreshableVersion="3" showDrill="0" itemPrintTitles="1" createdVersion="8" indent="0" outline="1" outlineData="1" multipleFieldFilters="0" rowHeaderCaption="FECHA" colHeaderCaption="DIAS">
  <location ref="A11:AH17" firstHeaderRow="1" firstDataRow="2" firstDataCol="1"/>
  <pivotFields count="54">
    <pivotField showAll="0">
      <items count="518"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dataField="1" numFmtId="3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5">
    <dataField name="COF 280 - KG ACIDO" fld="18" baseField="0" baseItem="0" numFmtId="3"/>
    <dataField name="COF 235 - KG COAGULANTE" fld="19" baseField="0" baseItem="0"/>
    <dataField name="COF 255 - KG DECOLORANTE " fld="20" baseField="0" baseItem="0"/>
    <dataField name="COF 440 - KG POL ANIONICO " fld="21" baseField="0" baseItem="0"/>
    <dataField name="COF 494 - KG POL CATIONICO " fld="22" baseField="0" baseItem="0"/>
  </dataFields>
  <formats count="61">
    <format dxfId="259">
      <pivotArea field="0" type="button" dataOnly="0" labelOnly="1" outline="0"/>
    </format>
    <format dxfId="258">
      <pivotArea field="0" type="button" dataOnly="0" labelOnly="1" outline="0"/>
    </format>
    <format dxfId="257">
      <pivotArea field="0" type="button" dataOnly="0" labelOnly="1" outline="0"/>
    </format>
    <format dxfId="2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3">
      <pivotArea field="0" type="button" dataOnly="0" labelOnly="1" outline="0"/>
    </format>
    <format dxfId="25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51">
      <pivotArea type="all" dataOnly="0" outline="0" fieldPosition="0"/>
    </format>
    <format dxfId="250">
      <pivotArea outline="0" collapsedLevelsAreSubtotals="1" fieldPosition="0"/>
    </format>
    <format dxfId="249">
      <pivotArea field="0" type="button" dataOnly="0" labelOnly="1" outline="0"/>
    </format>
    <format dxfId="248">
      <pivotArea dataOnly="0" labelOnly="1" grandRow="1" outline="0" fieldPosition="0"/>
    </format>
    <format dxfId="24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6">
      <pivotArea field="0" type="button" dataOnly="0" labelOnly="1" outline="0"/>
    </format>
    <format dxfId="24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4">
      <pivotArea field="0" type="button" dataOnly="0" labelOnly="1" outline="0"/>
    </format>
    <format dxfId="24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42">
      <pivotArea outline="0" collapsedLevelsAreSubtotals="1" fieldPosition="0"/>
    </format>
    <format dxfId="241">
      <pivotArea dataOnly="0" labelOnly="1" grandRow="1" outline="0" fieldPosition="0"/>
    </format>
    <format dxfId="240">
      <pivotArea field="-2" type="button" dataOnly="0" labelOnly="1" outline="0" axis="axisRow" fieldPosition="0"/>
    </format>
    <format dxfId="239">
      <pivotArea type="origin" dataOnly="0" labelOnly="1" outline="0" fieldPosition="0"/>
    </format>
    <format dxfId="238">
      <pivotArea type="origin" dataOnly="0" labelOnly="1" outline="0" fieldPosition="0"/>
    </format>
    <format dxfId="237">
      <pivotArea field="-2" type="button" dataOnly="0" labelOnly="1" outline="0" axis="axisRow" fieldPosition="0"/>
    </format>
    <format dxfId="236">
      <pivotArea field="-2" type="button" dataOnly="0" labelOnly="1" outline="0" axis="axisRow" fieldPosition="0"/>
    </format>
    <format dxfId="235">
      <pivotArea outline="0" fieldPosition="0">
        <references count="1">
          <reference field="4294967294" count="1">
            <x v="0"/>
          </reference>
        </references>
      </pivotArea>
    </format>
    <format dxfId="234">
      <pivotArea field="1" type="button" dataOnly="0" labelOnly="1" outline="0" axis="axisCol" fieldPosition="0"/>
    </format>
    <format dxfId="23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32">
      <pivotArea field="1" type="button" dataOnly="0" labelOnly="1" outline="0" axis="axisCol" fieldPosition="0"/>
    </format>
    <format dxfId="231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230">
      <pivotArea outline="0" collapsedLevelsAreSubtotals="1" fieldPosition="0">
        <references count="1">
          <reference field="1" count="0" selected="0"/>
        </references>
      </pivotArea>
    </format>
    <format dxfId="229">
      <pivotArea field="1" type="button" dataOnly="0" labelOnly="1" outline="0" axis="axisCol" fieldPosition="0"/>
    </format>
    <format dxfId="228">
      <pivotArea type="topRight" dataOnly="0" labelOnly="1" outline="0" fieldPosition="0"/>
    </format>
    <format dxfId="227">
      <pivotArea dataOnly="0" labelOnly="1" fieldPosition="0">
        <references count="1">
          <reference field="1" count="0"/>
        </references>
      </pivotArea>
    </format>
    <format dxfId="226">
      <pivotArea type="origin" dataOnly="0" labelOnly="1" outline="0" fieldPosition="0"/>
    </format>
    <format dxfId="225">
      <pivotArea field="-2" type="button" dataOnly="0" labelOnly="1" outline="0" axis="axisRow" fieldPosition="0"/>
    </format>
    <format dxfId="22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2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19">
      <pivotArea type="origin" dataOnly="0" labelOnly="1" outline="0" fieldPosition="0"/>
    </format>
    <format dxfId="218">
      <pivotArea field="1" type="button" dataOnly="0" labelOnly="1" outline="0" axis="axisCol" fieldPosition="0"/>
    </format>
    <format dxfId="217">
      <pivotArea type="topRight" dataOnly="0" labelOnly="1" outline="0" fieldPosition="0"/>
    </format>
    <format dxfId="216">
      <pivotArea field="-2" type="button" dataOnly="0" labelOnly="1" outline="0" axis="axisRow" fieldPosition="0"/>
    </format>
    <format dxfId="215">
      <pivotArea dataOnly="0" labelOnly="1" fieldPosition="0">
        <references count="1">
          <reference field="1" count="0"/>
        </references>
      </pivotArea>
    </format>
    <format dxfId="214">
      <pivotArea dataOnly="0" labelOnly="1" grandCol="1" outline="0" fieldPosition="0"/>
    </format>
    <format dxfId="213">
      <pivotArea type="origin" dataOnly="0" labelOnly="1" outline="0" fieldPosition="0"/>
    </format>
    <format dxfId="212">
      <pivotArea field="1" type="button" dataOnly="0" labelOnly="1" outline="0" axis="axisCol" fieldPosition="0"/>
    </format>
    <format dxfId="211">
      <pivotArea type="topRight" dataOnly="0" labelOnly="1" outline="0" fieldPosition="0"/>
    </format>
    <format dxfId="210">
      <pivotArea field="-2" type="button" dataOnly="0" labelOnly="1" outline="0" axis="axisRow" fieldPosition="0"/>
    </format>
    <format dxfId="209">
      <pivotArea dataOnly="0" labelOnly="1" fieldPosition="0">
        <references count="1">
          <reference field="1" count="0"/>
        </references>
      </pivotArea>
    </format>
    <format dxfId="208">
      <pivotArea dataOnly="0" labelOnly="1" grandCol="1" outline="0" fieldPosition="0"/>
    </format>
    <format dxfId="207">
      <pivotArea dataOnly="0" labelOnly="1" fieldPosition="0">
        <references count="1">
          <reference field="1" count="0"/>
        </references>
      </pivotArea>
    </format>
    <format dxfId="206">
      <pivotArea dataOnly="0" labelOnly="1" grandCol="1" outline="0" fieldPosition="0"/>
    </format>
    <format dxfId="205">
      <pivotArea field="1" type="button" dataOnly="0" labelOnly="1" outline="0" axis="axisCol" fieldPosition="0"/>
    </format>
    <format dxfId="204">
      <pivotArea type="topRight" dataOnly="0" labelOnly="1" outline="0" fieldPosition="0"/>
    </format>
    <format dxfId="203">
      <pivotArea dataOnly="0" labelOnly="1" fieldPosition="0">
        <references count="1">
          <reference field="1" count="0"/>
        </references>
      </pivotArea>
    </format>
    <format dxfId="202">
      <pivotArea dataOnly="0" labelOnly="1" grandCol="1" outline="0" fieldPosition="0"/>
    </format>
    <format dxfId="201">
      <pivotArea outline="0" collapsedLevelsAreSubtotals="1" fieldPosition="0"/>
    </format>
    <format dxfId="200">
      <pivotArea type="origin" dataOnly="0" labelOnly="1" outline="0" fieldPosition="0"/>
    </format>
    <format dxfId="199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B8E37-404E-4B1C-9D4A-74F39F25D255}" name="TablaDinámica4" cacheId="8" dataOnRows="1" applyNumberFormats="0" applyBorderFormats="0" applyFontFormats="0" applyPatternFormats="0" applyAlignmentFormats="0" applyWidthHeightFormats="1" dataCaption="PRODUCTOS QUÍMICOS" updatedVersion="8" minRefreshableVersion="3" rowGrandTotals="0" colGrandTotals="0" itemPrintTitles="1" createdVersion="8" indent="0" outline="1" outlineData="1" multipleFieldFilters="0" rowHeaderCaption="FECHA" colHeaderCaption="DIAS">
  <location ref="A20:AG26" firstHeaderRow="1" firstDataRow="2" firstDataCol="1"/>
  <pivotFields count="54">
    <pivotField showAll="0">
      <items count="518"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</colItems>
  <dataFields count="5">
    <dataField name="COF 280 - PPM ACIDO  " fld="48" baseField="0" baseItem="0" numFmtId="3"/>
    <dataField name="COF 235 - PPM COAGULANTE  " fld="49" baseField="0" baseItem="0" numFmtId="3"/>
    <dataField name="COF 255 - PPM DECOLORANTE  " fld="50" baseField="0" baseItem="0" numFmtId="3"/>
    <dataField name="COF 440 - PPM POL ANIONICO " fld="51" baseField="0" baseItem="0"/>
    <dataField name="COF 494 - PPM POL CATIONICO " fld="52" baseField="0" baseItem="0"/>
  </dataFields>
  <formats count="52">
    <format dxfId="311">
      <pivotArea field="0" type="button" dataOnly="0" labelOnly="1" outline="0"/>
    </format>
    <format dxfId="310">
      <pivotArea field="0" type="button" dataOnly="0" labelOnly="1" outline="0"/>
    </format>
    <format dxfId="309">
      <pivotArea field="0" type="button" dataOnly="0" labelOnly="1" outline="0"/>
    </format>
    <format dxfId="308">
      <pivotArea field="0" type="button" dataOnly="0" labelOnly="1" outline="0"/>
    </format>
    <format dxfId="307">
      <pivotArea type="all" dataOnly="0" outline="0" fieldPosition="0"/>
    </format>
    <format dxfId="306">
      <pivotArea outline="0" collapsedLevelsAreSubtotals="1" fieldPosition="0"/>
    </format>
    <format dxfId="305">
      <pivotArea field="0" type="button" dataOnly="0" labelOnly="1" outline="0"/>
    </format>
    <format dxfId="304">
      <pivotArea dataOnly="0" labelOnly="1" grandRow="1" outline="0" fieldPosition="0"/>
    </format>
    <format dxfId="303">
      <pivotArea field="0" type="button" dataOnly="0" labelOnly="1" outline="0"/>
    </format>
    <format dxfId="302">
      <pivotArea field="0" type="button" dataOnly="0" labelOnly="1" outline="0"/>
    </format>
    <format dxfId="301">
      <pivotArea field="0" type="button" dataOnly="0" labelOnly="1" outline="0"/>
    </format>
    <format dxfId="300">
      <pivotArea field="0" type="button" dataOnly="0" labelOnly="1" outline="0"/>
    </format>
    <format dxfId="299">
      <pivotArea outline="0" collapsedLevelsAreSubtotals="1" fieldPosition="0"/>
    </format>
    <format dxfId="298">
      <pivotArea field="0" type="button" dataOnly="0" labelOnly="1" outline="0"/>
    </format>
    <format dxfId="297">
      <pivotArea type="all" dataOnly="0" outline="0" fieldPosition="0"/>
    </format>
    <format dxfId="296">
      <pivotArea field="0" type="button" dataOnly="0" labelOnly="1" outline="0"/>
    </format>
    <format dxfId="295">
      <pivotArea dataOnly="0" labelOnly="1" grandRow="1" outline="0" fieldPosition="0"/>
    </format>
    <format dxfId="294">
      <pivotArea type="origin" dataOnly="0" labelOnly="1" outline="0" fieldPosition="0"/>
    </format>
    <format dxfId="293">
      <pivotArea type="origin" dataOnly="0" labelOnly="1" outline="0" fieldPosition="0"/>
    </format>
    <format dxfId="292">
      <pivotArea field="1" type="button" dataOnly="0" labelOnly="1" outline="0" axis="axisCol" fieldPosition="0"/>
    </format>
    <format dxfId="2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0">
      <pivotArea collapsedLevelsAreSubtotals="1" fieldPosition="0">
        <references count="2">
          <reference field="4294967294" count="2">
            <x v="3"/>
            <x v="4"/>
          </reference>
          <reference field="1" count="29" selected="0"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89">
      <pivotArea field="1" grandCol="1" collapsedLevelsAreSubtotals="1" axis="axisCol" fieldPosition="0">
        <references count="1">
          <reference field="4294967294" count="2">
            <x v="3"/>
            <x v="4"/>
          </reference>
        </references>
      </pivotArea>
    </format>
    <format dxfId="288">
      <pivotArea collapsedLevelsAreSubtotals="1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287">
      <pivotArea outline="0" collapsedLevelsAreSubtotals="1" fieldPosition="0">
        <references count="1">
          <reference field="1" count="0" selected="0"/>
        </references>
      </pivotArea>
    </format>
    <format dxfId="286">
      <pivotArea field="1" type="button" dataOnly="0" labelOnly="1" outline="0" axis="axisCol" fieldPosition="0"/>
    </format>
    <format dxfId="285">
      <pivotArea type="topRight" dataOnly="0" labelOnly="1" outline="0" fieldPosition="0"/>
    </format>
    <format dxfId="284">
      <pivotArea dataOnly="0" labelOnly="1" fieldPosition="0">
        <references count="1">
          <reference field="1" count="0"/>
        </references>
      </pivotArea>
    </format>
    <format dxfId="28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80">
      <pivotArea type="all" dataOnly="0" outline="0" fieldPosition="0"/>
    </format>
    <format dxfId="279">
      <pivotArea type="origin" dataOnly="0" labelOnly="1" outline="0" fieldPosition="0"/>
    </format>
    <format dxfId="278">
      <pivotArea field="-2" type="button" dataOnly="0" labelOnly="1" outline="0" axis="axisRow" fieldPosition="0"/>
    </format>
    <format dxfId="277">
      <pivotArea dataOnly="0" labelOnly="1" fieldPosition="0">
        <references count="1">
          <reference field="1" count="0"/>
        </references>
      </pivotArea>
    </format>
    <format dxfId="276">
      <pivotArea dataOnly="0" labelOnly="1" grandCol="1" outline="0" fieldPosition="0"/>
    </format>
    <format dxfId="275">
      <pivotArea outline="0" collapsedLevelsAreSubtotals="1" fieldPosition="0"/>
    </format>
    <format dxfId="27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273">
      <pivotArea type="origin" dataOnly="0" labelOnly="1" outline="0" fieldPosition="0"/>
    </format>
    <format dxfId="272">
      <pivotArea field="-2" type="button" dataOnly="0" labelOnly="1" outline="0" axis="axisRow" fieldPosition="0"/>
    </format>
    <format dxfId="271">
      <pivotArea field="1" type="button" dataOnly="0" labelOnly="1" outline="0" axis="axisCol" fieldPosition="0"/>
    </format>
    <format dxfId="270">
      <pivotArea type="topRight" dataOnly="0" labelOnly="1" outline="0" fieldPosition="0"/>
    </format>
    <format dxfId="269">
      <pivotArea field="1" type="button" dataOnly="0" labelOnly="1" outline="0" axis="axisCol" fieldPosition="0"/>
    </format>
    <format dxfId="268">
      <pivotArea type="topRight" dataOnly="0" labelOnly="1" outline="0" fieldPosition="0"/>
    </format>
    <format dxfId="267">
      <pivotArea dataOnly="0" labelOnly="1" fieldPosition="0">
        <references count="1">
          <reference field="1" count="0"/>
        </references>
      </pivotArea>
    </format>
    <format dxfId="266">
      <pivotArea dataOnly="0" labelOnly="1" grandCol="1" outline="0" fieldPosition="0"/>
    </format>
    <format dxfId="265">
      <pivotArea field="1" type="button" dataOnly="0" labelOnly="1" outline="0" axis="axisCol" fieldPosition="0"/>
    </format>
    <format dxfId="264">
      <pivotArea type="topRight" dataOnly="0" labelOnly="1" outline="0" fieldPosition="0"/>
    </format>
    <format dxfId="263">
      <pivotArea dataOnly="0" labelOnly="1" fieldPosition="0">
        <references count="1">
          <reference field="1" count="0"/>
        </references>
      </pivotArea>
    </format>
    <format dxfId="262">
      <pivotArea dataOnly="0" labelOnly="1" grandCol="1" outline="0" fieldPosition="0"/>
    </format>
    <format dxfId="261">
      <pivotArea type="origin" dataOnly="0" labelOnly="1" outline="0" fieldPosition="0"/>
    </format>
    <format dxfId="260">
      <pivotArea field="-2" type="button" dataOnly="0" labelOnly="1" outline="0" axis="axisRow" fieldPosition="0"/>
    </format>
  </formats>
  <conditionalFormats count="3">
    <conditionalFormat priority="2">
      <pivotAreas count="1">
        <pivotArea type="data" collapsedLevelsAreSubtotals="1" fieldPosition="0">
          <references count="1">
            <reference field="4294967294" count="1">
              <x v="2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2">
            <reference field="4294967294" count="1">
              <x v="1"/>
            </reference>
            <reference field="1" count="29" selected="0">
              <x v="1"/>
              <x v="2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294967294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B47A8-E72A-4796-8C15-340E8D309401}" name="TablaDinámica1" cacheId="8" dataOnRows="1" applyNumberFormats="0" applyBorderFormats="0" applyFontFormats="0" applyPatternFormats="0" applyAlignmentFormats="0" applyWidthHeightFormats="1" dataCaption="CONSOLIDADO AGUA POTABLE VS AGUA TRATADA (m3/Día)" updatedVersion="8" minRefreshableVersion="3" itemPrintTitles="1" createdVersion="8" indent="0" outline="1" outlineData="1" multipleFieldFilters="0" rowHeaderCaption="FECHA" colHeaderCaption="DIAS">
  <location ref="A29:AH31" firstHeaderRow="1" firstDataRow="2" firstDataCol="1"/>
  <pivotFields count="54">
    <pivotField showAll="0">
      <items count="518"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1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4">
        <item x="0"/>
        <item x="1"/>
        <item x="2"/>
        <item m="1" x="3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3" showAll="0"/>
    <pivotField numFmtId="3"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showAll="0"/>
    <pivotField showAll="0"/>
    <pivotField showAll="0"/>
    <pivotField numFmtId="165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Fields count="1">
    <field x="1"/>
  </colFields>
  <colItems count="3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dataFields count="1">
    <dataField name=" CAUDAL TOTAL TRATADO GEM " fld="11" baseField="0" baseItem="0"/>
  </dataFields>
  <formats count="37">
    <format dxfId="348">
      <pivotArea field="0" type="button" dataOnly="0" labelOnly="1" outline="0"/>
    </format>
    <format dxfId="347">
      <pivotArea field="0" type="button" dataOnly="0" labelOnly="1" outline="0"/>
    </format>
    <format dxfId="346">
      <pivotArea outline="0" collapsedLevelsAreSubtotals="1" fieldPosition="0"/>
    </format>
    <format dxfId="345">
      <pivotArea field="1" type="button" dataOnly="0" labelOnly="1" outline="0" axis="axisCol" fieldPosition="0"/>
    </format>
    <format dxfId="344">
      <pivotArea type="origin" dataOnly="0" labelOnly="1" outline="0" fieldPosition="0"/>
    </format>
    <format dxfId="343">
      <pivotArea outline="0" collapsedLevelsAreSubtotals="1" fieldPosition="0"/>
    </format>
    <format dxfId="342">
      <pivotArea outline="0" collapsedLevelsAreSubtotals="1" fieldPosition="0"/>
    </format>
    <format dxfId="341">
      <pivotArea type="origin" dataOnly="0" labelOnly="1" outline="0" fieldPosition="0"/>
    </format>
    <format dxfId="340">
      <pivotArea field="-2" type="button" dataOnly="0" labelOnly="1" outline="0" axis="axisRow" fieldPosition="0"/>
    </format>
    <format dxfId="339">
      <pivotArea type="origin" dataOnly="0" labelOnly="1" outline="0" fieldPosition="0"/>
    </format>
    <format dxfId="338">
      <pivotArea field="-2" type="button" dataOnly="0" labelOnly="1" outline="0" axis="axisRow" fieldPosition="0"/>
    </format>
    <format dxfId="337">
      <pivotArea outline="0" collapsedLevelsAreSubtotals="1" fieldPosition="0">
        <references count="1">
          <reference field="1" count="0" selected="0"/>
        </references>
      </pivotArea>
    </format>
    <format dxfId="336">
      <pivotArea field="1" type="button" dataOnly="0" labelOnly="1" outline="0" axis="axisCol" fieldPosition="0"/>
    </format>
    <format dxfId="335">
      <pivotArea type="topRight" dataOnly="0" labelOnly="1" outline="0" fieldPosition="0"/>
    </format>
    <format dxfId="334">
      <pivotArea dataOnly="0" labelOnly="1" fieldPosition="0">
        <references count="1">
          <reference field="1" count="0"/>
        </references>
      </pivotArea>
    </format>
    <format dxfId="333">
      <pivotArea outline="0" collapsedLevelsAreSubtotals="1" fieldPosition="0"/>
    </format>
    <format dxfId="332">
      <pivotArea dataOnly="0" labelOnly="1" fieldPosition="0">
        <references count="1">
          <reference field="1" count="0"/>
        </references>
      </pivotArea>
    </format>
    <format dxfId="331">
      <pivotArea dataOnly="0" labelOnly="1" grandCol="1" outline="0" fieldPosition="0"/>
    </format>
    <format dxfId="330">
      <pivotArea outline="0" collapsedLevelsAreSubtotals="1" fieldPosition="0"/>
    </format>
    <format dxfId="329">
      <pivotArea dataOnly="0" labelOnly="1" fieldPosition="0">
        <references count="1">
          <reference field="1" count="0"/>
        </references>
      </pivotArea>
    </format>
    <format dxfId="328">
      <pivotArea dataOnly="0" labelOnly="1" grandCol="1" outline="0" fieldPosition="0"/>
    </format>
    <format dxfId="327">
      <pivotArea outline="0" collapsedLevelsAreSubtotals="1" fieldPosition="0"/>
    </format>
    <format dxfId="32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5">
      <pivotArea field="1" type="button" dataOnly="0" labelOnly="1" outline="0" axis="axisCol" fieldPosition="0"/>
    </format>
    <format dxfId="324">
      <pivotArea type="topRight" dataOnly="0" labelOnly="1" outline="0" fieldPosition="0"/>
    </format>
    <format dxfId="323">
      <pivotArea dataOnly="0" labelOnly="1" fieldPosition="0">
        <references count="1">
          <reference field="1" count="0"/>
        </references>
      </pivotArea>
    </format>
    <format dxfId="322">
      <pivotArea dataOnly="0" labelOnly="1" grandCol="1" outline="0" fieldPosition="0"/>
    </format>
    <format dxfId="3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9">
      <pivotArea outline="0" collapsedLevelsAreSubtotals="1" fieldPosition="0"/>
    </format>
    <format dxfId="3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17">
      <pivotArea type="origin" dataOnly="0" labelOnly="1" outline="0" fieldPosition="0"/>
    </format>
    <format dxfId="316">
      <pivotArea field="-2" type="button" dataOnly="0" labelOnly="1" outline="0" axis="axisRow" fieldPosition="0"/>
    </format>
    <format dxfId="315">
      <pivotArea field="1" type="button" dataOnly="0" labelOnly="1" outline="0" axis="axisCol" fieldPosition="0"/>
    </format>
    <format dxfId="314">
      <pivotArea type="topRight" dataOnly="0" labelOnly="1" outline="0" fieldPosition="0"/>
    </format>
    <format dxfId="313">
      <pivotArea dataOnly="0" labelOnly="1" fieldPosition="0">
        <references count="1">
          <reference field="1" count="0"/>
        </references>
      </pivotArea>
    </format>
    <format dxfId="312">
      <pivotArea dataOnly="0" labelOnly="1" grandCol="1" outline="0" fieldPosition="0"/>
    </format>
  </formats>
  <conditionalFormats count="1">
    <conditionalFormat priority="1">
      <pivotAreas count="1">
        <pivotArea type="data" outline="0" collapsedLevelsAreSubtotals="1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2C57C8-AC33-4BC5-87D9-06E577497B75}" name="TablaDinámica5" cacheId="1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olHeaderCaption="DIA">
  <location ref="A32:AH34" firstHeaderRow="1" firstDataRow="2" firstDataCol="1"/>
  <pivotFields count="62">
    <pivotField numFmtId="14" showAll="0">
      <items count="460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31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Items count="1">
    <i/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 TIEMPO DE OPERACIÓN (minutos)" fld="8" baseField="0" baseItem="0"/>
  </dataFields>
  <formats count="23">
    <format dxfId="81">
      <pivotArea outline="0" collapsedLevelsAreSubtotals="1" fieldPosition="0"/>
    </format>
    <format dxfId="80">
      <pivotArea dataOnly="0" labelOnly="1" outline="0" axis="axisValues" fieldPosition="0"/>
    </format>
    <format dxfId="79">
      <pivotArea field="1" type="button" dataOnly="0" labelOnly="1" outline="0" axis="axisCol" fieldPosition="0"/>
    </format>
    <format dxfId="78">
      <pivotArea type="topRight" dataOnly="0" labelOnly="1" outline="0" fieldPosition="0"/>
    </format>
    <format dxfId="77">
      <pivotArea dataOnly="0" labelOnly="1" fieldPosition="0">
        <references count="1">
          <reference field="1" count="0"/>
        </references>
      </pivotArea>
    </format>
    <format dxfId="76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offset="A1" fieldPosition="0"/>
    </format>
    <format dxfId="72">
      <pivotArea dataOnly="0" labelOnly="1" outline="0" axis="axisValues" fieldPosition="0"/>
    </format>
    <format dxfId="71">
      <pivotArea field="1" type="button" dataOnly="0" labelOnly="1" outline="0" axis="axisCol" fieldPosition="0"/>
    </format>
    <format dxfId="70">
      <pivotArea type="topRight" dataOnly="0" labelOnly="1" outline="0" fieldPosition="0"/>
    </format>
    <format dxfId="69">
      <pivotArea type="origin" dataOnly="0" labelOnly="1" outline="0" offset="A2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Col="1" outline="0" fieldPosition="0"/>
    </format>
    <format dxfId="66">
      <pivotArea type="origin" dataOnly="0" labelOnly="1" outline="0" offset="A1" fieldPosition="0"/>
    </format>
    <format dxfId="65">
      <pivotArea type="origin" dataOnly="0" labelOnly="1" outline="0" offset="A2" fieldPosition="0"/>
    </format>
    <format dxfId="64">
      <pivotArea outline="0" collapsedLevelsAreSubtotals="1" fieldPosition="0">
        <references count="1">
          <reference field="1" count="0" selected="0"/>
        </references>
      </pivotArea>
    </format>
    <format dxfId="63">
      <pivotArea dataOnly="0" labelOnly="1" fieldPosition="0">
        <references count="1">
          <reference field="1" count="0"/>
        </references>
      </pivotArea>
    </format>
    <format dxfId="62">
      <pivotArea outline="0" collapsedLevelsAreSubtotals="1" fieldPosition="0"/>
    </format>
    <format dxfId="61">
      <pivotArea dataOnly="0" labelOnly="1" outline="0" axis="axisValues" fieldPosition="0"/>
    </format>
    <format dxfId="60">
      <pivotArea outline="0" collapsedLevelsAreSubtotals="1" fieldPosition="0"/>
    </format>
    <format dxfId="5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E0C01-B715-4E25-A19B-489388695DC7}" name="TablaDinámica6" cacheId="13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22:AH28" firstHeaderRow="1" firstDataRow="2" firstDataCol="1"/>
  <pivotFields count="62">
    <pivotField numFmtId="14" showAll="0">
      <items count="460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31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Suma de PPM HCL" fld="54" baseField="0" baseItem="0" numFmtId="1"/>
    <dataField name="Suma de PPM KURIVERTER" fld="55" baseField="0" baseItem="0" numFmtId="1"/>
    <dataField name="Suma de PPM VITEC" fld="56" baseField="0" baseItem="0" numFmtId="1"/>
    <dataField name="Suma de PPM NaOH" fld="57" baseField="0" baseItem="0" numFmtId="1"/>
    <dataField name="Suma de PPM BISULFITO" fld="58" baseField="0" baseItem="0" numFmtId="1"/>
  </dataFields>
  <formats count="31">
    <format dxfId="112">
      <pivotArea outline="0" collapsedLevelsAreSubtotals="1" fieldPosition="0"/>
    </format>
    <format dxfId="111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10">
      <pivotArea grandCol="1" outline="0" collapsedLevelsAreSubtotals="1" fieldPosition="0"/>
    </format>
    <format dxfId="109">
      <pivotArea type="topRight" dataOnly="0" labelOnly="1" outline="0" offset="B1:AD1" fieldPosition="0"/>
    </format>
    <format dxfId="108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07">
      <pivotArea dataOnly="0" labelOnly="1" grandCol="1" outline="0" fieldPosition="0"/>
    </format>
    <format dxfId="106">
      <pivotArea type="origin" dataOnly="0" labelOnly="1" outline="0" fieldPosition="0"/>
    </format>
    <format dxfId="105">
      <pivotArea field="1" type="button" dataOnly="0" labelOnly="1" outline="0" axis="axisCol" fieldPosition="0"/>
    </format>
    <format dxfId="104">
      <pivotArea type="topRight" dataOnly="0" labelOnly="1" outline="0" fieldPosition="0"/>
    </format>
    <format dxfId="103">
      <pivotArea field="-2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Col="1" outline="0" fieldPosition="0"/>
    </format>
    <format dxfId="100">
      <pivotArea type="origin" dataOnly="0" labelOnly="1" outline="0" fieldPosition="0"/>
    </format>
    <format dxfId="99">
      <pivotArea field="1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-2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Col="1" outline="0" fieldPosition="0"/>
    </format>
    <format dxfId="94">
      <pivotArea type="origin" dataOnly="0" labelOnly="1" outline="0" fieldPosition="0"/>
    </format>
    <format dxfId="93">
      <pivotArea field="-2" type="button" dataOnly="0" labelOnly="1" outline="0" axis="axisRow" fieldPosition="0"/>
    </format>
    <format dxfId="92">
      <pivotArea outline="0" collapsedLevelsAreSubtotals="1" fieldPosition="0"/>
    </format>
    <format dxfId="91">
      <pivotArea outline="0" collapsedLevelsAreSubtotals="1" fieldPosition="0"/>
    </format>
    <format dxfId="90">
      <pivotArea dataOnly="0" labelOnly="1" fieldPosition="0">
        <references count="1">
          <reference field="1" count="0"/>
        </references>
      </pivotArea>
    </format>
    <format dxfId="89">
      <pivotArea dataOnly="0" labelOnly="1" grandCol="1" outline="0" fieldPosition="0"/>
    </format>
    <format dxfId="8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87">
      <pivotArea type="origin" dataOnly="0" labelOnly="1" outline="0" fieldPosition="0"/>
    </format>
    <format dxfId="86">
      <pivotArea field="1" type="button" dataOnly="0" labelOnly="1" outline="0" axis="axisCol" fieldPosition="0"/>
    </format>
    <format dxfId="85">
      <pivotArea type="topRight" dataOnly="0" labelOnly="1" outline="0" fieldPosition="0"/>
    </format>
    <format dxfId="84">
      <pivotArea field="-2" type="button" dataOnly="0" labelOnly="1" outline="0" axis="axisRow" fieldPosition="0"/>
    </format>
    <format dxfId="83">
      <pivotArea dataOnly="0" labelOnly="1" fieldPosition="0">
        <references count="1">
          <reference field="1" count="0"/>
        </references>
      </pivotArea>
    </format>
    <format dxfId="8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AB6E4-9458-4CC3-BC1B-3D56527CBA62}" name="TablaDinámica3" cacheId="13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12:AH18" firstHeaderRow="1" firstDataRow="2" firstDataCol="1"/>
  <pivotFields count="62">
    <pivotField numFmtId="14" showAll="0">
      <items count="460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31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Kg) HCL (10%)22" fld="29" baseField="0" baseItem="0"/>
    <dataField name=" CONSUMO (Kg) KURIVERTER IK-220 (Biocida)" fld="30" baseField="0" baseItem="0"/>
    <dataField name=" CONSUMO (Kg) VITEC 7000 (Antiincrustante)" fld="31" baseField="0" baseItem="0"/>
    <dataField name=" CONSUMO (Kg) Hidróxido de Sodio (NaOH)" fld="32" baseField="0" baseItem="0"/>
    <dataField name=" CONSUMO (Kg) Bisulfito de sodio6" fld="33" baseField="0" baseItem="0"/>
  </dataFields>
  <formats count="25">
    <format dxfId="137">
      <pivotArea outline="0" collapsedLevelsAreSubtotals="1" fieldPosition="0"/>
    </format>
    <format dxfId="136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5">
      <pivotArea grandCol="1" outline="0" collapsedLevelsAreSubtotals="1" fieldPosition="0"/>
    </format>
    <format dxfId="134">
      <pivotArea type="topRight" dataOnly="0" labelOnly="1" outline="0" offset="B1:AD1" fieldPosition="0"/>
    </format>
    <format dxfId="133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32">
      <pivotArea dataOnly="0" labelOnly="1" grandCol="1" outline="0" fieldPosition="0"/>
    </format>
    <format dxfId="131">
      <pivotArea type="origin" dataOnly="0" labelOnly="1" outline="0" fieldPosition="0"/>
    </format>
    <format dxfId="130">
      <pivotArea field="1" type="button" dataOnly="0" labelOnly="1" outline="0" axis="axisCol" fieldPosition="0"/>
    </format>
    <format dxfId="129">
      <pivotArea type="topRight" dataOnly="0" labelOnly="1" outline="0" fieldPosition="0"/>
    </format>
    <format dxfId="128">
      <pivotArea field="-2" type="button" dataOnly="0" labelOnly="1" outline="0" axis="axisRow" fieldPosition="0"/>
    </format>
    <format dxfId="127">
      <pivotArea dataOnly="0" labelOnly="1" fieldPosition="0">
        <references count="1">
          <reference field="1" count="0"/>
        </references>
      </pivotArea>
    </format>
    <format dxfId="126">
      <pivotArea dataOnly="0" labelOnly="1" grandCol="1" outline="0" fieldPosition="0"/>
    </format>
    <format dxfId="125">
      <pivotArea type="origin" dataOnly="0" labelOnly="1" outline="0" fieldPosition="0"/>
    </format>
    <format dxfId="124">
      <pivotArea field="1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-2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Col="1" outline="0" fieldPosition="0"/>
    </format>
    <format dxfId="119">
      <pivotArea type="origin" dataOnly="0" labelOnly="1" outline="0" fieldPosition="0"/>
    </format>
    <format dxfId="118">
      <pivotArea field="-2" type="button" dataOnly="0" labelOnly="1" outline="0" axis="axisRow" fieldPosition="0"/>
    </format>
    <format dxfId="117">
      <pivotArea outline="0" collapsedLevelsAreSubtotals="1" fieldPosition="0"/>
    </format>
    <format dxfId="1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5">
      <pivotArea outline="0" collapsedLevelsAreSubtotals="1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074145-0333-4BE7-8194-6B9B120BF838}" name="TablaDinámica2" cacheId="13" dataOnRows="1" applyNumberFormats="0" applyBorderFormats="0" applyFontFormats="0" applyPatternFormats="0" applyAlignmentFormats="0" applyWidthHeightFormats="1" dataCaption="PRODUCTO QUÍMICO" updatedVersion="8" minRefreshableVersion="3" itemPrintTitles="1" createdVersion="8" indent="0" outline="1" outlineData="1" multipleFieldFilters="0" colHeaderCaption="DIA">
  <location ref="A3:AH9" firstHeaderRow="1" firstDataRow="2" firstDataCol="1"/>
  <pivotFields count="62">
    <pivotField numFmtId="14" showAll="0">
      <items count="460"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31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Col" numFmtId="1" showAll="0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showAll="0"/>
    <pivotField showAll="0"/>
    <pivotField showAll="0"/>
    <pivotField showAll="0"/>
    <pivotField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numFmtId="42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1"/>
        <item x="2"/>
        <item x="3"/>
        <item x="4"/>
        <item x="0"/>
        <item x="5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1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5">
    <dataField name=" CONSUMO (L) HCL (10%)" fld="19" baseField="0" baseItem="0"/>
    <dataField name=" CONSUMO (L) KURIVERTER IK-220 (Biocida)" fld="20" baseField="0" baseItem="0"/>
    <dataField name="CONSUMO (L) VITEC 7000 (Antiincrustante) " fld="21" baseField="0" baseItem="0"/>
    <dataField name="CONSUMO (L) Hidróxido de Sodio (NaOH) " fld="22" baseField="0" baseItem="0"/>
    <dataField name="CONSUMO (L) Bisulfito de sodio " fld="23" baseField="0" baseItem="0"/>
  </dataFields>
  <formats count="35">
    <format dxfId="172">
      <pivotArea outline="0" collapsedLevelsAreSubtotals="1" fieldPosition="0"/>
    </format>
    <format dxfId="171">
      <pivotArea outline="0" collapsedLevelsAreSubtotals="1" fieldPosition="0">
        <references count="1">
          <reference field="1" count="28" selected="0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70">
      <pivotArea grandCol="1" outline="0" collapsedLevelsAreSubtotals="1" fieldPosition="0"/>
    </format>
    <format dxfId="169">
      <pivotArea type="topRight" dataOnly="0" labelOnly="1" outline="0" offset="B1:AD1" fieldPosition="0"/>
    </format>
    <format dxfId="168">
      <pivotArea dataOnly="0" labelOnly="1" fieldPosition="0">
        <references count="1">
          <reference field="1" count="28"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</reference>
        </references>
      </pivotArea>
    </format>
    <format dxfId="167">
      <pivotArea dataOnly="0" labelOnly="1" grandCol="1" outline="0" fieldPosition="0"/>
    </format>
    <format dxfId="166">
      <pivotArea type="all" dataOnly="0" outline="0" fieldPosition="0"/>
    </format>
    <format dxfId="165">
      <pivotArea field="1" type="button" dataOnly="0" labelOnly="1" outline="0" axis="axisCol" fieldPosition="0"/>
    </format>
    <format dxfId="164">
      <pivotArea type="topRight" dataOnly="0" labelOnly="1" outline="0" fieldPosition="0"/>
    </format>
    <format dxfId="163">
      <pivotArea dataOnly="0" labelOnly="1" fieldPosition="0">
        <references count="1">
          <reference field="1" count="0"/>
        </references>
      </pivotArea>
    </format>
    <format dxfId="162">
      <pivotArea dataOnly="0" labelOnly="1" grandCol="1" outline="0" fieldPosition="0"/>
    </format>
    <format dxfId="161">
      <pivotArea type="origin" dataOnly="0" labelOnly="1" outline="0" fieldPosition="0"/>
    </format>
    <format dxfId="160">
      <pivotArea field="-2" type="button" dataOnly="0" labelOnly="1" outline="0" axis="axisRow" fieldPosition="0"/>
    </format>
    <format dxfId="159">
      <pivotArea field="1" type="button" dataOnly="0" labelOnly="1" outline="0" axis="axisCol" fieldPosition="0"/>
    </format>
    <format dxfId="158">
      <pivotArea type="topRight" dataOnly="0" labelOnly="1" outline="0" fieldPosition="0"/>
    </format>
    <format dxfId="157">
      <pivotArea outline="0" collapsedLevelsAreSubtotals="1" fieldPosition="0"/>
    </format>
    <format dxfId="15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55">
      <pivotArea type="origin" dataOnly="0" labelOnly="1" outline="0" fieldPosition="0"/>
    </format>
    <format dxfId="154">
      <pivotArea field="1" type="button" dataOnly="0" labelOnly="1" outline="0" axis="axisCol" fieldPosition="0"/>
    </format>
    <format dxfId="153">
      <pivotArea type="topRight" dataOnly="0" labelOnly="1" outline="0" fieldPosition="0"/>
    </format>
    <format dxfId="152">
      <pivotArea field="-2" type="button" dataOnly="0" labelOnly="1" outline="0" axis="axisRow" fieldPosition="0"/>
    </format>
    <format dxfId="151">
      <pivotArea dataOnly="0" labelOnly="1" fieldPosition="0">
        <references count="1">
          <reference field="1" count="0"/>
        </references>
      </pivotArea>
    </format>
    <format dxfId="150">
      <pivotArea dataOnly="0" labelOnly="1" grandCol="1" outline="0" fieldPosition="0"/>
    </format>
    <format dxfId="149">
      <pivotArea type="origin" dataOnly="0" labelOnly="1" outline="0" fieldPosition="0"/>
    </format>
    <format dxfId="148">
      <pivotArea field="1" type="button" dataOnly="0" labelOnly="1" outline="0" axis="axisCol" fieldPosition="0"/>
    </format>
    <format dxfId="147">
      <pivotArea type="topRight" dataOnly="0" labelOnly="1" outline="0" fieldPosition="0"/>
    </format>
    <format dxfId="146">
      <pivotArea field="-2" type="button" dataOnly="0" labelOnly="1" outline="0" axis="axisRow" fieldPosition="0"/>
    </format>
    <format dxfId="145">
      <pivotArea dataOnly="0" labelOnly="1" fieldPosition="0">
        <references count="1">
          <reference field="1" count="0"/>
        </references>
      </pivotArea>
    </format>
    <format dxfId="144">
      <pivotArea dataOnly="0" labelOnly="1" grandCol="1" outline="0" fieldPosition="0"/>
    </format>
    <format dxfId="143">
      <pivotArea outline="0" collapsedLevelsAreSubtotals="1" fieldPosition="0"/>
    </format>
    <format dxfId="142">
      <pivotArea dataOnly="0" labelOnly="1" fieldPosition="0">
        <references count="1">
          <reference field="1" count="0"/>
        </references>
      </pivotArea>
    </format>
    <format dxfId="141">
      <pivotArea dataOnly="0" labelOnly="1" grandCol="1" outline="0" fieldPosition="0"/>
    </format>
    <format dxfId="140">
      <pivotArea type="origin" dataOnly="0" labelOnly="1" outline="0" fieldPosition="0"/>
    </format>
    <format dxfId="139">
      <pivotArea field="-2" type="button" dataOnly="0" labelOnly="1" outline="0" axis="axisRow" fieldPosition="0"/>
    </format>
    <format dxfId="1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4ECC307-7C6D-4DFC-8B73-A2494E3A8353}" sourceName="FECHA">
  <pivotTables>
    <pivotTable tabId="14" name="TablaDinámica2"/>
  </pivotTables>
  <data>
    <tabular pivotCacheId="1515291395">
      <items count="51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487" s="1" nd="1"/>
        <i x="488" s="1" nd="1"/>
        <i x="489" s="1" nd="1"/>
        <i x="490" s="1" nd="1"/>
        <i x="491" s="1" nd="1"/>
        <i x="492" s="1" nd="1"/>
        <i x="493" s="1" nd="1"/>
        <i x="494" s="1" nd="1"/>
        <i x="495" s="1" nd="1"/>
        <i x="496" s="1" nd="1"/>
        <i x="497" s="1" nd="1"/>
        <i x="498" s="1" nd="1"/>
        <i x="499" s="1" nd="1"/>
        <i x="500" s="1" nd="1"/>
        <i x="501" s="1" nd="1"/>
        <i x="502" s="1" nd="1"/>
        <i x="503" s="1" nd="1"/>
        <i x="504" s="1" nd="1"/>
        <i x="505" s="1" nd="1"/>
        <i x="506" s="1" nd="1"/>
        <i x="507" s="1" nd="1"/>
        <i x="508" s="1" nd="1"/>
        <i x="509" s="1" nd="1"/>
        <i x="510" s="1" nd="1"/>
        <i x="511" s="1" nd="1"/>
        <i x="512" s="1" nd="1"/>
        <i x="513" s="1" nd="1"/>
        <i x="514" s="1" nd="1"/>
        <i x="515" s="1" nd="1"/>
        <i x="516" s="1" nd="1"/>
        <i x="456" s="1" nd="1"/>
        <i x="457" s="1" nd="1"/>
        <i x="458" s="1" nd="1"/>
        <i x="459" s="1" nd="1"/>
        <i x="460" s="1" nd="1"/>
        <i x="461" s="1" nd="1"/>
        <i x="462" s="1" nd="1"/>
        <i x="463" s="1" nd="1"/>
        <i x="464" s="1" nd="1"/>
        <i x="465" s="1" nd="1"/>
        <i x="466" s="1" nd="1"/>
        <i x="467" s="1" nd="1"/>
        <i x="468" s="1" nd="1"/>
        <i x="469" s="1" nd="1"/>
        <i x="470" s="1" nd="1"/>
        <i x="471" s="1" nd="1"/>
        <i x="472" s="1" nd="1"/>
        <i x="473" s="1" nd="1"/>
        <i x="474" s="1" nd="1"/>
        <i x="475" s="1" nd="1"/>
        <i x="476" s="1" nd="1"/>
        <i x="477" s="1" nd="1"/>
        <i x="478" s="1" nd="1"/>
        <i x="479" s="1" nd="1"/>
        <i x="480" s="1" nd="1"/>
        <i x="481" s="1" nd="1"/>
        <i x="482" s="1" nd="1"/>
        <i x="483" s="1" nd="1"/>
        <i x="484" s="1" nd="1"/>
        <i x="485" s="1" nd="1"/>
        <i x="486" s="1" nd="1"/>
        <i x="426" s="1" nd="1"/>
        <i x="427" s="1" nd="1"/>
        <i x="428" s="1" nd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395" s="1" nd="1"/>
        <i x="396" s="1" nd="1"/>
        <i x="397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364" s="1" nd="1"/>
        <i x="365" s="1" nd="1"/>
        <i x="366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212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1" xr10:uid="{09F5C3C2-6238-44A3-885B-CE2ACDF0CD60}" sourceName="FECHA">
  <pivotTables>
    <pivotTable tabId="14" name="TablaDinámica1"/>
  </pivotTables>
  <data>
    <tabular pivotCacheId="1515291395">
      <items count="51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/>
        <i x="487" nd="1"/>
        <i x="488" nd="1"/>
        <i x="489" nd="1"/>
        <i x="490" nd="1"/>
        <i x="491" nd="1"/>
        <i x="492" nd="1"/>
        <i x="493" nd="1"/>
        <i x="494" nd="1"/>
        <i x="495" nd="1"/>
        <i x="496" nd="1"/>
        <i x="497" nd="1"/>
        <i x="498" nd="1"/>
        <i x="499" nd="1"/>
        <i x="500" nd="1"/>
        <i x="501" nd="1"/>
        <i x="502" nd="1"/>
        <i x="503" nd="1"/>
        <i x="504" nd="1"/>
        <i x="505" nd="1"/>
        <i x="506" nd="1"/>
        <i x="507" nd="1"/>
        <i x="508" nd="1"/>
        <i x="509" nd="1"/>
        <i x="510" nd="1"/>
        <i x="511" nd="1"/>
        <i x="512" nd="1"/>
        <i x="513" nd="1"/>
        <i x="514" nd="1"/>
        <i x="515" nd="1"/>
        <i x="516" nd="1"/>
        <i x="456" nd="1"/>
        <i x="457" nd="1"/>
        <i x="458" nd="1"/>
        <i x="459" nd="1"/>
        <i x="460" nd="1"/>
        <i x="461" nd="1"/>
        <i x="462" nd="1"/>
        <i x="463" nd="1"/>
        <i x="464" nd="1"/>
        <i x="465" nd="1"/>
        <i x="466" nd="1"/>
        <i x="467" nd="1"/>
        <i x="468" nd="1"/>
        <i x="469" nd="1"/>
        <i x="470" nd="1"/>
        <i x="471" nd="1"/>
        <i x="472" nd="1"/>
        <i x="473" nd="1"/>
        <i x="474" nd="1"/>
        <i x="475" nd="1"/>
        <i x="476" nd="1"/>
        <i x="477" nd="1"/>
        <i x="478" nd="1"/>
        <i x="479" nd="1"/>
        <i x="480" nd="1"/>
        <i x="481" nd="1"/>
        <i x="482" nd="1"/>
        <i x="483" nd="1"/>
        <i x="484" nd="1"/>
        <i x="485" nd="1"/>
        <i x="486" nd="1"/>
        <i x="426" nd="1"/>
        <i x="427" nd="1"/>
        <i x="428" nd="1"/>
        <i x="429" nd="1"/>
        <i x="430" nd="1"/>
        <i x="431" nd="1"/>
        <i x="432" nd="1"/>
        <i x="433" nd="1"/>
        <i x="434" nd="1"/>
        <i x="435" nd="1"/>
        <i x="436" nd="1"/>
        <i x="437" nd="1"/>
        <i x="438" nd="1"/>
        <i x="439" nd="1"/>
        <i x="440" nd="1"/>
        <i x="441" nd="1"/>
        <i x="442" nd="1"/>
        <i x="443" nd="1"/>
        <i x="444" nd="1"/>
        <i x="445" nd="1"/>
        <i x="446" nd="1"/>
        <i x="447" nd="1"/>
        <i x="448" nd="1"/>
        <i x="449" nd="1"/>
        <i x="450" nd="1"/>
        <i x="451" nd="1"/>
        <i x="452" nd="1"/>
        <i x="453" nd="1"/>
        <i x="454" nd="1"/>
        <i x="455" nd="1"/>
        <i x="395" nd="1"/>
        <i x="396" nd="1"/>
        <i x="397" nd="1"/>
        <i x="398" nd="1"/>
        <i x="399" nd="1"/>
        <i x="400" nd="1"/>
        <i x="401" nd="1"/>
        <i x="402" nd="1"/>
        <i x="403" nd="1"/>
        <i x="404" nd="1"/>
        <i x="405" nd="1"/>
        <i x="406" nd="1"/>
        <i x="407" nd="1"/>
        <i x="408" nd="1"/>
        <i x="409" nd="1"/>
        <i x="410" nd="1"/>
        <i x="411" nd="1"/>
        <i x="412" nd="1"/>
        <i x="413" nd="1"/>
        <i x="414" nd="1"/>
        <i x="415" nd="1"/>
        <i x="416" nd="1"/>
        <i x="417" nd="1"/>
        <i x="418" nd="1"/>
        <i x="419" nd="1"/>
        <i x="420" nd="1"/>
        <i x="421" nd="1"/>
        <i x="422" nd="1"/>
        <i x="423" nd="1"/>
        <i x="424" nd="1"/>
        <i x="425" nd="1"/>
        <i x="364" nd="1"/>
        <i x="365" nd="1"/>
        <i x="366" nd="1"/>
        <i x="367" nd="1"/>
        <i x="368" nd="1"/>
        <i x="369" nd="1"/>
        <i x="370" nd="1"/>
        <i x="371" nd="1"/>
        <i x="372" nd="1"/>
        <i x="373" nd="1"/>
        <i x="374" nd="1"/>
        <i x="375" nd="1"/>
        <i x="376" nd="1"/>
        <i x="377" nd="1"/>
        <i x="378" nd="1"/>
        <i x="379" nd="1"/>
        <i x="380" nd="1"/>
        <i x="381" nd="1"/>
        <i x="382" nd="1"/>
        <i x="383" nd="1"/>
        <i x="384" nd="1"/>
        <i x="385" nd="1"/>
        <i x="386" nd="1"/>
        <i x="387" nd="1"/>
        <i x="388" nd="1"/>
        <i x="389" nd="1"/>
        <i x="390" nd="1"/>
        <i x="391" nd="1"/>
        <i x="392" nd="1"/>
        <i x="393" nd="1"/>
        <i x="394" nd="1"/>
        <i x="336" nd="1"/>
        <i x="337" nd="1"/>
        <i x="338" nd="1"/>
        <i x="339" nd="1"/>
        <i x="340" nd="1"/>
        <i x="341" nd="1"/>
        <i x="342" nd="1"/>
        <i x="343" nd="1"/>
        <i x="344" nd="1"/>
        <i x="345" nd="1"/>
        <i x="346" nd="1"/>
        <i x="347" nd="1"/>
        <i x="348" nd="1"/>
        <i x="349" nd="1"/>
        <i x="350" nd="1"/>
        <i x="351" nd="1"/>
        <i x="352" nd="1"/>
        <i x="353" nd="1"/>
        <i x="354" nd="1"/>
        <i x="355" nd="1"/>
        <i x="356" nd="1"/>
        <i x="357" nd="1"/>
        <i x="358" nd="1"/>
        <i x="359" nd="1"/>
        <i x="360" nd="1"/>
        <i x="361" nd="1"/>
        <i x="362" nd="1"/>
        <i x="363" nd="1"/>
        <i x="305" nd="1"/>
        <i x="306" nd="1"/>
        <i x="307" nd="1"/>
        <i x="308" nd="1"/>
        <i x="309" nd="1"/>
        <i x="310" nd="1"/>
        <i x="311" nd="1"/>
        <i x="312" nd="1"/>
        <i x="313" nd="1"/>
        <i x="314" nd="1"/>
        <i x="315" nd="1"/>
        <i x="316" nd="1"/>
        <i x="317" nd="1"/>
        <i x="318" nd="1"/>
        <i x="319" nd="1"/>
        <i x="320" nd="1"/>
        <i x="321" nd="1"/>
        <i x="322" nd="1"/>
        <i x="323" nd="1"/>
        <i x="324" nd="1"/>
        <i x="325" nd="1"/>
        <i x="326" nd="1"/>
        <i x="327" nd="1"/>
        <i x="328" nd="1"/>
        <i x="329" nd="1"/>
        <i x="330" nd="1"/>
        <i x="331" nd="1"/>
        <i x="332" nd="1"/>
        <i x="333" nd="1"/>
        <i x="334" nd="1"/>
        <i x="335" nd="1"/>
        <i x="275" nd="1"/>
        <i x="276" nd="1"/>
        <i x="277" nd="1"/>
        <i x="278" nd="1"/>
        <i x="279" nd="1"/>
        <i x="280" nd="1"/>
        <i x="281" nd="1"/>
        <i x="282" nd="1"/>
        <i x="283" nd="1"/>
        <i x="284" nd="1"/>
        <i x="285" nd="1"/>
        <i x="286" nd="1"/>
        <i x="287" nd="1"/>
        <i x="288" nd="1"/>
        <i x="289" nd="1"/>
        <i x="290" nd="1"/>
        <i x="291" nd="1"/>
        <i x="292" nd="1"/>
        <i x="293" nd="1"/>
        <i x="294" nd="1"/>
        <i x="295" nd="1"/>
        <i x="296" nd="1"/>
        <i x="297" nd="1"/>
        <i x="298" nd="1"/>
        <i x="299" nd="1"/>
        <i x="300" nd="1"/>
        <i x="301" nd="1"/>
        <i x="302" nd="1"/>
        <i x="303" nd="1"/>
        <i x="304" nd="1"/>
        <i x="244" nd="1"/>
        <i x="245" nd="1"/>
        <i x="246" nd="1"/>
        <i x="247" nd="1"/>
        <i x="248" nd="1"/>
        <i x="249" nd="1"/>
        <i x="250" nd="1"/>
        <i x="251" nd="1"/>
        <i x="252" nd="1"/>
        <i x="253" nd="1"/>
        <i x="254" nd="1"/>
        <i x="255" nd="1"/>
        <i x="256" nd="1"/>
        <i x="257" nd="1"/>
        <i x="258" nd="1"/>
        <i x="259" nd="1"/>
        <i x="260" nd="1"/>
        <i x="261" nd="1"/>
        <i x="262" nd="1"/>
        <i x="263" nd="1"/>
        <i x="264" nd="1"/>
        <i x="265" nd="1"/>
        <i x="266" nd="1"/>
        <i x="267" nd="1"/>
        <i x="268" nd="1"/>
        <i x="269" nd="1"/>
        <i x="270" nd="1"/>
        <i x="271" nd="1"/>
        <i x="272" nd="1"/>
        <i x="273" nd="1"/>
        <i x="274" nd="1"/>
        <i x="213" nd="1"/>
        <i x="214" nd="1"/>
        <i x="215" nd="1"/>
        <i x="216" nd="1"/>
        <i x="217" nd="1"/>
        <i x="218" nd="1"/>
        <i x="219" nd="1"/>
        <i x="220" nd="1"/>
        <i x="221" nd="1"/>
        <i x="222" nd="1"/>
        <i x="223" nd="1"/>
        <i x="224" nd="1"/>
        <i x="225" nd="1"/>
        <i x="226" nd="1"/>
        <i x="227" nd="1"/>
        <i x="228" nd="1"/>
        <i x="229" nd="1"/>
        <i x="230" nd="1"/>
        <i x="231" nd="1"/>
        <i x="232" nd="1"/>
        <i x="233" nd="1"/>
        <i x="234" nd="1"/>
        <i x="235" nd="1"/>
        <i x="236" nd="1"/>
        <i x="237" nd="1"/>
        <i x="238" nd="1"/>
        <i x="239" nd="1"/>
        <i x="240" nd="1"/>
        <i x="241" nd="1"/>
        <i x="242" nd="1"/>
        <i x="243" nd="1"/>
        <i x="212" nd="1"/>
        <i x="183" nd="1"/>
        <i x="184" nd="1"/>
        <i x="185" nd="1"/>
        <i x="186" nd="1"/>
        <i x="187" nd="1"/>
        <i x="188" nd="1"/>
        <i x="189" nd="1"/>
        <i x="190" nd="1"/>
        <i x="191" nd="1"/>
        <i x="192" nd="1"/>
        <i x="193" nd="1"/>
        <i x="194" nd="1"/>
        <i x="195" nd="1"/>
        <i x="196" nd="1"/>
        <i x="197" nd="1"/>
        <i x="198" nd="1"/>
        <i x="199" nd="1"/>
        <i x="200" nd="1"/>
        <i x="201" nd="1"/>
        <i x="202" nd="1"/>
        <i x="203" nd="1"/>
        <i x="204" nd="1"/>
        <i x="205" nd="1"/>
        <i x="206" nd="1"/>
        <i x="207" nd="1"/>
        <i x="208" nd="1"/>
        <i x="209" nd="1"/>
        <i x="210" nd="1"/>
        <i x="211" nd="1"/>
        <i x="152" nd="1"/>
        <i x="153" nd="1"/>
        <i x="154" nd="1"/>
        <i x="155" nd="1"/>
        <i x="156" nd="1"/>
        <i x="157" nd="1"/>
        <i x="158" nd="1"/>
        <i x="159" nd="1"/>
        <i x="160" nd="1"/>
        <i x="161" nd="1"/>
        <i x="162" nd="1"/>
        <i x="163" nd="1"/>
        <i x="164" nd="1"/>
        <i x="165" nd="1"/>
        <i x="166" nd="1"/>
        <i x="167" nd="1"/>
        <i x="168" nd="1"/>
        <i x="169" nd="1"/>
        <i x="170" nd="1"/>
        <i x="171" nd="1"/>
        <i x="172" nd="1"/>
        <i x="173" nd="1"/>
        <i x="174" nd="1"/>
        <i x="175" nd="1"/>
        <i x="176" nd="1"/>
        <i x="177" nd="1"/>
        <i x="178" nd="1"/>
        <i x="179" nd="1"/>
        <i x="180" nd="1"/>
        <i x="181" nd="1"/>
        <i x="182" nd="1"/>
        <i x="122" nd="1"/>
        <i x="123" nd="1"/>
        <i x="124" nd="1"/>
        <i x="125" nd="1"/>
        <i x="126" nd="1"/>
        <i x="127" nd="1"/>
        <i x="128" nd="1"/>
        <i x="129" nd="1"/>
        <i x="130" nd="1"/>
        <i x="131" nd="1"/>
        <i x="132" nd="1"/>
        <i x="133" nd="1"/>
        <i x="134" nd="1"/>
        <i x="135" nd="1"/>
        <i x="136" nd="1"/>
        <i x="137" nd="1"/>
        <i x="138" nd="1"/>
        <i x="139" nd="1"/>
        <i x="140" nd="1"/>
        <i x="141" nd="1"/>
        <i x="142" nd="1"/>
        <i x="143" nd="1"/>
        <i x="144" nd="1"/>
        <i x="145" nd="1"/>
        <i x="146" nd="1"/>
        <i x="147" nd="1"/>
        <i x="148" nd="1"/>
        <i x="149" nd="1"/>
        <i x="150" nd="1"/>
        <i x="151" nd="1"/>
        <i x="91" nd="1"/>
        <i x="92" nd="1"/>
        <i x="93" nd="1"/>
        <i x="94" nd="1"/>
        <i x="95" nd="1"/>
        <i x="96" nd="1"/>
        <i x="97" nd="1"/>
        <i x="98" nd="1"/>
        <i x="99" nd="1"/>
        <i x="100" nd="1"/>
        <i x="101" nd="1"/>
        <i x="102" nd="1"/>
        <i x="103" nd="1"/>
        <i x="104" nd="1"/>
        <i x="105" nd="1"/>
        <i x="106" nd="1"/>
        <i x="107" nd="1"/>
        <i x="108" nd="1"/>
        <i x="109" nd="1"/>
        <i x="110" nd="1"/>
        <i x="111" nd="1"/>
        <i x="112" nd="1"/>
        <i x="113" nd="1"/>
        <i x="114" nd="1"/>
        <i x="115" nd="1"/>
        <i x="116" nd="1"/>
        <i x="117" nd="1"/>
        <i x="118" nd="1"/>
        <i x="119" nd="1"/>
        <i x="120" nd="1"/>
        <i x="121" nd="1"/>
        <i x="60" nd="1"/>
        <i x="61" nd="1"/>
        <i x="62" nd="1"/>
        <i x="63" nd="1"/>
        <i x="64" nd="1"/>
        <i x="65" nd="1"/>
        <i x="66" nd="1"/>
        <i x="67" nd="1"/>
        <i x="68" nd="1"/>
        <i x="69" nd="1"/>
        <i x="70" nd="1"/>
        <i x="71" nd="1"/>
        <i x="72" nd="1"/>
        <i x="73" nd="1"/>
        <i x="74" nd="1"/>
        <i x="75" nd="1"/>
        <i x="76" nd="1"/>
        <i x="77" nd="1"/>
        <i x="78" nd="1"/>
        <i x="79" nd="1"/>
        <i x="80" nd="1"/>
        <i x="81" nd="1"/>
        <i x="82" nd="1"/>
        <i x="83" nd="1"/>
        <i x="84" nd="1"/>
        <i x="85" nd="1"/>
        <i x="86" nd="1"/>
        <i x="87" nd="1"/>
        <i x="88" nd="1"/>
        <i x="89" nd="1"/>
        <i x="90" nd="1"/>
        <i x="32" nd="1"/>
        <i x="33" nd="1"/>
        <i x="34" nd="1"/>
        <i x="35" nd="1"/>
        <i x="36" nd="1"/>
        <i x="37" nd="1"/>
        <i x="38" nd="1"/>
        <i x="39" nd="1"/>
        <i x="40" nd="1"/>
        <i x="41" nd="1"/>
        <i x="42" nd="1"/>
        <i x="43" nd="1"/>
        <i x="44" nd="1"/>
        <i x="45" nd="1"/>
        <i x="46" nd="1"/>
        <i x="47" nd="1"/>
        <i x="48" nd="1"/>
        <i x="49" nd="1"/>
        <i x="50" nd="1"/>
        <i x="51" nd="1"/>
        <i x="52" nd="1"/>
        <i x="53" nd="1"/>
        <i x="54" nd="1"/>
        <i x="55" nd="1"/>
        <i x="56" nd="1"/>
        <i x="57" nd="1"/>
        <i x="58" nd="1"/>
        <i x="59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2" xr10:uid="{D6AE0439-1708-423A-AC33-F16801B78339}" sourceName="FECHA">
  <pivotTables>
    <pivotTable tabId="14" name="TablaDinámica3"/>
    <pivotTable tabId="14" name="TablaDinámica4"/>
  </pivotTables>
  <data>
    <tabular pivotCacheId="140647070">
      <items count="45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429" s="1" nd="1"/>
        <i x="430" s="1" nd="1"/>
        <i x="431" s="1" nd="1"/>
        <i x="432" s="1" nd="1"/>
        <i x="433" s="1" nd="1"/>
        <i x="434" s="1" nd="1"/>
        <i x="435" s="1" nd="1"/>
        <i x="436" s="1" nd="1"/>
        <i x="437" s="1" nd="1"/>
        <i x="438" s="1" nd="1"/>
        <i x="439" s="1" nd="1"/>
        <i x="440" s="1" nd="1"/>
        <i x="441" s="1" nd="1"/>
        <i x="442" s="1" nd="1"/>
        <i x="443" s="1" nd="1"/>
        <i x="444" s="1" nd="1"/>
        <i x="445" s="1" nd="1"/>
        <i x="446" s="1" nd="1"/>
        <i x="447" s="1" nd="1"/>
        <i x="448" s="1" nd="1"/>
        <i x="449" s="1" nd="1"/>
        <i x="450" s="1" nd="1"/>
        <i x="451" s="1" nd="1"/>
        <i x="452" s="1" nd="1"/>
        <i x="453" s="1" nd="1"/>
        <i x="454" s="1" nd="1"/>
        <i x="455" s="1" nd="1"/>
        <i x="456" s="1" nd="1"/>
        <i x="457" s="1" nd="1"/>
        <i x="458" s="1" nd="1"/>
        <i x="398" s="1" nd="1"/>
        <i x="399" s="1" nd="1"/>
        <i x="400" s="1" nd="1"/>
        <i x="401" s="1" nd="1"/>
        <i x="402" s="1" nd="1"/>
        <i x="403" s="1" nd="1"/>
        <i x="404" s="1" nd="1"/>
        <i x="405" s="1" nd="1"/>
        <i x="406" s="1" nd="1"/>
        <i x="407" s="1" nd="1"/>
        <i x="408" s="1" nd="1"/>
        <i x="409" s="1" nd="1"/>
        <i x="410" s="1" nd="1"/>
        <i x="411" s="1" nd="1"/>
        <i x="412" s="1" nd="1"/>
        <i x="413" s="1" nd="1"/>
        <i x="414" s="1" nd="1"/>
        <i x="415" s="1" nd="1"/>
        <i x="416" s="1" nd="1"/>
        <i x="417" s="1" nd="1"/>
        <i x="418" s="1" nd="1"/>
        <i x="419" s="1" nd="1"/>
        <i x="420" s="1" nd="1"/>
        <i x="421" s="1" nd="1"/>
        <i x="422" s="1" nd="1"/>
        <i x="423" s="1" nd="1"/>
        <i x="424" s="1" nd="1"/>
        <i x="425" s="1" nd="1"/>
        <i x="426" s="1" nd="1"/>
        <i x="427" s="1" nd="1"/>
        <i x="428" s="1" nd="1"/>
        <i x="367" s="1" nd="1"/>
        <i x="368" s="1" nd="1"/>
        <i x="369" s="1" nd="1"/>
        <i x="370" s="1" nd="1"/>
        <i x="371" s="1" nd="1"/>
        <i x="372" s="1" nd="1"/>
        <i x="373" s="1" nd="1"/>
        <i x="374" s="1" nd="1"/>
        <i x="375" s="1" nd="1"/>
        <i x="376" s="1" nd="1"/>
        <i x="377" s="1" nd="1"/>
        <i x="378" s="1" nd="1"/>
        <i x="379" s="1" nd="1"/>
        <i x="380" s="1" nd="1"/>
        <i x="381" s="1" nd="1"/>
        <i x="382" s="1" nd="1"/>
        <i x="383" s="1" nd="1"/>
        <i x="384" s="1" nd="1"/>
        <i x="385" s="1" nd="1"/>
        <i x="386" s="1" nd="1"/>
        <i x="387" s="1" nd="1"/>
        <i x="388" s="1" nd="1"/>
        <i x="389" s="1" nd="1"/>
        <i x="390" s="1" nd="1"/>
        <i x="391" s="1" nd="1"/>
        <i x="392" s="1" nd="1"/>
        <i x="393" s="1" nd="1"/>
        <i x="394" s="1" nd="1"/>
        <i x="395" s="1" nd="1"/>
        <i x="396" s="1" nd="1"/>
        <i x="397" s="1" nd="1"/>
        <i x="336" s="1" nd="1"/>
        <i x="337" s="1" nd="1"/>
        <i x="338" s="1" nd="1"/>
        <i x="339" s="1" nd="1"/>
        <i x="340" s="1" nd="1"/>
        <i x="341" s="1" nd="1"/>
        <i x="342" s="1" nd="1"/>
        <i x="343" s="1" nd="1"/>
        <i x="344" s="1" nd="1"/>
        <i x="345" s="1" nd="1"/>
        <i x="346" s="1" nd="1"/>
        <i x="347" s="1" nd="1"/>
        <i x="348" s="1" nd="1"/>
        <i x="349" s="1" nd="1"/>
        <i x="350" s="1" nd="1"/>
        <i x="351" s="1" nd="1"/>
        <i x="352" s="1" nd="1"/>
        <i x="353" s="1" nd="1"/>
        <i x="354" s="1" nd="1"/>
        <i x="355" s="1" nd="1"/>
        <i x="356" s="1" nd="1"/>
        <i x="357" s="1" nd="1"/>
        <i x="358" s="1" nd="1"/>
        <i x="359" s="1" nd="1"/>
        <i x="360" s="1" nd="1"/>
        <i x="361" s="1" nd="1"/>
        <i x="362" s="1" nd="1"/>
        <i x="363" s="1" nd="1"/>
        <i x="364" s="1" nd="1"/>
        <i x="365" s="1" nd="1"/>
        <i x="366" s="1" nd="1"/>
        <i x="305" s="1" nd="1"/>
        <i x="306" s="1" nd="1"/>
        <i x="307" s="1" nd="1"/>
        <i x="308" s="1" nd="1"/>
        <i x="309" s="1" nd="1"/>
        <i x="310" s="1" nd="1"/>
        <i x="311" s="1" nd="1"/>
        <i x="312" s="1" nd="1"/>
        <i x="313" s="1" nd="1"/>
        <i x="314" s="1" nd="1"/>
        <i x="315" s="1" nd="1"/>
        <i x="316" s="1" nd="1"/>
        <i x="317" s="1" nd="1"/>
        <i x="318" s="1" nd="1"/>
        <i x="319" s="1" nd="1"/>
        <i x="320" s="1" nd="1"/>
        <i x="321" s="1" nd="1"/>
        <i x="322" s="1" nd="1"/>
        <i x="323" s="1" nd="1"/>
        <i x="324" s="1" nd="1"/>
        <i x="325" s="1" nd="1"/>
        <i x="326" s="1" nd="1"/>
        <i x="327" s="1" nd="1"/>
        <i x="328" s="1" nd="1"/>
        <i x="329" s="1" nd="1"/>
        <i x="330" s="1" nd="1"/>
        <i x="331" s="1" nd="1"/>
        <i x="332" s="1" nd="1"/>
        <i x="333" s="1" nd="1"/>
        <i x="334" s="1" nd="1"/>
        <i x="335" s="1" nd="1"/>
        <i x="275" s="1" nd="1"/>
        <i x="276" s="1" nd="1"/>
        <i x="277" s="1" nd="1"/>
        <i x="278" s="1" nd="1"/>
        <i x="279" s="1" nd="1"/>
        <i x="280" s="1" nd="1"/>
        <i x="281" s="1" nd="1"/>
        <i x="282" s="1" nd="1"/>
        <i x="283" s="1" nd="1"/>
        <i x="284" s="1" nd="1"/>
        <i x="285" s="1" nd="1"/>
        <i x="286" s="1" nd="1"/>
        <i x="287" s="1" nd="1"/>
        <i x="288" s="1" nd="1"/>
        <i x="289" s="1" nd="1"/>
        <i x="290" s="1" nd="1"/>
        <i x="291" s="1" nd="1"/>
        <i x="292" s="1" nd="1"/>
        <i x="293" s="1" nd="1"/>
        <i x="294" s="1" nd="1"/>
        <i x="295" s="1" nd="1"/>
        <i x="296" s="1" nd="1"/>
        <i x="297" s="1" nd="1"/>
        <i x="298" s="1" nd="1"/>
        <i x="299" s="1" nd="1"/>
        <i x="300" s="1" nd="1"/>
        <i x="301" s="1" nd="1"/>
        <i x="302" s="1" nd="1"/>
        <i x="303" s="1" nd="1"/>
        <i x="304" s="1" nd="1"/>
        <i x="244" s="1" nd="1"/>
        <i x="245" s="1" nd="1"/>
        <i x="246" s="1" nd="1"/>
        <i x="247" s="1" nd="1"/>
        <i x="248" s="1" nd="1"/>
        <i x="249" s="1" nd="1"/>
        <i x="250" s="1" nd="1"/>
        <i x="251" s="1" nd="1"/>
        <i x="252" s="1" nd="1"/>
        <i x="253" s="1" nd="1"/>
        <i x="254" s="1" nd="1"/>
        <i x="255" s="1" nd="1"/>
        <i x="256" s="1" nd="1"/>
        <i x="257" s="1" nd="1"/>
        <i x="258" s="1" nd="1"/>
        <i x="259" s="1" nd="1"/>
        <i x="260" s="1" nd="1"/>
        <i x="261" s="1" nd="1"/>
        <i x="262" s="1" nd="1"/>
        <i x="263" s="1" nd="1"/>
        <i x="264" s="1" nd="1"/>
        <i x="265" s="1" nd="1"/>
        <i x="266" s="1" nd="1"/>
        <i x="267" s="1" nd="1"/>
        <i x="268" s="1" nd="1"/>
        <i x="269" s="1" nd="1"/>
        <i x="270" s="1" nd="1"/>
        <i x="271" s="1" nd="1"/>
        <i x="272" s="1" nd="1"/>
        <i x="273" s="1" nd="1"/>
        <i x="274" s="1" nd="1"/>
        <i x="213" s="1" nd="1"/>
        <i x="214" s="1" nd="1"/>
        <i x="215" s="1" nd="1"/>
        <i x="216" s="1" nd="1"/>
        <i x="217" s="1" nd="1"/>
        <i x="218" s="1" nd="1"/>
        <i x="219" s="1" nd="1"/>
        <i x="220" s="1" nd="1"/>
        <i x="221" s="1" nd="1"/>
        <i x="222" s="1" nd="1"/>
        <i x="223" s="1" nd="1"/>
        <i x="224" s="1" nd="1"/>
        <i x="225" s="1" nd="1"/>
        <i x="226" s="1" nd="1"/>
        <i x="227" s="1" nd="1"/>
        <i x="228" s="1" nd="1"/>
        <i x="229" s="1" nd="1"/>
        <i x="230" s="1" nd="1"/>
        <i x="231" s="1" nd="1"/>
        <i x="232" s="1" nd="1"/>
        <i x="233" s="1" nd="1"/>
        <i x="234" s="1" nd="1"/>
        <i x="235" s="1" nd="1"/>
        <i x="236" s="1" nd="1"/>
        <i x="237" s="1" nd="1"/>
        <i x="238" s="1" nd="1"/>
        <i x="239" s="1" nd="1"/>
        <i x="240" s="1" nd="1"/>
        <i x="241" s="1" nd="1"/>
        <i x="242" s="1" nd="1"/>
        <i x="243" s="1" nd="1"/>
        <i x="183" s="1" nd="1"/>
        <i x="184" s="1" nd="1"/>
        <i x="185" s="1" nd="1"/>
        <i x="186" s="1" nd="1"/>
        <i x="187" s="1" nd="1"/>
        <i x="188" s="1" nd="1"/>
        <i x="189" s="1" nd="1"/>
        <i x="190" s="1" nd="1"/>
        <i x="191" s="1" nd="1"/>
        <i x="192" s="1" nd="1"/>
        <i x="193" s="1" nd="1"/>
        <i x="194" s="1" nd="1"/>
        <i x="195" s="1" nd="1"/>
        <i x="196" s="1" nd="1"/>
        <i x="197" s="1" nd="1"/>
        <i x="198" s="1" nd="1"/>
        <i x="199" s="1" nd="1"/>
        <i x="200" s="1" nd="1"/>
        <i x="201" s="1" nd="1"/>
        <i x="202" s="1" nd="1"/>
        <i x="203" s="1" nd="1"/>
        <i x="204" s="1" nd="1"/>
        <i x="205" s="1" nd="1"/>
        <i x="206" s="1" nd="1"/>
        <i x="207" s="1" nd="1"/>
        <i x="208" s="1" nd="1"/>
        <i x="209" s="1" nd="1"/>
        <i x="210" s="1" nd="1"/>
        <i x="211" s="1" nd="1"/>
        <i x="212" s="1" nd="1"/>
        <i x="152" s="1" nd="1"/>
        <i x="153" s="1" nd="1"/>
        <i x="154" s="1" nd="1"/>
        <i x="155" s="1" nd="1"/>
        <i x="156" s="1" nd="1"/>
        <i x="157" s="1" nd="1"/>
        <i x="158" s="1" nd="1"/>
        <i x="159" s="1" nd="1"/>
        <i x="160" s="1" nd="1"/>
        <i x="161" s="1" nd="1"/>
        <i x="162" s="1" nd="1"/>
        <i x="163" s="1" nd="1"/>
        <i x="164" s="1" nd="1"/>
        <i x="165" s="1" nd="1"/>
        <i x="166" s="1" nd="1"/>
        <i x="167" s="1" nd="1"/>
        <i x="168" s="1" nd="1"/>
        <i x="169" s="1" nd="1"/>
        <i x="170" s="1" nd="1"/>
        <i x="171" s="1" nd="1"/>
        <i x="172" s="1" nd="1"/>
        <i x="173" s="1" nd="1"/>
        <i x="174" s="1" nd="1"/>
        <i x="175" s="1" nd="1"/>
        <i x="176" s="1" nd="1"/>
        <i x="177" s="1" nd="1"/>
        <i x="178" s="1" nd="1"/>
        <i x="179" s="1" nd="1"/>
        <i x="180" s="1" nd="1"/>
        <i x="181" s="1" nd="1"/>
        <i x="182" s="1" nd="1"/>
        <i x="122" s="1" nd="1"/>
        <i x="123" s="1" nd="1"/>
        <i x="124" s="1" nd="1"/>
        <i x="125" s="1" nd="1"/>
        <i x="126" s="1" nd="1"/>
        <i x="127" s="1" nd="1"/>
        <i x="128" s="1" nd="1"/>
        <i x="129" s="1" nd="1"/>
        <i x="130" s="1" nd="1"/>
        <i x="131" s="1" nd="1"/>
        <i x="132" s="1" nd="1"/>
        <i x="133" s="1" nd="1"/>
        <i x="134" s="1" nd="1"/>
        <i x="135" s="1" nd="1"/>
        <i x="136" s="1" nd="1"/>
        <i x="137" s="1" nd="1"/>
        <i x="138" s="1" nd="1"/>
        <i x="139" s="1" nd="1"/>
        <i x="140" s="1" nd="1"/>
        <i x="141" s="1" nd="1"/>
        <i x="142" s="1" nd="1"/>
        <i x="143" s="1" nd="1"/>
        <i x="144" s="1" nd="1"/>
        <i x="145" s="1" nd="1"/>
        <i x="146" s="1" nd="1"/>
        <i x="147" s="1" nd="1"/>
        <i x="148" s="1" nd="1"/>
        <i x="149" s="1" nd="1"/>
        <i x="150" s="1" nd="1"/>
        <i x="151" s="1" nd="1"/>
        <i x="91" s="1" nd="1"/>
        <i x="92" s="1" nd="1"/>
        <i x="93" s="1" nd="1"/>
        <i x="94" s="1" nd="1"/>
        <i x="95" s="1" nd="1"/>
        <i x="96" s="1" nd="1"/>
        <i x="97" s="1" nd="1"/>
        <i x="98" s="1" nd="1"/>
        <i x="99" s="1" nd="1"/>
        <i x="100" s="1" nd="1"/>
        <i x="101" s="1" nd="1"/>
        <i x="102" s="1" nd="1"/>
        <i x="103" s="1" nd="1"/>
        <i x="104" s="1" nd="1"/>
        <i x="105" s="1" nd="1"/>
        <i x="106" s="1" nd="1"/>
        <i x="107" s="1" nd="1"/>
        <i x="108" s="1" nd="1"/>
        <i x="109" s="1" nd="1"/>
        <i x="110" s="1" nd="1"/>
        <i x="111" s="1" nd="1"/>
        <i x="112" s="1" nd="1"/>
        <i x="113" s="1" nd="1"/>
        <i x="114" s="1" nd="1"/>
        <i x="115" s="1" nd="1"/>
        <i x="116" s="1" nd="1"/>
        <i x="117" s="1" nd="1"/>
        <i x="118" s="1" nd="1"/>
        <i x="119" s="1" nd="1"/>
        <i x="120" s="1" nd="1"/>
        <i x="121" s="1" nd="1"/>
        <i x="60" s="1" nd="1"/>
        <i x="61" s="1" nd="1"/>
        <i x="62" s="1" nd="1"/>
        <i x="63" s="1" nd="1"/>
        <i x="64" s="1" nd="1"/>
        <i x="65" s="1" nd="1"/>
        <i x="66" s="1" nd="1"/>
        <i x="67" s="1" nd="1"/>
        <i x="68" s="1" nd="1"/>
        <i x="69" s="1" nd="1"/>
        <i x="70" s="1" nd="1"/>
        <i x="71" s="1" nd="1"/>
        <i x="72" s="1" nd="1"/>
        <i x="73" s="1" nd="1"/>
        <i x="74" s="1" nd="1"/>
        <i x="75" s="1" nd="1"/>
        <i x="76" s="1" nd="1"/>
        <i x="77" s="1" nd="1"/>
        <i x="78" s="1" nd="1"/>
        <i x="79" s="1" nd="1"/>
        <i x="80" s="1" nd="1"/>
        <i x="81" s="1" nd="1"/>
        <i x="82" s="1" nd="1"/>
        <i x="83" s="1" nd="1"/>
        <i x="84" s="1" nd="1"/>
        <i x="85" s="1" nd="1"/>
        <i x="86" s="1" nd="1"/>
        <i x="87" s="1" nd="1"/>
        <i x="88" s="1" nd="1"/>
        <i x="89" s="1" nd="1"/>
        <i x="90" s="1" nd="1"/>
        <i x="32" s="1" nd="1"/>
        <i x="33" s="1" nd="1"/>
        <i x="34" s="1" nd="1"/>
        <i x="35" s="1" nd="1"/>
        <i x="36" s="1" nd="1"/>
        <i x="37" s="1" nd="1"/>
        <i x="38" s="1" nd="1"/>
        <i x="39" s="1" nd="1"/>
        <i x="40" s="1" nd="1"/>
        <i x="41" s="1" nd="1"/>
        <i x="42" s="1" nd="1"/>
        <i x="43" s="1" nd="1"/>
        <i x="44" s="1" nd="1"/>
        <i x="45" s="1" nd="1"/>
        <i x="46" s="1" nd="1"/>
        <i x="47" s="1" nd="1"/>
        <i x="48" s="1" nd="1"/>
        <i x="49" s="1" nd="1"/>
        <i x="50" s="1" nd="1"/>
        <i x="51" s="1" nd="1"/>
        <i x="52" s="1" nd="1"/>
        <i x="53" s="1" nd="1"/>
        <i x="54" s="1" nd="1"/>
        <i x="55" s="1" nd="1"/>
        <i x="56" s="1" nd="1"/>
        <i x="57" s="1" nd="1"/>
        <i x="58" s="1" nd="1"/>
        <i x="5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304781B7-A5C5-4C20-AA9E-80CAE1D2177B}" cache="SegmentaciónDeDatos_FECHA" caption="FECHA" style="SlicerStyleOther1" rowHeight="241300"/>
  <slicer name="FECHA 1" xr10:uid="{C0CF515C-C34C-4638-A3ED-0E3BB739B0C2}" cache="SegmentaciónDeDatos_FECHA1" caption="FECHA" startItem="29" rowHeight="241300"/>
  <slicer name="FECHA 2" xr10:uid="{7CEFE6A9-8DD9-441D-9BF7-6AF4C8AF5212}" cache="SegmentaciónDeDatos_FECHA2" caption="FECHA" startItem="1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6ED39B-8120-48D1-B96B-A8FB2CC5DC7B}" name="Tabla1" displayName="Tabla1" ref="A1:AT96" totalsRowCount="1" headerRowDxfId="541" dataDxfId="540">
  <autoFilter ref="A1:AT95" xr:uid="{106ED39B-8120-48D1-B96B-A8FB2CC5DC7B}"/>
  <tableColumns count="46">
    <tableColumn id="1" xr3:uid="{797BBFE9-7BD9-4895-8C65-B12AC56DBD23}" name="FECHA" dataDxfId="539" totalsRowDxfId="538"/>
    <tableColumn id="47" xr3:uid="{976FC6AF-EAA8-436A-9BA8-AC53AED0CB5E}" name="DIA" dataDxfId="537" totalsRowDxfId="536">
      <calculatedColumnFormula>DAY(Tabla1[[#This Row],[FECHA]])</calculatedColumnFormula>
    </tableColumn>
    <tableColumn id="2" xr3:uid="{ED62E89D-C3D6-46F0-9E1B-185F3DF1296E}" name="ANALISIS TURNO" dataDxfId="535" totalsRowDxfId="534"/>
    <tableColumn id="3" xr3:uid="{BBA60A93-0254-41C3-A7CA-2EDB720B1050}" name="# TURNO" dataDxfId="533" totalsRowDxfId="532"/>
    <tableColumn id="46" xr3:uid="{4F31C636-F8EB-4A95-8AED-141DEE9C8A6A}" name="DILIGENCIAR BITACORA" dataDxfId="531" totalsRowDxfId="530"/>
    <tableColumn id="4" xr3:uid="{B73C29EE-3B1E-409E-B889-754B9082C27C}" name="FINAL ACIDO (L)" dataDxfId="529" totalsRowDxfId="528"/>
    <tableColumn id="5" xr3:uid="{85CF7F79-52E3-4C53-9B93-560644AE36E3}" name="FINAL COAGULANTE (L)" dataDxfId="527" totalsRowDxfId="526"/>
    <tableColumn id="6" xr3:uid="{E77621B2-41A1-4E5F-BE6F-18DDA2810184}" name="FINAL DECOLORANTE (L)" dataDxfId="525" totalsRowDxfId="524"/>
    <tableColumn id="7" xr3:uid="{01D1223B-AFC9-473C-B53A-772ED6688370}" name="FINAL POL ANIONICO (KG)" dataDxfId="523" totalsRowDxfId="522"/>
    <tableColumn id="8" xr3:uid="{F3F3A222-444F-40CA-A3E4-91ADFB7EE17C}" name="FINAL POL CATIONICO (KG)" dataDxfId="521" totalsRowDxfId="520"/>
    <tableColumn id="11" xr3:uid="{6CA64394-760F-47F1-A458-077D466340EA}" name="Lectura Horometro INICIAL (06:00)" dataDxfId="519" totalsRowDxfId="518"/>
    <tableColumn id="12" xr3:uid="{F9E9DE99-0964-4A63-8AB7-0B4C558EB128}" name="CAUDAL TOTAL TRATADO GEM " dataDxfId="517" totalsRowDxfId="516">
      <calculatedColumnFormula>+(K3-Tabla1[[#This Row],[Lectura Horometro INICIAL (06:00)]])*Tabla1[[#This Row],[CAUDAL DE TRATAMIENTO]]</calculatedColumnFormula>
    </tableColumn>
    <tableColumn id="50" xr3:uid="{836AB61D-51F9-4D81-8D56-EA763E8959D1}" name="CAUDAL DE TRATAMIENTO" dataDxfId="515" totalsRowDxfId="514"/>
    <tableColumn id="13" xr3:uid="{DC31669B-5880-4278-AAEF-DEE832958168}" name="CONSUMO LITROS ACIDO (L)" dataDxfId="513" totalsRowDxfId="512">
      <calculatedColumnFormula>F2-F3</calculatedColumnFormula>
    </tableColumn>
    <tableColumn id="14" xr3:uid="{3F519DC6-C28D-400E-9BAE-FB58AEEC8615}" name="CONSUMO LITROS COAGULANTE (L)" dataDxfId="511" totalsRowDxfId="510">
      <calculatedColumnFormula>G2-G3</calculatedColumnFormula>
    </tableColumn>
    <tableColumn id="15" xr3:uid="{0C5F056C-2132-4DCC-8DE0-5EAB91723784}" name="CONSUMO LITROS DECOLORANTE (L)" dataDxfId="509" totalsRowDxfId="508">
      <calculatedColumnFormula>H2-H3</calculatedColumnFormula>
    </tableColumn>
    <tableColumn id="16" xr3:uid="{C474DBB7-9EDF-4C8A-8999-41B9946BC586}" name="CONSUMO POL ANIONICO (KG)" dataDxfId="507" totalsRowDxfId="506">
      <calculatedColumnFormula>I2-I3</calculatedColumnFormula>
    </tableColumn>
    <tableColumn id="17" xr3:uid="{1537DA41-65B8-4D8C-9F11-D2F984E6D1B1}" name="CONSUMO POL CATIONICO (KG)" dataDxfId="505" totalsRowDxfId="504">
      <calculatedColumnFormula>J2-J3</calculatedColumnFormula>
    </tableColumn>
    <tableColumn id="18" xr3:uid="{2A63BD78-FAED-4C1C-8047-CB39F8AFDCAC}" name="KG ACIDO" dataDxfId="503" totalsRowDxfId="502">
      <calculatedColumnFormula>(N2*$AC$2)</calculatedColumnFormula>
    </tableColumn>
    <tableColumn id="19" xr3:uid="{3C33C774-6CF3-4B73-BF30-DBB9172996A9}" name="KG COAGULANTE" dataDxfId="501" totalsRowDxfId="500">
      <calculatedColumnFormula>(O2*$AD$2)</calculatedColumnFormula>
    </tableColumn>
    <tableColumn id="20" xr3:uid="{CAFA74FF-0418-441A-9326-66074AEC1610}" name="KG DECOLORANTE " dataDxfId="499" totalsRowDxfId="498">
      <calculatedColumnFormula>(P2*$AE$2)</calculatedColumnFormula>
    </tableColumn>
    <tableColumn id="21" xr3:uid="{1458EF37-76ED-43B9-8AA8-9F80763A7696}" name="KG POL ANIONICO " dataDxfId="497" totalsRowDxfId="496">
      <calculatedColumnFormula>Tabla1[[#This Row],[CONSUMO POL ANIONICO (KG)]]</calculatedColumnFormula>
    </tableColumn>
    <tableColumn id="22" xr3:uid="{300A389A-14FF-4FB7-87C0-417DAACBFC6E}" name="KG POL CATIONICO " dataDxfId="495" totalsRowDxfId="494">
      <calculatedColumnFormula>Tabla1[[#This Row],[CONSUMO POL CATIONICO (KG)]]</calculatedColumnFormula>
    </tableColumn>
    <tableColumn id="23" xr3:uid="{0E4FFC5C-D7F2-468F-A1A3-EBC3233EC511}" name="PPM ACIDO " dataDxfId="493" totalsRowDxfId="492">
      <calculatedColumnFormula>(S2*1000)/L2</calculatedColumnFormula>
    </tableColumn>
    <tableColumn id="24" xr3:uid="{3F435E9F-2B10-453D-AA8A-0FC6772EB018}" name="PPM COAGULANTE " dataDxfId="491" totalsRowDxfId="490">
      <calculatedColumnFormula>(T2*1000)/L2</calculatedColumnFormula>
    </tableColumn>
    <tableColumn id="25" xr3:uid="{9FE8A120-667D-4F19-816A-5FFF232C1EE7}" name="PPM DECOLORANTE " dataDxfId="489" totalsRowDxfId="488">
      <calculatedColumnFormula>(U2*1000)/L2</calculatedColumnFormula>
    </tableColumn>
    <tableColumn id="26" xr3:uid="{39A5A5CD-B186-47FD-AE6C-D0DA41E39382}" name="PPM POL ANIONICO " dataDxfId="487" totalsRowDxfId="486">
      <calculatedColumnFormula>(V2*1000)/L2</calculatedColumnFormula>
    </tableColumn>
    <tableColumn id="27" xr3:uid="{F8AB9DCC-1003-4C35-9BE6-9E37DF927B08}" name="PPM POL CATIONICO" dataDxfId="485" totalsRowDxfId="484">
      <calculatedColumnFormula>(W2*1000)/L2</calculatedColumnFormula>
    </tableColumn>
    <tableColumn id="28" xr3:uid="{CE609211-2FE1-46A8-AF6B-F6AAFA38AC6C}" name="DENSIDAD ACIDO" dataDxfId="483" totalsRowDxfId="482"/>
    <tableColumn id="29" xr3:uid="{26E48531-C8F5-4079-8037-57ED96A4A976}" name="DENSIDAD COAGULANTE" dataDxfId="481" totalsRowDxfId="480"/>
    <tableColumn id="30" xr3:uid="{CA42BDD6-E35F-4650-A2AD-2B882E2985C0}" name="DENSIDAD DECOLORANTE" dataDxfId="479" totalsRowDxfId="478"/>
    <tableColumn id="31" xr3:uid="{213F817F-0E9B-47EF-9F76-E320E6B3052B}" name="DENSIDAD ANIONICO" dataDxfId="477" totalsRowDxfId="476"/>
    <tableColumn id="32" xr3:uid="{4BB0F123-E730-4842-BC86-E2064FC88FFF}" name="DENSIDAD CATIONICO" dataDxfId="475" totalsRowDxfId="474"/>
    <tableColumn id="33" xr3:uid="{B2BD1E5E-CBC5-493D-B4B1-9DA910A0C1F1}" name="PRECIO (KG) ACIDO" dataDxfId="473" totalsRowDxfId="472"/>
    <tableColumn id="34" xr3:uid="{4972F7E0-8FD1-4EF3-B1FB-369777963AB1}" name="PRECIO (KG) COAGULANTE" dataDxfId="471" totalsRowDxfId="470"/>
    <tableColumn id="35" xr3:uid="{A844FAF9-9CDA-4E3B-98E2-E766500E3FE0}" name="PRECIO (KG) DECOLORANTE" dataDxfId="469" totalsRowDxfId="468"/>
    <tableColumn id="36" xr3:uid="{ECBD8F2B-41C8-484E-B81D-4DA820DAB619}" name="PRECIO (KG) ANIONICO" dataDxfId="467" totalsRowDxfId="466"/>
    <tableColumn id="37" xr3:uid="{8EACD521-2BF4-44D1-B345-3B0CA4AB45E0}" name="PRECIO (KG) CATIONICO" dataDxfId="465" totalsRowDxfId="464"/>
    <tableColumn id="38" xr3:uid="{017EFE46-D96A-42E1-8707-878704C5E501}" name="COSTO OPERATIVO ACIDO" dataDxfId="463" totalsRowDxfId="462">
      <calculatedColumnFormula>S2*AH2</calculatedColumnFormula>
    </tableColumn>
    <tableColumn id="39" xr3:uid="{99F19967-E3ED-4C22-BFB3-6A96F4CA9289}" name="COSTO OPERATIVO COAGULANTE" dataDxfId="461" totalsRowDxfId="460">
      <calculatedColumnFormula>T2*AI2</calculatedColumnFormula>
    </tableColumn>
    <tableColumn id="40" xr3:uid="{07CF8F42-BA08-4C48-A2E4-4DBB283A4E23}" name="COSTO OPERATIVO DECOLORANTE" dataDxfId="459" totalsRowDxfId="458">
      <calculatedColumnFormula>U2*AJ2</calculatedColumnFormula>
    </tableColumn>
    <tableColumn id="41" xr3:uid="{FB818BA1-8137-4F90-8B4E-4979316FAB5A}" name="COSTO OPERATIVO ANIONICO" dataDxfId="457" totalsRowDxfId="456">
      <calculatedColumnFormula>V2*AK2</calculatedColumnFormula>
    </tableColumn>
    <tableColumn id="42" xr3:uid="{C925CA67-4C0E-4B28-8CD9-B1CD4B61FBAB}" name="COSTO OPERATIVO CATIONICO" dataDxfId="455" totalsRowDxfId="454">
      <calculatedColumnFormula>W2*AL2</calculatedColumnFormula>
    </tableColumn>
    <tableColumn id="43" xr3:uid="{AD7ED194-6217-4171-9A5E-722504A09916}" name="COSTO QUIMICA " totalsRowFunction="custom" dataDxfId="453" totalsRowDxfId="452">
      <calculatedColumnFormula>SUM(Tabla1[[#This Row],[COSTO OPERATIVO ACIDO]:[COSTO OPERATIVO CATIONICO]])</calculatedColumnFormula>
      <totalsRowFormula>SUM(Tabla1[[COSTO QUIMICA ]])</totalsRowFormula>
    </tableColumn>
    <tableColumn id="45" xr3:uid="{917AA0D6-1159-42C0-BFE1-D283A0204659}" name="LIMITE INDICADOR M3" dataDxfId="451" totalsRowDxfId="450"/>
    <tableColumn id="44" xr3:uid="{F07AB979-76E5-4241-8726-8BD66150419C}" name="$ m3" dataDxfId="449" totalsRowDxfId="448">
      <calculatedColumnFormula>AR2/L2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6F41AC-77AF-4386-8D11-23242FAF90E8}" name="Tabla2" displayName="Tabla2" ref="A1:BA96" totalsRowCount="1" headerRowDxfId="595" dataDxfId="593" headerRowBorderDxfId="594" dataCellStyle="Moneda">
  <autoFilter ref="A1:BA95" xr:uid="{1B6F41AC-77AF-4386-8D11-23242FAF90E8}"/>
  <sortState xmlns:xlrd2="http://schemas.microsoft.com/office/spreadsheetml/2017/richdata2" ref="A2:BA95">
    <sortCondition ref="A1:A95"/>
  </sortState>
  <tableColumns count="53">
    <tableColumn id="1" xr3:uid="{CC590991-2A1A-4D5C-B65D-9930977908D8}" name="FECHA" dataDxfId="592" totalsRowDxfId="49"/>
    <tableColumn id="54" xr3:uid="{9A818E5C-5192-4396-A7BC-405EB3227304}" name="DIA" dataDxfId="591" totalsRowDxfId="48">
      <calculatedColumnFormula>DAY(Tabla2[[#This Row],[FECHA]])</calculatedColumnFormula>
    </tableColumn>
    <tableColumn id="2" xr3:uid="{0DF8C586-856D-4C65-B4FB-1FC5DE6691B5}" name="TURNO" dataDxfId="590"/>
    <tableColumn id="3" xr3:uid="{C72CF01B-5D8E-4114-8039-5372DB2EFC73}" name="HCL (10%)" dataDxfId="589" totalsRowDxfId="47"/>
    <tableColumn id="4" xr3:uid="{2856B276-2C23-4389-801C-3F8DE875B88F}" name="KURIVERTER IK-220 (Biocida)" dataDxfId="588" totalsRowDxfId="46"/>
    <tableColumn id="5" xr3:uid="{8EBA9A5D-A07B-43C3-898E-67582DEA4511}" name="VITEC 7000 (Antiincrustante)" dataDxfId="587" totalsRowDxfId="45"/>
    <tableColumn id="6" xr3:uid="{DA0ECB86-EF9A-4745-A19C-F1F06CA6ECCF}" name="Hidróxido de Sodio (NaOH)" dataDxfId="586"/>
    <tableColumn id="7" xr3:uid="{0326820F-4E40-47C1-8F97-879B4E50F2F6}" name="Bisulfito de sodio " dataDxfId="585"/>
    <tableColumn id="55" xr3:uid="{7DF4B77E-F956-4875-A047-7C2F1A1C2B5E}" name="TIEMPO DE OPERACIÓN (minutos)" dataDxfId="584" totalsRowDxfId="44">
      <calculatedColumnFormula>((Tabla2[[#This Row],[VOLUMEN ENVIADO A RO (m3)]]/80)/3)*60</calculatedColumnFormula>
    </tableColumn>
    <tableColumn id="8" xr3:uid="{5062A74B-BC0E-4E63-BE12-3512AD9515F1}" name="cm HCL (10%)" dataDxfId="583" totalsRowDxfId="43"/>
    <tableColumn id="9" xr3:uid="{8529AFE4-E51B-4C9D-90FF-3CA6BA16A7D7}" name="cm IK-220 (Biocida)" dataDxfId="582" totalsRowDxfId="42"/>
    <tableColumn id="10" xr3:uid="{C27E6998-1AB7-40C5-9872-F136B97B99E8}" name="cm          Vitec 7000" dataDxfId="581" totalsRowDxfId="41"/>
    <tableColumn id="11" xr3:uid="{C8B09375-E483-4508-BC53-B6655E1C7B6A}" name="cm NaOH" dataDxfId="580" totalsRowDxfId="40"/>
    <tableColumn id="12" xr3:uid="{128C444D-DA78-4568-A422-F11D52858461}" name="cm Bisulfito de sodio" dataDxfId="579" totalsRowDxfId="39"/>
    <tableColumn id="13" xr3:uid="{7FBF2940-699F-4035-A510-31AFB65D6411}" name="(INV- L) - HCL (10%)" totalsRowFunction="custom" dataDxfId="578" totalsRowDxfId="38">
      <calculatedColumnFormula>J2*(1000/114)</calculatedColumnFormula>
      <totalsRowFormula>J96*(1000/114)</totalsRowFormula>
    </tableColumn>
    <tableColumn id="14" xr3:uid="{767F6605-A3F2-492F-945E-DDC0CAB2DB84}" name="(INV -L) - KURIVERTER IK-220 (Biocida)" totalsRowFunction="custom" dataDxfId="577" totalsRowDxfId="37">
      <calculatedColumnFormula>K2*(1000/114)</calculatedColumnFormula>
      <totalsRowFormula>K96*(1000/114)</totalsRowFormula>
    </tableColumn>
    <tableColumn id="15" xr3:uid="{96362BE9-7A65-46CD-A85D-EAE9FD4E4A3E}" name="(INV -L) - VITEC 7000 (Antiincrustante)" totalsRowFunction="custom" dataDxfId="576" totalsRowDxfId="36">
      <calculatedColumnFormula>L2*(1000/114)</calculatedColumnFormula>
      <totalsRowFormula>L96*(1000/114)</totalsRowFormula>
    </tableColumn>
    <tableColumn id="16" xr3:uid="{669C88A5-5B67-4E1A-848D-B906D749A1F4}" name="(INV -L) - Hidróxido de Sodio (NaOH)" totalsRowFunction="custom" dataDxfId="575" totalsRowDxfId="35">
      <calculatedColumnFormula>M2*(1000/114)</calculatedColumnFormula>
      <totalsRowFormula>M96*(1000/114)</totalsRowFormula>
    </tableColumn>
    <tableColumn id="17" xr3:uid="{9644B846-08DF-40FB-BA21-D462B2539F82}" name="(INV -L) Bisulfito de sodio " totalsRowFunction="custom" dataDxfId="574" totalsRowDxfId="34">
      <calculatedColumnFormula>N2*(1000/114)</calculatedColumnFormula>
      <totalsRowFormula>N96*(1000/114)</totalsRowFormula>
    </tableColumn>
    <tableColumn id="18" xr3:uid="{53BA0641-3357-40F8-A768-B0970273D359}" name="CONSUMO (L) HCL (10%)2" dataDxfId="573" totalsRowDxfId="33">
      <calculatedColumnFormula>O2-O3</calculatedColumnFormula>
    </tableColumn>
    <tableColumn id="19" xr3:uid="{2741AB60-1BD3-4EB2-97E3-C0905064841C}" name="CONSUMO (L) KURIVERTER IK-220 (Biocida)" dataDxfId="50" totalsRowDxfId="32">
      <calculatedColumnFormula>P2-P3</calculatedColumnFormula>
    </tableColumn>
    <tableColumn id="20" xr3:uid="{9E39C560-B3C5-42C5-A83B-32163ABBC3C2}" name="CONSUMO (L) VITEC 7000 (Antiincrustante)" dataDxfId="51" totalsRowDxfId="31">
      <calculatedColumnFormula>Q2-Q3</calculatedColumnFormula>
    </tableColumn>
    <tableColumn id="21" xr3:uid="{F636A971-349F-44EC-AA4A-D65B46EA4509}" name="CONSUMO (L) Hidróxido de Sodio (NaOH)" dataDxfId="572" totalsRowDxfId="30">
      <calculatedColumnFormula>R2-R3</calculatedColumnFormula>
    </tableColumn>
    <tableColumn id="22" xr3:uid="{7781554F-7B54-4EA7-9016-7A7B8EB508E9}" name="CONSUMO (L) Bisulfito de sodio" dataDxfId="571" totalsRowDxfId="29">
      <calculatedColumnFormula>S2-S3</calculatedColumnFormula>
    </tableColumn>
    <tableColumn id="23" xr3:uid="{F13E2BB3-287E-4571-8E69-9289518AA148}" name="DENSIDAD HCL (10%)" dataDxfId="570" totalsRowDxfId="28"/>
    <tableColumn id="24" xr3:uid="{48AD8845-7C14-4043-8230-B0183351ED07}" name="DENSIDAD KURIVERTER IK-220 (Biocida)" dataDxfId="569" totalsRowDxfId="27"/>
    <tableColumn id="25" xr3:uid="{CF20E6D5-D7BC-4306-8839-F79454AD170E}" name="DENSIDAD VITEC 7000 (Antiincrustante)" dataDxfId="568" totalsRowDxfId="26"/>
    <tableColumn id="26" xr3:uid="{98855FE0-4207-41E8-ADD5-911DF75A035E}" name="DENSIDAD Hidróxido de Sodio (NaOH)" dataDxfId="567" totalsRowDxfId="25"/>
    <tableColumn id="27" xr3:uid="{46CA938B-A3A3-4599-9D37-141EFFA96426}" name="DENSIDAD Bisulfito de sodio " dataDxfId="566" totalsRowDxfId="24"/>
    <tableColumn id="28" xr3:uid="{BB957096-4718-4076-8B2F-A9CEE034434C}" name="CONSUMO (Kg) HCL (10%)22" dataDxfId="565" totalsRowDxfId="23">
      <calculatedColumnFormula>T2*Y2</calculatedColumnFormula>
    </tableColumn>
    <tableColumn id="29" xr3:uid="{52C49479-4664-4FBE-98D2-F00B1BF76CEF}" name="CONSUMO (Kg) KURIVERTER IK-220 (Biocida)" dataDxfId="564" totalsRowDxfId="22">
      <calculatedColumnFormula>U2*Z2</calculatedColumnFormula>
    </tableColumn>
    <tableColumn id="30" xr3:uid="{6B19FE49-AB7C-43BE-9391-EA71817E3452}" name="CONSUMO (Kg) VITEC 7000 (Antiincrustante)" dataDxfId="563" totalsRowDxfId="21">
      <calculatedColumnFormula>V2*AA2</calculatedColumnFormula>
    </tableColumn>
    <tableColumn id="31" xr3:uid="{734CA6A9-E5CE-4779-AA1F-8FA5FC6C53BA}" name="CONSUMO (Kg) Hidróxido de Sodio (NaOH)" dataDxfId="562" totalsRowDxfId="20">
      <calculatedColumnFormula>W2*AB2</calculatedColumnFormula>
    </tableColumn>
    <tableColumn id="32" xr3:uid="{5D0EA3E3-830A-4420-B486-CA1E94B17A6C}" name="CONSUMO (Kg) Bisulfito de sodio6" dataDxfId="561" totalsRowDxfId="19">
      <calculatedColumnFormula>X2*AC2</calculatedColumnFormula>
    </tableColumn>
    <tableColumn id="33" xr3:uid="{E83D2B0F-D3A9-4DD1-9B93-643DDFF1148A}" name="VOLUMEN ENVIADO A RO (m3)" dataDxfId="560" totalsRowDxfId="18">
      <calculatedColumnFormula>#REF!-#REF!</calculatedColumnFormula>
    </tableColumn>
    <tableColumn id="36" xr3:uid="{05276D4B-845D-40F6-BAA9-617D98D8BD04}" name="PPM HCL (10%)" dataDxfId="559" totalsRowDxfId="17">
      <calculatedColumnFormula>(AD2*1000)/$AI2</calculatedColumnFormula>
    </tableColumn>
    <tableColumn id="37" xr3:uid="{75B2E292-4009-4477-A946-4D4298E6F844}" name="PPM  KURIVERTER IK-220 (Biocida)" dataDxfId="558" totalsRowDxfId="16">
      <calculatedColumnFormula>(AE2*1000)/$AI2</calculatedColumnFormula>
    </tableColumn>
    <tableColumn id="38" xr3:uid="{06E157F8-1F10-4C7E-9FC5-774A2972ADFD}" name="PPM  VITEC 7000 (Antiincrustante)" dataDxfId="557" totalsRowDxfId="15">
      <calculatedColumnFormula>(AF2*1000)/$AI2</calculatedColumnFormula>
    </tableColumn>
    <tableColumn id="39" xr3:uid="{8685D8D8-27CE-4650-9824-906C8595A541}" name="PPM  Hidróxido de Sodio (NaOH)" dataDxfId="556" totalsRowDxfId="14">
      <calculatedColumnFormula>(AG2*1000)/$AI2</calculatedColumnFormula>
    </tableColumn>
    <tableColumn id="40" xr3:uid="{D50B03E8-53AC-44DD-9B94-4A31095A3539}" name="PPM Bisulfito de sodio " dataDxfId="555" totalsRowDxfId="13">
      <calculatedColumnFormula>(AH2*1000)/$AI2</calculatedColumnFormula>
    </tableColumn>
    <tableColumn id="41" xr3:uid="{8ACA5EC2-DCCB-42D8-B7AA-9AD08580F95E}" name="PRECIO HCL (10%)" dataDxfId="554" totalsRowDxfId="12" dataCellStyle="Moneda">
      <calculatedColumnFormula>AO1</calculatedColumnFormula>
    </tableColumn>
    <tableColumn id="42" xr3:uid="{8FEBCB0C-D97F-473C-9CBB-5F23546078B2}" name="PRECIO KURIVERTER IK-220 (Biocida)" dataDxfId="553" totalsRowDxfId="11" dataCellStyle="Moneda">
      <calculatedColumnFormula>AP1</calculatedColumnFormula>
    </tableColumn>
    <tableColumn id="43" xr3:uid="{6EF000A7-EA79-49BA-9BF9-404574772CBB}" name="PRECIO VITEC 7000 (Antiincrustante)" dataDxfId="552" totalsRowDxfId="10" dataCellStyle="Moneda">
      <calculatedColumnFormula>AQ1</calculatedColumnFormula>
    </tableColumn>
    <tableColumn id="44" xr3:uid="{03B26517-4C1F-4C23-822C-014E2EA3E60C}" name="PRECIO Hidróxido de Sodio (NaOH)" dataDxfId="551" totalsRowDxfId="9" dataCellStyle="Moneda">
      <calculatedColumnFormula>AR1</calculatedColumnFormula>
    </tableColumn>
    <tableColumn id="45" xr3:uid="{2769F69A-BB42-49A8-82F3-638C6F0A80CA}" name="PRECIO Bisulfito de sodio " dataDxfId="550" totalsRowDxfId="8" dataCellStyle="Moneda">
      <calculatedColumnFormula>AS1</calculatedColumnFormula>
    </tableColumn>
    <tableColumn id="46" xr3:uid="{BAAEDBD9-EF26-4E02-81A9-B1D36D645F1E}" name="COSTO OPERATIVO HCL (10%)" dataDxfId="549" totalsRowDxfId="7" dataCellStyle="Moneda">
      <calculatedColumnFormula>AO2*(AD2*0.8)</calculatedColumnFormula>
    </tableColumn>
    <tableColumn id="47" xr3:uid="{B5977102-7103-4418-A127-AF580B742AE8}" name="COSTO OPERATIVO KURIVERTER IK-220 (Biocida)" dataDxfId="548" totalsRowDxfId="6" dataCellStyle="Moneda">
      <calculatedColumnFormula>AP2*(AE2*0.012)</calculatedColumnFormula>
    </tableColumn>
    <tableColumn id="48" xr3:uid="{9536BE99-8364-49D7-84C0-3FC4CBA7F3A7}" name="COSTO OPERATIVO VITEC 7000 (Antiincrustante)" dataDxfId="547" totalsRowDxfId="5" dataCellStyle="Moneda">
      <calculatedColumnFormula>AQ2*(AF2*0.044)</calculatedColumnFormula>
    </tableColumn>
    <tableColumn id="49" xr3:uid="{7386E060-0060-4586-B378-BFC4068453CB}" name="COSTO OPERATIVO Hidróxido de Sodio (NaOH)" dataDxfId="546" totalsRowDxfId="4" dataCellStyle="Moneda">
      <calculatedColumnFormula>AR2*AG2</calculatedColumnFormula>
    </tableColumn>
    <tableColumn id="50" xr3:uid="{8A7A5227-ECD0-4C68-977D-4B6AE2E15060}" name="COSTO OPERATIVO Bisulfito de sodio " dataDxfId="545" totalsRowDxfId="3" dataCellStyle="Moneda">
      <calculatedColumnFormula>AS2*(AH2*0.025)</calculatedColumnFormula>
    </tableColumn>
    <tableColumn id="51" xr3:uid="{EB2B1E33-86A6-442A-A8E9-3128FF18FE4D}" name="COSTO QUIMICA " totalsRowFunction="custom" dataDxfId="544" totalsRowDxfId="2" dataCellStyle="Moneda">
      <calculatedColumnFormula>AT2+AU2+AV2+AW2+AX2</calculatedColumnFormula>
      <totalsRowFormula>SUM(AY2:AY94)</totalsRowFormula>
    </tableColumn>
    <tableColumn id="52" xr3:uid="{3F7A5D66-3F1B-4B04-9E57-A68AEC7AB87A}" name="LIMITE INDICADOR M3" dataDxfId="543" totalsRowDxfId="1" dataCellStyle="Moneda"/>
    <tableColumn id="53" xr3:uid="{8E9239AA-01A3-456B-98A2-5FD0E2DF97E7}" name="$m3 ENVIADO A RO (m3)" dataDxfId="542" totalsRowDxfId="0" dataCellStyle="Moneda">
      <calculatedColumnFormula>AY2/AI2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EE5C7DE3-FA37-4B1A-A8D2-FF232E6C14FC}" id="{9764B4BE-0BF7-4407-A4AD-DF903FF26D4D}">
    <text>Se alimento a reactores y se requirió bajar ph</text>
  </threadedComment>
  <threadedComment ref="Z9" dT="2024-10-04T17:25:31.29" personId="{EE5C7DE3-FA37-4B1A-A8D2-FF232E6C14FC}" id="{CED1552D-68A5-48E4-98C9-1E8AD082FA7C}">
    <text>Por alimentacion a reactores, ara reducir color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pivotTable" Target="../pivotTables/pivotTable1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B944-74FA-420F-B8F8-E5C0DD48C324}">
  <sheetPr>
    <tabColor rgb="FFFFFF00"/>
  </sheetPr>
  <dimension ref="A1:AT106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R82" sqref="R82"/>
    </sheetView>
  </sheetViews>
  <sheetFormatPr baseColWidth="10" defaultRowHeight="14.3" x14ac:dyDescent="0.25"/>
  <cols>
    <col min="2" max="2" width="11.375" customWidth="1"/>
    <col min="3" max="3" width="12.25" customWidth="1"/>
    <col min="4" max="4" width="12.25" style="70" customWidth="1"/>
    <col min="5" max="5" width="17.125" style="70" customWidth="1"/>
    <col min="6" max="10" width="16.375" style="413" customWidth="1"/>
    <col min="11" max="11" width="19.375" style="69" customWidth="1"/>
    <col min="12" max="13" width="17.375" style="1" customWidth="1"/>
    <col min="14" max="17" width="19.375" customWidth="1"/>
    <col min="18" max="18" width="16.375" customWidth="1"/>
    <col min="19" max="21" width="14.125" customWidth="1"/>
    <col min="22" max="22" width="11.25" customWidth="1"/>
    <col min="23" max="23" width="13" customWidth="1"/>
    <col min="24" max="27" width="14.125" customWidth="1"/>
    <col min="28" max="28" width="15.375" customWidth="1"/>
    <col min="29" max="29" width="21" style="71" hidden="1" customWidth="1"/>
    <col min="30" max="30" width="17.875" style="71" hidden="1" customWidth="1"/>
    <col min="31" max="31" width="18.625" style="71" hidden="1" customWidth="1"/>
    <col min="32" max="32" width="14.875" style="71" hidden="1" customWidth="1"/>
    <col min="33" max="33" width="15.625" style="71" hidden="1" customWidth="1"/>
    <col min="34" max="34" width="22.75" style="71" hidden="1" customWidth="1"/>
    <col min="35" max="35" width="17.875" style="71" hidden="1" customWidth="1"/>
    <col min="36" max="36" width="18.625" style="71" hidden="1" customWidth="1"/>
    <col min="37" max="38" width="16.375" style="71" hidden="1" customWidth="1"/>
    <col min="39" max="44" width="19.375" customWidth="1"/>
    <col min="45" max="46" width="14.625" style="73" customWidth="1"/>
  </cols>
  <sheetData>
    <row r="1" spans="1:46" s="89" customFormat="1" ht="51.65" customHeight="1" thickBot="1" x14ac:dyDescent="0.3">
      <c r="A1" s="75" t="s">
        <v>27</v>
      </c>
      <c r="B1" s="75" t="s">
        <v>79</v>
      </c>
      <c r="C1" s="92" t="s">
        <v>166</v>
      </c>
      <c r="D1" s="76" t="s">
        <v>124</v>
      </c>
      <c r="E1" s="92" t="s">
        <v>167</v>
      </c>
      <c r="F1" s="419" t="s">
        <v>204</v>
      </c>
      <c r="G1" s="420" t="s">
        <v>205</v>
      </c>
      <c r="H1" s="421" t="s">
        <v>206</v>
      </c>
      <c r="I1" s="420" t="s">
        <v>207</v>
      </c>
      <c r="J1" s="420" t="s">
        <v>208</v>
      </c>
      <c r="K1" s="477" t="s">
        <v>168</v>
      </c>
      <c r="L1" s="426" t="s">
        <v>15</v>
      </c>
      <c r="M1" s="476" t="s">
        <v>240</v>
      </c>
      <c r="N1" s="409" t="s">
        <v>41</v>
      </c>
      <c r="O1" s="410" t="s">
        <v>42</v>
      </c>
      <c r="P1" s="410" t="s">
        <v>43</v>
      </c>
      <c r="Q1" s="410" t="s">
        <v>44</v>
      </c>
      <c r="R1" s="410" t="s">
        <v>45</v>
      </c>
      <c r="S1" s="77" t="s">
        <v>53</v>
      </c>
      <c r="T1" s="78" t="s">
        <v>57</v>
      </c>
      <c r="U1" s="78" t="s">
        <v>54</v>
      </c>
      <c r="V1" s="78" t="s">
        <v>55</v>
      </c>
      <c r="W1" s="406" t="s">
        <v>56</v>
      </c>
      <c r="X1" s="79" t="s">
        <v>51</v>
      </c>
      <c r="Y1" s="80" t="s">
        <v>52</v>
      </c>
      <c r="Z1" s="80" t="s">
        <v>58</v>
      </c>
      <c r="AA1" s="80" t="s">
        <v>59</v>
      </c>
      <c r="AB1" s="81" t="s">
        <v>60</v>
      </c>
      <c r="AC1" s="82" t="s">
        <v>50</v>
      </c>
      <c r="AD1" s="83" t="s">
        <v>46</v>
      </c>
      <c r="AE1" s="83" t="s">
        <v>47</v>
      </c>
      <c r="AF1" s="83" t="s">
        <v>48</v>
      </c>
      <c r="AG1" s="83" t="s">
        <v>49</v>
      </c>
      <c r="AH1" s="82" t="s">
        <v>61</v>
      </c>
      <c r="AI1" s="83" t="s">
        <v>62</v>
      </c>
      <c r="AJ1" s="83" t="s">
        <v>63</v>
      </c>
      <c r="AK1" s="83" t="s">
        <v>64</v>
      </c>
      <c r="AL1" s="83" t="s">
        <v>65</v>
      </c>
      <c r="AM1" s="84" t="s">
        <v>66</v>
      </c>
      <c r="AN1" s="85" t="s">
        <v>67</v>
      </c>
      <c r="AO1" s="85" t="s">
        <v>68</v>
      </c>
      <c r="AP1" s="85" t="s">
        <v>69</v>
      </c>
      <c r="AQ1" s="86" t="s">
        <v>70</v>
      </c>
      <c r="AR1" s="87" t="s">
        <v>73</v>
      </c>
      <c r="AS1" s="88" t="s">
        <v>74</v>
      </c>
      <c r="AT1" s="88" t="s">
        <v>71</v>
      </c>
    </row>
    <row r="2" spans="1:46" ht="14.95" thickBot="1" x14ac:dyDescent="0.3">
      <c r="A2" s="213">
        <v>46082</v>
      </c>
      <c r="B2" s="157">
        <f>DAY(Tabla1[[#This Row],[FECHA]])</f>
        <v>1</v>
      </c>
      <c r="C2" s="448" t="s">
        <v>28</v>
      </c>
      <c r="D2" s="449">
        <v>1</v>
      </c>
      <c r="E2" s="449" t="s">
        <v>75</v>
      </c>
      <c r="F2" s="450">
        <v>480</v>
      </c>
      <c r="G2" s="451">
        <v>1700</v>
      </c>
      <c r="H2" s="451">
        <v>2090</v>
      </c>
      <c r="I2" s="451">
        <v>125</v>
      </c>
      <c r="J2" s="451">
        <v>175</v>
      </c>
      <c r="K2" s="480">
        <v>17228</v>
      </c>
      <c r="L2" s="481">
        <f>+(K3-Tabla1[[#This Row],[Lectura Horometro INICIAL (06:00)]])*Tabla1[[#This Row],[CAUDAL DE TRATAMIENTO]]</f>
        <v>0</v>
      </c>
      <c r="M2" s="482">
        <v>80</v>
      </c>
      <c r="N2" s="442">
        <f t="shared" ref="N2:Q9" si="0">F2-F3</f>
        <v>0</v>
      </c>
      <c r="O2" s="497">
        <f t="shared" si="0"/>
        <v>0</v>
      </c>
      <c r="P2" s="442">
        <f t="shared" si="0"/>
        <v>0</v>
      </c>
      <c r="Q2" s="442">
        <f t="shared" si="0"/>
        <v>0</v>
      </c>
      <c r="R2" s="443">
        <v>0</v>
      </c>
      <c r="S2" s="452">
        <f>(N2*$AC$2)</f>
        <v>0</v>
      </c>
      <c r="T2" s="453">
        <f>(O2*$AD$2)</f>
        <v>0</v>
      </c>
      <c r="U2" s="453">
        <f>(P2*$AE$2)</f>
        <v>0</v>
      </c>
      <c r="V2" s="453">
        <f>Tabla1[[#This Row],[CONSUMO POL ANIONICO (KG)]]</f>
        <v>0</v>
      </c>
      <c r="W2" s="443">
        <f>Tabla1[[#This Row],[CONSUMO POL CATIONICO (KG)]]</f>
        <v>0</v>
      </c>
      <c r="X2" s="452" t="e">
        <f>(S2*1000)/L2</f>
        <v>#DIV/0!</v>
      </c>
      <c r="Y2" s="453" t="e">
        <f>(T2*1000)/L2</f>
        <v>#DIV/0!</v>
      </c>
      <c r="Z2" s="453" t="e">
        <f>(U2*1000)/L2</f>
        <v>#DIV/0!</v>
      </c>
      <c r="AA2" s="453" t="e">
        <f>(V2*1000)/L2</f>
        <v>#DIV/0!</v>
      </c>
      <c r="AB2" s="443" t="e">
        <f>(W2*1000)/L2</f>
        <v>#DIV/0!</v>
      </c>
      <c r="AC2" s="454">
        <v>1.3</v>
      </c>
      <c r="AD2" s="454">
        <v>1.325</v>
      </c>
      <c r="AE2" s="454">
        <v>1.25</v>
      </c>
      <c r="AF2" s="455">
        <v>2500</v>
      </c>
      <c r="AG2" s="456">
        <v>2500</v>
      </c>
      <c r="AH2" s="158">
        <v>830</v>
      </c>
      <c r="AI2" s="158">
        <v>2818</v>
      </c>
      <c r="AJ2" s="158">
        <v>6295</v>
      </c>
      <c r="AK2" s="158">
        <v>19050</v>
      </c>
      <c r="AL2" s="158">
        <v>22050</v>
      </c>
      <c r="AM2" s="457">
        <f t="shared" ref="AM2:AQ4" si="1">S2*AH2</f>
        <v>0</v>
      </c>
      <c r="AN2" s="458">
        <f t="shared" si="1"/>
        <v>0</v>
      </c>
      <c r="AO2" s="458">
        <f t="shared" si="1"/>
        <v>0</v>
      </c>
      <c r="AP2" s="458">
        <f t="shared" si="1"/>
        <v>0</v>
      </c>
      <c r="AQ2" s="459">
        <f t="shared" si="1"/>
        <v>0</v>
      </c>
      <c r="AR2" s="457">
        <f>SUM(Tabla1[[#This Row],[COSTO OPERATIVO ACIDO]:[COSTO OPERATIVO CATIONICO]])</f>
        <v>0</v>
      </c>
      <c r="AS2" s="458">
        <v>3599</v>
      </c>
      <c r="AT2" s="460" t="e">
        <f>AR2/L2</f>
        <v>#DIV/0!</v>
      </c>
    </row>
    <row r="3" spans="1:46" ht="14.95" thickBot="1" x14ac:dyDescent="0.3">
      <c r="A3" s="461">
        <f>A2</f>
        <v>46082</v>
      </c>
      <c r="B3" s="157">
        <f>DAY(Tabla1[[#This Row],[FECHA]])</f>
        <v>1</v>
      </c>
      <c r="C3" s="462" t="s">
        <v>29</v>
      </c>
      <c r="D3" s="463">
        <v>2</v>
      </c>
      <c r="E3" s="463" t="s">
        <v>77</v>
      </c>
      <c r="F3" s="464">
        <v>480</v>
      </c>
      <c r="G3" s="465">
        <v>1700</v>
      </c>
      <c r="H3" s="465">
        <v>2090</v>
      </c>
      <c r="I3" s="465">
        <v>125</v>
      </c>
      <c r="J3" s="465">
        <v>175</v>
      </c>
      <c r="K3" s="483">
        <v>17228</v>
      </c>
      <c r="L3" s="478">
        <f>+(K4-Tabla1[[#This Row],[Lectura Horometro INICIAL (06:00)]])*Tabla1[[#This Row],[CAUDAL DE TRATAMIENTO]]</f>
        <v>0</v>
      </c>
      <c r="M3" s="479">
        <v>80</v>
      </c>
      <c r="N3" s="444">
        <f t="shared" si="0"/>
        <v>0</v>
      </c>
      <c r="O3" s="498">
        <f t="shared" si="0"/>
        <v>0</v>
      </c>
      <c r="P3" s="444">
        <f t="shared" si="0"/>
        <v>0</v>
      </c>
      <c r="Q3" s="444">
        <f t="shared" si="0"/>
        <v>0</v>
      </c>
      <c r="R3" s="445">
        <v>0</v>
      </c>
      <c r="S3" s="452">
        <f>(N3*$AC$2)</f>
        <v>0</v>
      </c>
      <c r="T3" s="453">
        <f>(O3*$AD$2)</f>
        <v>0</v>
      </c>
      <c r="U3" s="453">
        <f>(P3*$AE$2)</f>
        <v>0</v>
      </c>
      <c r="V3" s="466">
        <f>Tabla1[[#This Row],[CONSUMO POL ANIONICO (KG)]]</f>
        <v>0</v>
      </c>
      <c r="W3" s="445">
        <f>Tabla1[[#This Row],[CONSUMO POL CATIONICO (KG)]]</f>
        <v>0</v>
      </c>
      <c r="X3" s="467" t="e">
        <f>(S3*1000)/L3</f>
        <v>#DIV/0!</v>
      </c>
      <c r="Y3" s="466" t="e">
        <f>(T3*1000)/L3</f>
        <v>#DIV/0!</v>
      </c>
      <c r="Z3" s="466" t="e">
        <f>(U3*1000)/L3</f>
        <v>#DIV/0!</v>
      </c>
      <c r="AA3" s="466" t="e">
        <f>(V3*1000)/L3</f>
        <v>#DIV/0!</v>
      </c>
      <c r="AB3" s="445" t="e">
        <f>(W3*1000)/L3</f>
        <v>#DIV/0!</v>
      </c>
      <c r="AC3" s="454">
        <v>1.3</v>
      </c>
      <c r="AD3" s="454">
        <v>1.325</v>
      </c>
      <c r="AE3" s="454">
        <v>1.25</v>
      </c>
      <c r="AF3" s="455">
        <v>2500</v>
      </c>
      <c r="AG3" s="456">
        <v>2500</v>
      </c>
      <c r="AH3" s="158">
        <v>830</v>
      </c>
      <c r="AI3" s="158">
        <v>2818</v>
      </c>
      <c r="AJ3" s="158">
        <v>6295</v>
      </c>
      <c r="AK3" s="158">
        <v>19050</v>
      </c>
      <c r="AL3" s="158">
        <v>22050</v>
      </c>
      <c r="AM3" s="468">
        <f t="shared" si="1"/>
        <v>0</v>
      </c>
      <c r="AN3" s="460">
        <f t="shared" si="1"/>
        <v>0</v>
      </c>
      <c r="AO3" s="460">
        <f t="shared" si="1"/>
        <v>0</v>
      </c>
      <c r="AP3" s="460">
        <f t="shared" si="1"/>
        <v>0</v>
      </c>
      <c r="AQ3" s="469">
        <f t="shared" si="1"/>
        <v>0</v>
      </c>
      <c r="AR3" s="468">
        <f>SUM(Tabla1[[#This Row],[COSTO OPERATIVO ACIDO]:[COSTO OPERATIVO CATIONICO]])</f>
        <v>0</v>
      </c>
      <c r="AS3" s="458">
        <v>3599</v>
      </c>
      <c r="AT3" s="460" t="e">
        <f>AR3/L3</f>
        <v>#DIV/0!</v>
      </c>
    </row>
    <row r="4" spans="1:46" ht="14.95" thickBot="1" x14ac:dyDescent="0.3">
      <c r="A4" s="470">
        <f>A3</f>
        <v>46082</v>
      </c>
      <c r="B4" s="157">
        <f>DAY(Tabla1[[#This Row],[FECHA]])</f>
        <v>1</v>
      </c>
      <c r="C4" s="471" t="s">
        <v>30</v>
      </c>
      <c r="D4" s="472">
        <v>3</v>
      </c>
      <c r="E4" s="472" t="s">
        <v>76</v>
      </c>
      <c r="F4" s="464">
        <v>480</v>
      </c>
      <c r="G4" s="465">
        <v>1700</v>
      </c>
      <c r="H4" s="465">
        <v>2090</v>
      </c>
      <c r="I4" s="465">
        <v>125</v>
      </c>
      <c r="J4" s="465">
        <v>175</v>
      </c>
      <c r="K4" s="484">
        <v>17228</v>
      </c>
      <c r="L4" s="485">
        <f>+(K5-Tabla1[[#This Row],[Lectura Horometro INICIAL (06:00)]])*Tabla1[[#This Row],[CAUDAL DE TRATAMIENTO]]</f>
        <v>240</v>
      </c>
      <c r="M4" s="486">
        <v>80</v>
      </c>
      <c r="N4" s="446">
        <f t="shared" si="0"/>
        <v>0</v>
      </c>
      <c r="O4" s="499">
        <f>G4-G5</f>
        <v>0</v>
      </c>
      <c r="P4" s="446">
        <f t="shared" si="0"/>
        <v>0</v>
      </c>
      <c r="Q4" s="446">
        <f t="shared" si="0"/>
        <v>0</v>
      </c>
      <c r="R4" s="447">
        <v>0</v>
      </c>
      <c r="S4" s="452">
        <f>(N4*$AC$2)</f>
        <v>0</v>
      </c>
      <c r="T4" s="453">
        <f>(O4*$AD$2)</f>
        <v>0</v>
      </c>
      <c r="U4" s="453">
        <f>(P4*$AE$2)</f>
        <v>0</v>
      </c>
      <c r="V4" s="473">
        <f>Tabla1[[#This Row],[CONSUMO POL ANIONICO (KG)]]</f>
        <v>0</v>
      </c>
      <c r="W4" s="447">
        <f>Tabla1[[#This Row],[CONSUMO POL CATIONICO (KG)]]</f>
        <v>0</v>
      </c>
      <c r="X4" s="467">
        <f>(S4*1000)/L4</f>
        <v>0</v>
      </c>
      <c r="Y4" s="473">
        <f>(T4*1000)/L4</f>
        <v>0</v>
      </c>
      <c r="Z4" s="473">
        <f>(U4*1000)/L4</f>
        <v>0</v>
      </c>
      <c r="AA4" s="473">
        <f>(V4*1000)/L4</f>
        <v>0</v>
      </c>
      <c r="AB4" s="447">
        <f>(W4*1000)/L4</f>
        <v>0</v>
      </c>
      <c r="AC4" s="454">
        <v>1.3</v>
      </c>
      <c r="AD4" s="454">
        <v>1.325</v>
      </c>
      <c r="AE4" s="454">
        <v>1.25</v>
      </c>
      <c r="AF4" s="455">
        <v>2500</v>
      </c>
      <c r="AG4" s="456">
        <v>2500</v>
      </c>
      <c r="AH4" s="158">
        <v>830</v>
      </c>
      <c r="AI4" s="158">
        <v>2818</v>
      </c>
      <c r="AJ4" s="158">
        <v>6295</v>
      </c>
      <c r="AK4" s="158">
        <v>19050</v>
      </c>
      <c r="AL4" s="158">
        <v>22050</v>
      </c>
      <c r="AM4" s="468">
        <f t="shared" si="1"/>
        <v>0</v>
      </c>
      <c r="AN4" s="474">
        <f t="shared" si="1"/>
        <v>0</v>
      </c>
      <c r="AO4" s="474">
        <f t="shared" si="1"/>
        <v>0</v>
      </c>
      <c r="AP4" s="474">
        <f t="shared" si="1"/>
        <v>0</v>
      </c>
      <c r="AQ4" s="475">
        <f t="shared" si="1"/>
        <v>0</v>
      </c>
      <c r="AR4" s="468">
        <f>SUM(Tabla1[[#This Row],[COSTO OPERATIVO ACIDO]:[COSTO OPERATIVO CATIONICO]])</f>
        <v>0</v>
      </c>
      <c r="AS4" s="458">
        <v>3599</v>
      </c>
      <c r="AT4" s="460">
        <f>AR4/L4</f>
        <v>0</v>
      </c>
    </row>
    <row r="5" spans="1:46" ht="14.95" thickBot="1" x14ac:dyDescent="0.3">
      <c r="A5" s="213">
        <v>46083</v>
      </c>
      <c r="B5" s="157">
        <f>DAY(Tabla1[[#This Row],[FECHA]])</f>
        <v>2</v>
      </c>
      <c r="C5" s="448" t="s">
        <v>241</v>
      </c>
      <c r="D5" s="449">
        <v>4</v>
      </c>
      <c r="E5" s="449" t="s">
        <v>75</v>
      </c>
      <c r="F5" s="450">
        <v>480</v>
      </c>
      <c r="G5" s="451">
        <v>1700</v>
      </c>
      <c r="H5" s="451">
        <v>2090</v>
      </c>
      <c r="I5" s="451">
        <v>125</v>
      </c>
      <c r="J5" s="451">
        <v>165</v>
      </c>
      <c r="K5" s="480">
        <v>17231</v>
      </c>
      <c r="L5" s="481">
        <f>+(K6-Tabla1[[#This Row],[Lectura Horometro INICIAL (06:00)]])*Tabla1[[#This Row],[CAUDAL DE TRATAMIENTO]]</f>
        <v>480</v>
      </c>
      <c r="M5" s="482">
        <v>80</v>
      </c>
      <c r="N5" s="442">
        <f t="shared" si="0"/>
        <v>480</v>
      </c>
      <c r="O5" s="497">
        <f>G5-G6+2000</f>
        <v>50</v>
      </c>
      <c r="P5" s="442">
        <f t="shared" si="0"/>
        <v>290</v>
      </c>
      <c r="Q5" s="442">
        <f t="shared" si="0"/>
        <v>5</v>
      </c>
      <c r="R5" s="443">
        <f>J5-J6</f>
        <v>5</v>
      </c>
      <c r="S5" s="452">
        <f t="shared" ref="S5:S68" si="2">(N5*$AC$2)</f>
        <v>624</v>
      </c>
      <c r="T5" s="453">
        <f t="shared" ref="T5:T68" si="3">(O5*$AD$2)</f>
        <v>66.25</v>
      </c>
      <c r="U5" s="453">
        <f t="shared" ref="U5:U68" si="4">(P5*$AE$2)</f>
        <v>362.5</v>
      </c>
      <c r="V5" s="453">
        <f>Tabla1[[#This Row],[CONSUMO POL ANIONICO (KG)]]</f>
        <v>5</v>
      </c>
      <c r="W5" s="443">
        <f>Tabla1[[#This Row],[CONSUMO POL CATIONICO (KG)]]</f>
        <v>5</v>
      </c>
      <c r="X5" s="452">
        <f t="shared" ref="X5:X68" si="5">(S5*1000)/L5</f>
        <v>1300</v>
      </c>
      <c r="Y5" s="453">
        <f t="shared" ref="Y5:Y68" si="6">(T5*1000)/L5</f>
        <v>138.02083333333334</v>
      </c>
      <c r="Z5" s="453">
        <f t="shared" ref="Z5:Z68" si="7">(U5*1000)/L5</f>
        <v>755.20833333333337</v>
      </c>
      <c r="AA5" s="453">
        <f t="shared" ref="AA5:AA68" si="8">(V5*1000)/L5</f>
        <v>10.416666666666666</v>
      </c>
      <c r="AB5" s="443">
        <f t="shared" ref="AB5:AB68" si="9">(W5*1000)/L5</f>
        <v>10.416666666666666</v>
      </c>
      <c r="AC5" s="454">
        <v>1.3</v>
      </c>
      <c r="AD5" s="454">
        <v>1.325</v>
      </c>
      <c r="AE5" s="454">
        <v>1.25</v>
      </c>
      <c r="AF5" s="455">
        <v>2500</v>
      </c>
      <c r="AG5" s="456">
        <v>2500</v>
      </c>
      <c r="AH5" s="158">
        <v>830</v>
      </c>
      <c r="AI5" s="158">
        <v>2818</v>
      </c>
      <c r="AJ5" s="158">
        <v>6295</v>
      </c>
      <c r="AK5" s="158">
        <v>19050</v>
      </c>
      <c r="AL5" s="158">
        <v>22050</v>
      </c>
      <c r="AM5" s="457">
        <f t="shared" ref="AM5:AM68" si="10">S5*AH5</f>
        <v>517920</v>
      </c>
      <c r="AN5" s="458">
        <f t="shared" ref="AN5:AN68" si="11">T5*AI5</f>
        <v>186692.5</v>
      </c>
      <c r="AO5" s="458">
        <f t="shared" ref="AO5:AO68" si="12">U5*AJ5</f>
        <v>2281937.5</v>
      </c>
      <c r="AP5" s="458">
        <f t="shared" ref="AP5:AP68" si="13">V5*AK5</f>
        <v>95250</v>
      </c>
      <c r="AQ5" s="459">
        <f t="shared" ref="AQ5:AQ68" si="14">W5*AL5</f>
        <v>110250</v>
      </c>
      <c r="AR5" s="457">
        <f>SUM(Tabla1[[#This Row],[COSTO OPERATIVO ACIDO]:[COSTO OPERATIVO CATIONICO]])</f>
        <v>3192050</v>
      </c>
      <c r="AS5" s="458">
        <v>3599</v>
      </c>
      <c r="AT5" s="460">
        <f t="shared" ref="AT5:AT68" si="15">AR5/L5</f>
        <v>6650.104166666667</v>
      </c>
    </row>
    <row r="6" spans="1:46" ht="14.95" thickBot="1" x14ac:dyDescent="0.3">
      <c r="A6" s="461">
        <f>A5</f>
        <v>46083</v>
      </c>
      <c r="B6" s="157">
        <f>DAY(Tabla1[[#This Row],[FECHA]])</f>
        <v>2</v>
      </c>
      <c r="C6" s="462" t="s">
        <v>242</v>
      </c>
      <c r="D6" s="463">
        <v>5</v>
      </c>
      <c r="E6" s="463" t="s">
        <v>77</v>
      </c>
      <c r="F6" s="464">
        <v>0</v>
      </c>
      <c r="G6" s="465">
        <v>3650</v>
      </c>
      <c r="H6" s="465">
        <v>1800</v>
      </c>
      <c r="I6" s="465">
        <v>120</v>
      </c>
      <c r="J6" s="465">
        <v>160</v>
      </c>
      <c r="K6" s="483">
        <v>17237</v>
      </c>
      <c r="L6" s="478">
        <f>+(K7-Tabla1[[#This Row],[Lectura Horometro INICIAL (06:00)]])*Tabla1[[#This Row],[CAUDAL DE TRATAMIENTO]]</f>
        <v>560</v>
      </c>
      <c r="M6" s="479">
        <v>80</v>
      </c>
      <c r="N6" s="444">
        <f t="shared" si="0"/>
        <v>0</v>
      </c>
      <c r="O6" s="498">
        <f t="shared" si="0"/>
        <v>210</v>
      </c>
      <c r="P6" s="444">
        <f t="shared" si="0"/>
        <v>90</v>
      </c>
      <c r="Q6" s="444">
        <f t="shared" si="0"/>
        <v>5</v>
      </c>
      <c r="R6" s="445">
        <f>J6-J7</f>
        <v>5</v>
      </c>
      <c r="S6" s="452">
        <f t="shared" si="2"/>
        <v>0</v>
      </c>
      <c r="T6" s="453">
        <f t="shared" si="3"/>
        <v>278.25</v>
      </c>
      <c r="U6" s="453">
        <f t="shared" si="4"/>
        <v>112.5</v>
      </c>
      <c r="V6" s="466">
        <f>Tabla1[[#This Row],[CONSUMO POL ANIONICO (KG)]]</f>
        <v>5</v>
      </c>
      <c r="W6" s="445">
        <f>Tabla1[[#This Row],[CONSUMO POL CATIONICO (KG)]]</f>
        <v>5</v>
      </c>
      <c r="X6" s="467">
        <f t="shared" si="5"/>
        <v>0</v>
      </c>
      <c r="Y6" s="466">
        <f t="shared" si="6"/>
        <v>496.875</v>
      </c>
      <c r="Z6" s="466">
        <f t="shared" si="7"/>
        <v>200.89285714285714</v>
      </c>
      <c r="AA6" s="466">
        <f t="shared" si="8"/>
        <v>8.9285714285714288</v>
      </c>
      <c r="AB6" s="445">
        <f t="shared" si="9"/>
        <v>8.9285714285714288</v>
      </c>
      <c r="AC6" s="454">
        <v>1.3</v>
      </c>
      <c r="AD6" s="454">
        <v>1.325</v>
      </c>
      <c r="AE6" s="454">
        <v>1.25</v>
      </c>
      <c r="AF6" s="455">
        <v>2500</v>
      </c>
      <c r="AG6" s="456">
        <v>2500</v>
      </c>
      <c r="AH6" s="158">
        <v>830</v>
      </c>
      <c r="AI6" s="158">
        <v>2818</v>
      </c>
      <c r="AJ6" s="158">
        <v>6295</v>
      </c>
      <c r="AK6" s="158">
        <v>19050</v>
      </c>
      <c r="AL6" s="158">
        <v>22050</v>
      </c>
      <c r="AM6" s="468">
        <f t="shared" si="10"/>
        <v>0</v>
      </c>
      <c r="AN6" s="460">
        <f t="shared" si="11"/>
        <v>784108.5</v>
      </c>
      <c r="AO6" s="460">
        <f t="shared" si="12"/>
        <v>708187.5</v>
      </c>
      <c r="AP6" s="460">
        <f t="shared" si="13"/>
        <v>95250</v>
      </c>
      <c r="AQ6" s="469">
        <f t="shared" si="14"/>
        <v>110250</v>
      </c>
      <c r="AR6" s="468">
        <f>SUM(Tabla1[[#This Row],[COSTO OPERATIVO ACIDO]:[COSTO OPERATIVO CATIONICO]])</f>
        <v>1697796</v>
      </c>
      <c r="AS6" s="458">
        <v>3599</v>
      </c>
      <c r="AT6" s="460">
        <f t="shared" si="15"/>
        <v>3031.7785714285715</v>
      </c>
    </row>
    <row r="7" spans="1:46" ht="14.95" thickBot="1" x14ac:dyDescent="0.3">
      <c r="A7" s="470">
        <f>A6</f>
        <v>46083</v>
      </c>
      <c r="B7" s="157">
        <f>DAY(Tabla1[[#This Row],[FECHA]])</f>
        <v>2</v>
      </c>
      <c r="C7" s="471" t="s">
        <v>30</v>
      </c>
      <c r="D7" s="472">
        <v>6</v>
      </c>
      <c r="E7" s="472" t="s">
        <v>76</v>
      </c>
      <c r="F7" s="464">
        <v>0</v>
      </c>
      <c r="G7" s="465">
        <v>3440</v>
      </c>
      <c r="H7" s="465">
        <v>1710</v>
      </c>
      <c r="I7" s="465">
        <v>115</v>
      </c>
      <c r="J7" s="465">
        <v>155</v>
      </c>
      <c r="K7" s="484">
        <v>17244</v>
      </c>
      <c r="L7" s="485">
        <f>+(K8-Tabla1[[#This Row],[Lectura Horometro INICIAL (06:00)]])*Tabla1[[#This Row],[CAUDAL DE TRATAMIENTO]]</f>
        <v>560</v>
      </c>
      <c r="M7" s="486">
        <v>80</v>
      </c>
      <c r="N7" s="446">
        <f t="shared" si="0"/>
        <v>0</v>
      </c>
      <c r="O7" s="499">
        <f t="shared" si="0"/>
        <v>190</v>
      </c>
      <c r="P7" s="446">
        <f t="shared" si="0"/>
        <v>60</v>
      </c>
      <c r="Q7" s="446">
        <f t="shared" si="0"/>
        <v>0</v>
      </c>
      <c r="R7" s="447">
        <f>J7-J8</f>
        <v>5</v>
      </c>
      <c r="S7" s="452">
        <f t="shared" si="2"/>
        <v>0</v>
      </c>
      <c r="T7" s="453">
        <f t="shared" si="3"/>
        <v>251.75</v>
      </c>
      <c r="U7" s="453">
        <f t="shared" si="4"/>
        <v>75</v>
      </c>
      <c r="V7" s="473">
        <f>Tabla1[[#This Row],[CONSUMO POL ANIONICO (KG)]]</f>
        <v>0</v>
      </c>
      <c r="W7" s="447">
        <f>Tabla1[[#This Row],[CONSUMO POL CATIONICO (KG)]]</f>
        <v>5</v>
      </c>
      <c r="X7" s="467">
        <f t="shared" si="5"/>
        <v>0</v>
      </c>
      <c r="Y7" s="473">
        <f t="shared" si="6"/>
        <v>449.55357142857144</v>
      </c>
      <c r="Z7" s="473">
        <f t="shared" si="7"/>
        <v>133.92857142857142</v>
      </c>
      <c r="AA7" s="473">
        <f t="shared" si="8"/>
        <v>0</v>
      </c>
      <c r="AB7" s="447">
        <f t="shared" si="9"/>
        <v>8.9285714285714288</v>
      </c>
      <c r="AC7" s="454">
        <v>1.3</v>
      </c>
      <c r="AD7" s="454">
        <v>1.325</v>
      </c>
      <c r="AE7" s="454">
        <v>1.25</v>
      </c>
      <c r="AF7" s="455">
        <v>2500</v>
      </c>
      <c r="AG7" s="456">
        <v>2500</v>
      </c>
      <c r="AH7" s="158">
        <v>830</v>
      </c>
      <c r="AI7" s="158">
        <v>2818</v>
      </c>
      <c r="AJ7" s="158">
        <v>6295</v>
      </c>
      <c r="AK7" s="158">
        <v>19050</v>
      </c>
      <c r="AL7" s="158">
        <v>22050</v>
      </c>
      <c r="AM7" s="468">
        <f t="shared" si="10"/>
        <v>0</v>
      </c>
      <c r="AN7" s="474">
        <f t="shared" si="11"/>
        <v>709431.5</v>
      </c>
      <c r="AO7" s="474">
        <f t="shared" si="12"/>
        <v>472125</v>
      </c>
      <c r="AP7" s="474">
        <f t="shared" si="13"/>
        <v>0</v>
      </c>
      <c r="AQ7" s="475">
        <f t="shared" si="14"/>
        <v>110250</v>
      </c>
      <c r="AR7" s="468">
        <f>SUM(Tabla1[[#This Row],[COSTO OPERATIVO ACIDO]:[COSTO OPERATIVO CATIONICO]])</f>
        <v>1291806.5</v>
      </c>
      <c r="AS7" s="458">
        <v>3599</v>
      </c>
      <c r="AT7" s="460">
        <f>AR7/L7</f>
        <v>2306.7973214285716</v>
      </c>
    </row>
    <row r="8" spans="1:46" ht="14.95" thickBot="1" x14ac:dyDescent="0.3">
      <c r="A8" s="213">
        <v>46084</v>
      </c>
      <c r="B8" s="157">
        <f>DAY(Tabla1[[#This Row],[FECHA]])</f>
        <v>3</v>
      </c>
      <c r="C8" s="448" t="s">
        <v>243</v>
      </c>
      <c r="D8" s="449">
        <v>7</v>
      </c>
      <c r="E8" s="449" t="s">
        <v>75</v>
      </c>
      <c r="F8" s="450">
        <v>0</v>
      </c>
      <c r="G8" s="451">
        <v>3250</v>
      </c>
      <c r="H8" s="451">
        <v>1650</v>
      </c>
      <c r="I8" s="451">
        <v>115</v>
      </c>
      <c r="J8" s="451">
        <v>150</v>
      </c>
      <c r="K8" s="480">
        <v>17251</v>
      </c>
      <c r="L8" s="481">
        <f>+(K9-Tabla1[[#This Row],[Lectura Horometro INICIAL (06:00)]])*Tabla1[[#This Row],[CAUDAL DE TRATAMIENTO]]</f>
        <v>400</v>
      </c>
      <c r="M8" s="482">
        <v>80</v>
      </c>
      <c r="N8" s="442">
        <f t="shared" si="0"/>
        <v>0</v>
      </c>
      <c r="O8" s="514">
        <f>G8-G9-150</f>
        <v>100</v>
      </c>
      <c r="P8" s="442">
        <f t="shared" si="0"/>
        <v>40</v>
      </c>
      <c r="Q8" s="442">
        <f t="shared" si="0"/>
        <v>5</v>
      </c>
      <c r="R8" s="443">
        <f>J8-J9</f>
        <v>5</v>
      </c>
      <c r="S8" s="452">
        <f t="shared" si="2"/>
        <v>0</v>
      </c>
      <c r="T8" s="453">
        <f t="shared" si="3"/>
        <v>132.5</v>
      </c>
      <c r="U8" s="453">
        <f t="shared" si="4"/>
        <v>50</v>
      </c>
      <c r="V8" s="453">
        <f>Tabla1[[#This Row],[CONSUMO POL ANIONICO (KG)]]</f>
        <v>5</v>
      </c>
      <c r="W8" s="443">
        <f>Tabla1[[#This Row],[CONSUMO POL CATIONICO (KG)]]</f>
        <v>5</v>
      </c>
      <c r="X8" s="452">
        <f t="shared" si="5"/>
        <v>0</v>
      </c>
      <c r="Y8" s="453">
        <f t="shared" si="6"/>
        <v>331.25</v>
      </c>
      <c r="Z8" s="453">
        <f t="shared" si="7"/>
        <v>125</v>
      </c>
      <c r="AA8" s="453">
        <f t="shared" si="8"/>
        <v>12.5</v>
      </c>
      <c r="AB8" s="443">
        <f t="shared" si="9"/>
        <v>12.5</v>
      </c>
      <c r="AC8" s="454">
        <v>1.3</v>
      </c>
      <c r="AD8" s="454">
        <v>1.325</v>
      </c>
      <c r="AE8" s="454">
        <v>1.25</v>
      </c>
      <c r="AF8" s="455">
        <v>2500</v>
      </c>
      <c r="AG8" s="456">
        <v>2500</v>
      </c>
      <c r="AH8" s="158">
        <v>830</v>
      </c>
      <c r="AI8" s="158">
        <v>2818</v>
      </c>
      <c r="AJ8" s="158">
        <v>6295</v>
      </c>
      <c r="AK8" s="158">
        <v>19050</v>
      </c>
      <c r="AL8" s="158">
        <v>22050</v>
      </c>
      <c r="AM8" s="457">
        <f t="shared" si="10"/>
        <v>0</v>
      </c>
      <c r="AN8" s="458">
        <f t="shared" si="11"/>
        <v>373385</v>
      </c>
      <c r="AO8" s="458">
        <f t="shared" si="12"/>
        <v>314750</v>
      </c>
      <c r="AP8" s="458">
        <f t="shared" si="13"/>
        <v>95250</v>
      </c>
      <c r="AQ8" s="459">
        <f t="shared" si="14"/>
        <v>110250</v>
      </c>
      <c r="AR8" s="457">
        <f>SUM(Tabla1[[#This Row],[COSTO OPERATIVO ACIDO]:[COSTO OPERATIVO CATIONICO]])</f>
        <v>893635</v>
      </c>
      <c r="AS8" s="458">
        <v>3599</v>
      </c>
      <c r="AT8" s="460">
        <f t="shared" si="15"/>
        <v>2234.0875000000001</v>
      </c>
    </row>
    <row r="9" spans="1:46" ht="14.95" thickBot="1" x14ac:dyDescent="0.3">
      <c r="A9" s="461">
        <f>A8</f>
        <v>46084</v>
      </c>
      <c r="B9" s="157">
        <f>DAY(Tabla1[[#This Row],[FECHA]])</f>
        <v>3</v>
      </c>
      <c r="C9" s="462" t="s">
        <v>244</v>
      </c>
      <c r="D9" s="463">
        <v>8</v>
      </c>
      <c r="E9" s="463" t="s">
        <v>77</v>
      </c>
      <c r="F9" s="464">
        <v>0</v>
      </c>
      <c r="G9" s="465">
        <v>3000</v>
      </c>
      <c r="H9" s="465">
        <v>1610</v>
      </c>
      <c r="I9" s="465">
        <v>110</v>
      </c>
      <c r="J9" s="465">
        <v>145</v>
      </c>
      <c r="K9" s="483">
        <v>17256</v>
      </c>
      <c r="L9" s="478">
        <f>+(K10-Tabla1[[#This Row],[Lectura Horometro INICIAL (06:00)]])*Tabla1[[#This Row],[CAUDAL DE TRATAMIENTO]]</f>
        <v>400</v>
      </c>
      <c r="M9" s="479">
        <v>80</v>
      </c>
      <c r="N9" s="444">
        <f>F9-F10</f>
        <v>0</v>
      </c>
      <c r="O9" s="498">
        <f>G9-G10</f>
        <v>150</v>
      </c>
      <c r="P9" s="444">
        <f>H9-H10</f>
        <v>60</v>
      </c>
      <c r="Q9" s="444">
        <f t="shared" si="0"/>
        <v>0</v>
      </c>
      <c r="R9" s="445">
        <f>J9-J10</f>
        <v>5</v>
      </c>
      <c r="S9" s="452">
        <f t="shared" si="2"/>
        <v>0</v>
      </c>
      <c r="T9" s="453">
        <f t="shared" si="3"/>
        <v>198.75</v>
      </c>
      <c r="U9" s="453">
        <f>(P9*$AE$2)</f>
        <v>75</v>
      </c>
      <c r="V9" s="466">
        <f>Tabla1[[#This Row],[CONSUMO POL ANIONICO (KG)]]</f>
        <v>0</v>
      </c>
      <c r="W9" s="445">
        <f>Tabla1[[#This Row],[CONSUMO POL CATIONICO (KG)]]</f>
        <v>5</v>
      </c>
      <c r="X9" s="467">
        <f t="shared" si="5"/>
        <v>0</v>
      </c>
      <c r="Y9" s="466">
        <f t="shared" si="6"/>
        <v>496.875</v>
      </c>
      <c r="Z9" s="466">
        <f>(U9*1000)/L9</f>
        <v>187.5</v>
      </c>
      <c r="AA9" s="466">
        <f t="shared" si="8"/>
        <v>0</v>
      </c>
      <c r="AB9" s="445">
        <f t="shared" si="9"/>
        <v>12.5</v>
      </c>
      <c r="AC9" s="454">
        <v>1.3</v>
      </c>
      <c r="AD9" s="454">
        <v>1.325</v>
      </c>
      <c r="AE9" s="454">
        <v>1.25</v>
      </c>
      <c r="AF9" s="455">
        <v>2500</v>
      </c>
      <c r="AG9" s="456">
        <v>2500</v>
      </c>
      <c r="AH9" s="158">
        <v>830</v>
      </c>
      <c r="AI9" s="158">
        <v>2818</v>
      </c>
      <c r="AJ9" s="158">
        <v>6295</v>
      </c>
      <c r="AK9" s="158">
        <v>19050</v>
      </c>
      <c r="AL9" s="158">
        <v>22050</v>
      </c>
      <c r="AM9" s="468">
        <f t="shared" si="10"/>
        <v>0</v>
      </c>
      <c r="AN9" s="460">
        <f t="shared" si="11"/>
        <v>560077.5</v>
      </c>
      <c r="AO9" s="460">
        <f t="shared" si="12"/>
        <v>472125</v>
      </c>
      <c r="AP9" s="460">
        <f t="shared" si="13"/>
        <v>0</v>
      </c>
      <c r="AQ9" s="469">
        <f t="shared" si="14"/>
        <v>110250</v>
      </c>
      <c r="AR9" s="468">
        <f>SUM(Tabla1[[#This Row],[COSTO OPERATIVO ACIDO]:[COSTO OPERATIVO CATIONICO]])</f>
        <v>1142452.5</v>
      </c>
      <c r="AS9" s="458">
        <v>3599</v>
      </c>
      <c r="AT9" s="460">
        <f t="shared" si="15"/>
        <v>2856.1312499999999</v>
      </c>
    </row>
    <row r="10" spans="1:46" ht="14.95" thickBot="1" x14ac:dyDescent="0.3">
      <c r="A10" s="470">
        <f>A9</f>
        <v>46084</v>
      </c>
      <c r="B10" s="157">
        <f>DAY(Tabla1[[#This Row],[FECHA]])</f>
        <v>3</v>
      </c>
      <c r="C10" s="471" t="s">
        <v>30</v>
      </c>
      <c r="D10" s="472">
        <v>9</v>
      </c>
      <c r="E10" s="472" t="s">
        <v>76</v>
      </c>
      <c r="F10" s="464">
        <v>0</v>
      </c>
      <c r="G10" s="465">
        <v>2850</v>
      </c>
      <c r="H10" s="465">
        <v>1550</v>
      </c>
      <c r="I10" s="465">
        <v>110</v>
      </c>
      <c r="J10" s="465">
        <v>140</v>
      </c>
      <c r="K10" s="484">
        <v>17261</v>
      </c>
      <c r="L10" s="485">
        <f>+(K11-Tabla1[[#This Row],[Lectura Horometro INICIAL (06:00)]])*Tabla1[[#This Row],[CAUDAL DE TRATAMIENTO]]</f>
        <v>640</v>
      </c>
      <c r="M10" s="486">
        <v>80</v>
      </c>
      <c r="N10" s="511">
        <f>F10-F11+2000</f>
        <v>0</v>
      </c>
      <c r="O10" s="512">
        <f>G10-G11+2000</f>
        <v>100</v>
      </c>
      <c r="P10" s="511">
        <f>H10-H11+1000</f>
        <v>50</v>
      </c>
      <c r="Q10" s="446">
        <v>0</v>
      </c>
      <c r="R10" s="447">
        <v>0</v>
      </c>
      <c r="S10" s="452">
        <f t="shared" si="2"/>
        <v>0</v>
      </c>
      <c r="T10" s="453">
        <f t="shared" si="3"/>
        <v>132.5</v>
      </c>
      <c r="U10" s="453">
        <f t="shared" si="4"/>
        <v>62.5</v>
      </c>
      <c r="V10" s="473">
        <f>Tabla1[[#This Row],[CONSUMO POL ANIONICO (KG)]]</f>
        <v>0</v>
      </c>
      <c r="W10" s="447">
        <f>Tabla1[[#This Row],[CONSUMO POL CATIONICO (KG)]]</f>
        <v>0</v>
      </c>
      <c r="X10" s="467">
        <f t="shared" si="5"/>
        <v>0</v>
      </c>
      <c r="Y10" s="473">
        <f t="shared" si="6"/>
        <v>207.03125</v>
      </c>
      <c r="Z10" s="473">
        <f t="shared" si="7"/>
        <v>97.65625</v>
      </c>
      <c r="AA10" s="473">
        <f t="shared" si="8"/>
        <v>0</v>
      </c>
      <c r="AB10" s="447">
        <f t="shared" si="9"/>
        <v>0</v>
      </c>
      <c r="AC10" s="454">
        <v>1.3</v>
      </c>
      <c r="AD10" s="454">
        <v>1.325</v>
      </c>
      <c r="AE10" s="454">
        <v>1.25</v>
      </c>
      <c r="AF10" s="455">
        <v>2500</v>
      </c>
      <c r="AG10" s="456">
        <v>2500</v>
      </c>
      <c r="AH10" s="158">
        <v>830</v>
      </c>
      <c r="AI10" s="158">
        <v>2818</v>
      </c>
      <c r="AJ10" s="158">
        <v>6295</v>
      </c>
      <c r="AK10" s="158">
        <v>19050</v>
      </c>
      <c r="AL10" s="158">
        <v>22050</v>
      </c>
      <c r="AM10" s="468">
        <f t="shared" si="10"/>
        <v>0</v>
      </c>
      <c r="AN10" s="474">
        <f t="shared" si="11"/>
        <v>373385</v>
      </c>
      <c r="AO10" s="474">
        <f t="shared" si="12"/>
        <v>393437.5</v>
      </c>
      <c r="AP10" s="474">
        <f t="shared" si="13"/>
        <v>0</v>
      </c>
      <c r="AQ10" s="475">
        <f t="shared" si="14"/>
        <v>0</v>
      </c>
      <c r="AR10" s="468">
        <f>SUM(Tabla1[[#This Row],[COSTO OPERATIVO ACIDO]:[COSTO OPERATIVO CATIONICO]])</f>
        <v>766822.5</v>
      </c>
      <c r="AS10" s="458">
        <v>3599</v>
      </c>
      <c r="AT10" s="460">
        <f t="shared" si="15"/>
        <v>1198.16015625</v>
      </c>
    </row>
    <row r="11" spans="1:46" ht="14.95" thickBot="1" x14ac:dyDescent="0.3">
      <c r="A11" s="213">
        <v>46085</v>
      </c>
      <c r="B11" s="157">
        <f>DAY(Tabla1[[#This Row],[FECHA]])</f>
        <v>4</v>
      </c>
      <c r="C11" s="448" t="s">
        <v>245</v>
      </c>
      <c r="D11" s="449">
        <v>10</v>
      </c>
      <c r="E11" s="449" t="s">
        <v>75</v>
      </c>
      <c r="F11" s="450">
        <v>2000</v>
      </c>
      <c r="G11" s="451">
        <v>4750</v>
      </c>
      <c r="H11" s="451">
        <v>2500</v>
      </c>
      <c r="I11" s="451">
        <v>105</v>
      </c>
      <c r="J11" s="451">
        <v>135</v>
      </c>
      <c r="K11" s="480">
        <v>17269</v>
      </c>
      <c r="L11" s="481">
        <f>+(K12-Tabla1[[#This Row],[Lectura Horometro INICIAL (06:00)]])*Tabla1[[#This Row],[CAUDAL DE TRATAMIENTO]]</f>
        <v>400</v>
      </c>
      <c r="M11" s="482">
        <v>80</v>
      </c>
      <c r="N11" s="442">
        <f t="shared" ref="N11:N41" si="16">F11-F12</f>
        <v>130</v>
      </c>
      <c r="O11" s="514">
        <f>G11-G12-150</f>
        <v>120</v>
      </c>
      <c r="P11" s="442">
        <f>H11-H12</f>
        <v>70</v>
      </c>
      <c r="Q11" s="442">
        <v>0</v>
      </c>
      <c r="R11" s="443">
        <v>0</v>
      </c>
      <c r="S11" s="452">
        <f t="shared" si="2"/>
        <v>169</v>
      </c>
      <c r="T11" s="453">
        <f t="shared" si="3"/>
        <v>159</v>
      </c>
      <c r="U11" s="453">
        <f t="shared" si="4"/>
        <v>87.5</v>
      </c>
      <c r="V11" s="453">
        <f>Tabla1[[#This Row],[CONSUMO POL ANIONICO (KG)]]</f>
        <v>0</v>
      </c>
      <c r="W11" s="443">
        <f>Tabla1[[#This Row],[CONSUMO POL CATIONICO (KG)]]</f>
        <v>0</v>
      </c>
      <c r="X11" s="452">
        <f t="shared" si="5"/>
        <v>422.5</v>
      </c>
      <c r="Y11" s="453">
        <f t="shared" si="6"/>
        <v>397.5</v>
      </c>
      <c r="Z11" s="453">
        <f t="shared" si="7"/>
        <v>218.75</v>
      </c>
      <c r="AA11" s="453">
        <f t="shared" si="8"/>
        <v>0</v>
      </c>
      <c r="AB11" s="443">
        <f t="shared" si="9"/>
        <v>0</v>
      </c>
      <c r="AC11" s="454">
        <v>1.3</v>
      </c>
      <c r="AD11" s="454">
        <v>1.325</v>
      </c>
      <c r="AE11" s="454">
        <v>1.25</v>
      </c>
      <c r="AF11" s="455">
        <v>2500</v>
      </c>
      <c r="AG11" s="456">
        <v>2500</v>
      </c>
      <c r="AH11" s="158">
        <v>830</v>
      </c>
      <c r="AI11" s="158">
        <v>2818</v>
      </c>
      <c r="AJ11" s="158">
        <v>6295</v>
      </c>
      <c r="AK11" s="158">
        <v>19050</v>
      </c>
      <c r="AL11" s="158">
        <v>22050</v>
      </c>
      <c r="AM11" s="457">
        <f t="shared" si="10"/>
        <v>140270</v>
      </c>
      <c r="AN11" s="458">
        <f t="shared" si="11"/>
        <v>448062</v>
      </c>
      <c r="AO11" s="458">
        <f t="shared" si="12"/>
        <v>550812.5</v>
      </c>
      <c r="AP11" s="458">
        <f t="shared" si="13"/>
        <v>0</v>
      </c>
      <c r="AQ11" s="459">
        <f t="shared" si="14"/>
        <v>0</v>
      </c>
      <c r="AR11" s="457">
        <f>SUM(Tabla1[[#This Row],[COSTO OPERATIVO ACIDO]:[COSTO OPERATIVO CATIONICO]])</f>
        <v>1139144.5</v>
      </c>
      <c r="AS11" s="458">
        <v>3599</v>
      </c>
      <c r="AT11" s="460">
        <f t="shared" si="15"/>
        <v>2847.8612499999999</v>
      </c>
    </row>
    <row r="12" spans="1:46" ht="14.95" thickBot="1" x14ac:dyDescent="0.3">
      <c r="A12" s="461">
        <f>A11</f>
        <v>46085</v>
      </c>
      <c r="B12" s="157">
        <f>DAY(Tabla1[[#This Row],[FECHA]])</f>
        <v>4</v>
      </c>
      <c r="C12" s="462" t="s">
        <v>246</v>
      </c>
      <c r="D12" s="463">
        <v>11</v>
      </c>
      <c r="E12" s="463" t="s">
        <v>77</v>
      </c>
      <c r="F12" s="464">
        <v>1870</v>
      </c>
      <c r="G12" s="465">
        <v>4480</v>
      </c>
      <c r="H12" s="465">
        <v>2430</v>
      </c>
      <c r="I12" s="465">
        <v>105</v>
      </c>
      <c r="J12" s="465">
        <v>130</v>
      </c>
      <c r="K12" s="483">
        <v>17274</v>
      </c>
      <c r="L12" s="478">
        <f>+(K13-Tabla1[[#This Row],[Lectura Horometro INICIAL (06:00)]])*Tabla1[[#This Row],[CAUDAL DE TRATAMIENTO]]</f>
        <v>560</v>
      </c>
      <c r="M12" s="479">
        <v>80</v>
      </c>
      <c r="N12" s="522">
        <f>F12-F13-40</f>
        <v>180</v>
      </c>
      <c r="O12" s="498">
        <f t="shared" ref="O12:O40" si="17">G12-G13</f>
        <v>180</v>
      </c>
      <c r="P12" s="444">
        <f t="shared" ref="P12:P41" si="18">H12-H13</f>
        <v>110</v>
      </c>
      <c r="Q12" s="444">
        <v>0</v>
      </c>
      <c r="R12" s="445">
        <v>0</v>
      </c>
      <c r="S12" s="452">
        <f t="shared" si="2"/>
        <v>234</v>
      </c>
      <c r="T12" s="453">
        <f t="shared" si="3"/>
        <v>238.5</v>
      </c>
      <c r="U12" s="453">
        <f t="shared" si="4"/>
        <v>137.5</v>
      </c>
      <c r="V12" s="466">
        <f>Tabla1[[#This Row],[CONSUMO POL ANIONICO (KG)]]</f>
        <v>0</v>
      </c>
      <c r="W12" s="445">
        <f>Tabla1[[#This Row],[CONSUMO POL CATIONICO (KG)]]</f>
        <v>0</v>
      </c>
      <c r="X12" s="467">
        <f t="shared" si="5"/>
        <v>417.85714285714283</v>
      </c>
      <c r="Y12" s="466">
        <f t="shared" si="6"/>
        <v>425.89285714285717</v>
      </c>
      <c r="Z12" s="466">
        <f t="shared" si="7"/>
        <v>245.53571428571428</v>
      </c>
      <c r="AA12" s="466">
        <f t="shared" si="8"/>
        <v>0</v>
      </c>
      <c r="AB12" s="445">
        <f t="shared" si="9"/>
        <v>0</v>
      </c>
      <c r="AC12" s="454">
        <v>1.3</v>
      </c>
      <c r="AD12" s="454">
        <v>1.325</v>
      </c>
      <c r="AE12" s="454">
        <v>1.25</v>
      </c>
      <c r="AF12" s="455">
        <v>2500</v>
      </c>
      <c r="AG12" s="456">
        <v>2500</v>
      </c>
      <c r="AH12" s="158">
        <v>830</v>
      </c>
      <c r="AI12" s="158">
        <v>2818</v>
      </c>
      <c r="AJ12" s="158">
        <v>6295</v>
      </c>
      <c r="AK12" s="158">
        <v>19050</v>
      </c>
      <c r="AL12" s="158">
        <v>22050</v>
      </c>
      <c r="AM12" s="468">
        <f t="shared" si="10"/>
        <v>194220</v>
      </c>
      <c r="AN12" s="460">
        <f t="shared" si="11"/>
        <v>672093</v>
      </c>
      <c r="AO12" s="460">
        <f t="shared" si="12"/>
        <v>865562.5</v>
      </c>
      <c r="AP12" s="460">
        <f t="shared" si="13"/>
        <v>0</v>
      </c>
      <c r="AQ12" s="469">
        <f t="shared" si="14"/>
        <v>0</v>
      </c>
      <c r="AR12" s="468">
        <f>SUM(Tabla1[[#This Row],[COSTO OPERATIVO ACIDO]:[COSTO OPERATIVO CATIONICO]])</f>
        <v>1731875.5</v>
      </c>
      <c r="AS12" s="458">
        <v>3599</v>
      </c>
      <c r="AT12" s="460">
        <f t="shared" si="15"/>
        <v>3092.6348214285713</v>
      </c>
    </row>
    <row r="13" spans="1:46" ht="14.95" thickBot="1" x14ac:dyDescent="0.3">
      <c r="A13" s="470">
        <f>A12</f>
        <v>46085</v>
      </c>
      <c r="B13" s="157">
        <f>DAY(Tabla1[[#This Row],[FECHA]])</f>
        <v>4</v>
      </c>
      <c r="C13" s="471" t="s">
        <v>30</v>
      </c>
      <c r="D13" s="472">
        <v>12</v>
      </c>
      <c r="E13" s="472" t="s">
        <v>76</v>
      </c>
      <c r="F13" s="464">
        <v>1650</v>
      </c>
      <c r="G13" s="465">
        <v>4300</v>
      </c>
      <c r="H13" s="465">
        <v>2320</v>
      </c>
      <c r="I13" s="465">
        <v>100</v>
      </c>
      <c r="J13" s="465">
        <v>125</v>
      </c>
      <c r="K13" s="484">
        <v>17281</v>
      </c>
      <c r="L13" s="485">
        <f>+(K14-Tabla1[[#This Row],[Lectura Horometro INICIAL (06:00)]])*Tabla1[[#This Row],[CAUDAL DE TRATAMIENTO]]</f>
        <v>640</v>
      </c>
      <c r="M13" s="486">
        <v>80</v>
      </c>
      <c r="N13" s="446">
        <f t="shared" si="16"/>
        <v>150</v>
      </c>
      <c r="O13" s="499">
        <f t="shared" si="17"/>
        <v>110</v>
      </c>
      <c r="P13" s="446">
        <f t="shared" si="18"/>
        <v>80</v>
      </c>
      <c r="Q13" s="446">
        <v>0</v>
      </c>
      <c r="R13" s="447">
        <v>0</v>
      </c>
      <c r="S13" s="452">
        <f t="shared" si="2"/>
        <v>195</v>
      </c>
      <c r="T13" s="453">
        <f t="shared" si="3"/>
        <v>145.75</v>
      </c>
      <c r="U13" s="453">
        <f t="shared" si="4"/>
        <v>100</v>
      </c>
      <c r="V13" s="473">
        <f>Tabla1[[#This Row],[CONSUMO POL ANIONICO (KG)]]</f>
        <v>0</v>
      </c>
      <c r="W13" s="447">
        <f>Tabla1[[#This Row],[CONSUMO POL CATIONICO (KG)]]</f>
        <v>0</v>
      </c>
      <c r="X13" s="467">
        <f t="shared" si="5"/>
        <v>304.6875</v>
      </c>
      <c r="Y13" s="473">
        <f t="shared" si="6"/>
        <v>227.734375</v>
      </c>
      <c r="Z13" s="473">
        <f t="shared" si="7"/>
        <v>156.25</v>
      </c>
      <c r="AA13" s="473">
        <f t="shared" si="8"/>
        <v>0</v>
      </c>
      <c r="AB13" s="447">
        <f t="shared" si="9"/>
        <v>0</v>
      </c>
      <c r="AC13" s="454">
        <v>1.3</v>
      </c>
      <c r="AD13" s="454">
        <v>1.325</v>
      </c>
      <c r="AE13" s="454">
        <v>1.25</v>
      </c>
      <c r="AF13" s="455">
        <v>2500</v>
      </c>
      <c r="AG13" s="456">
        <v>2500</v>
      </c>
      <c r="AH13" s="158">
        <v>830</v>
      </c>
      <c r="AI13" s="158">
        <v>2818</v>
      </c>
      <c r="AJ13" s="158">
        <v>6295</v>
      </c>
      <c r="AK13" s="158">
        <v>19050</v>
      </c>
      <c r="AL13" s="158">
        <v>22050</v>
      </c>
      <c r="AM13" s="468">
        <f t="shared" si="10"/>
        <v>161850</v>
      </c>
      <c r="AN13" s="474">
        <f t="shared" si="11"/>
        <v>410723.5</v>
      </c>
      <c r="AO13" s="474">
        <f t="shared" si="12"/>
        <v>629500</v>
      </c>
      <c r="AP13" s="474">
        <f t="shared" si="13"/>
        <v>0</v>
      </c>
      <c r="AQ13" s="475">
        <f t="shared" si="14"/>
        <v>0</v>
      </c>
      <c r="AR13" s="468">
        <f>SUM(Tabla1[[#This Row],[COSTO OPERATIVO ACIDO]:[COSTO OPERATIVO CATIONICO]])</f>
        <v>1202073.5</v>
      </c>
      <c r="AS13" s="458">
        <v>3599</v>
      </c>
      <c r="AT13" s="460">
        <f t="shared" si="15"/>
        <v>1878.2398437500001</v>
      </c>
    </row>
    <row r="14" spans="1:46" ht="14.95" thickBot="1" x14ac:dyDescent="0.3">
      <c r="A14" s="213">
        <v>46086</v>
      </c>
      <c r="B14" s="157">
        <f>DAY(Tabla1[[#This Row],[FECHA]])</f>
        <v>5</v>
      </c>
      <c r="C14" s="448" t="s">
        <v>247</v>
      </c>
      <c r="D14" s="449">
        <v>13</v>
      </c>
      <c r="E14" s="449" t="s">
        <v>75</v>
      </c>
      <c r="F14" s="450">
        <v>1500</v>
      </c>
      <c r="G14" s="451">
        <v>4190</v>
      </c>
      <c r="H14" s="451">
        <v>2240</v>
      </c>
      <c r="I14" s="451">
        <v>100</v>
      </c>
      <c r="J14" s="451">
        <v>120</v>
      </c>
      <c r="K14" s="480">
        <v>17289</v>
      </c>
      <c r="L14" s="481">
        <f>+(K15-Tabla1[[#This Row],[Lectura Horometro INICIAL (06:00)]])*Tabla1[[#This Row],[CAUDAL DE TRATAMIENTO]]</f>
        <v>560</v>
      </c>
      <c r="M14" s="482">
        <v>80</v>
      </c>
      <c r="N14" s="442">
        <f t="shared" si="16"/>
        <v>250</v>
      </c>
      <c r="O14" s="497">
        <f t="shared" si="17"/>
        <v>130</v>
      </c>
      <c r="P14" s="442">
        <f t="shared" si="18"/>
        <v>90</v>
      </c>
      <c r="Q14" s="442">
        <v>0</v>
      </c>
      <c r="R14" s="443">
        <v>0</v>
      </c>
      <c r="S14" s="452">
        <f t="shared" si="2"/>
        <v>325</v>
      </c>
      <c r="T14" s="453">
        <f t="shared" si="3"/>
        <v>172.25</v>
      </c>
      <c r="U14" s="453">
        <f t="shared" si="4"/>
        <v>112.5</v>
      </c>
      <c r="V14" s="453">
        <f>Tabla1[[#This Row],[CONSUMO POL ANIONICO (KG)]]</f>
        <v>0</v>
      </c>
      <c r="W14" s="443">
        <f>Tabla1[[#This Row],[CONSUMO POL CATIONICO (KG)]]</f>
        <v>0</v>
      </c>
      <c r="X14" s="452">
        <f t="shared" si="5"/>
        <v>580.35714285714289</v>
      </c>
      <c r="Y14" s="453">
        <f t="shared" si="6"/>
        <v>307.58928571428572</v>
      </c>
      <c r="Z14" s="453">
        <f t="shared" si="7"/>
        <v>200.89285714285714</v>
      </c>
      <c r="AA14" s="453">
        <f t="shared" si="8"/>
        <v>0</v>
      </c>
      <c r="AB14" s="443">
        <f t="shared" si="9"/>
        <v>0</v>
      </c>
      <c r="AC14" s="454">
        <v>1.3</v>
      </c>
      <c r="AD14" s="454">
        <v>1.325</v>
      </c>
      <c r="AE14" s="454">
        <v>1.25</v>
      </c>
      <c r="AF14" s="455">
        <v>2500</v>
      </c>
      <c r="AG14" s="456">
        <v>2500</v>
      </c>
      <c r="AH14" s="158">
        <v>830</v>
      </c>
      <c r="AI14" s="158">
        <v>2818</v>
      </c>
      <c r="AJ14" s="158">
        <v>6295</v>
      </c>
      <c r="AK14" s="158">
        <v>19050</v>
      </c>
      <c r="AL14" s="158">
        <v>22050</v>
      </c>
      <c r="AM14" s="457">
        <f t="shared" si="10"/>
        <v>269750</v>
      </c>
      <c r="AN14" s="458">
        <f t="shared" si="11"/>
        <v>485400.5</v>
      </c>
      <c r="AO14" s="458">
        <f t="shared" si="12"/>
        <v>708187.5</v>
      </c>
      <c r="AP14" s="458">
        <f t="shared" si="13"/>
        <v>0</v>
      </c>
      <c r="AQ14" s="459">
        <f t="shared" si="14"/>
        <v>0</v>
      </c>
      <c r="AR14" s="457">
        <f>SUM(Tabla1[[#This Row],[COSTO OPERATIVO ACIDO]:[COSTO OPERATIVO CATIONICO]])</f>
        <v>1463338</v>
      </c>
      <c r="AS14" s="458">
        <v>3599</v>
      </c>
      <c r="AT14" s="460">
        <f t="shared" si="15"/>
        <v>2613.1035714285713</v>
      </c>
    </row>
    <row r="15" spans="1:46" ht="14.95" thickBot="1" x14ac:dyDescent="0.3">
      <c r="A15" s="461">
        <f>A14</f>
        <v>46086</v>
      </c>
      <c r="B15" s="157">
        <f>DAY(Tabla1[[#This Row],[FECHA]])</f>
        <v>5</v>
      </c>
      <c r="C15" s="462" t="s">
        <v>248</v>
      </c>
      <c r="D15" s="463">
        <v>14</v>
      </c>
      <c r="E15" s="463" t="s">
        <v>77</v>
      </c>
      <c r="F15" s="464">
        <v>1250</v>
      </c>
      <c r="G15" s="465">
        <v>4060</v>
      </c>
      <c r="H15" s="465">
        <v>2150</v>
      </c>
      <c r="I15" s="465">
        <v>95</v>
      </c>
      <c r="J15" s="465">
        <v>115</v>
      </c>
      <c r="K15" s="483">
        <v>17296</v>
      </c>
      <c r="L15" s="478">
        <f>+(K16-Tabla1[[#This Row],[Lectura Horometro INICIAL (06:00)]])*Tabla1[[#This Row],[CAUDAL DE TRATAMIENTO]]</f>
        <v>640</v>
      </c>
      <c r="M15" s="479">
        <v>80</v>
      </c>
      <c r="N15" s="444">
        <f t="shared" si="16"/>
        <v>250</v>
      </c>
      <c r="O15" s="498">
        <f t="shared" si="17"/>
        <v>310</v>
      </c>
      <c r="P15" s="444">
        <f t="shared" si="18"/>
        <v>60</v>
      </c>
      <c r="Q15" s="444">
        <f t="shared" ref="Q15:Q45" si="19">I15-I16</f>
        <v>0</v>
      </c>
      <c r="R15" s="445">
        <f t="shared" ref="R15:R46" si="20">J15-J16</f>
        <v>5</v>
      </c>
      <c r="S15" s="452">
        <f t="shared" si="2"/>
        <v>325</v>
      </c>
      <c r="T15" s="453">
        <f t="shared" si="3"/>
        <v>410.75</v>
      </c>
      <c r="U15" s="453">
        <f t="shared" si="4"/>
        <v>75</v>
      </c>
      <c r="V15" s="466">
        <f>Tabla1[[#This Row],[CONSUMO POL ANIONICO (KG)]]</f>
        <v>0</v>
      </c>
      <c r="W15" s="445">
        <f>Tabla1[[#This Row],[CONSUMO POL CATIONICO (KG)]]</f>
        <v>5</v>
      </c>
      <c r="X15" s="467">
        <f t="shared" si="5"/>
        <v>507.8125</v>
      </c>
      <c r="Y15" s="466">
        <f t="shared" si="6"/>
        <v>641.796875</v>
      </c>
      <c r="Z15" s="466">
        <f t="shared" si="7"/>
        <v>117.1875</v>
      </c>
      <c r="AA15" s="466">
        <f t="shared" si="8"/>
        <v>0</v>
      </c>
      <c r="AB15" s="445">
        <f t="shared" si="9"/>
        <v>7.8125</v>
      </c>
      <c r="AC15" s="454">
        <v>1.3</v>
      </c>
      <c r="AD15" s="454">
        <v>1.325</v>
      </c>
      <c r="AE15" s="454">
        <v>1.25</v>
      </c>
      <c r="AF15" s="455">
        <v>2500</v>
      </c>
      <c r="AG15" s="456">
        <v>2500</v>
      </c>
      <c r="AH15" s="158">
        <v>830</v>
      </c>
      <c r="AI15" s="158">
        <v>2818</v>
      </c>
      <c r="AJ15" s="158">
        <v>6295</v>
      </c>
      <c r="AK15" s="158">
        <v>19050</v>
      </c>
      <c r="AL15" s="158">
        <v>22050</v>
      </c>
      <c r="AM15" s="468">
        <f t="shared" si="10"/>
        <v>269750</v>
      </c>
      <c r="AN15" s="460">
        <f t="shared" si="11"/>
        <v>1157493.5</v>
      </c>
      <c r="AO15" s="460">
        <f t="shared" si="12"/>
        <v>472125</v>
      </c>
      <c r="AP15" s="460">
        <f t="shared" si="13"/>
        <v>0</v>
      </c>
      <c r="AQ15" s="469">
        <f t="shared" si="14"/>
        <v>110250</v>
      </c>
      <c r="AR15" s="468">
        <f>SUM(Tabla1[[#This Row],[COSTO OPERATIVO ACIDO]:[COSTO OPERATIVO CATIONICO]])</f>
        <v>2009618.5</v>
      </c>
      <c r="AS15" s="458">
        <v>3599</v>
      </c>
      <c r="AT15" s="460">
        <f t="shared" si="15"/>
        <v>3140.0289062500001</v>
      </c>
    </row>
    <row r="16" spans="1:46" ht="14.95" thickBot="1" x14ac:dyDescent="0.3">
      <c r="A16" s="470">
        <f>A15</f>
        <v>46086</v>
      </c>
      <c r="B16" s="157">
        <f>DAY(Tabla1[[#This Row],[FECHA]])</f>
        <v>5</v>
      </c>
      <c r="C16" s="471" t="s">
        <v>30</v>
      </c>
      <c r="D16" s="472">
        <v>15</v>
      </c>
      <c r="E16" s="472" t="s">
        <v>76</v>
      </c>
      <c r="F16" s="464">
        <v>1000</v>
      </c>
      <c r="G16" s="465">
        <v>3750</v>
      </c>
      <c r="H16" s="465">
        <v>2090</v>
      </c>
      <c r="I16" s="465">
        <v>95</v>
      </c>
      <c r="J16" s="465">
        <v>110</v>
      </c>
      <c r="K16" s="484">
        <v>17304</v>
      </c>
      <c r="L16" s="485">
        <f>+(K17-Tabla1[[#This Row],[Lectura Horometro INICIAL (06:00)]])*Tabla1[[#This Row],[CAUDAL DE TRATAMIENTO]]</f>
        <v>560</v>
      </c>
      <c r="M16" s="486">
        <v>80</v>
      </c>
      <c r="N16" s="446">
        <f t="shared" si="16"/>
        <v>110</v>
      </c>
      <c r="O16" s="499">
        <f t="shared" si="17"/>
        <v>220</v>
      </c>
      <c r="P16" s="446">
        <f t="shared" si="18"/>
        <v>160</v>
      </c>
      <c r="Q16" s="446">
        <f t="shared" si="19"/>
        <v>5</v>
      </c>
      <c r="R16" s="447">
        <f t="shared" si="20"/>
        <v>5</v>
      </c>
      <c r="S16" s="452">
        <f t="shared" si="2"/>
        <v>143</v>
      </c>
      <c r="T16" s="453">
        <f t="shared" si="3"/>
        <v>291.5</v>
      </c>
      <c r="U16" s="453">
        <f t="shared" si="4"/>
        <v>200</v>
      </c>
      <c r="V16" s="473">
        <f>Tabla1[[#This Row],[CONSUMO POL ANIONICO (KG)]]</f>
        <v>5</v>
      </c>
      <c r="W16" s="447">
        <f>Tabla1[[#This Row],[CONSUMO POL CATIONICO (KG)]]</f>
        <v>5</v>
      </c>
      <c r="X16" s="467">
        <f t="shared" si="5"/>
        <v>255.35714285714286</v>
      </c>
      <c r="Y16" s="473">
        <f t="shared" si="6"/>
        <v>520.53571428571433</v>
      </c>
      <c r="Z16" s="473">
        <f t="shared" si="7"/>
        <v>357.14285714285717</v>
      </c>
      <c r="AA16" s="473">
        <f t="shared" si="8"/>
        <v>8.9285714285714288</v>
      </c>
      <c r="AB16" s="447">
        <f t="shared" si="9"/>
        <v>8.9285714285714288</v>
      </c>
      <c r="AC16" s="454">
        <v>1.3</v>
      </c>
      <c r="AD16" s="454">
        <v>1.325</v>
      </c>
      <c r="AE16" s="454">
        <v>1.25</v>
      </c>
      <c r="AF16" s="455">
        <v>2500</v>
      </c>
      <c r="AG16" s="456">
        <v>2500</v>
      </c>
      <c r="AH16" s="158">
        <v>830</v>
      </c>
      <c r="AI16" s="158">
        <v>2818</v>
      </c>
      <c r="AJ16" s="158">
        <v>6295</v>
      </c>
      <c r="AK16" s="158">
        <v>19050</v>
      </c>
      <c r="AL16" s="158">
        <v>22050</v>
      </c>
      <c r="AM16" s="468">
        <f t="shared" si="10"/>
        <v>118690</v>
      </c>
      <c r="AN16" s="474">
        <f t="shared" si="11"/>
        <v>821447</v>
      </c>
      <c r="AO16" s="474">
        <f t="shared" si="12"/>
        <v>1259000</v>
      </c>
      <c r="AP16" s="474">
        <f t="shared" si="13"/>
        <v>95250</v>
      </c>
      <c r="AQ16" s="475">
        <f t="shared" si="14"/>
        <v>110250</v>
      </c>
      <c r="AR16" s="468">
        <f>SUM(Tabla1[[#This Row],[COSTO OPERATIVO ACIDO]:[COSTO OPERATIVO CATIONICO]])</f>
        <v>2404637</v>
      </c>
      <c r="AS16" s="458">
        <v>3599</v>
      </c>
      <c r="AT16" s="460">
        <f t="shared" si="15"/>
        <v>4293.9946428571429</v>
      </c>
    </row>
    <row r="17" spans="1:46" ht="14.95" thickBot="1" x14ac:dyDescent="0.3">
      <c r="A17" s="213">
        <v>46087</v>
      </c>
      <c r="B17" s="157">
        <f>DAY(Tabla1[[#This Row],[FECHA]])</f>
        <v>6</v>
      </c>
      <c r="C17" s="448" t="s">
        <v>249</v>
      </c>
      <c r="D17" s="449">
        <v>16</v>
      </c>
      <c r="E17" s="449" t="s">
        <v>75</v>
      </c>
      <c r="F17" s="450">
        <v>890</v>
      </c>
      <c r="G17" s="451">
        <v>3530</v>
      </c>
      <c r="H17" s="451">
        <v>1930</v>
      </c>
      <c r="I17" s="451">
        <v>90</v>
      </c>
      <c r="J17" s="451">
        <v>105</v>
      </c>
      <c r="K17" s="480">
        <v>17311</v>
      </c>
      <c r="L17" s="481">
        <f>+(K18-Tabla1[[#This Row],[Lectura Horometro INICIAL (06:00)]])*Tabla1[[#This Row],[CAUDAL DE TRATAMIENTO]]</f>
        <v>400</v>
      </c>
      <c r="M17" s="482">
        <v>80</v>
      </c>
      <c r="N17" s="442">
        <f t="shared" si="16"/>
        <v>40</v>
      </c>
      <c r="O17" s="497">
        <f t="shared" si="17"/>
        <v>180</v>
      </c>
      <c r="P17" s="442">
        <f t="shared" si="18"/>
        <v>30</v>
      </c>
      <c r="Q17" s="442">
        <f t="shared" si="19"/>
        <v>0</v>
      </c>
      <c r="R17" s="443">
        <f t="shared" si="20"/>
        <v>5</v>
      </c>
      <c r="S17" s="452">
        <f t="shared" si="2"/>
        <v>52</v>
      </c>
      <c r="T17" s="453">
        <f t="shared" si="3"/>
        <v>238.5</v>
      </c>
      <c r="U17" s="453">
        <f t="shared" si="4"/>
        <v>37.5</v>
      </c>
      <c r="V17" s="453">
        <f>Tabla1[[#This Row],[CONSUMO POL ANIONICO (KG)]]</f>
        <v>0</v>
      </c>
      <c r="W17" s="443">
        <f>Tabla1[[#This Row],[CONSUMO POL CATIONICO (KG)]]</f>
        <v>5</v>
      </c>
      <c r="X17" s="452">
        <f t="shared" si="5"/>
        <v>130</v>
      </c>
      <c r="Y17" s="453">
        <f t="shared" si="6"/>
        <v>596.25</v>
      </c>
      <c r="Z17" s="453">
        <f t="shared" si="7"/>
        <v>93.75</v>
      </c>
      <c r="AA17" s="453">
        <f t="shared" si="8"/>
        <v>0</v>
      </c>
      <c r="AB17" s="443">
        <f t="shared" si="9"/>
        <v>12.5</v>
      </c>
      <c r="AC17" s="454">
        <v>1.3</v>
      </c>
      <c r="AD17" s="454">
        <v>1.325</v>
      </c>
      <c r="AE17" s="454">
        <v>1.25</v>
      </c>
      <c r="AF17" s="455">
        <v>2500</v>
      </c>
      <c r="AG17" s="456">
        <v>2500</v>
      </c>
      <c r="AH17" s="158">
        <v>830</v>
      </c>
      <c r="AI17" s="158">
        <v>2818</v>
      </c>
      <c r="AJ17" s="158">
        <v>6295</v>
      </c>
      <c r="AK17" s="158">
        <v>19050</v>
      </c>
      <c r="AL17" s="158">
        <v>22050</v>
      </c>
      <c r="AM17" s="457">
        <f t="shared" si="10"/>
        <v>43160</v>
      </c>
      <c r="AN17" s="458">
        <f t="shared" si="11"/>
        <v>672093</v>
      </c>
      <c r="AO17" s="458">
        <f t="shared" si="12"/>
        <v>236062.5</v>
      </c>
      <c r="AP17" s="458">
        <f t="shared" si="13"/>
        <v>0</v>
      </c>
      <c r="AQ17" s="459">
        <f t="shared" si="14"/>
        <v>110250</v>
      </c>
      <c r="AR17" s="457">
        <f>SUM(Tabla1[[#This Row],[COSTO OPERATIVO ACIDO]:[COSTO OPERATIVO CATIONICO]])</f>
        <v>1061565.5</v>
      </c>
      <c r="AS17" s="458">
        <v>3599</v>
      </c>
      <c r="AT17" s="460">
        <f t="shared" si="15"/>
        <v>2653.9137500000002</v>
      </c>
    </row>
    <row r="18" spans="1:46" ht="14.95" thickBot="1" x14ac:dyDescent="0.3">
      <c r="A18" s="461">
        <f>A17</f>
        <v>46087</v>
      </c>
      <c r="B18" s="157">
        <f>DAY(Tabla1[[#This Row],[FECHA]])</f>
        <v>6</v>
      </c>
      <c r="C18" s="462" t="s">
        <v>250</v>
      </c>
      <c r="D18" s="463">
        <v>17</v>
      </c>
      <c r="E18" s="463" t="s">
        <v>77</v>
      </c>
      <c r="F18" s="464">
        <v>850</v>
      </c>
      <c r="G18" s="465">
        <v>3350</v>
      </c>
      <c r="H18" s="465">
        <v>1900</v>
      </c>
      <c r="I18" s="465">
        <v>90</v>
      </c>
      <c r="J18" s="465">
        <v>100</v>
      </c>
      <c r="K18" s="483">
        <v>17316</v>
      </c>
      <c r="L18" s="478">
        <f>+(K19-Tabla1[[#This Row],[Lectura Horometro INICIAL (06:00)]])*Tabla1[[#This Row],[CAUDAL DE TRATAMIENTO]]</f>
        <v>480</v>
      </c>
      <c r="M18" s="479">
        <v>80</v>
      </c>
      <c r="N18" s="444">
        <f>F18-F19</f>
        <v>200</v>
      </c>
      <c r="O18" s="498">
        <f>G18-G19</f>
        <v>160</v>
      </c>
      <c r="P18" s="444">
        <f>H18-H19</f>
        <v>40</v>
      </c>
      <c r="Q18" s="444">
        <f t="shared" si="19"/>
        <v>5</v>
      </c>
      <c r="R18" s="445">
        <f>J18-J19</f>
        <v>5</v>
      </c>
      <c r="S18" s="452">
        <f t="shared" si="2"/>
        <v>260</v>
      </c>
      <c r="T18" s="453">
        <f t="shared" si="3"/>
        <v>212</v>
      </c>
      <c r="U18" s="453">
        <f t="shared" si="4"/>
        <v>50</v>
      </c>
      <c r="V18" s="466">
        <f>Tabla1[[#This Row],[CONSUMO POL ANIONICO (KG)]]</f>
        <v>5</v>
      </c>
      <c r="W18" s="445">
        <f>Tabla1[[#This Row],[CONSUMO POL CATIONICO (KG)]]</f>
        <v>5</v>
      </c>
      <c r="X18" s="467">
        <f t="shared" si="5"/>
        <v>541.66666666666663</v>
      </c>
      <c r="Y18" s="466">
        <f t="shared" si="6"/>
        <v>441.66666666666669</v>
      </c>
      <c r="Z18" s="466">
        <f t="shared" si="7"/>
        <v>104.16666666666667</v>
      </c>
      <c r="AA18" s="466">
        <f t="shared" si="8"/>
        <v>10.416666666666666</v>
      </c>
      <c r="AB18" s="445">
        <f t="shared" si="9"/>
        <v>10.416666666666666</v>
      </c>
      <c r="AC18" s="454">
        <v>1.3</v>
      </c>
      <c r="AD18" s="454">
        <v>1.325</v>
      </c>
      <c r="AE18" s="454">
        <v>1.25</v>
      </c>
      <c r="AF18" s="455">
        <v>2500</v>
      </c>
      <c r="AG18" s="456">
        <v>2500</v>
      </c>
      <c r="AH18" s="158">
        <v>830</v>
      </c>
      <c r="AI18" s="158">
        <v>2818</v>
      </c>
      <c r="AJ18" s="158">
        <v>6295</v>
      </c>
      <c r="AK18" s="158">
        <v>19050</v>
      </c>
      <c r="AL18" s="158">
        <v>22050</v>
      </c>
      <c r="AM18" s="468">
        <f t="shared" si="10"/>
        <v>215800</v>
      </c>
      <c r="AN18" s="460">
        <f t="shared" si="11"/>
        <v>597416</v>
      </c>
      <c r="AO18" s="460">
        <f t="shared" si="12"/>
        <v>314750</v>
      </c>
      <c r="AP18" s="460">
        <f t="shared" si="13"/>
        <v>95250</v>
      </c>
      <c r="AQ18" s="469">
        <f t="shared" si="14"/>
        <v>110250</v>
      </c>
      <c r="AR18" s="468">
        <f>SUM(Tabla1[[#This Row],[COSTO OPERATIVO ACIDO]:[COSTO OPERATIVO CATIONICO]])</f>
        <v>1333466</v>
      </c>
      <c r="AS18" s="458">
        <v>3599</v>
      </c>
      <c r="AT18" s="460">
        <f t="shared" si="15"/>
        <v>2778.0541666666668</v>
      </c>
    </row>
    <row r="19" spans="1:46" ht="14.95" thickBot="1" x14ac:dyDescent="0.3">
      <c r="A19" s="470">
        <f>A18</f>
        <v>46087</v>
      </c>
      <c r="B19" s="157">
        <f>DAY(Tabla1[[#This Row],[FECHA]])</f>
        <v>6</v>
      </c>
      <c r="C19" s="471" t="s">
        <v>30</v>
      </c>
      <c r="D19" s="472">
        <v>18</v>
      </c>
      <c r="E19" s="472" t="s">
        <v>76</v>
      </c>
      <c r="F19" s="464">
        <v>650</v>
      </c>
      <c r="G19" s="465">
        <v>3190</v>
      </c>
      <c r="H19" s="465">
        <v>1860</v>
      </c>
      <c r="I19" s="465">
        <v>85</v>
      </c>
      <c r="J19" s="465">
        <v>95</v>
      </c>
      <c r="K19" s="484">
        <v>17322</v>
      </c>
      <c r="L19" s="485">
        <f>+(K20-Tabla1[[#This Row],[Lectura Horometro INICIAL (06:00)]])*Tabla1[[#This Row],[CAUDAL DE TRATAMIENTO]]</f>
        <v>640</v>
      </c>
      <c r="M19" s="486">
        <v>80</v>
      </c>
      <c r="N19" s="511">
        <f>F19-F20+2000</f>
        <v>370</v>
      </c>
      <c r="O19" s="512">
        <f>G19-G20-120+2000</f>
        <v>320</v>
      </c>
      <c r="P19" s="511">
        <f>H19-H20+1000</f>
        <v>110</v>
      </c>
      <c r="Q19" s="446">
        <f>I19-I20</f>
        <v>0</v>
      </c>
      <c r="R19" s="515">
        <f>J19-J20+75</f>
        <v>5</v>
      </c>
      <c r="S19" s="452">
        <f t="shared" si="2"/>
        <v>481</v>
      </c>
      <c r="T19" s="453">
        <f t="shared" si="3"/>
        <v>424</v>
      </c>
      <c r="U19" s="453">
        <f t="shared" si="4"/>
        <v>137.5</v>
      </c>
      <c r="V19" s="473">
        <f>Tabla1[[#This Row],[CONSUMO POL ANIONICO (KG)]]</f>
        <v>0</v>
      </c>
      <c r="W19" s="447">
        <f>Tabla1[[#This Row],[CONSUMO POL CATIONICO (KG)]]</f>
        <v>5</v>
      </c>
      <c r="X19" s="467">
        <f t="shared" si="5"/>
        <v>751.5625</v>
      </c>
      <c r="Y19" s="473">
        <f t="shared" si="6"/>
        <v>662.5</v>
      </c>
      <c r="Z19" s="473">
        <f t="shared" si="7"/>
        <v>214.84375</v>
      </c>
      <c r="AA19" s="473">
        <f t="shared" si="8"/>
        <v>0</v>
      </c>
      <c r="AB19" s="447">
        <f t="shared" si="9"/>
        <v>7.8125</v>
      </c>
      <c r="AC19" s="454">
        <v>1.3</v>
      </c>
      <c r="AD19" s="454">
        <v>1.325</v>
      </c>
      <c r="AE19" s="454">
        <v>1.25</v>
      </c>
      <c r="AF19" s="455">
        <v>2500</v>
      </c>
      <c r="AG19" s="456">
        <v>2500</v>
      </c>
      <c r="AH19" s="158">
        <v>830</v>
      </c>
      <c r="AI19" s="158">
        <v>2818</v>
      </c>
      <c r="AJ19" s="158">
        <v>6295</v>
      </c>
      <c r="AK19" s="158">
        <v>19050</v>
      </c>
      <c r="AL19" s="158">
        <v>22050</v>
      </c>
      <c r="AM19" s="468">
        <f t="shared" si="10"/>
        <v>399230</v>
      </c>
      <c r="AN19" s="474">
        <f t="shared" si="11"/>
        <v>1194832</v>
      </c>
      <c r="AO19" s="474">
        <f t="shared" si="12"/>
        <v>865562.5</v>
      </c>
      <c r="AP19" s="474">
        <f t="shared" si="13"/>
        <v>0</v>
      </c>
      <c r="AQ19" s="475">
        <f t="shared" si="14"/>
        <v>110250</v>
      </c>
      <c r="AR19" s="468">
        <f>SUM(Tabla1[[#This Row],[COSTO OPERATIVO ACIDO]:[COSTO OPERATIVO CATIONICO]])</f>
        <v>2569874.5</v>
      </c>
      <c r="AS19" s="458">
        <v>3599</v>
      </c>
      <c r="AT19" s="460">
        <f t="shared" si="15"/>
        <v>4015.4289062500002</v>
      </c>
    </row>
    <row r="20" spans="1:46" ht="14.95" thickBot="1" x14ac:dyDescent="0.3">
      <c r="A20" s="213">
        <v>46088</v>
      </c>
      <c r="B20" s="157">
        <f>DAY(Tabla1[[#This Row],[FECHA]])</f>
        <v>7</v>
      </c>
      <c r="C20" s="448" t="s">
        <v>251</v>
      </c>
      <c r="D20" s="449">
        <v>19</v>
      </c>
      <c r="E20" s="449" t="s">
        <v>75</v>
      </c>
      <c r="F20" s="450">
        <v>2280</v>
      </c>
      <c r="G20" s="451">
        <v>4750</v>
      </c>
      <c r="H20" s="451">
        <v>2750</v>
      </c>
      <c r="I20" s="451">
        <v>85</v>
      </c>
      <c r="J20" s="451">
        <v>165</v>
      </c>
      <c r="K20" s="480">
        <v>17330</v>
      </c>
      <c r="L20" s="481">
        <f>+(K21-Tabla1[[#This Row],[Lectura Horometro INICIAL (06:00)]])*Tabla1[[#This Row],[CAUDAL DE TRATAMIENTO]]</f>
        <v>480</v>
      </c>
      <c r="M20" s="482">
        <v>80</v>
      </c>
      <c r="N20" s="442">
        <f t="shared" si="16"/>
        <v>380</v>
      </c>
      <c r="O20" s="514">
        <f>G20-G21-150</f>
        <v>300</v>
      </c>
      <c r="P20" s="442">
        <f t="shared" si="18"/>
        <v>250</v>
      </c>
      <c r="Q20" s="442">
        <f t="shared" si="19"/>
        <v>5</v>
      </c>
      <c r="R20" s="443">
        <f t="shared" si="20"/>
        <v>5</v>
      </c>
      <c r="S20" s="452">
        <f t="shared" si="2"/>
        <v>494</v>
      </c>
      <c r="T20" s="453">
        <f t="shared" si="3"/>
        <v>397.5</v>
      </c>
      <c r="U20" s="453">
        <f t="shared" si="4"/>
        <v>312.5</v>
      </c>
      <c r="V20" s="453">
        <f>Tabla1[[#This Row],[CONSUMO POL ANIONICO (KG)]]</f>
        <v>5</v>
      </c>
      <c r="W20" s="443">
        <f>Tabla1[[#This Row],[CONSUMO POL CATIONICO (KG)]]</f>
        <v>5</v>
      </c>
      <c r="X20" s="452">
        <f t="shared" si="5"/>
        <v>1029.1666666666667</v>
      </c>
      <c r="Y20" s="453">
        <f t="shared" si="6"/>
        <v>828.125</v>
      </c>
      <c r="Z20" s="453">
        <f t="shared" si="7"/>
        <v>651.04166666666663</v>
      </c>
      <c r="AA20" s="453">
        <f t="shared" si="8"/>
        <v>10.416666666666666</v>
      </c>
      <c r="AB20" s="443">
        <f t="shared" si="9"/>
        <v>10.416666666666666</v>
      </c>
      <c r="AC20" s="454">
        <v>1.3</v>
      </c>
      <c r="AD20" s="454">
        <v>1.325</v>
      </c>
      <c r="AE20" s="454">
        <v>1.25</v>
      </c>
      <c r="AF20" s="455">
        <v>2500</v>
      </c>
      <c r="AG20" s="456">
        <v>2500</v>
      </c>
      <c r="AH20" s="158">
        <v>830</v>
      </c>
      <c r="AI20" s="158">
        <v>2818</v>
      </c>
      <c r="AJ20" s="158">
        <v>6295</v>
      </c>
      <c r="AK20" s="158">
        <v>19050</v>
      </c>
      <c r="AL20" s="158">
        <v>22050</v>
      </c>
      <c r="AM20" s="457">
        <f t="shared" si="10"/>
        <v>410020</v>
      </c>
      <c r="AN20" s="458">
        <f t="shared" si="11"/>
        <v>1120155</v>
      </c>
      <c r="AO20" s="458">
        <f t="shared" si="12"/>
        <v>1967187.5</v>
      </c>
      <c r="AP20" s="458">
        <f t="shared" si="13"/>
        <v>95250</v>
      </c>
      <c r="AQ20" s="459">
        <f t="shared" si="14"/>
        <v>110250</v>
      </c>
      <c r="AR20" s="457">
        <f>SUM(Tabla1[[#This Row],[COSTO OPERATIVO ACIDO]:[COSTO OPERATIVO CATIONICO]])</f>
        <v>3702862.5</v>
      </c>
      <c r="AS20" s="458">
        <v>3599</v>
      </c>
      <c r="AT20" s="460">
        <f>AR20/L20</f>
        <v>7714.296875</v>
      </c>
    </row>
    <row r="21" spans="1:46" s="172" customFormat="1" ht="14.95" thickBot="1" x14ac:dyDescent="0.3">
      <c r="A21" s="461">
        <f>A20</f>
        <v>46088</v>
      </c>
      <c r="B21" s="157">
        <f>DAY(Tabla1[[#This Row],[FECHA]])</f>
        <v>7</v>
      </c>
      <c r="C21" s="462" t="s">
        <v>252</v>
      </c>
      <c r="D21" s="463">
        <v>20</v>
      </c>
      <c r="E21" s="463" t="s">
        <v>77</v>
      </c>
      <c r="F21" s="464">
        <v>1900</v>
      </c>
      <c r="G21" s="464">
        <v>4300</v>
      </c>
      <c r="H21" s="464">
        <v>2500</v>
      </c>
      <c r="I21" s="464">
        <v>80</v>
      </c>
      <c r="J21" s="464">
        <v>160</v>
      </c>
      <c r="K21" s="483">
        <v>17336</v>
      </c>
      <c r="L21" s="478">
        <f>+(K22-Tabla1[[#This Row],[Lectura Horometro INICIAL (06:00)]])*Tabla1[[#This Row],[CAUDAL DE TRATAMIENTO]]</f>
        <v>480</v>
      </c>
      <c r="M21" s="479">
        <v>80</v>
      </c>
      <c r="N21" s="444">
        <f t="shared" si="16"/>
        <v>325</v>
      </c>
      <c r="O21" s="498">
        <f t="shared" si="17"/>
        <v>165</v>
      </c>
      <c r="P21" s="444">
        <f t="shared" si="18"/>
        <v>15</v>
      </c>
      <c r="Q21" s="444">
        <f t="shared" si="19"/>
        <v>2.5</v>
      </c>
      <c r="R21" s="445">
        <f t="shared" si="20"/>
        <v>5</v>
      </c>
      <c r="S21" s="452">
        <f t="shared" si="2"/>
        <v>422.5</v>
      </c>
      <c r="T21" s="453">
        <f>(O21*$AD$2)</f>
        <v>218.625</v>
      </c>
      <c r="U21" s="453">
        <f t="shared" si="4"/>
        <v>18.75</v>
      </c>
      <c r="V21" s="466">
        <f>Tabla1[[#This Row],[CONSUMO POL ANIONICO (KG)]]</f>
        <v>2.5</v>
      </c>
      <c r="W21" s="445">
        <f>Tabla1[[#This Row],[CONSUMO POL CATIONICO (KG)]]</f>
        <v>5</v>
      </c>
      <c r="X21" s="467">
        <f t="shared" si="5"/>
        <v>880.20833333333337</v>
      </c>
      <c r="Y21" s="466">
        <f t="shared" si="6"/>
        <v>455.46875</v>
      </c>
      <c r="Z21" s="466">
        <f t="shared" si="7"/>
        <v>39.0625</v>
      </c>
      <c r="AA21" s="466">
        <f t="shared" si="8"/>
        <v>5.208333333333333</v>
      </c>
      <c r="AB21" s="445">
        <f t="shared" si="9"/>
        <v>10.416666666666666</v>
      </c>
      <c r="AC21" s="454">
        <v>1.3</v>
      </c>
      <c r="AD21" s="454">
        <v>1.325</v>
      </c>
      <c r="AE21" s="454">
        <v>1.25</v>
      </c>
      <c r="AF21" s="455">
        <v>2500</v>
      </c>
      <c r="AG21" s="456">
        <v>2500</v>
      </c>
      <c r="AH21" s="158">
        <v>830</v>
      </c>
      <c r="AI21" s="158">
        <v>2818</v>
      </c>
      <c r="AJ21" s="158">
        <v>6295</v>
      </c>
      <c r="AK21" s="158">
        <v>19050</v>
      </c>
      <c r="AL21" s="158">
        <v>22050</v>
      </c>
      <c r="AM21" s="468">
        <f t="shared" si="10"/>
        <v>350675</v>
      </c>
      <c r="AN21" s="460">
        <f t="shared" si="11"/>
        <v>616085.25</v>
      </c>
      <c r="AO21" s="460">
        <f t="shared" si="12"/>
        <v>118031.25</v>
      </c>
      <c r="AP21" s="460">
        <f t="shared" si="13"/>
        <v>47625</v>
      </c>
      <c r="AQ21" s="469">
        <f t="shared" si="14"/>
        <v>110250</v>
      </c>
      <c r="AR21" s="468">
        <f>SUM(Tabla1[[#This Row],[COSTO OPERATIVO ACIDO]:[COSTO OPERATIVO CATIONICO]])</f>
        <v>1242666.5</v>
      </c>
      <c r="AS21" s="458">
        <v>3599</v>
      </c>
      <c r="AT21" s="460">
        <f t="shared" si="15"/>
        <v>2588.8885416666667</v>
      </c>
    </row>
    <row r="22" spans="1:46" s="172" customFormat="1" ht="14.95" thickBot="1" x14ac:dyDescent="0.3">
      <c r="A22" s="470">
        <f>A21</f>
        <v>46088</v>
      </c>
      <c r="B22" s="157">
        <f>DAY(Tabla1[[#This Row],[FECHA]])</f>
        <v>7</v>
      </c>
      <c r="C22" s="471" t="s">
        <v>30</v>
      </c>
      <c r="D22" s="472">
        <v>21</v>
      </c>
      <c r="E22" s="472" t="s">
        <v>76</v>
      </c>
      <c r="F22" s="464">
        <v>1575</v>
      </c>
      <c r="G22" s="465">
        <v>4135</v>
      </c>
      <c r="H22" s="465">
        <f>+AVERAGE(H21,H23)</f>
        <v>2485</v>
      </c>
      <c r="I22" s="465">
        <v>77.5</v>
      </c>
      <c r="J22" s="465">
        <v>155</v>
      </c>
      <c r="K22" s="484">
        <v>17342</v>
      </c>
      <c r="L22" s="485">
        <f>+(K23-Tabla1[[#This Row],[Lectura Horometro INICIAL (06:00)]])*Tabla1[[#This Row],[CAUDAL DE TRATAMIENTO]]</f>
        <v>320</v>
      </c>
      <c r="M22" s="486">
        <v>80</v>
      </c>
      <c r="N22" s="446">
        <f t="shared" si="16"/>
        <v>325</v>
      </c>
      <c r="O22" s="499">
        <f t="shared" si="17"/>
        <v>165</v>
      </c>
      <c r="P22" s="446">
        <f t="shared" si="18"/>
        <v>15</v>
      </c>
      <c r="Q22" s="446">
        <f>I22-I23</f>
        <v>2.5</v>
      </c>
      <c r="R22" s="447">
        <f t="shared" si="20"/>
        <v>5</v>
      </c>
      <c r="S22" s="452">
        <f t="shared" si="2"/>
        <v>422.5</v>
      </c>
      <c r="T22" s="453">
        <f t="shared" si="3"/>
        <v>218.625</v>
      </c>
      <c r="U22" s="453">
        <f t="shared" si="4"/>
        <v>18.75</v>
      </c>
      <c r="V22" s="473">
        <f>Tabla1[[#This Row],[CONSUMO POL ANIONICO (KG)]]</f>
        <v>2.5</v>
      </c>
      <c r="W22" s="447">
        <f>Tabla1[[#This Row],[CONSUMO POL CATIONICO (KG)]]</f>
        <v>5</v>
      </c>
      <c r="X22" s="467">
        <f t="shared" si="5"/>
        <v>1320.3125</v>
      </c>
      <c r="Y22" s="473">
        <f t="shared" si="6"/>
        <v>683.203125</v>
      </c>
      <c r="Z22" s="473">
        <f t="shared" si="7"/>
        <v>58.59375</v>
      </c>
      <c r="AA22" s="473">
        <f t="shared" si="8"/>
        <v>7.8125</v>
      </c>
      <c r="AB22" s="447">
        <f t="shared" si="9"/>
        <v>15.625</v>
      </c>
      <c r="AC22" s="454">
        <v>1.3</v>
      </c>
      <c r="AD22" s="454">
        <v>1.325</v>
      </c>
      <c r="AE22" s="454">
        <v>1.25</v>
      </c>
      <c r="AF22" s="455">
        <v>2500</v>
      </c>
      <c r="AG22" s="456">
        <v>2500</v>
      </c>
      <c r="AH22" s="158">
        <v>830</v>
      </c>
      <c r="AI22" s="158">
        <v>2818</v>
      </c>
      <c r="AJ22" s="158">
        <v>6295</v>
      </c>
      <c r="AK22" s="158">
        <v>19050</v>
      </c>
      <c r="AL22" s="158">
        <v>22050</v>
      </c>
      <c r="AM22" s="468">
        <f t="shared" si="10"/>
        <v>350675</v>
      </c>
      <c r="AN22" s="474">
        <f t="shared" si="11"/>
        <v>616085.25</v>
      </c>
      <c r="AO22" s="474">
        <f t="shared" si="12"/>
        <v>118031.25</v>
      </c>
      <c r="AP22" s="474">
        <f t="shared" si="13"/>
        <v>47625</v>
      </c>
      <c r="AQ22" s="475">
        <f t="shared" si="14"/>
        <v>110250</v>
      </c>
      <c r="AR22" s="468">
        <f>SUM(Tabla1[[#This Row],[COSTO OPERATIVO ACIDO]:[COSTO OPERATIVO CATIONICO]])</f>
        <v>1242666.5</v>
      </c>
      <c r="AS22" s="458">
        <v>3599</v>
      </c>
      <c r="AT22" s="460">
        <f t="shared" si="15"/>
        <v>3883.3328124999998</v>
      </c>
    </row>
    <row r="23" spans="1:46" s="172" customFormat="1" ht="14.95" thickBot="1" x14ac:dyDescent="0.3">
      <c r="A23" s="213">
        <v>46089</v>
      </c>
      <c r="B23" s="157">
        <f>DAY(Tabla1[[#This Row],[FECHA]])</f>
        <v>8</v>
      </c>
      <c r="C23" s="448" t="s">
        <v>253</v>
      </c>
      <c r="D23" s="449">
        <v>22</v>
      </c>
      <c r="E23" s="449" t="s">
        <v>75</v>
      </c>
      <c r="F23" s="450">
        <v>1250</v>
      </c>
      <c r="G23" s="451">
        <v>3970</v>
      </c>
      <c r="H23" s="451">
        <v>2470</v>
      </c>
      <c r="I23" s="451">
        <v>75</v>
      </c>
      <c r="J23" s="451">
        <v>150</v>
      </c>
      <c r="K23" s="480">
        <v>17346</v>
      </c>
      <c r="L23" s="481">
        <f>+(K24-Tabla1[[#This Row],[Lectura Horometro INICIAL (06:00)]])*Tabla1[[#This Row],[CAUDAL DE TRATAMIENTO]]</f>
        <v>0</v>
      </c>
      <c r="M23" s="482">
        <v>80</v>
      </c>
      <c r="N23" s="442">
        <f t="shared" ref="N23:P25" si="21">F23-F24</f>
        <v>0</v>
      </c>
      <c r="O23" s="497">
        <f t="shared" si="21"/>
        <v>0</v>
      </c>
      <c r="P23" s="442">
        <f t="shared" si="21"/>
        <v>0</v>
      </c>
      <c r="Q23" s="442">
        <f t="shared" si="19"/>
        <v>0</v>
      </c>
      <c r="R23" s="443">
        <f t="shared" si="20"/>
        <v>0</v>
      </c>
      <c r="S23" s="452">
        <f t="shared" si="2"/>
        <v>0</v>
      </c>
      <c r="T23" s="453">
        <f t="shared" si="3"/>
        <v>0</v>
      </c>
      <c r="U23" s="453">
        <f t="shared" si="4"/>
        <v>0</v>
      </c>
      <c r="V23" s="453">
        <f>Tabla1[[#This Row],[CONSUMO POL ANIONICO (KG)]]</f>
        <v>0</v>
      </c>
      <c r="W23" s="443">
        <f>Tabla1[[#This Row],[CONSUMO POL CATIONICO (KG)]]</f>
        <v>0</v>
      </c>
      <c r="X23" s="452" t="e">
        <f t="shared" si="5"/>
        <v>#DIV/0!</v>
      </c>
      <c r="Y23" s="453" t="e">
        <f t="shared" si="6"/>
        <v>#DIV/0!</v>
      </c>
      <c r="Z23" s="453" t="e">
        <f t="shared" si="7"/>
        <v>#DIV/0!</v>
      </c>
      <c r="AA23" s="453" t="e">
        <f t="shared" si="8"/>
        <v>#DIV/0!</v>
      </c>
      <c r="AB23" s="443" t="e">
        <f t="shared" si="9"/>
        <v>#DIV/0!</v>
      </c>
      <c r="AC23" s="454">
        <v>1.3</v>
      </c>
      <c r="AD23" s="454">
        <v>1.325</v>
      </c>
      <c r="AE23" s="454">
        <v>1.25</v>
      </c>
      <c r="AF23" s="455">
        <v>2500</v>
      </c>
      <c r="AG23" s="456">
        <v>2500</v>
      </c>
      <c r="AH23" s="158">
        <v>830</v>
      </c>
      <c r="AI23" s="158">
        <v>2818</v>
      </c>
      <c r="AJ23" s="158">
        <v>6295</v>
      </c>
      <c r="AK23" s="158">
        <v>19050</v>
      </c>
      <c r="AL23" s="158">
        <v>22050</v>
      </c>
      <c r="AM23" s="457">
        <f t="shared" si="10"/>
        <v>0</v>
      </c>
      <c r="AN23" s="458">
        <f t="shared" si="11"/>
        <v>0</v>
      </c>
      <c r="AO23" s="458">
        <f t="shared" si="12"/>
        <v>0</v>
      </c>
      <c r="AP23" s="458">
        <f t="shared" si="13"/>
        <v>0</v>
      </c>
      <c r="AQ23" s="459">
        <f t="shared" si="14"/>
        <v>0</v>
      </c>
      <c r="AR23" s="457">
        <f>SUM(Tabla1[[#This Row],[COSTO OPERATIVO ACIDO]:[COSTO OPERATIVO CATIONICO]])</f>
        <v>0</v>
      </c>
      <c r="AS23" s="458">
        <v>3599</v>
      </c>
      <c r="AT23" s="460" t="e">
        <f t="shared" si="15"/>
        <v>#DIV/0!</v>
      </c>
    </row>
    <row r="24" spans="1:46" s="172" customFormat="1" ht="14.95" thickBot="1" x14ac:dyDescent="0.3">
      <c r="A24" s="461">
        <f>A23</f>
        <v>46089</v>
      </c>
      <c r="B24" s="157">
        <f>DAY(Tabla1[[#This Row],[FECHA]])</f>
        <v>8</v>
      </c>
      <c r="C24" s="462" t="s">
        <v>254</v>
      </c>
      <c r="D24" s="463">
        <v>23</v>
      </c>
      <c r="E24" s="463" t="s">
        <v>77</v>
      </c>
      <c r="F24" s="464">
        <v>1250</v>
      </c>
      <c r="G24" s="465">
        <v>3970</v>
      </c>
      <c r="H24" s="465">
        <v>2470</v>
      </c>
      <c r="I24" s="465">
        <v>75</v>
      </c>
      <c r="J24" s="465">
        <v>150</v>
      </c>
      <c r="K24" s="480">
        <v>17346</v>
      </c>
      <c r="L24" s="478">
        <f>+(K25-Tabla1[[#This Row],[Lectura Horometro INICIAL (06:00)]])*Tabla1[[#This Row],[CAUDAL DE TRATAMIENTO]]</f>
        <v>0</v>
      </c>
      <c r="M24" s="479">
        <v>80</v>
      </c>
      <c r="N24" s="444">
        <f t="shared" si="21"/>
        <v>0</v>
      </c>
      <c r="O24" s="498">
        <f t="shared" si="21"/>
        <v>0</v>
      </c>
      <c r="P24" s="444">
        <f t="shared" si="21"/>
        <v>0</v>
      </c>
      <c r="Q24" s="444">
        <f t="shared" si="19"/>
        <v>0</v>
      </c>
      <c r="R24" s="445">
        <f t="shared" si="20"/>
        <v>0</v>
      </c>
      <c r="S24" s="452">
        <f t="shared" si="2"/>
        <v>0</v>
      </c>
      <c r="T24" s="453">
        <f t="shared" si="3"/>
        <v>0</v>
      </c>
      <c r="U24" s="453">
        <f t="shared" si="4"/>
        <v>0</v>
      </c>
      <c r="V24" s="466">
        <f>Tabla1[[#This Row],[CONSUMO POL ANIONICO (KG)]]</f>
        <v>0</v>
      </c>
      <c r="W24" s="445">
        <f>Tabla1[[#This Row],[CONSUMO POL CATIONICO (KG)]]</f>
        <v>0</v>
      </c>
      <c r="X24" s="467" t="e">
        <f t="shared" si="5"/>
        <v>#DIV/0!</v>
      </c>
      <c r="Y24" s="466" t="e">
        <f t="shared" si="6"/>
        <v>#DIV/0!</v>
      </c>
      <c r="Z24" s="466" t="e">
        <f t="shared" si="7"/>
        <v>#DIV/0!</v>
      </c>
      <c r="AA24" s="466" t="e">
        <f t="shared" si="8"/>
        <v>#DIV/0!</v>
      </c>
      <c r="AB24" s="445" t="e">
        <f t="shared" si="9"/>
        <v>#DIV/0!</v>
      </c>
      <c r="AC24" s="454">
        <v>1.3</v>
      </c>
      <c r="AD24" s="454">
        <v>1.325</v>
      </c>
      <c r="AE24" s="454">
        <v>1.25</v>
      </c>
      <c r="AF24" s="455">
        <v>2500</v>
      </c>
      <c r="AG24" s="456">
        <v>2500</v>
      </c>
      <c r="AH24" s="158">
        <v>830</v>
      </c>
      <c r="AI24" s="158">
        <v>2818</v>
      </c>
      <c r="AJ24" s="158">
        <v>6295</v>
      </c>
      <c r="AK24" s="158">
        <v>19050</v>
      </c>
      <c r="AL24" s="158">
        <v>22050</v>
      </c>
      <c r="AM24" s="468">
        <f t="shared" si="10"/>
        <v>0</v>
      </c>
      <c r="AN24" s="460">
        <f t="shared" si="11"/>
        <v>0</v>
      </c>
      <c r="AO24" s="460">
        <f t="shared" si="12"/>
        <v>0</v>
      </c>
      <c r="AP24" s="460">
        <f t="shared" si="13"/>
        <v>0</v>
      </c>
      <c r="AQ24" s="469">
        <f t="shared" si="14"/>
        <v>0</v>
      </c>
      <c r="AR24" s="468">
        <f>SUM(Tabla1[[#This Row],[COSTO OPERATIVO ACIDO]:[COSTO OPERATIVO CATIONICO]])</f>
        <v>0</v>
      </c>
      <c r="AS24" s="458">
        <v>3599</v>
      </c>
      <c r="AT24" s="460" t="e">
        <f t="shared" si="15"/>
        <v>#DIV/0!</v>
      </c>
    </row>
    <row r="25" spans="1:46" s="172" customFormat="1" ht="14.95" thickBot="1" x14ac:dyDescent="0.3">
      <c r="A25" s="470">
        <f>A24</f>
        <v>46089</v>
      </c>
      <c r="B25" s="157">
        <f>DAY(Tabla1[[#This Row],[FECHA]])</f>
        <v>8</v>
      </c>
      <c r="C25" s="471" t="s">
        <v>30</v>
      </c>
      <c r="D25" s="472">
        <v>24</v>
      </c>
      <c r="E25" s="472" t="s">
        <v>76</v>
      </c>
      <c r="F25" s="464">
        <v>1250</v>
      </c>
      <c r="G25" s="465">
        <v>3970</v>
      </c>
      <c r="H25" s="465">
        <v>2470</v>
      </c>
      <c r="I25" s="465">
        <v>75</v>
      </c>
      <c r="J25" s="465">
        <v>150</v>
      </c>
      <c r="K25" s="480">
        <v>17346</v>
      </c>
      <c r="L25" s="485">
        <f>+(K26-Tabla1[[#This Row],[Lectura Horometro INICIAL (06:00)]])*Tabla1[[#This Row],[CAUDAL DE TRATAMIENTO]]</f>
        <v>0</v>
      </c>
      <c r="M25" s="486">
        <v>80</v>
      </c>
      <c r="N25" s="446">
        <f t="shared" si="21"/>
        <v>0</v>
      </c>
      <c r="O25" s="499">
        <f t="shared" si="21"/>
        <v>0</v>
      </c>
      <c r="P25" s="446">
        <f t="shared" si="21"/>
        <v>0</v>
      </c>
      <c r="Q25" s="446">
        <f t="shared" si="19"/>
        <v>0</v>
      </c>
      <c r="R25" s="447">
        <f t="shared" si="20"/>
        <v>0</v>
      </c>
      <c r="S25" s="452">
        <f t="shared" si="2"/>
        <v>0</v>
      </c>
      <c r="T25" s="453">
        <f t="shared" si="3"/>
        <v>0</v>
      </c>
      <c r="U25" s="453">
        <f t="shared" si="4"/>
        <v>0</v>
      </c>
      <c r="V25" s="473">
        <f>Tabla1[[#This Row],[CONSUMO POL ANIONICO (KG)]]</f>
        <v>0</v>
      </c>
      <c r="W25" s="447">
        <f>Tabla1[[#This Row],[CONSUMO POL CATIONICO (KG)]]</f>
        <v>0</v>
      </c>
      <c r="X25" s="467" t="e">
        <f t="shared" si="5"/>
        <v>#DIV/0!</v>
      </c>
      <c r="Y25" s="473" t="e">
        <f t="shared" si="6"/>
        <v>#DIV/0!</v>
      </c>
      <c r="Z25" s="473" t="e">
        <f t="shared" si="7"/>
        <v>#DIV/0!</v>
      </c>
      <c r="AA25" s="473" t="e">
        <f t="shared" si="8"/>
        <v>#DIV/0!</v>
      </c>
      <c r="AB25" s="447" t="e">
        <f t="shared" si="9"/>
        <v>#DIV/0!</v>
      </c>
      <c r="AC25" s="454">
        <v>1.3</v>
      </c>
      <c r="AD25" s="454">
        <v>1.325</v>
      </c>
      <c r="AE25" s="454">
        <v>1.25</v>
      </c>
      <c r="AF25" s="455">
        <v>2500</v>
      </c>
      <c r="AG25" s="456">
        <v>2500</v>
      </c>
      <c r="AH25" s="158">
        <v>830</v>
      </c>
      <c r="AI25" s="158">
        <v>2818</v>
      </c>
      <c r="AJ25" s="158">
        <v>6295</v>
      </c>
      <c r="AK25" s="158">
        <v>19050</v>
      </c>
      <c r="AL25" s="158">
        <v>22050</v>
      </c>
      <c r="AM25" s="468">
        <f t="shared" si="10"/>
        <v>0</v>
      </c>
      <c r="AN25" s="474">
        <f t="shared" si="11"/>
        <v>0</v>
      </c>
      <c r="AO25" s="474">
        <f t="shared" si="12"/>
        <v>0</v>
      </c>
      <c r="AP25" s="474">
        <f t="shared" si="13"/>
        <v>0</v>
      </c>
      <c r="AQ25" s="475">
        <f t="shared" si="14"/>
        <v>0</v>
      </c>
      <c r="AR25" s="468">
        <f>SUM(Tabla1[[#This Row],[COSTO OPERATIVO ACIDO]:[COSTO OPERATIVO CATIONICO]])</f>
        <v>0</v>
      </c>
      <c r="AS25" s="458">
        <v>3599</v>
      </c>
      <c r="AT25" s="460" t="e">
        <f t="shared" si="15"/>
        <v>#DIV/0!</v>
      </c>
    </row>
    <row r="26" spans="1:46" s="172" customFormat="1" ht="14.95" thickBot="1" x14ac:dyDescent="0.3">
      <c r="A26" s="213">
        <v>46090</v>
      </c>
      <c r="B26" s="157">
        <f>DAY(Tabla1[[#This Row],[FECHA]])</f>
        <v>9</v>
      </c>
      <c r="C26" s="448" t="s">
        <v>255</v>
      </c>
      <c r="D26" s="449">
        <v>25</v>
      </c>
      <c r="E26" s="449" t="s">
        <v>75</v>
      </c>
      <c r="F26" s="450">
        <v>1250</v>
      </c>
      <c r="G26" s="451">
        <v>3970</v>
      </c>
      <c r="H26" s="451">
        <v>2470</v>
      </c>
      <c r="I26" s="451">
        <v>75</v>
      </c>
      <c r="J26" s="451">
        <v>150</v>
      </c>
      <c r="K26" s="480">
        <v>17346</v>
      </c>
      <c r="L26" s="481">
        <f>+(K27-Tabla1[[#This Row],[Lectura Horometro INICIAL (06:00)]])*Tabla1[[#This Row],[CAUDAL DE TRATAMIENTO]]</f>
        <v>480</v>
      </c>
      <c r="M26" s="482">
        <v>80</v>
      </c>
      <c r="N26" s="442">
        <f>F26-F27</f>
        <v>50</v>
      </c>
      <c r="O26" s="497">
        <f t="shared" si="17"/>
        <v>520</v>
      </c>
      <c r="P26" s="442">
        <f>H26-H27</f>
        <v>70</v>
      </c>
      <c r="Q26" s="442">
        <f>I26-I27</f>
        <v>0</v>
      </c>
      <c r="R26" s="443">
        <f>J26-J27</f>
        <v>5</v>
      </c>
      <c r="S26" s="452">
        <f t="shared" si="2"/>
        <v>65</v>
      </c>
      <c r="T26" s="453">
        <f t="shared" si="3"/>
        <v>689</v>
      </c>
      <c r="U26" s="453">
        <f t="shared" si="4"/>
        <v>87.5</v>
      </c>
      <c r="V26" s="453">
        <f>Tabla1[[#This Row],[CONSUMO POL ANIONICO (KG)]]</f>
        <v>0</v>
      </c>
      <c r="W26" s="443">
        <f>Tabla1[[#This Row],[CONSUMO POL CATIONICO (KG)]]</f>
        <v>5</v>
      </c>
      <c r="X26" s="452">
        <f t="shared" si="5"/>
        <v>135.41666666666666</v>
      </c>
      <c r="Y26" s="453">
        <f t="shared" si="6"/>
        <v>1435.4166666666667</v>
      </c>
      <c r="Z26" s="453">
        <f t="shared" si="7"/>
        <v>182.29166666666666</v>
      </c>
      <c r="AA26" s="453">
        <f t="shared" si="8"/>
        <v>0</v>
      </c>
      <c r="AB26" s="443">
        <f t="shared" si="9"/>
        <v>10.416666666666666</v>
      </c>
      <c r="AC26" s="454">
        <v>1.3</v>
      </c>
      <c r="AD26" s="454">
        <v>1.325</v>
      </c>
      <c r="AE26" s="454">
        <v>1.25</v>
      </c>
      <c r="AF26" s="455">
        <v>2500</v>
      </c>
      <c r="AG26" s="456">
        <v>2500</v>
      </c>
      <c r="AH26" s="158">
        <v>830</v>
      </c>
      <c r="AI26" s="158">
        <v>2818</v>
      </c>
      <c r="AJ26" s="158">
        <v>6295</v>
      </c>
      <c r="AK26" s="158">
        <v>19050</v>
      </c>
      <c r="AL26" s="158">
        <v>22050</v>
      </c>
      <c r="AM26" s="457">
        <f t="shared" si="10"/>
        <v>53950</v>
      </c>
      <c r="AN26" s="458">
        <f t="shared" si="11"/>
        <v>1941602</v>
      </c>
      <c r="AO26" s="458">
        <f t="shared" si="12"/>
        <v>550812.5</v>
      </c>
      <c r="AP26" s="458">
        <f t="shared" si="13"/>
        <v>0</v>
      </c>
      <c r="AQ26" s="459">
        <f t="shared" si="14"/>
        <v>110250</v>
      </c>
      <c r="AR26" s="457">
        <f>SUM(Tabla1[[#This Row],[COSTO OPERATIVO ACIDO]:[COSTO OPERATIVO CATIONICO]])</f>
        <v>2656614.5</v>
      </c>
      <c r="AS26" s="458">
        <v>3599</v>
      </c>
      <c r="AT26" s="460">
        <f t="shared" si="15"/>
        <v>5534.6135416666666</v>
      </c>
    </row>
    <row r="27" spans="1:46" s="487" customFormat="1" ht="14.95" thickBot="1" x14ac:dyDescent="0.3">
      <c r="A27" s="461">
        <f>A26</f>
        <v>46090</v>
      </c>
      <c r="B27" s="157">
        <f>DAY(Tabla1[[#This Row],[FECHA]])</f>
        <v>9</v>
      </c>
      <c r="C27" s="462" t="s">
        <v>256</v>
      </c>
      <c r="D27" s="463">
        <v>26</v>
      </c>
      <c r="E27" s="463" t="s">
        <v>77</v>
      </c>
      <c r="F27" s="464">
        <v>1200</v>
      </c>
      <c r="G27" s="465">
        <v>3450</v>
      </c>
      <c r="H27" s="465">
        <v>2400</v>
      </c>
      <c r="I27" s="465">
        <v>75</v>
      </c>
      <c r="J27" s="465">
        <v>145</v>
      </c>
      <c r="K27" s="483">
        <v>17352</v>
      </c>
      <c r="L27" s="478">
        <f>+(K28-Tabla1[[#This Row],[Lectura Horometro INICIAL (06:00)]])*Tabla1[[#This Row],[CAUDAL DE TRATAMIENTO]]</f>
        <v>400</v>
      </c>
      <c r="M27" s="479">
        <v>80</v>
      </c>
      <c r="N27" s="444">
        <f t="shared" si="16"/>
        <v>350</v>
      </c>
      <c r="O27" s="516">
        <f>G27-G28-100</f>
        <v>200</v>
      </c>
      <c r="P27" s="444">
        <f t="shared" si="18"/>
        <v>100</v>
      </c>
      <c r="Q27" s="444">
        <f t="shared" si="19"/>
        <v>0</v>
      </c>
      <c r="R27" s="445">
        <f t="shared" si="20"/>
        <v>5</v>
      </c>
      <c r="S27" s="452">
        <f t="shared" si="2"/>
        <v>455</v>
      </c>
      <c r="T27" s="453">
        <f t="shared" si="3"/>
        <v>265</v>
      </c>
      <c r="U27" s="453">
        <f t="shared" si="4"/>
        <v>125</v>
      </c>
      <c r="V27" s="466">
        <f>Tabla1[[#This Row],[CONSUMO POL ANIONICO (KG)]]</f>
        <v>0</v>
      </c>
      <c r="W27" s="445">
        <f>Tabla1[[#This Row],[CONSUMO POL CATIONICO (KG)]]</f>
        <v>5</v>
      </c>
      <c r="X27" s="467">
        <f t="shared" si="5"/>
        <v>1137.5</v>
      </c>
      <c r="Y27" s="466">
        <f t="shared" si="6"/>
        <v>662.5</v>
      </c>
      <c r="Z27" s="466">
        <f t="shared" si="7"/>
        <v>312.5</v>
      </c>
      <c r="AA27" s="466">
        <f t="shared" si="8"/>
        <v>0</v>
      </c>
      <c r="AB27" s="445">
        <f t="shared" si="9"/>
        <v>12.5</v>
      </c>
      <c r="AC27" s="454">
        <v>1.3</v>
      </c>
      <c r="AD27" s="454">
        <v>1.325</v>
      </c>
      <c r="AE27" s="454">
        <v>1.25</v>
      </c>
      <c r="AF27" s="455">
        <v>2500</v>
      </c>
      <c r="AG27" s="456">
        <v>2500</v>
      </c>
      <c r="AH27" s="158">
        <v>830</v>
      </c>
      <c r="AI27" s="158">
        <v>2818</v>
      </c>
      <c r="AJ27" s="158">
        <v>6295</v>
      </c>
      <c r="AK27" s="158">
        <v>19050</v>
      </c>
      <c r="AL27" s="158">
        <v>22050</v>
      </c>
      <c r="AM27" s="468">
        <f t="shared" si="10"/>
        <v>377650</v>
      </c>
      <c r="AN27" s="460">
        <f t="shared" si="11"/>
        <v>746770</v>
      </c>
      <c r="AO27" s="460">
        <f t="shared" si="12"/>
        <v>786875</v>
      </c>
      <c r="AP27" s="460">
        <f t="shared" si="13"/>
        <v>0</v>
      </c>
      <c r="AQ27" s="469">
        <f t="shared" si="14"/>
        <v>110250</v>
      </c>
      <c r="AR27" s="468">
        <f>SUM(Tabla1[[#This Row],[COSTO OPERATIVO ACIDO]:[COSTO OPERATIVO CATIONICO]])</f>
        <v>2021545</v>
      </c>
      <c r="AS27" s="458">
        <v>3599</v>
      </c>
      <c r="AT27" s="460">
        <f t="shared" si="15"/>
        <v>5053.8625000000002</v>
      </c>
    </row>
    <row r="28" spans="1:46" s="487" customFormat="1" ht="14.95" thickBot="1" x14ac:dyDescent="0.3">
      <c r="A28" s="470">
        <f>A27</f>
        <v>46090</v>
      </c>
      <c r="B28" s="157">
        <f>DAY(Tabla1[[#This Row],[FECHA]])</f>
        <v>9</v>
      </c>
      <c r="C28" s="471" t="s">
        <v>30</v>
      </c>
      <c r="D28" s="472">
        <v>27</v>
      </c>
      <c r="E28" s="472" t="s">
        <v>76</v>
      </c>
      <c r="F28" s="464">
        <v>850</v>
      </c>
      <c r="G28" s="465">
        <v>3150</v>
      </c>
      <c r="H28" s="465">
        <v>2300</v>
      </c>
      <c r="I28" s="465">
        <v>75</v>
      </c>
      <c r="J28" s="465">
        <v>140</v>
      </c>
      <c r="K28" s="484">
        <v>17357</v>
      </c>
      <c r="L28" s="485">
        <f>+(K29-Tabla1[[#This Row],[Lectura Horometro INICIAL (06:00)]])*Tabla1[[#This Row],[CAUDAL DE TRATAMIENTO]]</f>
        <v>640</v>
      </c>
      <c r="M28" s="486">
        <v>80</v>
      </c>
      <c r="N28" s="446">
        <f t="shared" si="16"/>
        <v>320</v>
      </c>
      <c r="O28" s="499">
        <f>G28-G29</f>
        <v>100</v>
      </c>
      <c r="P28" s="446">
        <f t="shared" si="18"/>
        <v>70</v>
      </c>
      <c r="Q28" s="446">
        <f t="shared" si="19"/>
        <v>5</v>
      </c>
      <c r="R28" s="447">
        <f t="shared" si="20"/>
        <v>5</v>
      </c>
      <c r="S28" s="452">
        <f t="shared" si="2"/>
        <v>416</v>
      </c>
      <c r="T28" s="453">
        <f t="shared" si="3"/>
        <v>132.5</v>
      </c>
      <c r="U28" s="453">
        <f t="shared" si="4"/>
        <v>87.5</v>
      </c>
      <c r="V28" s="473">
        <f>Tabla1[[#This Row],[CONSUMO POL ANIONICO (KG)]]</f>
        <v>5</v>
      </c>
      <c r="W28" s="447">
        <f>Tabla1[[#This Row],[CONSUMO POL CATIONICO (KG)]]</f>
        <v>5</v>
      </c>
      <c r="X28" s="467">
        <f t="shared" si="5"/>
        <v>650</v>
      </c>
      <c r="Y28" s="473">
        <f t="shared" si="6"/>
        <v>207.03125</v>
      </c>
      <c r="Z28" s="473">
        <f t="shared" si="7"/>
        <v>136.71875</v>
      </c>
      <c r="AA28" s="473">
        <f t="shared" si="8"/>
        <v>7.8125</v>
      </c>
      <c r="AB28" s="447">
        <f t="shared" si="9"/>
        <v>7.8125</v>
      </c>
      <c r="AC28" s="454">
        <v>1.3</v>
      </c>
      <c r="AD28" s="454">
        <v>1.325</v>
      </c>
      <c r="AE28" s="454">
        <v>1.25</v>
      </c>
      <c r="AF28" s="455">
        <v>2500</v>
      </c>
      <c r="AG28" s="456">
        <v>2500</v>
      </c>
      <c r="AH28" s="158">
        <v>830</v>
      </c>
      <c r="AI28" s="158">
        <v>2818</v>
      </c>
      <c r="AJ28" s="158">
        <v>6295</v>
      </c>
      <c r="AK28" s="158">
        <v>19050</v>
      </c>
      <c r="AL28" s="158">
        <v>22050</v>
      </c>
      <c r="AM28" s="468">
        <f t="shared" si="10"/>
        <v>345280</v>
      </c>
      <c r="AN28" s="474">
        <f t="shared" si="11"/>
        <v>373385</v>
      </c>
      <c r="AO28" s="474">
        <f t="shared" si="12"/>
        <v>550812.5</v>
      </c>
      <c r="AP28" s="474">
        <f t="shared" si="13"/>
        <v>95250</v>
      </c>
      <c r="AQ28" s="475">
        <f t="shared" si="14"/>
        <v>110250</v>
      </c>
      <c r="AR28" s="468">
        <f>SUM(Tabla1[[#This Row],[COSTO OPERATIVO ACIDO]:[COSTO OPERATIVO CATIONICO]])</f>
        <v>1474977.5</v>
      </c>
      <c r="AS28" s="458">
        <v>3599</v>
      </c>
      <c r="AT28" s="460">
        <f t="shared" si="15"/>
        <v>2304.65234375</v>
      </c>
    </row>
    <row r="29" spans="1:46" s="487" customFormat="1" ht="14.95" thickBot="1" x14ac:dyDescent="0.3">
      <c r="A29" s="213">
        <v>46091</v>
      </c>
      <c r="B29" s="157">
        <f>DAY(Tabla1[[#This Row],[FECHA]])</f>
        <v>10</v>
      </c>
      <c r="C29" s="448" t="s">
        <v>257</v>
      </c>
      <c r="D29" s="449">
        <v>28</v>
      </c>
      <c r="E29" s="449" t="s">
        <v>75</v>
      </c>
      <c r="F29" s="450">
        <v>530</v>
      </c>
      <c r="G29" s="451">
        <v>3050</v>
      </c>
      <c r="H29" s="451">
        <v>2230</v>
      </c>
      <c r="I29" s="451">
        <v>70</v>
      </c>
      <c r="J29" s="451">
        <v>135</v>
      </c>
      <c r="K29" s="480">
        <v>17365</v>
      </c>
      <c r="L29" s="481">
        <f>+(K30-Tabla1[[#This Row],[Lectura Horometro INICIAL (06:00)]])*Tabla1[[#This Row],[CAUDAL DE TRATAMIENTO]]</f>
        <v>640</v>
      </c>
      <c r="M29" s="482">
        <v>80</v>
      </c>
      <c r="N29" s="442">
        <f t="shared" si="16"/>
        <v>330</v>
      </c>
      <c r="O29" s="514">
        <f>G29-G30-150</f>
        <v>220</v>
      </c>
      <c r="P29" s="442">
        <f t="shared" si="18"/>
        <v>50</v>
      </c>
      <c r="Q29" s="442">
        <f t="shared" si="19"/>
        <v>0</v>
      </c>
      <c r="R29" s="443">
        <f t="shared" si="20"/>
        <v>5</v>
      </c>
      <c r="S29" s="452">
        <f t="shared" si="2"/>
        <v>429</v>
      </c>
      <c r="T29" s="453">
        <f t="shared" si="3"/>
        <v>291.5</v>
      </c>
      <c r="U29" s="453">
        <f t="shared" si="4"/>
        <v>62.5</v>
      </c>
      <c r="V29" s="453">
        <f>Tabla1[[#This Row],[CONSUMO POL ANIONICO (KG)]]</f>
        <v>0</v>
      </c>
      <c r="W29" s="443">
        <f>Tabla1[[#This Row],[CONSUMO POL CATIONICO (KG)]]</f>
        <v>5</v>
      </c>
      <c r="X29" s="452">
        <f t="shared" si="5"/>
        <v>670.3125</v>
      </c>
      <c r="Y29" s="453">
        <f t="shared" si="6"/>
        <v>455.46875</v>
      </c>
      <c r="Z29" s="453">
        <f t="shared" si="7"/>
        <v>97.65625</v>
      </c>
      <c r="AA29" s="453">
        <f t="shared" si="8"/>
        <v>0</v>
      </c>
      <c r="AB29" s="443">
        <f t="shared" si="9"/>
        <v>7.8125</v>
      </c>
      <c r="AC29" s="454">
        <v>1.3</v>
      </c>
      <c r="AD29" s="454">
        <v>1.325</v>
      </c>
      <c r="AE29" s="454">
        <v>1.25</v>
      </c>
      <c r="AF29" s="455">
        <v>2500</v>
      </c>
      <c r="AG29" s="456">
        <v>2500</v>
      </c>
      <c r="AH29" s="158">
        <v>830</v>
      </c>
      <c r="AI29" s="158">
        <v>2818</v>
      </c>
      <c r="AJ29" s="158">
        <v>6295</v>
      </c>
      <c r="AK29" s="158">
        <v>19050</v>
      </c>
      <c r="AL29" s="158">
        <v>22050</v>
      </c>
      <c r="AM29" s="457">
        <f t="shared" si="10"/>
        <v>356070</v>
      </c>
      <c r="AN29" s="458">
        <f t="shared" si="11"/>
        <v>821447</v>
      </c>
      <c r="AO29" s="458">
        <f t="shared" si="12"/>
        <v>393437.5</v>
      </c>
      <c r="AP29" s="458">
        <f t="shared" si="13"/>
        <v>0</v>
      </c>
      <c r="AQ29" s="459">
        <f t="shared" si="14"/>
        <v>110250</v>
      </c>
      <c r="AR29" s="457">
        <f>SUM(Tabla1[[#This Row],[COSTO OPERATIVO ACIDO]:[COSTO OPERATIVO CATIONICO]])</f>
        <v>1681204.5</v>
      </c>
      <c r="AS29" s="458">
        <v>3599</v>
      </c>
      <c r="AT29" s="460">
        <f t="shared" si="15"/>
        <v>2626.8820312500002</v>
      </c>
    </row>
    <row r="30" spans="1:46" s="487" customFormat="1" ht="14.95" thickBot="1" x14ac:dyDescent="0.3">
      <c r="A30" s="461">
        <f>A29</f>
        <v>46091</v>
      </c>
      <c r="B30" s="157">
        <f>DAY(Tabla1[[#This Row],[FECHA]])</f>
        <v>10</v>
      </c>
      <c r="C30" s="462" t="s">
        <v>258</v>
      </c>
      <c r="D30" s="463">
        <v>29</v>
      </c>
      <c r="E30" s="463" t="s">
        <v>77</v>
      </c>
      <c r="F30" s="464">
        <v>200</v>
      </c>
      <c r="G30" s="465">
        <v>2680</v>
      </c>
      <c r="H30" s="465">
        <v>2180</v>
      </c>
      <c r="I30" s="465">
        <v>70</v>
      </c>
      <c r="J30" s="465">
        <v>130</v>
      </c>
      <c r="K30" s="483">
        <v>17373</v>
      </c>
      <c r="L30" s="478">
        <f>+(K31-Tabla1[[#This Row],[Lectura Horometro INICIAL (06:00)]])*Tabla1[[#This Row],[CAUDAL DE TRATAMIENTO]]</f>
        <v>400</v>
      </c>
      <c r="M30" s="479">
        <v>80</v>
      </c>
      <c r="N30" s="444">
        <f t="shared" si="16"/>
        <v>200</v>
      </c>
      <c r="O30" s="498">
        <f t="shared" si="17"/>
        <v>170</v>
      </c>
      <c r="P30" s="444">
        <f t="shared" si="18"/>
        <v>180</v>
      </c>
      <c r="Q30" s="444">
        <f t="shared" si="19"/>
        <v>5</v>
      </c>
      <c r="R30" s="445">
        <f t="shared" si="20"/>
        <v>5</v>
      </c>
      <c r="S30" s="452">
        <f t="shared" si="2"/>
        <v>260</v>
      </c>
      <c r="T30" s="453">
        <f t="shared" si="3"/>
        <v>225.25</v>
      </c>
      <c r="U30" s="453">
        <f t="shared" si="4"/>
        <v>225</v>
      </c>
      <c r="V30" s="466">
        <f>Tabla1[[#This Row],[CONSUMO POL ANIONICO (KG)]]</f>
        <v>5</v>
      </c>
      <c r="W30" s="445">
        <f>Tabla1[[#This Row],[CONSUMO POL CATIONICO (KG)]]</f>
        <v>5</v>
      </c>
      <c r="X30" s="467">
        <f t="shared" si="5"/>
        <v>650</v>
      </c>
      <c r="Y30" s="466">
        <f t="shared" si="6"/>
        <v>563.125</v>
      </c>
      <c r="Z30" s="466">
        <f t="shared" si="7"/>
        <v>562.5</v>
      </c>
      <c r="AA30" s="466">
        <f t="shared" si="8"/>
        <v>12.5</v>
      </c>
      <c r="AB30" s="445">
        <f t="shared" si="9"/>
        <v>12.5</v>
      </c>
      <c r="AC30" s="454">
        <v>1.3</v>
      </c>
      <c r="AD30" s="454">
        <v>1.325</v>
      </c>
      <c r="AE30" s="454">
        <v>1.25</v>
      </c>
      <c r="AF30" s="455">
        <v>2500</v>
      </c>
      <c r="AG30" s="456">
        <v>2500</v>
      </c>
      <c r="AH30" s="158">
        <v>830</v>
      </c>
      <c r="AI30" s="158">
        <v>2818</v>
      </c>
      <c r="AJ30" s="158">
        <v>6295</v>
      </c>
      <c r="AK30" s="158">
        <v>19050</v>
      </c>
      <c r="AL30" s="158">
        <v>22050</v>
      </c>
      <c r="AM30" s="468">
        <f t="shared" si="10"/>
        <v>215800</v>
      </c>
      <c r="AN30" s="460">
        <f t="shared" si="11"/>
        <v>634754.5</v>
      </c>
      <c r="AO30" s="460">
        <f t="shared" si="12"/>
        <v>1416375</v>
      </c>
      <c r="AP30" s="460">
        <f t="shared" si="13"/>
        <v>95250</v>
      </c>
      <c r="AQ30" s="469">
        <f t="shared" si="14"/>
        <v>110250</v>
      </c>
      <c r="AR30" s="468">
        <f>SUM(Tabla1[[#This Row],[COSTO OPERATIVO ACIDO]:[COSTO OPERATIVO CATIONICO]])</f>
        <v>2472429.5</v>
      </c>
      <c r="AS30" s="458">
        <v>3599</v>
      </c>
      <c r="AT30" s="460">
        <f t="shared" si="15"/>
        <v>6181.0737499999996</v>
      </c>
    </row>
    <row r="31" spans="1:46" s="487" customFormat="1" ht="14.95" thickBot="1" x14ac:dyDescent="0.3">
      <c r="A31" s="470">
        <f>A30</f>
        <v>46091</v>
      </c>
      <c r="B31" s="157">
        <f>DAY(Tabla1[[#This Row],[FECHA]])</f>
        <v>10</v>
      </c>
      <c r="C31" s="471" t="s">
        <v>30</v>
      </c>
      <c r="D31" s="472">
        <v>30</v>
      </c>
      <c r="E31" s="472" t="s">
        <v>76</v>
      </c>
      <c r="F31" s="464">
        <v>0</v>
      </c>
      <c r="G31" s="465">
        <v>2510</v>
      </c>
      <c r="H31" s="465">
        <v>2000</v>
      </c>
      <c r="I31" s="465">
        <f>65</f>
        <v>65</v>
      </c>
      <c r="J31" s="465">
        <v>125</v>
      </c>
      <c r="K31" s="484">
        <v>17378</v>
      </c>
      <c r="L31" s="485">
        <f>+(K32-Tabla1[[#This Row],[Lectura Horometro INICIAL (06:00)]])*Tabla1[[#This Row],[CAUDAL DE TRATAMIENTO]]</f>
        <v>480</v>
      </c>
      <c r="M31" s="486">
        <v>80</v>
      </c>
      <c r="N31" s="511">
        <f>F31-F32+1000</f>
        <v>30</v>
      </c>
      <c r="O31" s="512">
        <f>G31-G32+2000</f>
        <v>210</v>
      </c>
      <c r="P31" s="511">
        <f>H31-H32+1000</f>
        <v>30</v>
      </c>
      <c r="Q31" s="511">
        <f>I31-I32+150</f>
        <v>0</v>
      </c>
      <c r="R31" s="515">
        <f>J31-J32+100</f>
        <v>5</v>
      </c>
      <c r="S31" s="452">
        <f t="shared" si="2"/>
        <v>39</v>
      </c>
      <c r="T31" s="453">
        <f t="shared" si="3"/>
        <v>278.25</v>
      </c>
      <c r="U31" s="453">
        <f t="shared" si="4"/>
        <v>37.5</v>
      </c>
      <c r="V31" s="473">
        <f>Tabla1[[#This Row],[CONSUMO POL ANIONICO (KG)]]</f>
        <v>0</v>
      </c>
      <c r="W31" s="447">
        <f>Tabla1[[#This Row],[CONSUMO POL CATIONICO (KG)]]</f>
        <v>5</v>
      </c>
      <c r="X31" s="467">
        <f t="shared" si="5"/>
        <v>81.25</v>
      </c>
      <c r="Y31" s="473">
        <f t="shared" si="6"/>
        <v>579.6875</v>
      </c>
      <c r="Z31" s="473">
        <f t="shared" si="7"/>
        <v>78.125</v>
      </c>
      <c r="AA31" s="473">
        <f t="shared" si="8"/>
        <v>0</v>
      </c>
      <c r="AB31" s="447">
        <f t="shared" si="9"/>
        <v>10.416666666666666</v>
      </c>
      <c r="AC31" s="454">
        <v>1.3</v>
      </c>
      <c r="AD31" s="454">
        <v>1.325</v>
      </c>
      <c r="AE31" s="454">
        <v>1.25</v>
      </c>
      <c r="AF31" s="455">
        <v>2500</v>
      </c>
      <c r="AG31" s="456">
        <v>2500</v>
      </c>
      <c r="AH31" s="158">
        <v>830</v>
      </c>
      <c r="AI31" s="158">
        <v>2818</v>
      </c>
      <c r="AJ31" s="158">
        <v>6295</v>
      </c>
      <c r="AK31" s="158">
        <v>19050</v>
      </c>
      <c r="AL31" s="158">
        <v>22050</v>
      </c>
      <c r="AM31" s="468">
        <f t="shared" si="10"/>
        <v>32370</v>
      </c>
      <c r="AN31" s="474">
        <f t="shared" si="11"/>
        <v>784108.5</v>
      </c>
      <c r="AO31" s="474">
        <f t="shared" si="12"/>
        <v>236062.5</v>
      </c>
      <c r="AP31" s="474">
        <f t="shared" si="13"/>
        <v>0</v>
      </c>
      <c r="AQ31" s="475">
        <f t="shared" si="14"/>
        <v>110250</v>
      </c>
      <c r="AR31" s="468">
        <f>SUM(Tabla1[[#This Row],[COSTO OPERATIVO ACIDO]:[COSTO OPERATIVO CATIONICO]])</f>
        <v>1162791</v>
      </c>
      <c r="AS31" s="458">
        <v>3599</v>
      </c>
      <c r="AT31" s="460">
        <f t="shared" si="15"/>
        <v>2422.4812499999998</v>
      </c>
    </row>
    <row r="32" spans="1:46" s="487" customFormat="1" ht="14.95" thickBot="1" x14ac:dyDescent="0.3">
      <c r="A32" s="213">
        <v>46092</v>
      </c>
      <c r="B32" s="157">
        <f>DAY(Tabla1[[#This Row],[FECHA]])</f>
        <v>11</v>
      </c>
      <c r="C32" s="448" t="s">
        <v>259</v>
      </c>
      <c r="D32" s="449">
        <v>31</v>
      </c>
      <c r="E32" s="449" t="s">
        <v>75</v>
      </c>
      <c r="F32" s="450">
        <v>970</v>
      </c>
      <c r="G32" s="451">
        <v>4300</v>
      </c>
      <c r="H32" s="451">
        <v>2970</v>
      </c>
      <c r="I32" s="451">
        <f>65+150</f>
        <v>215</v>
      </c>
      <c r="J32" s="451">
        <v>220</v>
      </c>
      <c r="K32" s="480">
        <v>17384</v>
      </c>
      <c r="L32" s="481">
        <f>+(K33-Tabla1[[#This Row],[Lectura Horometro INICIAL (06:00)]])*Tabla1[[#This Row],[CAUDAL DE TRATAMIENTO]]</f>
        <v>480</v>
      </c>
      <c r="M32" s="482">
        <v>80</v>
      </c>
      <c r="N32" s="442">
        <f t="shared" si="16"/>
        <v>260</v>
      </c>
      <c r="O32" s="497">
        <f>G32-G33</f>
        <v>390</v>
      </c>
      <c r="P32" s="442">
        <f t="shared" si="18"/>
        <v>120</v>
      </c>
      <c r="Q32" s="442">
        <f t="shared" si="19"/>
        <v>5</v>
      </c>
      <c r="R32" s="443">
        <f t="shared" si="20"/>
        <v>5</v>
      </c>
      <c r="S32" s="452">
        <f t="shared" si="2"/>
        <v>338</v>
      </c>
      <c r="T32" s="453">
        <f t="shared" si="3"/>
        <v>516.75</v>
      </c>
      <c r="U32" s="453">
        <f t="shared" si="4"/>
        <v>150</v>
      </c>
      <c r="V32" s="453">
        <f>Tabla1[[#This Row],[CONSUMO POL ANIONICO (KG)]]</f>
        <v>5</v>
      </c>
      <c r="W32" s="443">
        <f>Tabla1[[#This Row],[CONSUMO POL CATIONICO (KG)]]</f>
        <v>5</v>
      </c>
      <c r="X32" s="452">
        <f t="shared" si="5"/>
        <v>704.16666666666663</v>
      </c>
      <c r="Y32" s="453">
        <f t="shared" si="6"/>
        <v>1076.5625</v>
      </c>
      <c r="Z32" s="453">
        <f t="shared" si="7"/>
        <v>312.5</v>
      </c>
      <c r="AA32" s="453">
        <f t="shared" si="8"/>
        <v>10.416666666666666</v>
      </c>
      <c r="AB32" s="443">
        <f t="shared" si="9"/>
        <v>10.416666666666666</v>
      </c>
      <c r="AC32" s="454">
        <v>1.3</v>
      </c>
      <c r="AD32" s="454">
        <v>1.325</v>
      </c>
      <c r="AE32" s="454">
        <v>1.25</v>
      </c>
      <c r="AF32" s="455">
        <v>2500</v>
      </c>
      <c r="AG32" s="456">
        <v>2500</v>
      </c>
      <c r="AH32" s="158">
        <v>830</v>
      </c>
      <c r="AI32" s="158">
        <v>2818</v>
      </c>
      <c r="AJ32" s="158">
        <v>6295</v>
      </c>
      <c r="AK32" s="158">
        <v>19050</v>
      </c>
      <c r="AL32" s="158">
        <v>22050</v>
      </c>
      <c r="AM32" s="457">
        <f t="shared" si="10"/>
        <v>280540</v>
      </c>
      <c r="AN32" s="458">
        <f t="shared" si="11"/>
        <v>1456201.5</v>
      </c>
      <c r="AO32" s="458">
        <f t="shared" si="12"/>
        <v>944250</v>
      </c>
      <c r="AP32" s="458">
        <f t="shared" si="13"/>
        <v>95250</v>
      </c>
      <c r="AQ32" s="459">
        <f t="shared" si="14"/>
        <v>110250</v>
      </c>
      <c r="AR32" s="457">
        <f>SUM(Tabla1[[#This Row],[COSTO OPERATIVO ACIDO]:[COSTO OPERATIVO CATIONICO]])</f>
        <v>2886491.5</v>
      </c>
      <c r="AS32" s="458">
        <v>3599</v>
      </c>
      <c r="AT32" s="460">
        <f t="shared" si="15"/>
        <v>6013.5239583333332</v>
      </c>
    </row>
    <row r="33" spans="1:46" s="487" customFormat="1" ht="14.95" thickBot="1" x14ac:dyDescent="0.3">
      <c r="A33" s="461">
        <f>A32</f>
        <v>46092</v>
      </c>
      <c r="B33" s="157">
        <f>DAY(Tabla1[[#This Row],[FECHA]])</f>
        <v>11</v>
      </c>
      <c r="C33" s="462" t="s">
        <v>260</v>
      </c>
      <c r="D33" s="463">
        <v>32</v>
      </c>
      <c r="E33" s="463" t="s">
        <v>77</v>
      </c>
      <c r="F33" s="464">
        <v>710</v>
      </c>
      <c r="G33" s="465">
        <v>3910</v>
      </c>
      <c r="H33" s="465">
        <v>2850</v>
      </c>
      <c r="I33" s="465">
        <v>210</v>
      </c>
      <c r="J33" s="465">
        <v>215</v>
      </c>
      <c r="K33" s="483">
        <v>17390</v>
      </c>
      <c r="L33" s="478">
        <f>+(K34-Tabla1[[#This Row],[Lectura Horometro INICIAL (06:00)]])*Tabla1[[#This Row],[CAUDAL DE TRATAMIENTO]]</f>
        <v>400</v>
      </c>
      <c r="M33" s="479">
        <v>80</v>
      </c>
      <c r="N33" s="444">
        <f t="shared" si="16"/>
        <v>210</v>
      </c>
      <c r="O33" s="516">
        <f>G33-G34-150</f>
        <v>240</v>
      </c>
      <c r="P33" s="444">
        <f t="shared" si="18"/>
        <v>150</v>
      </c>
      <c r="Q33" s="444">
        <f t="shared" si="19"/>
        <v>0</v>
      </c>
      <c r="R33" s="445">
        <f t="shared" si="20"/>
        <v>5</v>
      </c>
      <c r="S33" s="452">
        <f t="shared" si="2"/>
        <v>273</v>
      </c>
      <c r="T33" s="453">
        <f t="shared" si="3"/>
        <v>318</v>
      </c>
      <c r="U33" s="453">
        <f t="shared" si="4"/>
        <v>187.5</v>
      </c>
      <c r="V33" s="466">
        <f>Tabla1[[#This Row],[CONSUMO POL ANIONICO (KG)]]</f>
        <v>0</v>
      </c>
      <c r="W33" s="445">
        <f>Tabla1[[#This Row],[CONSUMO POL CATIONICO (KG)]]</f>
        <v>5</v>
      </c>
      <c r="X33" s="467">
        <f t="shared" si="5"/>
        <v>682.5</v>
      </c>
      <c r="Y33" s="466">
        <f t="shared" si="6"/>
        <v>795</v>
      </c>
      <c r="Z33" s="466">
        <f t="shared" si="7"/>
        <v>468.75</v>
      </c>
      <c r="AA33" s="466">
        <f t="shared" si="8"/>
        <v>0</v>
      </c>
      <c r="AB33" s="445">
        <f t="shared" si="9"/>
        <v>12.5</v>
      </c>
      <c r="AC33" s="454">
        <v>1.3</v>
      </c>
      <c r="AD33" s="454">
        <v>1.325</v>
      </c>
      <c r="AE33" s="454">
        <v>1.25</v>
      </c>
      <c r="AF33" s="455">
        <v>2500</v>
      </c>
      <c r="AG33" s="456">
        <v>2500</v>
      </c>
      <c r="AH33" s="158">
        <v>830</v>
      </c>
      <c r="AI33" s="158">
        <v>2818</v>
      </c>
      <c r="AJ33" s="158">
        <v>6295</v>
      </c>
      <c r="AK33" s="158">
        <v>19050</v>
      </c>
      <c r="AL33" s="158">
        <v>22050</v>
      </c>
      <c r="AM33" s="468">
        <f t="shared" si="10"/>
        <v>226590</v>
      </c>
      <c r="AN33" s="460">
        <f t="shared" si="11"/>
        <v>896124</v>
      </c>
      <c r="AO33" s="460">
        <f t="shared" si="12"/>
        <v>1180312.5</v>
      </c>
      <c r="AP33" s="460">
        <f t="shared" si="13"/>
        <v>0</v>
      </c>
      <c r="AQ33" s="469">
        <f t="shared" si="14"/>
        <v>110250</v>
      </c>
      <c r="AR33" s="468">
        <f>SUM(Tabla1[[#This Row],[COSTO OPERATIVO ACIDO]:[COSTO OPERATIVO CATIONICO]])</f>
        <v>2413276.5</v>
      </c>
      <c r="AS33" s="458">
        <v>3599</v>
      </c>
      <c r="AT33" s="460">
        <f t="shared" si="15"/>
        <v>6033.1912499999999</v>
      </c>
    </row>
    <row r="34" spans="1:46" s="487" customFormat="1" ht="14.95" thickBot="1" x14ac:dyDescent="0.3">
      <c r="A34" s="470">
        <f>A33</f>
        <v>46092</v>
      </c>
      <c r="B34" s="157">
        <f>DAY(Tabla1[[#This Row],[FECHA]])</f>
        <v>11</v>
      </c>
      <c r="C34" s="471" t="s">
        <v>30</v>
      </c>
      <c r="D34" s="472">
        <v>33</v>
      </c>
      <c r="E34" s="472" t="s">
        <v>76</v>
      </c>
      <c r="F34" s="464">
        <v>500</v>
      </c>
      <c r="G34" s="465">
        <v>3520</v>
      </c>
      <c r="H34" s="465">
        <v>2700</v>
      </c>
      <c r="I34" s="465">
        <v>210</v>
      </c>
      <c r="J34" s="465">
        <v>210</v>
      </c>
      <c r="K34" s="484">
        <v>17395</v>
      </c>
      <c r="L34" s="485">
        <f>+(K35-Tabla1[[#This Row],[Lectura Horometro INICIAL (06:00)]])*Tabla1[[#This Row],[CAUDAL DE TRATAMIENTO]]</f>
        <v>400</v>
      </c>
      <c r="M34" s="486">
        <v>80</v>
      </c>
      <c r="N34" s="446">
        <f t="shared" si="16"/>
        <v>170</v>
      </c>
      <c r="O34" s="499">
        <f t="shared" si="17"/>
        <v>310</v>
      </c>
      <c r="P34" s="446">
        <f t="shared" si="18"/>
        <v>0</v>
      </c>
      <c r="Q34" s="446">
        <f t="shared" si="19"/>
        <v>5</v>
      </c>
      <c r="R34" s="447">
        <f t="shared" si="20"/>
        <v>5</v>
      </c>
      <c r="S34" s="452">
        <f t="shared" si="2"/>
        <v>221</v>
      </c>
      <c r="T34" s="453">
        <f t="shared" si="3"/>
        <v>410.75</v>
      </c>
      <c r="U34" s="453">
        <f t="shared" si="4"/>
        <v>0</v>
      </c>
      <c r="V34" s="473">
        <f>Tabla1[[#This Row],[CONSUMO POL ANIONICO (KG)]]</f>
        <v>5</v>
      </c>
      <c r="W34" s="447">
        <f>Tabla1[[#This Row],[CONSUMO POL CATIONICO (KG)]]</f>
        <v>5</v>
      </c>
      <c r="X34" s="467">
        <f t="shared" si="5"/>
        <v>552.5</v>
      </c>
      <c r="Y34" s="473">
        <f t="shared" si="6"/>
        <v>1026.875</v>
      </c>
      <c r="Z34" s="473">
        <f t="shared" si="7"/>
        <v>0</v>
      </c>
      <c r="AA34" s="473">
        <f t="shared" si="8"/>
        <v>12.5</v>
      </c>
      <c r="AB34" s="447">
        <f t="shared" si="9"/>
        <v>12.5</v>
      </c>
      <c r="AC34" s="454">
        <v>1.3</v>
      </c>
      <c r="AD34" s="454">
        <v>1.325</v>
      </c>
      <c r="AE34" s="454">
        <v>1.25</v>
      </c>
      <c r="AF34" s="455">
        <v>2500</v>
      </c>
      <c r="AG34" s="456">
        <v>2500</v>
      </c>
      <c r="AH34" s="158">
        <v>830</v>
      </c>
      <c r="AI34" s="158">
        <v>2818</v>
      </c>
      <c r="AJ34" s="158">
        <v>6295</v>
      </c>
      <c r="AK34" s="158">
        <v>19050</v>
      </c>
      <c r="AL34" s="158">
        <v>22050</v>
      </c>
      <c r="AM34" s="468">
        <f t="shared" si="10"/>
        <v>183430</v>
      </c>
      <c r="AN34" s="474">
        <f t="shared" si="11"/>
        <v>1157493.5</v>
      </c>
      <c r="AO34" s="474">
        <f t="shared" si="12"/>
        <v>0</v>
      </c>
      <c r="AP34" s="474">
        <f t="shared" si="13"/>
        <v>95250</v>
      </c>
      <c r="AQ34" s="475">
        <f t="shared" si="14"/>
        <v>110250</v>
      </c>
      <c r="AR34" s="468">
        <f>SUM(Tabla1[[#This Row],[COSTO OPERATIVO ACIDO]:[COSTO OPERATIVO CATIONICO]])</f>
        <v>1546423.5</v>
      </c>
      <c r="AS34" s="458">
        <v>3599</v>
      </c>
      <c r="AT34" s="460">
        <f t="shared" si="15"/>
        <v>3866.0587500000001</v>
      </c>
    </row>
    <row r="35" spans="1:46" s="487" customFormat="1" ht="14.95" thickBot="1" x14ac:dyDescent="0.3">
      <c r="A35" s="213">
        <v>46093</v>
      </c>
      <c r="B35" s="157">
        <f>DAY(Tabla1[[#This Row],[FECHA]])</f>
        <v>12</v>
      </c>
      <c r="C35" s="448" t="s">
        <v>261</v>
      </c>
      <c r="D35" s="449">
        <v>34</v>
      </c>
      <c r="E35" s="449" t="s">
        <v>75</v>
      </c>
      <c r="F35" s="450">
        <v>330</v>
      </c>
      <c r="G35" s="451">
        <v>3210</v>
      </c>
      <c r="H35" s="451">
        <v>2700</v>
      </c>
      <c r="I35" s="451">
        <v>205</v>
      </c>
      <c r="J35" s="451">
        <v>205</v>
      </c>
      <c r="K35" s="480">
        <v>17400</v>
      </c>
      <c r="L35" s="481">
        <f>+(K36-Tabla1[[#This Row],[Lectura Horometro INICIAL (06:00)]])*Tabla1[[#This Row],[CAUDAL DE TRATAMIENTO]]</f>
        <v>480</v>
      </c>
      <c r="M35" s="482">
        <v>80</v>
      </c>
      <c r="N35" s="442">
        <f t="shared" si="16"/>
        <v>20</v>
      </c>
      <c r="O35" s="497">
        <f t="shared" si="17"/>
        <v>310</v>
      </c>
      <c r="P35" s="442">
        <f t="shared" si="18"/>
        <v>100</v>
      </c>
      <c r="Q35" s="442">
        <f t="shared" si="19"/>
        <v>0</v>
      </c>
      <c r="R35" s="443">
        <f t="shared" si="20"/>
        <v>5</v>
      </c>
      <c r="S35" s="452">
        <f t="shared" si="2"/>
        <v>26</v>
      </c>
      <c r="T35" s="453">
        <f t="shared" si="3"/>
        <v>410.75</v>
      </c>
      <c r="U35" s="453">
        <f t="shared" si="4"/>
        <v>125</v>
      </c>
      <c r="V35" s="453">
        <f>Tabla1[[#This Row],[CONSUMO POL ANIONICO (KG)]]</f>
        <v>0</v>
      </c>
      <c r="W35" s="443">
        <f>Tabla1[[#This Row],[CONSUMO POL CATIONICO (KG)]]</f>
        <v>5</v>
      </c>
      <c r="X35" s="452">
        <f t="shared" si="5"/>
        <v>54.166666666666664</v>
      </c>
      <c r="Y35" s="453">
        <f t="shared" si="6"/>
        <v>855.72916666666663</v>
      </c>
      <c r="Z35" s="453">
        <f t="shared" si="7"/>
        <v>260.41666666666669</v>
      </c>
      <c r="AA35" s="453">
        <f t="shared" si="8"/>
        <v>0</v>
      </c>
      <c r="AB35" s="443">
        <f t="shared" si="9"/>
        <v>10.416666666666666</v>
      </c>
      <c r="AC35" s="454">
        <v>1.3</v>
      </c>
      <c r="AD35" s="454">
        <v>1.325</v>
      </c>
      <c r="AE35" s="454">
        <v>1.25</v>
      </c>
      <c r="AF35" s="455">
        <v>2500</v>
      </c>
      <c r="AG35" s="456">
        <v>2500</v>
      </c>
      <c r="AH35" s="158">
        <v>830</v>
      </c>
      <c r="AI35" s="158">
        <v>2818</v>
      </c>
      <c r="AJ35" s="158">
        <v>6295</v>
      </c>
      <c r="AK35" s="158">
        <v>19050</v>
      </c>
      <c r="AL35" s="158">
        <v>22050</v>
      </c>
      <c r="AM35" s="457">
        <f t="shared" si="10"/>
        <v>21580</v>
      </c>
      <c r="AN35" s="458">
        <f t="shared" si="11"/>
        <v>1157493.5</v>
      </c>
      <c r="AO35" s="458">
        <f t="shared" si="12"/>
        <v>786875</v>
      </c>
      <c r="AP35" s="458">
        <f t="shared" si="13"/>
        <v>0</v>
      </c>
      <c r="AQ35" s="459">
        <f t="shared" si="14"/>
        <v>110250</v>
      </c>
      <c r="AR35" s="457">
        <f>SUM(Tabla1[[#This Row],[COSTO OPERATIVO ACIDO]:[COSTO OPERATIVO CATIONICO]])</f>
        <v>2076198.5</v>
      </c>
      <c r="AS35" s="458">
        <v>3599</v>
      </c>
      <c r="AT35" s="460">
        <f t="shared" si="15"/>
        <v>4325.4135416666668</v>
      </c>
    </row>
    <row r="36" spans="1:46" s="487" customFormat="1" ht="14.95" thickBot="1" x14ac:dyDescent="0.3">
      <c r="A36" s="461">
        <f>A35</f>
        <v>46093</v>
      </c>
      <c r="B36" s="157">
        <f>DAY(Tabla1[[#This Row],[FECHA]])</f>
        <v>12</v>
      </c>
      <c r="C36" s="462" t="s">
        <v>262</v>
      </c>
      <c r="D36" s="463">
        <v>35</v>
      </c>
      <c r="E36" s="463" t="s">
        <v>77</v>
      </c>
      <c r="F36" s="464">
        <v>310</v>
      </c>
      <c r="G36" s="465">
        <v>2900</v>
      </c>
      <c r="H36" s="465">
        <v>2600</v>
      </c>
      <c r="I36" s="465">
        <v>205</v>
      </c>
      <c r="J36" s="465">
        <v>200</v>
      </c>
      <c r="K36" s="483">
        <v>17406</v>
      </c>
      <c r="L36" s="478">
        <f>+(K37-Tabla1[[#This Row],[Lectura Horometro INICIAL (06:00)]])*Tabla1[[#This Row],[CAUDAL DE TRATAMIENTO]]</f>
        <v>400</v>
      </c>
      <c r="M36" s="479">
        <v>80</v>
      </c>
      <c r="N36" s="522">
        <f>F36-F37-20</f>
        <v>190</v>
      </c>
      <c r="O36" s="498">
        <f t="shared" si="17"/>
        <v>300</v>
      </c>
      <c r="P36" s="444">
        <f t="shared" si="18"/>
        <v>170</v>
      </c>
      <c r="Q36" s="444">
        <f t="shared" si="19"/>
        <v>5</v>
      </c>
      <c r="R36" s="445">
        <f t="shared" si="20"/>
        <v>5</v>
      </c>
      <c r="S36" s="452">
        <f t="shared" si="2"/>
        <v>247</v>
      </c>
      <c r="T36" s="453">
        <f t="shared" si="3"/>
        <v>397.5</v>
      </c>
      <c r="U36" s="453">
        <f t="shared" si="4"/>
        <v>212.5</v>
      </c>
      <c r="V36" s="466">
        <f>Tabla1[[#This Row],[CONSUMO POL ANIONICO (KG)]]</f>
        <v>5</v>
      </c>
      <c r="W36" s="445">
        <f>Tabla1[[#This Row],[CONSUMO POL CATIONICO (KG)]]</f>
        <v>5</v>
      </c>
      <c r="X36" s="467">
        <f t="shared" si="5"/>
        <v>617.5</v>
      </c>
      <c r="Y36" s="466">
        <f t="shared" si="6"/>
        <v>993.75</v>
      </c>
      <c r="Z36" s="466">
        <f t="shared" si="7"/>
        <v>531.25</v>
      </c>
      <c r="AA36" s="466">
        <f t="shared" si="8"/>
        <v>12.5</v>
      </c>
      <c r="AB36" s="445">
        <f t="shared" si="9"/>
        <v>12.5</v>
      </c>
      <c r="AC36" s="454">
        <v>1.3</v>
      </c>
      <c r="AD36" s="454">
        <v>1.325</v>
      </c>
      <c r="AE36" s="454">
        <v>1.25</v>
      </c>
      <c r="AF36" s="455">
        <v>2500</v>
      </c>
      <c r="AG36" s="456">
        <v>2500</v>
      </c>
      <c r="AH36" s="158">
        <v>830</v>
      </c>
      <c r="AI36" s="158">
        <v>2818</v>
      </c>
      <c r="AJ36" s="158">
        <v>6295</v>
      </c>
      <c r="AK36" s="158">
        <v>19050</v>
      </c>
      <c r="AL36" s="158">
        <v>22050</v>
      </c>
      <c r="AM36" s="468">
        <f t="shared" si="10"/>
        <v>205010</v>
      </c>
      <c r="AN36" s="460">
        <f t="shared" si="11"/>
        <v>1120155</v>
      </c>
      <c r="AO36" s="460">
        <f t="shared" si="12"/>
        <v>1337687.5</v>
      </c>
      <c r="AP36" s="460">
        <f t="shared" si="13"/>
        <v>95250</v>
      </c>
      <c r="AQ36" s="469">
        <f t="shared" si="14"/>
        <v>110250</v>
      </c>
      <c r="AR36" s="468">
        <f>SUM(Tabla1[[#This Row],[COSTO OPERATIVO ACIDO]:[COSTO OPERATIVO CATIONICO]])</f>
        <v>2868352.5</v>
      </c>
      <c r="AS36" s="458">
        <v>3599</v>
      </c>
      <c r="AT36" s="460">
        <f t="shared" si="15"/>
        <v>7170.8812500000004</v>
      </c>
    </row>
    <row r="37" spans="1:46" s="487" customFormat="1" ht="14.95" thickBot="1" x14ac:dyDescent="0.3">
      <c r="A37" s="470">
        <f>A36</f>
        <v>46093</v>
      </c>
      <c r="B37" s="157">
        <f>DAY(Tabla1[[#This Row],[FECHA]])</f>
        <v>12</v>
      </c>
      <c r="C37" s="471" t="s">
        <v>30</v>
      </c>
      <c r="D37" s="472">
        <v>36</v>
      </c>
      <c r="E37" s="472" t="s">
        <v>76</v>
      </c>
      <c r="F37" s="464">
        <v>100</v>
      </c>
      <c r="G37" s="465">
        <v>2600</v>
      </c>
      <c r="H37" s="465">
        <v>2430</v>
      </c>
      <c r="I37" s="465">
        <v>200</v>
      </c>
      <c r="J37" s="465">
        <v>195</v>
      </c>
      <c r="K37" s="484">
        <v>17411</v>
      </c>
      <c r="L37" s="485">
        <f>+(K38-Tabla1[[#This Row],[Lectura Horometro INICIAL (06:00)]])*Tabla1[[#This Row],[CAUDAL DE TRATAMIENTO]]</f>
        <v>640</v>
      </c>
      <c r="M37" s="486">
        <v>80</v>
      </c>
      <c r="N37" s="511">
        <f>F37-F38+1000</f>
        <v>130</v>
      </c>
      <c r="O37" s="513">
        <f>G37-G38-150</f>
        <v>230</v>
      </c>
      <c r="P37" s="446">
        <f t="shared" si="18"/>
        <v>30</v>
      </c>
      <c r="Q37" s="446">
        <f t="shared" si="19"/>
        <v>0</v>
      </c>
      <c r="R37" s="447">
        <f t="shared" si="20"/>
        <v>5</v>
      </c>
      <c r="S37" s="452">
        <f t="shared" si="2"/>
        <v>169</v>
      </c>
      <c r="T37" s="453">
        <f t="shared" si="3"/>
        <v>304.75</v>
      </c>
      <c r="U37" s="453">
        <f t="shared" si="4"/>
        <v>37.5</v>
      </c>
      <c r="V37" s="473">
        <f>Tabla1[[#This Row],[CONSUMO POL ANIONICO (KG)]]</f>
        <v>0</v>
      </c>
      <c r="W37" s="447">
        <f>Tabla1[[#This Row],[CONSUMO POL CATIONICO (KG)]]</f>
        <v>5</v>
      </c>
      <c r="X37" s="467">
        <f t="shared" si="5"/>
        <v>264.0625</v>
      </c>
      <c r="Y37" s="473">
        <f t="shared" si="6"/>
        <v>476.171875</v>
      </c>
      <c r="Z37" s="473">
        <f t="shared" si="7"/>
        <v>58.59375</v>
      </c>
      <c r="AA37" s="473">
        <f t="shared" si="8"/>
        <v>0</v>
      </c>
      <c r="AB37" s="447">
        <f t="shared" si="9"/>
        <v>7.8125</v>
      </c>
      <c r="AC37" s="454">
        <v>1.3</v>
      </c>
      <c r="AD37" s="454">
        <v>1.325</v>
      </c>
      <c r="AE37" s="454">
        <v>1.25</v>
      </c>
      <c r="AF37" s="455">
        <v>2500</v>
      </c>
      <c r="AG37" s="456">
        <v>2500</v>
      </c>
      <c r="AH37" s="158">
        <v>830</v>
      </c>
      <c r="AI37" s="158">
        <v>2818</v>
      </c>
      <c r="AJ37" s="158">
        <v>6295</v>
      </c>
      <c r="AK37" s="158">
        <v>19050</v>
      </c>
      <c r="AL37" s="158">
        <v>22050</v>
      </c>
      <c r="AM37" s="468">
        <f t="shared" si="10"/>
        <v>140270</v>
      </c>
      <c r="AN37" s="474">
        <f t="shared" si="11"/>
        <v>858785.5</v>
      </c>
      <c r="AO37" s="474">
        <f t="shared" si="12"/>
        <v>236062.5</v>
      </c>
      <c r="AP37" s="474">
        <f t="shared" si="13"/>
        <v>0</v>
      </c>
      <c r="AQ37" s="475">
        <f t="shared" si="14"/>
        <v>110250</v>
      </c>
      <c r="AR37" s="468">
        <f>SUM(Tabla1[[#This Row],[COSTO OPERATIVO ACIDO]:[COSTO OPERATIVO CATIONICO]])</f>
        <v>1345368</v>
      </c>
      <c r="AS37" s="458">
        <v>3599</v>
      </c>
      <c r="AT37" s="460">
        <f t="shared" si="15"/>
        <v>2102.1374999999998</v>
      </c>
    </row>
    <row r="38" spans="1:46" ht="14.95" thickBot="1" x14ac:dyDescent="0.3">
      <c r="A38" s="213">
        <v>46094</v>
      </c>
      <c r="B38" s="157">
        <f>DAY(Tabla1[[#This Row],[FECHA]])</f>
        <v>13</v>
      </c>
      <c r="C38" s="448" t="s">
        <v>263</v>
      </c>
      <c r="D38" s="449">
        <v>37</v>
      </c>
      <c r="E38" s="449" t="s">
        <v>75</v>
      </c>
      <c r="F38" s="450">
        <v>970</v>
      </c>
      <c r="G38" s="451">
        <v>2220</v>
      </c>
      <c r="H38" s="451">
        <v>2400</v>
      </c>
      <c r="I38" s="451">
        <v>200</v>
      </c>
      <c r="J38" s="451">
        <v>190</v>
      </c>
      <c r="K38" s="480">
        <v>17419</v>
      </c>
      <c r="L38" s="481">
        <f>+(K39-Tabla1[[#This Row],[Lectura Horometro INICIAL (06:00)]])*Tabla1[[#This Row],[CAUDAL DE TRATAMIENTO]]</f>
        <v>480</v>
      </c>
      <c r="M38" s="482">
        <v>80</v>
      </c>
      <c r="N38" s="442">
        <f t="shared" si="16"/>
        <v>80</v>
      </c>
      <c r="O38" s="497">
        <f t="shared" si="17"/>
        <v>220</v>
      </c>
      <c r="P38" s="442"/>
      <c r="Q38" s="442">
        <f t="shared" si="19"/>
        <v>5</v>
      </c>
      <c r="R38" s="443">
        <f t="shared" si="20"/>
        <v>5</v>
      </c>
      <c r="S38" s="452">
        <f t="shared" si="2"/>
        <v>104</v>
      </c>
      <c r="T38" s="453">
        <f t="shared" si="3"/>
        <v>291.5</v>
      </c>
      <c r="U38" s="453">
        <f t="shared" si="4"/>
        <v>0</v>
      </c>
      <c r="V38" s="453">
        <f>Tabla1[[#This Row],[CONSUMO POL ANIONICO (KG)]]</f>
        <v>5</v>
      </c>
      <c r="W38" s="443">
        <f>Tabla1[[#This Row],[CONSUMO POL CATIONICO (KG)]]</f>
        <v>5</v>
      </c>
      <c r="X38" s="452">
        <f t="shared" si="5"/>
        <v>216.66666666666666</v>
      </c>
      <c r="Y38" s="453">
        <f t="shared" si="6"/>
        <v>607.29166666666663</v>
      </c>
      <c r="Z38" s="453">
        <f t="shared" si="7"/>
        <v>0</v>
      </c>
      <c r="AA38" s="453">
        <f t="shared" si="8"/>
        <v>10.416666666666666</v>
      </c>
      <c r="AB38" s="443">
        <f t="shared" si="9"/>
        <v>10.416666666666666</v>
      </c>
      <c r="AC38" s="454">
        <v>1.3</v>
      </c>
      <c r="AD38" s="454">
        <v>1.325</v>
      </c>
      <c r="AE38" s="454">
        <v>1.25</v>
      </c>
      <c r="AF38" s="455">
        <v>2500</v>
      </c>
      <c r="AG38" s="456">
        <v>2500</v>
      </c>
      <c r="AH38" s="158">
        <v>830</v>
      </c>
      <c r="AI38" s="158">
        <v>2818</v>
      </c>
      <c r="AJ38" s="158">
        <v>6295</v>
      </c>
      <c r="AK38" s="158">
        <v>19050</v>
      </c>
      <c r="AL38" s="158">
        <v>22050</v>
      </c>
      <c r="AM38" s="457">
        <f t="shared" si="10"/>
        <v>86320</v>
      </c>
      <c r="AN38" s="458">
        <f t="shared" si="11"/>
        <v>821447</v>
      </c>
      <c r="AO38" s="458">
        <f t="shared" si="12"/>
        <v>0</v>
      </c>
      <c r="AP38" s="458">
        <f t="shared" si="13"/>
        <v>95250</v>
      </c>
      <c r="AQ38" s="459">
        <f t="shared" si="14"/>
        <v>110250</v>
      </c>
      <c r="AR38" s="457">
        <f>SUM(Tabla1[[#This Row],[COSTO OPERATIVO ACIDO]:[COSTO OPERATIVO CATIONICO]])</f>
        <v>1113267</v>
      </c>
      <c r="AS38" s="458">
        <v>3599</v>
      </c>
      <c r="AT38" s="460">
        <f t="shared" si="15"/>
        <v>2319.3062500000001</v>
      </c>
    </row>
    <row r="39" spans="1:46" ht="14.95" thickBot="1" x14ac:dyDescent="0.3">
      <c r="A39" s="461">
        <f>A38</f>
        <v>46094</v>
      </c>
      <c r="B39" s="157">
        <f>DAY(Tabla1[[#This Row],[FECHA]])</f>
        <v>13</v>
      </c>
      <c r="C39" s="462" t="s">
        <v>264</v>
      </c>
      <c r="D39" s="463">
        <v>38</v>
      </c>
      <c r="E39" s="463" t="s">
        <v>77</v>
      </c>
      <c r="F39" s="464">
        <v>890</v>
      </c>
      <c r="G39" s="465">
        <v>2000</v>
      </c>
      <c r="H39" s="465">
        <v>2300</v>
      </c>
      <c r="I39" s="465">
        <v>195</v>
      </c>
      <c r="J39" s="465">
        <v>185</v>
      </c>
      <c r="K39" s="483">
        <v>17425</v>
      </c>
      <c r="L39" s="478">
        <f>+(K40-Tabla1[[#This Row],[Lectura Horometro INICIAL (06:00)]])*Tabla1[[#This Row],[CAUDAL DE TRATAMIENTO]]</f>
        <v>240</v>
      </c>
      <c r="M39" s="479">
        <v>80</v>
      </c>
      <c r="N39" s="444">
        <f t="shared" si="16"/>
        <v>160</v>
      </c>
      <c r="O39" s="498">
        <f t="shared" si="17"/>
        <v>110</v>
      </c>
      <c r="P39" s="444">
        <f t="shared" si="18"/>
        <v>10</v>
      </c>
      <c r="Q39" s="444">
        <f t="shared" si="19"/>
        <v>0</v>
      </c>
      <c r="R39" s="445">
        <f t="shared" si="20"/>
        <v>5</v>
      </c>
      <c r="S39" s="452">
        <f t="shared" si="2"/>
        <v>208</v>
      </c>
      <c r="T39" s="453">
        <f t="shared" si="3"/>
        <v>145.75</v>
      </c>
      <c r="U39" s="453">
        <f t="shared" si="4"/>
        <v>12.5</v>
      </c>
      <c r="V39" s="466">
        <f>Tabla1[[#This Row],[CONSUMO POL ANIONICO (KG)]]</f>
        <v>0</v>
      </c>
      <c r="W39" s="445">
        <f>Tabla1[[#This Row],[CONSUMO POL CATIONICO (KG)]]</f>
        <v>5</v>
      </c>
      <c r="X39" s="467">
        <f t="shared" si="5"/>
        <v>866.66666666666663</v>
      </c>
      <c r="Y39" s="466">
        <f t="shared" si="6"/>
        <v>607.29166666666663</v>
      </c>
      <c r="Z39" s="466">
        <f t="shared" si="7"/>
        <v>52.083333333333336</v>
      </c>
      <c r="AA39" s="466">
        <f t="shared" si="8"/>
        <v>0</v>
      </c>
      <c r="AB39" s="445">
        <f t="shared" si="9"/>
        <v>20.833333333333332</v>
      </c>
      <c r="AC39" s="454">
        <v>1.3</v>
      </c>
      <c r="AD39" s="454">
        <v>1.325</v>
      </c>
      <c r="AE39" s="454">
        <v>1.25</v>
      </c>
      <c r="AF39" s="455">
        <v>2500</v>
      </c>
      <c r="AG39" s="456">
        <v>2500</v>
      </c>
      <c r="AH39" s="158">
        <v>830</v>
      </c>
      <c r="AI39" s="158">
        <v>2818</v>
      </c>
      <c r="AJ39" s="158">
        <v>6295</v>
      </c>
      <c r="AK39" s="158">
        <v>19050</v>
      </c>
      <c r="AL39" s="158">
        <v>22050</v>
      </c>
      <c r="AM39" s="468">
        <f t="shared" si="10"/>
        <v>172640</v>
      </c>
      <c r="AN39" s="460">
        <f t="shared" si="11"/>
        <v>410723.5</v>
      </c>
      <c r="AO39" s="460">
        <f t="shared" si="12"/>
        <v>78687.5</v>
      </c>
      <c r="AP39" s="460">
        <f t="shared" si="13"/>
        <v>0</v>
      </c>
      <c r="AQ39" s="469">
        <f t="shared" si="14"/>
        <v>110250</v>
      </c>
      <c r="AR39" s="468">
        <f>SUM(Tabla1[[#This Row],[COSTO OPERATIVO ACIDO]:[COSTO OPERATIVO CATIONICO]])</f>
        <v>772301</v>
      </c>
      <c r="AS39" s="458">
        <v>3599</v>
      </c>
      <c r="AT39" s="460">
        <f t="shared" si="15"/>
        <v>3217.9208333333331</v>
      </c>
    </row>
    <row r="40" spans="1:46" ht="14.95" thickBot="1" x14ac:dyDescent="0.3">
      <c r="A40" s="470">
        <f>A39</f>
        <v>46094</v>
      </c>
      <c r="B40" s="157">
        <f>DAY(Tabla1[[#This Row],[FECHA]])</f>
        <v>13</v>
      </c>
      <c r="C40" s="471" t="s">
        <v>30</v>
      </c>
      <c r="D40" s="472">
        <v>39</v>
      </c>
      <c r="E40" s="472" t="s">
        <v>76</v>
      </c>
      <c r="F40" s="464">
        <v>730</v>
      </c>
      <c r="G40" s="465">
        <v>1890</v>
      </c>
      <c r="H40" s="465">
        <v>2290</v>
      </c>
      <c r="I40" s="465">
        <v>195</v>
      </c>
      <c r="J40" s="465">
        <v>180</v>
      </c>
      <c r="K40" s="484">
        <v>17428</v>
      </c>
      <c r="L40" s="485">
        <f>+(K41-Tabla1[[#This Row],[Lectura Horometro INICIAL (06:00)]])*Tabla1[[#This Row],[CAUDAL DE TRATAMIENTO]]</f>
        <v>560</v>
      </c>
      <c r="M40" s="486">
        <v>80</v>
      </c>
      <c r="N40" s="446">
        <f t="shared" si="16"/>
        <v>120</v>
      </c>
      <c r="O40" s="499">
        <f t="shared" si="17"/>
        <v>140</v>
      </c>
      <c r="P40" s="446">
        <f t="shared" si="18"/>
        <v>190</v>
      </c>
      <c r="Q40" s="446">
        <f t="shared" si="19"/>
        <v>5</v>
      </c>
      <c r="R40" s="447">
        <f t="shared" si="20"/>
        <v>5</v>
      </c>
      <c r="S40" s="452">
        <f t="shared" si="2"/>
        <v>156</v>
      </c>
      <c r="T40" s="453">
        <f t="shared" si="3"/>
        <v>185.5</v>
      </c>
      <c r="U40" s="453">
        <f t="shared" si="4"/>
        <v>237.5</v>
      </c>
      <c r="V40" s="473">
        <f>Tabla1[[#This Row],[CONSUMO POL ANIONICO (KG)]]</f>
        <v>5</v>
      </c>
      <c r="W40" s="447">
        <f>Tabla1[[#This Row],[CONSUMO POL CATIONICO (KG)]]</f>
        <v>5</v>
      </c>
      <c r="X40" s="467">
        <f t="shared" si="5"/>
        <v>278.57142857142856</v>
      </c>
      <c r="Y40" s="473">
        <f t="shared" si="6"/>
        <v>331.25</v>
      </c>
      <c r="Z40" s="473">
        <f t="shared" si="7"/>
        <v>424.10714285714283</v>
      </c>
      <c r="AA40" s="473">
        <f t="shared" si="8"/>
        <v>8.9285714285714288</v>
      </c>
      <c r="AB40" s="447">
        <f t="shared" si="9"/>
        <v>8.9285714285714288</v>
      </c>
      <c r="AC40" s="454">
        <v>1.3</v>
      </c>
      <c r="AD40" s="454">
        <v>1.325</v>
      </c>
      <c r="AE40" s="454">
        <v>1.25</v>
      </c>
      <c r="AF40" s="455">
        <v>2500</v>
      </c>
      <c r="AG40" s="456">
        <v>2500</v>
      </c>
      <c r="AH40" s="158">
        <v>830</v>
      </c>
      <c r="AI40" s="158">
        <v>2818</v>
      </c>
      <c r="AJ40" s="158">
        <v>6295</v>
      </c>
      <c r="AK40" s="158">
        <v>19050</v>
      </c>
      <c r="AL40" s="158">
        <v>22050</v>
      </c>
      <c r="AM40" s="468">
        <f t="shared" si="10"/>
        <v>129480</v>
      </c>
      <c r="AN40" s="474">
        <f t="shared" si="11"/>
        <v>522739</v>
      </c>
      <c r="AO40" s="474">
        <f t="shared" si="12"/>
        <v>1495062.5</v>
      </c>
      <c r="AP40" s="474">
        <f t="shared" si="13"/>
        <v>95250</v>
      </c>
      <c r="AQ40" s="475">
        <f t="shared" si="14"/>
        <v>110250</v>
      </c>
      <c r="AR40" s="468">
        <f>SUM(Tabla1[[#This Row],[COSTO OPERATIVO ACIDO]:[COSTO OPERATIVO CATIONICO]])</f>
        <v>2352781.5</v>
      </c>
      <c r="AS40" s="458">
        <v>3599</v>
      </c>
      <c r="AT40" s="460">
        <f t="shared" si="15"/>
        <v>4201.3955357142859</v>
      </c>
    </row>
    <row r="41" spans="1:46" ht="14.95" thickBot="1" x14ac:dyDescent="0.3">
      <c r="A41" s="213">
        <v>46095</v>
      </c>
      <c r="B41" s="157">
        <f>DAY(Tabla1[[#This Row],[FECHA]])</f>
        <v>14</v>
      </c>
      <c r="C41" s="448" t="s">
        <v>265</v>
      </c>
      <c r="D41" s="449">
        <v>40</v>
      </c>
      <c r="E41" s="449" t="s">
        <v>75</v>
      </c>
      <c r="F41" s="450">
        <v>610</v>
      </c>
      <c r="G41" s="451">
        <v>1750</v>
      </c>
      <c r="H41" s="451">
        <v>2100</v>
      </c>
      <c r="I41" s="451">
        <v>190</v>
      </c>
      <c r="J41" s="451">
        <v>175</v>
      </c>
      <c r="K41" s="480">
        <v>17435</v>
      </c>
      <c r="L41" s="481">
        <f>+(K42-Tabla1[[#This Row],[Lectura Horometro INICIAL (06:00)]])*Tabla1[[#This Row],[CAUDAL DE TRATAMIENTO]]</f>
        <v>560</v>
      </c>
      <c r="M41" s="482">
        <v>80</v>
      </c>
      <c r="N41" s="442">
        <f t="shared" si="16"/>
        <v>120</v>
      </c>
      <c r="O41" s="514">
        <f>G41-G42-110</f>
        <v>220</v>
      </c>
      <c r="P41" s="442">
        <f t="shared" si="18"/>
        <v>10</v>
      </c>
      <c r="Q41" s="442">
        <f t="shared" si="19"/>
        <v>0</v>
      </c>
      <c r="R41" s="443">
        <f t="shared" si="20"/>
        <v>5</v>
      </c>
      <c r="S41" s="452">
        <f t="shared" si="2"/>
        <v>156</v>
      </c>
      <c r="T41" s="453">
        <f t="shared" si="3"/>
        <v>291.5</v>
      </c>
      <c r="U41" s="453">
        <f t="shared" si="4"/>
        <v>12.5</v>
      </c>
      <c r="V41" s="453">
        <f>Tabla1[[#This Row],[CONSUMO POL ANIONICO (KG)]]</f>
        <v>0</v>
      </c>
      <c r="W41" s="443">
        <f>Tabla1[[#This Row],[CONSUMO POL CATIONICO (KG)]]</f>
        <v>5</v>
      </c>
      <c r="X41" s="452">
        <f t="shared" si="5"/>
        <v>278.57142857142856</v>
      </c>
      <c r="Y41" s="453">
        <f t="shared" si="6"/>
        <v>520.53571428571433</v>
      </c>
      <c r="Z41" s="453">
        <f t="shared" si="7"/>
        <v>22.321428571428573</v>
      </c>
      <c r="AA41" s="453">
        <f t="shared" si="8"/>
        <v>0</v>
      </c>
      <c r="AB41" s="443">
        <f t="shared" si="9"/>
        <v>8.9285714285714288</v>
      </c>
      <c r="AC41" s="454">
        <v>1.3</v>
      </c>
      <c r="AD41" s="454">
        <v>1.325</v>
      </c>
      <c r="AE41" s="454">
        <v>1.25</v>
      </c>
      <c r="AF41" s="455">
        <v>2500</v>
      </c>
      <c r="AG41" s="456">
        <v>2500</v>
      </c>
      <c r="AH41" s="158">
        <v>830</v>
      </c>
      <c r="AI41" s="158">
        <v>2818</v>
      </c>
      <c r="AJ41" s="158">
        <v>6295</v>
      </c>
      <c r="AK41" s="158">
        <v>19050</v>
      </c>
      <c r="AL41" s="158">
        <v>22050</v>
      </c>
      <c r="AM41" s="457">
        <f t="shared" si="10"/>
        <v>129480</v>
      </c>
      <c r="AN41" s="458">
        <f t="shared" si="11"/>
        <v>821447</v>
      </c>
      <c r="AO41" s="458">
        <f t="shared" si="12"/>
        <v>78687.5</v>
      </c>
      <c r="AP41" s="458">
        <f t="shared" si="13"/>
        <v>0</v>
      </c>
      <c r="AQ41" s="459">
        <f t="shared" si="14"/>
        <v>110250</v>
      </c>
      <c r="AR41" s="457">
        <f>SUM(Tabla1[[#This Row],[COSTO OPERATIVO ACIDO]:[COSTO OPERATIVO CATIONICO]])</f>
        <v>1139864.5</v>
      </c>
      <c r="AS41" s="458">
        <v>3599</v>
      </c>
      <c r="AT41" s="460">
        <f t="shared" si="15"/>
        <v>2035.4723214285714</v>
      </c>
    </row>
    <row r="42" spans="1:46" ht="14.95" thickBot="1" x14ac:dyDescent="0.3">
      <c r="A42" s="461">
        <f>A41</f>
        <v>46095</v>
      </c>
      <c r="B42" s="157">
        <f>DAY(Tabla1[[#This Row],[FECHA]])</f>
        <v>14</v>
      </c>
      <c r="C42" s="462" t="s">
        <v>266</v>
      </c>
      <c r="D42" s="463">
        <v>41</v>
      </c>
      <c r="E42" s="463" t="s">
        <v>77</v>
      </c>
      <c r="F42" s="464">
        <v>490</v>
      </c>
      <c r="G42" s="465">
        <v>1420</v>
      </c>
      <c r="H42" s="465">
        <v>2090</v>
      </c>
      <c r="I42" s="465">
        <v>190</v>
      </c>
      <c r="J42" s="465">
        <v>170</v>
      </c>
      <c r="K42" s="483">
        <v>17442</v>
      </c>
      <c r="L42" s="478">
        <f>+(K43-Tabla1[[#This Row],[Lectura Horometro INICIAL (06:00)]])*Tabla1[[#This Row],[CAUDAL DE TRATAMIENTO]]</f>
        <v>240</v>
      </c>
      <c r="M42" s="479">
        <v>80</v>
      </c>
      <c r="N42" s="444">
        <f t="shared" ref="N42:N70" si="22">F42-F43</f>
        <v>90</v>
      </c>
      <c r="O42" s="498">
        <f>G42-G43</f>
        <v>120</v>
      </c>
      <c r="P42" s="444">
        <f t="shared" ref="P42:P70" si="23">H42-H43</f>
        <v>90</v>
      </c>
      <c r="Q42" s="444">
        <f t="shared" si="19"/>
        <v>5</v>
      </c>
      <c r="R42" s="445">
        <f t="shared" si="20"/>
        <v>5</v>
      </c>
      <c r="S42" s="452">
        <f t="shared" si="2"/>
        <v>117</v>
      </c>
      <c r="T42" s="453">
        <f t="shared" si="3"/>
        <v>159</v>
      </c>
      <c r="U42" s="453">
        <f t="shared" si="4"/>
        <v>112.5</v>
      </c>
      <c r="V42" s="466">
        <f>Tabla1[[#This Row],[CONSUMO POL ANIONICO (KG)]]</f>
        <v>5</v>
      </c>
      <c r="W42" s="445">
        <f>Tabla1[[#This Row],[CONSUMO POL CATIONICO (KG)]]</f>
        <v>5</v>
      </c>
      <c r="X42" s="467">
        <f t="shared" si="5"/>
        <v>487.5</v>
      </c>
      <c r="Y42" s="466">
        <f t="shared" si="6"/>
        <v>662.5</v>
      </c>
      <c r="Z42" s="466">
        <f t="shared" si="7"/>
        <v>468.75</v>
      </c>
      <c r="AA42" s="466">
        <f t="shared" si="8"/>
        <v>20.833333333333332</v>
      </c>
      <c r="AB42" s="445">
        <f t="shared" si="9"/>
        <v>20.833333333333332</v>
      </c>
      <c r="AC42" s="454">
        <v>1.3</v>
      </c>
      <c r="AD42" s="454">
        <v>1.325</v>
      </c>
      <c r="AE42" s="454">
        <v>1.25</v>
      </c>
      <c r="AF42" s="455">
        <v>2500</v>
      </c>
      <c r="AG42" s="456">
        <v>2500</v>
      </c>
      <c r="AH42" s="158">
        <v>830</v>
      </c>
      <c r="AI42" s="158">
        <v>2818</v>
      </c>
      <c r="AJ42" s="158">
        <v>6295</v>
      </c>
      <c r="AK42" s="158">
        <v>19050</v>
      </c>
      <c r="AL42" s="158">
        <v>22050</v>
      </c>
      <c r="AM42" s="468">
        <f t="shared" si="10"/>
        <v>97110</v>
      </c>
      <c r="AN42" s="460">
        <f t="shared" si="11"/>
        <v>448062</v>
      </c>
      <c r="AO42" s="460">
        <f t="shared" si="12"/>
        <v>708187.5</v>
      </c>
      <c r="AP42" s="460">
        <f t="shared" si="13"/>
        <v>95250</v>
      </c>
      <c r="AQ42" s="469">
        <f t="shared" si="14"/>
        <v>110250</v>
      </c>
      <c r="AR42" s="468">
        <f>SUM(Tabla1[[#This Row],[COSTO OPERATIVO ACIDO]:[COSTO OPERATIVO CATIONICO]])</f>
        <v>1458859.5</v>
      </c>
      <c r="AS42" s="458">
        <v>3599</v>
      </c>
      <c r="AT42" s="460">
        <f t="shared" si="15"/>
        <v>6078.5812500000002</v>
      </c>
    </row>
    <row r="43" spans="1:46" ht="14.95" thickBot="1" x14ac:dyDescent="0.3">
      <c r="A43" s="470">
        <f>A42</f>
        <v>46095</v>
      </c>
      <c r="B43" s="157">
        <f>DAY(Tabla1[[#This Row],[FECHA]])</f>
        <v>14</v>
      </c>
      <c r="C43" s="471" t="s">
        <v>30</v>
      </c>
      <c r="D43" s="472">
        <v>42</v>
      </c>
      <c r="E43" s="472" t="s">
        <v>76</v>
      </c>
      <c r="F43" s="464">
        <v>400</v>
      </c>
      <c r="G43" s="465">
        <v>1300</v>
      </c>
      <c r="H43" s="465">
        <v>2000</v>
      </c>
      <c r="I43" s="465">
        <v>185</v>
      </c>
      <c r="J43" s="465">
        <v>165</v>
      </c>
      <c r="K43" s="484">
        <v>17445</v>
      </c>
      <c r="L43" s="485">
        <f>+(K44-Tabla1[[#This Row],[Lectura Horometro INICIAL (06:00)]])*Tabla1[[#This Row],[CAUDAL DE TRATAMIENTO]]</f>
        <v>480</v>
      </c>
      <c r="M43" s="486">
        <v>80</v>
      </c>
      <c r="N43" s="446">
        <f t="shared" si="22"/>
        <v>0</v>
      </c>
      <c r="O43" s="499">
        <f>G43-G44</f>
        <v>0</v>
      </c>
      <c r="P43" s="446">
        <f t="shared" si="23"/>
        <v>0</v>
      </c>
      <c r="Q43" s="446">
        <f t="shared" si="19"/>
        <v>0</v>
      </c>
      <c r="R43" s="447">
        <f t="shared" si="20"/>
        <v>5</v>
      </c>
      <c r="S43" s="452">
        <f t="shared" si="2"/>
        <v>0</v>
      </c>
      <c r="T43" s="453">
        <f t="shared" si="3"/>
        <v>0</v>
      </c>
      <c r="U43" s="453">
        <f t="shared" si="4"/>
        <v>0</v>
      </c>
      <c r="V43" s="473">
        <f>Tabla1[[#This Row],[CONSUMO POL ANIONICO (KG)]]</f>
        <v>0</v>
      </c>
      <c r="W43" s="447">
        <f>Tabla1[[#This Row],[CONSUMO POL CATIONICO (KG)]]</f>
        <v>5</v>
      </c>
      <c r="X43" s="467">
        <f t="shared" si="5"/>
        <v>0</v>
      </c>
      <c r="Y43" s="473">
        <f t="shared" si="6"/>
        <v>0</v>
      </c>
      <c r="Z43" s="473">
        <f t="shared" si="7"/>
        <v>0</v>
      </c>
      <c r="AA43" s="473">
        <f t="shared" si="8"/>
        <v>0</v>
      </c>
      <c r="AB43" s="447">
        <f t="shared" si="9"/>
        <v>10.416666666666666</v>
      </c>
      <c r="AC43" s="454">
        <v>1.3</v>
      </c>
      <c r="AD43" s="454">
        <v>1.325</v>
      </c>
      <c r="AE43" s="454">
        <v>1.25</v>
      </c>
      <c r="AF43" s="455">
        <v>2500</v>
      </c>
      <c r="AG43" s="456">
        <v>2500</v>
      </c>
      <c r="AH43" s="158">
        <v>830</v>
      </c>
      <c r="AI43" s="158">
        <v>2818</v>
      </c>
      <c r="AJ43" s="158">
        <v>6295</v>
      </c>
      <c r="AK43" s="158">
        <v>19050</v>
      </c>
      <c r="AL43" s="158">
        <v>22050</v>
      </c>
      <c r="AM43" s="468">
        <f t="shared" si="10"/>
        <v>0</v>
      </c>
      <c r="AN43" s="474">
        <f t="shared" si="11"/>
        <v>0</v>
      </c>
      <c r="AO43" s="474">
        <f t="shared" si="12"/>
        <v>0</v>
      </c>
      <c r="AP43" s="474">
        <f t="shared" si="13"/>
        <v>0</v>
      </c>
      <c r="AQ43" s="475">
        <f t="shared" si="14"/>
        <v>110250</v>
      </c>
      <c r="AR43" s="468">
        <f>SUM(Tabla1[[#This Row],[COSTO OPERATIVO ACIDO]:[COSTO OPERATIVO CATIONICO]])</f>
        <v>110250</v>
      </c>
      <c r="AS43" s="458">
        <v>3599</v>
      </c>
      <c r="AT43" s="460">
        <f t="shared" si="15"/>
        <v>229.6875</v>
      </c>
    </row>
    <row r="44" spans="1:46" ht="14.95" thickBot="1" x14ac:dyDescent="0.3">
      <c r="A44" s="213">
        <v>46096</v>
      </c>
      <c r="B44" s="157">
        <f>DAY(Tabla1[[#This Row],[FECHA]])</f>
        <v>15</v>
      </c>
      <c r="C44" s="448" t="s">
        <v>267</v>
      </c>
      <c r="D44" s="449">
        <v>43</v>
      </c>
      <c r="E44" s="449" t="s">
        <v>75</v>
      </c>
      <c r="F44" s="450">
        <f>+AVERAGE(F43,F45)</f>
        <v>400</v>
      </c>
      <c r="G44" s="451">
        <f>+AVERAGE(G43,G45)</f>
        <v>1300</v>
      </c>
      <c r="H44" s="451">
        <f>+AVERAGE(H43,H45)</f>
        <v>2000</v>
      </c>
      <c r="I44" s="451">
        <v>185</v>
      </c>
      <c r="J44" s="451">
        <v>160</v>
      </c>
      <c r="K44" s="480">
        <v>17451</v>
      </c>
      <c r="L44" s="481">
        <f>+(K45-Tabla1[[#This Row],[Lectura Horometro INICIAL (06:00)]])*Tabla1[[#This Row],[CAUDAL DE TRATAMIENTO]]</f>
        <v>0</v>
      </c>
      <c r="M44" s="482">
        <v>80</v>
      </c>
      <c r="N44" s="442">
        <f t="shared" si="22"/>
        <v>0</v>
      </c>
      <c r="O44" s="497">
        <f t="shared" ref="O44:O70" si="24">G44-G45</f>
        <v>0</v>
      </c>
      <c r="P44" s="442">
        <f t="shared" si="23"/>
        <v>0</v>
      </c>
      <c r="Q44" s="442">
        <f t="shared" si="19"/>
        <v>0</v>
      </c>
      <c r="R44" s="443">
        <f t="shared" si="20"/>
        <v>5</v>
      </c>
      <c r="S44" s="452">
        <f t="shared" si="2"/>
        <v>0</v>
      </c>
      <c r="T44" s="453">
        <f t="shared" si="3"/>
        <v>0</v>
      </c>
      <c r="U44" s="453">
        <f t="shared" si="4"/>
        <v>0</v>
      </c>
      <c r="V44" s="453">
        <f>Tabla1[[#This Row],[CONSUMO POL ANIONICO (KG)]]</f>
        <v>0</v>
      </c>
      <c r="W44" s="443">
        <f>Tabla1[[#This Row],[CONSUMO POL CATIONICO (KG)]]</f>
        <v>5</v>
      </c>
      <c r="X44" s="452" t="e">
        <f t="shared" si="5"/>
        <v>#DIV/0!</v>
      </c>
      <c r="Y44" s="453" t="e">
        <f t="shared" si="6"/>
        <v>#DIV/0!</v>
      </c>
      <c r="Z44" s="453" t="e">
        <f t="shared" si="7"/>
        <v>#DIV/0!</v>
      </c>
      <c r="AA44" s="453" t="e">
        <f t="shared" si="8"/>
        <v>#DIV/0!</v>
      </c>
      <c r="AB44" s="443" t="e">
        <f t="shared" si="9"/>
        <v>#DIV/0!</v>
      </c>
      <c r="AC44" s="454">
        <v>1.3</v>
      </c>
      <c r="AD44" s="454">
        <v>1.325</v>
      </c>
      <c r="AE44" s="454">
        <v>1.25</v>
      </c>
      <c r="AF44" s="455">
        <v>2500</v>
      </c>
      <c r="AG44" s="456">
        <v>2500</v>
      </c>
      <c r="AH44" s="158">
        <v>830</v>
      </c>
      <c r="AI44" s="158">
        <v>2818</v>
      </c>
      <c r="AJ44" s="158">
        <v>6295</v>
      </c>
      <c r="AK44" s="158">
        <v>19050</v>
      </c>
      <c r="AL44" s="158">
        <v>22050</v>
      </c>
      <c r="AM44" s="457">
        <f t="shared" si="10"/>
        <v>0</v>
      </c>
      <c r="AN44" s="458">
        <f t="shared" si="11"/>
        <v>0</v>
      </c>
      <c r="AO44" s="458">
        <f t="shared" si="12"/>
        <v>0</v>
      </c>
      <c r="AP44" s="458">
        <f t="shared" si="13"/>
        <v>0</v>
      </c>
      <c r="AQ44" s="459">
        <f t="shared" si="14"/>
        <v>110250</v>
      </c>
      <c r="AR44" s="457">
        <f>SUM(Tabla1[[#This Row],[COSTO OPERATIVO ACIDO]:[COSTO OPERATIVO CATIONICO]])</f>
        <v>110250</v>
      </c>
      <c r="AS44" s="458">
        <v>3599</v>
      </c>
      <c r="AT44" s="460" t="e">
        <f t="shared" si="15"/>
        <v>#DIV/0!</v>
      </c>
    </row>
    <row r="45" spans="1:46" ht="14.95" thickBot="1" x14ac:dyDescent="0.3">
      <c r="A45" s="461">
        <f>A44</f>
        <v>46096</v>
      </c>
      <c r="B45" s="157">
        <f>DAY(Tabla1[[#This Row],[FECHA]])</f>
        <v>15</v>
      </c>
      <c r="C45" s="462" t="s">
        <v>268</v>
      </c>
      <c r="D45" s="463">
        <v>44</v>
      </c>
      <c r="E45" s="463" t="s">
        <v>77</v>
      </c>
      <c r="F45" s="464">
        <v>400</v>
      </c>
      <c r="G45" s="465">
        <v>1300</v>
      </c>
      <c r="H45" s="465">
        <v>2000</v>
      </c>
      <c r="I45" s="465">
        <v>185</v>
      </c>
      <c r="J45" s="465">
        <v>155</v>
      </c>
      <c r="K45" s="483">
        <v>17451</v>
      </c>
      <c r="L45" s="478">
        <f>+(K46-Tabla1[[#This Row],[Lectura Horometro INICIAL (06:00)]])*Tabla1[[#This Row],[CAUDAL DE TRATAMIENTO]]</f>
        <v>0</v>
      </c>
      <c r="M45" s="479">
        <v>80</v>
      </c>
      <c r="N45" s="444">
        <f t="shared" si="22"/>
        <v>0</v>
      </c>
      <c r="O45" s="498">
        <f t="shared" si="24"/>
        <v>0</v>
      </c>
      <c r="P45" s="444">
        <f t="shared" si="23"/>
        <v>0</v>
      </c>
      <c r="Q45" s="444">
        <f t="shared" si="19"/>
        <v>0</v>
      </c>
      <c r="R45" s="445">
        <f t="shared" si="20"/>
        <v>5</v>
      </c>
      <c r="S45" s="452">
        <f t="shared" si="2"/>
        <v>0</v>
      </c>
      <c r="T45" s="453">
        <f t="shared" si="3"/>
        <v>0</v>
      </c>
      <c r="U45" s="453">
        <f t="shared" si="4"/>
        <v>0</v>
      </c>
      <c r="V45" s="466">
        <f>Tabla1[[#This Row],[CONSUMO POL ANIONICO (KG)]]</f>
        <v>0</v>
      </c>
      <c r="W45" s="445">
        <f>Tabla1[[#This Row],[CONSUMO POL CATIONICO (KG)]]</f>
        <v>5</v>
      </c>
      <c r="X45" s="467" t="e">
        <f t="shared" si="5"/>
        <v>#DIV/0!</v>
      </c>
      <c r="Y45" s="466" t="e">
        <f t="shared" si="6"/>
        <v>#DIV/0!</v>
      </c>
      <c r="Z45" s="466" t="e">
        <f t="shared" si="7"/>
        <v>#DIV/0!</v>
      </c>
      <c r="AA45" s="466" t="e">
        <f t="shared" si="8"/>
        <v>#DIV/0!</v>
      </c>
      <c r="AB45" s="445" t="e">
        <f t="shared" si="9"/>
        <v>#DIV/0!</v>
      </c>
      <c r="AC45" s="454">
        <v>1.3</v>
      </c>
      <c r="AD45" s="454">
        <v>1.325</v>
      </c>
      <c r="AE45" s="454">
        <v>1.25</v>
      </c>
      <c r="AF45" s="455">
        <v>2500</v>
      </c>
      <c r="AG45" s="456">
        <v>2500</v>
      </c>
      <c r="AH45" s="158">
        <v>830</v>
      </c>
      <c r="AI45" s="158">
        <v>2818</v>
      </c>
      <c r="AJ45" s="158">
        <v>6295</v>
      </c>
      <c r="AK45" s="158">
        <v>19050</v>
      </c>
      <c r="AL45" s="158">
        <v>22050</v>
      </c>
      <c r="AM45" s="468">
        <f t="shared" si="10"/>
        <v>0</v>
      </c>
      <c r="AN45" s="460">
        <f t="shared" si="11"/>
        <v>0</v>
      </c>
      <c r="AO45" s="460">
        <f t="shared" si="12"/>
        <v>0</v>
      </c>
      <c r="AP45" s="460">
        <f t="shared" si="13"/>
        <v>0</v>
      </c>
      <c r="AQ45" s="469">
        <f t="shared" si="14"/>
        <v>110250</v>
      </c>
      <c r="AR45" s="468">
        <f>SUM(Tabla1[[#This Row],[COSTO OPERATIVO ACIDO]:[COSTO OPERATIVO CATIONICO]])</f>
        <v>110250</v>
      </c>
      <c r="AS45" s="458">
        <v>3599</v>
      </c>
      <c r="AT45" s="460" t="e">
        <f t="shared" si="15"/>
        <v>#DIV/0!</v>
      </c>
    </row>
    <row r="46" spans="1:46" ht="14.95" thickBot="1" x14ac:dyDescent="0.3">
      <c r="A46" s="470">
        <f>A45</f>
        <v>46096</v>
      </c>
      <c r="B46" s="157">
        <f>DAY(Tabla1[[#This Row],[FECHA]])</f>
        <v>15</v>
      </c>
      <c r="C46" s="471" t="s">
        <v>30</v>
      </c>
      <c r="D46" s="472">
        <v>45</v>
      </c>
      <c r="E46" s="472" t="s">
        <v>76</v>
      </c>
      <c r="F46" s="464">
        <v>400</v>
      </c>
      <c r="G46" s="465">
        <v>1300</v>
      </c>
      <c r="H46" s="465">
        <v>2000</v>
      </c>
      <c r="I46" s="465">
        <v>185</v>
      </c>
      <c r="J46" s="465">
        <v>150</v>
      </c>
      <c r="K46" s="484">
        <v>17451</v>
      </c>
      <c r="L46" s="485">
        <f>+(K47-Tabla1[[#This Row],[Lectura Horometro INICIAL (06:00)]])*Tabla1[[#This Row],[CAUDAL DE TRATAMIENTO]]</f>
        <v>0</v>
      </c>
      <c r="M46" s="486">
        <v>80</v>
      </c>
      <c r="N46" s="446">
        <f>F46-F47</f>
        <v>0</v>
      </c>
      <c r="O46" s="499">
        <f>G46-G47</f>
        <v>0</v>
      </c>
      <c r="P46" s="446">
        <f>H46-H47</f>
        <v>0</v>
      </c>
      <c r="Q46" s="446">
        <f>I46-I47</f>
        <v>0</v>
      </c>
      <c r="R46" s="447">
        <f t="shared" si="20"/>
        <v>5</v>
      </c>
      <c r="S46" s="452">
        <f t="shared" si="2"/>
        <v>0</v>
      </c>
      <c r="T46" s="453">
        <f t="shared" si="3"/>
        <v>0</v>
      </c>
      <c r="U46" s="453">
        <f t="shared" si="4"/>
        <v>0</v>
      </c>
      <c r="V46" s="473">
        <f>Tabla1[[#This Row],[CONSUMO POL ANIONICO (KG)]]</f>
        <v>0</v>
      </c>
      <c r="W46" s="447">
        <f>Tabla1[[#This Row],[CONSUMO POL CATIONICO (KG)]]</f>
        <v>5</v>
      </c>
      <c r="X46" s="467" t="e">
        <f t="shared" si="5"/>
        <v>#DIV/0!</v>
      </c>
      <c r="Y46" s="473" t="e">
        <f t="shared" si="6"/>
        <v>#DIV/0!</v>
      </c>
      <c r="Z46" s="473" t="e">
        <f t="shared" si="7"/>
        <v>#DIV/0!</v>
      </c>
      <c r="AA46" s="473" t="e">
        <f t="shared" si="8"/>
        <v>#DIV/0!</v>
      </c>
      <c r="AB46" s="447" t="e">
        <f t="shared" si="9"/>
        <v>#DIV/0!</v>
      </c>
      <c r="AC46" s="454">
        <v>1.3</v>
      </c>
      <c r="AD46" s="454">
        <v>1.325</v>
      </c>
      <c r="AE46" s="454">
        <v>1.25</v>
      </c>
      <c r="AF46" s="455">
        <v>2500</v>
      </c>
      <c r="AG46" s="456">
        <v>2500</v>
      </c>
      <c r="AH46" s="158">
        <v>830</v>
      </c>
      <c r="AI46" s="158">
        <v>2818</v>
      </c>
      <c r="AJ46" s="158">
        <v>6295</v>
      </c>
      <c r="AK46" s="158">
        <v>19050</v>
      </c>
      <c r="AL46" s="158">
        <v>22050</v>
      </c>
      <c r="AM46" s="468">
        <f t="shared" si="10"/>
        <v>0</v>
      </c>
      <c r="AN46" s="474">
        <f t="shared" si="11"/>
        <v>0</v>
      </c>
      <c r="AO46" s="474">
        <f t="shared" si="12"/>
        <v>0</v>
      </c>
      <c r="AP46" s="474">
        <f t="shared" si="13"/>
        <v>0</v>
      </c>
      <c r="AQ46" s="475">
        <f t="shared" si="14"/>
        <v>110250</v>
      </c>
      <c r="AR46" s="468">
        <f>SUM(Tabla1[[#This Row],[COSTO OPERATIVO ACIDO]:[COSTO OPERATIVO CATIONICO]])</f>
        <v>110250</v>
      </c>
      <c r="AS46" s="458">
        <v>3599</v>
      </c>
      <c r="AT46" s="460" t="e">
        <f t="shared" si="15"/>
        <v>#DIV/0!</v>
      </c>
    </row>
    <row r="47" spans="1:46" ht="14.95" thickBot="1" x14ac:dyDescent="0.3">
      <c r="A47" s="213">
        <v>46097</v>
      </c>
      <c r="B47" s="157">
        <f>DAY(Tabla1[[#This Row],[FECHA]])</f>
        <v>16</v>
      </c>
      <c r="C47" s="448" t="s">
        <v>269</v>
      </c>
      <c r="D47" s="449">
        <v>46</v>
      </c>
      <c r="E47" s="449" t="s">
        <v>75</v>
      </c>
      <c r="F47" s="450">
        <v>400</v>
      </c>
      <c r="G47" s="451">
        <v>1300</v>
      </c>
      <c r="H47" s="451">
        <v>2000</v>
      </c>
      <c r="I47" s="451">
        <v>185</v>
      </c>
      <c r="J47" s="451">
        <v>145</v>
      </c>
      <c r="K47" s="480">
        <v>17451</v>
      </c>
      <c r="L47" s="518">
        <v>375</v>
      </c>
      <c r="M47" s="482">
        <v>80</v>
      </c>
      <c r="N47" s="442">
        <f t="shared" si="22"/>
        <v>250</v>
      </c>
      <c r="O47" s="514">
        <f>G47-G48-150</f>
        <v>300</v>
      </c>
      <c r="P47" s="442">
        <f t="shared" si="23"/>
        <v>70</v>
      </c>
      <c r="Q47" s="442">
        <f t="shared" ref="Q47:Q78" si="25">I47-I48</f>
        <v>5</v>
      </c>
      <c r="R47" s="443">
        <f t="shared" ref="R47:R78" si="26">J47-J48</f>
        <v>5</v>
      </c>
      <c r="S47" s="452">
        <f t="shared" si="2"/>
        <v>325</v>
      </c>
      <c r="T47" s="453">
        <f t="shared" si="3"/>
        <v>397.5</v>
      </c>
      <c r="U47" s="453">
        <f t="shared" si="4"/>
        <v>87.5</v>
      </c>
      <c r="V47" s="453">
        <f>Tabla1[[#This Row],[CONSUMO POL ANIONICO (KG)]]</f>
        <v>5</v>
      </c>
      <c r="W47" s="443">
        <f>Tabla1[[#This Row],[CONSUMO POL CATIONICO (KG)]]</f>
        <v>5</v>
      </c>
      <c r="X47" s="452">
        <f t="shared" si="5"/>
        <v>866.66666666666663</v>
      </c>
      <c r="Y47" s="453">
        <f t="shared" si="6"/>
        <v>1060</v>
      </c>
      <c r="Z47" s="453">
        <f t="shared" si="7"/>
        <v>233.33333333333334</v>
      </c>
      <c r="AA47" s="453">
        <f t="shared" si="8"/>
        <v>13.333333333333334</v>
      </c>
      <c r="AB47" s="443">
        <f t="shared" si="9"/>
        <v>13.333333333333334</v>
      </c>
      <c r="AC47" s="454">
        <v>1.3</v>
      </c>
      <c r="AD47" s="454">
        <v>1.325</v>
      </c>
      <c r="AE47" s="454">
        <v>1.25</v>
      </c>
      <c r="AF47" s="455">
        <v>2500</v>
      </c>
      <c r="AG47" s="456">
        <v>2500</v>
      </c>
      <c r="AH47" s="158">
        <v>830</v>
      </c>
      <c r="AI47" s="158">
        <v>2818</v>
      </c>
      <c r="AJ47" s="158">
        <v>6295</v>
      </c>
      <c r="AK47" s="158">
        <v>19050</v>
      </c>
      <c r="AL47" s="158">
        <v>22050</v>
      </c>
      <c r="AM47" s="457">
        <f t="shared" si="10"/>
        <v>269750</v>
      </c>
      <c r="AN47" s="458">
        <f t="shared" si="11"/>
        <v>1120155</v>
      </c>
      <c r="AO47" s="458">
        <f t="shared" si="12"/>
        <v>550812.5</v>
      </c>
      <c r="AP47" s="458">
        <f t="shared" si="13"/>
        <v>95250</v>
      </c>
      <c r="AQ47" s="459">
        <f t="shared" si="14"/>
        <v>110250</v>
      </c>
      <c r="AR47" s="457">
        <f>SUM(Tabla1[[#This Row],[COSTO OPERATIVO ACIDO]:[COSTO OPERATIVO CATIONICO]])</f>
        <v>2146217.5</v>
      </c>
      <c r="AS47" s="458">
        <v>3599</v>
      </c>
      <c r="AT47" s="460">
        <f t="shared" si="15"/>
        <v>5723.2466666666669</v>
      </c>
    </row>
    <row r="48" spans="1:46" ht="14.95" thickBot="1" x14ac:dyDescent="0.3">
      <c r="A48" s="461">
        <f>A47</f>
        <v>46097</v>
      </c>
      <c r="B48" s="157">
        <f>DAY(Tabla1[[#This Row],[FECHA]])</f>
        <v>16</v>
      </c>
      <c r="C48" s="462" t="s">
        <v>270</v>
      </c>
      <c r="D48" s="463">
        <v>47</v>
      </c>
      <c r="E48" s="463" t="s">
        <v>77</v>
      </c>
      <c r="F48" s="464">
        <v>150</v>
      </c>
      <c r="G48" s="465">
        <v>850</v>
      </c>
      <c r="H48" s="465">
        <v>1930</v>
      </c>
      <c r="I48" s="465">
        <v>180</v>
      </c>
      <c r="J48" s="465">
        <v>140</v>
      </c>
      <c r="K48" s="483">
        <v>17455</v>
      </c>
      <c r="L48" s="519">
        <v>457</v>
      </c>
      <c r="M48" s="479">
        <v>80</v>
      </c>
      <c r="N48" s="444">
        <f t="shared" si="22"/>
        <v>50</v>
      </c>
      <c r="O48" s="498">
        <f t="shared" si="24"/>
        <v>110</v>
      </c>
      <c r="P48" s="444">
        <f t="shared" si="23"/>
        <v>30</v>
      </c>
      <c r="Q48" s="444">
        <f t="shared" si="25"/>
        <v>0</v>
      </c>
      <c r="R48" s="445">
        <f t="shared" si="26"/>
        <v>5</v>
      </c>
      <c r="S48" s="452">
        <f t="shared" si="2"/>
        <v>65</v>
      </c>
      <c r="T48" s="453">
        <f t="shared" si="3"/>
        <v>145.75</v>
      </c>
      <c r="U48" s="453">
        <f t="shared" si="4"/>
        <v>37.5</v>
      </c>
      <c r="V48" s="466">
        <f>Tabla1[[#This Row],[CONSUMO POL ANIONICO (KG)]]</f>
        <v>0</v>
      </c>
      <c r="W48" s="445">
        <f>Tabla1[[#This Row],[CONSUMO POL CATIONICO (KG)]]</f>
        <v>5</v>
      </c>
      <c r="X48" s="467">
        <f t="shared" si="5"/>
        <v>142.23194748358861</v>
      </c>
      <c r="Y48" s="466">
        <f t="shared" si="6"/>
        <v>318.92778993435451</v>
      </c>
      <c r="Z48" s="466">
        <f t="shared" si="7"/>
        <v>82.056892778993429</v>
      </c>
      <c r="AA48" s="466">
        <f t="shared" si="8"/>
        <v>0</v>
      </c>
      <c r="AB48" s="445">
        <f t="shared" si="9"/>
        <v>10.940919037199125</v>
      </c>
      <c r="AC48" s="454">
        <v>1.3</v>
      </c>
      <c r="AD48" s="454">
        <v>1.325</v>
      </c>
      <c r="AE48" s="454">
        <v>1.25</v>
      </c>
      <c r="AF48" s="455">
        <v>2500</v>
      </c>
      <c r="AG48" s="456">
        <v>2500</v>
      </c>
      <c r="AH48" s="158">
        <v>830</v>
      </c>
      <c r="AI48" s="158">
        <v>2818</v>
      </c>
      <c r="AJ48" s="158">
        <v>6295</v>
      </c>
      <c r="AK48" s="158">
        <v>19050</v>
      </c>
      <c r="AL48" s="158">
        <v>22050</v>
      </c>
      <c r="AM48" s="468">
        <f t="shared" si="10"/>
        <v>53950</v>
      </c>
      <c r="AN48" s="460">
        <f t="shared" si="11"/>
        <v>410723.5</v>
      </c>
      <c r="AO48" s="460">
        <f t="shared" si="12"/>
        <v>236062.5</v>
      </c>
      <c r="AP48" s="460">
        <f t="shared" si="13"/>
        <v>0</v>
      </c>
      <c r="AQ48" s="469">
        <f t="shared" si="14"/>
        <v>110250</v>
      </c>
      <c r="AR48" s="468">
        <f>SUM(Tabla1[[#This Row],[COSTO OPERATIVO ACIDO]:[COSTO OPERATIVO CATIONICO]])</f>
        <v>810986</v>
      </c>
      <c r="AS48" s="458">
        <v>3599</v>
      </c>
      <c r="AT48" s="460">
        <f t="shared" si="15"/>
        <v>1774.586433260394</v>
      </c>
    </row>
    <row r="49" spans="1:46" ht="14.95" thickBot="1" x14ac:dyDescent="0.3">
      <c r="A49" s="470">
        <f>A48</f>
        <v>46097</v>
      </c>
      <c r="B49" s="157">
        <f>DAY(Tabla1[[#This Row],[FECHA]])</f>
        <v>16</v>
      </c>
      <c r="C49" s="471" t="s">
        <v>30</v>
      </c>
      <c r="D49" s="472">
        <v>48</v>
      </c>
      <c r="E49" s="472" t="s">
        <v>76</v>
      </c>
      <c r="F49" s="464">
        <v>100</v>
      </c>
      <c r="G49" s="465">
        <v>740</v>
      </c>
      <c r="H49" s="465">
        <v>1900</v>
      </c>
      <c r="I49" s="465">
        <v>180</v>
      </c>
      <c r="J49" s="465">
        <v>135</v>
      </c>
      <c r="K49" s="484">
        <v>17458</v>
      </c>
      <c r="L49" s="520">
        <v>461</v>
      </c>
      <c r="M49" s="486">
        <v>80</v>
      </c>
      <c r="N49" s="511">
        <f>F49-F50+2000</f>
        <v>0</v>
      </c>
      <c r="O49" s="512">
        <f>G49-G50+2000</f>
        <v>390</v>
      </c>
      <c r="P49" s="511">
        <f>H49-H50+1000</f>
        <v>50</v>
      </c>
      <c r="Q49" s="511">
        <f>I49-I50+100</f>
        <v>5</v>
      </c>
      <c r="R49" s="447">
        <f t="shared" si="26"/>
        <v>5</v>
      </c>
      <c r="S49" s="452">
        <f t="shared" si="2"/>
        <v>0</v>
      </c>
      <c r="T49" s="453">
        <f t="shared" si="3"/>
        <v>516.75</v>
      </c>
      <c r="U49" s="453">
        <f t="shared" si="4"/>
        <v>62.5</v>
      </c>
      <c r="V49" s="473">
        <f>Tabla1[[#This Row],[CONSUMO POL ANIONICO (KG)]]</f>
        <v>5</v>
      </c>
      <c r="W49" s="447">
        <f>Tabla1[[#This Row],[CONSUMO POL CATIONICO (KG)]]</f>
        <v>5</v>
      </c>
      <c r="X49" s="467">
        <f t="shared" si="5"/>
        <v>0</v>
      </c>
      <c r="Y49" s="473">
        <f t="shared" si="6"/>
        <v>1120.9327548806941</v>
      </c>
      <c r="Z49" s="473">
        <f t="shared" si="7"/>
        <v>135.57483731019522</v>
      </c>
      <c r="AA49" s="473">
        <f t="shared" si="8"/>
        <v>10.845986984815617</v>
      </c>
      <c r="AB49" s="447">
        <f t="shared" si="9"/>
        <v>10.845986984815617</v>
      </c>
      <c r="AC49" s="454">
        <v>1.3</v>
      </c>
      <c r="AD49" s="454">
        <v>1.325</v>
      </c>
      <c r="AE49" s="454">
        <v>1.25</v>
      </c>
      <c r="AF49" s="455">
        <v>2500</v>
      </c>
      <c r="AG49" s="456">
        <v>2500</v>
      </c>
      <c r="AH49" s="158">
        <v>830</v>
      </c>
      <c r="AI49" s="158">
        <v>2818</v>
      </c>
      <c r="AJ49" s="158">
        <v>6295</v>
      </c>
      <c r="AK49" s="158">
        <v>19050</v>
      </c>
      <c r="AL49" s="158">
        <v>22050</v>
      </c>
      <c r="AM49" s="468">
        <f t="shared" si="10"/>
        <v>0</v>
      </c>
      <c r="AN49" s="474">
        <f t="shared" si="11"/>
        <v>1456201.5</v>
      </c>
      <c r="AO49" s="474">
        <f t="shared" si="12"/>
        <v>393437.5</v>
      </c>
      <c r="AP49" s="474">
        <f t="shared" si="13"/>
        <v>95250</v>
      </c>
      <c r="AQ49" s="475">
        <f t="shared" si="14"/>
        <v>110250</v>
      </c>
      <c r="AR49" s="468">
        <f>SUM(Tabla1[[#This Row],[COSTO OPERATIVO ACIDO]:[COSTO OPERATIVO CATIONICO]])</f>
        <v>2055139</v>
      </c>
      <c r="AS49" s="458">
        <v>3599</v>
      </c>
      <c r="AT49" s="460">
        <f t="shared" si="15"/>
        <v>4458.0021691973971</v>
      </c>
    </row>
    <row r="50" spans="1:46" ht="14.95" thickBot="1" x14ac:dyDescent="0.3">
      <c r="A50" s="213">
        <v>46098</v>
      </c>
      <c r="B50" s="157">
        <f>DAY(Tabla1[[#This Row],[FECHA]])</f>
        <v>17</v>
      </c>
      <c r="C50" s="448" t="s">
        <v>271</v>
      </c>
      <c r="D50" s="449">
        <v>49</v>
      </c>
      <c r="E50" s="449" t="s">
        <v>75</v>
      </c>
      <c r="F50" s="450">
        <v>2100</v>
      </c>
      <c r="G50" s="451">
        <v>2350</v>
      </c>
      <c r="H50" s="451">
        <v>2850</v>
      </c>
      <c r="I50" s="451">
        <v>275</v>
      </c>
      <c r="J50" s="451">
        <v>130</v>
      </c>
      <c r="K50" s="480">
        <v>17462</v>
      </c>
      <c r="L50" s="481">
        <f>+(K51-Tabla1[[#This Row],[Lectura Horometro INICIAL (06:00)]])*Tabla1[[#This Row],[CAUDAL DE TRATAMIENTO]]</f>
        <v>480</v>
      </c>
      <c r="M50" s="482">
        <v>80</v>
      </c>
      <c r="N50" s="442">
        <f t="shared" si="22"/>
        <v>180</v>
      </c>
      <c r="O50" s="514">
        <f>G50-G51-100</f>
        <v>50</v>
      </c>
      <c r="P50" s="442">
        <f t="shared" si="23"/>
        <v>100</v>
      </c>
      <c r="Q50" s="442">
        <f t="shared" si="25"/>
        <v>0</v>
      </c>
      <c r="R50" s="443">
        <f t="shared" si="26"/>
        <v>5</v>
      </c>
      <c r="S50" s="452">
        <f t="shared" si="2"/>
        <v>234</v>
      </c>
      <c r="T50" s="453">
        <f t="shared" si="3"/>
        <v>66.25</v>
      </c>
      <c r="U50" s="453">
        <f t="shared" si="4"/>
        <v>125</v>
      </c>
      <c r="V50" s="453">
        <f>Tabla1[[#This Row],[CONSUMO POL ANIONICO (KG)]]</f>
        <v>0</v>
      </c>
      <c r="W50" s="443">
        <f>Tabla1[[#This Row],[CONSUMO POL CATIONICO (KG)]]</f>
        <v>5</v>
      </c>
      <c r="X50" s="452">
        <f t="shared" si="5"/>
        <v>487.5</v>
      </c>
      <c r="Y50" s="453">
        <f t="shared" si="6"/>
        <v>138.02083333333334</v>
      </c>
      <c r="Z50" s="453">
        <f t="shared" si="7"/>
        <v>260.41666666666669</v>
      </c>
      <c r="AA50" s="453">
        <f t="shared" si="8"/>
        <v>0</v>
      </c>
      <c r="AB50" s="443">
        <f t="shared" si="9"/>
        <v>10.416666666666666</v>
      </c>
      <c r="AC50" s="454">
        <v>1.3</v>
      </c>
      <c r="AD50" s="454">
        <v>1.325</v>
      </c>
      <c r="AE50" s="454">
        <v>1.25</v>
      </c>
      <c r="AF50" s="455">
        <v>2500</v>
      </c>
      <c r="AG50" s="456">
        <v>2500</v>
      </c>
      <c r="AH50" s="158">
        <v>830</v>
      </c>
      <c r="AI50" s="158">
        <v>2818</v>
      </c>
      <c r="AJ50" s="158">
        <v>6295</v>
      </c>
      <c r="AK50" s="158">
        <v>19050</v>
      </c>
      <c r="AL50" s="158">
        <v>22050</v>
      </c>
      <c r="AM50" s="457">
        <f t="shared" si="10"/>
        <v>194220</v>
      </c>
      <c r="AN50" s="458">
        <f t="shared" si="11"/>
        <v>186692.5</v>
      </c>
      <c r="AO50" s="458">
        <f t="shared" si="12"/>
        <v>786875</v>
      </c>
      <c r="AP50" s="458">
        <f t="shared" si="13"/>
        <v>0</v>
      </c>
      <c r="AQ50" s="459">
        <f t="shared" si="14"/>
        <v>110250</v>
      </c>
      <c r="AR50" s="457">
        <f>SUM(Tabla1[[#This Row],[COSTO OPERATIVO ACIDO]:[COSTO OPERATIVO CATIONICO]])</f>
        <v>1278037.5</v>
      </c>
      <c r="AS50" s="458">
        <v>3599</v>
      </c>
      <c r="AT50" s="460">
        <f t="shared" si="15"/>
        <v>2662.578125</v>
      </c>
    </row>
    <row r="51" spans="1:46" ht="14.95" thickBot="1" x14ac:dyDescent="0.3">
      <c r="A51" s="461">
        <f>A50</f>
        <v>46098</v>
      </c>
      <c r="B51" s="157">
        <f>DAY(Tabla1[[#This Row],[FECHA]])</f>
        <v>17</v>
      </c>
      <c r="C51" s="462" t="s">
        <v>272</v>
      </c>
      <c r="D51" s="463">
        <v>50</v>
      </c>
      <c r="E51" s="463" t="s">
        <v>77</v>
      </c>
      <c r="F51" s="464">
        <v>1920</v>
      </c>
      <c r="G51" s="465">
        <v>2200</v>
      </c>
      <c r="H51" s="465">
        <v>2750</v>
      </c>
      <c r="I51" s="465">
        <v>275</v>
      </c>
      <c r="J51" s="465">
        <v>125</v>
      </c>
      <c r="K51" s="483">
        <v>17468</v>
      </c>
      <c r="L51" s="478">
        <f>+(K52-Tabla1[[#This Row],[Lectura Horometro INICIAL (06:00)]])*Tabla1[[#This Row],[CAUDAL DE TRATAMIENTO]]</f>
        <v>320</v>
      </c>
      <c r="M51" s="479">
        <v>80</v>
      </c>
      <c r="N51" s="517">
        <f>F51-F52+1000</f>
        <v>140</v>
      </c>
      <c r="O51" s="498">
        <f t="shared" si="24"/>
        <v>240</v>
      </c>
      <c r="P51" s="444">
        <f t="shared" si="23"/>
        <v>50</v>
      </c>
      <c r="Q51" s="444">
        <f t="shared" si="25"/>
        <v>5</v>
      </c>
      <c r="R51" s="445">
        <f t="shared" si="26"/>
        <v>5</v>
      </c>
      <c r="S51" s="452">
        <f t="shared" si="2"/>
        <v>182</v>
      </c>
      <c r="T51" s="453">
        <f t="shared" si="3"/>
        <v>318</v>
      </c>
      <c r="U51" s="453">
        <f t="shared" si="4"/>
        <v>62.5</v>
      </c>
      <c r="V51" s="466">
        <f>Tabla1[[#This Row],[CONSUMO POL ANIONICO (KG)]]</f>
        <v>5</v>
      </c>
      <c r="W51" s="445">
        <f>Tabla1[[#This Row],[CONSUMO POL CATIONICO (KG)]]</f>
        <v>5</v>
      </c>
      <c r="X51" s="467">
        <f t="shared" si="5"/>
        <v>568.75</v>
      </c>
      <c r="Y51" s="466">
        <f t="shared" si="6"/>
        <v>993.75</v>
      </c>
      <c r="Z51" s="466">
        <f t="shared" si="7"/>
        <v>195.3125</v>
      </c>
      <c r="AA51" s="466">
        <f t="shared" si="8"/>
        <v>15.625</v>
      </c>
      <c r="AB51" s="445">
        <f t="shared" si="9"/>
        <v>15.625</v>
      </c>
      <c r="AC51" s="454">
        <v>1.3</v>
      </c>
      <c r="AD51" s="454">
        <v>1.325</v>
      </c>
      <c r="AE51" s="454">
        <v>1.25</v>
      </c>
      <c r="AF51" s="455">
        <v>2500</v>
      </c>
      <c r="AG51" s="456">
        <v>2500</v>
      </c>
      <c r="AH51" s="158">
        <v>830</v>
      </c>
      <c r="AI51" s="158">
        <v>2818</v>
      </c>
      <c r="AJ51" s="158">
        <v>6295</v>
      </c>
      <c r="AK51" s="158">
        <v>19050</v>
      </c>
      <c r="AL51" s="158">
        <v>22050</v>
      </c>
      <c r="AM51" s="468">
        <f t="shared" si="10"/>
        <v>151060</v>
      </c>
      <c r="AN51" s="460">
        <f t="shared" si="11"/>
        <v>896124</v>
      </c>
      <c r="AO51" s="460">
        <f t="shared" si="12"/>
        <v>393437.5</v>
      </c>
      <c r="AP51" s="460">
        <f t="shared" si="13"/>
        <v>95250</v>
      </c>
      <c r="AQ51" s="469">
        <f t="shared" si="14"/>
        <v>110250</v>
      </c>
      <c r="AR51" s="468">
        <f>SUM(Tabla1[[#This Row],[COSTO OPERATIVO ACIDO]:[COSTO OPERATIVO CATIONICO]])</f>
        <v>1646121.5</v>
      </c>
      <c r="AS51" s="458">
        <v>3599</v>
      </c>
      <c r="AT51" s="460">
        <f t="shared" si="15"/>
        <v>5144.1296874999998</v>
      </c>
    </row>
    <row r="52" spans="1:46" ht="14.95" thickBot="1" x14ac:dyDescent="0.3">
      <c r="A52" s="470">
        <f>A51</f>
        <v>46098</v>
      </c>
      <c r="B52" s="157">
        <f>DAY(Tabla1[[#This Row],[FECHA]])</f>
        <v>17</v>
      </c>
      <c r="C52" s="471" t="s">
        <v>30</v>
      </c>
      <c r="D52" s="472">
        <v>51</v>
      </c>
      <c r="E52" s="472" t="s">
        <v>76</v>
      </c>
      <c r="F52" s="464">
        <v>2780</v>
      </c>
      <c r="G52" s="465">
        <v>1960</v>
      </c>
      <c r="H52" s="465">
        <v>2700</v>
      </c>
      <c r="I52" s="465">
        <v>270</v>
      </c>
      <c r="J52" s="465">
        <f>+J51-5</f>
        <v>120</v>
      </c>
      <c r="K52" s="484">
        <v>17472</v>
      </c>
      <c r="L52" s="485">
        <f>+(K53-Tabla1[[#This Row],[Lectura Horometro INICIAL (06:00)]])*Tabla1[[#This Row],[CAUDAL DE TRATAMIENTO]]</f>
        <v>400</v>
      </c>
      <c r="M52" s="486">
        <v>80</v>
      </c>
      <c r="N52" s="511">
        <f>F52-F53+1000</f>
        <v>100</v>
      </c>
      <c r="O52" s="512">
        <f>G52-G53+3000</f>
        <v>220</v>
      </c>
      <c r="P52" s="446">
        <f t="shared" si="23"/>
        <v>40</v>
      </c>
      <c r="Q52" s="446">
        <f t="shared" si="25"/>
        <v>0</v>
      </c>
      <c r="R52" s="515">
        <f>J52-J53+25</f>
        <v>5</v>
      </c>
      <c r="S52" s="452">
        <f t="shared" si="2"/>
        <v>130</v>
      </c>
      <c r="T52" s="453">
        <f t="shared" si="3"/>
        <v>291.5</v>
      </c>
      <c r="U52" s="453">
        <f t="shared" si="4"/>
        <v>50</v>
      </c>
      <c r="V52" s="473">
        <f>Tabla1[[#This Row],[CONSUMO POL ANIONICO (KG)]]</f>
        <v>0</v>
      </c>
      <c r="W52" s="447">
        <f>Tabla1[[#This Row],[CONSUMO POL CATIONICO (KG)]]</f>
        <v>5</v>
      </c>
      <c r="X52" s="467">
        <f t="shared" si="5"/>
        <v>325</v>
      </c>
      <c r="Y52" s="473">
        <f t="shared" si="6"/>
        <v>728.75</v>
      </c>
      <c r="Z52" s="473">
        <f t="shared" si="7"/>
        <v>125</v>
      </c>
      <c r="AA52" s="473">
        <f t="shared" si="8"/>
        <v>0</v>
      </c>
      <c r="AB52" s="447">
        <f t="shared" si="9"/>
        <v>12.5</v>
      </c>
      <c r="AC52" s="454">
        <v>1.3</v>
      </c>
      <c r="AD52" s="454">
        <v>1.325</v>
      </c>
      <c r="AE52" s="454">
        <v>1.25</v>
      </c>
      <c r="AF52" s="455">
        <v>2500</v>
      </c>
      <c r="AG52" s="456">
        <v>2500</v>
      </c>
      <c r="AH52" s="158">
        <v>830</v>
      </c>
      <c r="AI52" s="158">
        <v>2818</v>
      </c>
      <c r="AJ52" s="158">
        <v>6295</v>
      </c>
      <c r="AK52" s="158">
        <v>19050</v>
      </c>
      <c r="AL52" s="158">
        <v>22050</v>
      </c>
      <c r="AM52" s="468">
        <f t="shared" si="10"/>
        <v>107900</v>
      </c>
      <c r="AN52" s="474">
        <f t="shared" si="11"/>
        <v>821447</v>
      </c>
      <c r="AO52" s="474">
        <f t="shared" si="12"/>
        <v>314750</v>
      </c>
      <c r="AP52" s="474">
        <f t="shared" si="13"/>
        <v>0</v>
      </c>
      <c r="AQ52" s="475">
        <f t="shared" si="14"/>
        <v>110250</v>
      </c>
      <c r="AR52" s="468">
        <f>SUM(Tabla1[[#This Row],[COSTO OPERATIVO ACIDO]:[COSTO OPERATIVO CATIONICO]])</f>
        <v>1354347</v>
      </c>
      <c r="AS52" s="458">
        <v>3599</v>
      </c>
      <c r="AT52" s="460">
        <f t="shared" si="15"/>
        <v>3385.8674999999998</v>
      </c>
    </row>
    <row r="53" spans="1:46" ht="14.95" thickBot="1" x14ac:dyDescent="0.3">
      <c r="A53" s="213">
        <v>46099</v>
      </c>
      <c r="B53" s="157">
        <f>DAY(Tabla1[[#This Row],[FECHA]])</f>
        <v>18</v>
      </c>
      <c r="C53" s="448" t="s">
        <v>273</v>
      </c>
      <c r="D53" s="449">
        <v>52</v>
      </c>
      <c r="E53" s="449" t="s">
        <v>75</v>
      </c>
      <c r="F53" s="450">
        <v>3680</v>
      </c>
      <c r="G53" s="451">
        <v>4740</v>
      </c>
      <c r="H53" s="451">
        <v>2660</v>
      </c>
      <c r="I53" s="451">
        <v>270</v>
      </c>
      <c r="J53" s="451">
        <f>+J52-5+25</f>
        <v>140</v>
      </c>
      <c r="K53" s="480">
        <v>17477</v>
      </c>
      <c r="L53" s="518">
        <v>545</v>
      </c>
      <c r="M53" s="482">
        <v>80</v>
      </c>
      <c r="N53" s="442">
        <f>F53-F54</f>
        <v>260</v>
      </c>
      <c r="O53" s="514">
        <f>G53-G54-120</f>
        <v>110</v>
      </c>
      <c r="P53" s="442">
        <f t="shared" si="23"/>
        <v>60</v>
      </c>
      <c r="Q53" s="442">
        <f t="shared" si="25"/>
        <v>8</v>
      </c>
      <c r="R53" s="443">
        <f>J53-J54</f>
        <v>8</v>
      </c>
      <c r="S53" s="452">
        <f t="shared" si="2"/>
        <v>338</v>
      </c>
      <c r="T53" s="453">
        <f t="shared" si="3"/>
        <v>145.75</v>
      </c>
      <c r="U53" s="453">
        <f t="shared" si="4"/>
        <v>75</v>
      </c>
      <c r="V53" s="453">
        <f>Tabla1[[#This Row],[CONSUMO POL ANIONICO (KG)]]</f>
        <v>8</v>
      </c>
      <c r="W53" s="443">
        <f>Tabla1[[#This Row],[CONSUMO POL CATIONICO (KG)]]</f>
        <v>8</v>
      </c>
      <c r="X53" s="452">
        <f t="shared" si="5"/>
        <v>620.18348623853205</v>
      </c>
      <c r="Y53" s="453">
        <f t="shared" si="6"/>
        <v>267.43119266055044</v>
      </c>
      <c r="Z53" s="453">
        <f t="shared" si="7"/>
        <v>137.61467889908258</v>
      </c>
      <c r="AA53" s="453">
        <f t="shared" si="8"/>
        <v>14.678899082568808</v>
      </c>
      <c r="AB53" s="443">
        <f t="shared" si="9"/>
        <v>14.678899082568808</v>
      </c>
      <c r="AC53" s="454">
        <v>1.3</v>
      </c>
      <c r="AD53" s="454">
        <v>1.325</v>
      </c>
      <c r="AE53" s="454">
        <v>1.25</v>
      </c>
      <c r="AF53" s="455">
        <v>2500</v>
      </c>
      <c r="AG53" s="456">
        <v>2500</v>
      </c>
      <c r="AH53" s="158">
        <v>830</v>
      </c>
      <c r="AI53" s="158">
        <v>2818</v>
      </c>
      <c r="AJ53" s="158">
        <v>6295</v>
      </c>
      <c r="AK53" s="158">
        <v>19050</v>
      </c>
      <c r="AL53" s="158">
        <v>22050</v>
      </c>
      <c r="AM53" s="457">
        <f t="shared" si="10"/>
        <v>280540</v>
      </c>
      <c r="AN53" s="458">
        <f t="shared" si="11"/>
        <v>410723.5</v>
      </c>
      <c r="AO53" s="458">
        <f t="shared" si="12"/>
        <v>472125</v>
      </c>
      <c r="AP53" s="458">
        <f t="shared" si="13"/>
        <v>152400</v>
      </c>
      <c r="AQ53" s="459">
        <f t="shared" si="14"/>
        <v>176400</v>
      </c>
      <c r="AR53" s="457">
        <f>SUM(Tabla1[[#This Row],[COSTO OPERATIVO ACIDO]:[COSTO OPERATIVO CATIONICO]])</f>
        <v>1492188.5</v>
      </c>
      <c r="AS53" s="458">
        <v>3599</v>
      </c>
      <c r="AT53" s="460">
        <f t="shared" si="15"/>
        <v>2737.9605504587157</v>
      </c>
    </row>
    <row r="54" spans="1:46" ht="14.95" thickBot="1" x14ac:dyDescent="0.3">
      <c r="A54" s="461">
        <f>A53</f>
        <v>46099</v>
      </c>
      <c r="B54" s="157">
        <f>DAY(Tabla1[[#This Row],[FECHA]])</f>
        <v>18</v>
      </c>
      <c r="C54" s="462" t="s">
        <v>274</v>
      </c>
      <c r="D54" s="463">
        <v>53</v>
      </c>
      <c r="E54" s="463" t="s">
        <v>77</v>
      </c>
      <c r="F54" s="464">
        <v>3420</v>
      </c>
      <c r="G54" s="465">
        <v>4510</v>
      </c>
      <c r="H54" s="465">
        <v>2600</v>
      </c>
      <c r="I54" s="465">
        <f>+I53-8</f>
        <v>262</v>
      </c>
      <c r="J54" s="465">
        <f>+J53-8</f>
        <v>132</v>
      </c>
      <c r="K54" s="483">
        <v>17484</v>
      </c>
      <c r="L54" s="519">
        <v>390</v>
      </c>
      <c r="M54" s="479">
        <v>80</v>
      </c>
      <c r="N54" s="444">
        <f>F54-F55</f>
        <v>260</v>
      </c>
      <c r="O54" s="498">
        <f t="shared" si="24"/>
        <v>170</v>
      </c>
      <c r="P54" s="444">
        <f t="shared" si="23"/>
        <v>50</v>
      </c>
      <c r="Q54" s="444">
        <f t="shared" si="25"/>
        <v>0</v>
      </c>
      <c r="R54" s="445">
        <f t="shared" si="26"/>
        <v>5</v>
      </c>
      <c r="S54" s="452">
        <f t="shared" si="2"/>
        <v>338</v>
      </c>
      <c r="T54" s="453">
        <f t="shared" si="3"/>
        <v>225.25</v>
      </c>
      <c r="U54" s="453">
        <f t="shared" si="4"/>
        <v>62.5</v>
      </c>
      <c r="V54" s="466">
        <f>Tabla1[[#This Row],[CONSUMO POL ANIONICO (KG)]]</f>
        <v>0</v>
      </c>
      <c r="W54" s="445">
        <f>Tabla1[[#This Row],[CONSUMO POL CATIONICO (KG)]]</f>
        <v>5</v>
      </c>
      <c r="X54" s="467">
        <f t="shared" si="5"/>
        <v>866.66666666666663</v>
      </c>
      <c r="Y54" s="466">
        <f t="shared" si="6"/>
        <v>577.56410256410254</v>
      </c>
      <c r="Z54" s="466">
        <f t="shared" si="7"/>
        <v>160.25641025641025</v>
      </c>
      <c r="AA54" s="466">
        <f t="shared" si="8"/>
        <v>0</v>
      </c>
      <c r="AB54" s="445">
        <f t="shared" si="9"/>
        <v>12.820512820512821</v>
      </c>
      <c r="AC54" s="454">
        <v>1.3</v>
      </c>
      <c r="AD54" s="454">
        <v>1.325</v>
      </c>
      <c r="AE54" s="454">
        <v>1.25</v>
      </c>
      <c r="AF54" s="455">
        <v>2500</v>
      </c>
      <c r="AG54" s="456">
        <v>2500</v>
      </c>
      <c r="AH54" s="158">
        <v>830</v>
      </c>
      <c r="AI54" s="158">
        <v>2818</v>
      </c>
      <c r="AJ54" s="158">
        <v>6295</v>
      </c>
      <c r="AK54" s="158">
        <v>19050</v>
      </c>
      <c r="AL54" s="158">
        <v>22050</v>
      </c>
      <c r="AM54" s="468">
        <f t="shared" si="10"/>
        <v>280540</v>
      </c>
      <c r="AN54" s="460">
        <f t="shared" si="11"/>
        <v>634754.5</v>
      </c>
      <c r="AO54" s="460">
        <f t="shared" si="12"/>
        <v>393437.5</v>
      </c>
      <c r="AP54" s="460">
        <f t="shared" si="13"/>
        <v>0</v>
      </c>
      <c r="AQ54" s="469">
        <f t="shared" si="14"/>
        <v>110250</v>
      </c>
      <c r="AR54" s="468">
        <f>SUM(Tabla1[[#This Row],[COSTO OPERATIVO ACIDO]:[COSTO OPERATIVO CATIONICO]])</f>
        <v>1418982</v>
      </c>
      <c r="AS54" s="458">
        <v>3599</v>
      </c>
      <c r="AT54" s="460">
        <f t="shared" si="15"/>
        <v>3638.4153846153845</v>
      </c>
    </row>
    <row r="55" spans="1:46" ht="14.95" thickBot="1" x14ac:dyDescent="0.3">
      <c r="A55" s="470">
        <f>A54</f>
        <v>46099</v>
      </c>
      <c r="B55" s="157">
        <f>DAY(Tabla1[[#This Row],[FECHA]])</f>
        <v>18</v>
      </c>
      <c r="C55" s="471" t="s">
        <v>30</v>
      </c>
      <c r="D55" s="472">
        <v>54</v>
      </c>
      <c r="E55" s="472" t="s">
        <v>76</v>
      </c>
      <c r="F55" s="464">
        <v>3160</v>
      </c>
      <c r="G55" s="465">
        <v>4340</v>
      </c>
      <c r="H55" s="465">
        <v>2550</v>
      </c>
      <c r="I55" s="465">
        <f>+I54-0</f>
        <v>262</v>
      </c>
      <c r="J55" s="465">
        <f>+J54-5</f>
        <v>127</v>
      </c>
      <c r="K55" s="484">
        <v>17487</v>
      </c>
      <c r="L55" s="520">
        <v>419</v>
      </c>
      <c r="M55" s="486">
        <v>80</v>
      </c>
      <c r="N55" s="446">
        <f>F55-F56</f>
        <v>160</v>
      </c>
      <c r="O55" s="513">
        <f>G55-G56-150</f>
        <v>180</v>
      </c>
      <c r="P55" s="446">
        <f t="shared" si="23"/>
        <v>60</v>
      </c>
      <c r="Q55" s="446">
        <f t="shared" si="25"/>
        <v>0</v>
      </c>
      <c r="R55" s="447">
        <f t="shared" si="26"/>
        <v>5</v>
      </c>
      <c r="S55" s="452">
        <f t="shared" si="2"/>
        <v>208</v>
      </c>
      <c r="T55" s="453">
        <f t="shared" si="3"/>
        <v>238.5</v>
      </c>
      <c r="U55" s="453">
        <f t="shared" si="4"/>
        <v>75</v>
      </c>
      <c r="V55" s="473">
        <f>Tabla1[[#This Row],[CONSUMO POL ANIONICO (KG)]]</f>
        <v>0</v>
      </c>
      <c r="W55" s="447">
        <f>Tabla1[[#This Row],[CONSUMO POL CATIONICO (KG)]]</f>
        <v>5</v>
      </c>
      <c r="X55" s="467">
        <f t="shared" si="5"/>
        <v>496.4200477326969</v>
      </c>
      <c r="Y55" s="473">
        <f t="shared" si="6"/>
        <v>569.21241050119329</v>
      </c>
      <c r="Z55" s="473">
        <f t="shared" si="7"/>
        <v>178.99761336515513</v>
      </c>
      <c r="AA55" s="473">
        <f t="shared" si="8"/>
        <v>0</v>
      </c>
      <c r="AB55" s="447">
        <f t="shared" si="9"/>
        <v>11.933174224343675</v>
      </c>
      <c r="AC55" s="454">
        <v>1.3</v>
      </c>
      <c r="AD55" s="454">
        <v>1.325</v>
      </c>
      <c r="AE55" s="454">
        <v>1.25</v>
      </c>
      <c r="AF55" s="455">
        <v>2500</v>
      </c>
      <c r="AG55" s="456">
        <v>2500</v>
      </c>
      <c r="AH55" s="158">
        <v>830</v>
      </c>
      <c r="AI55" s="158">
        <v>2818</v>
      </c>
      <c r="AJ55" s="158">
        <v>6295</v>
      </c>
      <c r="AK55" s="158">
        <v>19050</v>
      </c>
      <c r="AL55" s="158">
        <v>22050</v>
      </c>
      <c r="AM55" s="468">
        <f t="shared" si="10"/>
        <v>172640</v>
      </c>
      <c r="AN55" s="474">
        <f t="shared" si="11"/>
        <v>672093</v>
      </c>
      <c r="AO55" s="474">
        <f t="shared" si="12"/>
        <v>472125</v>
      </c>
      <c r="AP55" s="474">
        <f t="shared" si="13"/>
        <v>0</v>
      </c>
      <c r="AQ55" s="475">
        <f t="shared" si="14"/>
        <v>110250</v>
      </c>
      <c r="AR55" s="468">
        <f>SUM(Tabla1[[#This Row],[COSTO OPERATIVO ACIDO]:[COSTO OPERATIVO CATIONICO]])</f>
        <v>1427108</v>
      </c>
      <c r="AS55" s="458">
        <v>3599</v>
      </c>
      <c r="AT55" s="460">
        <f t="shared" si="15"/>
        <v>3405.9856801909309</v>
      </c>
    </row>
    <row r="56" spans="1:46" ht="14.95" thickBot="1" x14ac:dyDescent="0.3">
      <c r="A56" s="213">
        <v>46100</v>
      </c>
      <c r="B56" s="157">
        <f>DAY(Tabla1[[#This Row],[FECHA]])</f>
        <v>19</v>
      </c>
      <c r="C56" s="448" t="s">
        <v>275</v>
      </c>
      <c r="D56" s="449">
        <v>55</v>
      </c>
      <c r="E56" s="449" t="s">
        <v>75</v>
      </c>
      <c r="F56" s="450">
        <v>3000</v>
      </c>
      <c r="G56" s="451">
        <v>4010</v>
      </c>
      <c r="H56" s="451">
        <v>2490</v>
      </c>
      <c r="I56" s="451">
        <f t="shared" ref="I56:I74" si="27">+I55-0</f>
        <v>262</v>
      </c>
      <c r="J56" s="451">
        <f>+J55-5</f>
        <v>122</v>
      </c>
      <c r="K56" s="480">
        <v>17491</v>
      </c>
      <c r="L56" s="481">
        <f>+(K57-Tabla1[[#This Row],[Lectura Horometro INICIAL (06:00)]])*Tabla1[[#This Row],[CAUDAL DE TRATAMIENTO]]</f>
        <v>400</v>
      </c>
      <c r="M56" s="482">
        <v>80</v>
      </c>
      <c r="N56" s="442">
        <f t="shared" si="22"/>
        <v>8</v>
      </c>
      <c r="O56" s="497">
        <f t="shared" si="24"/>
        <v>110</v>
      </c>
      <c r="P56" s="442">
        <f t="shared" si="23"/>
        <v>70</v>
      </c>
      <c r="Q56" s="442">
        <f t="shared" si="25"/>
        <v>0</v>
      </c>
      <c r="R56" s="443">
        <f t="shared" si="26"/>
        <v>5</v>
      </c>
      <c r="S56" s="452">
        <f t="shared" si="2"/>
        <v>10.4</v>
      </c>
      <c r="T56" s="453">
        <f t="shared" si="3"/>
        <v>145.75</v>
      </c>
      <c r="U56" s="453">
        <f t="shared" si="4"/>
        <v>87.5</v>
      </c>
      <c r="V56" s="453">
        <f>Tabla1[[#This Row],[CONSUMO POL ANIONICO (KG)]]</f>
        <v>0</v>
      </c>
      <c r="W56" s="443">
        <f>Tabla1[[#This Row],[CONSUMO POL CATIONICO (KG)]]</f>
        <v>5</v>
      </c>
      <c r="X56" s="452">
        <f t="shared" si="5"/>
        <v>26</v>
      </c>
      <c r="Y56" s="453">
        <f t="shared" si="6"/>
        <v>364.375</v>
      </c>
      <c r="Z56" s="453">
        <f t="shared" si="7"/>
        <v>218.75</v>
      </c>
      <c r="AA56" s="453">
        <f t="shared" si="8"/>
        <v>0</v>
      </c>
      <c r="AB56" s="443">
        <f t="shared" si="9"/>
        <v>12.5</v>
      </c>
      <c r="AC56" s="454">
        <v>1.3</v>
      </c>
      <c r="AD56" s="454">
        <v>1.325</v>
      </c>
      <c r="AE56" s="454">
        <v>1.25</v>
      </c>
      <c r="AF56" s="455">
        <v>2500</v>
      </c>
      <c r="AG56" s="456">
        <v>2500</v>
      </c>
      <c r="AH56" s="158">
        <v>830</v>
      </c>
      <c r="AI56" s="158">
        <v>2818</v>
      </c>
      <c r="AJ56" s="158">
        <v>6295</v>
      </c>
      <c r="AK56" s="158">
        <v>19050</v>
      </c>
      <c r="AL56" s="158">
        <v>22050</v>
      </c>
      <c r="AM56" s="457">
        <f t="shared" si="10"/>
        <v>8632</v>
      </c>
      <c r="AN56" s="458">
        <f t="shared" si="11"/>
        <v>410723.5</v>
      </c>
      <c r="AO56" s="458">
        <f t="shared" si="12"/>
        <v>550812.5</v>
      </c>
      <c r="AP56" s="458">
        <f t="shared" si="13"/>
        <v>0</v>
      </c>
      <c r="AQ56" s="459">
        <f t="shared" si="14"/>
        <v>110250</v>
      </c>
      <c r="AR56" s="457">
        <f>SUM(Tabla1[[#This Row],[COSTO OPERATIVO ACIDO]:[COSTO OPERATIVO CATIONICO]])</f>
        <v>1080418</v>
      </c>
      <c r="AS56" s="458">
        <v>3599</v>
      </c>
      <c r="AT56" s="460">
        <f t="shared" si="15"/>
        <v>2701.0450000000001</v>
      </c>
    </row>
    <row r="57" spans="1:46" ht="14.95" thickBot="1" x14ac:dyDescent="0.3">
      <c r="A57" s="461">
        <f>A56</f>
        <v>46100</v>
      </c>
      <c r="B57" s="157">
        <f>DAY(Tabla1[[#This Row],[FECHA]])</f>
        <v>19</v>
      </c>
      <c r="C57" s="462" t="s">
        <v>276</v>
      </c>
      <c r="D57" s="463">
        <v>56</v>
      </c>
      <c r="E57" s="463" t="s">
        <v>77</v>
      </c>
      <c r="F57" s="464">
        <v>2992</v>
      </c>
      <c r="G57" s="465">
        <v>3900</v>
      </c>
      <c r="H57" s="465">
        <v>2420</v>
      </c>
      <c r="I57" s="465">
        <f t="shared" si="27"/>
        <v>262</v>
      </c>
      <c r="J57" s="465">
        <f>+J56-5</f>
        <v>117</v>
      </c>
      <c r="K57" s="483">
        <v>17496</v>
      </c>
      <c r="L57" s="478">
        <f>+(K58-Tabla1[[#This Row],[Lectura Horometro INICIAL (06:00)]])*Tabla1[[#This Row],[CAUDAL DE TRATAMIENTO]]</f>
        <v>320</v>
      </c>
      <c r="M57" s="479">
        <v>80</v>
      </c>
      <c r="N57" s="522">
        <f>F57-F58-20</f>
        <v>162</v>
      </c>
      <c r="O57" s="498">
        <f t="shared" si="24"/>
        <v>80</v>
      </c>
      <c r="P57" s="517">
        <f>H57-H58+1000</f>
        <v>20</v>
      </c>
      <c r="Q57" s="444">
        <f t="shared" si="25"/>
        <v>0</v>
      </c>
      <c r="R57" s="521">
        <f>J57-J58+100</f>
        <v>5</v>
      </c>
      <c r="S57" s="452">
        <f t="shared" si="2"/>
        <v>210.6</v>
      </c>
      <c r="T57" s="453">
        <f t="shared" si="3"/>
        <v>106</v>
      </c>
      <c r="U57" s="453">
        <f t="shared" si="4"/>
        <v>25</v>
      </c>
      <c r="V57" s="466">
        <f>Tabla1[[#This Row],[CONSUMO POL ANIONICO (KG)]]</f>
        <v>0</v>
      </c>
      <c r="W57" s="445">
        <f>Tabla1[[#This Row],[CONSUMO POL CATIONICO (KG)]]</f>
        <v>5</v>
      </c>
      <c r="X57" s="467">
        <f t="shared" si="5"/>
        <v>658.125</v>
      </c>
      <c r="Y57" s="466">
        <f t="shared" si="6"/>
        <v>331.25</v>
      </c>
      <c r="Z57" s="466">
        <f t="shared" si="7"/>
        <v>78.125</v>
      </c>
      <c r="AA57" s="466">
        <f t="shared" si="8"/>
        <v>0</v>
      </c>
      <c r="AB57" s="445">
        <f t="shared" si="9"/>
        <v>15.625</v>
      </c>
      <c r="AC57" s="454">
        <v>1.3</v>
      </c>
      <c r="AD57" s="454">
        <v>1.325</v>
      </c>
      <c r="AE57" s="454">
        <v>1.25</v>
      </c>
      <c r="AF57" s="455">
        <v>2500</v>
      </c>
      <c r="AG57" s="456">
        <v>2500</v>
      </c>
      <c r="AH57" s="158">
        <v>830</v>
      </c>
      <c r="AI57" s="158">
        <v>2818</v>
      </c>
      <c r="AJ57" s="158">
        <v>6295</v>
      </c>
      <c r="AK57" s="158">
        <v>19050</v>
      </c>
      <c r="AL57" s="158">
        <v>22050</v>
      </c>
      <c r="AM57" s="468">
        <f t="shared" si="10"/>
        <v>174798</v>
      </c>
      <c r="AN57" s="460">
        <f t="shared" si="11"/>
        <v>298708</v>
      </c>
      <c r="AO57" s="460">
        <f t="shared" si="12"/>
        <v>157375</v>
      </c>
      <c r="AP57" s="460">
        <f t="shared" si="13"/>
        <v>0</v>
      </c>
      <c r="AQ57" s="469">
        <f t="shared" si="14"/>
        <v>110250</v>
      </c>
      <c r="AR57" s="468">
        <f>SUM(Tabla1[[#This Row],[COSTO OPERATIVO ACIDO]:[COSTO OPERATIVO CATIONICO]])</f>
        <v>741131</v>
      </c>
      <c r="AS57" s="458">
        <v>3599</v>
      </c>
      <c r="AT57" s="460">
        <f t="shared" si="15"/>
        <v>2316.0343750000002</v>
      </c>
    </row>
    <row r="58" spans="1:46" ht="14.95" thickBot="1" x14ac:dyDescent="0.3">
      <c r="A58" s="470">
        <f>A57</f>
        <v>46100</v>
      </c>
      <c r="B58" s="157">
        <f>DAY(Tabla1[[#This Row],[FECHA]])</f>
        <v>19</v>
      </c>
      <c r="C58" s="471" t="s">
        <v>30</v>
      </c>
      <c r="D58" s="472">
        <v>57</v>
      </c>
      <c r="E58" s="472" t="s">
        <v>76</v>
      </c>
      <c r="F58" s="464">
        <v>2810</v>
      </c>
      <c r="G58" s="465">
        <v>3820</v>
      </c>
      <c r="H58" s="465">
        <v>3400</v>
      </c>
      <c r="I58" s="465">
        <f t="shared" si="27"/>
        <v>262</v>
      </c>
      <c r="J58" s="465">
        <f>+J57-5+100</f>
        <v>212</v>
      </c>
      <c r="K58" s="484">
        <v>17500</v>
      </c>
      <c r="L58" s="485">
        <f>+(K59-Tabla1[[#This Row],[Lectura Horometro INICIAL (06:00)]])*Tabla1[[#This Row],[CAUDAL DE TRATAMIENTO]]</f>
        <v>480</v>
      </c>
      <c r="M58" s="486">
        <v>80</v>
      </c>
      <c r="N58" s="446">
        <f>F58-F59</f>
        <v>120</v>
      </c>
      <c r="O58" s="499">
        <f>G58-G59</f>
        <v>140</v>
      </c>
      <c r="P58" s="446">
        <f>H58-H59</f>
        <v>50</v>
      </c>
      <c r="Q58" s="446">
        <f t="shared" si="25"/>
        <v>7</v>
      </c>
      <c r="R58" s="447">
        <f t="shared" si="26"/>
        <v>5</v>
      </c>
      <c r="S58" s="452">
        <f t="shared" si="2"/>
        <v>156</v>
      </c>
      <c r="T58" s="453">
        <f t="shared" si="3"/>
        <v>185.5</v>
      </c>
      <c r="U58" s="453">
        <f t="shared" si="4"/>
        <v>62.5</v>
      </c>
      <c r="V58" s="473">
        <f>Tabla1[[#This Row],[CONSUMO POL ANIONICO (KG)]]</f>
        <v>7</v>
      </c>
      <c r="W58" s="447">
        <f>Tabla1[[#This Row],[CONSUMO POL CATIONICO (KG)]]</f>
        <v>5</v>
      </c>
      <c r="X58" s="467">
        <f t="shared" si="5"/>
        <v>325</v>
      </c>
      <c r="Y58" s="473">
        <f t="shared" si="6"/>
        <v>386.45833333333331</v>
      </c>
      <c r="Z58" s="473">
        <f t="shared" si="7"/>
        <v>130.20833333333334</v>
      </c>
      <c r="AA58" s="473">
        <f t="shared" si="8"/>
        <v>14.583333333333334</v>
      </c>
      <c r="AB58" s="447">
        <f t="shared" si="9"/>
        <v>10.416666666666666</v>
      </c>
      <c r="AC58" s="454">
        <v>1.3</v>
      </c>
      <c r="AD58" s="454">
        <v>1.325</v>
      </c>
      <c r="AE58" s="454">
        <v>1.25</v>
      </c>
      <c r="AF58" s="455">
        <v>2500</v>
      </c>
      <c r="AG58" s="456">
        <v>2500</v>
      </c>
      <c r="AH58" s="158">
        <v>830</v>
      </c>
      <c r="AI58" s="158">
        <v>2818</v>
      </c>
      <c r="AJ58" s="158">
        <v>6295</v>
      </c>
      <c r="AK58" s="158">
        <v>19050</v>
      </c>
      <c r="AL58" s="158">
        <v>22050</v>
      </c>
      <c r="AM58" s="468">
        <f t="shared" si="10"/>
        <v>129480</v>
      </c>
      <c r="AN58" s="474">
        <f t="shared" si="11"/>
        <v>522739</v>
      </c>
      <c r="AO58" s="474">
        <f t="shared" si="12"/>
        <v>393437.5</v>
      </c>
      <c r="AP58" s="474">
        <f t="shared" si="13"/>
        <v>133350</v>
      </c>
      <c r="AQ58" s="475">
        <f t="shared" si="14"/>
        <v>110250</v>
      </c>
      <c r="AR58" s="468">
        <f>SUM(Tabla1[[#This Row],[COSTO OPERATIVO ACIDO]:[COSTO OPERATIVO CATIONICO]])</f>
        <v>1289256.5</v>
      </c>
      <c r="AS58" s="458">
        <v>3599</v>
      </c>
      <c r="AT58" s="460">
        <f t="shared" si="15"/>
        <v>2685.9510416666667</v>
      </c>
    </row>
    <row r="59" spans="1:46" ht="14.95" thickBot="1" x14ac:dyDescent="0.3">
      <c r="A59" s="213">
        <v>46101</v>
      </c>
      <c r="B59" s="157">
        <f>DAY(Tabla1[[#This Row],[FECHA]])</f>
        <v>20</v>
      </c>
      <c r="C59" s="448" t="s">
        <v>277</v>
      </c>
      <c r="D59" s="449">
        <v>58</v>
      </c>
      <c r="E59" s="449" t="s">
        <v>75</v>
      </c>
      <c r="F59" s="450">
        <v>2690</v>
      </c>
      <c r="G59" s="451">
        <v>3680</v>
      </c>
      <c r="H59" s="451">
        <v>3350</v>
      </c>
      <c r="I59" s="451">
        <f>+I58-7</f>
        <v>255</v>
      </c>
      <c r="J59" s="451">
        <f>+J58-5</f>
        <v>207</v>
      </c>
      <c r="K59" s="480">
        <v>17506</v>
      </c>
      <c r="L59" s="481">
        <f>+(K60-Tabla1[[#This Row],[Lectura Horometro INICIAL (06:00)]])*Tabla1[[#This Row],[CAUDAL DE TRATAMIENTO]]</f>
        <v>400</v>
      </c>
      <c r="M59" s="482">
        <v>80</v>
      </c>
      <c r="N59" s="442">
        <f t="shared" si="22"/>
        <v>30</v>
      </c>
      <c r="O59" s="497">
        <f t="shared" si="24"/>
        <v>100</v>
      </c>
      <c r="P59" s="442">
        <f t="shared" si="23"/>
        <v>50</v>
      </c>
      <c r="Q59" s="442">
        <f t="shared" si="25"/>
        <v>0</v>
      </c>
      <c r="R59" s="443">
        <f t="shared" si="26"/>
        <v>0</v>
      </c>
      <c r="S59" s="452">
        <f t="shared" si="2"/>
        <v>39</v>
      </c>
      <c r="T59" s="453">
        <f t="shared" si="3"/>
        <v>132.5</v>
      </c>
      <c r="U59" s="453">
        <f t="shared" si="4"/>
        <v>62.5</v>
      </c>
      <c r="V59" s="453">
        <f>Tabla1[[#This Row],[CONSUMO POL ANIONICO (KG)]]</f>
        <v>0</v>
      </c>
      <c r="W59" s="443">
        <f>Tabla1[[#This Row],[CONSUMO POL CATIONICO (KG)]]</f>
        <v>0</v>
      </c>
      <c r="X59" s="452">
        <f t="shared" si="5"/>
        <v>97.5</v>
      </c>
      <c r="Y59" s="453">
        <f t="shared" si="6"/>
        <v>331.25</v>
      </c>
      <c r="Z59" s="453">
        <f t="shared" si="7"/>
        <v>156.25</v>
      </c>
      <c r="AA59" s="453">
        <f t="shared" si="8"/>
        <v>0</v>
      </c>
      <c r="AB59" s="443">
        <f t="shared" si="9"/>
        <v>0</v>
      </c>
      <c r="AC59" s="454">
        <v>1.3</v>
      </c>
      <c r="AD59" s="454">
        <v>1.325</v>
      </c>
      <c r="AE59" s="454">
        <v>1.25</v>
      </c>
      <c r="AF59" s="455">
        <v>2500</v>
      </c>
      <c r="AG59" s="456">
        <v>2500</v>
      </c>
      <c r="AH59" s="158">
        <v>830</v>
      </c>
      <c r="AI59" s="158">
        <v>2818</v>
      </c>
      <c r="AJ59" s="158">
        <v>6295</v>
      </c>
      <c r="AK59" s="158">
        <v>19050</v>
      </c>
      <c r="AL59" s="158">
        <v>22050</v>
      </c>
      <c r="AM59" s="457">
        <f t="shared" si="10"/>
        <v>32370</v>
      </c>
      <c r="AN59" s="458">
        <f t="shared" si="11"/>
        <v>373385</v>
      </c>
      <c r="AO59" s="458">
        <f t="shared" si="12"/>
        <v>393437.5</v>
      </c>
      <c r="AP59" s="458">
        <f t="shared" si="13"/>
        <v>0</v>
      </c>
      <c r="AQ59" s="459">
        <f t="shared" si="14"/>
        <v>0</v>
      </c>
      <c r="AR59" s="457">
        <f>SUM(Tabla1[[#This Row],[COSTO OPERATIVO ACIDO]:[COSTO OPERATIVO CATIONICO]])</f>
        <v>799192.5</v>
      </c>
      <c r="AS59" s="458">
        <v>3599</v>
      </c>
      <c r="AT59" s="460">
        <f t="shared" si="15"/>
        <v>1997.98125</v>
      </c>
    </row>
    <row r="60" spans="1:46" ht="14.95" thickBot="1" x14ac:dyDescent="0.3">
      <c r="A60" s="461">
        <f>A59</f>
        <v>46101</v>
      </c>
      <c r="B60" s="157">
        <f>DAY(Tabla1[[#This Row],[FECHA]])</f>
        <v>20</v>
      </c>
      <c r="C60" s="462" t="s">
        <v>278</v>
      </c>
      <c r="D60" s="463">
        <v>59</v>
      </c>
      <c r="E60" s="463" t="s">
        <v>77</v>
      </c>
      <c r="F60" s="464">
        <v>2660</v>
      </c>
      <c r="G60" s="465">
        <v>3580</v>
      </c>
      <c r="H60" s="465">
        <v>3300</v>
      </c>
      <c r="I60" s="465">
        <f t="shared" si="27"/>
        <v>255</v>
      </c>
      <c r="J60" s="465">
        <f t="shared" ref="J60:J69" si="28">+J59-0</f>
        <v>207</v>
      </c>
      <c r="K60" s="483">
        <v>17511</v>
      </c>
      <c r="L60" s="478">
        <f>+(K61-Tabla1[[#This Row],[Lectura Horometro INICIAL (06:00)]])*Tabla1[[#This Row],[CAUDAL DE TRATAMIENTO]]</f>
        <v>400</v>
      </c>
      <c r="M60" s="479">
        <v>80</v>
      </c>
      <c r="N60" s="444">
        <f t="shared" si="22"/>
        <v>30</v>
      </c>
      <c r="O60" s="498">
        <f t="shared" si="24"/>
        <v>130</v>
      </c>
      <c r="P60" s="444">
        <f t="shared" si="23"/>
        <v>100</v>
      </c>
      <c r="Q60" s="444">
        <f t="shared" si="25"/>
        <v>0</v>
      </c>
      <c r="R60" s="445">
        <f t="shared" si="26"/>
        <v>0</v>
      </c>
      <c r="S60" s="452">
        <f t="shared" si="2"/>
        <v>39</v>
      </c>
      <c r="T60" s="453">
        <f t="shared" si="3"/>
        <v>172.25</v>
      </c>
      <c r="U60" s="453">
        <f t="shared" si="4"/>
        <v>125</v>
      </c>
      <c r="V60" s="466">
        <f>Tabla1[[#This Row],[CONSUMO POL ANIONICO (KG)]]</f>
        <v>0</v>
      </c>
      <c r="W60" s="445">
        <f>Tabla1[[#This Row],[CONSUMO POL CATIONICO (KG)]]</f>
        <v>0</v>
      </c>
      <c r="X60" s="467">
        <f t="shared" si="5"/>
        <v>97.5</v>
      </c>
      <c r="Y60" s="466">
        <f t="shared" si="6"/>
        <v>430.625</v>
      </c>
      <c r="Z60" s="466">
        <f t="shared" si="7"/>
        <v>312.5</v>
      </c>
      <c r="AA60" s="466">
        <f t="shared" si="8"/>
        <v>0</v>
      </c>
      <c r="AB60" s="445">
        <f t="shared" si="9"/>
        <v>0</v>
      </c>
      <c r="AC60" s="454">
        <v>1.3</v>
      </c>
      <c r="AD60" s="454">
        <v>1.325</v>
      </c>
      <c r="AE60" s="454">
        <v>1.25</v>
      </c>
      <c r="AF60" s="455">
        <v>2500</v>
      </c>
      <c r="AG60" s="456">
        <v>2500</v>
      </c>
      <c r="AH60" s="158">
        <v>830</v>
      </c>
      <c r="AI60" s="158">
        <v>2818</v>
      </c>
      <c r="AJ60" s="158">
        <v>6295</v>
      </c>
      <c r="AK60" s="158">
        <v>19050</v>
      </c>
      <c r="AL60" s="158">
        <v>22050</v>
      </c>
      <c r="AM60" s="468">
        <f t="shared" si="10"/>
        <v>32370</v>
      </c>
      <c r="AN60" s="460">
        <f t="shared" si="11"/>
        <v>485400.5</v>
      </c>
      <c r="AO60" s="460">
        <f t="shared" si="12"/>
        <v>786875</v>
      </c>
      <c r="AP60" s="460">
        <f t="shared" si="13"/>
        <v>0</v>
      </c>
      <c r="AQ60" s="469">
        <f t="shared" si="14"/>
        <v>0</v>
      </c>
      <c r="AR60" s="468">
        <f>SUM(Tabla1[[#This Row],[COSTO OPERATIVO ACIDO]:[COSTO OPERATIVO CATIONICO]])</f>
        <v>1304645.5</v>
      </c>
      <c r="AS60" s="458">
        <v>3599</v>
      </c>
      <c r="AT60" s="460">
        <f t="shared" si="15"/>
        <v>3261.61375</v>
      </c>
    </row>
    <row r="61" spans="1:46" ht="14.95" thickBot="1" x14ac:dyDescent="0.3">
      <c r="A61" s="470">
        <f>A60</f>
        <v>46101</v>
      </c>
      <c r="B61" s="157">
        <f>DAY(Tabla1[[#This Row],[FECHA]])</f>
        <v>20</v>
      </c>
      <c r="C61" s="471" t="s">
        <v>30</v>
      </c>
      <c r="D61" s="472">
        <v>60</v>
      </c>
      <c r="E61" s="472" t="s">
        <v>76</v>
      </c>
      <c r="F61" s="464">
        <v>2630</v>
      </c>
      <c r="G61" s="465">
        <v>3450</v>
      </c>
      <c r="H61" s="465">
        <v>3200</v>
      </c>
      <c r="I61" s="465">
        <f t="shared" si="27"/>
        <v>255</v>
      </c>
      <c r="J61" s="465">
        <f t="shared" si="28"/>
        <v>207</v>
      </c>
      <c r="K61" s="484">
        <v>17516</v>
      </c>
      <c r="L61" s="485">
        <f>+(K62-Tabla1[[#This Row],[Lectura Horometro INICIAL (06:00)]])*Tabla1[[#This Row],[CAUDAL DE TRATAMIENTO]]</f>
        <v>320</v>
      </c>
      <c r="M61" s="486">
        <v>80</v>
      </c>
      <c r="N61" s="523">
        <f>F61-F62-20</f>
        <v>70</v>
      </c>
      <c r="O61" s="499">
        <f t="shared" si="24"/>
        <v>210</v>
      </c>
      <c r="P61" s="446">
        <f t="shared" si="23"/>
        <v>90</v>
      </c>
      <c r="Q61" s="446">
        <f t="shared" si="25"/>
        <v>5</v>
      </c>
      <c r="R61" s="447">
        <f t="shared" si="26"/>
        <v>5</v>
      </c>
      <c r="S61" s="452">
        <f t="shared" si="2"/>
        <v>91</v>
      </c>
      <c r="T61" s="453">
        <f t="shared" si="3"/>
        <v>278.25</v>
      </c>
      <c r="U61" s="453">
        <f t="shared" si="4"/>
        <v>112.5</v>
      </c>
      <c r="V61" s="473">
        <f>Tabla1[[#This Row],[CONSUMO POL ANIONICO (KG)]]</f>
        <v>5</v>
      </c>
      <c r="W61" s="447">
        <f>Tabla1[[#This Row],[CONSUMO POL CATIONICO (KG)]]</f>
        <v>5</v>
      </c>
      <c r="X61" s="467">
        <f t="shared" si="5"/>
        <v>284.375</v>
      </c>
      <c r="Y61" s="473">
        <f t="shared" si="6"/>
        <v>869.53125</v>
      </c>
      <c r="Z61" s="473">
        <f t="shared" si="7"/>
        <v>351.5625</v>
      </c>
      <c r="AA61" s="473">
        <f t="shared" si="8"/>
        <v>15.625</v>
      </c>
      <c r="AB61" s="447">
        <f t="shared" si="9"/>
        <v>15.625</v>
      </c>
      <c r="AC61" s="454">
        <v>1.3</v>
      </c>
      <c r="AD61" s="454">
        <v>1.325</v>
      </c>
      <c r="AE61" s="454">
        <v>1.25</v>
      </c>
      <c r="AF61" s="455">
        <v>2500</v>
      </c>
      <c r="AG61" s="456">
        <v>2500</v>
      </c>
      <c r="AH61" s="158">
        <v>830</v>
      </c>
      <c r="AI61" s="158">
        <v>2818</v>
      </c>
      <c r="AJ61" s="158">
        <v>6295</v>
      </c>
      <c r="AK61" s="158">
        <v>19050</v>
      </c>
      <c r="AL61" s="158">
        <v>22050</v>
      </c>
      <c r="AM61" s="468">
        <f t="shared" si="10"/>
        <v>75530</v>
      </c>
      <c r="AN61" s="474">
        <f t="shared" si="11"/>
        <v>784108.5</v>
      </c>
      <c r="AO61" s="474">
        <f t="shared" si="12"/>
        <v>708187.5</v>
      </c>
      <c r="AP61" s="474">
        <f t="shared" si="13"/>
        <v>95250</v>
      </c>
      <c r="AQ61" s="475">
        <f t="shared" si="14"/>
        <v>110250</v>
      </c>
      <c r="AR61" s="468">
        <f>SUM(Tabla1[[#This Row],[COSTO OPERATIVO ACIDO]:[COSTO OPERATIVO CATIONICO]])</f>
        <v>1773326</v>
      </c>
      <c r="AS61" s="458">
        <v>3599</v>
      </c>
      <c r="AT61" s="460">
        <f t="shared" si="15"/>
        <v>5541.6437500000002</v>
      </c>
    </row>
    <row r="62" spans="1:46" s="488" customFormat="1" ht="14.95" thickBot="1" x14ac:dyDescent="0.3">
      <c r="A62" s="213">
        <v>46102</v>
      </c>
      <c r="B62" s="157">
        <f>DAY(Tabla1[[#This Row],[FECHA]])</f>
        <v>21</v>
      </c>
      <c r="C62" s="448" t="s">
        <v>279</v>
      </c>
      <c r="D62" s="449">
        <v>61</v>
      </c>
      <c r="E62" s="449" t="s">
        <v>75</v>
      </c>
      <c r="F62" s="450">
        <v>2540</v>
      </c>
      <c r="G62" s="451">
        <v>3240</v>
      </c>
      <c r="H62" s="451">
        <v>3110</v>
      </c>
      <c r="I62" s="451">
        <f>+I61-5</f>
        <v>250</v>
      </c>
      <c r="J62" s="451">
        <f>+J61-5</f>
        <v>202</v>
      </c>
      <c r="K62" s="480">
        <v>17520</v>
      </c>
      <c r="L62" s="518">
        <v>450</v>
      </c>
      <c r="M62" s="482">
        <v>80</v>
      </c>
      <c r="N62" s="442">
        <f t="shared" si="22"/>
        <v>42</v>
      </c>
      <c r="O62" s="497">
        <f t="shared" si="24"/>
        <v>80</v>
      </c>
      <c r="P62" s="442">
        <f t="shared" si="23"/>
        <v>50</v>
      </c>
      <c r="Q62" s="442">
        <f t="shared" si="25"/>
        <v>0</v>
      </c>
      <c r="R62" s="443">
        <f t="shared" si="26"/>
        <v>0</v>
      </c>
      <c r="S62" s="452">
        <f t="shared" si="2"/>
        <v>54.6</v>
      </c>
      <c r="T62" s="453">
        <f t="shared" si="3"/>
        <v>106</v>
      </c>
      <c r="U62" s="453">
        <f t="shared" si="4"/>
        <v>62.5</v>
      </c>
      <c r="V62" s="453">
        <f>Tabla1[[#This Row],[CONSUMO POL ANIONICO (KG)]]</f>
        <v>0</v>
      </c>
      <c r="W62" s="443">
        <f>Tabla1[[#This Row],[CONSUMO POL CATIONICO (KG)]]</f>
        <v>0</v>
      </c>
      <c r="X62" s="452">
        <f t="shared" si="5"/>
        <v>121.33333333333333</v>
      </c>
      <c r="Y62" s="453">
        <f t="shared" si="6"/>
        <v>235.55555555555554</v>
      </c>
      <c r="Z62" s="453">
        <f t="shared" si="7"/>
        <v>138.88888888888889</v>
      </c>
      <c r="AA62" s="453">
        <f t="shared" si="8"/>
        <v>0</v>
      </c>
      <c r="AB62" s="443">
        <f t="shared" si="9"/>
        <v>0</v>
      </c>
      <c r="AC62" s="454">
        <v>1.3</v>
      </c>
      <c r="AD62" s="454">
        <v>1.325</v>
      </c>
      <c r="AE62" s="454">
        <v>1.25</v>
      </c>
      <c r="AF62" s="455">
        <v>2500</v>
      </c>
      <c r="AG62" s="456">
        <v>2500</v>
      </c>
      <c r="AH62" s="158">
        <v>830</v>
      </c>
      <c r="AI62" s="158">
        <v>2818</v>
      </c>
      <c r="AJ62" s="158">
        <v>6295</v>
      </c>
      <c r="AK62" s="158">
        <v>19050</v>
      </c>
      <c r="AL62" s="158">
        <v>22050</v>
      </c>
      <c r="AM62" s="457">
        <f t="shared" si="10"/>
        <v>45318</v>
      </c>
      <c r="AN62" s="458">
        <f t="shared" si="11"/>
        <v>298708</v>
      </c>
      <c r="AO62" s="458">
        <f t="shared" si="12"/>
        <v>393437.5</v>
      </c>
      <c r="AP62" s="458">
        <f t="shared" si="13"/>
        <v>0</v>
      </c>
      <c r="AQ62" s="459">
        <f t="shared" si="14"/>
        <v>0</v>
      </c>
      <c r="AR62" s="457">
        <f>SUM(Tabla1[[#This Row],[COSTO OPERATIVO ACIDO]:[COSTO OPERATIVO CATIONICO]])</f>
        <v>737463.5</v>
      </c>
      <c r="AS62" s="458">
        <v>3599</v>
      </c>
      <c r="AT62" s="460">
        <f t="shared" si="15"/>
        <v>1638.8077777777778</v>
      </c>
    </row>
    <row r="63" spans="1:46" s="488" customFormat="1" ht="14.95" thickBot="1" x14ac:dyDescent="0.3">
      <c r="A63" s="461">
        <f>A62</f>
        <v>46102</v>
      </c>
      <c r="B63" s="157">
        <f>DAY(Tabla1[[#This Row],[FECHA]])</f>
        <v>21</v>
      </c>
      <c r="C63" s="462" t="s">
        <v>280</v>
      </c>
      <c r="D63" s="463">
        <v>62</v>
      </c>
      <c r="E63" s="463" t="s">
        <v>77</v>
      </c>
      <c r="F63" s="464">
        <v>2498</v>
      </c>
      <c r="G63" s="465">
        <v>3160</v>
      </c>
      <c r="H63" s="465">
        <v>3060</v>
      </c>
      <c r="I63" s="465">
        <f t="shared" si="27"/>
        <v>250</v>
      </c>
      <c r="J63" s="465">
        <f t="shared" si="28"/>
        <v>202</v>
      </c>
      <c r="K63" s="483">
        <v>17525</v>
      </c>
      <c r="L63" s="519">
        <v>481</v>
      </c>
      <c r="M63" s="479">
        <v>80</v>
      </c>
      <c r="N63" s="444">
        <f t="shared" si="22"/>
        <v>98</v>
      </c>
      <c r="O63" s="516">
        <f>G63-G64-120</f>
        <v>140</v>
      </c>
      <c r="P63" s="444">
        <f t="shared" si="23"/>
        <v>50</v>
      </c>
      <c r="Q63" s="444">
        <f t="shared" si="25"/>
        <v>0</v>
      </c>
      <c r="R63" s="445">
        <f t="shared" si="26"/>
        <v>0</v>
      </c>
      <c r="S63" s="452">
        <f t="shared" si="2"/>
        <v>127.4</v>
      </c>
      <c r="T63" s="453">
        <f t="shared" si="3"/>
        <v>185.5</v>
      </c>
      <c r="U63" s="453">
        <f t="shared" si="4"/>
        <v>62.5</v>
      </c>
      <c r="V63" s="466">
        <f>Tabla1[[#This Row],[CONSUMO POL ANIONICO (KG)]]</f>
        <v>0</v>
      </c>
      <c r="W63" s="445">
        <f>Tabla1[[#This Row],[CONSUMO POL CATIONICO (KG)]]</f>
        <v>0</v>
      </c>
      <c r="X63" s="467">
        <f t="shared" si="5"/>
        <v>264.86486486486484</v>
      </c>
      <c r="Y63" s="466">
        <f t="shared" si="6"/>
        <v>385.65488565488567</v>
      </c>
      <c r="Z63" s="466">
        <f t="shared" si="7"/>
        <v>129.93762993762994</v>
      </c>
      <c r="AA63" s="466">
        <f t="shared" si="8"/>
        <v>0</v>
      </c>
      <c r="AB63" s="445">
        <f t="shared" si="9"/>
        <v>0</v>
      </c>
      <c r="AC63" s="454">
        <v>1.3</v>
      </c>
      <c r="AD63" s="454">
        <v>1.325</v>
      </c>
      <c r="AE63" s="454">
        <v>1.25</v>
      </c>
      <c r="AF63" s="455">
        <v>2500</v>
      </c>
      <c r="AG63" s="456">
        <v>2500</v>
      </c>
      <c r="AH63" s="158">
        <v>830</v>
      </c>
      <c r="AI63" s="158">
        <v>2818</v>
      </c>
      <c r="AJ63" s="158">
        <v>6295</v>
      </c>
      <c r="AK63" s="158">
        <v>19050</v>
      </c>
      <c r="AL63" s="158">
        <v>22050</v>
      </c>
      <c r="AM63" s="468">
        <f t="shared" si="10"/>
        <v>105742</v>
      </c>
      <c r="AN63" s="460">
        <f t="shared" si="11"/>
        <v>522739</v>
      </c>
      <c r="AO63" s="460">
        <f t="shared" si="12"/>
        <v>393437.5</v>
      </c>
      <c r="AP63" s="460">
        <f t="shared" si="13"/>
        <v>0</v>
      </c>
      <c r="AQ63" s="469">
        <f t="shared" si="14"/>
        <v>0</v>
      </c>
      <c r="AR63" s="468">
        <f>SUM(Tabla1[[#This Row],[COSTO OPERATIVO ACIDO]:[COSTO OPERATIVO CATIONICO]])</f>
        <v>1021918.5</v>
      </c>
      <c r="AS63" s="458">
        <v>3599</v>
      </c>
      <c r="AT63" s="460">
        <f t="shared" si="15"/>
        <v>2124.570686070686</v>
      </c>
    </row>
    <row r="64" spans="1:46" s="488" customFormat="1" ht="14.95" thickBot="1" x14ac:dyDescent="0.3">
      <c r="A64" s="470">
        <f>A63</f>
        <v>46102</v>
      </c>
      <c r="B64" s="157">
        <f>DAY(Tabla1[[#This Row],[FECHA]])</f>
        <v>21</v>
      </c>
      <c r="C64" s="471" t="s">
        <v>30</v>
      </c>
      <c r="D64" s="472">
        <v>63</v>
      </c>
      <c r="E64" s="472" t="s">
        <v>76</v>
      </c>
      <c r="F64" s="464">
        <v>2400</v>
      </c>
      <c r="G64" s="465">
        <v>2900</v>
      </c>
      <c r="H64" s="465">
        <v>3010</v>
      </c>
      <c r="I64" s="465">
        <f t="shared" si="27"/>
        <v>250</v>
      </c>
      <c r="J64" s="465">
        <f t="shared" si="28"/>
        <v>202</v>
      </c>
      <c r="K64" s="484">
        <v>17529</v>
      </c>
      <c r="L64" s="520">
        <v>196</v>
      </c>
      <c r="M64" s="486">
        <v>80</v>
      </c>
      <c r="N64" s="446">
        <f t="shared" si="22"/>
        <v>200</v>
      </c>
      <c r="O64" s="499">
        <f t="shared" si="24"/>
        <v>100</v>
      </c>
      <c r="P64" s="446">
        <f t="shared" si="23"/>
        <v>10</v>
      </c>
      <c r="Q64" s="446">
        <f t="shared" si="25"/>
        <v>5</v>
      </c>
      <c r="R64" s="447">
        <f t="shared" si="26"/>
        <v>5</v>
      </c>
      <c r="S64" s="452">
        <f t="shared" si="2"/>
        <v>260</v>
      </c>
      <c r="T64" s="453">
        <f t="shared" si="3"/>
        <v>132.5</v>
      </c>
      <c r="U64" s="453">
        <f t="shared" si="4"/>
        <v>12.5</v>
      </c>
      <c r="V64" s="473">
        <f>Tabla1[[#This Row],[CONSUMO POL ANIONICO (KG)]]</f>
        <v>5</v>
      </c>
      <c r="W64" s="447">
        <f>Tabla1[[#This Row],[CONSUMO POL CATIONICO (KG)]]</f>
        <v>5</v>
      </c>
      <c r="X64" s="467">
        <f t="shared" si="5"/>
        <v>1326.5306122448981</v>
      </c>
      <c r="Y64" s="473">
        <f t="shared" si="6"/>
        <v>676.0204081632653</v>
      </c>
      <c r="Z64" s="473">
        <f t="shared" si="7"/>
        <v>63.775510204081634</v>
      </c>
      <c r="AA64" s="473">
        <f t="shared" si="8"/>
        <v>25.510204081632654</v>
      </c>
      <c r="AB64" s="447">
        <f t="shared" si="9"/>
        <v>25.510204081632654</v>
      </c>
      <c r="AC64" s="454">
        <v>1.3</v>
      </c>
      <c r="AD64" s="454">
        <v>1.325</v>
      </c>
      <c r="AE64" s="454">
        <v>1.25</v>
      </c>
      <c r="AF64" s="455">
        <v>2500</v>
      </c>
      <c r="AG64" s="456">
        <v>2500</v>
      </c>
      <c r="AH64" s="158">
        <v>830</v>
      </c>
      <c r="AI64" s="158">
        <v>2818</v>
      </c>
      <c r="AJ64" s="158">
        <v>6295</v>
      </c>
      <c r="AK64" s="158">
        <v>19050</v>
      </c>
      <c r="AL64" s="158">
        <v>22050</v>
      </c>
      <c r="AM64" s="468">
        <f t="shared" si="10"/>
        <v>215800</v>
      </c>
      <c r="AN64" s="474">
        <f t="shared" si="11"/>
        <v>373385</v>
      </c>
      <c r="AO64" s="474">
        <f t="shared" si="12"/>
        <v>78687.5</v>
      </c>
      <c r="AP64" s="474">
        <f t="shared" si="13"/>
        <v>95250</v>
      </c>
      <c r="AQ64" s="475">
        <f t="shared" si="14"/>
        <v>110250</v>
      </c>
      <c r="AR64" s="468">
        <f>SUM(Tabla1[[#This Row],[COSTO OPERATIVO ACIDO]:[COSTO OPERATIVO CATIONICO]])</f>
        <v>873372.5</v>
      </c>
      <c r="AS64" s="458">
        <v>3599</v>
      </c>
      <c r="AT64" s="460">
        <f t="shared" si="15"/>
        <v>4455.9821428571431</v>
      </c>
    </row>
    <row r="65" spans="1:46" ht="14.95" thickBot="1" x14ac:dyDescent="0.3">
      <c r="A65" s="213">
        <v>46103</v>
      </c>
      <c r="B65" s="157">
        <f>DAY(Tabla1[[#This Row],[FECHA]])</f>
        <v>22</v>
      </c>
      <c r="C65" s="448" t="s">
        <v>281</v>
      </c>
      <c r="D65" s="449">
        <v>64</v>
      </c>
      <c r="E65" s="449" t="s">
        <v>75</v>
      </c>
      <c r="F65" s="450">
        <v>2200</v>
      </c>
      <c r="G65" s="451">
        <v>2800</v>
      </c>
      <c r="H65" s="451">
        <v>3000</v>
      </c>
      <c r="I65" s="451">
        <f>+I64-5</f>
        <v>245</v>
      </c>
      <c r="J65" s="451">
        <f>+J64-5</f>
        <v>197</v>
      </c>
      <c r="K65" s="480">
        <v>17532</v>
      </c>
      <c r="L65" s="481">
        <f>+(K66-Tabla1[[#This Row],[Lectura Horometro INICIAL (06:00)]])*Tabla1[[#This Row],[CAUDAL DE TRATAMIENTO]]</f>
        <v>0</v>
      </c>
      <c r="M65" s="482">
        <v>80</v>
      </c>
      <c r="N65" s="442">
        <f t="shared" si="22"/>
        <v>0</v>
      </c>
      <c r="O65" s="497">
        <f t="shared" si="24"/>
        <v>0</v>
      </c>
      <c r="P65" s="442">
        <f t="shared" si="23"/>
        <v>0</v>
      </c>
      <c r="Q65" s="442">
        <f t="shared" si="25"/>
        <v>0</v>
      </c>
      <c r="R65" s="443">
        <f t="shared" si="26"/>
        <v>0</v>
      </c>
      <c r="S65" s="452">
        <f t="shared" si="2"/>
        <v>0</v>
      </c>
      <c r="T65" s="453">
        <f t="shared" si="3"/>
        <v>0</v>
      </c>
      <c r="U65" s="453">
        <f t="shared" si="4"/>
        <v>0</v>
      </c>
      <c r="V65" s="453">
        <f>Tabla1[[#This Row],[CONSUMO POL ANIONICO (KG)]]</f>
        <v>0</v>
      </c>
      <c r="W65" s="443">
        <f>Tabla1[[#This Row],[CONSUMO POL CATIONICO (KG)]]</f>
        <v>0</v>
      </c>
      <c r="X65" s="452" t="e">
        <f t="shared" si="5"/>
        <v>#DIV/0!</v>
      </c>
      <c r="Y65" s="453" t="e">
        <f t="shared" si="6"/>
        <v>#DIV/0!</v>
      </c>
      <c r="Z65" s="453" t="e">
        <f t="shared" si="7"/>
        <v>#DIV/0!</v>
      </c>
      <c r="AA65" s="453" t="e">
        <f t="shared" si="8"/>
        <v>#DIV/0!</v>
      </c>
      <c r="AB65" s="443" t="e">
        <f t="shared" si="9"/>
        <v>#DIV/0!</v>
      </c>
      <c r="AC65" s="454">
        <v>1.3</v>
      </c>
      <c r="AD65" s="454">
        <v>1.325</v>
      </c>
      <c r="AE65" s="454">
        <v>1.25</v>
      </c>
      <c r="AF65" s="455">
        <v>2500</v>
      </c>
      <c r="AG65" s="456">
        <v>2500</v>
      </c>
      <c r="AH65" s="158">
        <v>830</v>
      </c>
      <c r="AI65" s="158">
        <v>2818</v>
      </c>
      <c r="AJ65" s="158">
        <v>6295</v>
      </c>
      <c r="AK65" s="158">
        <v>19050</v>
      </c>
      <c r="AL65" s="158">
        <v>22050</v>
      </c>
      <c r="AM65" s="457">
        <f t="shared" si="10"/>
        <v>0</v>
      </c>
      <c r="AN65" s="458">
        <f t="shared" si="11"/>
        <v>0</v>
      </c>
      <c r="AO65" s="458">
        <f t="shared" si="12"/>
        <v>0</v>
      </c>
      <c r="AP65" s="458">
        <f t="shared" si="13"/>
        <v>0</v>
      </c>
      <c r="AQ65" s="459">
        <f t="shared" si="14"/>
        <v>0</v>
      </c>
      <c r="AR65" s="457">
        <f>SUM(Tabla1[[#This Row],[COSTO OPERATIVO ACIDO]:[COSTO OPERATIVO CATIONICO]])</f>
        <v>0</v>
      </c>
      <c r="AS65" s="458">
        <v>3599</v>
      </c>
      <c r="AT65" s="460" t="e">
        <f t="shared" si="15"/>
        <v>#DIV/0!</v>
      </c>
    </row>
    <row r="66" spans="1:46" ht="14.95" thickBot="1" x14ac:dyDescent="0.3">
      <c r="A66" s="461">
        <f>A65</f>
        <v>46103</v>
      </c>
      <c r="B66" s="157">
        <f>DAY(Tabla1[[#This Row],[FECHA]])</f>
        <v>22</v>
      </c>
      <c r="C66" s="462" t="s">
        <v>282</v>
      </c>
      <c r="D66" s="463">
        <v>65</v>
      </c>
      <c r="E66" s="463" t="s">
        <v>77</v>
      </c>
      <c r="F66" s="464">
        <v>2200</v>
      </c>
      <c r="G66" s="465">
        <v>2800</v>
      </c>
      <c r="H66" s="465">
        <v>3000</v>
      </c>
      <c r="I66" s="465">
        <f t="shared" si="27"/>
        <v>245</v>
      </c>
      <c r="J66" s="465">
        <f t="shared" si="28"/>
        <v>197</v>
      </c>
      <c r="K66" s="483">
        <v>17532</v>
      </c>
      <c r="L66" s="478">
        <f>+(K67-Tabla1[[#This Row],[Lectura Horometro INICIAL (06:00)]])*Tabla1[[#This Row],[CAUDAL DE TRATAMIENTO]]</f>
        <v>0</v>
      </c>
      <c r="M66" s="479">
        <v>80</v>
      </c>
      <c r="N66" s="444">
        <f t="shared" si="22"/>
        <v>0</v>
      </c>
      <c r="O66" s="498">
        <f t="shared" si="24"/>
        <v>0</v>
      </c>
      <c r="P66" s="444">
        <f t="shared" si="23"/>
        <v>0</v>
      </c>
      <c r="Q66" s="444">
        <f t="shared" si="25"/>
        <v>0</v>
      </c>
      <c r="R66" s="445">
        <f t="shared" si="26"/>
        <v>0</v>
      </c>
      <c r="S66" s="452">
        <f t="shared" si="2"/>
        <v>0</v>
      </c>
      <c r="T66" s="453">
        <f t="shared" si="3"/>
        <v>0</v>
      </c>
      <c r="U66" s="453">
        <f t="shared" si="4"/>
        <v>0</v>
      </c>
      <c r="V66" s="466">
        <f>Tabla1[[#This Row],[CONSUMO POL ANIONICO (KG)]]</f>
        <v>0</v>
      </c>
      <c r="W66" s="445">
        <f>Tabla1[[#This Row],[CONSUMO POL CATIONICO (KG)]]</f>
        <v>0</v>
      </c>
      <c r="X66" s="467" t="e">
        <f t="shared" si="5"/>
        <v>#DIV/0!</v>
      </c>
      <c r="Y66" s="466" t="e">
        <f t="shared" si="6"/>
        <v>#DIV/0!</v>
      </c>
      <c r="Z66" s="466" t="e">
        <f t="shared" si="7"/>
        <v>#DIV/0!</v>
      </c>
      <c r="AA66" s="466" t="e">
        <f t="shared" si="8"/>
        <v>#DIV/0!</v>
      </c>
      <c r="AB66" s="445" t="e">
        <f t="shared" si="9"/>
        <v>#DIV/0!</v>
      </c>
      <c r="AC66" s="454">
        <v>1.3</v>
      </c>
      <c r="AD66" s="454">
        <v>1.325</v>
      </c>
      <c r="AE66" s="454">
        <v>1.25</v>
      </c>
      <c r="AF66" s="455">
        <v>2500</v>
      </c>
      <c r="AG66" s="456">
        <v>2500</v>
      </c>
      <c r="AH66" s="158">
        <v>830</v>
      </c>
      <c r="AI66" s="158">
        <v>2818</v>
      </c>
      <c r="AJ66" s="158">
        <v>6295</v>
      </c>
      <c r="AK66" s="158">
        <v>19050</v>
      </c>
      <c r="AL66" s="158">
        <v>22050</v>
      </c>
      <c r="AM66" s="468">
        <f t="shared" si="10"/>
        <v>0</v>
      </c>
      <c r="AN66" s="460">
        <f t="shared" si="11"/>
        <v>0</v>
      </c>
      <c r="AO66" s="460">
        <f t="shared" si="12"/>
        <v>0</v>
      </c>
      <c r="AP66" s="460">
        <f t="shared" si="13"/>
        <v>0</v>
      </c>
      <c r="AQ66" s="469">
        <f t="shared" si="14"/>
        <v>0</v>
      </c>
      <c r="AR66" s="468">
        <f>SUM(Tabla1[[#This Row],[COSTO OPERATIVO ACIDO]:[COSTO OPERATIVO CATIONICO]])</f>
        <v>0</v>
      </c>
      <c r="AS66" s="458">
        <v>3599</v>
      </c>
      <c r="AT66" s="460" t="e">
        <f t="shared" si="15"/>
        <v>#DIV/0!</v>
      </c>
    </row>
    <row r="67" spans="1:46" ht="14.95" thickBot="1" x14ac:dyDescent="0.3">
      <c r="A67" s="470">
        <f>A66</f>
        <v>46103</v>
      </c>
      <c r="B67" s="157">
        <f>DAY(Tabla1[[#This Row],[FECHA]])</f>
        <v>22</v>
      </c>
      <c r="C67" s="471" t="s">
        <v>30</v>
      </c>
      <c r="D67" s="472">
        <v>66</v>
      </c>
      <c r="E67" s="472" t="s">
        <v>76</v>
      </c>
      <c r="F67" s="464">
        <v>2200</v>
      </c>
      <c r="G67" s="465">
        <v>2800</v>
      </c>
      <c r="H67" s="465">
        <v>3000</v>
      </c>
      <c r="I67" s="465">
        <f t="shared" si="27"/>
        <v>245</v>
      </c>
      <c r="J67" s="465">
        <f t="shared" si="28"/>
        <v>197</v>
      </c>
      <c r="K67" s="484">
        <v>17532</v>
      </c>
      <c r="L67" s="478">
        <f>+(K68-Tabla1[[#This Row],[Lectura Horometro INICIAL (06:00)]])*Tabla1[[#This Row],[CAUDAL DE TRATAMIENTO]]</f>
        <v>0</v>
      </c>
      <c r="M67" s="486">
        <v>80</v>
      </c>
      <c r="N67" s="446">
        <f t="shared" si="22"/>
        <v>0</v>
      </c>
      <c r="O67" s="499">
        <f t="shared" si="24"/>
        <v>0</v>
      </c>
      <c r="P67" s="446">
        <f t="shared" si="23"/>
        <v>0</v>
      </c>
      <c r="Q67" s="446">
        <f t="shared" si="25"/>
        <v>0</v>
      </c>
      <c r="R67" s="447">
        <f t="shared" si="26"/>
        <v>0</v>
      </c>
      <c r="S67" s="452">
        <f t="shared" si="2"/>
        <v>0</v>
      </c>
      <c r="T67" s="453">
        <f t="shared" si="3"/>
        <v>0</v>
      </c>
      <c r="U67" s="453">
        <f t="shared" si="4"/>
        <v>0</v>
      </c>
      <c r="V67" s="473">
        <f>Tabla1[[#This Row],[CONSUMO POL ANIONICO (KG)]]</f>
        <v>0</v>
      </c>
      <c r="W67" s="447">
        <f>Tabla1[[#This Row],[CONSUMO POL CATIONICO (KG)]]</f>
        <v>0</v>
      </c>
      <c r="X67" s="467" t="e">
        <f t="shared" si="5"/>
        <v>#DIV/0!</v>
      </c>
      <c r="Y67" s="473" t="e">
        <f t="shared" si="6"/>
        <v>#DIV/0!</v>
      </c>
      <c r="Z67" s="473" t="e">
        <f t="shared" si="7"/>
        <v>#DIV/0!</v>
      </c>
      <c r="AA67" s="473" t="e">
        <f t="shared" si="8"/>
        <v>#DIV/0!</v>
      </c>
      <c r="AB67" s="447" t="e">
        <f t="shared" si="9"/>
        <v>#DIV/0!</v>
      </c>
      <c r="AC67" s="454">
        <v>1.3</v>
      </c>
      <c r="AD67" s="454">
        <v>1.325</v>
      </c>
      <c r="AE67" s="454">
        <v>1.25</v>
      </c>
      <c r="AF67" s="455">
        <v>2500</v>
      </c>
      <c r="AG67" s="456">
        <v>2500</v>
      </c>
      <c r="AH67" s="158">
        <v>830</v>
      </c>
      <c r="AI67" s="158">
        <v>2818</v>
      </c>
      <c r="AJ67" s="158">
        <v>6295</v>
      </c>
      <c r="AK67" s="158">
        <v>19050</v>
      </c>
      <c r="AL67" s="158">
        <v>22050</v>
      </c>
      <c r="AM67" s="468">
        <f t="shared" si="10"/>
        <v>0</v>
      </c>
      <c r="AN67" s="474">
        <f t="shared" si="11"/>
        <v>0</v>
      </c>
      <c r="AO67" s="474">
        <f t="shared" si="12"/>
        <v>0</v>
      </c>
      <c r="AP67" s="474">
        <f t="shared" si="13"/>
        <v>0</v>
      </c>
      <c r="AQ67" s="475">
        <f t="shared" si="14"/>
        <v>0</v>
      </c>
      <c r="AR67" s="468">
        <f>SUM(Tabla1[[#This Row],[COSTO OPERATIVO ACIDO]:[COSTO OPERATIVO CATIONICO]])</f>
        <v>0</v>
      </c>
      <c r="AS67" s="458">
        <v>3599</v>
      </c>
      <c r="AT67" s="460" t="e">
        <f t="shared" si="15"/>
        <v>#DIV/0!</v>
      </c>
    </row>
    <row r="68" spans="1:46" ht="14.95" thickBot="1" x14ac:dyDescent="0.3">
      <c r="A68" s="213">
        <v>46104</v>
      </c>
      <c r="B68" s="157">
        <f>DAY(Tabla1[[#This Row],[FECHA]])</f>
        <v>23</v>
      </c>
      <c r="C68" s="448" t="s">
        <v>283</v>
      </c>
      <c r="D68" s="449">
        <v>67</v>
      </c>
      <c r="E68" s="449" t="s">
        <v>75</v>
      </c>
      <c r="F68" s="450">
        <v>2200</v>
      </c>
      <c r="G68" s="451">
        <v>2800</v>
      </c>
      <c r="H68" s="451">
        <v>3000</v>
      </c>
      <c r="I68" s="451">
        <f t="shared" si="27"/>
        <v>245</v>
      </c>
      <c r="J68" s="451">
        <f t="shared" si="28"/>
        <v>197</v>
      </c>
      <c r="K68" s="480">
        <v>17532</v>
      </c>
      <c r="L68" s="482">
        <f>+(K69-Tabla1[[#This Row],[Lectura Horometro INICIAL (06:00)]])*Tabla1[[#This Row],[CAUDAL DE TRATAMIENTO]]</f>
        <v>0</v>
      </c>
      <c r="M68" s="482">
        <v>85</v>
      </c>
      <c r="N68" s="442">
        <f t="shared" si="22"/>
        <v>0</v>
      </c>
      <c r="O68" s="497">
        <f>G68-G69</f>
        <v>0</v>
      </c>
      <c r="P68" s="442">
        <f t="shared" si="23"/>
        <v>0</v>
      </c>
      <c r="Q68" s="442">
        <f t="shared" si="25"/>
        <v>0</v>
      </c>
      <c r="R68" s="443">
        <f t="shared" si="26"/>
        <v>0</v>
      </c>
      <c r="S68" s="452">
        <f t="shared" si="2"/>
        <v>0</v>
      </c>
      <c r="T68" s="453">
        <f t="shared" si="3"/>
        <v>0</v>
      </c>
      <c r="U68" s="453">
        <f t="shared" si="4"/>
        <v>0</v>
      </c>
      <c r="V68" s="453">
        <f>Tabla1[[#This Row],[CONSUMO POL ANIONICO (KG)]]</f>
        <v>0</v>
      </c>
      <c r="W68" s="443">
        <f>Tabla1[[#This Row],[CONSUMO POL CATIONICO (KG)]]</f>
        <v>0</v>
      </c>
      <c r="X68" s="452" t="e">
        <f t="shared" si="5"/>
        <v>#DIV/0!</v>
      </c>
      <c r="Y68" s="453" t="e">
        <f t="shared" si="6"/>
        <v>#DIV/0!</v>
      </c>
      <c r="Z68" s="453" t="e">
        <f t="shared" si="7"/>
        <v>#DIV/0!</v>
      </c>
      <c r="AA68" s="453" t="e">
        <f t="shared" si="8"/>
        <v>#DIV/0!</v>
      </c>
      <c r="AB68" s="443" t="e">
        <f t="shared" si="9"/>
        <v>#DIV/0!</v>
      </c>
      <c r="AC68" s="454">
        <v>1.3</v>
      </c>
      <c r="AD68" s="454">
        <v>1.325</v>
      </c>
      <c r="AE68" s="454">
        <v>1.25</v>
      </c>
      <c r="AF68" s="455">
        <v>2500</v>
      </c>
      <c r="AG68" s="456">
        <v>2500</v>
      </c>
      <c r="AH68" s="158">
        <v>830</v>
      </c>
      <c r="AI68" s="158">
        <v>2818</v>
      </c>
      <c r="AJ68" s="158">
        <v>6295</v>
      </c>
      <c r="AK68" s="158">
        <v>19050</v>
      </c>
      <c r="AL68" s="158">
        <v>22050</v>
      </c>
      <c r="AM68" s="457">
        <f t="shared" si="10"/>
        <v>0</v>
      </c>
      <c r="AN68" s="458">
        <f t="shared" si="11"/>
        <v>0</v>
      </c>
      <c r="AO68" s="458">
        <f t="shared" si="12"/>
        <v>0</v>
      </c>
      <c r="AP68" s="458">
        <f t="shared" si="13"/>
        <v>0</v>
      </c>
      <c r="AQ68" s="459">
        <f t="shared" si="14"/>
        <v>0</v>
      </c>
      <c r="AR68" s="457">
        <f>SUM(Tabla1[[#This Row],[COSTO OPERATIVO ACIDO]:[COSTO OPERATIVO CATIONICO]])</f>
        <v>0</v>
      </c>
      <c r="AS68" s="458">
        <v>3599</v>
      </c>
      <c r="AT68" s="460" t="e">
        <f t="shared" si="15"/>
        <v>#DIV/0!</v>
      </c>
    </row>
    <row r="69" spans="1:46" ht="14.95" thickBot="1" x14ac:dyDescent="0.3">
      <c r="A69" s="461">
        <f>A68</f>
        <v>46104</v>
      </c>
      <c r="B69" s="157">
        <f>DAY(Tabla1[[#This Row],[FECHA]])</f>
        <v>23</v>
      </c>
      <c r="C69" s="462" t="s">
        <v>284</v>
      </c>
      <c r="D69" s="463">
        <v>68</v>
      </c>
      <c r="E69" s="463" t="s">
        <v>77</v>
      </c>
      <c r="F69" s="464">
        <v>2200</v>
      </c>
      <c r="G69" s="465">
        <v>2800</v>
      </c>
      <c r="H69" s="465">
        <v>3000</v>
      </c>
      <c r="I69" s="465">
        <f t="shared" si="27"/>
        <v>245</v>
      </c>
      <c r="J69" s="465">
        <f t="shared" si="28"/>
        <v>197</v>
      </c>
      <c r="K69" s="483">
        <v>17532</v>
      </c>
      <c r="L69" s="479">
        <f>+(K70-Tabla1[[#This Row],[Lectura Horometro INICIAL (06:00)]])*Tabla1[[#This Row],[CAUDAL DE TRATAMIENTO]]</f>
        <v>360</v>
      </c>
      <c r="M69" s="479">
        <v>90</v>
      </c>
      <c r="N69" s="444">
        <f>F69-F70</f>
        <v>50</v>
      </c>
      <c r="O69" s="498">
        <f t="shared" si="24"/>
        <v>100</v>
      </c>
      <c r="P69" s="444">
        <f>H69-H70</f>
        <v>50</v>
      </c>
      <c r="Q69" s="444">
        <f t="shared" si="25"/>
        <v>0</v>
      </c>
      <c r="R69" s="445">
        <f t="shared" si="26"/>
        <v>0</v>
      </c>
      <c r="S69" s="452">
        <f t="shared" ref="S69:S94" si="29">(N69*$AC$2)</f>
        <v>65</v>
      </c>
      <c r="T69" s="453">
        <f t="shared" ref="T69:T94" si="30">(O69*$AD$2)</f>
        <v>132.5</v>
      </c>
      <c r="U69" s="453">
        <f t="shared" ref="U69:U94" si="31">(P69*$AE$2)</f>
        <v>62.5</v>
      </c>
      <c r="V69" s="466">
        <f>Tabla1[[#This Row],[CONSUMO POL ANIONICO (KG)]]</f>
        <v>0</v>
      </c>
      <c r="W69" s="445">
        <f>Tabla1[[#This Row],[CONSUMO POL CATIONICO (KG)]]</f>
        <v>0</v>
      </c>
      <c r="X69" s="467">
        <f t="shared" ref="X69:X94" si="32">(S69*1000)/L69</f>
        <v>180.55555555555554</v>
      </c>
      <c r="Y69" s="466">
        <f t="shared" ref="Y69:Y94" si="33">(T69*1000)/L69</f>
        <v>368.05555555555554</v>
      </c>
      <c r="Z69" s="466">
        <f t="shared" ref="Z69:Z94" si="34">(U69*1000)/L69</f>
        <v>173.61111111111111</v>
      </c>
      <c r="AA69" s="466">
        <f t="shared" ref="AA69:AA94" si="35">(V69*1000)/L69</f>
        <v>0</v>
      </c>
      <c r="AB69" s="445">
        <f t="shared" ref="AB69:AB94" si="36">(W69*1000)/L69</f>
        <v>0</v>
      </c>
      <c r="AC69" s="454">
        <v>1.3</v>
      </c>
      <c r="AD69" s="454">
        <v>1.325</v>
      </c>
      <c r="AE69" s="454">
        <v>1.25</v>
      </c>
      <c r="AF69" s="455">
        <v>2500</v>
      </c>
      <c r="AG69" s="456">
        <v>2500</v>
      </c>
      <c r="AH69" s="158">
        <v>830</v>
      </c>
      <c r="AI69" s="158">
        <v>2818</v>
      </c>
      <c r="AJ69" s="158">
        <v>6295</v>
      </c>
      <c r="AK69" s="158">
        <v>19050</v>
      </c>
      <c r="AL69" s="158">
        <v>22050</v>
      </c>
      <c r="AM69" s="468">
        <f t="shared" ref="AM69:AM94" si="37">S69*AH69</f>
        <v>53950</v>
      </c>
      <c r="AN69" s="460">
        <f t="shared" ref="AN69:AN94" si="38">T69*AI69</f>
        <v>373385</v>
      </c>
      <c r="AO69" s="460">
        <f t="shared" ref="AO69:AO94" si="39">U69*AJ69</f>
        <v>393437.5</v>
      </c>
      <c r="AP69" s="460">
        <f t="shared" ref="AP69:AP94" si="40">V69*AK69</f>
        <v>0</v>
      </c>
      <c r="AQ69" s="469">
        <f t="shared" ref="AQ69:AQ94" si="41">W69*AL69</f>
        <v>0</v>
      </c>
      <c r="AR69" s="468">
        <f>SUM(Tabla1[[#This Row],[COSTO OPERATIVO ACIDO]:[COSTO OPERATIVO CATIONICO]])</f>
        <v>820772.5</v>
      </c>
      <c r="AS69" s="458">
        <v>3599</v>
      </c>
      <c r="AT69" s="460">
        <f t="shared" ref="AT69:AT94" si="42">AR69/L69</f>
        <v>2279.9236111111113</v>
      </c>
    </row>
    <row r="70" spans="1:46" ht="14.95" thickBot="1" x14ac:dyDescent="0.3">
      <c r="A70" s="470">
        <f>A69</f>
        <v>46104</v>
      </c>
      <c r="B70" s="157">
        <f>DAY(Tabla1[[#This Row],[FECHA]])</f>
        <v>23</v>
      </c>
      <c r="C70" s="471" t="s">
        <v>30</v>
      </c>
      <c r="D70" s="472">
        <v>69</v>
      </c>
      <c r="E70" s="472" t="s">
        <v>76</v>
      </c>
      <c r="F70" s="464">
        <v>2150</v>
      </c>
      <c r="G70" s="465">
        <v>2700</v>
      </c>
      <c r="H70" s="465">
        <v>2950</v>
      </c>
      <c r="I70" s="465">
        <f t="shared" si="27"/>
        <v>245</v>
      </c>
      <c r="J70" s="465">
        <f>+J69-0</f>
        <v>197</v>
      </c>
      <c r="K70" s="484">
        <v>17536</v>
      </c>
      <c r="L70" s="486">
        <f>+(K71-Tabla1[[#This Row],[Lectura Horometro INICIAL (06:00)]])*Tabla1[[#This Row],[CAUDAL DE TRATAMIENTO]]</f>
        <v>360</v>
      </c>
      <c r="M70" s="486">
        <v>90</v>
      </c>
      <c r="N70" s="446">
        <f t="shared" si="22"/>
        <v>50</v>
      </c>
      <c r="O70" s="499">
        <f t="shared" si="24"/>
        <v>50</v>
      </c>
      <c r="P70" s="446">
        <f t="shared" si="23"/>
        <v>50</v>
      </c>
      <c r="Q70" s="446">
        <f t="shared" si="25"/>
        <v>5</v>
      </c>
      <c r="R70" s="447">
        <f t="shared" si="26"/>
        <v>5</v>
      </c>
      <c r="S70" s="452">
        <f t="shared" si="29"/>
        <v>65</v>
      </c>
      <c r="T70" s="453">
        <f t="shared" si="30"/>
        <v>66.25</v>
      </c>
      <c r="U70" s="453">
        <f t="shared" si="31"/>
        <v>62.5</v>
      </c>
      <c r="V70" s="473">
        <f>Tabla1[[#This Row],[CONSUMO POL ANIONICO (KG)]]</f>
        <v>5</v>
      </c>
      <c r="W70" s="447">
        <f>Tabla1[[#This Row],[CONSUMO POL CATIONICO (KG)]]</f>
        <v>5</v>
      </c>
      <c r="X70" s="467">
        <f t="shared" si="32"/>
        <v>180.55555555555554</v>
      </c>
      <c r="Y70" s="473">
        <f t="shared" si="33"/>
        <v>184.02777777777777</v>
      </c>
      <c r="Z70" s="473">
        <f t="shared" si="34"/>
        <v>173.61111111111111</v>
      </c>
      <c r="AA70" s="473">
        <f t="shared" si="35"/>
        <v>13.888888888888889</v>
      </c>
      <c r="AB70" s="447">
        <f t="shared" si="36"/>
        <v>13.888888888888889</v>
      </c>
      <c r="AC70" s="454">
        <v>1.3</v>
      </c>
      <c r="AD70" s="454">
        <v>1.325</v>
      </c>
      <c r="AE70" s="454">
        <v>1.25</v>
      </c>
      <c r="AF70" s="455">
        <v>2500</v>
      </c>
      <c r="AG70" s="456">
        <v>2500</v>
      </c>
      <c r="AH70" s="158">
        <v>830</v>
      </c>
      <c r="AI70" s="158">
        <v>2818</v>
      </c>
      <c r="AJ70" s="158">
        <v>6295</v>
      </c>
      <c r="AK70" s="158">
        <v>19050</v>
      </c>
      <c r="AL70" s="158">
        <v>22050</v>
      </c>
      <c r="AM70" s="468">
        <f t="shared" si="37"/>
        <v>53950</v>
      </c>
      <c r="AN70" s="474">
        <f t="shared" si="38"/>
        <v>186692.5</v>
      </c>
      <c r="AO70" s="474">
        <f t="shared" si="39"/>
        <v>393437.5</v>
      </c>
      <c r="AP70" s="474">
        <f t="shared" si="40"/>
        <v>95250</v>
      </c>
      <c r="AQ70" s="475">
        <f t="shared" si="41"/>
        <v>110250</v>
      </c>
      <c r="AR70" s="468">
        <f>SUM(Tabla1[[#This Row],[COSTO OPERATIVO ACIDO]:[COSTO OPERATIVO CATIONICO]])</f>
        <v>839580</v>
      </c>
      <c r="AS70" s="458">
        <v>3599</v>
      </c>
      <c r="AT70" s="460">
        <f t="shared" si="42"/>
        <v>2332.1666666666665</v>
      </c>
    </row>
    <row r="71" spans="1:46" ht="14.95" thickBot="1" x14ac:dyDescent="0.3">
      <c r="A71" s="213">
        <v>46105</v>
      </c>
      <c r="B71" s="157">
        <f>DAY(Tabla1[[#This Row],[FECHA]])</f>
        <v>24</v>
      </c>
      <c r="C71" s="448" t="s">
        <v>285</v>
      </c>
      <c r="D71" s="449">
        <v>70</v>
      </c>
      <c r="E71" s="449" t="s">
        <v>75</v>
      </c>
      <c r="F71" s="450">
        <v>2100</v>
      </c>
      <c r="G71" s="451">
        <v>2650</v>
      </c>
      <c r="H71" s="451">
        <v>2900</v>
      </c>
      <c r="I71" s="451">
        <f>+I70-5</f>
        <v>240</v>
      </c>
      <c r="J71" s="451">
        <f>+J70-5</f>
        <v>192</v>
      </c>
      <c r="K71" s="480">
        <v>17540</v>
      </c>
      <c r="L71" s="518">
        <v>419</v>
      </c>
      <c r="M71" s="482">
        <v>80</v>
      </c>
      <c r="N71" s="442">
        <f>F71-F72</f>
        <v>0</v>
      </c>
      <c r="O71" s="514">
        <f>G71-G72-150</f>
        <v>60</v>
      </c>
      <c r="P71" s="442">
        <f>H71-H72</f>
        <v>0</v>
      </c>
      <c r="Q71" s="442">
        <f t="shared" si="25"/>
        <v>4</v>
      </c>
      <c r="R71" s="443">
        <f t="shared" si="26"/>
        <v>4</v>
      </c>
      <c r="S71" s="452">
        <f t="shared" si="29"/>
        <v>0</v>
      </c>
      <c r="T71" s="453">
        <f t="shared" si="30"/>
        <v>79.5</v>
      </c>
      <c r="U71" s="453">
        <f t="shared" si="31"/>
        <v>0</v>
      </c>
      <c r="V71" s="453">
        <f>Tabla1[[#This Row],[CONSUMO POL ANIONICO (KG)]]</f>
        <v>4</v>
      </c>
      <c r="W71" s="443">
        <f>Tabla1[[#This Row],[CONSUMO POL CATIONICO (KG)]]</f>
        <v>4</v>
      </c>
      <c r="X71" s="452">
        <f t="shared" si="32"/>
        <v>0</v>
      </c>
      <c r="Y71" s="453">
        <f t="shared" si="33"/>
        <v>189.73747016706443</v>
      </c>
      <c r="Z71" s="453">
        <f t="shared" si="34"/>
        <v>0</v>
      </c>
      <c r="AA71" s="453">
        <f t="shared" si="35"/>
        <v>9.5465393794749396</v>
      </c>
      <c r="AB71" s="443">
        <f t="shared" si="36"/>
        <v>9.5465393794749396</v>
      </c>
      <c r="AC71" s="454">
        <v>1.3</v>
      </c>
      <c r="AD71" s="454">
        <v>1.325</v>
      </c>
      <c r="AE71" s="454">
        <v>1.25</v>
      </c>
      <c r="AF71" s="455">
        <v>2500</v>
      </c>
      <c r="AG71" s="456">
        <v>2500</v>
      </c>
      <c r="AH71" s="158">
        <v>830</v>
      </c>
      <c r="AI71" s="158">
        <v>2818</v>
      </c>
      <c r="AJ71" s="158">
        <v>6295</v>
      </c>
      <c r="AK71" s="158">
        <v>19050</v>
      </c>
      <c r="AL71" s="158">
        <v>22050</v>
      </c>
      <c r="AM71" s="457">
        <f t="shared" si="37"/>
        <v>0</v>
      </c>
      <c r="AN71" s="458">
        <f t="shared" si="38"/>
        <v>224031</v>
      </c>
      <c r="AO71" s="458">
        <f t="shared" si="39"/>
        <v>0</v>
      </c>
      <c r="AP71" s="458">
        <f t="shared" si="40"/>
        <v>76200</v>
      </c>
      <c r="AQ71" s="459">
        <f t="shared" si="41"/>
        <v>88200</v>
      </c>
      <c r="AR71" s="457">
        <f>SUM(Tabla1[[#This Row],[COSTO OPERATIVO ACIDO]:[COSTO OPERATIVO CATIONICO]])</f>
        <v>388431</v>
      </c>
      <c r="AS71" s="458">
        <v>3599</v>
      </c>
      <c r="AT71" s="460">
        <f t="shared" si="42"/>
        <v>927.04295942720762</v>
      </c>
    </row>
    <row r="72" spans="1:46" ht="14.95" thickBot="1" x14ac:dyDescent="0.3">
      <c r="A72" s="461">
        <f>A71</f>
        <v>46105</v>
      </c>
      <c r="B72" s="157">
        <f>DAY(Tabla1[[#This Row],[FECHA]])</f>
        <v>24</v>
      </c>
      <c r="C72" s="462" t="s">
        <v>286</v>
      </c>
      <c r="D72" s="463">
        <v>71</v>
      </c>
      <c r="E72" s="463" t="s">
        <v>77</v>
      </c>
      <c r="F72" s="464">
        <v>2100</v>
      </c>
      <c r="G72" s="465">
        <v>2440</v>
      </c>
      <c r="H72" s="465">
        <v>2900</v>
      </c>
      <c r="I72" s="465">
        <f>+I71-4</f>
        <v>236</v>
      </c>
      <c r="J72" s="465">
        <f>+J71-4</f>
        <v>188</v>
      </c>
      <c r="K72" s="483">
        <v>17542</v>
      </c>
      <c r="L72" s="519">
        <v>464</v>
      </c>
      <c r="M72" s="479">
        <v>80</v>
      </c>
      <c r="N72" s="444">
        <f t="shared" ref="N72:N93" si="43">F72-F73</f>
        <v>50</v>
      </c>
      <c r="O72" s="498">
        <f t="shared" ref="O72:O94" si="44">G72-G73</f>
        <v>140</v>
      </c>
      <c r="P72" s="444">
        <f>H72-H73</f>
        <v>50</v>
      </c>
      <c r="Q72" s="444">
        <f t="shared" si="25"/>
        <v>4</v>
      </c>
      <c r="R72" s="445">
        <f t="shared" si="26"/>
        <v>4</v>
      </c>
      <c r="S72" s="452">
        <f t="shared" si="29"/>
        <v>65</v>
      </c>
      <c r="T72" s="453">
        <f t="shared" si="30"/>
        <v>185.5</v>
      </c>
      <c r="U72" s="453">
        <f t="shared" si="31"/>
        <v>62.5</v>
      </c>
      <c r="V72" s="466">
        <f>Tabla1[[#This Row],[CONSUMO POL ANIONICO (KG)]]</f>
        <v>4</v>
      </c>
      <c r="W72" s="445">
        <f>Tabla1[[#This Row],[CONSUMO POL CATIONICO (KG)]]</f>
        <v>4</v>
      </c>
      <c r="X72" s="467">
        <f t="shared" si="32"/>
        <v>140.08620689655172</v>
      </c>
      <c r="Y72" s="466">
        <f t="shared" si="33"/>
        <v>399.7844827586207</v>
      </c>
      <c r="Z72" s="466">
        <f t="shared" si="34"/>
        <v>134.69827586206895</v>
      </c>
      <c r="AA72" s="466">
        <f t="shared" si="35"/>
        <v>8.6206896551724146</v>
      </c>
      <c r="AB72" s="445">
        <f t="shared" si="36"/>
        <v>8.6206896551724146</v>
      </c>
      <c r="AC72" s="454">
        <v>1.3</v>
      </c>
      <c r="AD72" s="454">
        <v>1.325</v>
      </c>
      <c r="AE72" s="454">
        <v>1.25</v>
      </c>
      <c r="AF72" s="455">
        <v>2500</v>
      </c>
      <c r="AG72" s="456">
        <v>2500</v>
      </c>
      <c r="AH72" s="158">
        <v>830</v>
      </c>
      <c r="AI72" s="158">
        <v>2818</v>
      </c>
      <c r="AJ72" s="158">
        <v>6295</v>
      </c>
      <c r="AK72" s="158">
        <v>19050</v>
      </c>
      <c r="AL72" s="158">
        <v>22050</v>
      </c>
      <c r="AM72" s="468">
        <f t="shared" si="37"/>
        <v>53950</v>
      </c>
      <c r="AN72" s="460">
        <f t="shared" si="38"/>
        <v>522739</v>
      </c>
      <c r="AO72" s="460">
        <f t="shared" si="39"/>
        <v>393437.5</v>
      </c>
      <c r="AP72" s="460">
        <f t="shared" si="40"/>
        <v>76200</v>
      </c>
      <c r="AQ72" s="469">
        <f t="shared" si="41"/>
        <v>88200</v>
      </c>
      <c r="AR72" s="468">
        <f>SUM(Tabla1[[#This Row],[COSTO OPERATIVO ACIDO]:[COSTO OPERATIVO CATIONICO]])</f>
        <v>1134526.5</v>
      </c>
      <c r="AS72" s="458">
        <v>3599</v>
      </c>
      <c r="AT72" s="460">
        <f t="shared" si="42"/>
        <v>2445.1002155172414</v>
      </c>
    </row>
    <row r="73" spans="1:46" s="488" customFormat="1" ht="14.95" thickBot="1" x14ac:dyDescent="0.3">
      <c r="A73" s="470">
        <f>A72</f>
        <v>46105</v>
      </c>
      <c r="B73" s="157">
        <f>DAY(Tabla1[[#This Row],[FECHA]])</f>
        <v>24</v>
      </c>
      <c r="C73" s="471" t="s">
        <v>30</v>
      </c>
      <c r="D73" s="472">
        <v>72</v>
      </c>
      <c r="E73" s="472" t="s">
        <v>76</v>
      </c>
      <c r="F73" s="464">
        <v>2050</v>
      </c>
      <c r="G73" s="465">
        <v>2300</v>
      </c>
      <c r="H73" s="465">
        <v>2850</v>
      </c>
      <c r="I73" s="465">
        <f>+I72-4</f>
        <v>232</v>
      </c>
      <c r="J73" s="465">
        <f>+J72-4</f>
        <v>184</v>
      </c>
      <c r="K73" s="484">
        <v>17546</v>
      </c>
      <c r="L73" s="520">
        <v>412</v>
      </c>
      <c r="M73" s="486">
        <v>80</v>
      </c>
      <c r="N73" s="511">
        <f>F73-F74+1000</f>
        <v>70</v>
      </c>
      <c r="O73" s="512">
        <f>G73-G74+2000</f>
        <v>60</v>
      </c>
      <c r="P73" s="511">
        <f>H73-H74+1000</f>
        <v>50</v>
      </c>
      <c r="Q73" s="446">
        <f t="shared" si="25"/>
        <v>0</v>
      </c>
      <c r="R73" s="447">
        <f t="shared" si="26"/>
        <v>4</v>
      </c>
      <c r="S73" s="452">
        <f t="shared" si="29"/>
        <v>91</v>
      </c>
      <c r="T73" s="453">
        <f t="shared" si="30"/>
        <v>79.5</v>
      </c>
      <c r="U73" s="453">
        <f t="shared" si="31"/>
        <v>62.5</v>
      </c>
      <c r="V73" s="473">
        <f>Tabla1[[#This Row],[CONSUMO POL ANIONICO (KG)]]</f>
        <v>0</v>
      </c>
      <c r="W73" s="447">
        <f>Tabla1[[#This Row],[CONSUMO POL CATIONICO (KG)]]</f>
        <v>4</v>
      </c>
      <c r="X73" s="467">
        <f t="shared" si="32"/>
        <v>220.873786407767</v>
      </c>
      <c r="Y73" s="473">
        <f t="shared" si="33"/>
        <v>192.96116504854368</v>
      </c>
      <c r="Z73" s="473">
        <f t="shared" si="34"/>
        <v>151.69902912621359</v>
      </c>
      <c r="AA73" s="473">
        <f t="shared" si="35"/>
        <v>0</v>
      </c>
      <c r="AB73" s="447">
        <f t="shared" si="36"/>
        <v>9.7087378640776691</v>
      </c>
      <c r="AC73" s="454">
        <v>1.3</v>
      </c>
      <c r="AD73" s="454">
        <v>1.325</v>
      </c>
      <c r="AE73" s="454">
        <v>1.25</v>
      </c>
      <c r="AF73" s="455">
        <v>2500</v>
      </c>
      <c r="AG73" s="456">
        <v>2500</v>
      </c>
      <c r="AH73" s="158">
        <v>830</v>
      </c>
      <c r="AI73" s="158">
        <v>2818</v>
      </c>
      <c r="AJ73" s="158">
        <v>6295</v>
      </c>
      <c r="AK73" s="158">
        <v>19050</v>
      </c>
      <c r="AL73" s="158">
        <v>22050</v>
      </c>
      <c r="AM73" s="468">
        <f t="shared" si="37"/>
        <v>75530</v>
      </c>
      <c r="AN73" s="474">
        <f t="shared" si="38"/>
        <v>224031</v>
      </c>
      <c r="AO73" s="474">
        <f t="shared" si="39"/>
        <v>393437.5</v>
      </c>
      <c r="AP73" s="474">
        <f t="shared" si="40"/>
        <v>0</v>
      </c>
      <c r="AQ73" s="475">
        <f t="shared" si="41"/>
        <v>88200</v>
      </c>
      <c r="AR73" s="468">
        <f>SUM(Tabla1[[#This Row],[COSTO OPERATIVO ACIDO]:[COSTO OPERATIVO CATIONICO]])</f>
        <v>781198.5</v>
      </c>
      <c r="AS73" s="458">
        <v>3599</v>
      </c>
      <c r="AT73" s="460">
        <f t="shared" si="42"/>
        <v>1896.1128640776699</v>
      </c>
    </row>
    <row r="74" spans="1:46" s="488" customFormat="1" ht="14.95" thickBot="1" x14ac:dyDescent="0.3">
      <c r="A74" s="213">
        <v>46106</v>
      </c>
      <c r="B74" s="157">
        <f>DAY(Tabla1[[#This Row],[FECHA]])</f>
        <v>25</v>
      </c>
      <c r="C74" s="448" t="s">
        <v>287</v>
      </c>
      <c r="D74" s="449">
        <v>73</v>
      </c>
      <c r="E74" s="449" t="s">
        <v>75</v>
      </c>
      <c r="F74" s="450">
        <v>2980</v>
      </c>
      <c r="G74" s="451">
        <v>4240</v>
      </c>
      <c r="H74" s="451">
        <v>3800</v>
      </c>
      <c r="I74" s="451">
        <f t="shared" si="27"/>
        <v>232</v>
      </c>
      <c r="J74" s="451">
        <f>+J73-4</f>
        <v>180</v>
      </c>
      <c r="K74" s="480">
        <v>17551</v>
      </c>
      <c r="L74" s="481">
        <f>+(K75-Tabla1[[#This Row],[Lectura Horometro INICIAL (06:00)]])*Tabla1[[#This Row],[CAUDAL DE TRATAMIENTO]]</f>
        <v>560</v>
      </c>
      <c r="M74" s="482">
        <v>80</v>
      </c>
      <c r="N74" s="442">
        <f t="shared" ref="N74:P76" si="45">F74-F75</f>
        <v>110</v>
      </c>
      <c r="O74" s="497">
        <f t="shared" si="45"/>
        <v>140</v>
      </c>
      <c r="P74" s="442">
        <f t="shared" si="45"/>
        <v>60</v>
      </c>
      <c r="Q74" s="442">
        <f t="shared" si="25"/>
        <v>5</v>
      </c>
      <c r="R74" s="443">
        <f t="shared" si="26"/>
        <v>5</v>
      </c>
      <c r="S74" s="452">
        <f t="shared" si="29"/>
        <v>143</v>
      </c>
      <c r="T74" s="453">
        <f t="shared" si="30"/>
        <v>185.5</v>
      </c>
      <c r="U74" s="453">
        <f t="shared" si="31"/>
        <v>75</v>
      </c>
      <c r="V74" s="453">
        <f>Tabla1[[#This Row],[CONSUMO POL ANIONICO (KG)]]</f>
        <v>5</v>
      </c>
      <c r="W74" s="443">
        <f>Tabla1[[#This Row],[CONSUMO POL CATIONICO (KG)]]</f>
        <v>5</v>
      </c>
      <c r="X74" s="452">
        <f t="shared" si="32"/>
        <v>255.35714285714286</v>
      </c>
      <c r="Y74" s="453">
        <f t="shared" si="33"/>
        <v>331.25</v>
      </c>
      <c r="Z74" s="453">
        <f t="shared" si="34"/>
        <v>133.92857142857142</v>
      </c>
      <c r="AA74" s="453">
        <f t="shared" si="35"/>
        <v>8.9285714285714288</v>
      </c>
      <c r="AB74" s="443">
        <f t="shared" si="36"/>
        <v>8.9285714285714288</v>
      </c>
      <c r="AC74" s="454">
        <v>1.3</v>
      </c>
      <c r="AD74" s="454">
        <v>1.325</v>
      </c>
      <c r="AE74" s="454">
        <v>1.25</v>
      </c>
      <c r="AF74" s="455">
        <v>2500</v>
      </c>
      <c r="AG74" s="456">
        <v>2500</v>
      </c>
      <c r="AH74" s="158">
        <v>830</v>
      </c>
      <c r="AI74" s="158">
        <v>2818</v>
      </c>
      <c r="AJ74" s="158">
        <v>6295</v>
      </c>
      <c r="AK74" s="158">
        <v>19050</v>
      </c>
      <c r="AL74" s="158">
        <v>22050</v>
      </c>
      <c r="AM74" s="457">
        <f t="shared" si="37"/>
        <v>118690</v>
      </c>
      <c r="AN74" s="458">
        <f t="shared" si="38"/>
        <v>522739</v>
      </c>
      <c r="AO74" s="458">
        <f t="shared" si="39"/>
        <v>472125</v>
      </c>
      <c r="AP74" s="458">
        <f t="shared" si="40"/>
        <v>95250</v>
      </c>
      <c r="AQ74" s="459">
        <f t="shared" si="41"/>
        <v>110250</v>
      </c>
      <c r="AR74" s="457">
        <f>SUM(Tabla1[[#This Row],[COSTO OPERATIVO ACIDO]:[COSTO OPERATIVO CATIONICO]])</f>
        <v>1319054</v>
      </c>
      <c r="AS74" s="458">
        <v>3599</v>
      </c>
      <c r="AT74" s="460">
        <f t="shared" si="42"/>
        <v>2355.4535714285716</v>
      </c>
    </row>
    <row r="75" spans="1:46" s="488" customFormat="1" ht="14.95" thickBot="1" x14ac:dyDescent="0.3">
      <c r="A75" s="461">
        <f>A74</f>
        <v>46106</v>
      </c>
      <c r="B75" s="157">
        <f>DAY(Tabla1[[#This Row],[FECHA]])</f>
        <v>25</v>
      </c>
      <c r="C75" s="462" t="s">
        <v>288</v>
      </c>
      <c r="D75" s="463">
        <v>74</v>
      </c>
      <c r="E75" s="463" t="s">
        <v>77</v>
      </c>
      <c r="F75" s="464">
        <v>2870</v>
      </c>
      <c r="G75" s="465">
        <v>4100</v>
      </c>
      <c r="H75" s="465">
        <v>3740</v>
      </c>
      <c r="I75" s="465">
        <f>+I74-5</f>
        <v>227</v>
      </c>
      <c r="J75" s="465">
        <f>+J74-5</f>
        <v>175</v>
      </c>
      <c r="K75" s="483">
        <v>17558</v>
      </c>
      <c r="L75" s="478">
        <f>+(K76-Tabla1[[#This Row],[Lectura Horometro INICIAL (06:00)]])*Tabla1[[#This Row],[CAUDAL DE TRATAMIENTO]]</f>
        <v>320</v>
      </c>
      <c r="M75" s="479">
        <v>80</v>
      </c>
      <c r="N75" s="444">
        <f t="shared" si="45"/>
        <v>70</v>
      </c>
      <c r="O75" s="498">
        <f>G75-G76</f>
        <v>100</v>
      </c>
      <c r="P75" s="444">
        <f t="shared" si="45"/>
        <v>30</v>
      </c>
      <c r="Q75" s="444">
        <f t="shared" si="25"/>
        <v>10</v>
      </c>
      <c r="R75" s="445">
        <f t="shared" si="26"/>
        <v>10</v>
      </c>
      <c r="S75" s="452">
        <f t="shared" si="29"/>
        <v>91</v>
      </c>
      <c r="T75" s="453">
        <f t="shared" si="30"/>
        <v>132.5</v>
      </c>
      <c r="U75" s="453">
        <f t="shared" si="31"/>
        <v>37.5</v>
      </c>
      <c r="V75" s="466">
        <f>Tabla1[[#This Row],[CONSUMO POL ANIONICO (KG)]]</f>
        <v>10</v>
      </c>
      <c r="W75" s="445">
        <f>Tabla1[[#This Row],[CONSUMO POL CATIONICO (KG)]]</f>
        <v>10</v>
      </c>
      <c r="X75" s="467">
        <f t="shared" si="32"/>
        <v>284.375</v>
      </c>
      <c r="Y75" s="466">
        <f t="shared" si="33"/>
        <v>414.0625</v>
      </c>
      <c r="Z75" s="466">
        <f t="shared" si="34"/>
        <v>117.1875</v>
      </c>
      <c r="AA75" s="466">
        <f t="shared" si="35"/>
        <v>31.25</v>
      </c>
      <c r="AB75" s="445">
        <f t="shared" si="36"/>
        <v>31.25</v>
      </c>
      <c r="AC75" s="454">
        <v>1.3</v>
      </c>
      <c r="AD75" s="454">
        <v>1.325</v>
      </c>
      <c r="AE75" s="454">
        <v>1.25</v>
      </c>
      <c r="AF75" s="455">
        <v>2500</v>
      </c>
      <c r="AG75" s="456">
        <v>2500</v>
      </c>
      <c r="AH75" s="158">
        <v>830</v>
      </c>
      <c r="AI75" s="158">
        <v>2818</v>
      </c>
      <c r="AJ75" s="158">
        <v>6295</v>
      </c>
      <c r="AK75" s="158">
        <v>19050</v>
      </c>
      <c r="AL75" s="158">
        <v>22050</v>
      </c>
      <c r="AM75" s="468">
        <f t="shared" si="37"/>
        <v>75530</v>
      </c>
      <c r="AN75" s="460">
        <f t="shared" si="38"/>
        <v>373385</v>
      </c>
      <c r="AO75" s="460">
        <f t="shared" si="39"/>
        <v>236062.5</v>
      </c>
      <c r="AP75" s="460">
        <f t="shared" si="40"/>
        <v>190500</v>
      </c>
      <c r="AQ75" s="469">
        <f t="shared" si="41"/>
        <v>220500</v>
      </c>
      <c r="AR75" s="468">
        <f>SUM(Tabla1[[#This Row],[COSTO OPERATIVO ACIDO]:[COSTO OPERATIVO CATIONICO]])</f>
        <v>1095977.5</v>
      </c>
      <c r="AS75" s="458">
        <v>3599</v>
      </c>
      <c r="AT75" s="460">
        <f t="shared" si="42"/>
        <v>3424.9296875</v>
      </c>
    </row>
    <row r="76" spans="1:46" s="488" customFormat="1" ht="14.95" thickBot="1" x14ac:dyDescent="0.3">
      <c r="A76" s="470">
        <f>A75</f>
        <v>46106</v>
      </c>
      <c r="B76" s="157">
        <f>DAY(Tabla1[[#This Row],[FECHA]])</f>
        <v>25</v>
      </c>
      <c r="C76" s="471" t="s">
        <v>30</v>
      </c>
      <c r="D76" s="472">
        <v>75</v>
      </c>
      <c r="E76" s="472" t="s">
        <v>76</v>
      </c>
      <c r="F76" s="464">
        <v>2800</v>
      </c>
      <c r="G76" s="465">
        <v>4000</v>
      </c>
      <c r="H76" s="465">
        <v>3710</v>
      </c>
      <c r="I76" s="465">
        <f>+I75-10</f>
        <v>217</v>
      </c>
      <c r="J76" s="465">
        <f>+J75-10</f>
        <v>165</v>
      </c>
      <c r="K76" s="484">
        <v>17562</v>
      </c>
      <c r="L76" s="485">
        <f>+(K77-Tabla1[[#This Row],[Lectura Horometro INICIAL (06:00)]])*Tabla1[[#This Row],[CAUDAL DE TRATAMIENTO]]</f>
        <v>320</v>
      </c>
      <c r="M76" s="486">
        <v>80</v>
      </c>
      <c r="N76" s="446">
        <f t="shared" si="45"/>
        <v>100</v>
      </c>
      <c r="O76" s="499">
        <f t="shared" si="45"/>
        <v>70</v>
      </c>
      <c r="P76" s="446">
        <f t="shared" si="45"/>
        <v>30</v>
      </c>
      <c r="Q76" s="446">
        <f t="shared" si="25"/>
        <v>5</v>
      </c>
      <c r="R76" s="447">
        <f t="shared" si="26"/>
        <v>5</v>
      </c>
      <c r="S76" s="452">
        <f t="shared" si="29"/>
        <v>130</v>
      </c>
      <c r="T76" s="453">
        <f t="shared" si="30"/>
        <v>92.75</v>
      </c>
      <c r="U76" s="453">
        <f t="shared" si="31"/>
        <v>37.5</v>
      </c>
      <c r="V76" s="473">
        <f>Tabla1[[#This Row],[CONSUMO POL ANIONICO (KG)]]</f>
        <v>5</v>
      </c>
      <c r="W76" s="447">
        <f>Tabla1[[#This Row],[CONSUMO POL CATIONICO (KG)]]</f>
        <v>5</v>
      </c>
      <c r="X76" s="467">
        <f t="shared" si="32"/>
        <v>406.25</v>
      </c>
      <c r="Y76" s="473">
        <f t="shared" si="33"/>
        <v>289.84375</v>
      </c>
      <c r="Z76" s="473">
        <f t="shared" si="34"/>
        <v>117.1875</v>
      </c>
      <c r="AA76" s="473">
        <f t="shared" si="35"/>
        <v>15.625</v>
      </c>
      <c r="AB76" s="447">
        <f t="shared" si="36"/>
        <v>15.625</v>
      </c>
      <c r="AC76" s="454">
        <v>1.3</v>
      </c>
      <c r="AD76" s="454">
        <v>1.325</v>
      </c>
      <c r="AE76" s="454">
        <v>1.25</v>
      </c>
      <c r="AF76" s="455">
        <v>2500</v>
      </c>
      <c r="AG76" s="456">
        <v>2500</v>
      </c>
      <c r="AH76" s="158">
        <v>830</v>
      </c>
      <c r="AI76" s="158">
        <v>2818</v>
      </c>
      <c r="AJ76" s="158">
        <v>6295</v>
      </c>
      <c r="AK76" s="158">
        <v>19050</v>
      </c>
      <c r="AL76" s="158">
        <v>22050</v>
      </c>
      <c r="AM76" s="468">
        <f t="shared" si="37"/>
        <v>107900</v>
      </c>
      <c r="AN76" s="474">
        <f t="shared" si="38"/>
        <v>261369.5</v>
      </c>
      <c r="AO76" s="474">
        <f t="shared" si="39"/>
        <v>236062.5</v>
      </c>
      <c r="AP76" s="474">
        <f t="shared" si="40"/>
        <v>95250</v>
      </c>
      <c r="AQ76" s="475">
        <f t="shared" si="41"/>
        <v>110250</v>
      </c>
      <c r="AR76" s="468">
        <f>SUM(Tabla1[[#This Row],[COSTO OPERATIVO ACIDO]:[COSTO OPERATIVO CATIONICO]])</f>
        <v>810832</v>
      </c>
      <c r="AS76" s="458">
        <v>3599</v>
      </c>
      <c r="AT76" s="460">
        <f>AR76/L76</f>
        <v>2533.85</v>
      </c>
    </row>
    <row r="77" spans="1:46" ht="14.95" thickBot="1" x14ac:dyDescent="0.3">
      <c r="A77" s="213">
        <v>46107</v>
      </c>
      <c r="B77" s="157">
        <f>DAY(Tabla1[[#This Row],[FECHA]])</f>
        <v>26</v>
      </c>
      <c r="C77" s="448" t="s">
        <v>289</v>
      </c>
      <c r="D77" s="449">
        <v>76</v>
      </c>
      <c r="E77" s="449" t="s">
        <v>75</v>
      </c>
      <c r="F77" s="450">
        <v>2700</v>
      </c>
      <c r="G77" s="451">
        <v>3930</v>
      </c>
      <c r="H77" s="451">
        <v>3680</v>
      </c>
      <c r="I77" s="451">
        <f>+I76-5</f>
        <v>212</v>
      </c>
      <c r="J77" s="451">
        <f>+J76-5</f>
        <v>160</v>
      </c>
      <c r="K77" s="480">
        <v>17566</v>
      </c>
      <c r="L77" s="481">
        <f>+(K78-Tabla1[[#This Row],[Lectura Horometro INICIAL (06:00)]])*Tabla1[[#This Row],[CAUDAL DE TRATAMIENTO]]</f>
        <v>480</v>
      </c>
      <c r="M77" s="482">
        <v>80</v>
      </c>
      <c r="N77" s="442">
        <f t="shared" si="43"/>
        <v>50</v>
      </c>
      <c r="O77" s="497">
        <f>G77-G78</f>
        <v>30</v>
      </c>
      <c r="P77" s="442">
        <f>H77-H78</f>
        <v>30</v>
      </c>
      <c r="Q77" s="442">
        <f t="shared" si="25"/>
        <v>5</v>
      </c>
      <c r="R77" s="443">
        <f t="shared" si="26"/>
        <v>5</v>
      </c>
      <c r="S77" s="452">
        <f t="shared" si="29"/>
        <v>65</v>
      </c>
      <c r="T77" s="453">
        <f t="shared" si="30"/>
        <v>39.75</v>
      </c>
      <c r="U77" s="453">
        <f t="shared" si="31"/>
        <v>37.5</v>
      </c>
      <c r="V77" s="453">
        <f>Tabla1[[#This Row],[CONSUMO POL ANIONICO (KG)]]</f>
        <v>5</v>
      </c>
      <c r="W77" s="443">
        <f>Tabla1[[#This Row],[CONSUMO POL CATIONICO (KG)]]</f>
        <v>5</v>
      </c>
      <c r="X77" s="452">
        <f t="shared" si="32"/>
        <v>135.41666666666666</v>
      </c>
      <c r="Y77" s="453">
        <f t="shared" si="33"/>
        <v>82.8125</v>
      </c>
      <c r="Z77" s="453">
        <f t="shared" si="34"/>
        <v>78.125</v>
      </c>
      <c r="AA77" s="453">
        <f t="shared" si="35"/>
        <v>10.416666666666666</v>
      </c>
      <c r="AB77" s="443">
        <f t="shared" si="36"/>
        <v>10.416666666666666</v>
      </c>
      <c r="AC77" s="454">
        <v>1.3</v>
      </c>
      <c r="AD77" s="454">
        <v>1.325</v>
      </c>
      <c r="AE77" s="454">
        <v>1.25</v>
      </c>
      <c r="AF77" s="455">
        <v>2500</v>
      </c>
      <c r="AG77" s="456">
        <v>2500</v>
      </c>
      <c r="AH77" s="158">
        <v>830</v>
      </c>
      <c r="AI77" s="158">
        <v>2818</v>
      </c>
      <c r="AJ77" s="158">
        <v>6295</v>
      </c>
      <c r="AK77" s="158">
        <v>19050</v>
      </c>
      <c r="AL77" s="158">
        <v>22050</v>
      </c>
      <c r="AM77" s="457">
        <f t="shared" si="37"/>
        <v>53950</v>
      </c>
      <c r="AN77" s="458">
        <f t="shared" si="38"/>
        <v>112015.5</v>
      </c>
      <c r="AO77" s="458">
        <f t="shared" si="39"/>
        <v>236062.5</v>
      </c>
      <c r="AP77" s="458">
        <f t="shared" si="40"/>
        <v>95250</v>
      </c>
      <c r="AQ77" s="459">
        <f t="shared" si="41"/>
        <v>110250</v>
      </c>
      <c r="AR77" s="457">
        <f>SUM(Tabla1[[#This Row],[COSTO OPERATIVO ACIDO]:[COSTO OPERATIVO CATIONICO]])</f>
        <v>607528</v>
      </c>
      <c r="AS77" s="458">
        <v>3599</v>
      </c>
      <c r="AT77" s="460">
        <f t="shared" si="42"/>
        <v>1265.6833333333334</v>
      </c>
    </row>
    <row r="78" spans="1:46" ht="14.95" thickBot="1" x14ac:dyDescent="0.3">
      <c r="A78" s="461">
        <f>A77</f>
        <v>46107</v>
      </c>
      <c r="B78" s="157">
        <f>DAY(Tabla1[[#This Row],[FECHA]])</f>
        <v>26</v>
      </c>
      <c r="C78" s="462" t="s">
        <v>290</v>
      </c>
      <c r="D78" s="463">
        <v>77</v>
      </c>
      <c r="E78" s="463" t="s">
        <v>77</v>
      </c>
      <c r="F78" s="464">
        <v>2650</v>
      </c>
      <c r="G78" s="465">
        <v>3900</v>
      </c>
      <c r="H78" s="465">
        <v>3650</v>
      </c>
      <c r="I78" s="465">
        <f>+I77-5</f>
        <v>207</v>
      </c>
      <c r="J78" s="465">
        <f>+J77-5</f>
        <v>155</v>
      </c>
      <c r="K78" s="483">
        <v>17572</v>
      </c>
      <c r="L78" s="478">
        <f>+(K79-Tabla1[[#This Row],[Lectura Horometro INICIAL (06:00)]])*Tabla1[[#This Row],[CAUDAL DE TRATAMIENTO]]</f>
        <v>400</v>
      </c>
      <c r="M78" s="479">
        <v>80</v>
      </c>
      <c r="N78" s="444">
        <f t="shared" si="43"/>
        <v>100</v>
      </c>
      <c r="O78" s="516">
        <f>G78-G79-100</f>
        <v>100</v>
      </c>
      <c r="P78" s="444">
        <f t="shared" ref="P78:P95" si="46">H78-H79</f>
        <v>40</v>
      </c>
      <c r="Q78" s="444">
        <f t="shared" si="25"/>
        <v>0</v>
      </c>
      <c r="R78" s="445">
        <f t="shared" si="26"/>
        <v>10</v>
      </c>
      <c r="S78" s="452">
        <f t="shared" si="29"/>
        <v>130</v>
      </c>
      <c r="T78" s="453">
        <f t="shared" si="30"/>
        <v>132.5</v>
      </c>
      <c r="U78" s="453">
        <f t="shared" si="31"/>
        <v>50</v>
      </c>
      <c r="V78" s="466">
        <f>Tabla1[[#This Row],[CONSUMO POL ANIONICO (KG)]]</f>
        <v>0</v>
      </c>
      <c r="W78" s="445">
        <f>Tabla1[[#This Row],[CONSUMO POL CATIONICO (KG)]]</f>
        <v>10</v>
      </c>
      <c r="X78" s="467">
        <f t="shared" si="32"/>
        <v>325</v>
      </c>
      <c r="Y78" s="466">
        <f t="shared" si="33"/>
        <v>331.25</v>
      </c>
      <c r="Z78" s="466">
        <f t="shared" si="34"/>
        <v>125</v>
      </c>
      <c r="AA78" s="466">
        <f t="shared" si="35"/>
        <v>0</v>
      </c>
      <c r="AB78" s="445">
        <f t="shared" si="36"/>
        <v>25</v>
      </c>
      <c r="AC78" s="454">
        <v>1.3</v>
      </c>
      <c r="AD78" s="454">
        <v>1.325</v>
      </c>
      <c r="AE78" s="454">
        <v>1.25</v>
      </c>
      <c r="AF78" s="455">
        <v>2500</v>
      </c>
      <c r="AG78" s="456">
        <v>2500</v>
      </c>
      <c r="AH78" s="158">
        <v>830</v>
      </c>
      <c r="AI78" s="158">
        <v>2818</v>
      </c>
      <c r="AJ78" s="158">
        <v>6295</v>
      </c>
      <c r="AK78" s="158">
        <v>19050</v>
      </c>
      <c r="AL78" s="158">
        <v>22050</v>
      </c>
      <c r="AM78" s="468">
        <f t="shared" si="37"/>
        <v>107900</v>
      </c>
      <c r="AN78" s="460">
        <f t="shared" si="38"/>
        <v>373385</v>
      </c>
      <c r="AO78" s="460">
        <f t="shared" si="39"/>
        <v>314750</v>
      </c>
      <c r="AP78" s="460">
        <f t="shared" si="40"/>
        <v>0</v>
      </c>
      <c r="AQ78" s="469">
        <f t="shared" si="41"/>
        <v>220500</v>
      </c>
      <c r="AR78" s="468">
        <f>SUM(Tabla1[[#This Row],[COSTO OPERATIVO ACIDO]:[COSTO OPERATIVO CATIONICO]])</f>
        <v>1016535</v>
      </c>
      <c r="AS78" s="458">
        <v>3599</v>
      </c>
      <c r="AT78" s="460">
        <f t="shared" si="42"/>
        <v>2541.3375000000001</v>
      </c>
    </row>
    <row r="79" spans="1:46" ht="14.95" thickBot="1" x14ac:dyDescent="0.3">
      <c r="A79" s="470">
        <f>A78</f>
        <v>46107</v>
      </c>
      <c r="B79" s="157">
        <f>DAY(Tabla1[[#This Row],[FECHA]])</f>
        <v>26</v>
      </c>
      <c r="C79" s="471" t="s">
        <v>30</v>
      </c>
      <c r="D79" s="472">
        <v>78</v>
      </c>
      <c r="E79" s="472" t="s">
        <v>76</v>
      </c>
      <c r="F79" s="464">
        <v>2550</v>
      </c>
      <c r="G79" s="465">
        <v>3700</v>
      </c>
      <c r="H79" s="465">
        <v>3610</v>
      </c>
      <c r="I79" s="465">
        <f>+I78-0</f>
        <v>207</v>
      </c>
      <c r="J79" s="465">
        <f>+J78-10</f>
        <v>145</v>
      </c>
      <c r="K79" s="484">
        <v>17577</v>
      </c>
      <c r="L79" s="485">
        <f>+(K80-Tabla1[[#This Row],[Lectura Horometro INICIAL (06:00)]])*Tabla1[[#This Row],[CAUDAL DE TRATAMIENTO]]</f>
        <v>480</v>
      </c>
      <c r="M79" s="486">
        <v>80</v>
      </c>
      <c r="N79" s="446">
        <f>F79-F80</f>
        <v>150</v>
      </c>
      <c r="O79" s="499">
        <f>G79-G80</f>
        <v>80</v>
      </c>
      <c r="P79" s="446">
        <f t="shared" si="46"/>
        <v>30</v>
      </c>
      <c r="Q79" s="446">
        <f t="shared" ref="Q79:Q95" si="47">I79-I80</f>
        <v>5</v>
      </c>
      <c r="R79" s="447">
        <f t="shared" ref="R79:R95" si="48">J79-J80</f>
        <v>5</v>
      </c>
      <c r="S79" s="452">
        <f t="shared" si="29"/>
        <v>195</v>
      </c>
      <c r="T79" s="453">
        <f t="shared" si="30"/>
        <v>106</v>
      </c>
      <c r="U79" s="453">
        <f t="shared" si="31"/>
        <v>37.5</v>
      </c>
      <c r="V79" s="473">
        <f>Tabla1[[#This Row],[CONSUMO POL ANIONICO (KG)]]</f>
        <v>5</v>
      </c>
      <c r="W79" s="447">
        <f>Tabla1[[#This Row],[CONSUMO POL CATIONICO (KG)]]</f>
        <v>5</v>
      </c>
      <c r="X79" s="467">
        <f t="shared" si="32"/>
        <v>406.25</v>
      </c>
      <c r="Y79" s="473">
        <f t="shared" si="33"/>
        <v>220.83333333333334</v>
      </c>
      <c r="Z79" s="473">
        <f t="shared" si="34"/>
        <v>78.125</v>
      </c>
      <c r="AA79" s="473">
        <f t="shared" si="35"/>
        <v>10.416666666666666</v>
      </c>
      <c r="AB79" s="447">
        <f t="shared" si="36"/>
        <v>10.416666666666666</v>
      </c>
      <c r="AC79" s="454">
        <v>1.3</v>
      </c>
      <c r="AD79" s="454">
        <v>1.325</v>
      </c>
      <c r="AE79" s="454">
        <v>1.25</v>
      </c>
      <c r="AF79" s="455">
        <v>2500</v>
      </c>
      <c r="AG79" s="456">
        <v>2500</v>
      </c>
      <c r="AH79" s="158">
        <v>830</v>
      </c>
      <c r="AI79" s="158">
        <v>2818</v>
      </c>
      <c r="AJ79" s="158">
        <v>6295</v>
      </c>
      <c r="AK79" s="158">
        <v>19050</v>
      </c>
      <c r="AL79" s="158">
        <v>22050</v>
      </c>
      <c r="AM79" s="468">
        <f t="shared" si="37"/>
        <v>161850</v>
      </c>
      <c r="AN79" s="474">
        <f t="shared" si="38"/>
        <v>298708</v>
      </c>
      <c r="AO79" s="474">
        <f t="shared" si="39"/>
        <v>236062.5</v>
      </c>
      <c r="AP79" s="474">
        <f t="shared" si="40"/>
        <v>95250</v>
      </c>
      <c r="AQ79" s="475">
        <f t="shared" si="41"/>
        <v>110250</v>
      </c>
      <c r="AR79" s="468">
        <f>SUM(Tabla1[[#This Row],[COSTO OPERATIVO ACIDO]:[COSTO OPERATIVO CATIONICO]])</f>
        <v>902120.5</v>
      </c>
      <c r="AS79" s="458">
        <v>3599</v>
      </c>
      <c r="AT79" s="460">
        <f t="shared" si="42"/>
        <v>1879.4177083333334</v>
      </c>
    </row>
    <row r="80" spans="1:46" ht="14.95" thickBot="1" x14ac:dyDescent="0.3">
      <c r="A80" s="213">
        <v>46108</v>
      </c>
      <c r="B80" s="157">
        <f>DAY(Tabla1[[#This Row],[FECHA]])</f>
        <v>27</v>
      </c>
      <c r="C80" s="448" t="s">
        <v>291</v>
      </c>
      <c r="D80" s="449">
        <v>79</v>
      </c>
      <c r="E80" s="449" t="s">
        <v>75</v>
      </c>
      <c r="F80" s="450">
        <v>2400</v>
      </c>
      <c r="G80" s="451">
        <v>3620</v>
      </c>
      <c r="H80" s="451">
        <v>3580</v>
      </c>
      <c r="I80" s="465">
        <f>+I79-5</f>
        <v>202</v>
      </c>
      <c r="J80" s="465">
        <f>+J79-5</f>
        <v>140</v>
      </c>
      <c r="K80" s="480">
        <v>17583</v>
      </c>
      <c r="L80" s="481">
        <f>+(K81-Tabla1[[#This Row],[Lectura Horometro INICIAL (06:00)]])*Tabla1[[#This Row],[CAUDAL DE TRATAMIENTO]]</f>
        <v>480</v>
      </c>
      <c r="M80" s="482">
        <v>80</v>
      </c>
      <c r="N80" s="442">
        <f t="shared" si="43"/>
        <v>60</v>
      </c>
      <c r="O80" s="497">
        <f t="shared" si="44"/>
        <v>140</v>
      </c>
      <c r="P80" s="442">
        <f t="shared" si="46"/>
        <v>40</v>
      </c>
      <c r="Q80" s="442">
        <f t="shared" si="47"/>
        <v>0</v>
      </c>
      <c r="R80" s="443">
        <f t="shared" si="48"/>
        <v>5</v>
      </c>
      <c r="S80" s="452">
        <f t="shared" si="29"/>
        <v>78</v>
      </c>
      <c r="T80" s="453">
        <f t="shared" si="30"/>
        <v>185.5</v>
      </c>
      <c r="U80" s="453">
        <f t="shared" si="31"/>
        <v>50</v>
      </c>
      <c r="V80" s="453">
        <f>Tabla1[[#This Row],[CONSUMO POL ANIONICO (KG)]]</f>
        <v>0</v>
      </c>
      <c r="W80" s="443">
        <f>Tabla1[[#This Row],[CONSUMO POL CATIONICO (KG)]]</f>
        <v>5</v>
      </c>
      <c r="X80" s="452">
        <f t="shared" si="32"/>
        <v>162.5</v>
      </c>
      <c r="Y80" s="453">
        <f t="shared" si="33"/>
        <v>386.45833333333331</v>
      </c>
      <c r="Z80" s="453">
        <f t="shared" si="34"/>
        <v>104.16666666666667</v>
      </c>
      <c r="AA80" s="453">
        <f t="shared" si="35"/>
        <v>0</v>
      </c>
      <c r="AB80" s="443">
        <f t="shared" si="36"/>
        <v>10.416666666666666</v>
      </c>
      <c r="AC80" s="454">
        <v>1.3</v>
      </c>
      <c r="AD80" s="454">
        <v>1.325</v>
      </c>
      <c r="AE80" s="454">
        <v>1.25</v>
      </c>
      <c r="AF80" s="455">
        <v>2500</v>
      </c>
      <c r="AG80" s="456">
        <v>2500</v>
      </c>
      <c r="AH80" s="158">
        <v>830</v>
      </c>
      <c r="AI80" s="158">
        <v>2818</v>
      </c>
      <c r="AJ80" s="158">
        <v>6295</v>
      </c>
      <c r="AK80" s="158">
        <v>19050</v>
      </c>
      <c r="AL80" s="158">
        <v>22050</v>
      </c>
      <c r="AM80" s="457">
        <f t="shared" si="37"/>
        <v>64740</v>
      </c>
      <c r="AN80" s="458">
        <f t="shared" si="38"/>
        <v>522739</v>
      </c>
      <c r="AO80" s="458">
        <f t="shared" si="39"/>
        <v>314750</v>
      </c>
      <c r="AP80" s="458">
        <f t="shared" si="40"/>
        <v>0</v>
      </c>
      <c r="AQ80" s="459">
        <f t="shared" si="41"/>
        <v>110250</v>
      </c>
      <c r="AR80" s="457">
        <f>SUM(Tabla1[[#This Row],[COSTO OPERATIVO ACIDO]:[COSTO OPERATIVO CATIONICO]])</f>
        <v>1012479</v>
      </c>
      <c r="AS80" s="458">
        <v>3599</v>
      </c>
      <c r="AT80" s="460">
        <f t="shared" si="42"/>
        <v>2109.3312500000002</v>
      </c>
    </row>
    <row r="81" spans="1:46" ht="14.95" thickBot="1" x14ac:dyDescent="0.3">
      <c r="A81" s="461">
        <f>A80</f>
        <v>46108</v>
      </c>
      <c r="B81" s="157">
        <f>DAY(Tabla1[[#This Row],[FECHA]])</f>
        <v>27</v>
      </c>
      <c r="C81" s="462" t="s">
        <v>292</v>
      </c>
      <c r="D81" s="463">
        <v>80</v>
      </c>
      <c r="E81" s="463" t="s">
        <v>77</v>
      </c>
      <c r="F81" s="464">
        <v>2340</v>
      </c>
      <c r="G81" s="465">
        <v>3480</v>
      </c>
      <c r="H81" s="465">
        <v>3540</v>
      </c>
      <c r="I81" s="465">
        <f>+I80-0</f>
        <v>202</v>
      </c>
      <c r="J81" s="465">
        <f>+J80-5</f>
        <v>135</v>
      </c>
      <c r="K81" s="483">
        <v>17589</v>
      </c>
      <c r="L81" s="478">
        <f>+(K82-Tabla1[[#This Row],[Lectura Horometro INICIAL (06:00)]])*Tabla1[[#This Row],[CAUDAL DE TRATAMIENTO]]</f>
        <v>160</v>
      </c>
      <c r="M81" s="479">
        <v>80</v>
      </c>
      <c r="N81" s="444">
        <f t="shared" si="43"/>
        <v>90</v>
      </c>
      <c r="O81" s="498">
        <f t="shared" si="44"/>
        <v>130</v>
      </c>
      <c r="P81" s="444">
        <f t="shared" si="46"/>
        <v>40</v>
      </c>
      <c r="Q81" s="444">
        <f t="shared" si="47"/>
        <v>0</v>
      </c>
      <c r="R81" s="445">
        <f t="shared" si="48"/>
        <v>0</v>
      </c>
      <c r="S81" s="452">
        <f t="shared" si="29"/>
        <v>117</v>
      </c>
      <c r="T81" s="453">
        <f t="shared" si="30"/>
        <v>172.25</v>
      </c>
      <c r="U81" s="453">
        <f t="shared" si="31"/>
        <v>50</v>
      </c>
      <c r="V81" s="466">
        <f>Tabla1[[#This Row],[CONSUMO POL ANIONICO (KG)]]</f>
        <v>0</v>
      </c>
      <c r="W81" s="445">
        <f>Tabla1[[#This Row],[CONSUMO POL CATIONICO (KG)]]</f>
        <v>0</v>
      </c>
      <c r="X81" s="467">
        <f t="shared" si="32"/>
        <v>731.25</v>
      </c>
      <c r="Y81" s="466">
        <f t="shared" si="33"/>
        <v>1076.5625</v>
      </c>
      <c r="Z81" s="466">
        <f t="shared" si="34"/>
        <v>312.5</v>
      </c>
      <c r="AA81" s="466">
        <f t="shared" si="35"/>
        <v>0</v>
      </c>
      <c r="AB81" s="445">
        <f t="shared" si="36"/>
        <v>0</v>
      </c>
      <c r="AC81" s="454">
        <v>1.3</v>
      </c>
      <c r="AD81" s="454">
        <v>1.325</v>
      </c>
      <c r="AE81" s="454">
        <v>1.25</v>
      </c>
      <c r="AF81" s="455">
        <v>2500</v>
      </c>
      <c r="AG81" s="456">
        <v>2500</v>
      </c>
      <c r="AH81" s="158">
        <v>830</v>
      </c>
      <c r="AI81" s="158">
        <v>2818</v>
      </c>
      <c r="AJ81" s="158">
        <v>6295</v>
      </c>
      <c r="AK81" s="158">
        <v>19050</v>
      </c>
      <c r="AL81" s="158">
        <v>22050</v>
      </c>
      <c r="AM81" s="468">
        <f t="shared" si="37"/>
        <v>97110</v>
      </c>
      <c r="AN81" s="460">
        <f t="shared" si="38"/>
        <v>485400.5</v>
      </c>
      <c r="AO81" s="460">
        <f t="shared" si="39"/>
        <v>314750</v>
      </c>
      <c r="AP81" s="460">
        <f t="shared" si="40"/>
        <v>0</v>
      </c>
      <c r="AQ81" s="469">
        <f t="shared" si="41"/>
        <v>0</v>
      </c>
      <c r="AR81" s="468">
        <f>SUM(Tabla1[[#This Row],[COSTO OPERATIVO ACIDO]:[COSTO OPERATIVO CATIONICO]])</f>
        <v>897260.5</v>
      </c>
      <c r="AS81" s="458">
        <v>3599</v>
      </c>
      <c r="AT81" s="460">
        <f t="shared" si="42"/>
        <v>5607.8781250000002</v>
      </c>
    </row>
    <row r="82" spans="1:46" ht="14.95" thickBot="1" x14ac:dyDescent="0.3">
      <c r="A82" s="470">
        <f>A81</f>
        <v>46108</v>
      </c>
      <c r="B82" s="157">
        <f>DAY(Tabla1[[#This Row],[FECHA]])</f>
        <v>27</v>
      </c>
      <c r="C82" s="471" t="s">
        <v>30</v>
      </c>
      <c r="D82" s="472">
        <v>81</v>
      </c>
      <c r="E82" s="472" t="s">
        <v>76</v>
      </c>
      <c r="F82" s="464">
        <v>2250</v>
      </c>
      <c r="G82" s="465">
        <v>3350</v>
      </c>
      <c r="H82" s="465">
        <v>3500</v>
      </c>
      <c r="I82" s="465">
        <f>+I81-0</f>
        <v>202</v>
      </c>
      <c r="J82" s="465">
        <f>+J81-0</f>
        <v>135</v>
      </c>
      <c r="K82" s="484">
        <v>17591</v>
      </c>
      <c r="L82" s="485">
        <f>+(K83-Tabla1[[#This Row],[Lectura Horometro INICIAL (06:00)]])*Tabla1[[#This Row],[CAUDAL DE TRATAMIENTO]]</f>
        <v>480</v>
      </c>
      <c r="M82" s="486">
        <v>80</v>
      </c>
      <c r="N82" s="511">
        <f>F82-F83+1000</f>
        <v>100</v>
      </c>
      <c r="O82" s="512">
        <f>G82-G83+3000</f>
        <v>60</v>
      </c>
      <c r="P82" s="511">
        <f>H82-H83+1000</f>
        <v>50</v>
      </c>
      <c r="Q82" s="446">
        <f t="shared" si="47"/>
        <v>0</v>
      </c>
      <c r="R82" s="515">
        <f>J82-J83+25</f>
        <v>5</v>
      </c>
      <c r="S82" s="452">
        <f t="shared" si="29"/>
        <v>130</v>
      </c>
      <c r="T82" s="453">
        <f t="shared" si="30"/>
        <v>79.5</v>
      </c>
      <c r="U82" s="453">
        <f t="shared" si="31"/>
        <v>62.5</v>
      </c>
      <c r="V82" s="473">
        <f>Tabla1[[#This Row],[CONSUMO POL ANIONICO (KG)]]</f>
        <v>0</v>
      </c>
      <c r="W82" s="447">
        <f>Tabla1[[#This Row],[CONSUMO POL CATIONICO (KG)]]</f>
        <v>5</v>
      </c>
      <c r="X82" s="467">
        <f t="shared" si="32"/>
        <v>270.83333333333331</v>
      </c>
      <c r="Y82" s="473">
        <f t="shared" si="33"/>
        <v>165.625</v>
      </c>
      <c r="Z82" s="473">
        <f t="shared" si="34"/>
        <v>130.20833333333334</v>
      </c>
      <c r="AA82" s="473">
        <f t="shared" si="35"/>
        <v>0</v>
      </c>
      <c r="AB82" s="447">
        <f t="shared" si="36"/>
        <v>10.416666666666666</v>
      </c>
      <c r="AC82" s="454">
        <v>1.3</v>
      </c>
      <c r="AD82" s="454">
        <v>1.325</v>
      </c>
      <c r="AE82" s="454">
        <v>1.25</v>
      </c>
      <c r="AF82" s="455">
        <v>2500</v>
      </c>
      <c r="AG82" s="456">
        <v>2500</v>
      </c>
      <c r="AH82" s="158">
        <v>830</v>
      </c>
      <c r="AI82" s="158">
        <v>2818</v>
      </c>
      <c r="AJ82" s="158">
        <v>6295</v>
      </c>
      <c r="AK82" s="158">
        <v>19050</v>
      </c>
      <c r="AL82" s="158">
        <v>22050</v>
      </c>
      <c r="AM82" s="468">
        <f t="shared" si="37"/>
        <v>107900</v>
      </c>
      <c r="AN82" s="474">
        <f t="shared" si="38"/>
        <v>224031</v>
      </c>
      <c r="AO82" s="474">
        <f t="shared" si="39"/>
        <v>393437.5</v>
      </c>
      <c r="AP82" s="474">
        <f t="shared" si="40"/>
        <v>0</v>
      </c>
      <c r="AQ82" s="475">
        <f t="shared" si="41"/>
        <v>110250</v>
      </c>
      <c r="AR82" s="468">
        <f>SUM(Tabla1[[#This Row],[COSTO OPERATIVO ACIDO]:[COSTO OPERATIVO CATIONICO]])</f>
        <v>835618.5</v>
      </c>
      <c r="AS82" s="458">
        <v>3599</v>
      </c>
      <c r="AT82" s="460">
        <f t="shared" si="42"/>
        <v>1740.871875</v>
      </c>
    </row>
    <row r="83" spans="1:46" ht="14.3" customHeight="1" thickBot="1" x14ac:dyDescent="0.3">
      <c r="A83" s="213">
        <v>46109</v>
      </c>
      <c r="B83" s="157">
        <f>DAY(Tabla1[[#This Row],[FECHA]])</f>
        <v>28</v>
      </c>
      <c r="C83" s="448" t="s">
        <v>293</v>
      </c>
      <c r="D83" s="449">
        <v>82</v>
      </c>
      <c r="E83" s="449" t="s">
        <v>75</v>
      </c>
      <c r="F83" s="450">
        <v>3150</v>
      </c>
      <c r="G83" s="451">
        <v>6290</v>
      </c>
      <c r="H83" s="451">
        <v>4450</v>
      </c>
      <c r="I83" s="465">
        <f t="shared" ref="I83:I87" si="49">+I82-0</f>
        <v>202</v>
      </c>
      <c r="J83" s="465">
        <f>+J82-5+25</f>
        <v>155</v>
      </c>
      <c r="K83" s="480">
        <v>17597</v>
      </c>
      <c r="L83" s="481">
        <f>+(K84-Tabla1[[#This Row],[Lectura Horometro INICIAL (06:00)]])*Tabla1[[#This Row],[CAUDAL DE TRATAMIENTO]]</f>
        <v>560</v>
      </c>
      <c r="M83" s="482">
        <v>80</v>
      </c>
      <c r="N83" s="442">
        <f>F83-F84</f>
        <v>130</v>
      </c>
      <c r="O83" s="497">
        <f t="shared" si="44"/>
        <v>190</v>
      </c>
      <c r="P83" s="442">
        <f t="shared" si="46"/>
        <v>80</v>
      </c>
      <c r="Q83" s="442">
        <f t="shared" si="47"/>
        <v>5</v>
      </c>
      <c r="R83" s="443">
        <f t="shared" si="48"/>
        <v>10</v>
      </c>
      <c r="S83" s="452">
        <f t="shared" si="29"/>
        <v>169</v>
      </c>
      <c r="T83" s="453">
        <f t="shared" si="30"/>
        <v>251.75</v>
      </c>
      <c r="U83" s="453">
        <f t="shared" si="31"/>
        <v>100</v>
      </c>
      <c r="V83" s="453">
        <f>Tabla1[[#This Row],[CONSUMO POL ANIONICO (KG)]]</f>
        <v>5</v>
      </c>
      <c r="W83" s="443">
        <f>Tabla1[[#This Row],[CONSUMO POL CATIONICO (KG)]]</f>
        <v>10</v>
      </c>
      <c r="X83" s="452">
        <f t="shared" si="32"/>
        <v>301.78571428571428</v>
      </c>
      <c r="Y83" s="453">
        <f t="shared" si="33"/>
        <v>449.55357142857144</v>
      </c>
      <c r="Z83" s="453">
        <f t="shared" si="34"/>
        <v>178.57142857142858</v>
      </c>
      <c r="AA83" s="453">
        <f t="shared" si="35"/>
        <v>8.9285714285714288</v>
      </c>
      <c r="AB83" s="443">
        <f t="shared" si="36"/>
        <v>17.857142857142858</v>
      </c>
      <c r="AC83" s="454">
        <v>1.3</v>
      </c>
      <c r="AD83" s="454">
        <v>1.325</v>
      </c>
      <c r="AE83" s="454">
        <v>1.25</v>
      </c>
      <c r="AF83" s="455">
        <v>2500</v>
      </c>
      <c r="AG83" s="456">
        <v>2500</v>
      </c>
      <c r="AH83" s="158">
        <v>830</v>
      </c>
      <c r="AI83" s="158">
        <v>2818</v>
      </c>
      <c r="AJ83" s="158">
        <v>6295</v>
      </c>
      <c r="AK83" s="158">
        <v>19050</v>
      </c>
      <c r="AL83" s="158">
        <v>22050</v>
      </c>
      <c r="AM83" s="457">
        <f t="shared" si="37"/>
        <v>140270</v>
      </c>
      <c r="AN83" s="458">
        <f t="shared" si="38"/>
        <v>709431.5</v>
      </c>
      <c r="AO83" s="458">
        <f t="shared" si="39"/>
        <v>629500</v>
      </c>
      <c r="AP83" s="458">
        <f t="shared" si="40"/>
        <v>95250</v>
      </c>
      <c r="AQ83" s="459">
        <f t="shared" si="41"/>
        <v>220500</v>
      </c>
      <c r="AR83" s="457">
        <f>SUM(Tabla1[[#This Row],[COSTO OPERATIVO ACIDO]:[COSTO OPERATIVO CATIONICO]])</f>
        <v>1794951.5</v>
      </c>
      <c r="AS83" s="458">
        <v>3599</v>
      </c>
      <c r="AT83" s="460">
        <f t="shared" si="42"/>
        <v>3205.2705357142859</v>
      </c>
    </row>
    <row r="84" spans="1:46" s="488" customFormat="1" ht="14.95" thickBot="1" x14ac:dyDescent="0.3">
      <c r="A84" s="461">
        <f>A83</f>
        <v>46109</v>
      </c>
      <c r="B84" s="157">
        <f>DAY(Tabla1[[#This Row],[FECHA]])</f>
        <v>28</v>
      </c>
      <c r="C84" s="462" t="s">
        <v>294</v>
      </c>
      <c r="D84" s="463">
        <v>83</v>
      </c>
      <c r="E84" s="463" t="s">
        <v>77</v>
      </c>
      <c r="F84" s="464">
        <v>3020</v>
      </c>
      <c r="G84" s="465">
        <v>6100</v>
      </c>
      <c r="H84" s="465">
        <v>4370</v>
      </c>
      <c r="I84" s="465">
        <f>+I83-5</f>
        <v>197</v>
      </c>
      <c r="J84" s="465">
        <f>+J83-10</f>
        <v>145</v>
      </c>
      <c r="K84" s="483">
        <v>17604</v>
      </c>
      <c r="L84" s="478">
        <f>+(K85-Tabla1[[#This Row],[Lectura Horometro INICIAL (06:00)]])*Tabla1[[#This Row],[CAUDAL DE TRATAMIENTO]]</f>
        <v>320</v>
      </c>
      <c r="M84" s="479">
        <v>80</v>
      </c>
      <c r="N84" s="444">
        <f t="shared" si="43"/>
        <v>20</v>
      </c>
      <c r="O84" s="498">
        <f t="shared" si="44"/>
        <v>100</v>
      </c>
      <c r="P84" s="444">
        <f t="shared" si="46"/>
        <v>10</v>
      </c>
      <c r="Q84" s="444">
        <f t="shared" si="47"/>
        <v>0</v>
      </c>
      <c r="R84" s="445">
        <f t="shared" si="48"/>
        <v>10</v>
      </c>
      <c r="S84" s="452">
        <f t="shared" si="29"/>
        <v>26</v>
      </c>
      <c r="T84" s="453">
        <f t="shared" si="30"/>
        <v>132.5</v>
      </c>
      <c r="U84" s="453">
        <f t="shared" si="31"/>
        <v>12.5</v>
      </c>
      <c r="V84" s="466">
        <f>Tabla1[[#This Row],[CONSUMO POL ANIONICO (KG)]]</f>
        <v>0</v>
      </c>
      <c r="W84" s="445">
        <f>Tabla1[[#This Row],[CONSUMO POL CATIONICO (KG)]]</f>
        <v>10</v>
      </c>
      <c r="X84" s="467">
        <f t="shared" si="32"/>
        <v>81.25</v>
      </c>
      <c r="Y84" s="466">
        <f t="shared" si="33"/>
        <v>414.0625</v>
      </c>
      <c r="Z84" s="466">
        <f t="shared" si="34"/>
        <v>39.0625</v>
      </c>
      <c r="AA84" s="466">
        <f t="shared" si="35"/>
        <v>0</v>
      </c>
      <c r="AB84" s="445">
        <f t="shared" si="36"/>
        <v>31.25</v>
      </c>
      <c r="AC84" s="454">
        <v>1.3</v>
      </c>
      <c r="AD84" s="454">
        <v>1.325</v>
      </c>
      <c r="AE84" s="454">
        <v>1.25</v>
      </c>
      <c r="AF84" s="455">
        <v>2500</v>
      </c>
      <c r="AG84" s="456">
        <v>2500</v>
      </c>
      <c r="AH84" s="158">
        <v>830</v>
      </c>
      <c r="AI84" s="158">
        <v>2818</v>
      </c>
      <c r="AJ84" s="158">
        <v>6295</v>
      </c>
      <c r="AK84" s="158">
        <v>19050</v>
      </c>
      <c r="AL84" s="158">
        <v>22050</v>
      </c>
      <c r="AM84" s="468">
        <f t="shared" si="37"/>
        <v>21580</v>
      </c>
      <c r="AN84" s="460">
        <f t="shared" si="38"/>
        <v>373385</v>
      </c>
      <c r="AO84" s="460">
        <f t="shared" si="39"/>
        <v>78687.5</v>
      </c>
      <c r="AP84" s="460">
        <f t="shared" si="40"/>
        <v>0</v>
      </c>
      <c r="AQ84" s="469">
        <f t="shared" si="41"/>
        <v>220500</v>
      </c>
      <c r="AR84" s="468">
        <f>SUM(Tabla1[[#This Row],[COSTO OPERATIVO ACIDO]:[COSTO OPERATIVO CATIONICO]])</f>
        <v>694152.5</v>
      </c>
      <c r="AS84" s="458">
        <v>3599</v>
      </c>
      <c r="AT84" s="460">
        <f t="shared" si="42"/>
        <v>2169.2265625</v>
      </c>
    </row>
    <row r="85" spans="1:46" s="488" customFormat="1" ht="14.95" thickBot="1" x14ac:dyDescent="0.3">
      <c r="A85" s="470">
        <f>A84</f>
        <v>46109</v>
      </c>
      <c r="B85" s="157">
        <f>DAY(Tabla1[[#This Row],[FECHA]])</f>
        <v>28</v>
      </c>
      <c r="C85" s="471" t="s">
        <v>30</v>
      </c>
      <c r="D85" s="472">
        <v>84</v>
      </c>
      <c r="E85" s="472" t="s">
        <v>76</v>
      </c>
      <c r="F85" s="464">
        <v>3000</v>
      </c>
      <c r="G85" s="465">
        <v>6000</v>
      </c>
      <c r="H85" s="465">
        <v>4360</v>
      </c>
      <c r="I85" s="465">
        <f>+I84-0</f>
        <v>197</v>
      </c>
      <c r="J85" s="465">
        <f>+J84-10</f>
        <v>135</v>
      </c>
      <c r="K85" s="484">
        <v>17608</v>
      </c>
      <c r="L85" s="485">
        <f>+(K86-Tabla1[[#This Row],[Lectura Horometro INICIAL (06:00)]])*Tabla1[[#This Row],[CAUDAL DE TRATAMIENTO]]</f>
        <v>640</v>
      </c>
      <c r="M85" s="486">
        <v>80</v>
      </c>
      <c r="N85" s="446">
        <f t="shared" si="43"/>
        <v>200</v>
      </c>
      <c r="O85" s="499">
        <f t="shared" si="44"/>
        <v>200</v>
      </c>
      <c r="P85" s="446">
        <f t="shared" si="46"/>
        <v>70</v>
      </c>
      <c r="Q85" s="446">
        <f t="shared" si="47"/>
        <v>5</v>
      </c>
      <c r="R85" s="447">
        <f t="shared" si="48"/>
        <v>5</v>
      </c>
      <c r="S85" s="452">
        <f t="shared" si="29"/>
        <v>260</v>
      </c>
      <c r="T85" s="453">
        <f t="shared" si="30"/>
        <v>265</v>
      </c>
      <c r="U85" s="453">
        <f t="shared" si="31"/>
        <v>87.5</v>
      </c>
      <c r="V85" s="473">
        <f>Tabla1[[#This Row],[CONSUMO POL ANIONICO (KG)]]</f>
        <v>5</v>
      </c>
      <c r="W85" s="447">
        <f>Tabla1[[#This Row],[CONSUMO POL CATIONICO (KG)]]</f>
        <v>5</v>
      </c>
      <c r="X85" s="467">
        <f t="shared" si="32"/>
        <v>406.25</v>
      </c>
      <c r="Y85" s="473">
        <f t="shared" si="33"/>
        <v>414.0625</v>
      </c>
      <c r="Z85" s="473">
        <f t="shared" si="34"/>
        <v>136.71875</v>
      </c>
      <c r="AA85" s="473">
        <f t="shared" si="35"/>
        <v>7.8125</v>
      </c>
      <c r="AB85" s="447">
        <f t="shared" si="36"/>
        <v>7.8125</v>
      </c>
      <c r="AC85" s="454">
        <v>1.3</v>
      </c>
      <c r="AD85" s="454">
        <v>1.325</v>
      </c>
      <c r="AE85" s="454">
        <v>1.25</v>
      </c>
      <c r="AF85" s="455">
        <v>2500</v>
      </c>
      <c r="AG85" s="456">
        <v>2500</v>
      </c>
      <c r="AH85" s="158">
        <v>830</v>
      </c>
      <c r="AI85" s="158">
        <v>2818</v>
      </c>
      <c r="AJ85" s="158">
        <v>6295</v>
      </c>
      <c r="AK85" s="158">
        <v>19050</v>
      </c>
      <c r="AL85" s="158">
        <v>22050</v>
      </c>
      <c r="AM85" s="468">
        <f t="shared" si="37"/>
        <v>215800</v>
      </c>
      <c r="AN85" s="474">
        <f t="shared" si="38"/>
        <v>746770</v>
      </c>
      <c r="AO85" s="474">
        <f t="shared" si="39"/>
        <v>550812.5</v>
      </c>
      <c r="AP85" s="474">
        <f t="shared" si="40"/>
        <v>95250</v>
      </c>
      <c r="AQ85" s="475">
        <f t="shared" si="41"/>
        <v>110250</v>
      </c>
      <c r="AR85" s="468">
        <f>SUM(Tabla1[[#This Row],[COSTO OPERATIVO ACIDO]:[COSTO OPERATIVO CATIONICO]])</f>
        <v>1718882.5</v>
      </c>
      <c r="AS85" s="458">
        <v>3599</v>
      </c>
      <c r="AT85" s="460">
        <f t="shared" si="42"/>
        <v>2685.75390625</v>
      </c>
    </row>
    <row r="86" spans="1:46" ht="14.95" thickBot="1" x14ac:dyDescent="0.3">
      <c r="A86" s="213">
        <v>46110</v>
      </c>
      <c r="B86" s="157">
        <f>DAY(Tabla1[[#This Row],[FECHA]])</f>
        <v>29</v>
      </c>
      <c r="C86" s="448" t="s">
        <v>295</v>
      </c>
      <c r="D86" s="449">
        <v>85</v>
      </c>
      <c r="E86" s="449" t="s">
        <v>75</v>
      </c>
      <c r="F86" s="450">
        <v>2800</v>
      </c>
      <c r="G86" s="451">
        <v>5800</v>
      </c>
      <c r="H86" s="451">
        <v>4290</v>
      </c>
      <c r="I86" s="465">
        <f>+I85-5</f>
        <v>192</v>
      </c>
      <c r="J86" s="465">
        <f>+J85-5</f>
        <v>130</v>
      </c>
      <c r="K86" s="480">
        <v>17616</v>
      </c>
      <c r="L86" s="481">
        <f>+(K87-Tabla1[[#This Row],[Lectura Horometro INICIAL (06:00)]])*Tabla1[[#This Row],[CAUDAL DE TRATAMIENTO]]</f>
        <v>480</v>
      </c>
      <c r="M86" s="482">
        <v>80</v>
      </c>
      <c r="N86" s="442">
        <f t="shared" si="43"/>
        <v>20</v>
      </c>
      <c r="O86" s="497">
        <f>G86-G87</f>
        <v>80</v>
      </c>
      <c r="P86" s="442">
        <f t="shared" si="46"/>
        <v>10</v>
      </c>
      <c r="Q86" s="442">
        <f t="shared" si="47"/>
        <v>0</v>
      </c>
      <c r="R86" s="443">
        <f t="shared" si="48"/>
        <v>5</v>
      </c>
      <c r="S86" s="452">
        <f t="shared" si="29"/>
        <v>26</v>
      </c>
      <c r="T86" s="453">
        <f t="shared" si="30"/>
        <v>106</v>
      </c>
      <c r="U86" s="453">
        <f t="shared" si="31"/>
        <v>12.5</v>
      </c>
      <c r="V86" s="453">
        <f>Tabla1[[#This Row],[CONSUMO POL ANIONICO (KG)]]</f>
        <v>0</v>
      </c>
      <c r="W86" s="443">
        <f>Tabla1[[#This Row],[CONSUMO POL CATIONICO (KG)]]</f>
        <v>5</v>
      </c>
      <c r="X86" s="452">
        <f t="shared" si="32"/>
        <v>54.166666666666664</v>
      </c>
      <c r="Y86" s="453">
        <f t="shared" si="33"/>
        <v>220.83333333333334</v>
      </c>
      <c r="Z86" s="453">
        <f t="shared" si="34"/>
        <v>26.041666666666668</v>
      </c>
      <c r="AA86" s="453">
        <f t="shared" si="35"/>
        <v>0</v>
      </c>
      <c r="AB86" s="443">
        <f t="shared" si="36"/>
        <v>10.416666666666666</v>
      </c>
      <c r="AC86" s="454">
        <v>1.3</v>
      </c>
      <c r="AD86" s="454">
        <v>1.325</v>
      </c>
      <c r="AE86" s="454">
        <v>1.25</v>
      </c>
      <c r="AF86" s="455">
        <v>2500</v>
      </c>
      <c r="AG86" s="456">
        <v>2500</v>
      </c>
      <c r="AH86" s="158">
        <v>830</v>
      </c>
      <c r="AI86" s="158">
        <v>2818</v>
      </c>
      <c r="AJ86" s="158">
        <v>6295</v>
      </c>
      <c r="AK86" s="158">
        <v>19050</v>
      </c>
      <c r="AL86" s="158">
        <v>22050</v>
      </c>
      <c r="AM86" s="457">
        <f t="shared" si="37"/>
        <v>21580</v>
      </c>
      <c r="AN86" s="458">
        <f t="shared" si="38"/>
        <v>298708</v>
      </c>
      <c r="AO86" s="458">
        <f t="shared" si="39"/>
        <v>78687.5</v>
      </c>
      <c r="AP86" s="458">
        <f t="shared" si="40"/>
        <v>0</v>
      </c>
      <c r="AQ86" s="459">
        <f t="shared" si="41"/>
        <v>110250</v>
      </c>
      <c r="AR86" s="457">
        <f>SUM(Tabla1[[#This Row],[COSTO OPERATIVO ACIDO]:[COSTO OPERATIVO CATIONICO]])</f>
        <v>509225.5</v>
      </c>
      <c r="AS86" s="458">
        <v>3599</v>
      </c>
      <c r="AT86" s="460">
        <f t="shared" si="42"/>
        <v>1060.8864583333334</v>
      </c>
    </row>
    <row r="87" spans="1:46" ht="14.95" thickBot="1" x14ac:dyDescent="0.3">
      <c r="A87" s="461">
        <f>A86</f>
        <v>46110</v>
      </c>
      <c r="B87" s="157">
        <f>DAY(Tabla1[[#This Row],[FECHA]])</f>
        <v>29</v>
      </c>
      <c r="C87" s="462" t="s">
        <v>296</v>
      </c>
      <c r="D87" s="463">
        <v>86</v>
      </c>
      <c r="E87" s="463" t="s">
        <v>77</v>
      </c>
      <c r="F87" s="464">
        <v>2780</v>
      </c>
      <c r="G87" s="465">
        <v>5720</v>
      </c>
      <c r="H87" s="465">
        <v>4280</v>
      </c>
      <c r="I87" s="465">
        <f t="shared" si="49"/>
        <v>192</v>
      </c>
      <c r="J87" s="465">
        <f t="shared" ref="J87" si="50">+J86-5</f>
        <v>125</v>
      </c>
      <c r="K87" s="483">
        <v>17622</v>
      </c>
      <c r="L87" s="478">
        <f>+(K88-Tabla1[[#This Row],[Lectura Horometro INICIAL (06:00)]])*Tabla1[[#This Row],[CAUDAL DE TRATAMIENTO]]</f>
        <v>0</v>
      </c>
      <c r="M87" s="479">
        <v>80</v>
      </c>
      <c r="N87" s="444">
        <f t="shared" si="43"/>
        <v>0</v>
      </c>
      <c r="O87" s="498">
        <f t="shared" si="44"/>
        <v>0</v>
      </c>
      <c r="P87" s="444">
        <f t="shared" si="46"/>
        <v>0</v>
      </c>
      <c r="Q87" s="444">
        <f t="shared" si="47"/>
        <v>0</v>
      </c>
      <c r="R87" s="445">
        <f t="shared" si="48"/>
        <v>0</v>
      </c>
      <c r="S87" s="452">
        <f t="shared" si="29"/>
        <v>0</v>
      </c>
      <c r="T87" s="453">
        <f t="shared" si="30"/>
        <v>0</v>
      </c>
      <c r="U87" s="453">
        <f t="shared" si="31"/>
        <v>0</v>
      </c>
      <c r="V87" s="466">
        <f>Tabla1[[#This Row],[CONSUMO POL ANIONICO (KG)]]</f>
        <v>0</v>
      </c>
      <c r="W87" s="445">
        <f>Tabla1[[#This Row],[CONSUMO POL CATIONICO (KG)]]</f>
        <v>0</v>
      </c>
      <c r="X87" s="467" t="e">
        <f t="shared" si="32"/>
        <v>#DIV/0!</v>
      </c>
      <c r="Y87" s="466" t="e">
        <f t="shared" si="33"/>
        <v>#DIV/0!</v>
      </c>
      <c r="Z87" s="466" t="e">
        <f t="shared" si="34"/>
        <v>#DIV/0!</v>
      </c>
      <c r="AA87" s="466" t="e">
        <f t="shared" si="35"/>
        <v>#DIV/0!</v>
      </c>
      <c r="AB87" s="445" t="e">
        <f t="shared" si="36"/>
        <v>#DIV/0!</v>
      </c>
      <c r="AC87" s="454">
        <v>1.3</v>
      </c>
      <c r="AD87" s="454">
        <v>1.325</v>
      </c>
      <c r="AE87" s="454">
        <v>1.25</v>
      </c>
      <c r="AF87" s="455">
        <v>2500</v>
      </c>
      <c r="AG87" s="456">
        <v>2500</v>
      </c>
      <c r="AH87" s="158">
        <v>830</v>
      </c>
      <c r="AI87" s="158">
        <v>2818</v>
      </c>
      <c r="AJ87" s="158">
        <v>6295</v>
      </c>
      <c r="AK87" s="158">
        <v>19050</v>
      </c>
      <c r="AL87" s="158">
        <v>22050</v>
      </c>
      <c r="AM87" s="468">
        <f t="shared" si="37"/>
        <v>0</v>
      </c>
      <c r="AN87" s="460">
        <f t="shared" si="38"/>
        <v>0</v>
      </c>
      <c r="AO87" s="460">
        <f t="shared" si="39"/>
        <v>0</v>
      </c>
      <c r="AP87" s="460">
        <f t="shared" si="40"/>
        <v>0</v>
      </c>
      <c r="AQ87" s="469">
        <f t="shared" si="41"/>
        <v>0</v>
      </c>
      <c r="AR87" s="468">
        <f>SUM(Tabla1[[#This Row],[COSTO OPERATIVO ACIDO]:[COSTO OPERATIVO CATIONICO]])</f>
        <v>0</v>
      </c>
      <c r="AS87" s="458">
        <v>3599</v>
      </c>
      <c r="AT87" s="460" t="e">
        <f t="shared" si="42"/>
        <v>#DIV/0!</v>
      </c>
    </row>
    <row r="88" spans="1:46" ht="14.95" thickBot="1" x14ac:dyDescent="0.3">
      <c r="A88" s="470">
        <f>A87</f>
        <v>46110</v>
      </c>
      <c r="B88" s="157">
        <f>DAY(Tabla1[[#This Row],[FECHA]])</f>
        <v>29</v>
      </c>
      <c r="C88" s="471" t="s">
        <v>30</v>
      </c>
      <c r="D88" s="472">
        <v>87</v>
      </c>
      <c r="E88" s="472" t="s">
        <v>76</v>
      </c>
      <c r="F88" s="464">
        <v>2780</v>
      </c>
      <c r="G88" s="465">
        <v>5720</v>
      </c>
      <c r="H88" s="465">
        <v>4280</v>
      </c>
      <c r="I88" s="465">
        <v>192</v>
      </c>
      <c r="J88" s="465">
        <v>125</v>
      </c>
      <c r="K88" s="484">
        <v>17622</v>
      </c>
      <c r="L88" s="485">
        <f>+(K89-Tabla1[[#This Row],[Lectura Horometro INICIAL (06:00)]])*Tabla1[[#This Row],[CAUDAL DE TRATAMIENTO]]</f>
        <v>0</v>
      </c>
      <c r="M88" s="486">
        <v>80</v>
      </c>
      <c r="N88" s="446">
        <f t="shared" si="43"/>
        <v>0</v>
      </c>
      <c r="O88" s="499">
        <f t="shared" si="44"/>
        <v>0</v>
      </c>
      <c r="P88" s="446">
        <f t="shared" si="46"/>
        <v>0</v>
      </c>
      <c r="Q88" s="446">
        <f t="shared" si="47"/>
        <v>0</v>
      </c>
      <c r="R88" s="447">
        <f t="shared" si="48"/>
        <v>0</v>
      </c>
      <c r="S88" s="452">
        <f t="shared" si="29"/>
        <v>0</v>
      </c>
      <c r="T88" s="453">
        <f t="shared" si="30"/>
        <v>0</v>
      </c>
      <c r="U88" s="453">
        <f t="shared" si="31"/>
        <v>0</v>
      </c>
      <c r="V88" s="473">
        <f>Tabla1[[#This Row],[CONSUMO POL ANIONICO (KG)]]</f>
        <v>0</v>
      </c>
      <c r="W88" s="447">
        <f>Tabla1[[#This Row],[CONSUMO POL CATIONICO (KG)]]</f>
        <v>0</v>
      </c>
      <c r="X88" s="467" t="e">
        <f t="shared" si="32"/>
        <v>#DIV/0!</v>
      </c>
      <c r="Y88" s="473" t="e">
        <f t="shared" si="33"/>
        <v>#DIV/0!</v>
      </c>
      <c r="Z88" s="473" t="e">
        <f t="shared" si="34"/>
        <v>#DIV/0!</v>
      </c>
      <c r="AA88" s="473" t="e">
        <f t="shared" si="35"/>
        <v>#DIV/0!</v>
      </c>
      <c r="AB88" s="447" t="e">
        <f t="shared" si="36"/>
        <v>#DIV/0!</v>
      </c>
      <c r="AC88" s="454">
        <v>1.3</v>
      </c>
      <c r="AD88" s="454">
        <v>1.325</v>
      </c>
      <c r="AE88" s="454">
        <v>1.25</v>
      </c>
      <c r="AF88" s="455">
        <v>2500</v>
      </c>
      <c r="AG88" s="456">
        <v>2500</v>
      </c>
      <c r="AH88" s="158">
        <v>830</v>
      </c>
      <c r="AI88" s="158">
        <v>2818</v>
      </c>
      <c r="AJ88" s="158">
        <v>6295</v>
      </c>
      <c r="AK88" s="158">
        <v>19050</v>
      </c>
      <c r="AL88" s="158">
        <v>22050</v>
      </c>
      <c r="AM88" s="468">
        <f t="shared" si="37"/>
        <v>0</v>
      </c>
      <c r="AN88" s="474">
        <f t="shared" si="38"/>
        <v>0</v>
      </c>
      <c r="AO88" s="474">
        <f t="shared" si="39"/>
        <v>0</v>
      </c>
      <c r="AP88" s="474">
        <f t="shared" si="40"/>
        <v>0</v>
      </c>
      <c r="AQ88" s="475">
        <f t="shared" si="41"/>
        <v>0</v>
      </c>
      <c r="AR88" s="468">
        <f>SUM(Tabla1[[#This Row],[COSTO OPERATIVO ACIDO]:[COSTO OPERATIVO CATIONICO]])</f>
        <v>0</v>
      </c>
      <c r="AS88" s="458">
        <v>3599</v>
      </c>
      <c r="AT88" s="460" t="e">
        <f t="shared" si="42"/>
        <v>#DIV/0!</v>
      </c>
    </row>
    <row r="89" spans="1:46" ht="14.95" thickBot="1" x14ac:dyDescent="0.3">
      <c r="A89" s="213">
        <v>46111</v>
      </c>
      <c r="B89" s="157">
        <f>DAY(Tabla1[[#This Row],[FECHA]])</f>
        <v>30</v>
      </c>
      <c r="C89" s="448" t="s">
        <v>297</v>
      </c>
      <c r="D89" s="449">
        <v>88</v>
      </c>
      <c r="E89" s="449" t="s">
        <v>75</v>
      </c>
      <c r="F89" s="450">
        <v>2780</v>
      </c>
      <c r="G89" s="451">
        <v>5720</v>
      </c>
      <c r="H89" s="451">
        <v>4280</v>
      </c>
      <c r="I89" s="451">
        <v>192</v>
      </c>
      <c r="J89" s="451">
        <v>125</v>
      </c>
      <c r="K89" s="480">
        <v>17622</v>
      </c>
      <c r="L89" s="481">
        <f>+(K90-Tabla1[[#This Row],[Lectura Horometro INICIAL (06:00)]])*Tabla1[[#This Row],[CAUDAL DE TRATAMIENTO]]</f>
        <v>0</v>
      </c>
      <c r="M89" s="482">
        <v>80</v>
      </c>
      <c r="N89" s="442">
        <f t="shared" si="43"/>
        <v>0</v>
      </c>
      <c r="O89" s="497">
        <f t="shared" si="44"/>
        <v>0</v>
      </c>
      <c r="P89" s="442">
        <f t="shared" si="46"/>
        <v>0</v>
      </c>
      <c r="Q89" s="442">
        <f t="shared" si="47"/>
        <v>0</v>
      </c>
      <c r="R89" s="443">
        <f t="shared" si="48"/>
        <v>0</v>
      </c>
      <c r="S89" s="452">
        <f t="shared" si="29"/>
        <v>0</v>
      </c>
      <c r="T89" s="453">
        <f t="shared" si="30"/>
        <v>0</v>
      </c>
      <c r="U89" s="453">
        <f t="shared" si="31"/>
        <v>0</v>
      </c>
      <c r="V89" s="453">
        <f>Tabla1[[#This Row],[CONSUMO POL ANIONICO (KG)]]</f>
        <v>0</v>
      </c>
      <c r="W89" s="443">
        <f>Tabla1[[#This Row],[CONSUMO POL CATIONICO (KG)]]</f>
        <v>0</v>
      </c>
      <c r="X89" s="452" t="e">
        <f t="shared" si="32"/>
        <v>#DIV/0!</v>
      </c>
      <c r="Y89" s="453" t="e">
        <f t="shared" si="33"/>
        <v>#DIV/0!</v>
      </c>
      <c r="Z89" s="453" t="e">
        <f t="shared" si="34"/>
        <v>#DIV/0!</v>
      </c>
      <c r="AA89" s="453" t="e">
        <f t="shared" si="35"/>
        <v>#DIV/0!</v>
      </c>
      <c r="AB89" s="443" t="e">
        <f t="shared" si="36"/>
        <v>#DIV/0!</v>
      </c>
      <c r="AC89" s="454">
        <v>1.3</v>
      </c>
      <c r="AD89" s="454">
        <v>1.325</v>
      </c>
      <c r="AE89" s="454">
        <v>1.25</v>
      </c>
      <c r="AF89" s="455">
        <v>2500</v>
      </c>
      <c r="AG89" s="456">
        <v>2500</v>
      </c>
      <c r="AH89" s="158">
        <v>830</v>
      </c>
      <c r="AI89" s="158">
        <v>2818</v>
      </c>
      <c r="AJ89" s="158">
        <v>6295</v>
      </c>
      <c r="AK89" s="158">
        <v>19050</v>
      </c>
      <c r="AL89" s="158">
        <v>22050</v>
      </c>
      <c r="AM89" s="457">
        <f t="shared" si="37"/>
        <v>0</v>
      </c>
      <c r="AN89" s="458">
        <f t="shared" si="38"/>
        <v>0</v>
      </c>
      <c r="AO89" s="458">
        <f t="shared" si="39"/>
        <v>0</v>
      </c>
      <c r="AP89" s="458">
        <f t="shared" si="40"/>
        <v>0</v>
      </c>
      <c r="AQ89" s="459">
        <f t="shared" si="41"/>
        <v>0</v>
      </c>
      <c r="AR89" s="457">
        <f>SUM(Tabla1[[#This Row],[COSTO OPERATIVO ACIDO]:[COSTO OPERATIVO CATIONICO]])</f>
        <v>0</v>
      </c>
      <c r="AS89" s="458">
        <v>3599</v>
      </c>
      <c r="AT89" s="460" t="e">
        <f t="shared" si="42"/>
        <v>#DIV/0!</v>
      </c>
    </row>
    <row r="90" spans="1:46" ht="14.95" thickBot="1" x14ac:dyDescent="0.3">
      <c r="A90" s="461">
        <f>A89</f>
        <v>46111</v>
      </c>
      <c r="B90" s="157">
        <f>DAY(Tabla1[[#This Row],[FECHA]])</f>
        <v>30</v>
      </c>
      <c r="C90" s="462" t="s">
        <v>298</v>
      </c>
      <c r="D90" s="463">
        <v>89</v>
      </c>
      <c r="E90" s="463" t="s">
        <v>77</v>
      </c>
      <c r="F90" s="464">
        <v>2780</v>
      </c>
      <c r="G90" s="465">
        <v>5720</v>
      </c>
      <c r="H90" s="465">
        <v>4280</v>
      </c>
      <c r="I90" s="465">
        <v>192</v>
      </c>
      <c r="J90" s="465">
        <v>125</v>
      </c>
      <c r="K90" s="483">
        <v>17622</v>
      </c>
      <c r="L90" s="478">
        <f>+(K91-Tabla1[[#This Row],[Lectura Horometro INICIAL (06:00)]])*Tabla1[[#This Row],[CAUDAL DE TRATAMIENTO]]</f>
        <v>0</v>
      </c>
      <c r="M90" s="479">
        <v>80</v>
      </c>
      <c r="N90" s="444">
        <f t="shared" si="43"/>
        <v>0</v>
      </c>
      <c r="O90" s="498">
        <f t="shared" si="44"/>
        <v>0</v>
      </c>
      <c r="P90" s="444">
        <f t="shared" si="46"/>
        <v>0</v>
      </c>
      <c r="Q90" s="444">
        <f t="shared" si="47"/>
        <v>0</v>
      </c>
      <c r="R90" s="445">
        <f t="shared" si="48"/>
        <v>0</v>
      </c>
      <c r="S90" s="452">
        <f t="shared" si="29"/>
        <v>0</v>
      </c>
      <c r="T90" s="453">
        <f t="shared" si="30"/>
        <v>0</v>
      </c>
      <c r="U90" s="453">
        <f t="shared" si="31"/>
        <v>0</v>
      </c>
      <c r="V90" s="466">
        <f>Tabla1[[#This Row],[CONSUMO POL ANIONICO (KG)]]</f>
        <v>0</v>
      </c>
      <c r="W90" s="445">
        <f>Tabla1[[#This Row],[CONSUMO POL CATIONICO (KG)]]</f>
        <v>0</v>
      </c>
      <c r="X90" s="467" t="e">
        <f t="shared" si="32"/>
        <v>#DIV/0!</v>
      </c>
      <c r="Y90" s="466" t="e">
        <f t="shared" si="33"/>
        <v>#DIV/0!</v>
      </c>
      <c r="Z90" s="466" t="e">
        <f t="shared" si="34"/>
        <v>#DIV/0!</v>
      </c>
      <c r="AA90" s="466" t="e">
        <f t="shared" si="35"/>
        <v>#DIV/0!</v>
      </c>
      <c r="AB90" s="445" t="e">
        <f t="shared" si="36"/>
        <v>#DIV/0!</v>
      </c>
      <c r="AC90" s="454">
        <v>1.3</v>
      </c>
      <c r="AD90" s="454">
        <v>1.325</v>
      </c>
      <c r="AE90" s="454">
        <v>1.25</v>
      </c>
      <c r="AF90" s="455">
        <v>2500</v>
      </c>
      <c r="AG90" s="456">
        <v>2500</v>
      </c>
      <c r="AH90" s="158">
        <v>830</v>
      </c>
      <c r="AI90" s="158">
        <v>2818</v>
      </c>
      <c r="AJ90" s="158">
        <v>6295</v>
      </c>
      <c r="AK90" s="158">
        <v>19050</v>
      </c>
      <c r="AL90" s="158">
        <v>22050</v>
      </c>
      <c r="AM90" s="468">
        <f t="shared" si="37"/>
        <v>0</v>
      </c>
      <c r="AN90" s="460">
        <f t="shared" si="38"/>
        <v>0</v>
      </c>
      <c r="AO90" s="460">
        <f t="shared" si="39"/>
        <v>0</v>
      </c>
      <c r="AP90" s="460">
        <f t="shared" si="40"/>
        <v>0</v>
      </c>
      <c r="AQ90" s="469">
        <f t="shared" si="41"/>
        <v>0</v>
      </c>
      <c r="AR90" s="468">
        <f>SUM(Tabla1[[#This Row],[COSTO OPERATIVO ACIDO]:[COSTO OPERATIVO CATIONICO]])</f>
        <v>0</v>
      </c>
      <c r="AS90" s="458">
        <v>3599</v>
      </c>
      <c r="AT90" s="460" t="e">
        <f t="shared" si="42"/>
        <v>#DIV/0!</v>
      </c>
    </row>
    <row r="91" spans="1:46" ht="14.95" thickBot="1" x14ac:dyDescent="0.3">
      <c r="A91" s="470">
        <f>A90</f>
        <v>46111</v>
      </c>
      <c r="B91" s="157">
        <f>DAY(Tabla1[[#This Row],[FECHA]])</f>
        <v>30</v>
      </c>
      <c r="C91" s="471" t="s">
        <v>30</v>
      </c>
      <c r="D91" s="472">
        <v>90</v>
      </c>
      <c r="E91" s="472" t="s">
        <v>76</v>
      </c>
      <c r="F91" s="464">
        <v>2780</v>
      </c>
      <c r="G91" s="465">
        <v>5720</v>
      </c>
      <c r="H91" s="465">
        <v>4280</v>
      </c>
      <c r="I91" s="465">
        <v>192</v>
      </c>
      <c r="J91" s="465">
        <v>125</v>
      </c>
      <c r="K91" s="484">
        <v>17622</v>
      </c>
      <c r="L91" s="485">
        <f>+(K92-Tabla1[[#This Row],[Lectura Horometro INICIAL (06:00)]])*Tabla1[[#This Row],[CAUDAL DE TRATAMIENTO]]</f>
        <v>0</v>
      </c>
      <c r="M91" s="486">
        <v>80</v>
      </c>
      <c r="N91" s="446">
        <f>F91-F92</f>
        <v>0</v>
      </c>
      <c r="O91" s="499">
        <f>G91-G92</f>
        <v>0</v>
      </c>
      <c r="P91" s="446">
        <f t="shared" si="46"/>
        <v>0</v>
      </c>
      <c r="Q91" s="446">
        <f t="shared" si="47"/>
        <v>0</v>
      </c>
      <c r="R91" s="447">
        <f t="shared" si="48"/>
        <v>0</v>
      </c>
      <c r="S91" s="452">
        <f t="shared" si="29"/>
        <v>0</v>
      </c>
      <c r="T91" s="453">
        <f t="shared" si="30"/>
        <v>0</v>
      </c>
      <c r="U91" s="453">
        <f t="shared" si="31"/>
        <v>0</v>
      </c>
      <c r="V91" s="473">
        <f>Tabla1[[#This Row],[CONSUMO POL ANIONICO (KG)]]</f>
        <v>0</v>
      </c>
      <c r="W91" s="447">
        <f>Tabla1[[#This Row],[CONSUMO POL CATIONICO (KG)]]</f>
        <v>0</v>
      </c>
      <c r="X91" s="467" t="e">
        <f t="shared" si="32"/>
        <v>#DIV/0!</v>
      </c>
      <c r="Y91" s="473" t="e">
        <f t="shared" si="33"/>
        <v>#DIV/0!</v>
      </c>
      <c r="Z91" s="473" t="e">
        <f t="shared" si="34"/>
        <v>#DIV/0!</v>
      </c>
      <c r="AA91" s="473" t="e">
        <f t="shared" si="35"/>
        <v>#DIV/0!</v>
      </c>
      <c r="AB91" s="447" t="e">
        <f t="shared" si="36"/>
        <v>#DIV/0!</v>
      </c>
      <c r="AC91" s="454">
        <v>1.3</v>
      </c>
      <c r="AD91" s="454">
        <v>1.325</v>
      </c>
      <c r="AE91" s="454">
        <v>1.25</v>
      </c>
      <c r="AF91" s="455">
        <v>2500</v>
      </c>
      <c r="AG91" s="456">
        <v>2500</v>
      </c>
      <c r="AH91" s="158">
        <v>830</v>
      </c>
      <c r="AI91" s="158">
        <v>2818</v>
      </c>
      <c r="AJ91" s="158">
        <v>6295</v>
      </c>
      <c r="AK91" s="158">
        <v>19050</v>
      </c>
      <c r="AL91" s="158">
        <v>22050</v>
      </c>
      <c r="AM91" s="468">
        <f t="shared" si="37"/>
        <v>0</v>
      </c>
      <c r="AN91" s="474">
        <f t="shared" si="38"/>
        <v>0</v>
      </c>
      <c r="AO91" s="474">
        <f t="shared" si="39"/>
        <v>0</v>
      </c>
      <c r="AP91" s="474">
        <f t="shared" si="40"/>
        <v>0</v>
      </c>
      <c r="AQ91" s="475">
        <f t="shared" si="41"/>
        <v>0</v>
      </c>
      <c r="AR91" s="468">
        <f>SUM(Tabla1[[#This Row],[COSTO OPERATIVO ACIDO]:[COSTO OPERATIVO CATIONICO]])</f>
        <v>0</v>
      </c>
      <c r="AS91" s="458">
        <v>3599</v>
      </c>
      <c r="AT91" s="460" t="e">
        <f t="shared" si="42"/>
        <v>#DIV/0!</v>
      </c>
    </row>
    <row r="92" spans="1:46" ht="14.95" thickBot="1" x14ac:dyDescent="0.3">
      <c r="A92" s="213">
        <v>46112</v>
      </c>
      <c r="B92" s="157">
        <f>DAY(Tabla1[[#This Row],[FECHA]])</f>
        <v>31</v>
      </c>
      <c r="C92" s="448" t="s">
        <v>299</v>
      </c>
      <c r="D92" s="449">
        <v>91</v>
      </c>
      <c r="E92" s="449" t="s">
        <v>75</v>
      </c>
      <c r="F92" s="450">
        <v>2780</v>
      </c>
      <c r="G92" s="451">
        <v>5720</v>
      </c>
      <c r="H92" s="451">
        <v>4280</v>
      </c>
      <c r="I92" s="451">
        <v>192</v>
      </c>
      <c r="J92" s="451">
        <v>125</v>
      </c>
      <c r="K92" s="480">
        <v>17622</v>
      </c>
      <c r="L92" s="481">
        <f>+(K93-Tabla1[[#This Row],[Lectura Horometro INICIAL (06:00)]])*Tabla1[[#This Row],[CAUDAL DE TRATAMIENTO]]</f>
        <v>0</v>
      </c>
      <c r="M92" s="482">
        <v>80</v>
      </c>
      <c r="N92" s="442">
        <f t="shared" si="43"/>
        <v>0</v>
      </c>
      <c r="O92" s="497">
        <f t="shared" si="44"/>
        <v>0</v>
      </c>
      <c r="P92" s="442">
        <f t="shared" si="46"/>
        <v>0</v>
      </c>
      <c r="Q92" s="442">
        <f t="shared" si="47"/>
        <v>0</v>
      </c>
      <c r="R92" s="443">
        <f t="shared" si="48"/>
        <v>0</v>
      </c>
      <c r="S92" s="452">
        <f t="shared" si="29"/>
        <v>0</v>
      </c>
      <c r="T92" s="453">
        <f t="shared" si="30"/>
        <v>0</v>
      </c>
      <c r="U92" s="453">
        <f t="shared" si="31"/>
        <v>0</v>
      </c>
      <c r="V92" s="453">
        <f>Tabla1[[#This Row],[CONSUMO POL ANIONICO (KG)]]</f>
        <v>0</v>
      </c>
      <c r="W92" s="443">
        <f>Tabla1[[#This Row],[CONSUMO POL CATIONICO (KG)]]</f>
        <v>0</v>
      </c>
      <c r="X92" s="452" t="e">
        <f t="shared" si="32"/>
        <v>#DIV/0!</v>
      </c>
      <c r="Y92" s="453" t="e">
        <f t="shared" si="33"/>
        <v>#DIV/0!</v>
      </c>
      <c r="Z92" s="453" t="e">
        <f t="shared" si="34"/>
        <v>#DIV/0!</v>
      </c>
      <c r="AA92" s="453" t="e">
        <f t="shared" si="35"/>
        <v>#DIV/0!</v>
      </c>
      <c r="AB92" s="443" t="e">
        <f t="shared" si="36"/>
        <v>#DIV/0!</v>
      </c>
      <c r="AC92" s="454">
        <v>1.3</v>
      </c>
      <c r="AD92" s="454">
        <v>1.325</v>
      </c>
      <c r="AE92" s="454">
        <v>1.25</v>
      </c>
      <c r="AF92" s="455">
        <v>2500</v>
      </c>
      <c r="AG92" s="456">
        <v>2500</v>
      </c>
      <c r="AH92" s="158">
        <v>830</v>
      </c>
      <c r="AI92" s="158">
        <v>2818</v>
      </c>
      <c r="AJ92" s="158">
        <v>6295</v>
      </c>
      <c r="AK92" s="158">
        <v>19050</v>
      </c>
      <c r="AL92" s="158">
        <v>22050</v>
      </c>
      <c r="AM92" s="457">
        <f t="shared" si="37"/>
        <v>0</v>
      </c>
      <c r="AN92" s="458">
        <f t="shared" si="38"/>
        <v>0</v>
      </c>
      <c r="AO92" s="458">
        <f t="shared" si="39"/>
        <v>0</v>
      </c>
      <c r="AP92" s="458">
        <f t="shared" si="40"/>
        <v>0</v>
      </c>
      <c r="AQ92" s="459">
        <f t="shared" si="41"/>
        <v>0</v>
      </c>
      <c r="AR92" s="457">
        <f>SUM(Tabla1[[#This Row],[COSTO OPERATIVO ACIDO]:[COSTO OPERATIVO CATIONICO]])</f>
        <v>0</v>
      </c>
      <c r="AS92" s="458">
        <v>3599</v>
      </c>
      <c r="AT92" s="460" t="e">
        <f t="shared" si="42"/>
        <v>#DIV/0!</v>
      </c>
    </row>
    <row r="93" spans="1:46" ht="14.95" thickBot="1" x14ac:dyDescent="0.3">
      <c r="A93" s="461">
        <f>A92</f>
        <v>46112</v>
      </c>
      <c r="B93" s="157">
        <f>DAY(Tabla1[[#This Row],[FECHA]])</f>
        <v>31</v>
      </c>
      <c r="C93" s="462" t="s">
        <v>300</v>
      </c>
      <c r="D93" s="463">
        <v>92</v>
      </c>
      <c r="E93" s="463" t="s">
        <v>77</v>
      </c>
      <c r="F93" s="464">
        <v>2780</v>
      </c>
      <c r="G93" s="465">
        <v>5720</v>
      </c>
      <c r="H93" s="465">
        <v>4280</v>
      </c>
      <c r="I93" s="465">
        <v>192</v>
      </c>
      <c r="J93" s="465">
        <v>125</v>
      </c>
      <c r="K93" s="483">
        <v>17622</v>
      </c>
      <c r="L93" s="478">
        <f>+(K94-Tabla1[[#This Row],[Lectura Horometro INICIAL (06:00)]])*Tabla1[[#This Row],[CAUDAL DE TRATAMIENTO]]</f>
        <v>0</v>
      </c>
      <c r="M93" s="479">
        <v>80</v>
      </c>
      <c r="N93" s="444">
        <f t="shared" si="43"/>
        <v>0</v>
      </c>
      <c r="O93" s="498">
        <f t="shared" si="44"/>
        <v>0</v>
      </c>
      <c r="P93" s="444">
        <f t="shared" si="46"/>
        <v>0</v>
      </c>
      <c r="Q93" s="444">
        <f t="shared" si="47"/>
        <v>0</v>
      </c>
      <c r="R93" s="445">
        <f t="shared" si="48"/>
        <v>0</v>
      </c>
      <c r="S93" s="452">
        <f t="shared" si="29"/>
        <v>0</v>
      </c>
      <c r="T93" s="453">
        <f t="shared" si="30"/>
        <v>0</v>
      </c>
      <c r="U93" s="453">
        <f t="shared" si="31"/>
        <v>0</v>
      </c>
      <c r="V93" s="466">
        <f>Tabla1[[#This Row],[CONSUMO POL ANIONICO (KG)]]</f>
        <v>0</v>
      </c>
      <c r="W93" s="445">
        <f>Tabla1[[#This Row],[CONSUMO POL CATIONICO (KG)]]</f>
        <v>0</v>
      </c>
      <c r="X93" s="467" t="e">
        <f t="shared" si="32"/>
        <v>#DIV/0!</v>
      </c>
      <c r="Y93" s="466" t="e">
        <f t="shared" si="33"/>
        <v>#DIV/0!</v>
      </c>
      <c r="Z93" s="466" t="e">
        <f t="shared" si="34"/>
        <v>#DIV/0!</v>
      </c>
      <c r="AA93" s="466" t="e">
        <f t="shared" si="35"/>
        <v>#DIV/0!</v>
      </c>
      <c r="AB93" s="445" t="e">
        <f t="shared" si="36"/>
        <v>#DIV/0!</v>
      </c>
      <c r="AC93" s="454">
        <v>1.3</v>
      </c>
      <c r="AD93" s="454">
        <v>1.325</v>
      </c>
      <c r="AE93" s="454">
        <v>1.25</v>
      </c>
      <c r="AF93" s="455">
        <v>2500</v>
      </c>
      <c r="AG93" s="456">
        <v>2500</v>
      </c>
      <c r="AH93" s="158">
        <v>830</v>
      </c>
      <c r="AI93" s="158">
        <v>2818</v>
      </c>
      <c r="AJ93" s="158">
        <v>6295</v>
      </c>
      <c r="AK93" s="158">
        <v>19050</v>
      </c>
      <c r="AL93" s="158">
        <v>22050</v>
      </c>
      <c r="AM93" s="468">
        <f t="shared" si="37"/>
        <v>0</v>
      </c>
      <c r="AN93" s="460">
        <f t="shared" si="38"/>
        <v>0</v>
      </c>
      <c r="AO93" s="460">
        <f t="shared" si="39"/>
        <v>0</v>
      </c>
      <c r="AP93" s="460">
        <f t="shared" si="40"/>
        <v>0</v>
      </c>
      <c r="AQ93" s="469">
        <f t="shared" si="41"/>
        <v>0</v>
      </c>
      <c r="AR93" s="468">
        <f>SUM(Tabla1[[#This Row],[COSTO OPERATIVO ACIDO]:[COSTO OPERATIVO CATIONICO]])</f>
        <v>0</v>
      </c>
      <c r="AS93" s="458">
        <v>3599</v>
      </c>
      <c r="AT93" s="460" t="e">
        <f t="shared" si="42"/>
        <v>#DIV/0!</v>
      </c>
    </row>
    <row r="94" spans="1:46" s="488" customFormat="1" ht="14.95" thickBot="1" x14ac:dyDescent="0.3">
      <c r="A94" s="470">
        <f>A93</f>
        <v>46112</v>
      </c>
      <c r="B94" s="157">
        <f>DAY(Tabla1[[#This Row],[FECHA]])</f>
        <v>31</v>
      </c>
      <c r="C94" s="471" t="s">
        <v>30</v>
      </c>
      <c r="D94" s="472">
        <v>93</v>
      </c>
      <c r="E94" s="472" t="s">
        <v>76</v>
      </c>
      <c r="F94" s="464">
        <v>2780</v>
      </c>
      <c r="G94" s="465">
        <v>5720</v>
      </c>
      <c r="H94" s="465">
        <v>4280</v>
      </c>
      <c r="I94" s="465">
        <v>192</v>
      </c>
      <c r="J94" s="465">
        <v>125</v>
      </c>
      <c r="K94" s="484">
        <v>17622</v>
      </c>
      <c r="L94" s="485">
        <f>+(K95-Tabla1[[#This Row],[Lectura Horometro INICIAL (06:00)]])*Tabla1[[#This Row],[CAUDAL DE TRATAMIENTO]]</f>
        <v>0</v>
      </c>
      <c r="M94" s="486">
        <v>80</v>
      </c>
      <c r="N94" s="446">
        <f>F94-F95</f>
        <v>0</v>
      </c>
      <c r="O94" s="446">
        <f t="shared" si="44"/>
        <v>0</v>
      </c>
      <c r="P94" s="446">
        <f t="shared" si="46"/>
        <v>0</v>
      </c>
      <c r="Q94" s="446">
        <f t="shared" si="47"/>
        <v>0</v>
      </c>
      <c r="R94" s="446">
        <f t="shared" si="48"/>
        <v>0</v>
      </c>
      <c r="S94" s="452">
        <f t="shared" si="29"/>
        <v>0</v>
      </c>
      <c r="T94" s="453">
        <f t="shared" si="30"/>
        <v>0</v>
      </c>
      <c r="U94" s="453">
        <f t="shared" si="31"/>
        <v>0</v>
      </c>
      <c r="V94" s="473">
        <f>Tabla1[[#This Row],[CONSUMO POL ANIONICO (KG)]]</f>
        <v>0</v>
      </c>
      <c r="W94" s="447">
        <f>Tabla1[[#This Row],[CONSUMO POL CATIONICO (KG)]]</f>
        <v>0</v>
      </c>
      <c r="X94" s="467" t="e">
        <f t="shared" si="32"/>
        <v>#DIV/0!</v>
      </c>
      <c r="Y94" s="473" t="e">
        <f t="shared" si="33"/>
        <v>#DIV/0!</v>
      </c>
      <c r="Z94" s="473" t="e">
        <f t="shared" si="34"/>
        <v>#DIV/0!</v>
      </c>
      <c r="AA94" s="473" t="e">
        <f t="shared" si="35"/>
        <v>#DIV/0!</v>
      </c>
      <c r="AB94" s="447" t="e">
        <f t="shared" si="36"/>
        <v>#DIV/0!</v>
      </c>
      <c r="AC94" s="454">
        <v>1.3</v>
      </c>
      <c r="AD94" s="454">
        <v>1.325</v>
      </c>
      <c r="AE94" s="454">
        <v>1.25</v>
      </c>
      <c r="AF94" s="455">
        <v>2500</v>
      </c>
      <c r="AG94" s="456">
        <v>2500</v>
      </c>
      <c r="AH94" s="158">
        <v>830</v>
      </c>
      <c r="AI94" s="158">
        <v>2818</v>
      </c>
      <c r="AJ94" s="158">
        <v>6295</v>
      </c>
      <c r="AK94" s="158">
        <v>19050</v>
      </c>
      <c r="AL94" s="158">
        <v>22050</v>
      </c>
      <c r="AM94" s="468">
        <f t="shared" si="37"/>
        <v>0</v>
      </c>
      <c r="AN94" s="474">
        <f t="shared" si="38"/>
        <v>0</v>
      </c>
      <c r="AO94" s="474">
        <f t="shared" si="39"/>
        <v>0</v>
      </c>
      <c r="AP94" s="474">
        <f t="shared" si="40"/>
        <v>0</v>
      </c>
      <c r="AQ94" s="475">
        <f t="shared" si="41"/>
        <v>0</v>
      </c>
      <c r="AR94" s="468">
        <f>SUM(Tabla1[[#This Row],[COSTO OPERATIVO ACIDO]:[COSTO OPERATIVO CATIONICO]])</f>
        <v>0</v>
      </c>
      <c r="AS94" s="458">
        <v>3599</v>
      </c>
      <c r="AT94" s="460" t="e">
        <f t="shared" si="42"/>
        <v>#DIV/0!</v>
      </c>
    </row>
    <row r="95" spans="1:46" ht="14.95" thickBot="1" x14ac:dyDescent="0.3">
      <c r="B95" s="500"/>
      <c r="F95" s="413">
        <v>2780</v>
      </c>
      <c r="G95" s="413">
        <v>5720</v>
      </c>
      <c r="H95" s="413">
        <v>4280</v>
      </c>
      <c r="I95" s="465">
        <v>192</v>
      </c>
      <c r="J95" s="465">
        <v>125</v>
      </c>
      <c r="K95" s="484">
        <v>17622</v>
      </c>
      <c r="L95" s="501">
        <f>+(K96-Tabla1[[#This Row],[Lectura Horometro INICIAL (06:00)]])*Tabla1[[#This Row],[CAUDAL DE TRATAMIENTO]]</f>
        <v>-1409760</v>
      </c>
      <c r="M95" s="482">
        <v>80</v>
      </c>
      <c r="N95" s="90">
        <f>F95-F96</f>
        <v>2780</v>
      </c>
      <c r="O95" s="90">
        <f>G95-G96</f>
        <v>5720</v>
      </c>
      <c r="P95" s="90">
        <f t="shared" si="46"/>
        <v>4280</v>
      </c>
      <c r="Q95" s="90">
        <f t="shared" si="47"/>
        <v>192</v>
      </c>
      <c r="R95" s="502">
        <f t="shared" si="48"/>
        <v>125</v>
      </c>
      <c r="S95" s="452">
        <f>(N95*$AC$2)</f>
        <v>3614</v>
      </c>
      <c r="T95" s="453">
        <f>(O95*$AD$2)</f>
        <v>7579</v>
      </c>
      <c r="U95" s="453">
        <f>(P95*$AE$2)</f>
        <v>5350</v>
      </c>
      <c r="V95" s="466">
        <f>Tabla1[[#This Row],[CONSUMO POL ANIONICO (KG)]]</f>
        <v>192</v>
      </c>
      <c r="W95" s="445">
        <f>Tabla1[[#This Row],[CONSUMO POL CATIONICO (KG)]]</f>
        <v>125</v>
      </c>
      <c r="X95" s="503">
        <f>(S95*1000)/L95</f>
        <v>-2.5635569174895019</v>
      </c>
      <c r="Y95" s="503">
        <f>(T95*1000)/L95</f>
        <v>-5.3760923845193505</v>
      </c>
      <c r="Z95" s="503">
        <f>(U95*1000)/L95</f>
        <v>-3.7949721938485985</v>
      </c>
      <c r="AA95" s="503">
        <f>(V95*1000)/L95</f>
        <v>-0.13619339462036092</v>
      </c>
      <c r="AB95" s="503">
        <f>(W95*1000)/L95</f>
        <v>-8.8667574622630807E-2</v>
      </c>
      <c r="AC95" s="455"/>
      <c r="AD95" s="455"/>
      <c r="AE95" s="455"/>
      <c r="AF95" s="455"/>
      <c r="AG95" s="456"/>
      <c r="AH95" s="158"/>
      <c r="AI95" s="158"/>
      <c r="AJ95" s="158"/>
      <c r="AK95" s="158"/>
      <c r="AL95" s="158"/>
      <c r="AM95" s="504">
        <f>S95*AH95</f>
        <v>0</v>
      </c>
      <c r="AN95" s="504">
        <f>T95*AI95</f>
        <v>0</v>
      </c>
      <c r="AO95" s="504">
        <f>U95*AJ95</f>
        <v>0</v>
      </c>
      <c r="AP95" s="504">
        <f>V95*AK95</f>
        <v>0</v>
      </c>
      <c r="AQ95" s="504">
        <f>W95*AL95</f>
        <v>0</v>
      </c>
      <c r="AR95" s="504">
        <f>SUM(Tabla1[[#This Row],[COSTO OPERATIVO ACIDO]:[COSTO OPERATIVO CATIONICO]])</f>
        <v>0</v>
      </c>
      <c r="AS95" s="460"/>
      <c r="AT95" s="504">
        <f>AR95/L95</f>
        <v>0</v>
      </c>
    </row>
    <row r="96" spans="1:46" x14ac:dyDescent="0.25">
      <c r="A96" s="39"/>
      <c r="B96" s="178"/>
      <c r="C96" s="38"/>
      <c r="D96" s="67"/>
      <c r="E96" s="67"/>
      <c r="F96" s="411"/>
      <c r="G96" s="411"/>
      <c r="H96" s="411"/>
      <c r="I96" s="411"/>
      <c r="J96" s="411"/>
      <c r="K96" s="74"/>
      <c r="L96" s="425"/>
      <c r="M96" s="425"/>
      <c r="N96" s="38"/>
      <c r="O96" s="38"/>
      <c r="P96" s="38"/>
      <c r="Q96" s="38"/>
      <c r="R96" s="38"/>
      <c r="S96" s="179"/>
      <c r="T96" s="180"/>
      <c r="U96" s="180"/>
      <c r="V96" s="38"/>
      <c r="W96" s="38"/>
      <c r="X96" s="181"/>
      <c r="Y96" s="181"/>
      <c r="Z96" s="181"/>
      <c r="AA96" s="181"/>
      <c r="AB96" s="181"/>
      <c r="AC96" s="182"/>
      <c r="AD96" s="182"/>
      <c r="AE96" s="182"/>
      <c r="AF96" s="182"/>
      <c r="AG96" s="182"/>
      <c r="AH96" s="72"/>
      <c r="AI96" s="72"/>
      <c r="AJ96" s="72"/>
      <c r="AK96" s="72"/>
      <c r="AL96" s="72"/>
      <c r="AM96" s="183"/>
      <c r="AN96" s="183"/>
      <c r="AO96" s="183"/>
      <c r="AP96" s="183"/>
      <c r="AQ96" s="183"/>
      <c r="AR96" s="183">
        <f>SUM(Tabla1[[COSTO QUIMICA ]])</f>
        <v>102401073.5</v>
      </c>
      <c r="AS96" s="183"/>
      <c r="AT96" s="183"/>
    </row>
    <row r="97" spans="1:44" x14ac:dyDescent="0.25">
      <c r="A97" s="39"/>
      <c r="B97" s="39"/>
      <c r="C97" s="38"/>
      <c r="D97" s="67"/>
      <c r="E97" s="67"/>
      <c r="F97" s="412"/>
      <c r="H97" s="412"/>
      <c r="I97" s="412"/>
      <c r="J97" s="412"/>
      <c r="K97" s="74"/>
      <c r="L97" s="425">
        <f>+SUM(L2:L13)</f>
        <v>4880</v>
      </c>
      <c r="M97" s="425"/>
      <c r="N97" s="102">
        <f>+SUM(N2:N88)</f>
        <v>9600</v>
      </c>
      <c r="O97" s="102">
        <f>+SUM(O2:O88)</f>
        <v>11860</v>
      </c>
      <c r="P97" s="102">
        <f>+SUM(P2:P87)</f>
        <v>4710</v>
      </c>
      <c r="Q97" s="102">
        <f>+SUM(Q2:Q87)</f>
        <v>168</v>
      </c>
      <c r="R97" s="102">
        <f>+SUM(R2:R87)</f>
        <v>340</v>
      </c>
      <c r="S97" s="429">
        <f>+SUM(S2:S93)</f>
        <v>12480</v>
      </c>
      <c r="T97" s="429">
        <f>+SUM(T2:T93)</f>
        <v>15714.5</v>
      </c>
      <c r="U97" s="429">
        <f>+SUM(U2:U93)</f>
        <v>5887.5</v>
      </c>
      <c r="V97" s="429">
        <f>+SUM(V2:V93)</f>
        <v>168</v>
      </c>
      <c r="W97" s="429">
        <f>+SUM(W2:W93)</f>
        <v>340</v>
      </c>
      <c r="X97" s="68"/>
      <c r="Y97" s="38"/>
      <c r="Z97" s="38"/>
      <c r="AA97" s="38"/>
      <c r="AB97" s="38"/>
      <c r="AM97" s="158">
        <f>+SUM(AM2:AM95)</f>
        <v>10358400</v>
      </c>
      <c r="AN97" s="158">
        <f>+SUM(AN2:AN95)</f>
        <v>44283461</v>
      </c>
      <c r="AO97" s="158">
        <f>+SUM(AO2:AO95)</f>
        <v>37061812.5</v>
      </c>
      <c r="AP97" s="158">
        <f>+SUM(AP2:AP95)</f>
        <v>3200400</v>
      </c>
      <c r="AQ97" s="158">
        <f>+SUM(AQ2:AQ95)</f>
        <v>7497000</v>
      </c>
    </row>
    <row r="98" spans="1:44" x14ac:dyDescent="0.25">
      <c r="A98" s="39"/>
      <c r="B98" s="39"/>
      <c r="C98" s="38"/>
      <c r="D98" s="67"/>
      <c r="E98" s="67"/>
      <c r="F98" s="412"/>
      <c r="G98" s="412"/>
      <c r="H98" s="412"/>
      <c r="I98" s="412"/>
      <c r="J98" s="412"/>
      <c r="K98" s="74"/>
      <c r="L98" s="425">
        <f>+SUM(L2:L13)</f>
        <v>4880</v>
      </c>
      <c r="M98" s="425"/>
      <c r="N98" s="38"/>
      <c r="O98" s="38"/>
      <c r="P98" s="102">
        <f>+MEDIAN(P2:P78)+2000</f>
        <v>2050</v>
      </c>
      <c r="Q98" s="38"/>
      <c r="R98" s="38"/>
      <c r="S98" s="68"/>
      <c r="T98" s="38"/>
      <c r="U98" s="38"/>
      <c r="V98" s="38"/>
      <c r="W98" s="38"/>
      <c r="X98" s="68"/>
      <c r="Y98" s="38"/>
      <c r="Z98" s="38"/>
      <c r="AA98" s="38"/>
      <c r="AB98" s="38"/>
      <c r="AR98" s="158">
        <f>+SUM(AR2:AR94)</f>
        <v>102401073.5</v>
      </c>
    </row>
    <row r="99" spans="1:44" x14ac:dyDescent="0.25">
      <c r="A99" s="39"/>
      <c r="B99" s="39"/>
      <c r="C99" s="38"/>
      <c r="D99" s="67"/>
      <c r="E99" s="67"/>
      <c r="F99" s="412"/>
      <c r="G99" s="412"/>
      <c r="H99" s="412"/>
      <c r="I99" s="412"/>
      <c r="J99" s="412"/>
      <c r="K99" s="74"/>
      <c r="L99" s="414"/>
      <c r="M99" s="414"/>
      <c r="N99" s="38">
        <f>+N97*1.3</f>
        <v>12480</v>
      </c>
      <c r="O99" s="38">
        <f>+O97*1.325</f>
        <v>15714.5</v>
      </c>
      <c r="P99" s="38">
        <f>+P97*1.25</f>
        <v>5887.5</v>
      </c>
      <c r="Q99" s="38"/>
      <c r="R99" s="38"/>
      <c r="S99" s="68"/>
      <c r="T99" s="38"/>
      <c r="U99" s="38"/>
      <c r="V99" s="38"/>
      <c r="W99" s="38"/>
      <c r="X99" s="68"/>
      <c r="Y99" s="38"/>
      <c r="Z99" s="38"/>
      <c r="AA99" s="38"/>
      <c r="AB99" s="38"/>
    </row>
    <row r="100" spans="1:44" x14ac:dyDescent="0.25">
      <c r="S100" s="91">
        <f>+SUM(S2:S50)</f>
        <v>8450</v>
      </c>
      <c r="T100" s="91">
        <f>+SUM(T2:T50)</f>
        <v>10626.5</v>
      </c>
      <c r="U100" s="91">
        <f>+SUM(U2:U50)</f>
        <v>4050</v>
      </c>
      <c r="V100" s="91">
        <f>+SUM(V2:V50)</f>
        <v>85</v>
      </c>
      <c r="W100" s="91">
        <f>+SUM(W2:W50)</f>
        <v>190</v>
      </c>
    </row>
    <row r="101" spans="1:44" x14ac:dyDescent="0.25">
      <c r="L101" s="1">
        <v>29757</v>
      </c>
    </row>
    <row r="102" spans="1:44" x14ac:dyDescent="0.25">
      <c r="L102" s="433">
        <f>+L98-L101</f>
        <v>-24877</v>
      </c>
      <c r="M102" s="433"/>
      <c r="T102">
        <v>1882</v>
      </c>
    </row>
    <row r="103" spans="1:44" x14ac:dyDescent="0.25">
      <c r="L103" s="1">
        <v>2860</v>
      </c>
      <c r="T103" s="91">
        <f>+SUM(T100:T102)</f>
        <v>12508.5</v>
      </c>
    </row>
    <row r="104" spans="1:44" x14ac:dyDescent="0.25">
      <c r="L104" s="433">
        <f>+L102-L103</f>
        <v>-27737</v>
      </c>
      <c r="M104" s="433"/>
    </row>
    <row r="105" spans="1:44" x14ac:dyDescent="0.25">
      <c r="A105" t="s">
        <v>217</v>
      </c>
      <c r="B105">
        <v>71</v>
      </c>
    </row>
    <row r="106" spans="1:44" x14ac:dyDescent="0.25">
      <c r="P106">
        <f>80*3</f>
        <v>240</v>
      </c>
    </row>
  </sheetData>
  <protectedRanges>
    <protectedRange sqref="K1:M1" name="Rango1_3_1_1_2"/>
  </protectedRanges>
  <phoneticPr fontId="14" type="noConversion"/>
  <conditionalFormatting sqref="N1:W1048576 AT2:AT95">
    <cfRule type="cellIs" dxfId="58" priority="11" operator="lessThan">
      <formula>0</formula>
    </cfRule>
  </conditionalFormatting>
  <conditionalFormatting sqref="AM2:AQ95">
    <cfRule type="cellIs" dxfId="57" priority="4" operator="lessThan">
      <formula>0</formula>
    </cfRule>
  </conditionalFormatting>
  <conditionalFormatting sqref="AR2:AR94">
    <cfRule type="cellIs" dxfId="56" priority="2" operator="lessThan">
      <formula>0</formula>
    </cfRule>
  </conditionalFormatting>
  <conditionalFormatting sqref="AS2:AS94">
    <cfRule type="cellIs" dxfId="55" priority="1" operator="lessThan">
      <formula>0</formula>
    </cfRule>
  </conditionalFormatting>
  <conditionalFormatting sqref="AT1:AT1048576">
    <cfRule type="cellIs" dxfId="54" priority="6" operator="greaterThan">
      <formula>5250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2827C-0458-43BA-AB3D-24D549B11DB3}">
  <sheetPr>
    <tabColor rgb="FF00B050"/>
  </sheetPr>
  <dimension ref="A1:AO93"/>
  <sheetViews>
    <sheetView tabSelected="1" topLeftCell="A44" zoomScale="55" zoomScaleNormal="55" workbookViewId="0">
      <selection activeCell="F53" sqref="F53:G55"/>
    </sheetView>
  </sheetViews>
  <sheetFormatPr baseColWidth="10" defaultRowHeight="14.3" x14ac:dyDescent="0.25"/>
  <cols>
    <col min="1" max="1" width="60" style="172" customWidth="1"/>
    <col min="2" max="2" width="49.875" style="172" customWidth="1"/>
    <col min="3" max="4" width="30.375" style="172" customWidth="1"/>
    <col min="5" max="6" width="60" style="172" customWidth="1"/>
    <col min="7" max="7" width="31.875" style="172" customWidth="1"/>
    <col min="8" max="8" width="23.75" style="172" customWidth="1"/>
    <col min="9" max="10" width="60" style="172" customWidth="1"/>
    <col min="11" max="11" width="11.375" customWidth="1"/>
    <col min="12" max="12" width="18.75" bestFit="1" customWidth="1"/>
    <col min="13" max="13" width="22" bestFit="1" customWidth="1"/>
    <col min="14" max="15" width="21" bestFit="1" customWidth="1"/>
    <col min="16" max="16" width="16.5" bestFit="1" customWidth="1"/>
    <col min="17" max="17" width="21" bestFit="1" customWidth="1"/>
    <col min="18" max="18" width="21.75" bestFit="1" customWidth="1"/>
    <col min="19" max="19" width="11.375" customWidth="1"/>
    <col min="20" max="20" width="11.375" style="173"/>
    <col min="21" max="21" width="17.125" style="174" bestFit="1" customWidth="1"/>
    <col min="22" max="22" width="22.625" style="174" bestFit="1" customWidth="1"/>
    <col min="23" max="23" width="17.375" style="175" bestFit="1" customWidth="1"/>
    <col min="24" max="25" width="13.25" style="175" bestFit="1" customWidth="1"/>
    <col min="26" max="26" width="12.875" style="173" bestFit="1" customWidth="1"/>
    <col min="27" max="27" width="16.75" bestFit="1" customWidth="1"/>
    <col min="28" max="28" width="24.25" bestFit="1" customWidth="1"/>
    <col min="29" max="29" width="18.625" bestFit="1" customWidth="1"/>
    <col min="30" max="30" width="29" style="357" customWidth="1"/>
    <col min="31" max="32" width="12.875" style="173" bestFit="1" customWidth="1"/>
    <col min="34" max="34" width="15.125" customWidth="1"/>
    <col min="35" max="39" width="17.125" customWidth="1"/>
    <col min="40" max="41" width="12.875" style="173" bestFit="1" customWidth="1"/>
  </cols>
  <sheetData>
    <row r="1" spans="1:39" ht="28.55" customHeight="1" x14ac:dyDescent="0.25">
      <c r="A1" s="527" t="s">
        <v>116</v>
      </c>
      <c r="B1" s="527"/>
      <c r="C1" s="527"/>
      <c r="D1" s="527"/>
      <c r="E1" s="527"/>
      <c r="F1" s="527"/>
      <c r="G1" s="527"/>
      <c r="H1" s="527"/>
      <c r="I1" s="527"/>
      <c r="J1" s="527"/>
      <c r="K1" s="173"/>
      <c r="L1" s="173"/>
      <c r="M1" s="524" t="s">
        <v>126</v>
      </c>
      <c r="N1" s="524"/>
      <c r="O1" s="524"/>
      <c r="P1" s="524"/>
      <c r="Q1" s="524"/>
      <c r="R1" s="173"/>
      <c r="S1" s="173"/>
      <c r="U1" s="524" t="s">
        <v>184</v>
      </c>
      <c r="V1" s="524"/>
      <c r="W1" s="524"/>
      <c r="X1" s="524"/>
      <c r="Y1" s="173"/>
      <c r="AA1" s="524" t="s">
        <v>185</v>
      </c>
      <c r="AB1" s="524"/>
      <c r="AC1" s="524"/>
      <c r="AD1" s="524"/>
      <c r="AG1" s="524" t="s">
        <v>202</v>
      </c>
      <c r="AH1" s="524"/>
      <c r="AI1" s="524"/>
      <c r="AJ1" s="524"/>
      <c r="AK1" s="524"/>
      <c r="AL1" s="524"/>
      <c r="AM1" s="524"/>
    </row>
    <row r="2" spans="1:39" ht="25.85" x14ac:dyDescent="0.45">
      <c r="A2" s="360" t="s">
        <v>125</v>
      </c>
      <c r="K2" s="173"/>
      <c r="L2" s="173"/>
      <c r="M2" s="173"/>
      <c r="N2" s="173"/>
      <c r="O2" s="173"/>
      <c r="P2" s="173"/>
      <c r="Q2" s="173"/>
      <c r="R2" s="173"/>
      <c r="S2" s="173"/>
      <c r="AA2" s="174"/>
      <c r="AB2" s="174"/>
      <c r="AC2" s="175"/>
      <c r="AD2" s="175"/>
      <c r="AE2" s="173" t="s">
        <v>186</v>
      </c>
      <c r="AG2" s="174"/>
      <c r="AH2" s="174"/>
      <c r="AI2" s="175"/>
      <c r="AJ2" s="175"/>
      <c r="AK2" s="173"/>
      <c r="AL2" s="173"/>
      <c r="AM2" s="175"/>
    </row>
    <row r="3" spans="1:39" ht="21.1" x14ac:dyDescent="0.25">
      <c r="B3" s="526" t="s">
        <v>203</v>
      </c>
      <c r="C3" s="526"/>
      <c r="K3" s="173"/>
      <c r="L3" s="173"/>
      <c r="M3" s="173"/>
      <c r="N3" s="173"/>
      <c r="O3" s="173"/>
      <c r="P3" s="173"/>
      <c r="Q3" s="173"/>
      <c r="R3" s="173"/>
      <c r="S3" s="173"/>
      <c r="AA3" s="174"/>
      <c r="AB3" s="174"/>
      <c r="AC3" s="175"/>
      <c r="AD3" s="175"/>
      <c r="AG3" s="174"/>
      <c r="AH3" s="174"/>
      <c r="AI3" s="175"/>
      <c r="AJ3" s="175"/>
      <c r="AK3" s="173"/>
      <c r="AL3" s="173"/>
      <c r="AM3" s="175"/>
    </row>
    <row r="4" spans="1:39" ht="42.8" x14ac:dyDescent="0.25">
      <c r="K4" s="173"/>
      <c r="L4" s="189" t="s">
        <v>27</v>
      </c>
      <c r="M4" s="359" t="s">
        <v>78</v>
      </c>
      <c r="N4" s="383" t="s">
        <v>169</v>
      </c>
      <c r="O4" s="383" t="s">
        <v>170</v>
      </c>
      <c r="P4" s="383" t="s">
        <v>171</v>
      </c>
      <c r="Q4" s="383" t="s">
        <v>172</v>
      </c>
      <c r="R4" s="383" t="s">
        <v>173</v>
      </c>
      <c r="S4" s="173"/>
      <c r="U4" s="176" t="s">
        <v>79</v>
      </c>
      <c r="V4" s="356" t="s">
        <v>117</v>
      </c>
      <c r="W4" s="356" t="s">
        <v>118</v>
      </c>
      <c r="X4" s="358" t="s">
        <v>216</v>
      </c>
      <c r="Y4" s="620" t="s">
        <v>215</v>
      </c>
      <c r="AA4" s="332" t="s">
        <v>183</v>
      </c>
      <c r="AB4" t="s">
        <v>180</v>
      </c>
      <c r="AC4" t="s">
        <v>181</v>
      </c>
      <c r="AD4" t="s">
        <v>182</v>
      </c>
      <c r="AG4" s="378" t="s">
        <v>183</v>
      </c>
      <c r="AH4" s="496" t="s">
        <v>180</v>
      </c>
      <c r="AI4" s="496" t="s">
        <v>198</v>
      </c>
      <c r="AJ4" s="496" t="s">
        <v>199</v>
      </c>
      <c r="AK4" s="496" t="s">
        <v>200</v>
      </c>
      <c r="AL4" s="496" t="s">
        <v>201</v>
      </c>
    </row>
    <row r="5" spans="1:39" ht="23.8" x14ac:dyDescent="0.25">
      <c r="K5" s="173"/>
      <c r="L5" s="490" t="s">
        <v>301</v>
      </c>
      <c r="M5" s="493">
        <v>-1409760</v>
      </c>
      <c r="N5" s="493">
        <v>-5.3760923845193505</v>
      </c>
      <c r="O5" s="493">
        <v>-3.7949721938485985</v>
      </c>
      <c r="P5" s="493">
        <v>-2.5635569174895019</v>
      </c>
      <c r="Q5" s="493">
        <v>-0.13619339462036092</v>
      </c>
      <c r="R5" s="493">
        <v>-8.8667574622630807E-2</v>
      </c>
      <c r="S5" s="173"/>
      <c r="U5" s="492">
        <v>1</v>
      </c>
      <c r="V5" s="493">
        <v>240</v>
      </c>
      <c r="W5" s="493">
        <v>0</v>
      </c>
      <c r="X5" s="423">
        <v>3599</v>
      </c>
      <c r="Y5" s="424">
        <v>4909</v>
      </c>
      <c r="AA5" s="381">
        <v>1</v>
      </c>
      <c r="AB5" s="619">
        <v>0</v>
      </c>
      <c r="AC5" s="382">
        <v>1000</v>
      </c>
      <c r="AD5" s="73">
        <v>0</v>
      </c>
      <c r="AG5" s="379">
        <v>1</v>
      </c>
      <c r="AH5" s="380">
        <v>0</v>
      </c>
      <c r="AI5" s="380">
        <v>0</v>
      </c>
      <c r="AJ5" s="380">
        <v>0</v>
      </c>
      <c r="AK5" s="380">
        <v>0</v>
      </c>
      <c r="AL5" s="380">
        <v>0</v>
      </c>
    </row>
    <row r="6" spans="1:39" ht="23.8" x14ac:dyDescent="0.25">
      <c r="K6" s="173"/>
      <c r="L6" s="188">
        <v>46082</v>
      </c>
      <c r="M6" s="493">
        <v>240</v>
      </c>
      <c r="N6" s="493">
        <v>0</v>
      </c>
      <c r="O6" s="493">
        <v>0</v>
      </c>
      <c r="P6" s="493">
        <v>0</v>
      </c>
      <c r="Q6" s="493">
        <v>0</v>
      </c>
      <c r="R6" s="493">
        <v>0</v>
      </c>
      <c r="S6" s="173"/>
      <c r="U6" s="492">
        <v>2</v>
      </c>
      <c r="V6" s="493">
        <v>1600</v>
      </c>
      <c r="W6" s="493">
        <v>3863.5328125000001</v>
      </c>
      <c r="X6" s="423">
        <v>3599</v>
      </c>
      <c r="Y6" s="424">
        <v>4909</v>
      </c>
      <c r="AA6" s="381">
        <v>2</v>
      </c>
      <c r="AB6" s="619">
        <v>463.75</v>
      </c>
      <c r="AC6" s="382">
        <v>1000</v>
      </c>
      <c r="AD6" s="73">
        <v>0</v>
      </c>
      <c r="AG6" s="379">
        <v>2</v>
      </c>
      <c r="AH6" s="380">
        <v>463.75</v>
      </c>
      <c r="AI6" s="380">
        <v>0</v>
      </c>
      <c r="AJ6" s="380">
        <v>0</v>
      </c>
      <c r="AK6" s="380">
        <v>0</v>
      </c>
      <c r="AL6" s="380">
        <v>0</v>
      </c>
    </row>
    <row r="7" spans="1:39" ht="23.8" x14ac:dyDescent="0.25">
      <c r="K7" s="173"/>
      <c r="L7" s="188">
        <v>46083</v>
      </c>
      <c r="M7" s="493">
        <v>1600</v>
      </c>
      <c r="N7" s="493">
        <v>372.65625</v>
      </c>
      <c r="O7" s="493">
        <v>343.75</v>
      </c>
      <c r="P7" s="493">
        <v>390</v>
      </c>
      <c r="Q7" s="493">
        <v>6.25</v>
      </c>
      <c r="R7" s="493">
        <v>9.375</v>
      </c>
      <c r="S7" s="173"/>
      <c r="U7" s="492">
        <v>3</v>
      </c>
      <c r="V7" s="493">
        <v>1440</v>
      </c>
      <c r="W7" s="493">
        <v>1946.4652777777778</v>
      </c>
      <c r="X7" s="423">
        <v>3599</v>
      </c>
      <c r="Y7" s="424">
        <v>4909</v>
      </c>
      <c r="AA7" s="381">
        <v>3</v>
      </c>
      <c r="AB7" s="619">
        <v>1090.694</v>
      </c>
      <c r="AC7" s="382">
        <v>1000</v>
      </c>
      <c r="AD7" s="73">
        <v>0</v>
      </c>
      <c r="AG7" s="379">
        <v>3</v>
      </c>
      <c r="AH7" s="380">
        <v>1090.694</v>
      </c>
      <c r="AI7" s="380">
        <v>0</v>
      </c>
      <c r="AJ7" s="380">
        <v>0</v>
      </c>
      <c r="AK7" s="380">
        <v>0</v>
      </c>
      <c r="AL7" s="380">
        <v>0</v>
      </c>
    </row>
    <row r="8" spans="1:39" ht="23.8" x14ac:dyDescent="0.25">
      <c r="K8" s="173"/>
      <c r="L8" s="188">
        <v>46084</v>
      </c>
      <c r="M8" s="493">
        <v>1440</v>
      </c>
      <c r="N8" s="493">
        <v>322.04861111111109</v>
      </c>
      <c r="O8" s="493">
        <v>130.20833333333334</v>
      </c>
      <c r="P8" s="493">
        <v>0</v>
      </c>
      <c r="Q8" s="493">
        <v>3.4722222222222223</v>
      </c>
      <c r="R8" s="493">
        <v>6.9444444444444446</v>
      </c>
      <c r="S8" s="173"/>
      <c r="U8" s="492">
        <v>4</v>
      </c>
      <c r="V8" s="493">
        <v>1600</v>
      </c>
      <c r="W8" s="493">
        <v>2545.6834374999999</v>
      </c>
      <c r="X8" s="423">
        <v>3599</v>
      </c>
      <c r="Y8" s="424">
        <v>4909</v>
      </c>
      <c r="AA8" s="381">
        <v>4</v>
      </c>
      <c r="AB8" s="619">
        <v>972.35</v>
      </c>
      <c r="AC8" s="382">
        <v>1000</v>
      </c>
      <c r="AD8" s="73">
        <v>610.75629578909479</v>
      </c>
      <c r="AG8" s="379">
        <v>4</v>
      </c>
      <c r="AH8" s="380">
        <v>972.35</v>
      </c>
      <c r="AI8" s="380">
        <v>0</v>
      </c>
      <c r="AJ8" s="380">
        <v>704.38862621664452</v>
      </c>
      <c r="AK8" s="380">
        <v>281.46676662345436</v>
      </c>
      <c r="AL8" s="380">
        <v>0</v>
      </c>
    </row>
    <row r="9" spans="1:39" ht="23.8" x14ac:dyDescent="0.25">
      <c r="K9" s="173"/>
      <c r="L9" s="188">
        <v>46085</v>
      </c>
      <c r="M9" s="493">
        <v>1600</v>
      </c>
      <c r="N9" s="493">
        <v>339.53125</v>
      </c>
      <c r="O9" s="493">
        <v>203.125</v>
      </c>
      <c r="P9" s="493">
        <v>373.75</v>
      </c>
      <c r="Q9" s="493">
        <v>0</v>
      </c>
      <c r="R9" s="493">
        <v>0</v>
      </c>
      <c r="S9" s="173"/>
      <c r="U9" s="492">
        <v>5</v>
      </c>
      <c r="V9" s="493">
        <v>1760</v>
      </c>
      <c r="W9" s="493">
        <v>3339.5417613636364</v>
      </c>
      <c r="X9" s="423">
        <v>3599</v>
      </c>
      <c r="Y9" s="424">
        <v>4909</v>
      </c>
      <c r="AA9" s="381">
        <v>5</v>
      </c>
      <c r="AB9" s="619">
        <v>920.28000000000009</v>
      </c>
      <c r="AC9" s="382">
        <v>1000</v>
      </c>
      <c r="AD9" s="73">
        <v>1163.0228328677997</v>
      </c>
      <c r="AG9" s="379">
        <v>5</v>
      </c>
      <c r="AH9" s="380">
        <v>920.28000000000009</v>
      </c>
      <c r="AI9" s="380">
        <v>0</v>
      </c>
      <c r="AJ9" s="380">
        <v>378.22203616138199</v>
      </c>
      <c r="AK9" s="380">
        <v>674.85181855407836</v>
      </c>
      <c r="AL9" s="380">
        <v>0</v>
      </c>
    </row>
    <row r="10" spans="1:39" ht="23.8" x14ac:dyDescent="0.25">
      <c r="K10" s="173"/>
      <c r="L10" s="188">
        <v>46086</v>
      </c>
      <c r="M10" s="493">
        <v>1760</v>
      </c>
      <c r="N10" s="493">
        <v>496.875</v>
      </c>
      <c r="O10" s="493">
        <v>220.17045454545453</v>
      </c>
      <c r="P10" s="493">
        <v>450.56818181818181</v>
      </c>
      <c r="Q10" s="493">
        <v>2.8409090909090908</v>
      </c>
      <c r="R10" s="493">
        <v>5.6818181818181817</v>
      </c>
      <c r="S10" s="173"/>
      <c r="U10" s="492">
        <v>6</v>
      </c>
      <c r="V10" s="493">
        <v>1520</v>
      </c>
      <c r="W10" s="493">
        <v>3266.3855263157893</v>
      </c>
      <c r="X10" s="423">
        <v>3599</v>
      </c>
      <c r="Y10" s="424">
        <v>4909</v>
      </c>
      <c r="AA10" s="381">
        <v>6</v>
      </c>
      <c r="AB10" s="619">
        <v>972.56500000000005</v>
      </c>
      <c r="AC10" s="382">
        <v>1000</v>
      </c>
      <c r="AD10" s="73">
        <v>691.61924774612544</v>
      </c>
      <c r="AG10" s="379">
        <v>6</v>
      </c>
      <c r="AH10" s="380">
        <v>972.56500000000005</v>
      </c>
      <c r="AI10" s="380">
        <v>0</v>
      </c>
      <c r="AJ10" s="380">
        <v>380.97845983504817</v>
      </c>
      <c r="AK10" s="380">
        <v>378.81380949507633</v>
      </c>
      <c r="AL10" s="380">
        <v>0</v>
      </c>
    </row>
    <row r="11" spans="1:39" ht="23.8" x14ac:dyDescent="0.25">
      <c r="K11" s="173"/>
      <c r="L11" s="188">
        <v>46087</v>
      </c>
      <c r="M11" s="493">
        <v>1520</v>
      </c>
      <c r="N11" s="493">
        <v>575.32894736842104</v>
      </c>
      <c r="O11" s="493">
        <v>148.02631578947367</v>
      </c>
      <c r="P11" s="493">
        <v>521.71052631578948</v>
      </c>
      <c r="Q11" s="493">
        <v>3.2894736842105261</v>
      </c>
      <c r="R11" s="493">
        <v>9.8684210526315788</v>
      </c>
      <c r="S11" s="173"/>
      <c r="U11" s="492">
        <v>7</v>
      </c>
      <c r="V11" s="493">
        <v>1280</v>
      </c>
      <c r="W11" s="493">
        <v>4834.5277343750004</v>
      </c>
      <c r="X11" s="423">
        <v>3599</v>
      </c>
      <c r="Y11" s="424">
        <v>4909</v>
      </c>
      <c r="AA11" s="381">
        <v>7</v>
      </c>
      <c r="AB11" s="619">
        <v>544.53600000000006</v>
      </c>
      <c r="AC11" s="382">
        <v>1000</v>
      </c>
      <c r="AD11" s="73">
        <v>0</v>
      </c>
      <c r="AG11" s="379">
        <v>7</v>
      </c>
      <c r="AH11" s="380">
        <v>544.53600000000006</v>
      </c>
      <c r="AI11" s="380">
        <v>0</v>
      </c>
      <c r="AJ11" s="380">
        <v>0</v>
      </c>
      <c r="AK11" s="380">
        <v>0</v>
      </c>
      <c r="AL11" s="380">
        <v>0</v>
      </c>
    </row>
    <row r="12" spans="1:39" ht="23.8" x14ac:dyDescent="0.25">
      <c r="K12" s="173"/>
      <c r="L12" s="188">
        <v>46088</v>
      </c>
      <c r="M12" s="493">
        <v>1280</v>
      </c>
      <c r="N12" s="493">
        <v>652.1484375</v>
      </c>
      <c r="O12" s="493">
        <v>273.4375</v>
      </c>
      <c r="P12" s="493">
        <v>1046.09375</v>
      </c>
      <c r="Q12" s="493">
        <v>7.8125</v>
      </c>
      <c r="R12" s="493">
        <v>11.71875</v>
      </c>
      <c r="S12" s="173"/>
      <c r="U12" s="492">
        <v>8</v>
      </c>
      <c r="V12" s="493">
        <v>0</v>
      </c>
      <c r="W12" s="493">
        <v>0</v>
      </c>
      <c r="X12" s="423">
        <v>3599</v>
      </c>
      <c r="Y12" s="424">
        <v>4909</v>
      </c>
      <c r="AA12" s="381">
        <v>8</v>
      </c>
      <c r="AB12" s="619">
        <v>0</v>
      </c>
      <c r="AC12" s="382">
        <v>1000</v>
      </c>
      <c r="AD12" s="73">
        <v>0</v>
      </c>
      <c r="AG12" s="379">
        <v>8</v>
      </c>
      <c r="AH12" s="380">
        <v>0</v>
      </c>
      <c r="AI12" s="380">
        <v>0</v>
      </c>
      <c r="AJ12" s="380">
        <v>0</v>
      </c>
      <c r="AK12" s="380">
        <v>0</v>
      </c>
      <c r="AL12" s="380">
        <v>0</v>
      </c>
    </row>
    <row r="13" spans="1:39" ht="23.8" x14ac:dyDescent="0.25">
      <c r="K13" s="173"/>
      <c r="L13" s="188">
        <v>46089</v>
      </c>
      <c r="M13" s="493">
        <v>0</v>
      </c>
      <c r="N13" s="493">
        <v>0</v>
      </c>
      <c r="O13" s="493">
        <v>0</v>
      </c>
      <c r="P13" s="493">
        <v>0</v>
      </c>
      <c r="Q13" s="493">
        <v>0</v>
      </c>
      <c r="R13" s="493">
        <v>0</v>
      </c>
      <c r="S13" s="173"/>
      <c r="U13" s="492">
        <v>9</v>
      </c>
      <c r="V13" s="493">
        <v>1520</v>
      </c>
      <c r="W13" s="493">
        <v>4048.1164473684212</v>
      </c>
      <c r="X13" s="423">
        <v>3599</v>
      </c>
      <c r="Y13" s="424">
        <v>4909</v>
      </c>
      <c r="AA13" s="381">
        <v>9</v>
      </c>
      <c r="AB13" s="619">
        <v>908.00700000000006</v>
      </c>
      <c r="AC13" s="382">
        <v>1000</v>
      </c>
      <c r="AD13" s="73">
        <v>83.885604174278058</v>
      </c>
      <c r="AG13" s="379">
        <v>9</v>
      </c>
      <c r="AH13" s="380">
        <v>908.00700000000006</v>
      </c>
      <c r="AI13" s="380">
        <v>0</v>
      </c>
      <c r="AJ13" s="380">
        <v>123.65620722569979</v>
      </c>
      <c r="AK13" s="380">
        <v>34.778308282228053</v>
      </c>
      <c r="AL13" s="380">
        <v>0</v>
      </c>
    </row>
    <row r="14" spans="1:39" ht="23.8" x14ac:dyDescent="0.25">
      <c r="K14" s="173"/>
      <c r="L14" s="188">
        <v>46090</v>
      </c>
      <c r="M14" s="493">
        <v>1520</v>
      </c>
      <c r="N14" s="493">
        <v>714.8026315789474</v>
      </c>
      <c r="O14" s="493">
        <v>197.36842105263159</v>
      </c>
      <c r="P14" s="493">
        <v>615.78947368421052</v>
      </c>
      <c r="Q14" s="493">
        <v>3.2894736842105261</v>
      </c>
      <c r="R14" s="493">
        <v>9.8684210526315788</v>
      </c>
      <c r="S14" s="173"/>
      <c r="U14" s="492">
        <v>10</v>
      </c>
      <c r="V14" s="493">
        <v>1520</v>
      </c>
      <c r="W14" s="493">
        <v>3497.6480263157896</v>
      </c>
      <c r="X14" s="423">
        <v>3599</v>
      </c>
      <c r="Y14" s="424">
        <v>4909</v>
      </c>
      <c r="AA14" s="381">
        <v>10</v>
      </c>
      <c r="AB14" s="619">
        <v>877.67700000000013</v>
      </c>
      <c r="AC14" s="382">
        <v>1000</v>
      </c>
      <c r="AD14" s="73">
        <v>542.80076539367087</v>
      </c>
      <c r="AG14" s="379">
        <v>10</v>
      </c>
      <c r="AH14" s="380">
        <v>877.67700000000013</v>
      </c>
      <c r="AI14" s="380">
        <v>0</v>
      </c>
      <c r="AJ14" s="380">
        <v>281.4447044409834</v>
      </c>
      <c r="AK14" s="380">
        <v>299.83455728797958</v>
      </c>
      <c r="AL14" s="380">
        <v>0</v>
      </c>
    </row>
    <row r="15" spans="1:39" ht="23.8" x14ac:dyDescent="0.25">
      <c r="K15" s="173"/>
      <c r="L15" s="188">
        <v>46091</v>
      </c>
      <c r="M15" s="493">
        <v>1520</v>
      </c>
      <c r="N15" s="493">
        <v>523.02631578947364</v>
      </c>
      <c r="O15" s="493">
        <v>213.81578947368422</v>
      </c>
      <c r="P15" s="493">
        <v>478.94736842105266</v>
      </c>
      <c r="Q15" s="493">
        <v>3.2894736842105261</v>
      </c>
      <c r="R15" s="493">
        <v>9.8684210526315788</v>
      </c>
      <c r="S15" s="173"/>
      <c r="U15" s="492">
        <v>11</v>
      </c>
      <c r="V15" s="493">
        <v>1280</v>
      </c>
      <c r="W15" s="493">
        <v>5348.5871093750002</v>
      </c>
      <c r="X15" s="423">
        <v>3599</v>
      </c>
      <c r="Y15" s="424">
        <v>4909</v>
      </c>
      <c r="AA15" s="381">
        <v>11</v>
      </c>
      <c r="AB15" s="619">
        <v>822.90300000000002</v>
      </c>
      <c r="AC15" s="382">
        <v>1000</v>
      </c>
      <c r="AD15" s="73">
        <v>804.85603054705473</v>
      </c>
      <c r="AG15" s="379">
        <v>11</v>
      </c>
      <c r="AH15" s="380">
        <v>822.90300000000002</v>
      </c>
      <c r="AI15" s="380">
        <v>0</v>
      </c>
      <c r="AJ15" s="380">
        <v>395.68944953137782</v>
      </c>
      <c r="AK15" s="380">
        <v>447.7089676809768</v>
      </c>
      <c r="AL15" s="380">
        <v>0</v>
      </c>
    </row>
    <row r="16" spans="1:39" ht="23.8" x14ac:dyDescent="0.25">
      <c r="K16" s="173"/>
      <c r="L16" s="188">
        <v>46092</v>
      </c>
      <c r="M16" s="493">
        <v>1280</v>
      </c>
      <c r="N16" s="493">
        <v>973.046875</v>
      </c>
      <c r="O16" s="493">
        <v>263.671875</v>
      </c>
      <c r="P16" s="493">
        <v>650</v>
      </c>
      <c r="Q16" s="493">
        <v>7.8125</v>
      </c>
      <c r="R16" s="493">
        <v>11.71875</v>
      </c>
      <c r="S16" s="173"/>
      <c r="U16" s="492">
        <v>12</v>
      </c>
      <c r="V16" s="493">
        <v>1520</v>
      </c>
      <c r="W16" s="493">
        <v>4138.1046052631582</v>
      </c>
      <c r="X16" s="423">
        <v>3599</v>
      </c>
      <c r="Y16" s="424">
        <v>4909</v>
      </c>
      <c r="AA16" s="381">
        <v>12</v>
      </c>
      <c r="AB16" s="619">
        <v>791.274</v>
      </c>
      <c r="AC16" s="382">
        <v>1000</v>
      </c>
      <c r="AD16" s="73">
        <v>791.33096885861471</v>
      </c>
      <c r="AG16" s="379">
        <v>12</v>
      </c>
      <c r="AH16" s="380">
        <v>791.274</v>
      </c>
      <c r="AI16" s="380">
        <v>0</v>
      </c>
      <c r="AJ16" s="380">
        <v>581.78440994267783</v>
      </c>
      <c r="AK16" s="380">
        <v>412.39291253558719</v>
      </c>
      <c r="AL16" s="380">
        <v>0</v>
      </c>
    </row>
    <row r="17" spans="2:38" ht="23.8" x14ac:dyDescent="0.25">
      <c r="K17" s="173"/>
      <c r="L17" s="188">
        <v>46093</v>
      </c>
      <c r="M17" s="493">
        <v>1520</v>
      </c>
      <c r="N17" s="493">
        <v>732.23684210526312</v>
      </c>
      <c r="O17" s="493">
        <v>246.71052631578948</v>
      </c>
      <c r="P17" s="493">
        <v>290.78947368421052</v>
      </c>
      <c r="Q17" s="493">
        <v>3.2894736842105261</v>
      </c>
      <c r="R17" s="493">
        <v>9.8684210526315788</v>
      </c>
      <c r="S17" s="173"/>
      <c r="U17" s="492">
        <v>13</v>
      </c>
      <c r="V17" s="493">
        <v>1280</v>
      </c>
      <c r="W17" s="493">
        <v>3311.2105468750001</v>
      </c>
      <c r="X17" s="423">
        <v>3599</v>
      </c>
      <c r="Y17" s="424">
        <v>4909</v>
      </c>
      <c r="AA17" s="381">
        <v>13</v>
      </c>
      <c r="AB17" s="619">
        <v>714.38900000000001</v>
      </c>
      <c r="AC17" s="382">
        <v>1000</v>
      </c>
      <c r="AD17" s="73">
        <v>558.43525026281202</v>
      </c>
      <c r="AG17" s="379">
        <v>13</v>
      </c>
      <c r="AH17" s="380">
        <v>714.38900000000001</v>
      </c>
      <c r="AI17" s="380">
        <v>0</v>
      </c>
      <c r="AJ17" s="380">
        <v>282.90646014691538</v>
      </c>
      <c r="AK17" s="380">
        <v>309.42894078568872</v>
      </c>
      <c r="AL17" s="380">
        <v>0</v>
      </c>
    </row>
    <row r="18" spans="2:38" ht="23.8" x14ac:dyDescent="0.25">
      <c r="K18" s="173"/>
      <c r="L18" s="188">
        <v>46094</v>
      </c>
      <c r="M18" s="493">
        <v>1280</v>
      </c>
      <c r="N18" s="493">
        <v>486.5234375</v>
      </c>
      <c r="O18" s="493">
        <v>195.3125</v>
      </c>
      <c r="P18" s="493">
        <v>365.625</v>
      </c>
      <c r="Q18" s="493">
        <v>7.8125</v>
      </c>
      <c r="R18" s="493">
        <v>11.71875</v>
      </c>
      <c r="S18" s="173"/>
      <c r="U18" s="492">
        <v>14</v>
      </c>
      <c r="V18" s="493">
        <v>1280</v>
      </c>
      <c r="W18" s="493">
        <v>2116.3859375000002</v>
      </c>
      <c r="X18" s="423">
        <v>3599</v>
      </c>
      <c r="Y18" s="424">
        <v>4909</v>
      </c>
      <c r="AA18" s="381">
        <v>14</v>
      </c>
      <c r="AB18" s="619">
        <v>188.70699999999999</v>
      </c>
      <c r="AC18" s="382">
        <v>1000</v>
      </c>
      <c r="AD18" s="73">
        <v>0</v>
      </c>
      <c r="AG18" s="379">
        <v>14</v>
      </c>
      <c r="AH18" s="380">
        <v>188.70699999999999</v>
      </c>
      <c r="AI18" s="380">
        <v>0</v>
      </c>
      <c r="AJ18" s="380">
        <v>0</v>
      </c>
      <c r="AK18" s="380">
        <v>0</v>
      </c>
      <c r="AL18" s="380">
        <v>0</v>
      </c>
    </row>
    <row r="19" spans="2:38" ht="23.8" x14ac:dyDescent="0.25">
      <c r="K19" s="173"/>
      <c r="L19" s="188">
        <v>46095</v>
      </c>
      <c r="M19" s="493">
        <v>1280</v>
      </c>
      <c r="N19" s="493">
        <v>351.953125</v>
      </c>
      <c r="O19" s="493">
        <v>97.65625</v>
      </c>
      <c r="P19" s="493">
        <v>213.28125</v>
      </c>
      <c r="Q19" s="493">
        <v>3.90625</v>
      </c>
      <c r="R19" s="493">
        <v>11.71875</v>
      </c>
      <c r="S19" s="173"/>
      <c r="U19" s="492">
        <v>15</v>
      </c>
      <c r="V19" s="493">
        <v>0</v>
      </c>
      <c r="W19" s="493">
        <v>0</v>
      </c>
      <c r="X19" s="423">
        <v>3599</v>
      </c>
      <c r="Y19" s="424">
        <v>4909</v>
      </c>
      <c r="AA19" s="381">
        <v>15</v>
      </c>
      <c r="AB19" s="619">
        <v>0</v>
      </c>
      <c r="AC19" s="382">
        <v>1000</v>
      </c>
      <c r="AD19" s="73">
        <v>0</v>
      </c>
      <c r="AG19" s="379">
        <v>15</v>
      </c>
      <c r="AH19" s="380">
        <v>0</v>
      </c>
      <c r="AI19" s="380">
        <v>0</v>
      </c>
      <c r="AJ19" s="380">
        <v>0</v>
      </c>
      <c r="AK19" s="380">
        <v>0</v>
      </c>
      <c r="AL19" s="380">
        <v>0</v>
      </c>
    </row>
    <row r="20" spans="2:38" ht="23.8" x14ac:dyDescent="0.25">
      <c r="K20" s="173"/>
      <c r="L20" s="188">
        <v>46096</v>
      </c>
      <c r="M20" s="493">
        <v>0</v>
      </c>
      <c r="N20" s="493">
        <v>0</v>
      </c>
      <c r="O20" s="493">
        <v>0</v>
      </c>
      <c r="P20" s="493">
        <v>0</v>
      </c>
      <c r="Q20" s="493">
        <v>0</v>
      </c>
      <c r="R20" s="493">
        <v>0</v>
      </c>
      <c r="S20" s="173"/>
      <c r="U20" s="492">
        <v>16</v>
      </c>
      <c r="V20" s="493">
        <v>1293</v>
      </c>
      <c r="W20" s="493">
        <v>3876.5216550657387</v>
      </c>
      <c r="X20" s="423">
        <v>3599</v>
      </c>
      <c r="Y20" s="424">
        <v>4909</v>
      </c>
      <c r="AA20" s="381">
        <v>16</v>
      </c>
      <c r="AB20" s="619">
        <v>857.15499999999997</v>
      </c>
      <c r="AC20" s="382">
        <v>1000</v>
      </c>
      <c r="AD20" s="73">
        <v>307.26057345766526</v>
      </c>
      <c r="AG20" s="379">
        <v>16</v>
      </c>
      <c r="AH20" s="380">
        <v>857.15499999999997</v>
      </c>
      <c r="AI20" s="380">
        <v>0</v>
      </c>
      <c r="AJ20" s="380">
        <v>314.38151117420563</v>
      </c>
      <c r="AK20" s="380">
        <v>147.36633336290885</v>
      </c>
      <c r="AL20" s="380">
        <v>0</v>
      </c>
    </row>
    <row r="21" spans="2:38" ht="23.8" x14ac:dyDescent="0.25">
      <c r="K21" s="173"/>
      <c r="L21" s="188">
        <v>46097</v>
      </c>
      <c r="M21" s="493">
        <v>1293</v>
      </c>
      <c r="N21" s="493">
        <v>819.79891724671302</v>
      </c>
      <c r="O21" s="493">
        <v>145.01160092807424</v>
      </c>
      <c r="P21" s="493">
        <v>301.62412993039442</v>
      </c>
      <c r="Q21" s="493">
        <v>7.7339520494972929</v>
      </c>
      <c r="R21" s="493">
        <v>11.600928074245939</v>
      </c>
      <c r="S21" s="173"/>
      <c r="U21" s="492">
        <v>17</v>
      </c>
      <c r="V21" s="493">
        <v>1200</v>
      </c>
      <c r="W21" s="493">
        <v>3565.4216666666666</v>
      </c>
      <c r="X21" s="423">
        <v>3599</v>
      </c>
      <c r="Y21" s="424">
        <v>4909</v>
      </c>
      <c r="AA21" s="381">
        <v>17</v>
      </c>
      <c r="AB21" s="619">
        <v>946.31399999999996</v>
      </c>
      <c r="AC21" s="382">
        <v>1000</v>
      </c>
      <c r="AD21" s="73">
        <v>477.51930120446298</v>
      </c>
      <c r="AG21" s="379">
        <v>17</v>
      </c>
      <c r="AH21" s="380">
        <v>946.31399999999996</v>
      </c>
      <c r="AI21" s="380">
        <v>0</v>
      </c>
      <c r="AJ21" s="380">
        <v>71.190345966171492</v>
      </c>
      <c r="AK21" s="380">
        <v>289.21078048757175</v>
      </c>
      <c r="AL21" s="380">
        <v>0</v>
      </c>
    </row>
    <row r="22" spans="2:38" ht="23.8" x14ac:dyDescent="0.25">
      <c r="K22" s="173"/>
      <c r="L22" s="188">
        <v>46098</v>
      </c>
      <c r="M22" s="493">
        <v>1200</v>
      </c>
      <c r="N22" s="493">
        <v>563.125</v>
      </c>
      <c r="O22" s="493">
        <v>197.91666666666666</v>
      </c>
      <c r="P22" s="493">
        <v>455</v>
      </c>
      <c r="Q22" s="493">
        <v>4.166666666666667</v>
      </c>
      <c r="R22" s="493">
        <v>12.5</v>
      </c>
      <c r="S22" s="173"/>
      <c r="U22" s="492">
        <v>18</v>
      </c>
      <c r="V22" s="493">
        <v>1354</v>
      </c>
      <c r="W22" s="493">
        <v>3204.0461595273264</v>
      </c>
      <c r="X22" s="423">
        <v>3599</v>
      </c>
      <c r="Y22" s="424">
        <v>4909</v>
      </c>
      <c r="AA22" s="381">
        <v>18</v>
      </c>
      <c r="AB22" s="619">
        <v>890.56500000000005</v>
      </c>
      <c r="AC22" s="382">
        <v>1000</v>
      </c>
      <c r="AD22" s="73">
        <v>824.88147234738904</v>
      </c>
      <c r="AG22" s="379">
        <v>18</v>
      </c>
      <c r="AH22" s="380">
        <v>890.56500000000005</v>
      </c>
      <c r="AI22" s="380">
        <v>0</v>
      </c>
      <c r="AJ22" s="380">
        <v>554.7434355934696</v>
      </c>
      <c r="AK22" s="380">
        <v>437.33324823064709</v>
      </c>
      <c r="AL22" s="380">
        <v>0</v>
      </c>
    </row>
    <row r="23" spans="2:38" ht="23.8" x14ac:dyDescent="0.25">
      <c r="K23" s="173"/>
      <c r="L23" s="188">
        <v>46099</v>
      </c>
      <c r="M23" s="493">
        <v>1354</v>
      </c>
      <c r="N23" s="493">
        <v>450.14771048744461</v>
      </c>
      <c r="O23" s="493">
        <v>156.9423929098966</v>
      </c>
      <c r="P23" s="493">
        <v>652.88035450516986</v>
      </c>
      <c r="Q23" s="493">
        <v>5.9084194977843429</v>
      </c>
      <c r="R23" s="493">
        <v>13.293943870014772</v>
      </c>
      <c r="S23" s="173"/>
      <c r="U23" s="492">
        <v>19</v>
      </c>
      <c r="V23" s="493">
        <v>1200</v>
      </c>
      <c r="W23" s="493">
        <v>2592.3379166666668</v>
      </c>
      <c r="X23" s="423">
        <v>3599</v>
      </c>
      <c r="Y23" s="424">
        <v>4909</v>
      </c>
      <c r="AA23" s="381">
        <v>19</v>
      </c>
      <c r="AB23" s="619">
        <v>939.26800000000003</v>
      </c>
      <c r="AC23" s="382">
        <v>1000</v>
      </c>
      <c r="AD23" s="73">
        <v>1094.6886253864429</v>
      </c>
      <c r="AG23" s="379">
        <v>19</v>
      </c>
      <c r="AH23" s="380">
        <v>939.26800000000003</v>
      </c>
      <c r="AI23" s="380">
        <v>0</v>
      </c>
      <c r="AJ23" s="380">
        <v>564.23184041264233</v>
      </c>
      <c r="AK23" s="380">
        <v>605.17451103580549</v>
      </c>
      <c r="AL23" s="380">
        <v>0</v>
      </c>
    </row>
    <row r="24" spans="2:38" ht="23.8" x14ac:dyDescent="0.25">
      <c r="K24" s="173"/>
      <c r="L24" s="188">
        <v>46100</v>
      </c>
      <c r="M24" s="493">
        <v>1200</v>
      </c>
      <c r="N24" s="493">
        <v>364.375</v>
      </c>
      <c r="O24" s="493">
        <v>145.83333333333334</v>
      </c>
      <c r="P24" s="493">
        <v>314.16666666666669</v>
      </c>
      <c r="Q24" s="493">
        <v>5.833333333333333</v>
      </c>
      <c r="R24" s="493">
        <v>12.5</v>
      </c>
      <c r="S24" s="173"/>
      <c r="U24" s="492">
        <v>20</v>
      </c>
      <c r="V24" s="493">
        <v>1120</v>
      </c>
      <c r="W24" s="493">
        <v>3461.7535714285714</v>
      </c>
      <c r="X24" s="423">
        <v>3599</v>
      </c>
      <c r="Y24" s="424">
        <v>4909</v>
      </c>
      <c r="AA24" s="381">
        <v>20</v>
      </c>
      <c r="AB24" s="619">
        <v>922.202</v>
      </c>
      <c r="AC24" s="382">
        <v>1000</v>
      </c>
      <c r="AD24" s="73">
        <v>561.38316083050188</v>
      </c>
      <c r="AG24" s="379">
        <v>20</v>
      </c>
      <c r="AH24" s="380">
        <v>922.202</v>
      </c>
      <c r="AI24" s="380">
        <v>0</v>
      </c>
      <c r="AJ24" s="380">
        <v>462.66074750072841</v>
      </c>
      <c r="AK24" s="380">
        <v>285.35819130390314</v>
      </c>
      <c r="AL24" s="380">
        <v>0</v>
      </c>
    </row>
    <row r="25" spans="2:38" ht="23.8" x14ac:dyDescent="0.25">
      <c r="K25" s="173"/>
      <c r="L25" s="188">
        <v>46101</v>
      </c>
      <c r="M25" s="493">
        <v>1120</v>
      </c>
      <c r="N25" s="493">
        <v>520.53571428571433</v>
      </c>
      <c r="O25" s="493">
        <v>267.85714285714283</v>
      </c>
      <c r="P25" s="493">
        <v>150.89285714285714</v>
      </c>
      <c r="Q25" s="493">
        <v>4.4642857142857144</v>
      </c>
      <c r="R25" s="493">
        <v>4.4642857142857144</v>
      </c>
      <c r="S25" s="173"/>
      <c r="U25" s="492">
        <v>21</v>
      </c>
      <c r="V25" s="493">
        <v>1127</v>
      </c>
      <c r="W25" s="493">
        <v>2336.0732031943212</v>
      </c>
      <c r="X25" s="423">
        <v>3599</v>
      </c>
      <c r="Y25" s="424">
        <v>4909</v>
      </c>
      <c r="AA25" s="381">
        <v>21</v>
      </c>
      <c r="AB25" s="619">
        <v>699.88799999999992</v>
      </c>
      <c r="AC25" s="382">
        <v>1000</v>
      </c>
      <c r="AD25" s="73">
        <v>446.42150262839056</v>
      </c>
      <c r="AG25" s="379">
        <v>21</v>
      </c>
      <c r="AH25" s="380">
        <v>699.88799999999992</v>
      </c>
      <c r="AI25" s="380">
        <v>0</v>
      </c>
      <c r="AJ25" s="380">
        <v>64.17066830943574</v>
      </c>
      <c r="AK25" s="380">
        <v>270.72000693043231</v>
      </c>
      <c r="AL25" s="380">
        <v>0</v>
      </c>
    </row>
    <row r="26" spans="2:38" ht="23.8" x14ac:dyDescent="0.25">
      <c r="K26" s="173"/>
      <c r="L26" s="188">
        <v>46102</v>
      </c>
      <c r="M26" s="493">
        <v>1127</v>
      </c>
      <c r="N26" s="493">
        <v>376.22005323868677</v>
      </c>
      <c r="O26" s="493">
        <v>122.00532386867791</v>
      </c>
      <c r="P26" s="493">
        <v>392.19165927240459</v>
      </c>
      <c r="Q26" s="493">
        <v>4.4365572315882877</v>
      </c>
      <c r="R26" s="493">
        <v>4.4365572315882877</v>
      </c>
      <c r="S26" s="173"/>
      <c r="U26" s="492">
        <v>22</v>
      </c>
      <c r="V26" s="493">
        <v>0</v>
      </c>
      <c r="W26" s="493">
        <v>0</v>
      </c>
      <c r="X26" s="423">
        <v>3599</v>
      </c>
      <c r="Y26" s="424">
        <v>4909</v>
      </c>
      <c r="AA26" s="381">
        <v>22</v>
      </c>
      <c r="AB26" s="619">
        <v>0</v>
      </c>
      <c r="AC26" s="382">
        <v>1000</v>
      </c>
      <c r="AD26" s="73">
        <v>0</v>
      </c>
      <c r="AG26" s="379">
        <v>22</v>
      </c>
      <c r="AH26" s="380">
        <v>0</v>
      </c>
      <c r="AI26" s="380">
        <v>0</v>
      </c>
      <c r="AJ26" s="380">
        <v>0</v>
      </c>
      <c r="AK26" s="380">
        <v>0</v>
      </c>
      <c r="AL26" s="380">
        <v>0</v>
      </c>
    </row>
    <row r="27" spans="2:38" ht="23.8" x14ac:dyDescent="0.25">
      <c r="K27" s="173"/>
      <c r="L27" s="188">
        <v>46103</v>
      </c>
      <c r="M27" s="493">
        <v>0</v>
      </c>
      <c r="N27" s="493">
        <v>0</v>
      </c>
      <c r="O27" s="493">
        <v>0</v>
      </c>
      <c r="P27" s="493">
        <v>0</v>
      </c>
      <c r="Q27" s="493">
        <v>0</v>
      </c>
      <c r="R27" s="493">
        <v>0</v>
      </c>
      <c r="S27" s="173"/>
      <c r="U27" s="492">
        <v>23</v>
      </c>
      <c r="V27" s="493">
        <v>720</v>
      </c>
      <c r="W27" s="493">
        <v>2306.0451388888887</v>
      </c>
      <c r="X27" s="423">
        <v>3599</v>
      </c>
      <c r="Y27" s="424">
        <v>4909</v>
      </c>
      <c r="AA27" s="381">
        <v>23</v>
      </c>
      <c r="AB27" s="619">
        <v>466.81799999999998</v>
      </c>
      <c r="AC27" s="382">
        <v>1000</v>
      </c>
      <c r="AD27" s="73">
        <v>1059.2450433179076</v>
      </c>
      <c r="AG27" s="379">
        <v>23</v>
      </c>
      <c r="AH27" s="380">
        <v>466.81799999999998</v>
      </c>
      <c r="AI27" s="380">
        <v>0</v>
      </c>
      <c r="AJ27" s="380">
        <v>697.5181657256561</v>
      </c>
      <c r="AK27" s="380">
        <v>563.72696583431252</v>
      </c>
      <c r="AL27" s="380">
        <v>0</v>
      </c>
    </row>
    <row r="28" spans="2:38" ht="23.8" x14ac:dyDescent="0.25">
      <c r="B28" s="526" t="s">
        <v>119</v>
      </c>
      <c r="C28" s="526"/>
      <c r="K28" s="173"/>
      <c r="L28" s="188">
        <v>46104</v>
      </c>
      <c r="M28" s="493">
        <v>720</v>
      </c>
      <c r="N28" s="493">
        <v>276.04166666666669</v>
      </c>
      <c r="O28" s="493">
        <v>173.61111111111111</v>
      </c>
      <c r="P28" s="493">
        <v>180.55555555555554</v>
      </c>
      <c r="Q28" s="493">
        <v>6.9444444444444446</v>
      </c>
      <c r="R28" s="493">
        <v>6.9444444444444446</v>
      </c>
      <c r="S28" s="173"/>
      <c r="U28" s="492">
        <v>24</v>
      </c>
      <c r="V28" s="493">
        <v>1295</v>
      </c>
      <c r="W28" s="493">
        <v>1779.2710424710424</v>
      </c>
      <c r="X28" s="423">
        <v>3599</v>
      </c>
      <c r="Y28" s="424">
        <v>4909</v>
      </c>
      <c r="AA28" s="381">
        <v>24</v>
      </c>
      <c r="AB28" s="619">
        <v>989.19299999999998</v>
      </c>
      <c r="AC28" s="382">
        <v>1000</v>
      </c>
      <c r="AD28" s="73">
        <v>335.41885046433646</v>
      </c>
      <c r="AG28" s="379">
        <v>24</v>
      </c>
      <c r="AH28" s="380">
        <v>989.19299999999998</v>
      </c>
      <c r="AI28" s="380">
        <v>0</v>
      </c>
      <c r="AJ28" s="380">
        <v>351.8728654960118</v>
      </c>
      <c r="AK28" s="380">
        <v>159.61974745282799</v>
      </c>
      <c r="AL28" s="380">
        <v>0</v>
      </c>
    </row>
    <row r="29" spans="2:38" ht="23.8" x14ac:dyDescent="0.25">
      <c r="K29" s="173"/>
      <c r="L29" s="188">
        <v>46105</v>
      </c>
      <c r="M29" s="493">
        <v>1295</v>
      </c>
      <c r="N29" s="493">
        <v>266.02316602316603</v>
      </c>
      <c r="O29" s="493">
        <v>96.525096525096529</v>
      </c>
      <c r="P29" s="493">
        <v>120.46332046332046</v>
      </c>
      <c r="Q29" s="493">
        <v>6.1776061776061777</v>
      </c>
      <c r="R29" s="493">
        <v>9.2664092664092657</v>
      </c>
      <c r="S29" s="173"/>
      <c r="U29" s="492">
        <v>25</v>
      </c>
      <c r="V29" s="493">
        <v>1200</v>
      </c>
      <c r="W29" s="493">
        <v>2688.2195833333335</v>
      </c>
      <c r="X29" s="423">
        <v>3599</v>
      </c>
      <c r="Y29" s="424">
        <v>4909</v>
      </c>
      <c r="AA29" s="381">
        <v>25</v>
      </c>
      <c r="AB29" s="619">
        <v>936.42200000000003</v>
      </c>
      <c r="AC29" s="382">
        <v>1000</v>
      </c>
      <c r="AD29" s="73">
        <v>27.568317433132091</v>
      </c>
      <c r="AG29" s="379">
        <v>25</v>
      </c>
      <c r="AH29" s="380">
        <v>936.42200000000003</v>
      </c>
      <c r="AI29" s="380">
        <v>0</v>
      </c>
      <c r="AJ29" s="380">
        <v>119.9039554328988</v>
      </c>
      <c r="AK29" s="380">
        <v>0</v>
      </c>
      <c r="AL29" s="380">
        <v>0</v>
      </c>
    </row>
    <row r="30" spans="2:38" ht="23.8" x14ac:dyDescent="0.25">
      <c r="K30" s="173"/>
      <c r="L30" s="188">
        <v>46106</v>
      </c>
      <c r="M30" s="493">
        <v>1200</v>
      </c>
      <c r="N30" s="493">
        <v>342.29166666666669</v>
      </c>
      <c r="O30" s="493">
        <v>125</v>
      </c>
      <c r="P30" s="493">
        <v>303.33333333333331</v>
      </c>
      <c r="Q30" s="493">
        <v>16.666666666666668</v>
      </c>
      <c r="R30" s="493">
        <v>16.666666666666668</v>
      </c>
      <c r="S30" s="173"/>
      <c r="U30" s="492">
        <v>26</v>
      </c>
      <c r="V30" s="493">
        <v>1360</v>
      </c>
      <c r="W30" s="493">
        <v>1857.4878676470589</v>
      </c>
      <c r="X30" s="423">
        <v>3599</v>
      </c>
      <c r="Y30" s="424">
        <v>4909</v>
      </c>
      <c r="AA30" s="381">
        <v>26</v>
      </c>
      <c r="AB30" s="619">
        <v>873.69900000000007</v>
      </c>
      <c r="AC30" s="382">
        <v>1000</v>
      </c>
      <c r="AD30" s="73">
        <v>88.642354909534404</v>
      </c>
      <c r="AG30" s="379">
        <v>26</v>
      </c>
      <c r="AH30" s="380">
        <v>873.69900000000007</v>
      </c>
      <c r="AI30" s="380">
        <v>0</v>
      </c>
      <c r="AJ30" s="380">
        <v>385.53564243882391</v>
      </c>
      <c r="AK30" s="380">
        <v>0</v>
      </c>
      <c r="AL30" s="380">
        <v>0</v>
      </c>
    </row>
    <row r="31" spans="2:38" ht="23.8" x14ac:dyDescent="0.25">
      <c r="K31" s="173"/>
      <c r="L31" s="188">
        <v>46107</v>
      </c>
      <c r="M31" s="493">
        <v>1360</v>
      </c>
      <c r="N31" s="493">
        <v>204.59558823529412</v>
      </c>
      <c r="O31" s="493">
        <v>91.911764705882348</v>
      </c>
      <c r="P31" s="493">
        <v>286.76470588235293</v>
      </c>
      <c r="Q31" s="493">
        <v>7.3529411764705879</v>
      </c>
      <c r="R31" s="493">
        <v>14.705882352941176</v>
      </c>
      <c r="S31" s="173"/>
      <c r="U31" s="492">
        <v>27</v>
      </c>
      <c r="V31" s="493">
        <v>1120</v>
      </c>
      <c r="W31" s="493">
        <v>2451.2125000000001</v>
      </c>
      <c r="X31" s="423">
        <v>3599</v>
      </c>
      <c r="Y31" s="424">
        <v>4909</v>
      </c>
      <c r="AA31" s="381">
        <v>27</v>
      </c>
      <c r="AB31" s="619">
        <v>841.70099999999991</v>
      </c>
      <c r="AC31" s="382">
        <v>1000</v>
      </c>
      <c r="AD31" s="73">
        <v>64.408520115187798</v>
      </c>
      <c r="AG31" s="379">
        <v>27</v>
      </c>
      <c r="AH31" s="380">
        <v>841.70099999999991</v>
      </c>
      <c r="AI31" s="380">
        <v>0</v>
      </c>
      <c r="AJ31" s="380">
        <v>280.13448205979381</v>
      </c>
      <c r="AK31" s="380">
        <v>0</v>
      </c>
      <c r="AL31" s="380">
        <v>0</v>
      </c>
    </row>
    <row r="32" spans="2:38" ht="23.8" x14ac:dyDescent="0.25">
      <c r="K32" s="173"/>
      <c r="L32" s="188">
        <v>46108</v>
      </c>
      <c r="M32" s="493">
        <v>1120</v>
      </c>
      <c r="N32" s="493">
        <v>390.40178571428572</v>
      </c>
      <c r="O32" s="493">
        <v>145.08928571428572</v>
      </c>
      <c r="P32" s="493">
        <v>290.17857142857144</v>
      </c>
      <c r="Q32" s="493">
        <v>0</v>
      </c>
      <c r="R32" s="493">
        <v>8.9285714285714288</v>
      </c>
      <c r="S32" s="173"/>
      <c r="U32" s="492">
        <v>28</v>
      </c>
      <c r="V32" s="493">
        <v>1520</v>
      </c>
      <c r="W32" s="493">
        <v>2768.4121710526315</v>
      </c>
      <c r="X32" s="423">
        <v>3599</v>
      </c>
      <c r="Y32" s="424">
        <v>4909</v>
      </c>
      <c r="AA32" s="381">
        <v>28</v>
      </c>
      <c r="AB32" s="619">
        <v>368.13300000000004</v>
      </c>
      <c r="AC32" s="382">
        <v>1000</v>
      </c>
      <c r="AD32" s="73">
        <v>56.100548328714716</v>
      </c>
      <c r="AG32" s="379">
        <v>28</v>
      </c>
      <c r="AH32" s="380">
        <v>368.13300000000004</v>
      </c>
      <c r="AI32" s="380">
        <v>0</v>
      </c>
      <c r="AJ32" s="380">
        <v>244.00029718473692</v>
      </c>
      <c r="AK32" s="380">
        <v>0</v>
      </c>
      <c r="AL32" s="380">
        <v>0</v>
      </c>
    </row>
    <row r="33" spans="11:38" ht="23.8" x14ac:dyDescent="0.25">
      <c r="K33" s="173"/>
      <c r="L33" s="188">
        <v>46109</v>
      </c>
      <c r="M33" s="493">
        <v>1520</v>
      </c>
      <c r="N33" s="493">
        <v>427.13815789473682</v>
      </c>
      <c r="O33" s="493">
        <v>131.57894736842104</v>
      </c>
      <c r="P33" s="493">
        <v>299.34210526315792</v>
      </c>
      <c r="Q33" s="493">
        <v>6.5789473684210522</v>
      </c>
      <c r="R33" s="493">
        <v>16.44736842105263</v>
      </c>
      <c r="S33" s="173"/>
      <c r="U33" s="492">
        <v>29</v>
      </c>
      <c r="V33" s="493">
        <v>480</v>
      </c>
      <c r="W33" s="493">
        <v>1060.8864583333334</v>
      </c>
      <c r="X33" s="423">
        <v>3599</v>
      </c>
      <c r="Y33" s="424">
        <v>4909</v>
      </c>
      <c r="AA33" s="381">
        <v>29</v>
      </c>
      <c r="AB33" s="619">
        <v>0</v>
      </c>
      <c r="AC33" s="382">
        <v>1000</v>
      </c>
      <c r="AD33" s="73">
        <v>0</v>
      </c>
      <c r="AG33" s="379">
        <v>29</v>
      </c>
      <c r="AH33" s="380">
        <v>0</v>
      </c>
      <c r="AI33" s="380">
        <v>0</v>
      </c>
      <c r="AJ33" s="380">
        <v>0</v>
      </c>
      <c r="AK33" s="380">
        <v>0</v>
      </c>
      <c r="AL33" s="380">
        <v>0</v>
      </c>
    </row>
    <row r="34" spans="11:38" ht="23.8" x14ac:dyDescent="0.25">
      <c r="K34" s="173"/>
      <c r="L34" s="188">
        <v>46110</v>
      </c>
      <c r="M34" s="493">
        <v>480</v>
      </c>
      <c r="N34" s="493">
        <v>220.83333333333334</v>
      </c>
      <c r="O34" s="493">
        <v>26.041666666666668</v>
      </c>
      <c r="P34" s="493">
        <v>54.166666666666664</v>
      </c>
      <c r="Q34" s="493">
        <v>0</v>
      </c>
      <c r="R34" s="493">
        <v>10.416666666666666</v>
      </c>
      <c r="S34" s="173"/>
      <c r="U34" s="492">
        <v>30</v>
      </c>
      <c r="V34" s="493">
        <v>0</v>
      </c>
      <c r="W34" s="493">
        <v>0</v>
      </c>
      <c r="X34" s="423">
        <v>3599</v>
      </c>
      <c r="Y34" s="424">
        <v>4909</v>
      </c>
      <c r="AA34" s="381">
        <v>30</v>
      </c>
      <c r="AB34" s="619">
        <v>0</v>
      </c>
      <c r="AC34" s="382">
        <v>1000</v>
      </c>
      <c r="AD34" s="73">
        <v>0</v>
      </c>
      <c r="AG34" s="379">
        <v>30</v>
      </c>
      <c r="AH34" s="380">
        <v>0</v>
      </c>
      <c r="AI34" s="380">
        <v>0</v>
      </c>
      <c r="AJ34" s="380">
        <v>0</v>
      </c>
      <c r="AK34" s="380">
        <v>0</v>
      </c>
      <c r="AL34" s="380">
        <v>0</v>
      </c>
    </row>
    <row r="35" spans="11:38" ht="23.8" x14ac:dyDescent="0.25">
      <c r="K35" s="173"/>
      <c r="L35" s="188">
        <v>46111</v>
      </c>
      <c r="M35" s="493">
        <v>0</v>
      </c>
      <c r="N35" s="493">
        <v>0</v>
      </c>
      <c r="O35" s="493">
        <v>0</v>
      </c>
      <c r="P35" s="493">
        <v>0</v>
      </c>
      <c r="Q35" s="493">
        <v>0</v>
      </c>
      <c r="R35" s="493">
        <v>0</v>
      </c>
      <c r="S35" s="173"/>
      <c r="U35" s="492">
        <v>31</v>
      </c>
      <c r="V35" s="493">
        <v>0</v>
      </c>
      <c r="W35" s="493">
        <v>0</v>
      </c>
      <c r="X35" s="423">
        <v>3599</v>
      </c>
      <c r="Y35" s="424">
        <v>4909</v>
      </c>
      <c r="AA35" s="381">
        <v>31</v>
      </c>
      <c r="AB35" s="619">
        <v>0</v>
      </c>
      <c r="AC35" s="382">
        <v>1000</v>
      </c>
      <c r="AD35" s="73">
        <v>0</v>
      </c>
      <c r="AG35" s="379">
        <v>31</v>
      </c>
      <c r="AH35" s="380">
        <v>0</v>
      </c>
      <c r="AI35" s="380">
        <v>0</v>
      </c>
      <c r="AJ35" s="380">
        <v>0</v>
      </c>
      <c r="AK35" s="380">
        <v>0</v>
      </c>
      <c r="AL35" s="380">
        <v>0</v>
      </c>
    </row>
    <row r="36" spans="11:38" ht="23.8" x14ac:dyDescent="0.25">
      <c r="K36" s="173"/>
      <c r="L36" s="188">
        <v>46112</v>
      </c>
      <c r="M36" s="493">
        <v>0</v>
      </c>
      <c r="N36" s="493">
        <v>0</v>
      </c>
      <c r="O36" s="493">
        <v>0</v>
      </c>
      <c r="P36" s="493">
        <v>0</v>
      </c>
      <c r="Q36" s="493">
        <v>0</v>
      </c>
      <c r="R36" s="493">
        <v>0</v>
      </c>
      <c r="S36" s="173"/>
      <c r="U36" s="492" t="s">
        <v>72</v>
      </c>
      <c r="V36" s="493">
        <v>32829</v>
      </c>
      <c r="W36" s="493">
        <v>3119.2260958299066</v>
      </c>
      <c r="X36" s="423">
        <v>3599</v>
      </c>
      <c r="Y36" s="424">
        <v>4909</v>
      </c>
      <c r="AA36" s="381" t="s">
        <v>72</v>
      </c>
      <c r="AB36" s="619">
        <v>18998.489999999998</v>
      </c>
      <c r="AC36" s="382">
        <v>1000</v>
      </c>
      <c r="AD36" s="73">
        <v>504.39460886794569</v>
      </c>
      <c r="AG36" s="379">
        <v>0</v>
      </c>
      <c r="AH36" s="380">
        <v>0</v>
      </c>
      <c r="AI36" s="380">
        <v>0</v>
      </c>
      <c r="AJ36" s="380">
        <v>0</v>
      </c>
      <c r="AK36" s="380">
        <v>0</v>
      </c>
      <c r="AL36" s="380">
        <v>0</v>
      </c>
    </row>
    <row r="37" spans="11:38" x14ac:dyDescent="0.25">
      <c r="K37" s="173"/>
      <c r="L37" s="490" t="s">
        <v>72</v>
      </c>
      <c r="M37" s="493">
        <v>-1376931</v>
      </c>
      <c r="N37" s="493">
        <v>-16.916969695649236</v>
      </c>
      <c r="O37" s="493">
        <v>-8.1612658876879092</v>
      </c>
      <c r="P37" s="493">
        <v>-11.688312631497148</v>
      </c>
      <c r="Q37" s="493">
        <v>-0.26145100952771055</v>
      </c>
      <c r="R37" s="493">
        <v>-0.33770755397329277</v>
      </c>
      <c r="S37" s="173"/>
      <c r="U37"/>
      <c r="V37"/>
      <c r="W37"/>
      <c r="X37"/>
      <c r="Y37"/>
      <c r="AD37"/>
      <c r="AG37" s="379" t="s">
        <v>72</v>
      </c>
      <c r="AH37" s="380">
        <v>18998.490000000002</v>
      </c>
      <c r="AI37" s="380">
        <v>0</v>
      </c>
      <c r="AJ37" s="380">
        <v>334.0320869267976</v>
      </c>
      <c r="AK37" s="380">
        <v>268.16535641018118</v>
      </c>
      <c r="AL37" s="380">
        <v>0</v>
      </c>
    </row>
    <row r="38" spans="11:38" x14ac:dyDescent="0.25">
      <c r="K38" s="173"/>
      <c r="S38" s="173"/>
      <c r="AD38"/>
    </row>
    <row r="39" spans="11:38" x14ac:dyDescent="0.25">
      <c r="K39" s="173"/>
      <c r="S39" s="173"/>
      <c r="AD39"/>
    </row>
    <row r="40" spans="11:38" x14ac:dyDescent="0.25">
      <c r="K40" s="173"/>
      <c r="S40" s="173"/>
      <c r="AD40"/>
    </row>
    <row r="41" spans="11:38" x14ac:dyDescent="0.25">
      <c r="K41" s="173"/>
      <c r="S41" s="173"/>
      <c r="AD41"/>
    </row>
    <row r="42" spans="11:38" x14ac:dyDescent="0.25">
      <c r="K42" s="173"/>
      <c r="S42" s="173"/>
      <c r="AD42"/>
    </row>
    <row r="43" spans="11:38" x14ac:dyDescent="0.25">
      <c r="K43" s="173"/>
      <c r="S43" s="173"/>
      <c r="AD43"/>
    </row>
    <row r="44" spans="11:38" x14ac:dyDescent="0.25">
      <c r="K44" s="173"/>
      <c r="S44" s="173"/>
      <c r="AD44"/>
    </row>
    <row r="45" spans="11:38" x14ac:dyDescent="0.25">
      <c r="K45" s="173"/>
      <c r="S45" s="173"/>
      <c r="AD45"/>
    </row>
    <row r="46" spans="11:38" x14ac:dyDescent="0.25">
      <c r="K46" s="173"/>
      <c r="S46" s="173"/>
      <c r="AD46"/>
    </row>
    <row r="47" spans="11:38" x14ac:dyDescent="0.25">
      <c r="K47" s="173"/>
      <c r="S47" s="173"/>
      <c r="AD47"/>
    </row>
    <row r="48" spans="11:38" x14ac:dyDescent="0.25">
      <c r="K48" s="173"/>
      <c r="S48" s="173"/>
      <c r="AD48"/>
    </row>
    <row r="49" spans="1:30" x14ac:dyDescent="0.25">
      <c r="K49" s="173"/>
      <c r="S49" s="173"/>
      <c r="AD49"/>
    </row>
    <row r="50" spans="1:30" x14ac:dyDescent="0.25">
      <c r="K50" s="173"/>
      <c r="S50" s="173"/>
      <c r="AD50"/>
    </row>
    <row r="51" spans="1:30" ht="21.1" x14ac:dyDescent="0.25">
      <c r="B51" s="177" t="s">
        <v>120</v>
      </c>
      <c r="C51" s="177"/>
      <c r="F51" s="177" t="s">
        <v>188</v>
      </c>
      <c r="G51" s="177"/>
      <c r="K51" s="173"/>
      <c r="S51" s="173"/>
      <c r="AD51"/>
    </row>
    <row r="52" spans="1:30" x14ac:dyDescent="0.25">
      <c r="K52" s="173"/>
      <c r="S52" s="173"/>
      <c r="AD52"/>
    </row>
    <row r="53" spans="1:30" ht="22.45" x14ac:dyDescent="0.25">
      <c r="B53" s="525" t="s">
        <v>121</v>
      </c>
      <c r="C53" s="525"/>
      <c r="D53" s="172">
        <f>+'INVENTARIO Y CONSUMO GEM  '!AR98</f>
        <v>102401073.5</v>
      </c>
      <c r="F53" s="525" t="s">
        <v>209</v>
      </c>
      <c r="G53" s="525"/>
      <c r="H53" s="172">
        <f>+Tabla2[[#Totals],[COSTO QUIMICA ]]</f>
        <v>9582735.9326315764</v>
      </c>
      <c r="K53" s="173"/>
      <c r="S53" s="173"/>
      <c r="AD53"/>
    </row>
    <row r="54" spans="1:30" ht="22.45" x14ac:dyDescent="0.4">
      <c r="B54" s="186" t="s">
        <v>122</v>
      </c>
      <c r="C54" s="186" t="s">
        <v>123</v>
      </c>
      <c r="D54" s="325">
        <v>114996411</v>
      </c>
      <c r="F54" s="186" t="s">
        <v>189</v>
      </c>
      <c r="G54" s="186" t="s">
        <v>123</v>
      </c>
      <c r="H54" s="384">
        <v>2515885.201178947</v>
      </c>
      <c r="K54" s="173"/>
      <c r="S54" s="173"/>
      <c r="AD54"/>
    </row>
    <row r="55" spans="1:30" ht="22.45" x14ac:dyDescent="0.4">
      <c r="A55" s="510" t="s">
        <v>125</v>
      </c>
      <c r="B55" s="185">
        <f>+GETPIVOTDATA("  CAUDAL TOTAL TRATADO GEM ",$U$4)</f>
        <v>32829</v>
      </c>
      <c r="C55" s="187">
        <f>+D53/B55</f>
        <v>3119.2260958299066</v>
      </c>
      <c r="D55" s="325">
        <f>C55*B55</f>
        <v>102401073.5</v>
      </c>
      <c r="F55" s="185">
        <f>+GETPIVOTDATA(" VOLUMEN ENVIADO A RO (m3)",$AA$4)</f>
        <v>18998.489999999998</v>
      </c>
      <c r="G55" s="393">
        <f>H53/F55</f>
        <v>504.39460886794569</v>
      </c>
      <c r="H55" s="325">
        <f>G55*F55</f>
        <v>9582735.9326315764</v>
      </c>
      <c r="K55" s="173"/>
      <c r="S55" s="173"/>
      <c r="AD55"/>
    </row>
    <row r="56" spans="1:30" ht="22.45" x14ac:dyDescent="0.4">
      <c r="A56" s="510" t="s">
        <v>302</v>
      </c>
      <c r="B56" s="185">
        <v>13239</v>
      </c>
      <c r="C56" s="187">
        <f>+D53/B56</f>
        <v>7734.8042525870533</v>
      </c>
      <c r="K56" s="173"/>
      <c r="S56" s="173"/>
      <c r="AD56"/>
    </row>
    <row r="57" spans="1:30" x14ac:dyDescent="0.25">
      <c r="K57" s="173"/>
      <c r="S57" s="173"/>
      <c r="AD57"/>
    </row>
    <row r="58" spans="1:30" ht="25.85" x14ac:dyDescent="0.45">
      <c r="A58" s="360" t="s">
        <v>187</v>
      </c>
      <c r="B58" s="361"/>
      <c r="C58" s="361"/>
      <c r="D58" s="361"/>
      <c r="E58" s="361"/>
      <c r="K58" s="173"/>
      <c r="S58" s="173"/>
      <c r="AD58"/>
    </row>
    <row r="59" spans="1:30" x14ac:dyDescent="0.25">
      <c r="K59" s="173"/>
      <c r="S59" s="173"/>
      <c r="AD59"/>
    </row>
    <row r="60" spans="1:30" x14ac:dyDescent="0.25">
      <c r="K60" s="173"/>
      <c r="S60" s="173"/>
      <c r="AD60"/>
    </row>
    <row r="61" spans="1:30" x14ac:dyDescent="0.25">
      <c r="K61" s="173"/>
      <c r="S61" s="173"/>
      <c r="AD61"/>
    </row>
    <row r="62" spans="1:30" x14ac:dyDescent="0.25">
      <c r="K62" s="173"/>
      <c r="S62" s="173"/>
      <c r="AD62"/>
    </row>
    <row r="63" spans="1:30" x14ac:dyDescent="0.25">
      <c r="K63" s="173"/>
      <c r="S63" s="173"/>
      <c r="AD63"/>
    </row>
    <row r="64" spans="1:30" x14ac:dyDescent="0.25">
      <c r="K64" s="173"/>
      <c r="S64" s="173"/>
      <c r="AD64"/>
    </row>
    <row r="65" spans="11:30" x14ac:dyDescent="0.25">
      <c r="K65" s="173"/>
      <c r="S65" s="173"/>
      <c r="AD65"/>
    </row>
    <row r="66" spans="11:30" x14ac:dyDescent="0.25">
      <c r="K66" s="173"/>
      <c r="S66" s="173"/>
      <c r="AD66"/>
    </row>
    <row r="67" spans="11:30" x14ac:dyDescent="0.25">
      <c r="K67" s="173"/>
      <c r="S67" s="173"/>
      <c r="AD67"/>
    </row>
    <row r="68" spans="11:30" x14ac:dyDescent="0.25">
      <c r="K68" s="173"/>
      <c r="S68" s="173"/>
    </row>
    <row r="69" spans="11:30" x14ac:dyDescent="0.25">
      <c r="K69" s="173"/>
      <c r="S69" s="173"/>
    </row>
    <row r="70" spans="11:30" x14ac:dyDescent="0.25">
      <c r="K70" s="173"/>
      <c r="S70" s="173"/>
    </row>
    <row r="71" spans="11:30" x14ac:dyDescent="0.25">
      <c r="K71" s="173"/>
      <c r="S71" s="173"/>
    </row>
    <row r="72" spans="11:30" x14ac:dyDescent="0.25">
      <c r="K72" s="173"/>
      <c r="S72" s="173"/>
    </row>
    <row r="73" spans="11:30" x14ac:dyDescent="0.25">
      <c r="K73" s="173"/>
      <c r="S73" s="173"/>
    </row>
    <row r="74" spans="11:30" x14ac:dyDescent="0.25">
      <c r="K74" s="173"/>
      <c r="S74" s="173"/>
    </row>
    <row r="75" spans="11:30" x14ac:dyDescent="0.25">
      <c r="K75" s="173"/>
      <c r="S75" s="173"/>
    </row>
    <row r="76" spans="11:30" x14ac:dyDescent="0.25">
      <c r="K76" s="173"/>
      <c r="S76" s="173"/>
    </row>
    <row r="77" spans="11:30" x14ac:dyDescent="0.25">
      <c r="K77" s="173"/>
      <c r="S77" s="173"/>
    </row>
    <row r="78" spans="11:30" x14ac:dyDescent="0.25">
      <c r="K78" s="173"/>
      <c r="S78" s="173"/>
    </row>
    <row r="79" spans="11:30" x14ac:dyDescent="0.25">
      <c r="K79" s="173"/>
      <c r="S79" s="173"/>
    </row>
    <row r="80" spans="11:30" x14ac:dyDescent="0.25">
      <c r="K80" s="173"/>
      <c r="S80" s="173"/>
    </row>
    <row r="81" spans="2:19" ht="21.1" x14ac:dyDescent="0.25">
      <c r="B81" s="526" t="s">
        <v>203</v>
      </c>
      <c r="C81" s="526"/>
      <c r="K81" s="173"/>
      <c r="S81" s="173"/>
    </row>
    <row r="82" spans="2:19" x14ac:dyDescent="0.25">
      <c r="K82" s="173"/>
      <c r="S82" s="173"/>
    </row>
    <row r="83" spans="2:19" x14ac:dyDescent="0.25">
      <c r="K83" s="173"/>
      <c r="S83" s="173"/>
    </row>
    <row r="84" spans="2:19" x14ac:dyDescent="0.25">
      <c r="K84" s="173"/>
      <c r="S84" s="173"/>
    </row>
    <row r="85" spans="2:19" x14ac:dyDescent="0.25">
      <c r="K85" s="173"/>
      <c r="S85" s="173"/>
    </row>
    <row r="86" spans="2:19" x14ac:dyDescent="0.25">
      <c r="K86" s="173"/>
      <c r="S86" s="173"/>
    </row>
    <row r="87" spans="2:19" x14ac:dyDescent="0.25">
      <c r="K87" s="173"/>
      <c r="S87" s="173"/>
    </row>
    <row r="88" spans="2:19" x14ac:dyDescent="0.25">
      <c r="K88" s="173"/>
      <c r="S88" s="173"/>
    </row>
    <row r="89" spans="2:19" x14ac:dyDescent="0.25">
      <c r="K89" s="173"/>
      <c r="S89" s="173"/>
    </row>
    <row r="90" spans="2:19" x14ac:dyDescent="0.25">
      <c r="K90" s="173"/>
      <c r="S90" s="173"/>
    </row>
    <row r="91" spans="2:19" x14ac:dyDescent="0.25">
      <c r="K91" s="173"/>
      <c r="S91" s="173"/>
    </row>
    <row r="92" spans="2:19" x14ac:dyDescent="0.25">
      <c r="K92" s="173"/>
      <c r="S92" s="173"/>
    </row>
    <row r="93" spans="2:19" x14ac:dyDescent="0.25">
      <c r="K93" s="173"/>
      <c r="S93" s="173"/>
    </row>
  </sheetData>
  <mergeCells count="10">
    <mergeCell ref="AA1:AD1"/>
    <mergeCell ref="F53:G53"/>
    <mergeCell ref="AG1:AM1"/>
    <mergeCell ref="B81:C81"/>
    <mergeCell ref="U1:X1"/>
    <mergeCell ref="B53:C53"/>
    <mergeCell ref="A1:J1"/>
    <mergeCell ref="B3:C3"/>
    <mergeCell ref="B28:C28"/>
    <mergeCell ref="M1:Q1"/>
  </mergeCells>
  <pageMargins left="0.7" right="0.7" top="0.75" bottom="0.75" header="0.3" footer="0.3"/>
  <pageSetup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99A3F-8182-4A25-BCE7-06929AF50836}">
  <sheetPr>
    <tabColor rgb="FF00B050"/>
  </sheetPr>
  <dimension ref="A1:GB102"/>
  <sheetViews>
    <sheetView topLeftCell="I3" zoomScale="85" zoomScaleNormal="85" workbookViewId="0">
      <selection activeCell="R25" sqref="R25"/>
    </sheetView>
  </sheetViews>
  <sheetFormatPr baseColWidth="10" defaultRowHeight="14.3" x14ac:dyDescent="0.25"/>
  <cols>
    <col min="1" max="1" width="55" bestFit="1" customWidth="1"/>
    <col min="2" max="3" width="8.125" style="90" customWidth="1"/>
    <col min="4" max="4" width="8.25" style="90" customWidth="1"/>
    <col min="5" max="5" width="8.625" style="90" bestFit="1" customWidth="1"/>
    <col min="6" max="6" width="8.125" style="90" customWidth="1"/>
    <col min="7" max="7" width="8.125" style="101" customWidth="1"/>
    <col min="8" max="13" width="8.125" style="90" customWidth="1"/>
    <col min="14" max="14" width="8.125" style="102" customWidth="1"/>
    <col min="15" max="20" width="8.125" style="91" customWidth="1"/>
    <col min="21" max="21" width="8.125" style="102" customWidth="1"/>
    <col min="22" max="22" width="8.125" style="91" customWidth="1"/>
    <col min="23" max="24" width="8.125" style="90" customWidth="1"/>
    <col min="25" max="31" width="8.125" style="91" customWidth="1"/>
    <col min="32" max="32" width="12.875" bestFit="1" customWidth="1"/>
    <col min="33" max="33" width="15.625" bestFit="1" customWidth="1"/>
    <col min="34" max="34" width="12.625" bestFit="1" customWidth="1"/>
    <col min="35" max="35" width="15.625" bestFit="1" customWidth="1"/>
    <col min="36" max="36" width="12.625" bestFit="1" customWidth="1"/>
    <col min="37" max="37" width="15.625" bestFit="1" customWidth="1"/>
    <col min="38" max="38" width="12.625" bestFit="1" customWidth="1"/>
    <col min="39" max="39" width="15.625" bestFit="1" customWidth="1"/>
    <col min="40" max="40" width="12.625" bestFit="1" customWidth="1"/>
    <col min="41" max="41" width="15.625" bestFit="1" customWidth="1"/>
    <col min="42" max="42" width="12.625" bestFit="1" customWidth="1"/>
    <col min="43" max="43" width="15.625" bestFit="1" customWidth="1"/>
    <col min="44" max="44" width="12.625" bestFit="1" customWidth="1"/>
    <col min="45" max="45" width="15.625" bestFit="1" customWidth="1"/>
    <col min="46" max="46" width="12.625" bestFit="1" customWidth="1"/>
    <col min="47" max="47" width="15.625" bestFit="1" customWidth="1"/>
    <col min="48" max="48" width="12.625" bestFit="1" customWidth="1"/>
    <col min="49" max="49" width="15.625" bestFit="1" customWidth="1"/>
    <col min="50" max="50" width="12.625" bestFit="1" customWidth="1"/>
    <col min="51" max="51" width="15.625" bestFit="1" customWidth="1"/>
    <col min="52" max="52" width="12.625" bestFit="1" customWidth="1"/>
    <col min="53" max="53" width="15.625" bestFit="1" customWidth="1"/>
    <col min="54" max="54" width="12.625" bestFit="1" customWidth="1"/>
    <col min="55" max="55" width="15.625" bestFit="1" customWidth="1"/>
    <col min="56" max="56" width="12.625" bestFit="1" customWidth="1"/>
    <col min="57" max="57" width="15.625" bestFit="1" customWidth="1"/>
    <col min="58" max="58" width="12.625" bestFit="1" customWidth="1"/>
    <col min="59" max="59" width="15.625" bestFit="1" customWidth="1"/>
    <col min="60" max="60" width="12.625" bestFit="1" customWidth="1"/>
    <col min="61" max="61" width="15.625" bestFit="1" customWidth="1"/>
    <col min="62" max="62" width="11.625" bestFit="1" customWidth="1"/>
    <col min="63" max="63" width="14.625" bestFit="1" customWidth="1"/>
    <col min="64" max="65" width="12.625" bestFit="1" customWidth="1"/>
    <col min="66" max="165" width="22.375" bestFit="1" customWidth="1"/>
    <col min="166" max="166" width="31.875" bestFit="1" customWidth="1"/>
    <col min="167" max="167" width="38.625" bestFit="1" customWidth="1"/>
    <col min="168" max="168" width="39.25" bestFit="1" customWidth="1"/>
    <col min="169" max="169" width="34.625" bestFit="1" customWidth="1"/>
    <col min="170" max="170" width="35.25" bestFit="1" customWidth="1"/>
    <col min="171" max="172" width="24.75" bestFit="1" customWidth="1"/>
    <col min="173" max="173" width="15.375" bestFit="1" customWidth="1"/>
    <col min="174" max="174" width="22.25" bestFit="1" customWidth="1"/>
    <col min="175" max="175" width="23.375" bestFit="1" customWidth="1"/>
    <col min="176" max="176" width="23.625" bestFit="1" customWidth="1"/>
    <col min="177" max="177" width="24.25" bestFit="1" customWidth="1"/>
    <col min="178" max="179" width="24.75" bestFit="1" customWidth="1"/>
    <col min="180" max="180" width="17.625" bestFit="1" customWidth="1"/>
    <col min="181" max="181" width="24.25" bestFit="1" customWidth="1"/>
    <col min="182" max="182" width="25" bestFit="1" customWidth="1"/>
    <col min="183" max="183" width="25.125" bestFit="1" customWidth="1"/>
    <col min="184" max="184" width="25.375" bestFit="1" customWidth="1"/>
    <col min="185" max="185" width="43.125" bestFit="1" customWidth="1"/>
    <col min="186" max="186" width="42.375" bestFit="1" customWidth="1"/>
  </cols>
  <sheetData>
    <row r="1" spans="1:184" s="38" customFormat="1" ht="15.8" customHeight="1" thickBot="1" x14ac:dyDescent="0.3">
      <c r="A1" s="531" t="s">
        <v>5</v>
      </c>
      <c r="B1" s="532"/>
      <c r="C1" s="532"/>
      <c r="D1" s="532"/>
      <c r="E1" s="532"/>
      <c r="F1" s="533"/>
      <c r="G1" s="101"/>
      <c r="H1" s="101"/>
      <c r="I1" s="101"/>
      <c r="J1" s="101"/>
      <c r="K1" s="101"/>
      <c r="L1" s="101"/>
      <c r="M1" s="101"/>
      <c r="N1" s="102"/>
      <c r="O1" s="102"/>
      <c r="P1" s="102"/>
      <c r="Q1" s="102"/>
      <c r="R1" s="102"/>
      <c r="S1" s="102"/>
      <c r="T1" s="102"/>
      <c r="U1" s="102"/>
      <c r="V1" s="102"/>
      <c r="W1" s="101"/>
      <c r="X1" s="101"/>
      <c r="Y1" s="102"/>
      <c r="Z1" s="102"/>
      <c r="AA1" s="102"/>
      <c r="AB1" s="102"/>
      <c r="AC1" s="102"/>
      <c r="AD1" s="102"/>
      <c r="AE1" s="102"/>
    </row>
    <row r="2" spans="1:184" s="93" customFormat="1" ht="14.95" thickBot="1" x14ac:dyDescent="0.3">
      <c r="A2" s="125"/>
      <c r="B2" s="125" t="s">
        <v>80</v>
      </c>
      <c r="C2" s="126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8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</row>
    <row r="3" spans="1:184" ht="14.95" thickBot="1" x14ac:dyDescent="0.3">
      <c r="A3" s="136" t="s">
        <v>7</v>
      </c>
      <c r="B3" s="129">
        <v>1</v>
      </c>
      <c r="C3" s="130">
        <v>2</v>
      </c>
      <c r="D3" s="130">
        <v>3</v>
      </c>
      <c r="E3" s="130">
        <v>4</v>
      </c>
      <c r="F3" s="130">
        <v>5</v>
      </c>
      <c r="G3" s="130">
        <v>6</v>
      </c>
      <c r="H3" s="130">
        <v>7</v>
      </c>
      <c r="I3" s="130">
        <v>8</v>
      </c>
      <c r="J3" s="130">
        <v>9</v>
      </c>
      <c r="K3" s="130">
        <v>10</v>
      </c>
      <c r="L3" s="130">
        <v>11</v>
      </c>
      <c r="M3" s="130">
        <v>12</v>
      </c>
      <c r="N3" s="130">
        <v>13</v>
      </c>
      <c r="O3" s="130">
        <v>14</v>
      </c>
      <c r="P3" s="130">
        <v>15</v>
      </c>
      <c r="Q3" s="130">
        <v>16</v>
      </c>
      <c r="R3" s="130">
        <v>17</v>
      </c>
      <c r="S3" s="130">
        <v>18</v>
      </c>
      <c r="T3" s="130">
        <v>19</v>
      </c>
      <c r="U3" s="130">
        <v>20</v>
      </c>
      <c r="V3" s="130">
        <v>21</v>
      </c>
      <c r="W3" s="130">
        <v>22</v>
      </c>
      <c r="X3" s="130">
        <v>23</v>
      </c>
      <c r="Y3" s="130">
        <v>24</v>
      </c>
      <c r="Z3" s="130">
        <v>25</v>
      </c>
      <c r="AA3" s="130">
        <v>26</v>
      </c>
      <c r="AB3" s="130">
        <v>27</v>
      </c>
      <c r="AC3" s="130">
        <v>28</v>
      </c>
      <c r="AD3" s="130">
        <v>29</v>
      </c>
      <c r="AE3" s="130">
        <v>30</v>
      </c>
      <c r="AF3" s="130">
        <v>31</v>
      </c>
      <c r="AG3" s="131" t="s">
        <v>301</v>
      </c>
      <c r="AH3" s="132" t="s">
        <v>72</v>
      </c>
    </row>
    <row r="4" spans="1:184" x14ac:dyDescent="0.25">
      <c r="A4" s="133" t="s">
        <v>82</v>
      </c>
      <c r="B4" s="621">
        <v>0</v>
      </c>
      <c r="C4" s="622">
        <v>480</v>
      </c>
      <c r="D4" s="622">
        <v>0</v>
      </c>
      <c r="E4" s="622">
        <v>460</v>
      </c>
      <c r="F4" s="622">
        <v>610</v>
      </c>
      <c r="G4" s="622">
        <v>610</v>
      </c>
      <c r="H4" s="622">
        <v>1030</v>
      </c>
      <c r="I4" s="622">
        <v>0</v>
      </c>
      <c r="J4" s="622">
        <v>720</v>
      </c>
      <c r="K4" s="622">
        <v>560</v>
      </c>
      <c r="L4" s="622">
        <v>640</v>
      </c>
      <c r="M4" s="622">
        <v>340</v>
      </c>
      <c r="N4" s="622">
        <v>360</v>
      </c>
      <c r="O4" s="622">
        <v>210</v>
      </c>
      <c r="P4" s="622">
        <v>0</v>
      </c>
      <c r="Q4" s="622">
        <v>300</v>
      </c>
      <c r="R4" s="622">
        <v>420</v>
      </c>
      <c r="S4" s="622">
        <v>680</v>
      </c>
      <c r="T4" s="622">
        <v>290</v>
      </c>
      <c r="U4" s="622">
        <v>130</v>
      </c>
      <c r="V4" s="622">
        <v>340</v>
      </c>
      <c r="W4" s="622">
        <v>0</v>
      </c>
      <c r="X4" s="622">
        <v>100</v>
      </c>
      <c r="Y4" s="622">
        <v>120</v>
      </c>
      <c r="Z4" s="622">
        <v>280</v>
      </c>
      <c r="AA4" s="622">
        <v>300</v>
      </c>
      <c r="AB4" s="622">
        <v>250</v>
      </c>
      <c r="AC4" s="622">
        <v>350</v>
      </c>
      <c r="AD4" s="622">
        <v>20</v>
      </c>
      <c r="AE4" s="622">
        <v>0</v>
      </c>
      <c r="AF4" s="622">
        <v>0</v>
      </c>
      <c r="AG4" s="622">
        <v>2780</v>
      </c>
      <c r="AH4" s="623">
        <v>12380</v>
      </c>
    </row>
    <row r="5" spans="1:184" x14ac:dyDescent="0.25">
      <c r="A5" s="134" t="s">
        <v>83</v>
      </c>
      <c r="B5" s="624">
        <v>0</v>
      </c>
      <c r="C5" s="625">
        <v>450</v>
      </c>
      <c r="D5" s="625">
        <v>350</v>
      </c>
      <c r="E5" s="625">
        <v>410</v>
      </c>
      <c r="F5" s="625">
        <v>660</v>
      </c>
      <c r="G5" s="625">
        <v>660</v>
      </c>
      <c r="H5" s="625">
        <v>630</v>
      </c>
      <c r="I5" s="625">
        <v>0</v>
      </c>
      <c r="J5" s="625">
        <v>820</v>
      </c>
      <c r="K5" s="625">
        <v>600</v>
      </c>
      <c r="L5" s="625">
        <v>940</v>
      </c>
      <c r="M5" s="625">
        <v>840</v>
      </c>
      <c r="N5" s="625">
        <v>470</v>
      </c>
      <c r="O5" s="625">
        <v>340</v>
      </c>
      <c r="P5" s="625">
        <v>0</v>
      </c>
      <c r="Q5" s="625">
        <v>800</v>
      </c>
      <c r="R5" s="625">
        <v>510</v>
      </c>
      <c r="S5" s="625">
        <v>460</v>
      </c>
      <c r="T5" s="625">
        <v>330</v>
      </c>
      <c r="U5" s="625">
        <v>440</v>
      </c>
      <c r="V5" s="625">
        <v>320</v>
      </c>
      <c r="W5" s="625">
        <v>0</v>
      </c>
      <c r="X5" s="625">
        <v>150</v>
      </c>
      <c r="Y5" s="625">
        <v>260</v>
      </c>
      <c r="Z5" s="625">
        <v>310</v>
      </c>
      <c r="AA5" s="625">
        <v>210</v>
      </c>
      <c r="AB5" s="625">
        <v>330</v>
      </c>
      <c r="AC5" s="625">
        <v>490</v>
      </c>
      <c r="AD5" s="625">
        <v>80</v>
      </c>
      <c r="AE5" s="625">
        <v>0</v>
      </c>
      <c r="AF5" s="625">
        <v>0</v>
      </c>
      <c r="AG5" s="625">
        <v>5720</v>
      </c>
      <c r="AH5" s="626">
        <v>17580</v>
      </c>
    </row>
    <row r="6" spans="1:184" x14ac:dyDescent="0.25">
      <c r="A6" s="134" t="s">
        <v>84</v>
      </c>
      <c r="B6" s="624">
        <v>0</v>
      </c>
      <c r="C6" s="625">
        <v>440</v>
      </c>
      <c r="D6" s="625">
        <v>150</v>
      </c>
      <c r="E6" s="625">
        <v>260</v>
      </c>
      <c r="F6" s="625">
        <v>310</v>
      </c>
      <c r="G6" s="625">
        <v>180</v>
      </c>
      <c r="H6" s="625">
        <v>280</v>
      </c>
      <c r="I6" s="625">
        <v>0</v>
      </c>
      <c r="J6" s="625">
        <v>240</v>
      </c>
      <c r="K6" s="625">
        <v>260</v>
      </c>
      <c r="L6" s="625">
        <v>270</v>
      </c>
      <c r="M6" s="625">
        <v>300</v>
      </c>
      <c r="N6" s="625">
        <v>200</v>
      </c>
      <c r="O6" s="625">
        <v>100</v>
      </c>
      <c r="P6" s="625">
        <v>0</v>
      </c>
      <c r="Q6" s="625">
        <v>150</v>
      </c>
      <c r="R6" s="625">
        <v>190</v>
      </c>
      <c r="S6" s="625">
        <v>170</v>
      </c>
      <c r="T6" s="625">
        <v>140</v>
      </c>
      <c r="U6" s="625">
        <v>240</v>
      </c>
      <c r="V6" s="625">
        <v>110</v>
      </c>
      <c r="W6" s="625">
        <v>0</v>
      </c>
      <c r="X6" s="625">
        <v>100</v>
      </c>
      <c r="Y6" s="625">
        <v>100</v>
      </c>
      <c r="Z6" s="625">
        <v>120</v>
      </c>
      <c r="AA6" s="625">
        <v>100</v>
      </c>
      <c r="AB6" s="625">
        <v>130</v>
      </c>
      <c r="AC6" s="625">
        <v>160</v>
      </c>
      <c r="AD6" s="625">
        <v>10</v>
      </c>
      <c r="AE6" s="625">
        <v>0</v>
      </c>
      <c r="AF6" s="625">
        <v>0</v>
      </c>
      <c r="AG6" s="625">
        <v>4280</v>
      </c>
      <c r="AH6" s="626">
        <v>8990</v>
      </c>
    </row>
    <row r="7" spans="1:184" x14ac:dyDescent="0.25">
      <c r="A7" s="134" t="s">
        <v>85</v>
      </c>
      <c r="B7" s="624">
        <v>0</v>
      </c>
      <c r="C7" s="625">
        <v>10</v>
      </c>
      <c r="D7" s="625">
        <v>5</v>
      </c>
      <c r="E7" s="625">
        <v>0</v>
      </c>
      <c r="F7" s="625">
        <v>5</v>
      </c>
      <c r="G7" s="625">
        <v>5</v>
      </c>
      <c r="H7" s="625">
        <v>10</v>
      </c>
      <c r="I7" s="625">
        <v>0</v>
      </c>
      <c r="J7" s="625">
        <v>5</v>
      </c>
      <c r="K7" s="625">
        <v>5</v>
      </c>
      <c r="L7" s="625">
        <v>10</v>
      </c>
      <c r="M7" s="625">
        <v>5</v>
      </c>
      <c r="N7" s="625">
        <v>10</v>
      </c>
      <c r="O7" s="625">
        <v>5</v>
      </c>
      <c r="P7" s="625">
        <v>0</v>
      </c>
      <c r="Q7" s="625">
        <v>10</v>
      </c>
      <c r="R7" s="625">
        <v>5</v>
      </c>
      <c r="S7" s="625">
        <v>8</v>
      </c>
      <c r="T7" s="625">
        <v>7</v>
      </c>
      <c r="U7" s="625">
        <v>5</v>
      </c>
      <c r="V7" s="625">
        <v>5</v>
      </c>
      <c r="W7" s="625">
        <v>0</v>
      </c>
      <c r="X7" s="625">
        <v>5</v>
      </c>
      <c r="Y7" s="625">
        <v>8</v>
      </c>
      <c r="Z7" s="625">
        <v>20</v>
      </c>
      <c r="AA7" s="625">
        <v>10</v>
      </c>
      <c r="AB7" s="625">
        <v>0</v>
      </c>
      <c r="AC7" s="625">
        <v>10</v>
      </c>
      <c r="AD7" s="625">
        <v>0</v>
      </c>
      <c r="AE7" s="625">
        <v>0</v>
      </c>
      <c r="AF7" s="625">
        <v>0</v>
      </c>
      <c r="AG7" s="625">
        <v>192</v>
      </c>
      <c r="AH7" s="626">
        <v>360</v>
      </c>
    </row>
    <row r="8" spans="1:184" ht="14.95" thickBot="1" x14ac:dyDescent="0.3">
      <c r="A8" s="135" t="s">
        <v>86</v>
      </c>
      <c r="B8" s="627">
        <v>0</v>
      </c>
      <c r="C8" s="628">
        <v>15</v>
      </c>
      <c r="D8" s="628">
        <v>10</v>
      </c>
      <c r="E8" s="628">
        <v>0</v>
      </c>
      <c r="F8" s="628">
        <v>10</v>
      </c>
      <c r="G8" s="628">
        <v>15</v>
      </c>
      <c r="H8" s="628">
        <v>15</v>
      </c>
      <c r="I8" s="628">
        <v>0</v>
      </c>
      <c r="J8" s="628">
        <v>15</v>
      </c>
      <c r="K8" s="628">
        <v>15</v>
      </c>
      <c r="L8" s="628">
        <v>15</v>
      </c>
      <c r="M8" s="628">
        <v>15</v>
      </c>
      <c r="N8" s="628">
        <v>15</v>
      </c>
      <c r="O8" s="628">
        <v>15</v>
      </c>
      <c r="P8" s="628">
        <v>15</v>
      </c>
      <c r="Q8" s="628">
        <v>15</v>
      </c>
      <c r="R8" s="628">
        <v>15</v>
      </c>
      <c r="S8" s="628">
        <v>18</v>
      </c>
      <c r="T8" s="628">
        <v>15</v>
      </c>
      <c r="U8" s="628">
        <v>5</v>
      </c>
      <c r="V8" s="628">
        <v>5</v>
      </c>
      <c r="W8" s="628">
        <v>0</v>
      </c>
      <c r="X8" s="628">
        <v>5</v>
      </c>
      <c r="Y8" s="628">
        <v>12</v>
      </c>
      <c r="Z8" s="628">
        <v>20</v>
      </c>
      <c r="AA8" s="628">
        <v>20</v>
      </c>
      <c r="AB8" s="628">
        <v>10</v>
      </c>
      <c r="AC8" s="628">
        <v>25</v>
      </c>
      <c r="AD8" s="628">
        <v>5</v>
      </c>
      <c r="AE8" s="628">
        <v>0</v>
      </c>
      <c r="AF8" s="628">
        <v>0</v>
      </c>
      <c r="AG8" s="628">
        <v>125</v>
      </c>
      <c r="AH8" s="629">
        <v>465</v>
      </c>
    </row>
    <row r="9" spans="1:184" ht="14.95" thickBot="1" x14ac:dyDescent="0.3"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U9" s="91"/>
      <c r="W9" s="91"/>
      <c r="X9" s="91"/>
    </row>
    <row r="10" spans="1:184" ht="14.95" thickBot="1" x14ac:dyDescent="0.3">
      <c r="A10" s="534" t="s">
        <v>4</v>
      </c>
      <c r="B10" s="535"/>
      <c r="C10" s="535"/>
      <c r="D10" s="535"/>
      <c r="E10" s="535"/>
      <c r="F10" s="536"/>
      <c r="H10" s="91"/>
      <c r="I10" s="91"/>
      <c r="J10" s="91"/>
      <c r="K10" s="91"/>
      <c r="L10" s="91"/>
      <c r="M10" s="91"/>
      <c r="N10" s="91"/>
      <c r="W10" s="91"/>
      <c r="X10" s="91"/>
    </row>
    <row r="11" spans="1:184" ht="14.95" thickBot="1" x14ac:dyDescent="0.3">
      <c r="A11" s="631"/>
      <c r="B11" s="118" t="s">
        <v>80</v>
      </c>
      <c r="C11" s="119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1"/>
    </row>
    <row r="12" spans="1:184" ht="14.95" thickBot="1" x14ac:dyDescent="0.3">
      <c r="A12" s="137" t="s">
        <v>81</v>
      </c>
      <c r="B12" s="111">
        <v>1</v>
      </c>
      <c r="C12" s="112">
        <v>2</v>
      </c>
      <c r="D12" s="112">
        <v>3</v>
      </c>
      <c r="E12" s="112">
        <v>4</v>
      </c>
      <c r="F12" s="112">
        <v>5</v>
      </c>
      <c r="G12" s="112">
        <v>6</v>
      </c>
      <c r="H12" s="112">
        <v>7</v>
      </c>
      <c r="I12" s="112">
        <v>8</v>
      </c>
      <c r="J12" s="112">
        <v>9</v>
      </c>
      <c r="K12" s="112">
        <v>10</v>
      </c>
      <c r="L12" s="112">
        <v>11</v>
      </c>
      <c r="M12" s="112">
        <v>12</v>
      </c>
      <c r="N12" s="112">
        <v>13</v>
      </c>
      <c r="O12" s="112">
        <v>14</v>
      </c>
      <c r="P12" s="112">
        <v>15</v>
      </c>
      <c r="Q12" s="112">
        <v>16</v>
      </c>
      <c r="R12" s="112">
        <v>17</v>
      </c>
      <c r="S12" s="112">
        <v>18</v>
      </c>
      <c r="T12" s="112">
        <v>19</v>
      </c>
      <c r="U12" s="112">
        <v>20</v>
      </c>
      <c r="V12" s="112">
        <v>21</v>
      </c>
      <c r="W12" s="112">
        <v>22</v>
      </c>
      <c r="X12" s="112">
        <v>23</v>
      </c>
      <c r="Y12" s="112">
        <v>24</v>
      </c>
      <c r="Z12" s="112">
        <v>25</v>
      </c>
      <c r="AA12" s="112">
        <v>26</v>
      </c>
      <c r="AB12" s="112">
        <v>27</v>
      </c>
      <c r="AC12" s="112">
        <v>28</v>
      </c>
      <c r="AD12" s="112">
        <v>29</v>
      </c>
      <c r="AE12" s="112">
        <v>30</v>
      </c>
      <c r="AF12" s="112">
        <v>31</v>
      </c>
      <c r="AG12" s="122" t="s">
        <v>301</v>
      </c>
      <c r="AH12" s="123" t="s">
        <v>72</v>
      </c>
    </row>
    <row r="13" spans="1:184" x14ac:dyDescent="0.25">
      <c r="A13" s="115" t="s">
        <v>87</v>
      </c>
      <c r="B13" s="95">
        <v>0</v>
      </c>
      <c r="C13" s="96">
        <v>624</v>
      </c>
      <c r="D13" s="96">
        <v>0</v>
      </c>
      <c r="E13" s="96">
        <v>598</v>
      </c>
      <c r="F13" s="96">
        <v>793</v>
      </c>
      <c r="G13" s="96">
        <v>793</v>
      </c>
      <c r="H13" s="96">
        <v>1339</v>
      </c>
      <c r="I13" s="96">
        <v>0</v>
      </c>
      <c r="J13" s="96">
        <v>936</v>
      </c>
      <c r="K13" s="96">
        <v>728</v>
      </c>
      <c r="L13" s="96">
        <v>832</v>
      </c>
      <c r="M13" s="96">
        <v>442</v>
      </c>
      <c r="N13" s="96">
        <v>468</v>
      </c>
      <c r="O13" s="96">
        <v>273</v>
      </c>
      <c r="P13" s="96">
        <v>0</v>
      </c>
      <c r="Q13" s="96">
        <v>390</v>
      </c>
      <c r="R13" s="96">
        <v>546</v>
      </c>
      <c r="S13" s="96">
        <v>884</v>
      </c>
      <c r="T13" s="96">
        <v>377</v>
      </c>
      <c r="U13" s="96">
        <v>169</v>
      </c>
      <c r="V13" s="96">
        <v>442</v>
      </c>
      <c r="W13" s="96">
        <v>0</v>
      </c>
      <c r="X13" s="96">
        <v>130</v>
      </c>
      <c r="Y13" s="96">
        <v>156</v>
      </c>
      <c r="Z13" s="96">
        <v>364</v>
      </c>
      <c r="AA13" s="96">
        <v>390</v>
      </c>
      <c r="AB13" s="96">
        <v>325</v>
      </c>
      <c r="AC13" s="96">
        <v>455</v>
      </c>
      <c r="AD13" s="96">
        <v>26</v>
      </c>
      <c r="AE13" s="96">
        <v>0</v>
      </c>
      <c r="AF13" s="96">
        <v>0</v>
      </c>
      <c r="AG13" s="96">
        <v>3614</v>
      </c>
      <c r="AH13" s="97">
        <v>16094</v>
      </c>
    </row>
    <row r="14" spans="1:184" x14ac:dyDescent="0.25">
      <c r="A14" s="116" t="s">
        <v>88</v>
      </c>
      <c r="B14" s="113">
        <v>0</v>
      </c>
      <c r="C14" s="630">
        <v>596.25</v>
      </c>
      <c r="D14" s="630">
        <v>463.75</v>
      </c>
      <c r="E14" s="630">
        <v>543.25</v>
      </c>
      <c r="F14" s="630">
        <v>874.5</v>
      </c>
      <c r="G14" s="630">
        <v>874.5</v>
      </c>
      <c r="H14" s="630">
        <v>834.75</v>
      </c>
      <c r="I14" s="630">
        <v>0</v>
      </c>
      <c r="J14" s="630">
        <v>1086.5</v>
      </c>
      <c r="K14" s="630">
        <v>795</v>
      </c>
      <c r="L14" s="630">
        <v>1245.5</v>
      </c>
      <c r="M14" s="630">
        <v>1113</v>
      </c>
      <c r="N14" s="630">
        <v>622.75</v>
      </c>
      <c r="O14" s="630">
        <v>450.5</v>
      </c>
      <c r="P14" s="630">
        <v>0</v>
      </c>
      <c r="Q14" s="630">
        <v>1060</v>
      </c>
      <c r="R14" s="630">
        <v>675.75</v>
      </c>
      <c r="S14" s="630">
        <v>609.5</v>
      </c>
      <c r="T14" s="630">
        <v>437.25</v>
      </c>
      <c r="U14" s="630">
        <v>583</v>
      </c>
      <c r="V14" s="630">
        <v>424</v>
      </c>
      <c r="W14" s="630">
        <v>0</v>
      </c>
      <c r="X14" s="630">
        <v>198.75</v>
      </c>
      <c r="Y14" s="630">
        <v>344.5</v>
      </c>
      <c r="Z14" s="630">
        <v>410.75</v>
      </c>
      <c r="AA14" s="630">
        <v>278.25</v>
      </c>
      <c r="AB14" s="630">
        <v>437.25</v>
      </c>
      <c r="AC14" s="630">
        <v>649.25</v>
      </c>
      <c r="AD14" s="630">
        <v>106</v>
      </c>
      <c r="AE14" s="630">
        <v>0</v>
      </c>
      <c r="AF14" s="630">
        <v>0</v>
      </c>
      <c r="AG14" s="630">
        <v>7579</v>
      </c>
      <c r="AH14" s="114">
        <v>23293.5</v>
      </c>
    </row>
    <row r="15" spans="1:184" x14ac:dyDescent="0.25">
      <c r="A15" s="116" t="s">
        <v>89</v>
      </c>
      <c r="B15" s="113">
        <v>0</v>
      </c>
      <c r="C15" s="630">
        <v>550</v>
      </c>
      <c r="D15" s="630">
        <v>187.5</v>
      </c>
      <c r="E15" s="630">
        <v>325</v>
      </c>
      <c r="F15" s="630">
        <v>387.5</v>
      </c>
      <c r="G15" s="630">
        <v>225</v>
      </c>
      <c r="H15" s="630">
        <v>350</v>
      </c>
      <c r="I15" s="630">
        <v>0</v>
      </c>
      <c r="J15" s="630">
        <v>300</v>
      </c>
      <c r="K15" s="630">
        <v>325</v>
      </c>
      <c r="L15" s="630">
        <v>337.5</v>
      </c>
      <c r="M15" s="630">
        <v>375</v>
      </c>
      <c r="N15" s="630">
        <v>250</v>
      </c>
      <c r="O15" s="630">
        <v>125</v>
      </c>
      <c r="P15" s="630">
        <v>0</v>
      </c>
      <c r="Q15" s="630">
        <v>187.5</v>
      </c>
      <c r="R15" s="630">
        <v>237.5</v>
      </c>
      <c r="S15" s="630">
        <v>212.5</v>
      </c>
      <c r="T15" s="630">
        <v>175</v>
      </c>
      <c r="U15" s="630">
        <v>300</v>
      </c>
      <c r="V15" s="630">
        <v>137.5</v>
      </c>
      <c r="W15" s="630">
        <v>0</v>
      </c>
      <c r="X15" s="630">
        <v>125</v>
      </c>
      <c r="Y15" s="630">
        <v>125</v>
      </c>
      <c r="Z15" s="630">
        <v>150</v>
      </c>
      <c r="AA15" s="630">
        <v>125</v>
      </c>
      <c r="AB15" s="630">
        <v>162.5</v>
      </c>
      <c r="AC15" s="630">
        <v>200</v>
      </c>
      <c r="AD15" s="630">
        <v>12.5</v>
      </c>
      <c r="AE15" s="630">
        <v>0</v>
      </c>
      <c r="AF15" s="630">
        <v>0</v>
      </c>
      <c r="AG15" s="630">
        <v>5350</v>
      </c>
      <c r="AH15" s="114">
        <v>11237.5</v>
      </c>
    </row>
    <row r="16" spans="1:184" x14ac:dyDescent="0.25">
      <c r="A16" s="116" t="s">
        <v>90</v>
      </c>
      <c r="B16" s="113">
        <v>0</v>
      </c>
      <c r="C16" s="630">
        <v>10</v>
      </c>
      <c r="D16" s="630">
        <v>5</v>
      </c>
      <c r="E16" s="630">
        <v>0</v>
      </c>
      <c r="F16" s="630">
        <v>5</v>
      </c>
      <c r="G16" s="630">
        <v>5</v>
      </c>
      <c r="H16" s="630">
        <v>10</v>
      </c>
      <c r="I16" s="630">
        <v>0</v>
      </c>
      <c r="J16" s="630">
        <v>5</v>
      </c>
      <c r="K16" s="630">
        <v>5</v>
      </c>
      <c r="L16" s="630">
        <v>10</v>
      </c>
      <c r="M16" s="630">
        <v>5</v>
      </c>
      <c r="N16" s="630">
        <v>10</v>
      </c>
      <c r="O16" s="630">
        <v>5</v>
      </c>
      <c r="P16" s="630">
        <v>0</v>
      </c>
      <c r="Q16" s="630">
        <v>10</v>
      </c>
      <c r="R16" s="630">
        <v>5</v>
      </c>
      <c r="S16" s="630">
        <v>8</v>
      </c>
      <c r="T16" s="630">
        <v>7</v>
      </c>
      <c r="U16" s="630">
        <v>5</v>
      </c>
      <c r="V16" s="630">
        <v>5</v>
      </c>
      <c r="W16" s="630">
        <v>0</v>
      </c>
      <c r="X16" s="630">
        <v>5</v>
      </c>
      <c r="Y16" s="630">
        <v>8</v>
      </c>
      <c r="Z16" s="630">
        <v>20</v>
      </c>
      <c r="AA16" s="630">
        <v>10</v>
      </c>
      <c r="AB16" s="630">
        <v>0</v>
      </c>
      <c r="AC16" s="630">
        <v>10</v>
      </c>
      <c r="AD16" s="630">
        <v>0</v>
      </c>
      <c r="AE16" s="630">
        <v>0</v>
      </c>
      <c r="AF16" s="630">
        <v>0</v>
      </c>
      <c r="AG16" s="630">
        <v>192</v>
      </c>
      <c r="AH16" s="114">
        <v>360</v>
      </c>
    </row>
    <row r="17" spans="1:34" ht="14.95" thickBot="1" x14ac:dyDescent="0.3">
      <c r="A17" s="117" t="s">
        <v>91</v>
      </c>
      <c r="B17" s="98">
        <v>0</v>
      </c>
      <c r="C17" s="99">
        <v>15</v>
      </c>
      <c r="D17" s="99">
        <v>10</v>
      </c>
      <c r="E17" s="99">
        <v>0</v>
      </c>
      <c r="F17" s="99">
        <v>10</v>
      </c>
      <c r="G17" s="99">
        <v>15</v>
      </c>
      <c r="H17" s="99">
        <v>15</v>
      </c>
      <c r="I17" s="99">
        <v>0</v>
      </c>
      <c r="J17" s="99">
        <v>15</v>
      </c>
      <c r="K17" s="99">
        <v>15</v>
      </c>
      <c r="L17" s="99">
        <v>15</v>
      </c>
      <c r="M17" s="99">
        <v>15</v>
      </c>
      <c r="N17" s="99">
        <v>15</v>
      </c>
      <c r="O17" s="99">
        <v>15</v>
      </c>
      <c r="P17" s="99">
        <v>15</v>
      </c>
      <c r="Q17" s="99">
        <v>15</v>
      </c>
      <c r="R17" s="99">
        <v>15</v>
      </c>
      <c r="S17" s="99">
        <v>18</v>
      </c>
      <c r="T17" s="99">
        <v>15</v>
      </c>
      <c r="U17" s="99">
        <v>5</v>
      </c>
      <c r="V17" s="99">
        <v>5</v>
      </c>
      <c r="W17" s="99">
        <v>0</v>
      </c>
      <c r="X17" s="99">
        <v>5</v>
      </c>
      <c r="Y17" s="99">
        <v>12</v>
      </c>
      <c r="Z17" s="99">
        <v>20</v>
      </c>
      <c r="AA17" s="99">
        <v>20</v>
      </c>
      <c r="AB17" s="99">
        <v>10</v>
      </c>
      <c r="AC17" s="99">
        <v>25</v>
      </c>
      <c r="AD17" s="99">
        <v>5</v>
      </c>
      <c r="AE17" s="99">
        <v>0</v>
      </c>
      <c r="AF17" s="99">
        <v>0</v>
      </c>
      <c r="AG17" s="99">
        <v>125</v>
      </c>
      <c r="AH17" s="100">
        <v>465</v>
      </c>
    </row>
    <row r="18" spans="1:34" ht="14.95" thickBot="1" x14ac:dyDescent="0.3"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U18" s="91"/>
      <c r="W18" s="91"/>
      <c r="X18" s="91"/>
    </row>
    <row r="19" spans="1:34" ht="14.95" thickBot="1" x14ac:dyDescent="0.3">
      <c r="A19" s="528" t="s">
        <v>16</v>
      </c>
      <c r="B19" s="529"/>
      <c r="C19" s="529"/>
      <c r="D19" s="529"/>
      <c r="E19" s="529"/>
      <c r="F19" s="530"/>
      <c r="H19" s="91"/>
      <c r="I19" s="91"/>
      <c r="J19" s="91"/>
      <c r="K19" s="91"/>
      <c r="L19" s="91"/>
      <c r="M19" s="91"/>
      <c r="W19" s="91"/>
      <c r="X19" s="91"/>
    </row>
    <row r="20" spans="1:34" ht="14.95" thickBot="1" x14ac:dyDescent="0.3">
      <c r="A20" s="632"/>
      <c r="B20" s="143" t="s">
        <v>80</v>
      </c>
      <c r="C20" s="144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  <c r="AD20" s="138"/>
      <c r="AE20" s="138"/>
      <c r="AF20" s="138"/>
      <c r="AG20" s="139"/>
    </row>
    <row r="21" spans="1:34" ht="14.95" thickBot="1" x14ac:dyDescent="0.3">
      <c r="A21" s="148" t="s">
        <v>81</v>
      </c>
      <c r="B21" s="145">
        <v>1</v>
      </c>
      <c r="C21" s="146">
        <v>2</v>
      </c>
      <c r="D21" s="146">
        <v>3</v>
      </c>
      <c r="E21" s="146">
        <v>4</v>
      </c>
      <c r="F21" s="146">
        <v>5</v>
      </c>
      <c r="G21" s="146">
        <v>6</v>
      </c>
      <c r="H21" s="146">
        <v>7</v>
      </c>
      <c r="I21" s="146">
        <v>8</v>
      </c>
      <c r="J21" s="146">
        <v>9</v>
      </c>
      <c r="K21" s="146">
        <v>10</v>
      </c>
      <c r="L21" s="146">
        <v>11</v>
      </c>
      <c r="M21" s="146">
        <v>12</v>
      </c>
      <c r="N21" s="146">
        <v>13</v>
      </c>
      <c r="O21" s="146">
        <v>14</v>
      </c>
      <c r="P21" s="146">
        <v>15</v>
      </c>
      <c r="Q21" s="146">
        <v>16</v>
      </c>
      <c r="R21" s="146">
        <v>17</v>
      </c>
      <c r="S21" s="146">
        <v>18</v>
      </c>
      <c r="T21" s="146">
        <v>19</v>
      </c>
      <c r="U21" s="146">
        <v>20</v>
      </c>
      <c r="V21" s="146">
        <v>21</v>
      </c>
      <c r="W21" s="146">
        <v>22</v>
      </c>
      <c r="X21" s="146">
        <v>23</v>
      </c>
      <c r="Y21" s="146">
        <v>24</v>
      </c>
      <c r="Z21" s="146">
        <v>25</v>
      </c>
      <c r="AA21" s="146">
        <v>26</v>
      </c>
      <c r="AB21" s="146">
        <v>27</v>
      </c>
      <c r="AC21" s="146">
        <v>28</v>
      </c>
      <c r="AD21" s="146">
        <v>29</v>
      </c>
      <c r="AE21" s="146">
        <v>30</v>
      </c>
      <c r="AF21" s="146">
        <v>31</v>
      </c>
      <c r="AG21" s="147" t="s">
        <v>301</v>
      </c>
    </row>
    <row r="22" spans="1:34" x14ac:dyDescent="0.25">
      <c r="A22" s="140" t="s">
        <v>92</v>
      </c>
      <c r="B22" s="108">
        <v>0</v>
      </c>
      <c r="C22" s="103">
        <v>390</v>
      </c>
      <c r="D22" s="103">
        <v>0</v>
      </c>
      <c r="E22" s="103">
        <v>373.75</v>
      </c>
      <c r="F22" s="103">
        <v>450.56818181818181</v>
      </c>
      <c r="G22" s="103">
        <v>521.71052631578948</v>
      </c>
      <c r="H22" s="103">
        <v>1046.09375</v>
      </c>
      <c r="I22" s="103" t="e">
        <v>#DIV/0!</v>
      </c>
      <c r="J22" s="103">
        <v>615.78947368421052</v>
      </c>
      <c r="K22" s="103">
        <v>478.94736842105266</v>
      </c>
      <c r="L22" s="103">
        <v>650</v>
      </c>
      <c r="M22" s="103">
        <v>290.78947368421052</v>
      </c>
      <c r="N22" s="103">
        <v>365.625</v>
      </c>
      <c r="O22" s="103">
        <v>213.28125</v>
      </c>
      <c r="P22" s="103" t="e">
        <v>#DIV/0!</v>
      </c>
      <c r="Q22" s="103">
        <v>301.62412993039442</v>
      </c>
      <c r="R22" s="103">
        <v>455</v>
      </c>
      <c r="S22" s="103">
        <v>652.88035450516986</v>
      </c>
      <c r="T22" s="103">
        <v>314.16666666666669</v>
      </c>
      <c r="U22" s="103">
        <v>150.89285714285714</v>
      </c>
      <c r="V22" s="103">
        <v>392.19165927240459</v>
      </c>
      <c r="W22" s="103" t="e">
        <v>#DIV/0!</v>
      </c>
      <c r="X22" s="103">
        <v>180.55555555555554</v>
      </c>
      <c r="Y22" s="103">
        <v>120.46332046332046</v>
      </c>
      <c r="Z22" s="103">
        <v>303.33333333333331</v>
      </c>
      <c r="AA22" s="103">
        <v>286.76470588235293</v>
      </c>
      <c r="AB22" s="103">
        <v>290.17857142857144</v>
      </c>
      <c r="AC22" s="103">
        <v>299.34210526315792</v>
      </c>
      <c r="AD22" s="103">
        <v>54.166666666666664</v>
      </c>
      <c r="AE22" s="103" t="e">
        <v>#DIV/0!</v>
      </c>
      <c r="AF22" s="103" t="e">
        <v>#DIV/0!</v>
      </c>
      <c r="AG22" s="104">
        <v>-2.5635569174895019</v>
      </c>
    </row>
    <row r="23" spans="1:34" x14ac:dyDescent="0.25">
      <c r="A23" s="141" t="s">
        <v>93</v>
      </c>
      <c r="B23" s="124">
        <v>0</v>
      </c>
      <c r="C23" s="94">
        <v>372.65625</v>
      </c>
      <c r="D23" s="94">
        <v>322.04861111111109</v>
      </c>
      <c r="E23" s="94">
        <v>339.53125</v>
      </c>
      <c r="F23" s="94">
        <v>496.875</v>
      </c>
      <c r="G23" s="94">
        <v>575.32894736842104</v>
      </c>
      <c r="H23" s="94">
        <v>652.1484375</v>
      </c>
      <c r="I23" s="94" t="e">
        <v>#DIV/0!</v>
      </c>
      <c r="J23" s="94">
        <v>714.8026315789474</v>
      </c>
      <c r="K23" s="94">
        <v>523.02631578947364</v>
      </c>
      <c r="L23" s="94">
        <v>973.046875</v>
      </c>
      <c r="M23" s="94">
        <v>732.23684210526312</v>
      </c>
      <c r="N23" s="94">
        <v>486.5234375</v>
      </c>
      <c r="O23" s="94">
        <v>351.953125</v>
      </c>
      <c r="P23" s="94" t="e">
        <v>#DIV/0!</v>
      </c>
      <c r="Q23" s="94">
        <v>819.79891724671302</v>
      </c>
      <c r="R23" s="94">
        <v>563.125</v>
      </c>
      <c r="S23" s="94">
        <v>450.14771048744461</v>
      </c>
      <c r="T23" s="94">
        <v>364.375</v>
      </c>
      <c r="U23" s="94">
        <v>520.53571428571433</v>
      </c>
      <c r="V23" s="94">
        <v>376.22005323868677</v>
      </c>
      <c r="W23" s="94" t="e">
        <v>#DIV/0!</v>
      </c>
      <c r="X23" s="94">
        <v>276.04166666666669</v>
      </c>
      <c r="Y23" s="94">
        <v>266.02316602316603</v>
      </c>
      <c r="Z23" s="94">
        <v>342.29166666666669</v>
      </c>
      <c r="AA23" s="94">
        <v>204.59558823529412</v>
      </c>
      <c r="AB23" s="94">
        <v>390.40178571428572</v>
      </c>
      <c r="AC23" s="94">
        <v>427.13815789473682</v>
      </c>
      <c r="AD23" s="94">
        <v>220.83333333333334</v>
      </c>
      <c r="AE23" s="94" t="e">
        <v>#DIV/0!</v>
      </c>
      <c r="AF23" s="94" t="e">
        <v>#DIV/0!</v>
      </c>
      <c r="AG23" s="110">
        <v>-5.3760923845193505</v>
      </c>
    </row>
    <row r="24" spans="1:34" x14ac:dyDescent="0.25">
      <c r="A24" s="141" t="s">
        <v>94</v>
      </c>
      <c r="B24" s="124">
        <v>0</v>
      </c>
      <c r="C24" s="94">
        <v>343.75</v>
      </c>
      <c r="D24" s="94">
        <v>130.20833333333334</v>
      </c>
      <c r="E24" s="94">
        <v>203.125</v>
      </c>
      <c r="F24" s="94">
        <v>220.17045454545453</v>
      </c>
      <c r="G24" s="94">
        <v>148.02631578947367</v>
      </c>
      <c r="H24" s="94">
        <v>273.4375</v>
      </c>
      <c r="I24" s="94" t="e">
        <v>#DIV/0!</v>
      </c>
      <c r="J24" s="94">
        <v>197.36842105263159</v>
      </c>
      <c r="K24" s="94">
        <v>213.81578947368422</v>
      </c>
      <c r="L24" s="94">
        <v>263.671875</v>
      </c>
      <c r="M24" s="94">
        <v>246.71052631578948</v>
      </c>
      <c r="N24" s="94">
        <v>195.3125</v>
      </c>
      <c r="O24" s="94">
        <v>97.65625</v>
      </c>
      <c r="P24" s="94" t="e">
        <v>#DIV/0!</v>
      </c>
      <c r="Q24" s="94">
        <v>145.01160092807424</v>
      </c>
      <c r="R24" s="94">
        <v>197.91666666666666</v>
      </c>
      <c r="S24" s="94">
        <v>156.9423929098966</v>
      </c>
      <c r="T24" s="94">
        <v>145.83333333333334</v>
      </c>
      <c r="U24" s="94">
        <v>267.85714285714283</v>
      </c>
      <c r="V24" s="94">
        <v>122.00532386867791</v>
      </c>
      <c r="W24" s="94" t="e">
        <v>#DIV/0!</v>
      </c>
      <c r="X24" s="94">
        <v>173.61111111111111</v>
      </c>
      <c r="Y24" s="94">
        <v>96.525096525096529</v>
      </c>
      <c r="Z24" s="94">
        <v>125</v>
      </c>
      <c r="AA24" s="94">
        <v>91.911764705882348</v>
      </c>
      <c r="AB24" s="94">
        <v>145.08928571428572</v>
      </c>
      <c r="AC24" s="94">
        <v>131.57894736842104</v>
      </c>
      <c r="AD24" s="94">
        <v>26.041666666666668</v>
      </c>
      <c r="AE24" s="94" t="e">
        <v>#DIV/0!</v>
      </c>
      <c r="AF24" s="94" t="e">
        <v>#DIV/0!</v>
      </c>
      <c r="AG24" s="110">
        <v>-3.7949721938485985</v>
      </c>
    </row>
    <row r="25" spans="1:34" x14ac:dyDescent="0.25">
      <c r="A25" s="141" t="s">
        <v>95</v>
      </c>
      <c r="B25" s="124">
        <v>0</v>
      </c>
      <c r="C25" s="94">
        <v>6.25</v>
      </c>
      <c r="D25" s="94">
        <v>3.4722222222222223</v>
      </c>
      <c r="E25" s="94">
        <v>0</v>
      </c>
      <c r="F25" s="94">
        <v>2.8409090909090908</v>
      </c>
      <c r="G25" s="94">
        <v>3.2894736842105261</v>
      </c>
      <c r="H25" s="94">
        <v>7.8125</v>
      </c>
      <c r="I25" s="94" t="e">
        <v>#DIV/0!</v>
      </c>
      <c r="J25" s="94">
        <v>3.2894736842105261</v>
      </c>
      <c r="K25" s="94">
        <v>3.2894736842105261</v>
      </c>
      <c r="L25" s="94">
        <v>7.8125</v>
      </c>
      <c r="M25" s="94">
        <v>3.2894736842105261</v>
      </c>
      <c r="N25" s="94">
        <v>7.8125</v>
      </c>
      <c r="O25" s="94">
        <v>3.90625</v>
      </c>
      <c r="P25" s="94" t="e">
        <v>#DIV/0!</v>
      </c>
      <c r="Q25" s="94">
        <v>7.7339520494972929</v>
      </c>
      <c r="R25" s="94">
        <v>4.166666666666667</v>
      </c>
      <c r="S25" s="94">
        <v>5.9084194977843429</v>
      </c>
      <c r="T25" s="94">
        <v>5.833333333333333</v>
      </c>
      <c r="U25" s="94">
        <v>4.4642857142857144</v>
      </c>
      <c r="V25" s="94">
        <v>4.4365572315882877</v>
      </c>
      <c r="W25" s="94" t="e">
        <v>#DIV/0!</v>
      </c>
      <c r="X25" s="94">
        <v>6.9444444444444446</v>
      </c>
      <c r="Y25" s="94">
        <v>6.1776061776061777</v>
      </c>
      <c r="Z25" s="94">
        <v>16.666666666666668</v>
      </c>
      <c r="AA25" s="94">
        <v>7.3529411764705879</v>
      </c>
      <c r="AB25" s="94">
        <v>0</v>
      </c>
      <c r="AC25" s="94">
        <v>6.5789473684210522</v>
      </c>
      <c r="AD25" s="94">
        <v>0</v>
      </c>
      <c r="AE25" s="94" t="e">
        <v>#DIV/0!</v>
      </c>
      <c r="AF25" s="94" t="e">
        <v>#DIV/0!</v>
      </c>
      <c r="AG25" s="110">
        <v>-0.13619339462036092</v>
      </c>
    </row>
    <row r="26" spans="1:34" ht="14.95" thickBot="1" x14ac:dyDescent="0.3">
      <c r="A26" s="142" t="s">
        <v>96</v>
      </c>
      <c r="B26" s="107">
        <v>0</v>
      </c>
      <c r="C26" s="105">
        <v>9.375</v>
      </c>
      <c r="D26" s="105">
        <v>6.9444444444444446</v>
      </c>
      <c r="E26" s="105">
        <v>0</v>
      </c>
      <c r="F26" s="105">
        <v>5.6818181818181817</v>
      </c>
      <c r="G26" s="105">
        <v>9.8684210526315788</v>
      </c>
      <c r="H26" s="105">
        <v>11.71875</v>
      </c>
      <c r="I26" s="105" t="e">
        <v>#DIV/0!</v>
      </c>
      <c r="J26" s="105">
        <v>9.8684210526315788</v>
      </c>
      <c r="K26" s="105">
        <v>9.8684210526315788</v>
      </c>
      <c r="L26" s="105">
        <v>11.71875</v>
      </c>
      <c r="M26" s="105">
        <v>9.8684210526315788</v>
      </c>
      <c r="N26" s="105">
        <v>11.71875</v>
      </c>
      <c r="O26" s="105">
        <v>11.71875</v>
      </c>
      <c r="P26" s="105" t="e">
        <v>#DIV/0!</v>
      </c>
      <c r="Q26" s="105">
        <v>11.600928074245939</v>
      </c>
      <c r="R26" s="105">
        <v>12.5</v>
      </c>
      <c r="S26" s="105">
        <v>13.293943870014772</v>
      </c>
      <c r="T26" s="105">
        <v>12.5</v>
      </c>
      <c r="U26" s="105">
        <v>4.4642857142857144</v>
      </c>
      <c r="V26" s="105">
        <v>4.4365572315882877</v>
      </c>
      <c r="W26" s="105" t="e">
        <v>#DIV/0!</v>
      </c>
      <c r="X26" s="105">
        <v>6.9444444444444446</v>
      </c>
      <c r="Y26" s="105">
        <v>9.2664092664092657</v>
      </c>
      <c r="Z26" s="105">
        <v>16.666666666666668</v>
      </c>
      <c r="AA26" s="105">
        <v>14.705882352941176</v>
      </c>
      <c r="AB26" s="105">
        <v>8.9285714285714288</v>
      </c>
      <c r="AC26" s="105">
        <v>16.44736842105263</v>
      </c>
      <c r="AD26" s="105">
        <v>10.416666666666666</v>
      </c>
      <c r="AE26" s="105" t="e">
        <v>#DIV/0!</v>
      </c>
      <c r="AF26" s="105" t="e">
        <v>#DIV/0!</v>
      </c>
      <c r="AG26" s="106">
        <v>-8.8667574622630807E-2</v>
      </c>
    </row>
    <row r="27" spans="1:34" x14ac:dyDescent="0.25"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U27" s="91"/>
      <c r="W27" s="91"/>
      <c r="X27" s="91"/>
    </row>
    <row r="28" spans="1:34" ht="14.95" thickBo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U28" s="91"/>
      <c r="W28" s="91"/>
      <c r="X28" s="91"/>
    </row>
    <row r="29" spans="1:34" ht="14.95" thickBot="1" x14ac:dyDescent="0.3">
      <c r="A29" s="505"/>
      <c r="B29" s="109" t="s">
        <v>80</v>
      </c>
      <c r="C29" s="149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1"/>
    </row>
    <row r="30" spans="1:34" ht="14.95" thickBot="1" x14ac:dyDescent="0.3">
      <c r="A30" s="506"/>
      <c r="B30" s="152">
        <v>1</v>
      </c>
      <c r="C30" s="153">
        <v>2</v>
      </c>
      <c r="D30" s="153">
        <v>3</v>
      </c>
      <c r="E30" s="153">
        <v>4</v>
      </c>
      <c r="F30" s="153">
        <v>5</v>
      </c>
      <c r="G30" s="153">
        <v>6</v>
      </c>
      <c r="H30" s="153">
        <v>7</v>
      </c>
      <c r="I30" s="153">
        <v>8</v>
      </c>
      <c r="J30" s="153">
        <v>9</v>
      </c>
      <c r="K30" s="153">
        <v>10</v>
      </c>
      <c r="L30" s="153">
        <v>11</v>
      </c>
      <c r="M30" s="153">
        <v>12</v>
      </c>
      <c r="N30" s="153">
        <v>13</v>
      </c>
      <c r="O30" s="153">
        <v>14</v>
      </c>
      <c r="P30" s="153">
        <v>15</v>
      </c>
      <c r="Q30" s="153">
        <v>16</v>
      </c>
      <c r="R30" s="153">
        <v>17</v>
      </c>
      <c r="S30" s="153">
        <v>18</v>
      </c>
      <c r="T30" s="153">
        <v>19</v>
      </c>
      <c r="U30" s="153">
        <v>20</v>
      </c>
      <c r="V30" s="153">
        <v>21</v>
      </c>
      <c r="W30" s="153">
        <v>22</v>
      </c>
      <c r="X30" s="153">
        <v>23</v>
      </c>
      <c r="Y30" s="153">
        <v>24</v>
      </c>
      <c r="Z30" s="153">
        <v>25</v>
      </c>
      <c r="AA30" s="153">
        <v>26</v>
      </c>
      <c r="AB30" s="153">
        <v>27</v>
      </c>
      <c r="AC30" s="153">
        <v>28</v>
      </c>
      <c r="AD30" s="153">
        <v>29</v>
      </c>
      <c r="AE30" s="153">
        <v>30</v>
      </c>
      <c r="AF30" s="153">
        <v>31</v>
      </c>
      <c r="AG30" s="154" t="s">
        <v>301</v>
      </c>
      <c r="AH30" s="155" t="s">
        <v>72</v>
      </c>
    </row>
    <row r="31" spans="1:34" ht="14.95" thickBot="1" x14ac:dyDescent="0.3">
      <c r="A31" t="s">
        <v>78</v>
      </c>
      <c r="B31" s="507">
        <v>240</v>
      </c>
      <c r="C31" s="508">
        <v>1600</v>
      </c>
      <c r="D31" s="508">
        <v>1440</v>
      </c>
      <c r="E31" s="508">
        <v>1600</v>
      </c>
      <c r="F31" s="508">
        <v>1760</v>
      </c>
      <c r="G31" s="508">
        <v>1520</v>
      </c>
      <c r="H31" s="508">
        <v>1280</v>
      </c>
      <c r="I31" s="508">
        <v>0</v>
      </c>
      <c r="J31" s="508">
        <v>1520</v>
      </c>
      <c r="K31" s="508">
        <v>1520</v>
      </c>
      <c r="L31" s="508">
        <v>1280</v>
      </c>
      <c r="M31" s="508">
        <v>1520</v>
      </c>
      <c r="N31" s="508">
        <v>1280</v>
      </c>
      <c r="O31" s="508">
        <v>1280</v>
      </c>
      <c r="P31" s="508">
        <v>0</v>
      </c>
      <c r="Q31" s="508">
        <v>1293</v>
      </c>
      <c r="R31" s="508">
        <v>1200</v>
      </c>
      <c r="S31" s="508">
        <v>1354</v>
      </c>
      <c r="T31" s="508">
        <v>1200</v>
      </c>
      <c r="U31" s="508">
        <v>1120</v>
      </c>
      <c r="V31" s="508">
        <v>1127</v>
      </c>
      <c r="W31" s="508">
        <v>0</v>
      </c>
      <c r="X31" s="508">
        <v>720</v>
      </c>
      <c r="Y31" s="508">
        <v>1295</v>
      </c>
      <c r="Z31" s="508">
        <v>1200</v>
      </c>
      <c r="AA31" s="508">
        <v>1360</v>
      </c>
      <c r="AB31" s="508">
        <v>1120</v>
      </c>
      <c r="AC31" s="508">
        <v>1520</v>
      </c>
      <c r="AD31" s="508">
        <v>480</v>
      </c>
      <c r="AE31" s="508">
        <v>0</v>
      </c>
      <c r="AF31" s="508">
        <v>0</v>
      </c>
      <c r="AG31" s="508">
        <v>-1409760</v>
      </c>
      <c r="AH31" s="509">
        <v>-1376931</v>
      </c>
    </row>
    <row r="32" spans="1:34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24" x14ac:dyDescent="0.25">
      <c r="B33" s="91"/>
      <c r="C33" s="91"/>
      <c r="D33" s="91"/>
      <c r="E33" s="91"/>
      <c r="F33" s="91"/>
      <c r="H33" s="91"/>
      <c r="I33" s="91"/>
      <c r="J33" s="91"/>
      <c r="K33" s="91"/>
      <c r="L33" s="91"/>
      <c r="M33" s="91"/>
      <c r="W33" s="91"/>
      <c r="X33" s="91"/>
    </row>
    <row r="34" spans="2:24" x14ac:dyDescent="0.25">
      <c r="B34" s="91"/>
      <c r="C34" s="91"/>
      <c r="D34" s="91"/>
      <c r="E34" s="91"/>
      <c r="F34" s="91"/>
      <c r="H34" s="91"/>
      <c r="I34" s="91"/>
      <c r="J34" s="91"/>
      <c r="K34" s="91"/>
      <c r="L34" s="91"/>
      <c r="M34" s="91"/>
      <c r="W34" s="91"/>
      <c r="X34" s="91"/>
    </row>
    <row r="35" spans="2:24" x14ac:dyDescent="0.25">
      <c r="B35" s="91"/>
      <c r="C35" s="91"/>
      <c r="D35" s="91"/>
      <c r="E35" s="91"/>
      <c r="F35" s="91"/>
      <c r="H35" s="91"/>
      <c r="I35" s="91"/>
      <c r="J35" s="91"/>
      <c r="K35" s="91"/>
      <c r="L35" s="91"/>
      <c r="M35" s="91"/>
      <c r="W35" s="91"/>
      <c r="X35" s="91"/>
    </row>
    <row r="36" spans="2:24" x14ac:dyDescent="0.25">
      <c r="W36" s="91"/>
      <c r="X36" s="91"/>
    </row>
    <row r="44" spans="2:24" x14ac:dyDescent="0.25">
      <c r="W44" s="91"/>
      <c r="X44" s="91"/>
    </row>
    <row r="45" spans="2:24" x14ac:dyDescent="0.25">
      <c r="W45" s="91"/>
      <c r="X45" s="91"/>
    </row>
    <row r="46" spans="2:24" x14ac:dyDescent="0.25">
      <c r="W46" s="91"/>
      <c r="X46" s="91"/>
    </row>
    <row r="51" spans="2:24" x14ac:dyDescent="0.25"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U51" s="91"/>
      <c r="W51" s="91"/>
      <c r="X51" s="91"/>
    </row>
    <row r="52" spans="2:24" x14ac:dyDescent="0.25">
      <c r="W52" s="91"/>
      <c r="X52" s="91"/>
    </row>
    <row r="60" spans="2:24" x14ac:dyDescent="0.25">
      <c r="W60" s="91"/>
      <c r="X60" s="91"/>
    </row>
    <row r="61" spans="2:24" x14ac:dyDescent="0.25">
      <c r="W61" s="91"/>
      <c r="X61" s="91"/>
    </row>
    <row r="62" spans="2:24" x14ac:dyDescent="0.25">
      <c r="W62" s="91"/>
      <c r="X62" s="91"/>
    </row>
    <row r="63" spans="2:24" x14ac:dyDescent="0.25">
      <c r="W63" s="91"/>
      <c r="X63" s="91"/>
    </row>
    <row r="64" spans="2:24" x14ac:dyDescent="0.25">
      <c r="W64" s="91"/>
      <c r="X64" s="91"/>
    </row>
    <row r="65" spans="23:24" x14ac:dyDescent="0.25">
      <c r="W65" s="91"/>
      <c r="X65" s="91"/>
    </row>
    <row r="66" spans="23:24" x14ac:dyDescent="0.25">
      <c r="W66" s="91"/>
      <c r="X66" s="91"/>
    </row>
    <row r="67" spans="23:24" x14ac:dyDescent="0.25">
      <c r="W67" s="91"/>
      <c r="X67" s="91"/>
    </row>
    <row r="68" spans="23:24" x14ac:dyDescent="0.25">
      <c r="W68" s="91"/>
      <c r="X68" s="91"/>
    </row>
    <row r="69" spans="23:24" x14ac:dyDescent="0.25">
      <c r="W69" s="91"/>
      <c r="X69" s="91"/>
    </row>
    <row r="70" spans="23:24" x14ac:dyDescent="0.25">
      <c r="W70" s="91"/>
      <c r="X70" s="91"/>
    </row>
    <row r="71" spans="23:24" x14ac:dyDescent="0.25">
      <c r="W71" s="91"/>
      <c r="X71" s="91"/>
    </row>
    <row r="72" spans="23:24" x14ac:dyDescent="0.25">
      <c r="W72" s="91"/>
      <c r="X72" s="91"/>
    </row>
    <row r="73" spans="23:24" x14ac:dyDescent="0.25">
      <c r="W73" s="91"/>
      <c r="X73" s="91"/>
    </row>
    <row r="74" spans="23:24" x14ac:dyDescent="0.25">
      <c r="W74" s="91"/>
      <c r="X74" s="91"/>
    </row>
    <row r="75" spans="23:24" x14ac:dyDescent="0.25">
      <c r="W75" s="91"/>
      <c r="X75" s="91"/>
    </row>
    <row r="76" spans="23:24" x14ac:dyDescent="0.25">
      <c r="W76" s="91"/>
      <c r="X76" s="91"/>
    </row>
    <row r="77" spans="23:24" x14ac:dyDescent="0.25">
      <c r="W77" s="91"/>
      <c r="X77" s="91"/>
    </row>
    <row r="78" spans="23:24" x14ac:dyDescent="0.25">
      <c r="W78" s="91"/>
      <c r="X78" s="91"/>
    </row>
    <row r="79" spans="23:24" x14ac:dyDescent="0.25">
      <c r="W79" s="91"/>
      <c r="X79" s="91"/>
    </row>
    <row r="80" spans="23:24" x14ac:dyDescent="0.25">
      <c r="W80" s="91"/>
      <c r="X80" s="91"/>
    </row>
    <row r="81" spans="23:24" x14ac:dyDescent="0.25">
      <c r="W81" s="91"/>
      <c r="X81" s="91"/>
    </row>
    <row r="82" spans="23:24" x14ac:dyDescent="0.25">
      <c r="W82" s="91"/>
      <c r="X82" s="91"/>
    </row>
    <row r="83" spans="23:24" x14ac:dyDescent="0.25">
      <c r="W83" s="91"/>
      <c r="X83" s="91"/>
    </row>
    <row r="84" spans="23:24" x14ac:dyDescent="0.25">
      <c r="W84" s="91"/>
      <c r="X84" s="91"/>
    </row>
    <row r="85" spans="23:24" x14ac:dyDescent="0.25">
      <c r="W85" s="91"/>
      <c r="X85" s="91"/>
    </row>
    <row r="86" spans="23:24" x14ac:dyDescent="0.25">
      <c r="W86" s="91"/>
      <c r="X86" s="91"/>
    </row>
    <row r="87" spans="23:24" x14ac:dyDescent="0.25">
      <c r="W87" s="91"/>
      <c r="X87" s="91"/>
    </row>
    <row r="88" spans="23:24" x14ac:dyDescent="0.25">
      <c r="W88" s="91"/>
      <c r="X88" s="91"/>
    </row>
    <row r="89" spans="23:24" x14ac:dyDescent="0.25">
      <c r="W89" s="91"/>
      <c r="X89" s="91"/>
    </row>
    <row r="90" spans="23:24" x14ac:dyDescent="0.25">
      <c r="W90" s="91"/>
      <c r="X90" s="91"/>
    </row>
    <row r="91" spans="23:24" x14ac:dyDescent="0.25">
      <c r="W91" s="91"/>
      <c r="X91" s="91"/>
    </row>
    <row r="92" spans="23:24" x14ac:dyDescent="0.25">
      <c r="W92" s="91"/>
      <c r="X92" s="91"/>
    </row>
    <row r="93" spans="23:24" x14ac:dyDescent="0.25">
      <c r="W93" s="91"/>
      <c r="X93" s="91"/>
    </row>
    <row r="94" spans="23:24" x14ac:dyDescent="0.25">
      <c r="W94" s="91"/>
      <c r="X94" s="91"/>
    </row>
    <row r="95" spans="23:24" x14ac:dyDescent="0.25">
      <c r="W95" s="91"/>
      <c r="X95" s="91"/>
    </row>
    <row r="96" spans="23:24" x14ac:dyDescent="0.25">
      <c r="W96" s="91"/>
      <c r="X96" s="91"/>
    </row>
    <row r="97" spans="23:24" x14ac:dyDescent="0.25">
      <c r="W97" s="91"/>
      <c r="X97" s="91"/>
    </row>
    <row r="98" spans="23:24" x14ac:dyDescent="0.25">
      <c r="W98" s="91"/>
      <c r="X98" s="91"/>
    </row>
    <row r="99" spans="23:24" x14ac:dyDescent="0.25">
      <c r="W99" s="91"/>
      <c r="X99" s="91"/>
    </row>
    <row r="100" spans="23:24" x14ac:dyDescent="0.25">
      <c r="W100" s="91"/>
      <c r="X100" s="91"/>
    </row>
    <row r="101" spans="23:24" x14ac:dyDescent="0.25">
      <c r="W101" s="91"/>
      <c r="X101" s="91"/>
    </row>
    <row r="102" spans="23:24" x14ac:dyDescent="0.25">
      <c r="W102" s="91"/>
      <c r="X102" s="91"/>
    </row>
  </sheetData>
  <mergeCells count="3">
    <mergeCell ref="A19:F19"/>
    <mergeCell ref="A1:F1"/>
    <mergeCell ref="A10:F10"/>
  </mergeCells>
  <conditionalFormatting pivot="1" sqref="B22:AG22">
    <cfRule type="cellIs" dxfId="352" priority="4" operator="greaterThan">
      <formula>350</formula>
    </cfRule>
  </conditionalFormatting>
  <conditionalFormatting pivot="1" sqref="C23:AE23">
    <cfRule type="cellIs" dxfId="351" priority="3" operator="greaterThan">
      <formula>700</formula>
    </cfRule>
  </conditionalFormatting>
  <conditionalFormatting pivot="1" sqref="B24:AG24">
    <cfRule type="cellIs" dxfId="350" priority="2" operator="greaterThan">
      <formula>300</formula>
    </cfRule>
  </conditionalFormatting>
  <conditionalFormatting pivot="1" sqref="B31:AH31">
    <cfRule type="cellIs" dxfId="349" priority="1" operator="greaterThan">
      <formula>1920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3965B-4B5D-48A3-ACBB-A20F8C02EA22}">
  <sheetPr codeName="Hoja3">
    <tabColor rgb="FF00B050"/>
  </sheetPr>
  <dimension ref="B1:CN415"/>
  <sheetViews>
    <sheetView zoomScale="80" zoomScaleNormal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29" sqref="X29"/>
    </sheetView>
  </sheetViews>
  <sheetFormatPr baseColWidth="10" defaultRowHeight="14.3" x14ac:dyDescent="0.25"/>
  <cols>
    <col min="1" max="1" width="0.375" customWidth="1"/>
    <col min="2" max="2" width="26.125" customWidth="1"/>
    <col min="3" max="3" width="11.625" customWidth="1"/>
    <col min="4" max="4" width="10.875" style="1" customWidth="1"/>
    <col min="5" max="5" width="7.75" bestFit="1" customWidth="1"/>
    <col min="6" max="6" width="8.25" customWidth="1"/>
    <col min="7" max="7" width="9.125" style="1" customWidth="1"/>
    <col min="8" max="8" width="8.125" bestFit="1" customWidth="1"/>
    <col min="9" max="9" width="10" customWidth="1"/>
    <col min="10" max="10" width="8.75" style="1" bestFit="1" customWidth="1"/>
    <col min="11" max="11" width="7.875" customWidth="1"/>
    <col min="13" max="13" width="8.875" style="1" bestFit="1" customWidth="1"/>
    <col min="17" max="17" width="11.875" customWidth="1"/>
    <col min="18" max="23" width="12" customWidth="1"/>
  </cols>
  <sheetData>
    <row r="1" spans="2:68" ht="3.75" customHeight="1" thickBot="1" x14ac:dyDescent="0.3"/>
    <row r="2" spans="2:68" ht="48.75" customHeight="1" x14ac:dyDescent="0.25">
      <c r="B2" s="543" t="s">
        <v>7</v>
      </c>
      <c r="C2" s="554" t="s">
        <v>12</v>
      </c>
      <c r="D2" s="550" t="s">
        <v>14</v>
      </c>
      <c r="E2" s="551"/>
      <c r="F2" s="552" t="s">
        <v>9</v>
      </c>
      <c r="G2" s="553"/>
      <c r="H2" s="556" t="s">
        <v>18</v>
      </c>
      <c r="I2" s="557"/>
      <c r="J2" s="561" t="s">
        <v>13</v>
      </c>
      <c r="K2" s="562"/>
      <c r="L2" s="558" t="s">
        <v>37</v>
      </c>
      <c r="M2" s="559"/>
      <c r="N2" s="558" t="s">
        <v>38</v>
      </c>
      <c r="O2" s="559"/>
    </row>
    <row r="3" spans="2:68" ht="14.95" thickBot="1" x14ac:dyDescent="0.3">
      <c r="B3" s="544"/>
      <c r="C3" s="555"/>
      <c r="D3" s="26" t="s">
        <v>10</v>
      </c>
      <c r="E3" s="23" t="s">
        <v>11</v>
      </c>
      <c r="F3" s="10" t="s">
        <v>10</v>
      </c>
      <c r="G3" s="11" t="s">
        <v>11</v>
      </c>
      <c r="H3" s="24" t="s">
        <v>10</v>
      </c>
      <c r="I3" s="25" t="s">
        <v>11</v>
      </c>
      <c r="J3" s="60" t="s">
        <v>10</v>
      </c>
      <c r="K3" s="59" t="s">
        <v>11</v>
      </c>
      <c r="L3" s="61" t="s">
        <v>10</v>
      </c>
      <c r="M3" s="62" t="s">
        <v>11</v>
      </c>
      <c r="N3" s="61" t="s">
        <v>10</v>
      </c>
      <c r="O3" s="62" t="s">
        <v>11</v>
      </c>
      <c r="P3" s="1"/>
    </row>
    <row r="4" spans="2:68" x14ac:dyDescent="0.25">
      <c r="B4" s="3" t="s">
        <v>1</v>
      </c>
      <c r="C4" s="2">
        <v>1.24</v>
      </c>
      <c r="D4" s="20" t="s">
        <v>210</v>
      </c>
      <c r="E4" s="4">
        <f>D4*C4</f>
        <v>1860</v>
      </c>
      <c r="F4" s="20">
        <f>GETPIVOTDATA("COF 280 ACIDO (L)",'CONSUMO QUÍMICA-CAUDALES GEM  '!$A$2)</f>
        <v>12380</v>
      </c>
      <c r="G4" s="4">
        <f>GETPIVOTDATA("COF 280 - KG ACIDO",'CONSUMO QUÍMICA-CAUDALES GEM  '!$A$11)</f>
        <v>16094</v>
      </c>
      <c r="H4" s="20">
        <f>(+C15+E15+G15+I15+K15+M15+O15+Q15+S15)</f>
        <v>8387.1612903225814</v>
      </c>
      <c r="I4" s="4">
        <f>H4*C4</f>
        <v>10400.080000000002</v>
      </c>
      <c r="J4" s="51">
        <f>(D4+H4)-F4</f>
        <v>-2492.8387096774186</v>
      </c>
      <c r="K4" s="51">
        <f>J4*$C4</f>
        <v>-3091.119999999999</v>
      </c>
      <c r="L4" s="50">
        <f>97+48+97</f>
        <v>242</v>
      </c>
      <c r="M4" s="51">
        <f>L4*$C4</f>
        <v>300.08</v>
      </c>
      <c r="N4" s="50">
        <f>J4-L4-1000</f>
        <v>-3734.8387096774186</v>
      </c>
      <c r="O4" s="51">
        <f>N4*$C4</f>
        <v>-4631.1999999999989</v>
      </c>
      <c r="P4" s="1"/>
    </row>
    <row r="5" spans="2:68" ht="15.8" customHeight="1" x14ac:dyDescent="0.25">
      <c r="B5" s="5" t="s">
        <v>2</v>
      </c>
      <c r="C5" s="2">
        <v>1.325</v>
      </c>
      <c r="D5" s="20">
        <v>3500</v>
      </c>
      <c r="E5" s="6">
        <f>D5*C5</f>
        <v>4637.5</v>
      </c>
      <c r="F5" s="20">
        <f>GETPIVOTDATA("COF 235 COAGULANTE (L)",'CONSUMO QUÍMICA-CAUDALES GEM  '!$A$2)</f>
        <v>17580</v>
      </c>
      <c r="G5" s="6">
        <f>GETPIVOTDATA("COF 235 - KG COAGULANTE",'CONSUMO QUÍMICA-CAUDALES GEM  '!$A$11)</f>
        <v>23293.5</v>
      </c>
      <c r="H5" s="20">
        <f>(+C16+E16+G16+I16+K16+M16+O16+Q16+S16)</f>
        <v>13000</v>
      </c>
      <c r="I5" s="4">
        <f>H5*C5</f>
        <v>17225</v>
      </c>
      <c r="J5" s="6">
        <f>(D5+H5)-F5</f>
        <v>-1080</v>
      </c>
      <c r="K5" s="6">
        <f t="shared" ref="K5:M8" si="0">J5*$C5</f>
        <v>-1431</v>
      </c>
      <c r="L5" s="20">
        <v>0</v>
      </c>
      <c r="M5" s="6">
        <f t="shared" si="0"/>
        <v>0</v>
      </c>
      <c r="N5" s="20">
        <f>J5-L5</f>
        <v>-1080</v>
      </c>
      <c r="O5" s="6">
        <f>N5*$C5</f>
        <v>-1431</v>
      </c>
      <c r="P5" s="1"/>
    </row>
    <row r="6" spans="2:68" x14ac:dyDescent="0.25">
      <c r="B6" s="5" t="s">
        <v>0</v>
      </c>
      <c r="C6" s="2">
        <v>1.1000000000000001</v>
      </c>
      <c r="D6" s="20" t="s">
        <v>211</v>
      </c>
      <c r="E6" s="6">
        <f>D6*C6</f>
        <v>462.00000000000006</v>
      </c>
      <c r="F6" s="20">
        <f>GETPIVOTDATA("COF 255  DECOLORANTE (L)",'CONSUMO QUÍMICA-CAUDALES GEM  '!$A$2)</f>
        <v>8990</v>
      </c>
      <c r="G6" s="6">
        <f>GETPIVOTDATA("COF 255 - KG DECOLORANTE ",'CONSUMO QUÍMICA-CAUDALES GEM  '!$A$11)</f>
        <v>11237.5</v>
      </c>
      <c r="H6" s="20">
        <f>(+C17+E17+G17+I17+K17+M17+O17+Q17+S17)</f>
        <v>7681.7272727272721</v>
      </c>
      <c r="I6" s="4">
        <f>H6*C6</f>
        <v>8449.9</v>
      </c>
      <c r="J6" s="6">
        <f>(D6+H6)-F6</f>
        <v>-888.27272727272793</v>
      </c>
      <c r="K6" s="6">
        <f t="shared" si="0"/>
        <v>-977.10000000000082</v>
      </c>
      <c r="L6" s="20">
        <f>273+273+273+409+136</f>
        <v>1364</v>
      </c>
      <c r="M6" s="6">
        <f t="shared" si="0"/>
        <v>1500.4</v>
      </c>
      <c r="N6" s="20">
        <f>J6-L6</f>
        <v>-2252.2727272727279</v>
      </c>
      <c r="O6" s="6">
        <f>N6*$C6</f>
        <v>-2477.5000000000009</v>
      </c>
      <c r="P6" s="1"/>
    </row>
    <row r="7" spans="2:68" x14ac:dyDescent="0.25">
      <c r="B7" s="5" t="s">
        <v>3</v>
      </c>
      <c r="C7" s="2">
        <v>2.5000000000000001E-3</v>
      </c>
      <c r="D7" s="20" t="s">
        <v>212</v>
      </c>
      <c r="E7" s="6">
        <f>D7*C7</f>
        <v>0.35000000000000003</v>
      </c>
      <c r="F7" s="20">
        <f>(GETPIVOTDATA("COF 440 POL ANIONICO (KG)",'CONSUMO QUÍMICA-CAUDALES GEM  '!$A$2)/C7)</f>
        <v>144000</v>
      </c>
      <c r="G7" s="6">
        <f>GETPIVOTDATA("COF 440 - KG POL ANIONICO ",'CONSUMO QUÍMICA-CAUDALES GEM  '!$A$11)</f>
        <v>360</v>
      </c>
      <c r="H7" s="20">
        <f>(+C18+E18+G18+I18+K18+M18+O18+Q18+S18)</f>
        <v>30000</v>
      </c>
      <c r="I7" s="4">
        <f>H7*C7</f>
        <v>75</v>
      </c>
      <c r="J7" s="6">
        <f>(D7+H7)-F7</f>
        <v>-113860</v>
      </c>
      <c r="K7" s="6">
        <f t="shared" si="0"/>
        <v>-284.65000000000003</v>
      </c>
      <c r="L7" s="20">
        <v>0</v>
      </c>
      <c r="M7" s="6">
        <f t="shared" si="0"/>
        <v>0</v>
      </c>
      <c r="N7" s="20">
        <f>J7-L7</f>
        <v>-113860</v>
      </c>
      <c r="O7" s="6">
        <f>N7*$C7</f>
        <v>-284.65000000000003</v>
      </c>
      <c r="P7" s="1"/>
    </row>
    <row r="8" spans="2:68" ht="14.95" thickBot="1" x14ac:dyDescent="0.3">
      <c r="B8" s="7" t="s">
        <v>8</v>
      </c>
      <c r="C8" s="29">
        <v>2.5000000000000001E-3</v>
      </c>
      <c r="D8" s="21" t="s">
        <v>213</v>
      </c>
      <c r="E8" s="8">
        <f>D8*C8</f>
        <v>0.38750000000000001</v>
      </c>
      <c r="F8" s="21">
        <v>150000</v>
      </c>
      <c r="G8" s="8">
        <f>GETPIVOTDATA("COF 494 - KG POL CATIONICO ",'CONSUMO QUÍMICA-CAUDALES GEM  '!$A$11)</f>
        <v>465</v>
      </c>
      <c r="H8" s="20">
        <f>(+C19+E19+G19+I19+K19+M19+O19+Q19+S19)</f>
        <v>40000</v>
      </c>
      <c r="I8" s="22">
        <f>H8*C8</f>
        <v>100</v>
      </c>
      <c r="J8" s="8">
        <f>(D8+H8)-F8</f>
        <v>-109845</v>
      </c>
      <c r="K8" s="8">
        <f t="shared" si="0"/>
        <v>-274.61250000000001</v>
      </c>
      <c r="L8" s="21">
        <v>0</v>
      </c>
      <c r="M8" s="8">
        <f t="shared" si="0"/>
        <v>0</v>
      </c>
      <c r="N8" s="21">
        <f>J8-L8</f>
        <v>-109845</v>
      </c>
      <c r="O8" s="8">
        <f>N8*$C8</f>
        <v>-274.61250000000001</v>
      </c>
      <c r="P8" s="1"/>
    </row>
    <row r="9" spans="2:68" ht="3.75" customHeight="1" thickBot="1" x14ac:dyDescent="0.3">
      <c r="B9" s="9"/>
      <c r="C9" s="9"/>
      <c r="D9" s="37"/>
      <c r="E9" s="9"/>
      <c r="L9" s="560"/>
      <c r="M9" s="560"/>
      <c r="N9" s="560"/>
      <c r="O9" s="560"/>
      <c r="P9" s="560"/>
      <c r="Q9" s="560"/>
      <c r="R9" s="560"/>
      <c r="S9" s="560"/>
      <c r="T9" s="560"/>
      <c r="U9" s="560"/>
      <c r="V9" s="560"/>
      <c r="W9" s="560"/>
      <c r="X9" s="560"/>
      <c r="Y9" s="560"/>
      <c r="Z9" s="560"/>
      <c r="AA9" s="560"/>
      <c r="AB9" s="560"/>
      <c r="AC9" s="560"/>
      <c r="AD9" s="560"/>
      <c r="AE9" s="560"/>
      <c r="AF9" s="560"/>
      <c r="AG9" s="560"/>
      <c r="AH9" s="560"/>
      <c r="AI9" s="560"/>
      <c r="AJ9" s="560"/>
      <c r="AK9" s="560"/>
      <c r="AL9" s="560"/>
      <c r="AM9" s="560"/>
      <c r="AN9" s="560"/>
      <c r="AO9" s="560"/>
      <c r="AP9" s="560"/>
      <c r="AQ9" s="560"/>
      <c r="AR9" s="560"/>
      <c r="AS9" s="560"/>
      <c r="AT9" s="560"/>
      <c r="AU9" s="560"/>
      <c r="AV9" s="560"/>
      <c r="AW9" s="560"/>
      <c r="AX9" s="560"/>
      <c r="AY9" s="560"/>
      <c r="AZ9" s="560"/>
      <c r="BA9" s="560"/>
      <c r="BB9" s="560"/>
      <c r="BC9" s="560"/>
      <c r="BD9" s="560"/>
      <c r="BE9" s="560"/>
      <c r="BF9" s="560"/>
      <c r="BG9" s="560"/>
      <c r="BH9" s="560"/>
      <c r="BI9" s="560"/>
      <c r="BJ9" s="560"/>
      <c r="BK9" s="560"/>
      <c r="BL9" s="560"/>
      <c r="BM9" s="560"/>
      <c r="BN9" s="560"/>
      <c r="BO9" s="560"/>
      <c r="BP9" s="560"/>
    </row>
    <row r="10" spans="2:68" ht="16.5" customHeight="1" thickBot="1" x14ac:dyDescent="0.3">
      <c r="B10" s="545" t="s">
        <v>7</v>
      </c>
      <c r="C10" s="568" t="s">
        <v>17</v>
      </c>
      <c r="D10" s="569"/>
      <c r="E10" s="569"/>
      <c r="F10" s="569"/>
      <c r="G10" s="569"/>
      <c r="H10" s="569"/>
      <c r="I10" s="569"/>
      <c r="J10" s="569"/>
      <c r="K10" s="569"/>
      <c r="L10" s="569"/>
      <c r="M10" s="569"/>
      <c r="N10" s="569"/>
      <c r="O10" s="569"/>
      <c r="P10" s="569"/>
      <c r="Q10" s="569"/>
      <c r="R10" s="569"/>
      <c r="S10" s="569"/>
      <c r="T10" s="570"/>
    </row>
    <row r="11" spans="2:68" ht="26.5" customHeight="1" x14ac:dyDescent="0.25">
      <c r="B11" s="546"/>
      <c r="C11" s="548">
        <v>45660</v>
      </c>
      <c r="D11" s="549"/>
      <c r="E11" s="548" t="s">
        <v>214</v>
      </c>
      <c r="F11" s="549"/>
      <c r="G11" s="548">
        <v>45672</v>
      </c>
      <c r="H11" s="549"/>
      <c r="I11" s="548">
        <v>45674</v>
      </c>
      <c r="J11" s="563"/>
      <c r="K11" s="548"/>
      <c r="L11" s="549"/>
      <c r="M11" s="548"/>
      <c r="N11" s="549"/>
      <c r="O11" s="548"/>
      <c r="P11" s="549"/>
      <c r="Q11" s="548"/>
      <c r="R11" s="549"/>
      <c r="S11" s="564"/>
      <c r="T11" s="565"/>
    </row>
    <row r="12" spans="2:68" x14ac:dyDescent="0.25">
      <c r="B12" s="546"/>
      <c r="C12" s="65" t="s">
        <v>39</v>
      </c>
      <c r="D12" s="66" t="s">
        <v>40</v>
      </c>
      <c r="E12" s="65" t="s">
        <v>39</v>
      </c>
      <c r="F12" s="66" t="s">
        <v>40</v>
      </c>
      <c r="G12" s="65" t="s">
        <v>39</v>
      </c>
      <c r="H12" s="66" t="s">
        <v>40</v>
      </c>
      <c r="I12" s="65" t="s">
        <v>39</v>
      </c>
      <c r="J12" s="66" t="s">
        <v>40</v>
      </c>
      <c r="K12" s="65" t="s">
        <v>39</v>
      </c>
      <c r="L12" s="66" t="s">
        <v>40</v>
      </c>
      <c r="M12" s="65" t="s">
        <v>39</v>
      </c>
      <c r="N12" s="66" t="s">
        <v>40</v>
      </c>
      <c r="O12" s="65" t="s">
        <v>39</v>
      </c>
      <c r="P12" s="66" t="s">
        <v>40</v>
      </c>
      <c r="Q12" s="65" t="s">
        <v>39</v>
      </c>
      <c r="R12" s="66" t="s">
        <v>40</v>
      </c>
      <c r="S12" s="65" t="s">
        <v>39</v>
      </c>
      <c r="T12" s="66" t="s">
        <v>40</v>
      </c>
    </row>
    <row r="13" spans="2:68" x14ac:dyDescent="0.25">
      <c r="B13" s="546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5"/>
      <c r="N13" s="66"/>
      <c r="O13" s="65"/>
      <c r="P13" s="66"/>
      <c r="Q13" s="65"/>
      <c r="R13" s="66"/>
      <c r="S13" s="65"/>
      <c r="T13" s="66"/>
    </row>
    <row r="14" spans="2:68" ht="14.95" thickBot="1" x14ac:dyDescent="0.3">
      <c r="B14" s="547"/>
      <c r="C14" s="55" t="s">
        <v>10</v>
      </c>
      <c r="D14" s="56" t="s">
        <v>11</v>
      </c>
      <c r="E14" s="55" t="s">
        <v>10</v>
      </c>
      <c r="F14" s="56" t="s">
        <v>11</v>
      </c>
      <c r="G14" s="55" t="s">
        <v>10</v>
      </c>
      <c r="H14" s="56" t="s">
        <v>11</v>
      </c>
      <c r="I14" s="55" t="s">
        <v>10</v>
      </c>
      <c r="J14" s="56" t="s">
        <v>11</v>
      </c>
      <c r="K14" s="55" t="s">
        <v>10</v>
      </c>
      <c r="L14" s="56" t="s">
        <v>11</v>
      </c>
      <c r="M14" s="55" t="s">
        <v>10</v>
      </c>
      <c r="N14" s="56" t="s">
        <v>11</v>
      </c>
      <c r="O14" s="55" t="s">
        <v>10</v>
      </c>
      <c r="P14" s="56" t="s">
        <v>11</v>
      </c>
      <c r="Q14" s="55" t="s">
        <v>10</v>
      </c>
      <c r="R14" s="56" t="s">
        <v>11</v>
      </c>
      <c r="S14" s="63" t="s">
        <v>10</v>
      </c>
      <c r="T14" s="64" t="s">
        <v>11</v>
      </c>
    </row>
    <row r="15" spans="2:68" x14ac:dyDescent="0.25">
      <c r="B15" s="12" t="s">
        <v>1</v>
      </c>
      <c r="C15" s="415">
        <v>0</v>
      </c>
      <c r="D15" s="388">
        <f>C15*$C$4</f>
        <v>0</v>
      </c>
      <c r="E15" s="415">
        <v>2097</v>
      </c>
      <c r="F15" s="388">
        <f>E15*$C$4</f>
        <v>2600.2800000000002</v>
      </c>
      <c r="G15" s="415">
        <v>3145</v>
      </c>
      <c r="H15" s="388">
        <f>G15*$C$4</f>
        <v>3899.8</v>
      </c>
      <c r="I15" s="415">
        <v>3145.161290322581</v>
      </c>
      <c r="J15" s="388">
        <f>I15*$C$4</f>
        <v>3900.0000000000005</v>
      </c>
      <c r="K15" s="387"/>
      <c r="L15" s="388"/>
      <c r="M15" s="57"/>
      <c r="N15" s="58"/>
      <c r="O15" s="57"/>
      <c r="P15" s="58"/>
      <c r="Q15" s="57"/>
      <c r="R15" s="58"/>
      <c r="S15" s="57"/>
      <c r="T15" s="14"/>
    </row>
    <row r="16" spans="2:68" x14ac:dyDescent="0.25">
      <c r="B16" s="15" t="s">
        <v>2</v>
      </c>
      <c r="C16" s="416">
        <v>1000</v>
      </c>
      <c r="D16" s="390">
        <f>+C16*$C$5</f>
        <v>1325</v>
      </c>
      <c r="E16" s="416">
        <v>3000</v>
      </c>
      <c r="F16" s="390">
        <f>+E16*$C$5</f>
        <v>3975</v>
      </c>
      <c r="G16" s="416">
        <v>4000</v>
      </c>
      <c r="H16" s="390">
        <f>+G16*$C$5</f>
        <v>5300</v>
      </c>
      <c r="I16" s="416">
        <v>5000.0000000000009</v>
      </c>
      <c r="J16" s="390">
        <f>+I16*$C$5</f>
        <v>6625.0000000000009</v>
      </c>
      <c r="K16" s="389"/>
      <c r="L16" s="390"/>
      <c r="M16" s="16"/>
      <c r="N16" s="14"/>
      <c r="O16" s="16"/>
      <c r="P16" s="14"/>
      <c r="Q16" s="16"/>
      <c r="R16" s="14"/>
      <c r="S16" s="16"/>
      <c r="T16" s="14"/>
    </row>
    <row r="17" spans="2:92" x14ac:dyDescent="0.25">
      <c r="B17" s="15" t="s">
        <v>0</v>
      </c>
      <c r="C17" s="416">
        <v>1136</v>
      </c>
      <c r="D17" s="390">
        <f>+C17*$C$6</f>
        <v>1249.6000000000001</v>
      </c>
      <c r="E17" s="416">
        <v>2273</v>
      </c>
      <c r="F17" s="390">
        <f>+E17*$C$6</f>
        <v>2500.3000000000002</v>
      </c>
      <c r="G17" s="416">
        <v>2000</v>
      </c>
      <c r="H17" s="390">
        <f>+G17*$C$6</f>
        <v>2200</v>
      </c>
      <c r="I17" s="416">
        <v>2272.7272727272725</v>
      </c>
      <c r="J17" s="390">
        <f>+I17*$C$6</f>
        <v>2500</v>
      </c>
      <c r="K17" s="389"/>
      <c r="L17" s="390"/>
      <c r="M17" s="16"/>
      <c r="N17" s="14"/>
      <c r="O17" s="16"/>
      <c r="P17" s="14"/>
      <c r="Q17" s="16"/>
      <c r="R17" s="14"/>
      <c r="S17" s="16"/>
      <c r="T17" s="14"/>
    </row>
    <row r="18" spans="2:92" x14ac:dyDescent="0.25">
      <c r="B18" s="15" t="s">
        <v>3</v>
      </c>
      <c r="C18" s="416">
        <v>30000</v>
      </c>
      <c r="D18" s="390">
        <f>+C18*$C$7</f>
        <v>75</v>
      </c>
      <c r="E18" s="416">
        <v>0</v>
      </c>
      <c r="F18" s="390">
        <f>+E18*$C$7</f>
        <v>0</v>
      </c>
      <c r="G18" s="416">
        <v>0</v>
      </c>
      <c r="H18" s="390">
        <f>+G18*$C$7</f>
        <v>0</v>
      </c>
      <c r="I18" s="416">
        <v>0</v>
      </c>
      <c r="J18" s="390">
        <f>+I18*$C$7</f>
        <v>0</v>
      </c>
      <c r="K18" s="389"/>
      <c r="L18" s="390"/>
      <c r="M18" s="16"/>
      <c r="N18" s="14"/>
      <c r="O18" s="16"/>
      <c r="P18" s="14"/>
      <c r="Q18" s="16"/>
      <c r="R18" s="14"/>
      <c r="S18" s="16"/>
      <c r="T18" s="14"/>
    </row>
    <row r="19" spans="2:92" ht="14.95" customHeight="1" thickBot="1" x14ac:dyDescent="0.3">
      <c r="B19" s="17" t="s">
        <v>8</v>
      </c>
      <c r="C19" s="417">
        <v>0</v>
      </c>
      <c r="D19" s="390">
        <f>+C19*$C$8</f>
        <v>0</v>
      </c>
      <c r="E19" s="417">
        <v>0</v>
      </c>
      <c r="F19" s="390">
        <f>+E19*$C$8</f>
        <v>0</v>
      </c>
      <c r="G19" s="417">
        <v>0</v>
      </c>
      <c r="H19" s="390">
        <f>+G19*$C$8</f>
        <v>0</v>
      </c>
      <c r="I19" s="417">
        <v>40000</v>
      </c>
      <c r="J19" s="390">
        <f>+I19*$C$8</f>
        <v>100</v>
      </c>
      <c r="K19" s="391"/>
      <c r="L19" s="392"/>
      <c r="M19" s="18"/>
      <c r="N19" s="19"/>
      <c r="O19" s="18"/>
      <c r="P19" s="19"/>
      <c r="Q19" s="18"/>
      <c r="R19" s="19"/>
      <c r="S19" s="18"/>
      <c r="T19" s="19"/>
    </row>
    <row r="20" spans="2:92" ht="3.25" customHeight="1" x14ac:dyDescent="0.25">
      <c r="M20"/>
    </row>
    <row r="21" spans="2:92" ht="7.5" customHeight="1" thickBot="1" x14ac:dyDescent="0.3">
      <c r="B21" s="9"/>
      <c r="C21" s="9"/>
      <c r="D21" s="37"/>
      <c r="E21" s="9"/>
      <c r="F21" s="9"/>
      <c r="G21" s="37"/>
      <c r="H21" s="9"/>
      <c r="I21" s="9"/>
      <c r="J21" s="37"/>
      <c r="K21" s="9"/>
      <c r="L21" s="9"/>
      <c r="M21" s="3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</row>
    <row r="22" spans="2:92" ht="15.8" customHeight="1" thickBot="1" x14ac:dyDescent="0.3">
      <c r="B22" s="537" t="s">
        <v>7</v>
      </c>
      <c r="C22" s="566" t="s">
        <v>25</v>
      </c>
      <c r="D22" s="567"/>
      <c r="E22" s="567"/>
      <c r="F22" s="567"/>
      <c r="G22" s="567"/>
      <c r="H22" s="567"/>
      <c r="I22" s="567"/>
      <c r="J22" s="567"/>
      <c r="K22" s="567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7"/>
      <c r="AA22" s="567"/>
      <c r="AB22" s="567"/>
      <c r="AC22" s="567"/>
      <c r="AD22" s="567"/>
      <c r="AE22" s="567"/>
      <c r="AF22" s="567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</row>
    <row r="23" spans="2:92" ht="15.8" customHeight="1" thickBot="1" x14ac:dyDescent="0.3">
      <c r="B23" s="538"/>
      <c r="C23" s="540">
        <v>2</v>
      </c>
      <c r="D23" s="541"/>
      <c r="E23" s="542"/>
      <c r="F23" s="540">
        <v>3</v>
      </c>
      <c r="G23" s="541"/>
      <c r="H23" s="542"/>
      <c r="I23" s="540">
        <v>4</v>
      </c>
      <c r="J23" s="541"/>
      <c r="K23" s="542"/>
      <c r="L23" s="540">
        <v>45667</v>
      </c>
      <c r="M23" s="541"/>
      <c r="N23" s="542"/>
      <c r="O23" s="540">
        <v>45668</v>
      </c>
      <c r="P23" s="541"/>
      <c r="Q23" s="542"/>
      <c r="R23" s="540">
        <v>45670</v>
      </c>
      <c r="S23" s="541"/>
      <c r="T23" s="542"/>
      <c r="U23" s="540">
        <v>45672</v>
      </c>
      <c r="V23" s="541"/>
      <c r="W23" s="542"/>
      <c r="X23" s="540">
        <v>45673</v>
      </c>
      <c r="Y23" s="541"/>
      <c r="Z23" s="542"/>
      <c r="AA23" s="540">
        <v>45674</v>
      </c>
      <c r="AB23" s="541"/>
      <c r="AC23" s="542"/>
      <c r="AD23" s="540">
        <v>45677</v>
      </c>
      <c r="AE23" s="541"/>
      <c r="AF23" s="542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</row>
    <row r="24" spans="2:92" ht="33.799999999999997" customHeight="1" thickBot="1" x14ac:dyDescent="0.3">
      <c r="B24" s="539"/>
      <c r="C24" s="34" t="s">
        <v>10</v>
      </c>
      <c r="D24" s="35" t="s">
        <v>6</v>
      </c>
      <c r="E24" s="36" t="s">
        <v>11</v>
      </c>
      <c r="F24" s="34" t="s">
        <v>10</v>
      </c>
      <c r="G24" s="35" t="s">
        <v>6</v>
      </c>
      <c r="H24" s="36" t="s">
        <v>11</v>
      </c>
      <c r="I24" s="34" t="s">
        <v>10</v>
      </c>
      <c r="J24" s="35" t="s">
        <v>6</v>
      </c>
      <c r="K24" s="36" t="s">
        <v>11</v>
      </c>
      <c r="L24" s="34" t="s">
        <v>10</v>
      </c>
      <c r="M24" s="35" t="s">
        <v>6</v>
      </c>
      <c r="N24" s="36" t="s">
        <v>11</v>
      </c>
      <c r="O24" s="34" t="s">
        <v>10</v>
      </c>
      <c r="P24" s="35" t="s">
        <v>6</v>
      </c>
      <c r="Q24" s="36" t="s">
        <v>11</v>
      </c>
      <c r="R24" s="34" t="s">
        <v>10</v>
      </c>
      <c r="S24" s="35" t="s">
        <v>6</v>
      </c>
      <c r="T24" s="36" t="s">
        <v>11</v>
      </c>
      <c r="U24" s="34" t="s">
        <v>10</v>
      </c>
      <c r="V24" s="35" t="s">
        <v>6</v>
      </c>
      <c r="W24" s="36" t="s">
        <v>11</v>
      </c>
      <c r="X24" s="34" t="s">
        <v>10</v>
      </c>
      <c r="Y24" s="35" t="s">
        <v>6</v>
      </c>
      <c r="Z24" s="36" t="s">
        <v>11</v>
      </c>
      <c r="AA24" s="34" t="s">
        <v>10</v>
      </c>
      <c r="AB24" s="35" t="s">
        <v>6</v>
      </c>
      <c r="AC24" s="36" t="s">
        <v>11</v>
      </c>
      <c r="AD24" s="34" t="s">
        <v>10</v>
      </c>
      <c r="AE24" s="35" t="s">
        <v>6</v>
      </c>
      <c r="AF24" s="36" t="s">
        <v>11</v>
      </c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</row>
    <row r="25" spans="2:92" x14ac:dyDescent="0.25">
      <c r="B25" s="31" t="s">
        <v>1</v>
      </c>
      <c r="C25" s="13"/>
      <c r="D25" s="53"/>
      <c r="E25" s="4">
        <f>C25*D25</f>
        <v>0</v>
      </c>
      <c r="F25" s="13">
        <v>1</v>
      </c>
      <c r="G25" s="53"/>
      <c r="H25" s="4">
        <f>F25*G25</f>
        <v>0</v>
      </c>
      <c r="I25" s="13">
        <v>1</v>
      </c>
      <c r="J25" s="53"/>
      <c r="K25" s="4">
        <f>I25*J25</f>
        <v>0</v>
      </c>
      <c r="L25" s="418">
        <v>2</v>
      </c>
      <c r="M25" s="53"/>
      <c r="N25" s="4">
        <f>L25*M25</f>
        <v>0</v>
      </c>
      <c r="O25" s="13"/>
      <c r="P25" s="53"/>
      <c r="Q25" s="4">
        <f>O25*P25</f>
        <v>0</v>
      </c>
      <c r="R25" s="418">
        <v>1</v>
      </c>
      <c r="S25" s="53"/>
      <c r="T25" s="4">
        <f>R25*S25</f>
        <v>0</v>
      </c>
      <c r="U25" s="13"/>
      <c r="V25" s="53"/>
      <c r="W25" s="4">
        <f>U25*V25</f>
        <v>0</v>
      </c>
      <c r="X25" s="13">
        <v>3</v>
      </c>
      <c r="Y25" s="53"/>
      <c r="Z25" s="4">
        <f>X25*Y25</f>
        <v>0</v>
      </c>
      <c r="AA25" s="13"/>
      <c r="AB25" s="53"/>
      <c r="AC25" s="4">
        <f>AA25*AB25</f>
        <v>0</v>
      </c>
      <c r="AD25" s="13"/>
      <c r="AE25" s="53"/>
      <c r="AF25" s="4">
        <f>AD25*AE25</f>
        <v>0</v>
      </c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</row>
    <row r="26" spans="2:92" x14ac:dyDescent="0.25">
      <c r="B26" s="32" t="s">
        <v>2</v>
      </c>
      <c r="C26" s="16">
        <v>1</v>
      </c>
      <c r="D26" s="52"/>
      <c r="E26" s="4">
        <f>C26*D26</f>
        <v>0</v>
      </c>
      <c r="F26" s="16">
        <v>1</v>
      </c>
      <c r="G26" s="52"/>
      <c r="H26" s="4">
        <f>F26*G26</f>
        <v>0</v>
      </c>
      <c r="I26" s="16">
        <v>2</v>
      </c>
      <c r="J26" s="52"/>
      <c r="K26" s="4">
        <f>I26*J26</f>
        <v>0</v>
      </c>
      <c r="L26" s="16"/>
      <c r="M26" s="52"/>
      <c r="N26" s="4">
        <f>L26*M26</f>
        <v>0</v>
      </c>
      <c r="O26" s="16">
        <v>3</v>
      </c>
      <c r="P26" s="52"/>
      <c r="Q26" s="4">
        <f>O26*P26</f>
        <v>0</v>
      </c>
      <c r="R26" s="16"/>
      <c r="S26" s="52"/>
      <c r="T26" s="4">
        <f>R26*S26</f>
        <v>0</v>
      </c>
      <c r="U26" s="16">
        <v>3</v>
      </c>
      <c r="V26" s="52"/>
      <c r="W26" s="4">
        <f>U26*V26</f>
        <v>0</v>
      </c>
      <c r="X26" s="16"/>
      <c r="Y26" s="52"/>
      <c r="Z26" s="4">
        <f>X26*Y26</f>
        <v>0</v>
      </c>
      <c r="AA26" s="16">
        <v>3</v>
      </c>
      <c r="AB26" s="52"/>
      <c r="AC26" s="4">
        <f>AA26*AB26</f>
        <v>0</v>
      </c>
      <c r="AD26" s="16"/>
      <c r="AE26" s="52"/>
      <c r="AF26" s="4">
        <f>AD26*AE26</f>
        <v>0</v>
      </c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</row>
    <row r="27" spans="2:92" x14ac:dyDescent="0.25">
      <c r="B27" s="32" t="s">
        <v>0</v>
      </c>
      <c r="C27" s="16"/>
      <c r="D27" s="52"/>
      <c r="E27" s="4">
        <f>C27*D27</f>
        <v>0</v>
      </c>
      <c r="F27" s="16">
        <v>2</v>
      </c>
      <c r="G27" s="52"/>
      <c r="H27" s="4">
        <f>F27*G27</f>
        <v>0</v>
      </c>
      <c r="I27" s="16"/>
      <c r="J27" s="52"/>
      <c r="K27" s="4">
        <f>I27*J27</f>
        <v>0</v>
      </c>
      <c r="L27" s="16">
        <v>1</v>
      </c>
      <c r="M27" s="52"/>
      <c r="N27" s="4">
        <f>L27*M27</f>
        <v>0</v>
      </c>
      <c r="O27" s="16">
        <v>1</v>
      </c>
      <c r="P27" s="52"/>
      <c r="Q27" s="4">
        <f>O27*P27</f>
        <v>0</v>
      </c>
      <c r="R27" s="16"/>
      <c r="S27" s="52"/>
      <c r="T27" s="4">
        <f>R27*S27</f>
        <v>0</v>
      </c>
      <c r="U27" s="16">
        <v>1</v>
      </c>
      <c r="V27" s="52"/>
      <c r="W27" s="4">
        <f>U27*V27</f>
        <v>0</v>
      </c>
      <c r="X27" s="16">
        <v>1</v>
      </c>
      <c r="Y27" s="52"/>
      <c r="Z27" s="4">
        <f>X27*Y27</f>
        <v>0</v>
      </c>
      <c r="AA27" s="16"/>
      <c r="AB27" s="52"/>
      <c r="AC27" s="4">
        <f>AA27*AB27</f>
        <v>0</v>
      </c>
      <c r="AD27" s="16">
        <v>3</v>
      </c>
      <c r="AE27" s="52"/>
      <c r="AF27" s="4">
        <f>AD27*AE27</f>
        <v>0</v>
      </c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</row>
    <row r="28" spans="2:92" x14ac:dyDescent="0.25">
      <c r="B28" s="32" t="s">
        <v>3</v>
      </c>
      <c r="C28" s="16"/>
      <c r="D28" s="52"/>
      <c r="E28" s="4">
        <f>C28*D28</f>
        <v>0</v>
      </c>
      <c r="F28" s="16"/>
      <c r="G28" s="52"/>
      <c r="H28" s="4">
        <f>F28*G28</f>
        <v>0</v>
      </c>
      <c r="I28" s="16"/>
      <c r="J28" s="52"/>
      <c r="K28" s="4">
        <f>I28*J28</f>
        <v>0</v>
      </c>
      <c r="L28" s="16"/>
      <c r="M28" s="52"/>
      <c r="N28" s="4">
        <f>L28*M28</f>
        <v>0</v>
      </c>
      <c r="O28" s="16"/>
      <c r="P28" s="52"/>
      <c r="Q28" s="4">
        <f>O28*P28</f>
        <v>0</v>
      </c>
      <c r="R28" s="16"/>
      <c r="S28" s="52"/>
      <c r="T28" s="4">
        <f>R28*S28</f>
        <v>0</v>
      </c>
      <c r="U28" s="16"/>
      <c r="V28" s="52"/>
      <c r="W28" s="4">
        <f>U28*V28</f>
        <v>0</v>
      </c>
      <c r="X28" s="16"/>
      <c r="Y28" s="52"/>
      <c r="Z28" s="4">
        <f>X28*Y28</f>
        <v>0</v>
      </c>
      <c r="AA28" s="16"/>
      <c r="AB28" s="52"/>
      <c r="AC28" s="4">
        <f>AA28*AB28</f>
        <v>0</v>
      </c>
      <c r="AD28" s="16"/>
      <c r="AE28" s="52"/>
      <c r="AF28" s="4">
        <f>AD28*AE28</f>
        <v>0</v>
      </c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</row>
    <row r="29" spans="2:92" ht="14.95" thickBot="1" x14ac:dyDescent="0.3">
      <c r="B29" s="33" t="s">
        <v>8</v>
      </c>
      <c r="C29" s="18"/>
      <c r="D29" s="54"/>
      <c r="E29" s="22">
        <f>C29*D29</f>
        <v>0</v>
      </c>
      <c r="F29" s="18"/>
      <c r="G29" s="54"/>
      <c r="H29" s="22">
        <f>F29*G29</f>
        <v>0</v>
      </c>
      <c r="I29" s="18"/>
      <c r="J29" s="54"/>
      <c r="K29" s="22">
        <f>I29*J29</f>
        <v>0</v>
      </c>
      <c r="L29" s="18"/>
      <c r="M29" s="54"/>
      <c r="N29" s="22">
        <f>L29*M29</f>
        <v>0</v>
      </c>
      <c r="O29" s="18"/>
      <c r="P29" s="54"/>
      <c r="Q29" s="22">
        <f>O29*P29</f>
        <v>0</v>
      </c>
      <c r="R29" s="18"/>
      <c r="S29" s="54"/>
      <c r="T29" s="22">
        <f>R29*S29</f>
        <v>0</v>
      </c>
      <c r="U29" s="18"/>
      <c r="V29" s="54"/>
      <c r="W29" s="22">
        <f>U29*V29</f>
        <v>0</v>
      </c>
      <c r="X29" s="18">
        <v>100</v>
      </c>
      <c r="Y29" s="54"/>
      <c r="Z29" s="22">
        <f>X29*Y29</f>
        <v>0</v>
      </c>
      <c r="AA29" s="18"/>
      <c r="AB29" s="54"/>
      <c r="AC29" s="22">
        <f>AA29*AB29</f>
        <v>0</v>
      </c>
      <c r="AD29" s="18"/>
      <c r="AE29" s="54"/>
      <c r="AF29" s="22">
        <f>AD29*AE29</f>
        <v>0</v>
      </c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</row>
    <row r="30" spans="2:92" x14ac:dyDescent="0.25">
      <c r="B30" s="9"/>
      <c r="C30" s="9"/>
      <c r="D30" s="37"/>
      <c r="E30" s="9"/>
      <c r="F30" s="9"/>
      <c r="G30" s="37"/>
      <c r="H30" s="9"/>
      <c r="I30" s="9"/>
      <c r="J30" s="37"/>
      <c r="K30" s="9"/>
      <c r="L30" s="9"/>
      <c r="M30" s="3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</row>
    <row r="31" spans="2:92" x14ac:dyDescent="0.25">
      <c r="B31" s="9"/>
      <c r="C31" s="9"/>
      <c r="D31" s="37"/>
      <c r="E31" s="9"/>
      <c r="F31" s="9"/>
      <c r="G31" s="37"/>
      <c r="H31" s="9"/>
      <c r="I31" s="9"/>
      <c r="J31" s="37"/>
      <c r="K31" s="9"/>
      <c r="L31" s="9"/>
      <c r="M31" s="3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</row>
    <row r="32" spans="2:92" x14ac:dyDescent="0.25">
      <c r="B32" s="9"/>
      <c r="C32" s="9"/>
      <c r="D32" s="37"/>
      <c r="E32" s="9"/>
      <c r="F32" s="9"/>
      <c r="G32" s="37"/>
      <c r="H32" s="9"/>
      <c r="I32" s="9"/>
      <c r="J32" s="37"/>
      <c r="K32" s="9"/>
      <c r="L32" s="9"/>
      <c r="M32" s="3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</row>
    <row r="33" spans="2:92" x14ac:dyDescent="0.25">
      <c r="B33" s="9"/>
      <c r="C33" s="9"/>
      <c r="D33" s="37"/>
      <c r="E33" s="9"/>
      <c r="F33" s="9"/>
      <c r="G33" s="37"/>
      <c r="H33" s="9"/>
      <c r="I33" s="9"/>
      <c r="J33" s="37"/>
      <c r="K33" s="9"/>
      <c r="L33" s="9"/>
      <c r="M33" s="3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</row>
    <row r="34" spans="2:92" x14ac:dyDescent="0.25">
      <c r="B34" s="9"/>
      <c r="C34" s="9"/>
      <c r="D34" s="37"/>
      <c r="E34" s="9"/>
      <c r="F34" s="9"/>
      <c r="G34" s="37"/>
      <c r="H34" s="9"/>
      <c r="I34" s="9"/>
      <c r="J34" s="37"/>
      <c r="K34" s="9"/>
      <c r="L34" s="9"/>
      <c r="M34" s="3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</row>
    <row r="35" spans="2:92" x14ac:dyDescent="0.25">
      <c r="B35" s="9"/>
      <c r="C35" s="9"/>
      <c r="D35" s="37"/>
      <c r="E35" s="9"/>
      <c r="F35" s="9"/>
      <c r="G35" s="37"/>
      <c r="H35" s="37"/>
      <c r="I35" s="37"/>
      <c r="J35" s="37"/>
      <c r="K35" s="37"/>
      <c r="L35" s="37"/>
      <c r="M35" s="3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</row>
    <row r="36" spans="2:92" x14ac:dyDescent="0.25">
      <c r="B36" s="9"/>
      <c r="C36" s="9"/>
      <c r="D36" s="37"/>
      <c r="E36" s="9"/>
      <c r="F36" s="9"/>
      <c r="G36" s="37"/>
      <c r="H36" s="37"/>
      <c r="I36" s="37"/>
      <c r="J36" s="37"/>
      <c r="K36" s="37"/>
      <c r="L36" s="37"/>
      <c r="M36" s="3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</row>
    <row r="37" spans="2:92" x14ac:dyDescent="0.25">
      <c r="B37" s="9"/>
      <c r="C37" s="9"/>
      <c r="D37" s="37"/>
      <c r="E37" s="9"/>
      <c r="F37" s="9"/>
      <c r="G37" s="37"/>
      <c r="H37" s="37"/>
      <c r="I37" s="37"/>
      <c r="J37" s="37"/>
      <c r="K37" s="37"/>
      <c r="L37" s="37"/>
      <c r="M37" s="3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</row>
    <row r="38" spans="2:92" x14ac:dyDescent="0.25">
      <c r="B38" s="9"/>
      <c r="C38" s="9"/>
      <c r="D38" s="37"/>
      <c r="E38" s="9"/>
      <c r="F38" s="9"/>
      <c r="G38" s="37"/>
      <c r="H38" s="37"/>
      <c r="I38" s="37"/>
      <c r="J38" s="37"/>
      <c r="K38" s="37"/>
      <c r="L38" s="37"/>
      <c r="M38" s="3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</row>
    <row r="39" spans="2:92" x14ac:dyDescent="0.25">
      <c r="B39" s="9"/>
      <c r="C39" s="9"/>
      <c r="D39" s="37"/>
      <c r="E39" s="9"/>
      <c r="F39" s="9"/>
      <c r="G39" s="37"/>
      <c r="H39" s="37"/>
      <c r="I39" s="37"/>
      <c r="J39" s="37"/>
      <c r="K39" s="37"/>
      <c r="L39" s="37"/>
      <c r="M39" s="3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</row>
    <row r="40" spans="2:92" x14ac:dyDescent="0.25">
      <c r="B40" s="9"/>
      <c r="C40" s="9"/>
      <c r="D40" s="37"/>
      <c r="E40" s="9"/>
      <c r="F40" s="9"/>
      <c r="G40" s="37"/>
      <c r="H40" s="37"/>
      <c r="I40" s="37"/>
      <c r="J40" s="37"/>
      <c r="K40" s="37"/>
      <c r="L40" s="37"/>
      <c r="M40" s="3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</row>
    <row r="41" spans="2:92" x14ac:dyDescent="0.25">
      <c r="B41" s="9"/>
      <c r="C41" s="9"/>
      <c r="D41" s="37"/>
      <c r="E41" s="9"/>
      <c r="F41" s="9"/>
      <c r="G41" s="37"/>
      <c r="H41" s="37"/>
      <c r="I41" s="37"/>
      <c r="J41" s="37"/>
      <c r="K41" s="37"/>
      <c r="L41" s="37"/>
      <c r="M41" s="3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</row>
    <row r="42" spans="2:92" x14ac:dyDescent="0.25">
      <c r="B42" s="9"/>
      <c r="C42" s="9"/>
      <c r="D42" s="37"/>
      <c r="E42" s="9"/>
      <c r="F42" s="9"/>
      <c r="G42" s="37"/>
      <c r="H42" s="37"/>
      <c r="I42" s="37"/>
      <c r="J42" s="37"/>
      <c r="K42" s="37"/>
      <c r="L42" s="37"/>
      <c r="M42" s="3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</row>
    <row r="43" spans="2:92" x14ac:dyDescent="0.25">
      <c r="B43" s="9"/>
      <c r="C43" s="9"/>
      <c r="D43" s="37"/>
      <c r="E43" s="9"/>
      <c r="F43" s="9"/>
      <c r="G43" s="37"/>
      <c r="H43" s="37"/>
      <c r="I43" s="37"/>
      <c r="J43" s="37"/>
      <c r="K43" s="37"/>
      <c r="L43" s="37"/>
      <c r="M43" s="3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</row>
    <row r="44" spans="2:92" x14ac:dyDescent="0.25">
      <c r="B44" s="9"/>
      <c r="C44" s="9"/>
      <c r="D44" s="37"/>
      <c r="E44" s="9"/>
      <c r="F44" s="9"/>
      <c r="G44" s="37"/>
      <c r="H44" s="37"/>
      <c r="I44" s="37"/>
      <c r="J44" s="37"/>
      <c r="K44" s="37"/>
      <c r="L44" s="37"/>
      <c r="M44" s="3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</row>
    <row r="45" spans="2:92" x14ac:dyDescent="0.25">
      <c r="B45" s="9"/>
      <c r="C45" s="9"/>
      <c r="D45" s="37"/>
      <c r="E45" s="9"/>
      <c r="F45" s="9"/>
      <c r="G45" s="37"/>
      <c r="H45" s="37"/>
      <c r="I45" s="37"/>
      <c r="J45" s="37"/>
      <c r="K45" s="37"/>
      <c r="L45" s="37"/>
      <c r="M45" s="3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</row>
    <row r="46" spans="2:92" x14ac:dyDescent="0.25">
      <c r="B46" s="9"/>
      <c r="C46" s="9"/>
      <c r="D46" s="37"/>
      <c r="E46" s="9"/>
      <c r="F46" s="9"/>
      <c r="G46" s="37"/>
      <c r="H46" s="37"/>
      <c r="I46" s="37"/>
      <c r="J46" s="37"/>
      <c r="K46" s="37"/>
      <c r="L46" s="37"/>
      <c r="M46" s="3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</row>
    <row r="47" spans="2:92" x14ac:dyDescent="0.25">
      <c r="B47" s="9"/>
      <c r="C47" s="9"/>
      <c r="D47" s="37"/>
      <c r="E47" s="9"/>
      <c r="F47" s="9"/>
      <c r="G47" s="37"/>
      <c r="H47" s="9"/>
      <c r="I47" s="9"/>
      <c r="J47" s="37"/>
      <c r="K47" s="9"/>
      <c r="L47" s="9"/>
      <c r="M47" s="3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</row>
    <row r="48" spans="2:92" x14ac:dyDescent="0.25">
      <c r="B48" s="9"/>
      <c r="C48" s="9"/>
      <c r="D48" s="37"/>
      <c r="E48" s="9"/>
      <c r="F48" s="9"/>
      <c r="G48" s="37"/>
      <c r="H48" s="9"/>
      <c r="I48" s="9"/>
      <c r="J48" s="37"/>
      <c r="K48" s="9"/>
      <c r="L48" s="9"/>
      <c r="M48" s="3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</row>
    <row r="49" spans="2:92" x14ac:dyDescent="0.25">
      <c r="B49" s="9"/>
      <c r="C49" s="9"/>
      <c r="D49" s="37"/>
      <c r="E49" s="9"/>
      <c r="F49" s="9"/>
      <c r="G49" s="37"/>
      <c r="H49" s="9"/>
      <c r="I49" s="9"/>
      <c r="J49" s="37"/>
      <c r="K49" s="9"/>
      <c r="L49" s="9"/>
      <c r="M49" s="3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</row>
    <row r="50" spans="2:92" x14ac:dyDescent="0.25">
      <c r="B50" s="9"/>
      <c r="C50" s="9"/>
      <c r="D50" s="37"/>
      <c r="E50" s="9"/>
      <c r="F50" s="9"/>
      <c r="G50" s="37"/>
      <c r="H50" s="9"/>
      <c r="I50" s="9"/>
      <c r="J50" s="37"/>
      <c r="K50" s="9"/>
      <c r="L50" s="9"/>
      <c r="M50" s="3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</row>
    <row r="51" spans="2:92" x14ac:dyDescent="0.25">
      <c r="B51" s="9"/>
      <c r="C51" s="9"/>
      <c r="D51" s="37"/>
      <c r="E51" s="9"/>
      <c r="F51" s="9"/>
      <c r="G51" s="37"/>
      <c r="H51" s="9"/>
      <c r="I51" s="9"/>
      <c r="J51" s="37"/>
      <c r="K51" s="9"/>
      <c r="L51" s="9"/>
      <c r="M51" s="3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</row>
    <row r="52" spans="2:92" x14ac:dyDescent="0.25">
      <c r="B52" s="9"/>
      <c r="C52" s="9"/>
      <c r="D52" s="37"/>
      <c r="E52" s="9"/>
      <c r="F52" s="9"/>
      <c r="G52" s="37"/>
      <c r="H52" s="9"/>
      <c r="I52" s="9"/>
      <c r="J52" s="37"/>
      <c r="K52" s="9"/>
      <c r="L52" s="9"/>
      <c r="M52" s="3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</row>
    <row r="53" spans="2:92" x14ac:dyDescent="0.25">
      <c r="B53" s="9"/>
      <c r="C53" s="9"/>
      <c r="D53" s="37"/>
      <c r="E53" s="9"/>
      <c r="F53" s="9"/>
      <c r="G53" s="37"/>
      <c r="H53" s="9"/>
      <c r="I53" s="9"/>
      <c r="J53" s="37"/>
      <c r="K53" s="9"/>
      <c r="L53" s="9"/>
      <c r="M53" s="3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</row>
    <row r="54" spans="2:92" x14ac:dyDescent="0.25">
      <c r="B54" s="9"/>
      <c r="C54" s="9"/>
      <c r="D54" s="37"/>
      <c r="E54" s="9"/>
      <c r="F54" s="9"/>
      <c r="G54" s="37"/>
      <c r="H54" s="9"/>
      <c r="I54" s="9"/>
      <c r="J54" s="37"/>
      <c r="K54" s="9"/>
      <c r="L54" s="9"/>
      <c r="M54" s="3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</row>
    <row r="55" spans="2:92" x14ac:dyDescent="0.25">
      <c r="B55" s="9"/>
      <c r="C55" s="9"/>
      <c r="D55" s="37"/>
      <c r="E55" s="9"/>
      <c r="F55" s="9"/>
      <c r="G55" s="37"/>
      <c r="H55" s="9"/>
      <c r="I55" s="9"/>
      <c r="J55" s="37"/>
      <c r="K55" s="9"/>
      <c r="L55" s="9"/>
      <c r="M55" s="3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</row>
    <row r="56" spans="2:92" x14ac:dyDescent="0.25">
      <c r="B56" s="9"/>
      <c r="C56" s="9"/>
      <c r="D56" s="37"/>
      <c r="E56" s="9"/>
      <c r="F56" s="9"/>
      <c r="G56" s="37"/>
      <c r="H56" s="9"/>
      <c r="I56" s="9"/>
      <c r="J56" s="37"/>
      <c r="K56" s="9"/>
      <c r="L56" s="9"/>
      <c r="M56" s="3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</row>
    <row r="57" spans="2:92" x14ac:dyDescent="0.25">
      <c r="B57" s="9"/>
      <c r="C57" s="9"/>
      <c r="D57" s="37"/>
      <c r="E57" s="9"/>
      <c r="F57" s="9"/>
      <c r="G57" s="37"/>
      <c r="H57" s="9"/>
      <c r="I57" s="9"/>
      <c r="J57" s="37"/>
      <c r="K57" s="9"/>
      <c r="L57" s="9"/>
      <c r="M57" s="3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</row>
    <row r="58" spans="2:92" x14ac:dyDescent="0.25">
      <c r="B58" s="9"/>
      <c r="C58" s="9"/>
      <c r="D58" s="37"/>
      <c r="E58" s="9"/>
      <c r="F58" s="9"/>
      <c r="G58" s="37"/>
      <c r="H58" s="9"/>
      <c r="I58" s="9"/>
      <c r="J58" s="37"/>
      <c r="K58" s="9"/>
      <c r="L58" s="9"/>
      <c r="M58" s="3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</row>
    <row r="59" spans="2:92" x14ac:dyDescent="0.25">
      <c r="B59" s="9"/>
      <c r="C59" s="9"/>
      <c r="D59" s="37"/>
      <c r="E59" s="9"/>
      <c r="F59" s="9"/>
      <c r="G59" s="37"/>
      <c r="H59" s="9"/>
      <c r="I59" s="9"/>
      <c r="J59" s="37"/>
      <c r="K59" s="9"/>
      <c r="L59" s="9"/>
      <c r="M59" s="3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</row>
    <row r="60" spans="2:92" x14ac:dyDescent="0.25">
      <c r="B60" s="9"/>
      <c r="C60" s="9"/>
      <c r="D60" s="37"/>
      <c r="E60" s="9"/>
      <c r="F60" s="9"/>
      <c r="G60" s="37"/>
      <c r="H60" s="9"/>
      <c r="I60" s="9"/>
      <c r="J60" s="37"/>
      <c r="K60" s="9"/>
      <c r="L60" s="9"/>
      <c r="M60" s="3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</row>
    <row r="61" spans="2:92" x14ac:dyDescent="0.25">
      <c r="B61" s="9"/>
      <c r="C61" s="9"/>
      <c r="D61" s="37"/>
      <c r="E61" s="9"/>
      <c r="F61" s="9"/>
      <c r="G61" s="37"/>
      <c r="H61" s="9"/>
      <c r="I61" s="9"/>
      <c r="J61" s="37"/>
      <c r="K61" s="9"/>
      <c r="L61" s="9"/>
      <c r="M61" s="3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</row>
    <row r="62" spans="2:92" x14ac:dyDescent="0.25">
      <c r="B62" s="9"/>
      <c r="C62" s="9"/>
      <c r="D62" s="37"/>
      <c r="E62" s="9"/>
      <c r="F62" s="9"/>
      <c r="G62" s="37"/>
      <c r="H62" s="9"/>
      <c r="I62" s="9"/>
      <c r="J62" s="37"/>
      <c r="K62" s="9"/>
      <c r="L62" s="9"/>
      <c r="M62" s="3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</row>
    <row r="63" spans="2:92" x14ac:dyDescent="0.25">
      <c r="B63" s="9"/>
      <c r="C63" s="9"/>
      <c r="D63" s="37"/>
      <c r="E63" s="9"/>
      <c r="F63" s="9"/>
      <c r="G63" s="37"/>
      <c r="H63" s="9"/>
      <c r="I63" s="9"/>
      <c r="J63" s="37"/>
      <c r="K63" s="9"/>
      <c r="L63" s="9"/>
      <c r="M63" s="3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</row>
    <row r="64" spans="2:92" x14ac:dyDescent="0.25">
      <c r="B64" s="9"/>
      <c r="C64" s="9"/>
      <c r="D64" s="37"/>
      <c r="E64" s="9"/>
      <c r="F64" s="9"/>
      <c r="G64" s="37"/>
      <c r="H64" s="9"/>
      <c r="I64" s="9"/>
      <c r="J64" s="37"/>
      <c r="K64" s="9"/>
      <c r="L64" s="9"/>
      <c r="M64" s="3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</row>
    <row r="65" spans="2:92" x14ac:dyDescent="0.25">
      <c r="B65" s="9"/>
      <c r="C65" s="9"/>
      <c r="D65" s="37"/>
      <c r="E65" s="9"/>
      <c r="F65" s="9"/>
      <c r="G65" s="37"/>
      <c r="H65" s="9"/>
      <c r="I65" s="9"/>
      <c r="J65" s="37"/>
      <c r="K65" s="9"/>
      <c r="L65" s="9"/>
      <c r="M65" s="3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</row>
    <row r="66" spans="2:92" x14ac:dyDescent="0.25">
      <c r="B66" s="9"/>
      <c r="C66" s="9"/>
      <c r="D66" s="37"/>
      <c r="E66" s="9"/>
      <c r="F66" s="9"/>
      <c r="G66" s="37"/>
      <c r="H66" s="9"/>
      <c r="I66" s="9"/>
      <c r="J66" s="37"/>
      <c r="K66" s="9"/>
      <c r="L66" s="9"/>
      <c r="M66" s="3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</row>
    <row r="67" spans="2:92" x14ac:dyDescent="0.25">
      <c r="B67" s="9"/>
      <c r="C67" s="9"/>
      <c r="D67" s="37"/>
      <c r="E67" s="9"/>
      <c r="F67" s="9"/>
      <c r="G67" s="37"/>
      <c r="H67" s="9"/>
      <c r="I67" s="9"/>
      <c r="J67" s="37"/>
      <c r="K67" s="9"/>
      <c r="L67" s="9"/>
      <c r="M67" s="3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</row>
    <row r="68" spans="2:92" x14ac:dyDescent="0.25">
      <c r="B68" s="9"/>
      <c r="C68" s="9"/>
      <c r="D68" s="37"/>
      <c r="E68" s="9"/>
      <c r="F68" s="9"/>
      <c r="G68" s="37"/>
      <c r="H68" s="9"/>
      <c r="I68" s="9"/>
      <c r="J68" s="37"/>
      <c r="K68" s="9"/>
      <c r="L68" s="9"/>
      <c r="M68" s="3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</row>
    <row r="69" spans="2:92" x14ac:dyDescent="0.25">
      <c r="B69" s="9"/>
      <c r="C69" s="9"/>
      <c r="D69" s="37"/>
      <c r="E69" s="9"/>
      <c r="F69" s="9"/>
      <c r="G69" s="37"/>
      <c r="H69" s="9"/>
      <c r="I69" s="9"/>
      <c r="J69" s="37"/>
      <c r="K69" s="9"/>
      <c r="L69" s="9"/>
      <c r="M69" s="3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</row>
    <row r="70" spans="2:92" x14ac:dyDescent="0.25">
      <c r="B70" s="9"/>
      <c r="C70" s="9"/>
      <c r="D70" s="37"/>
      <c r="E70" s="9"/>
      <c r="F70" s="9"/>
      <c r="G70" s="37"/>
      <c r="H70" s="9"/>
      <c r="I70" s="9"/>
      <c r="J70" s="37"/>
      <c r="K70" s="9"/>
      <c r="L70" s="9"/>
      <c r="M70" s="3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</row>
    <row r="71" spans="2:92" x14ac:dyDescent="0.25">
      <c r="B71" s="9"/>
      <c r="C71" s="9"/>
      <c r="D71" s="37"/>
      <c r="E71" s="9"/>
      <c r="F71" s="9"/>
      <c r="G71" s="37"/>
      <c r="H71" s="9"/>
      <c r="I71" s="9"/>
      <c r="J71" s="37"/>
      <c r="K71" s="9"/>
      <c r="L71" s="9"/>
      <c r="M71" s="3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</row>
    <row r="72" spans="2:92" x14ac:dyDescent="0.25">
      <c r="B72" s="9"/>
      <c r="C72" s="9"/>
      <c r="D72" s="37"/>
      <c r="E72" s="9"/>
      <c r="F72" s="9"/>
      <c r="G72" s="37"/>
      <c r="H72" s="9"/>
      <c r="I72" s="9"/>
      <c r="J72" s="37"/>
      <c r="K72" s="9"/>
      <c r="L72" s="9"/>
      <c r="M72" s="3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</row>
    <row r="73" spans="2:92" x14ac:dyDescent="0.25">
      <c r="B73" s="9"/>
      <c r="C73" s="9"/>
      <c r="D73" s="37"/>
      <c r="E73" s="9"/>
      <c r="F73" s="9"/>
      <c r="G73" s="37"/>
      <c r="H73" s="9"/>
      <c r="I73" s="9"/>
      <c r="J73" s="37"/>
      <c r="K73" s="9"/>
      <c r="L73" s="9"/>
      <c r="M73" s="3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</row>
    <row r="74" spans="2:92" x14ac:dyDescent="0.25">
      <c r="B74" s="9"/>
      <c r="C74" s="9"/>
      <c r="D74" s="37"/>
      <c r="E74" s="9"/>
      <c r="F74" s="9"/>
      <c r="G74" s="37"/>
      <c r="H74" s="9"/>
      <c r="I74" s="9"/>
      <c r="J74" s="37"/>
      <c r="K74" s="9"/>
      <c r="L74" s="9"/>
      <c r="M74" s="3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</row>
    <row r="75" spans="2:92" x14ac:dyDescent="0.25">
      <c r="B75" s="9"/>
      <c r="C75" s="9"/>
      <c r="D75" s="37"/>
      <c r="E75" s="9"/>
      <c r="F75" s="9"/>
      <c r="G75" s="37"/>
      <c r="H75" s="9"/>
      <c r="I75" s="9"/>
      <c r="J75" s="37"/>
      <c r="K75" s="9"/>
      <c r="L75" s="9"/>
      <c r="M75" s="3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</row>
    <row r="76" spans="2:92" x14ac:dyDescent="0.25">
      <c r="B76" s="9"/>
      <c r="C76" s="9"/>
      <c r="D76" s="37"/>
      <c r="E76" s="9"/>
      <c r="F76" s="9"/>
      <c r="G76" s="37"/>
      <c r="H76" s="9"/>
      <c r="I76" s="9"/>
      <c r="J76" s="37"/>
      <c r="K76" s="9"/>
      <c r="L76" s="9"/>
      <c r="M76" s="3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</row>
    <row r="77" spans="2:92" x14ac:dyDescent="0.25">
      <c r="B77" s="9"/>
      <c r="C77" s="9"/>
      <c r="D77" s="37"/>
      <c r="E77" s="9"/>
      <c r="F77" s="9"/>
      <c r="G77" s="37"/>
      <c r="H77" s="9"/>
      <c r="I77" s="9"/>
      <c r="J77" s="37"/>
      <c r="K77" s="9"/>
      <c r="L77" s="9"/>
      <c r="M77" s="3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</row>
    <row r="78" spans="2:92" x14ac:dyDescent="0.25">
      <c r="B78" s="9"/>
      <c r="C78" s="9"/>
      <c r="D78" s="37"/>
      <c r="E78" s="9"/>
      <c r="F78" s="9"/>
      <c r="G78" s="37"/>
      <c r="H78" s="9"/>
      <c r="I78" s="9"/>
      <c r="J78" s="37"/>
      <c r="K78" s="9"/>
      <c r="L78" s="9"/>
      <c r="M78" s="3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</row>
    <row r="79" spans="2:92" x14ac:dyDescent="0.25">
      <c r="B79" s="9"/>
      <c r="C79" s="9"/>
      <c r="D79" s="37"/>
      <c r="E79" s="9"/>
      <c r="F79" s="9"/>
      <c r="G79" s="37"/>
      <c r="H79" s="9"/>
      <c r="I79" s="9"/>
      <c r="J79" s="37"/>
      <c r="K79" s="9"/>
      <c r="L79" s="9"/>
      <c r="M79" s="3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</row>
    <row r="80" spans="2:92" x14ac:dyDescent="0.25">
      <c r="B80" s="9"/>
      <c r="C80" s="9"/>
      <c r="D80" s="37"/>
      <c r="E80" s="9"/>
      <c r="F80" s="9"/>
      <c r="G80" s="37"/>
      <c r="H80" s="9"/>
      <c r="I80" s="9"/>
      <c r="J80" s="37"/>
      <c r="K80" s="9"/>
      <c r="L80" s="9"/>
      <c r="M80" s="3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</row>
    <row r="81" spans="2:92" x14ac:dyDescent="0.25">
      <c r="B81" s="9"/>
      <c r="C81" s="9"/>
      <c r="D81" s="37"/>
      <c r="E81" s="9"/>
      <c r="F81" s="9"/>
      <c r="G81" s="37"/>
      <c r="H81" s="9"/>
      <c r="I81" s="9"/>
      <c r="J81" s="37"/>
      <c r="K81" s="9"/>
      <c r="L81" s="9"/>
      <c r="M81" s="3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</row>
    <row r="82" spans="2:92" x14ac:dyDescent="0.25">
      <c r="B82" s="9"/>
      <c r="C82" s="9"/>
      <c r="D82" s="37"/>
      <c r="E82" s="9"/>
      <c r="F82" s="9"/>
      <c r="G82" s="37"/>
      <c r="H82" s="9"/>
      <c r="I82" s="9"/>
      <c r="J82" s="37"/>
      <c r="K82" s="9"/>
      <c r="L82" s="9"/>
      <c r="M82" s="3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</row>
    <row r="83" spans="2:92" x14ac:dyDescent="0.25">
      <c r="B83" s="9"/>
      <c r="C83" s="9"/>
      <c r="D83" s="37"/>
      <c r="E83" s="9"/>
      <c r="F83" s="9"/>
      <c r="G83" s="37"/>
      <c r="H83" s="9"/>
      <c r="I83" s="9"/>
      <c r="J83" s="37"/>
      <c r="K83" s="9"/>
      <c r="L83" s="9"/>
      <c r="M83" s="3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</row>
    <row r="84" spans="2:92" x14ac:dyDescent="0.25">
      <c r="B84" s="9"/>
      <c r="C84" s="9"/>
      <c r="D84" s="37"/>
      <c r="E84" s="9"/>
      <c r="F84" s="9"/>
      <c r="G84" s="37"/>
      <c r="H84" s="9"/>
      <c r="I84" s="9"/>
      <c r="J84" s="37"/>
      <c r="K84" s="9"/>
      <c r="L84" s="9"/>
      <c r="M84" s="3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</row>
    <row r="85" spans="2:92" x14ac:dyDescent="0.25">
      <c r="B85" s="9"/>
      <c r="C85" s="9"/>
      <c r="D85" s="37"/>
      <c r="E85" s="9"/>
      <c r="F85" s="9"/>
      <c r="G85" s="37"/>
      <c r="H85" s="9"/>
      <c r="I85" s="9"/>
      <c r="J85" s="37"/>
      <c r="K85" s="9"/>
      <c r="L85" s="9"/>
      <c r="M85" s="3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</row>
    <row r="86" spans="2:92" x14ac:dyDescent="0.25">
      <c r="B86" s="9"/>
      <c r="C86" s="9"/>
      <c r="D86" s="37"/>
      <c r="E86" s="9"/>
      <c r="F86" s="9"/>
      <c r="G86" s="37"/>
      <c r="H86" s="9"/>
      <c r="I86" s="9"/>
      <c r="J86" s="37"/>
      <c r="K86" s="9"/>
      <c r="L86" s="9"/>
      <c r="M86" s="3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</row>
    <row r="87" spans="2:92" x14ac:dyDescent="0.25">
      <c r="B87" s="9"/>
      <c r="C87" s="9"/>
      <c r="D87" s="37"/>
      <c r="E87" s="9"/>
      <c r="F87" s="9"/>
      <c r="G87" s="37"/>
      <c r="H87" s="9"/>
      <c r="I87" s="9"/>
      <c r="J87" s="37"/>
      <c r="K87" s="9"/>
      <c r="L87" s="9"/>
      <c r="M87" s="3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</row>
    <row r="88" spans="2:92" x14ac:dyDescent="0.25">
      <c r="B88" s="9"/>
      <c r="C88" s="9"/>
      <c r="D88" s="37"/>
      <c r="E88" s="9"/>
      <c r="F88" s="9"/>
      <c r="G88" s="37"/>
      <c r="H88" s="9"/>
      <c r="I88" s="9"/>
      <c r="J88" s="37"/>
      <c r="K88" s="9"/>
      <c r="L88" s="9"/>
      <c r="M88" s="3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</row>
    <row r="89" spans="2:92" x14ac:dyDescent="0.25">
      <c r="B89" s="9"/>
      <c r="C89" s="9"/>
      <c r="D89" s="37"/>
      <c r="E89" s="9"/>
      <c r="F89" s="9"/>
      <c r="G89" s="37"/>
      <c r="H89" s="9"/>
      <c r="I89" s="9"/>
      <c r="J89" s="37"/>
      <c r="K89" s="9"/>
      <c r="L89" s="9"/>
      <c r="M89" s="3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</row>
    <row r="90" spans="2:92" x14ac:dyDescent="0.25">
      <c r="B90" s="9"/>
      <c r="C90" s="9"/>
      <c r="D90" s="37"/>
      <c r="E90" s="9"/>
      <c r="F90" s="9"/>
      <c r="G90" s="37"/>
      <c r="H90" s="9"/>
      <c r="I90" s="9"/>
      <c r="J90" s="37"/>
      <c r="K90" s="9"/>
      <c r="L90" s="9"/>
      <c r="M90" s="3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</row>
    <row r="91" spans="2:92" x14ac:dyDescent="0.25">
      <c r="B91" s="9"/>
      <c r="C91" s="9"/>
      <c r="D91" s="37"/>
      <c r="E91" s="9"/>
      <c r="F91" s="9"/>
      <c r="G91" s="37"/>
      <c r="H91" s="9"/>
      <c r="I91" s="9"/>
      <c r="J91" s="37"/>
      <c r="K91" s="9"/>
      <c r="L91" s="9"/>
      <c r="M91" s="3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</row>
    <row r="92" spans="2:92" x14ac:dyDescent="0.25">
      <c r="B92" s="9"/>
      <c r="C92" s="9"/>
      <c r="D92" s="37"/>
      <c r="E92" s="9"/>
      <c r="F92" s="9"/>
      <c r="G92" s="37"/>
      <c r="H92" s="9"/>
      <c r="I92" s="9"/>
      <c r="J92" s="37"/>
      <c r="K92" s="9"/>
      <c r="L92" s="9"/>
      <c r="M92" s="3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</row>
    <row r="93" spans="2:92" x14ac:dyDescent="0.25">
      <c r="B93" s="9"/>
      <c r="C93" s="9"/>
      <c r="D93" s="37"/>
      <c r="E93" s="9"/>
      <c r="F93" s="9"/>
      <c r="G93" s="37"/>
      <c r="H93" s="9"/>
      <c r="I93" s="9"/>
      <c r="J93" s="37"/>
      <c r="K93" s="9"/>
      <c r="L93" s="9"/>
      <c r="M93" s="3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</row>
    <row r="94" spans="2:92" x14ac:dyDescent="0.25">
      <c r="B94" s="9"/>
      <c r="C94" s="9"/>
      <c r="D94" s="37"/>
      <c r="E94" s="9"/>
      <c r="F94" s="9"/>
      <c r="G94" s="37"/>
      <c r="H94" s="9"/>
      <c r="I94" s="9"/>
      <c r="J94" s="37"/>
      <c r="K94" s="9"/>
      <c r="L94" s="9"/>
      <c r="M94" s="3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</row>
    <row r="95" spans="2:92" x14ac:dyDescent="0.25">
      <c r="B95" s="9"/>
      <c r="C95" s="9"/>
      <c r="D95" s="37"/>
      <c r="E95" s="9"/>
      <c r="F95" s="9"/>
      <c r="G95" s="37"/>
      <c r="H95" s="9"/>
      <c r="I95" s="9"/>
      <c r="J95" s="37"/>
      <c r="K95" s="9"/>
      <c r="L95" s="9"/>
      <c r="M95" s="3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</row>
    <row r="96" spans="2:92" x14ac:dyDescent="0.25">
      <c r="B96" s="9"/>
      <c r="C96" s="9"/>
      <c r="D96" s="37"/>
      <c r="E96" s="9"/>
      <c r="F96" s="9"/>
      <c r="G96" s="37"/>
      <c r="H96" s="9"/>
      <c r="I96" s="9"/>
      <c r="J96" s="37"/>
      <c r="K96" s="9"/>
      <c r="L96" s="9"/>
      <c r="M96" s="3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</row>
    <row r="97" spans="2:92" x14ac:dyDescent="0.25">
      <c r="B97" s="9"/>
      <c r="C97" s="9"/>
      <c r="D97" s="37"/>
      <c r="E97" s="9"/>
      <c r="F97" s="9"/>
      <c r="G97" s="37"/>
      <c r="H97" s="9"/>
      <c r="I97" s="9"/>
      <c r="J97" s="37"/>
      <c r="K97" s="9"/>
      <c r="L97" s="9"/>
      <c r="M97" s="3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</row>
    <row r="98" spans="2:92" x14ac:dyDescent="0.25">
      <c r="B98" s="9"/>
      <c r="C98" s="9"/>
      <c r="D98" s="37"/>
      <c r="E98" s="9"/>
      <c r="F98" s="9"/>
      <c r="G98" s="37"/>
      <c r="H98" s="9"/>
      <c r="I98" s="9"/>
      <c r="J98" s="37"/>
      <c r="K98" s="9"/>
      <c r="L98" s="9"/>
      <c r="M98" s="3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</row>
    <row r="99" spans="2:92" x14ac:dyDescent="0.25">
      <c r="B99" s="9"/>
      <c r="C99" s="9"/>
      <c r="D99" s="37"/>
      <c r="E99" s="9"/>
      <c r="F99" s="9"/>
      <c r="G99" s="37"/>
      <c r="H99" s="9"/>
      <c r="I99" s="9"/>
      <c r="J99" s="37"/>
      <c r="K99" s="9"/>
      <c r="L99" s="9"/>
      <c r="M99" s="3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</row>
    <row r="100" spans="2:92" x14ac:dyDescent="0.25">
      <c r="B100" s="9"/>
      <c r="C100" s="9"/>
      <c r="D100" s="37"/>
      <c r="E100" s="9"/>
      <c r="F100" s="9"/>
      <c r="G100" s="37"/>
      <c r="H100" s="9"/>
      <c r="I100" s="9"/>
      <c r="J100" s="37"/>
      <c r="K100" s="9"/>
      <c r="L100" s="9"/>
      <c r="M100" s="3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</row>
    <row r="101" spans="2:92" x14ac:dyDescent="0.25">
      <c r="B101" s="9"/>
      <c r="C101" s="9"/>
      <c r="D101" s="37"/>
      <c r="E101" s="9"/>
      <c r="F101" s="9"/>
      <c r="G101" s="37"/>
      <c r="H101" s="9"/>
      <c r="I101" s="9"/>
      <c r="J101" s="37"/>
      <c r="K101" s="9"/>
      <c r="L101" s="9"/>
      <c r="M101" s="3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</row>
    <row r="102" spans="2:92" x14ac:dyDescent="0.25">
      <c r="B102" s="9"/>
      <c r="C102" s="9"/>
      <c r="D102" s="37"/>
      <c r="E102" s="9"/>
      <c r="F102" s="9"/>
      <c r="G102" s="37"/>
      <c r="H102" s="9"/>
      <c r="I102" s="9"/>
      <c r="J102" s="37"/>
      <c r="K102" s="9"/>
      <c r="L102" s="9"/>
      <c r="M102" s="3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</row>
    <row r="103" spans="2:92" x14ac:dyDescent="0.25">
      <c r="B103" s="9"/>
      <c r="C103" s="9"/>
      <c r="D103" s="37"/>
      <c r="E103" s="9"/>
      <c r="F103" s="9"/>
      <c r="G103" s="37"/>
      <c r="H103" s="9"/>
      <c r="I103" s="9"/>
      <c r="J103" s="37"/>
      <c r="K103" s="9"/>
      <c r="L103" s="9"/>
      <c r="M103" s="3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</row>
    <row r="104" spans="2:92" x14ac:dyDescent="0.25">
      <c r="B104" s="9"/>
      <c r="C104" s="9"/>
      <c r="D104" s="37"/>
      <c r="E104" s="9"/>
      <c r="F104" s="9"/>
      <c r="G104" s="37"/>
      <c r="H104" s="9"/>
      <c r="I104" s="9"/>
      <c r="J104" s="37"/>
      <c r="K104" s="9"/>
      <c r="L104" s="9"/>
      <c r="M104" s="3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</row>
    <row r="105" spans="2:92" x14ac:dyDescent="0.25">
      <c r="B105" s="9"/>
      <c r="C105" s="9"/>
      <c r="D105" s="37"/>
      <c r="E105" s="9"/>
      <c r="F105" s="9"/>
      <c r="G105" s="37"/>
      <c r="H105" s="9"/>
      <c r="I105" s="9"/>
      <c r="J105" s="37"/>
      <c r="K105" s="9"/>
      <c r="L105" s="9"/>
      <c r="M105" s="3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</row>
    <row r="106" spans="2:92" x14ac:dyDescent="0.25">
      <c r="B106" s="9"/>
      <c r="C106" s="9"/>
      <c r="D106" s="37"/>
      <c r="E106" s="9"/>
      <c r="F106" s="9"/>
      <c r="G106" s="37"/>
      <c r="H106" s="9"/>
      <c r="I106" s="9"/>
      <c r="J106" s="37"/>
      <c r="K106" s="9"/>
      <c r="L106" s="9"/>
      <c r="M106" s="3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</row>
    <row r="107" spans="2:92" x14ac:dyDescent="0.25">
      <c r="B107" s="9"/>
      <c r="C107" s="9"/>
      <c r="D107" s="37"/>
      <c r="E107" s="9"/>
      <c r="F107" s="9"/>
      <c r="G107" s="37"/>
      <c r="H107" s="9"/>
      <c r="I107" s="9"/>
      <c r="J107" s="37"/>
      <c r="K107" s="9"/>
      <c r="L107" s="9"/>
      <c r="M107" s="3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</row>
    <row r="108" spans="2:92" x14ac:dyDescent="0.25">
      <c r="B108" s="9"/>
      <c r="C108" s="9"/>
      <c r="D108" s="37"/>
      <c r="E108" s="9"/>
      <c r="F108" s="9"/>
      <c r="G108" s="37"/>
      <c r="H108" s="9"/>
      <c r="I108" s="9"/>
      <c r="J108" s="37"/>
      <c r="K108" s="9"/>
      <c r="L108" s="9"/>
      <c r="M108" s="3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</row>
    <row r="109" spans="2:92" x14ac:dyDescent="0.25">
      <c r="B109" s="9"/>
      <c r="C109" s="9"/>
      <c r="D109" s="37"/>
      <c r="E109" s="9"/>
      <c r="F109" s="9"/>
      <c r="G109" s="37"/>
      <c r="H109" s="9"/>
      <c r="I109" s="9"/>
      <c r="J109" s="37"/>
      <c r="K109" s="9"/>
      <c r="L109" s="9"/>
      <c r="M109" s="3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</row>
    <row r="110" spans="2:92" x14ac:dyDescent="0.25">
      <c r="B110" s="9"/>
      <c r="C110" s="9"/>
      <c r="D110" s="37"/>
      <c r="E110" s="9"/>
      <c r="F110" s="9"/>
      <c r="G110" s="37"/>
      <c r="H110" s="9"/>
      <c r="I110" s="9"/>
      <c r="J110" s="37"/>
      <c r="K110" s="9"/>
      <c r="L110" s="9"/>
      <c r="M110" s="3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</row>
    <row r="111" spans="2:92" x14ac:dyDescent="0.25">
      <c r="B111" s="9"/>
      <c r="C111" s="9"/>
      <c r="D111" s="37"/>
      <c r="E111" s="9"/>
      <c r="F111" s="9"/>
      <c r="G111" s="37"/>
      <c r="H111" s="9"/>
      <c r="I111" s="9"/>
      <c r="J111" s="37"/>
      <c r="K111" s="9"/>
      <c r="L111" s="9"/>
      <c r="M111" s="3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</row>
    <row r="112" spans="2:92" x14ac:dyDescent="0.25">
      <c r="B112" s="9"/>
      <c r="C112" s="9"/>
      <c r="D112" s="37"/>
      <c r="E112" s="9"/>
      <c r="F112" s="9"/>
      <c r="G112" s="37"/>
      <c r="H112" s="9"/>
      <c r="I112" s="9"/>
      <c r="J112" s="37"/>
      <c r="K112" s="9"/>
      <c r="L112" s="9"/>
      <c r="M112" s="3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</row>
    <row r="113" spans="2:92" x14ac:dyDescent="0.25">
      <c r="B113" s="9"/>
      <c r="C113" s="9"/>
      <c r="D113" s="37"/>
      <c r="E113" s="9"/>
      <c r="F113" s="9"/>
      <c r="G113" s="37"/>
      <c r="H113" s="9"/>
      <c r="I113" s="9"/>
      <c r="J113" s="37"/>
      <c r="K113" s="9"/>
      <c r="L113" s="9"/>
      <c r="M113" s="3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</row>
    <row r="114" spans="2:92" x14ac:dyDescent="0.25">
      <c r="B114" s="9"/>
      <c r="C114" s="9"/>
      <c r="D114" s="37"/>
      <c r="E114" s="9"/>
      <c r="F114" s="9"/>
      <c r="G114" s="37"/>
      <c r="H114" s="9"/>
      <c r="I114" s="9"/>
      <c r="J114" s="37"/>
      <c r="K114" s="9"/>
      <c r="L114" s="9"/>
      <c r="M114" s="3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</row>
    <row r="115" spans="2:92" x14ac:dyDescent="0.25">
      <c r="B115" s="9"/>
      <c r="C115" s="9"/>
      <c r="D115" s="37"/>
      <c r="E115" s="9"/>
      <c r="F115" s="9"/>
      <c r="G115" s="37"/>
      <c r="H115" s="9"/>
      <c r="I115" s="9"/>
      <c r="J115" s="37"/>
      <c r="K115" s="9"/>
      <c r="L115" s="9"/>
      <c r="M115" s="3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</row>
    <row r="116" spans="2:92" x14ac:dyDescent="0.25">
      <c r="B116" s="9"/>
      <c r="C116" s="9"/>
      <c r="D116" s="37"/>
      <c r="E116" s="9"/>
      <c r="F116" s="9"/>
      <c r="G116" s="37"/>
      <c r="H116" s="9"/>
      <c r="I116" s="9"/>
      <c r="J116" s="37"/>
      <c r="K116" s="9"/>
      <c r="L116" s="9"/>
      <c r="M116" s="3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</row>
    <row r="117" spans="2:92" x14ac:dyDescent="0.25">
      <c r="B117" s="9"/>
      <c r="C117" s="9"/>
      <c r="D117" s="37"/>
      <c r="E117" s="9"/>
      <c r="F117" s="9"/>
      <c r="G117" s="37"/>
      <c r="H117" s="9"/>
      <c r="I117" s="9"/>
      <c r="J117" s="37"/>
      <c r="K117" s="9"/>
      <c r="L117" s="9"/>
      <c r="M117" s="3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</row>
    <row r="118" spans="2:92" x14ac:dyDescent="0.25">
      <c r="B118" s="9"/>
      <c r="C118" s="9"/>
      <c r="D118" s="37"/>
      <c r="E118" s="9"/>
      <c r="F118" s="9"/>
      <c r="G118" s="37"/>
      <c r="H118" s="9"/>
      <c r="I118" s="9"/>
      <c r="J118" s="37"/>
      <c r="K118" s="9"/>
      <c r="L118" s="9"/>
      <c r="M118" s="3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</row>
    <row r="119" spans="2:92" x14ac:dyDescent="0.25">
      <c r="B119" s="9"/>
      <c r="C119" s="9"/>
      <c r="D119" s="37"/>
      <c r="E119" s="9"/>
      <c r="F119" s="9"/>
      <c r="G119" s="37"/>
      <c r="H119" s="9"/>
      <c r="I119" s="9"/>
      <c r="J119" s="37"/>
      <c r="K119" s="9"/>
      <c r="L119" s="9"/>
      <c r="M119" s="3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</row>
    <row r="120" spans="2:92" x14ac:dyDescent="0.25">
      <c r="B120" s="9"/>
      <c r="C120" s="9"/>
      <c r="D120" s="37"/>
      <c r="E120" s="9"/>
      <c r="F120" s="9"/>
      <c r="G120" s="37"/>
      <c r="H120" s="9"/>
      <c r="I120" s="9"/>
      <c r="J120" s="37"/>
      <c r="K120" s="9"/>
      <c r="L120" s="9"/>
      <c r="M120" s="3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</row>
    <row r="121" spans="2:92" x14ac:dyDescent="0.25">
      <c r="B121" s="9"/>
      <c r="C121" s="9"/>
      <c r="D121" s="37"/>
      <c r="E121" s="9"/>
      <c r="F121" s="9"/>
      <c r="G121" s="37"/>
      <c r="H121" s="9"/>
      <c r="I121" s="9"/>
      <c r="J121" s="37"/>
      <c r="K121" s="9"/>
      <c r="L121" s="9"/>
      <c r="M121" s="3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</row>
    <row r="122" spans="2:92" x14ac:dyDescent="0.25">
      <c r="B122" s="9"/>
      <c r="C122" s="9"/>
      <c r="D122" s="37"/>
      <c r="E122" s="9"/>
      <c r="F122" s="9"/>
      <c r="G122" s="37"/>
      <c r="H122" s="9"/>
      <c r="I122" s="9"/>
      <c r="J122" s="37"/>
      <c r="K122" s="9"/>
      <c r="L122" s="9"/>
      <c r="M122" s="3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</row>
    <row r="123" spans="2:92" x14ac:dyDescent="0.25">
      <c r="B123" s="9"/>
      <c r="C123" s="9"/>
      <c r="D123" s="37"/>
      <c r="E123" s="9"/>
      <c r="F123" s="9"/>
      <c r="G123" s="37"/>
      <c r="H123" s="9"/>
      <c r="I123" s="9"/>
      <c r="J123" s="37"/>
      <c r="K123" s="9"/>
      <c r="L123" s="9"/>
      <c r="M123" s="3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</row>
    <row r="124" spans="2:92" x14ac:dyDescent="0.25">
      <c r="B124" s="9"/>
      <c r="C124" s="9"/>
      <c r="D124" s="37"/>
      <c r="E124" s="9"/>
      <c r="F124" s="9"/>
      <c r="G124" s="37"/>
      <c r="H124" s="9"/>
      <c r="I124" s="9"/>
      <c r="J124" s="37"/>
      <c r="K124" s="9"/>
      <c r="L124" s="9"/>
      <c r="M124" s="3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</row>
    <row r="125" spans="2:92" x14ac:dyDescent="0.25">
      <c r="B125" s="9"/>
      <c r="C125" s="9"/>
      <c r="D125" s="37"/>
      <c r="E125" s="9"/>
      <c r="F125" s="9"/>
      <c r="G125" s="37"/>
      <c r="H125" s="9"/>
      <c r="I125" s="9"/>
      <c r="J125" s="37"/>
      <c r="K125" s="9"/>
      <c r="L125" s="9"/>
      <c r="M125" s="3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</row>
    <row r="126" spans="2:92" x14ac:dyDescent="0.25">
      <c r="B126" s="9"/>
      <c r="C126" s="9"/>
      <c r="D126" s="37"/>
      <c r="E126" s="9"/>
      <c r="F126" s="9"/>
      <c r="G126" s="37"/>
      <c r="H126" s="9"/>
      <c r="I126" s="9"/>
      <c r="J126" s="37"/>
      <c r="K126" s="9"/>
      <c r="L126" s="9"/>
      <c r="M126" s="3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</row>
    <row r="127" spans="2:92" x14ac:dyDescent="0.25">
      <c r="B127" s="9"/>
      <c r="C127" s="9"/>
      <c r="D127" s="37"/>
      <c r="E127" s="9"/>
      <c r="F127" s="9"/>
      <c r="G127" s="37"/>
      <c r="H127" s="9"/>
      <c r="I127" s="9"/>
      <c r="J127" s="37"/>
      <c r="K127" s="9"/>
      <c r="L127" s="9"/>
      <c r="M127" s="3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</row>
    <row r="128" spans="2:92" x14ac:dyDescent="0.25">
      <c r="B128" s="9"/>
      <c r="C128" s="9"/>
      <c r="D128" s="37"/>
      <c r="E128" s="9"/>
      <c r="F128" s="9"/>
      <c r="G128" s="37"/>
      <c r="H128" s="9"/>
      <c r="I128" s="9"/>
      <c r="J128" s="37"/>
      <c r="K128" s="9"/>
      <c r="L128" s="9"/>
      <c r="M128" s="3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</row>
    <row r="129" spans="2:92" x14ac:dyDescent="0.25">
      <c r="B129" s="9"/>
      <c r="C129" s="9"/>
      <c r="D129" s="37"/>
      <c r="E129" s="9"/>
      <c r="F129" s="9"/>
      <c r="G129" s="37"/>
      <c r="H129" s="9"/>
      <c r="I129" s="9"/>
      <c r="J129" s="37"/>
      <c r="K129" s="9"/>
      <c r="L129" s="9"/>
      <c r="M129" s="3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</row>
    <row r="130" spans="2:92" x14ac:dyDescent="0.25">
      <c r="B130" s="9"/>
      <c r="C130" s="9"/>
      <c r="D130" s="37"/>
      <c r="E130" s="9"/>
      <c r="F130" s="9"/>
      <c r="G130" s="37"/>
      <c r="H130" s="9"/>
      <c r="I130" s="9"/>
      <c r="J130" s="37"/>
      <c r="K130" s="9"/>
      <c r="L130" s="9"/>
      <c r="M130" s="3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</row>
    <row r="131" spans="2:92" x14ac:dyDescent="0.25">
      <c r="B131" s="9"/>
      <c r="C131" s="9"/>
      <c r="D131" s="37"/>
      <c r="E131" s="9"/>
      <c r="F131" s="9"/>
      <c r="G131" s="37"/>
      <c r="H131" s="9"/>
      <c r="I131" s="9"/>
      <c r="J131" s="37"/>
      <c r="K131" s="9"/>
      <c r="L131" s="9"/>
      <c r="M131" s="3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</row>
    <row r="132" spans="2:92" x14ac:dyDescent="0.25">
      <c r="B132" s="9"/>
      <c r="C132" s="9"/>
      <c r="D132" s="37"/>
      <c r="E132" s="9"/>
      <c r="F132" s="9"/>
      <c r="G132" s="37"/>
      <c r="H132" s="9"/>
      <c r="I132" s="9"/>
      <c r="J132" s="37"/>
      <c r="K132" s="9"/>
      <c r="L132" s="9"/>
      <c r="M132" s="3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</row>
    <row r="133" spans="2:92" x14ac:dyDescent="0.25">
      <c r="B133" s="9"/>
      <c r="C133" s="9"/>
      <c r="D133" s="37"/>
      <c r="E133" s="9"/>
      <c r="F133" s="9"/>
      <c r="G133" s="37"/>
      <c r="H133" s="9"/>
      <c r="I133" s="9"/>
      <c r="J133" s="37"/>
      <c r="K133" s="9"/>
      <c r="L133" s="9"/>
      <c r="M133" s="3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</row>
    <row r="134" spans="2:92" x14ac:dyDescent="0.25">
      <c r="B134" s="9"/>
      <c r="C134" s="9"/>
      <c r="D134" s="37"/>
      <c r="E134" s="9"/>
      <c r="F134" s="9"/>
      <c r="G134" s="37"/>
      <c r="H134" s="9"/>
      <c r="I134" s="9"/>
      <c r="J134" s="37"/>
      <c r="K134" s="9"/>
      <c r="L134" s="9"/>
      <c r="M134" s="3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</row>
    <row r="135" spans="2:92" x14ac:dyDescent="0.25">
      <c r="B135" s="9"/>
      <c r="C135" s="9"/>
      <c r="D135" s="37"/>
      <c r="E135" s="9"/>
      <c r="F135" s="9"/>
      <c r="G135" s="37"/>
      <c r="H135" s="9"/>
      <c r="I135" s="9"/>
      <c r="J135" s="37"/>
      <c r="K135" s="9"/>
      <c r="L135" s="9"/>
      <c r="M135" s="3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</row>
    <row r="136" spans="2:92" x14ac:dyDescent="0.25">
      <c r="B136" s="9"/>
      <c r="C136" s="9"/>
      <c r="D136" s="37"/>
      <c r="E136" s="9"/>
      <c r="F136" s="9"/>
      <c r="G136" s="37"/>
      <c r="H136" s="9"/>
      <c r="I136" s="9"/>
      <c r="J136" s="37"/>
      <c r="K136" s="9"/>
      <c r="L136" s="9"/>
      <c r="M136" s="3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</row>
    <row r="137" spans="2:92" x14ac:dyDescent="0.25">
      <c r="B137" s="9"/>
      <c r="C137" s="9"/>
      <c r="D137" s="37"/>
      <c r="E137" s="9"/>
      <c r="F137" s="9"/>
      <c r="G137" s="37"/>
      <c r="H137" s="9"/>
      <c r="I137" s="9"/>
      <c r="J137" s="37"/>
      <c r="K137" s="9"/>
      <c r="L137" s="9"/>
      <c r="M137" s="3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</row>
    <row r="138" spans="2:92" x14ac:dyDescent="0.25">
      <c r="B138" s="9"/>
      <c r="C138" s="9"/>
      <c r="D138" s="37"/>
      <c r="E138" s="9"/>
      <c r="F138" s="9"/>
      <c r="G138" s="37"/>
      <c r="H138" s="9"/>
      <c r="I138" s="9"/>
      <c r="J138" s="37"/>
      <c r="K138" s="9"/>
      <c r="L138" s="9"/>
      <c r="M138" s="3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</row>
    <row r="139" spans="2:92" x14ac:dyDescent="0.25">
      <c r="B139" s="9"/>
      <c r="C139" s="9"/>
      <c r="D139" s="37"/>
      <c r="E139" s="9"/>
      <c r="F139" s="9"/>
      <c r="G139" s="37"/>
      <c r="H139" s="9"/>
      <c r="I139" s="9"/>
      <c r="J139" s="37"/>
      <c r="K139" s="9"/>
      <c r="L139" s="9"/>
      <c r="M139" s="3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</row>
    <row r="140" spans="2:92" x14ac:dyDescent="0.25">
      <c r="B140" s="9"/>
      <c r="C140" s="9"/>
      <c r="D140" s="37"/>
      <c r="E140" s="9"/>
      <c r="F140" s="9"/>
      <c r="G140" s="37"/>
      <c r="H140" s="9"/>
      <c r="I140" s="9"/>
      <c r="J140" s="37"/>
      <c r="K140" s="9"/>
      <c r="L140" s="9"/>
      <c r="M140" s="3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</row>
    <row r="141" spans="2:92" x14ac:dyDescent="0.25">
      <c r="B141" s="9"/>
      <c r="C141" s="9"/>
      <c r="D141" s="37"/>
      <c r="E141" s="9"/>
      <c r="F141" s="9"/>
      <c r="G141" s="37"/>
      <c r="H141" s="9"/>
      <c r="I141" s="9"/>
      <c r="J141" s="37"/>
      <c r="K141" s="9"/>
      <c r="L141" s="9"/>
      <c r="M141" s="37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</row>
    <row r="142" spans="2:92" x14ac:dyDescent="0.25">
      <c r="B142" s="9"/>
      <c r="C142" s="9"/>
      <c r="D142" s="37"/>
      <c r="E142" s="9"/>
      <c r="F142" s="9"/>
      <c r="G142" s="37"/>
      <c r="H142" s="9"/>
      <c r="I142" s="9"/>
      <c r="J142" s="37"/>
      <c r="K142" s="9"/>
      <c r="L142" s="9"/>
      <c r="M142" s="37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</row>
    <row r="143" spans="2:92" x14ac:dyDescent="0.25">
      <c r="B143" s="9"/>
      <c r="C143" s="9"/>
      <c r="D143" s="37"/>
      <c r="E143" s="9"/>
      <c r="F143" s="9"/>
      <c r="G143" s="37"/>
      <c r="H143" s="9"/>
      <c r="I143" s="9"/>
      <c r="J143" s="37"/>
      <c r="K143" s="9"/>
      <c r="L143" s="9"/>
      <c r="M143" s="37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</row>
    <row r="144" spans="2:92" x14ac:dyDescent="0.25">
      <c r="B144" s="9"/>
      <c r="C144" s="9"/>
      <c r="D144" s="37"/>
      <c r="E144" s="9"/>
      <c r="F144" s="9"/>
      <c r="G144" s="37"/>
      <c r="H144" s="9"/>
      <c r="I144" s="9"/>
      <c r="J144" s="37"/>
      <c r="K144" s="9"/>
      <c r="L144" s="9"/>
      <c r="M144" s="37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</row>
    <row r="145" spans="2:92" x14ac:dyDescent="0.25">
      <c r="B145" s="9"/>
      <c r="C145" s="9"/>
      <c r="D145" s="37"/>
      <c r="E145" s="9"/>
      <c r="F145" s="9"/>
      <c r="G145" s="37"/>
      <c r="H145" s="9"/>
      <c r="I145" s="9"/>
      <c r="J145" s="37"/>
      <c r="K145" s="9"/>
      <c r="L145" s="9"/>
      <c r="M145" s="37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</row>
    <row r="146" spans="2:92" x14ac:dyDescent="0.25">
      <c r="B146" s="9"/>
      <c r="C146" s="9"/>
      <c r="D146" s="37"/>
      <c r="E146" s="9"/>
      <c r="F146" s="9"/>
      <c r="G146" s="37"/>
      <c r="H146" s="9"/>
      <c r="I146" s="9"/>
      <c r="J146" s="37"/>
      <c r="K146" s="9"/>
      <c r="L146" s="9"/>
      <c r="M146" s="37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</row>
    <row r="147" spans="2:92" x14ac:dyDescent="0.25">
      <c r="B147" s="9"/>
      <c r="C147" s="9"/>
      <c r="D147" s="37"/>
      <c r="E147" s="9"/>
      <c r="F147" s="9"/>
      <c r="G147" s="37"/>
      <c r="H147" s="9"/>
      <c r="I147" s="9"/>
      <c r="J147" s="37"/>
      <c r="K147" s="9"/>
      <c r="L147" s="9"/>
      <c r="M147" s="37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</row>
    <row r="148" spans="2:92" x14ac:dyDescent="0.25">
      <c r="B148" s="9"/>
      <c r="C148" s="9"/>
      <c r="D148" s="37"/>
      <c r="E148" s="9"/>
      <c r="F148" s="9"/>
      <c r="G148" s="37"/>
      <c r="H148" s="9"/>
      <c r="I148" s="9"/>
      <c r="J148" s="37"/>
      <c r="K148" s="9"/>
      <c r="L148" s="9"/>
      <c r="M148" s="37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</row>
    <row r="149" spans="2:92" x14ac:dyDescent="0.25">
      <c r="B149" s="9"/>
      <c r="C149" s="9"/>
      <c r="D149" s="37"/>
      <c r="E149" s="9"/>
      <c r="F149" s="9"/>
      <c r="G149" s="37"/>
      <c r="H149" s="9"/>
      <c r="I149" s="9"/>
      <c r="J149" s="37"/>
      <c r="K149" s="9"/>
      <c r="L149" s="9"/>
      <c r="M149" s="37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</row>
    <row r="150" spans="2:92" x14ac:dyDescent="0.25">
      <c r="B150" s="9"/>
      <c r="C150" s="9"/>
      <c r="D150" s="37"/>
      <c r="E150" s="9"/>
      <c r="F150" s="9"/>
      <c r="G150" s="37"/>
      <c r="H150" s="9"/>
      <c r="I150" s="9"/>
      <c r="J150" s="37"/>
      <c r="K150" s="9"/>
      <c r="L150" s="9"/>
      <c r="M150" s="37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</row>
    <row r="151" spans="2:92" x14ac:dyDescent="0.25">
      <c r="B151" s="9"/>
      <c r="C151" s="9"/>
      <c r="D151" s="37"/>
      <c r="E151" s="9"/>
      <c r="F151" s="9"/>
      <c r="G151" s="37"/>
      <c r="H151" s="9"/>
      <c r="I151" s="9"/>
      <c r="J151" s="37"/>
      <c r="K151" s="9"/>
      <c r="L151" s="9"/>
      <c r="M151" s="37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</row>
    <row r="152" spans="2:92" x14ac:dyDescent="0.25">
      <c r="B152" s="9"/>
      <c r="C152" s="9"/>
      <c r="D152" s="37"/>
      <c r="E152" s="9"/>
      <c r="F152" s="9"/>
      <c r="G152" s="37"/>
      <c r="H152" s="9"/>
      <c r="I152" s="9"/>
      <c r="J152" s="37"/>
      <c r="K152" s="9"/>
      <c r="L152" s="9"/>
      <c r="M152" s="37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</row>
    <row r="153" spans="2:92" x14ac:dyDescent="0.25">
      <c r="B153" s="9"/>
      <c r="C153" s="9"/>
      <c r="D153" s="37"/>
      <c r="E153" s="9"/>
      <c r="F153" s="9"/>
      <c r="G153" s="37"/>
      <c r="H153" s="9"/>
      <c r="I153" s="9"/>
      <c r="J153" s="37"/>
      <c r="K153" s="9"/>
      <c r="L153" s="9"/>
      <c r="M153" s="37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</row>
    <row r="154" spans="2:92" x14ac:dyDescent="0.25">
      <c r="B154" s="9"/>
      <c r="C154" s="9"/>
      <c r="D154" s="37"/>
      <c r="E154" s="9"/>
      <c r="F154" s="9"/>
      <c r="G154" s="37"/>
      <c r="H154" s="9"/>
      <c r="I154" s="9"/>
      <c r="J154" s="37"/>
      <c r="K154" s="9"/>
      <c r="L154" s="9"/>
      <c r="M154" s="37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</row>
    <row r="155" spans="2:92" x14ac:dyDescent="0.25">
      <c r="B155" s="9"/>
      <c r="C155" s="9"/>
      <c r="D155" s="37"/>
      <c r="E155" s="9"/>
      <c r="F155" s="9"/>
      <c r="G155" s="37"/>
      <c r="H155" s="9"/>
      <c r="I155" s="9"/>
      <c r="J155" s="37"/>
      <c r="K155" s="9"/>
      <c r="L155" s="9"/>
      <c r="M155" s="37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</row>
    <row r="156" spans="2:92" x14ac:dyDescent="0.25">
      <c r="B156" s="9"/>
      <c r="C156" s="9"/>
      <c r="D156" s="37"/>
      <c r="E156" s="9"/>
      <c r="F156" s="9"/>
      <c r="G156" s="37"/>
      <c r="H156" s="9"/>
      <c r="I156" s="9"/>
      <c r="J156" s="37"/>
      <c r="K156" s="9"/>
      <c r="L156" s="9"/>
      <c r="M156" s="37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</row>
    <row r="157" spans="2:92" x14ac:dyDescent="0.25">
      <c r="B157" s="9"/>
      <c r="C157" s="9"/>
      <c r="D157" s="37"/>
      <c r="E157" s="9"/>
      <c r="F157" s="9"/>
      <c r="G157" s="37"/>
      <c r="H157" s="9"/>
      <c r="I157" s="9"/>
      <c r="J157" s="37"/>
      <c r="K157" s="9"/>
      <c r="L157" s="9"/>
      <c r="M157" s="37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</row>
    <row r="158" spans="2:92" x14ac:dyDescent="0.25">
      <c r="B158" s="9"/>
      <c r="C158" s="9"/>
      <c r="D158" s="37"/>
      <c r="E158" s="9"/>
      <c r="F158" s="9"/>
      <c r="G158" s="37"/>
      <c r="H158" s="9"/>
      <c r="I158" s="9"/>
      <c r="J158" s="37"/>
      <c r="K158" s="9"/>
      <c r="L158" s="9"/>
      <c r="M158" s="37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</row>
    <row r="159" spans="2:92" x14ac:dyDescent="0.25">
      <c r="B159" s="9"/>
      <c r="C159" s="9"/>
      <c r="D159" s="37"/>
      <c r="E159" s="9"/>
      <c r="F159" s="9"/>
      <c r="G159" s="37"/>
      <c r="H159" s="9"/>
      <c r="I159" s="9"/>
      <c r="J159" s="37"/>
      <c r="K159" s="9"/>
      <c r="L159" s="9"/>
      <c r="M159" s="37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</row>
    <row r="160" spans="2:92" x14ac:dyDescent="0.25">
      <c r="B160" s="9"/>
      <c r="C160" s="9"/>
      <c r="D160" s="37"/>
      <c r="E160" s="9"/>
      <c r="F160" s="9"/>
      <c r="G160" s="37"/>
      <c r="H160" s="9"/>
      <c r="I160" s="9"/>
      <c r="J160" s="37"/>
      <c r="K160" s="9"/>
      <c r="L160" s="9"/>
      <c r="M160" s="37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</row>
    <row r="161" spans="2:92" x14ac:dyDescent="0.25">
      <c r="B161" s="9"/>
      <c r="C161" s="9"/>
      <c r="D161" s="37"/>
      <c r="E161" s="9"/>
      <c r="F161" s="9"/>
      <c r="G161" s="37"/>
      <c r="H161" s="9"/>
      <c r="I161" s="9"/>
      <c r="J161" s="37"/>
      <c r="K161" s="9"/>
      <c r="L161" s="9"/>
      <c r="M161" s="37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</row>
    <row r="162" spans="2:92" x14ac:dyDescent="0.25">
      <c r="B162" s="9"/>
      <c r="C162" s="9"/>
      <c r="D162" s="37"/>
      <c r="E162" s="9"/>
      <c r="F162" s="9"/>
      <c r="G162" s="37"/>
      <c r="H162" s="9"/>
      <c r="I162" s="9"/>
      <c r="J162" s="37"/>
      <c r="K162" s="9"/>
      <c r="L162" s="9"/>
      <c r="M162" s="37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</row>
    <row r="163" spans="2:92" x14ac:dyDescent="0.25">
      <c r="B163" s="9"/>
      <c r="C163" s="9"/>
      <c r="D163" s="37"/>
      <c r="E163" s="9"/>
      <c r="F163" s="9"/>
      <c r="G163" s="37"/>
      <c r="H163" s="9"/>
      <c r="I163" s="9"/>
      <c r="J163" s="37"/>
      <c r="K163" s="9"/>
      <c r="L163" s="9"/>
      <c r="M163" s="37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</row>
    <row r="164" spans="2:92" x14ac:dyDescent="0.25">
      <c r="B164" s="9"/>
      <c r="C164" s="9"/>
      <c r="D164" s="37"/>
      <c r="E164" s="9"/>
      <c r="F164" s="9"/>
      <c r="G164" s="37"/>
      <c r="H164" s="9"/>
      <c r="I164" s="9"/>
      <c r="J164" s="37"/>
      <c r="K164" s="9"/>
      <c r="L164" s="9"/>
      <c r="M164" s="37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</row>
    <row r="165" spans="2:92" x14ac:dyDescent="0.25">
      <c r="B165" s="9"/>
      <c r="C165" s="9"/>
      <c r="D165" s="37"/>
      <c r="E165" s="9"/>
      <c r="F165" s="9"/>
      <c r="G165" s="37"/>
      <c r="H165" s="9"/>
      <c r="I165" s="9"/>
      <c r="J165" s="37"/>
      <c r="K165" s="9"/>
      <c r="L165" s="9"/>
      <c r="M165" s="37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</row>
    <row r="166" spans="2:92" x14ac:dyDescent="0.25">
      <c r="B166" s="9"/>
      <c r="C166" s="9"/>
      <c r="D166" s="37"/>
      <c r="E166" s="9"/>
      <c r="F166" s="9"/>
      <c r="G166" s="37"/>
      <c r="H166" s="9"/>
      <c r="I166" s="9"/>
      <c r="J166" s="37"/>
      <c r="K166" s="9"/>
      <c r="L166" s="9"/>
      <c r="M166" s="37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</row>
    <row r="167" spans="2:92" x14ac:dyDescent="0.25">
      <c r="B167" s="9"/>
      <c r="C167" s="9"/>
      <c r="D167" s="37"/>
      <c r="E167" s="9"/>
      <c r="F167" s="9"/>
      <c r="G167" s="37"/>
      <c r="H167" s="9"/>
      <c r="I167" s="9"/>
      <c r="J167" s="37"/>
      <c r="K167" s="9"/>
      <c r="L167" s="9"/>
      <c r="M167" s="37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</row>
    <row r="168" spans="2:92" x14ac:dyDescent="0.25">
      <c r="B168" s="9"/>
      <c r="C168" s="9"/>
      <c r="D168" s="37"/>
      <c r="E168" s="9"/>
      <c r="F168" s="9"/>
      <c r="G168" s="37"/>
      <c r="H168" s="9"/>
      <c r="I168" s="9"/>
      <c r="J168" s="37"/>
      <c r="K168" s="9"/>
      <c r="L168" s="9"/>
      <c r="M168" s="37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</row>
    <row r="169" spans="2:92" x14ac:dyDescent="0.25">
      <c r="B169" s="9"/>
      <c r="C169" s="9"/>
      <c r="D169" s="37"/>
      <c r="E169" s="9"/>
      <c r="F169" s="9"/>
      <c r="G169" s="37"/>
      <c r="H169" s="9"/>
      <c r="I169" s="9"/>
      <c r="J169" s="37"/>
      <c r="K169" s="9"/>
      <c r="L169" s="9"/>
      <c r="M169" s="37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</row>
    <row r="170" spans="2:92" x14ac:dyDescent="0.25">
      <c r="B170" s="9"/>
      <c r="C170" s="9"/>
      <c r="D170" s="37"/>
      <c r="E170" s="9"/>
      <c r="F170" s="9"/>
      <c r="G170" s="37"/>
      <c r="H170" s="9"/>
      <c r="I170" s="9"/>
      <c r="J170" s="37"/>
      <c r="K170" s="9"/>
      <c r="L170" s="9"/>
      <c r="M170" s="37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</row>
    <row r="171" spans="2:92" x14ac:dyDescent="0.25">
      <c r="B171" s="9"/>
      <c r="C171" s="9"/>
      <c r="D171" s="37"/>
      <c r="E171" s="9"/>
      <c r="F171" s="9"/>
      <c r="G171" s="37"/>
      <c r="H171" s="9"/>
      <c r="I171" s="9"/>
      <c r="J171" s="37"/>
      <c r="K171" s="9"/>
      <c r="L171" s="9"/>
      <c r="M171" s="37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</row>
    <row r="172" spans="2:92" x14ac:dyDescent="0.25">
      <c r="B172" s="9"/>
      <c r="C172" s="9"/>
      <c r="D172" s="37"/>
      <c r="E172" s="9"/>
      <c r="F172" s="9"/>
      <c r="G172" s="37"/>
      <c r="H172" s="9"/>
      <c r="I172" s="9"/>
      <c r="J172" s="37"/>
      <c r="K172" s="9"/>
      <c r="L172" s="9"/>
      <c r="M172" s="37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</row>
    <row r="173" spans="2:92" x14ac:dyDescent="0.25">
      <c r="B173" s="9"/>
      <c r="C173" s="9"/>
      <c r="D173" s="37"/>
      <c r="E173" s="9"/>
      <c r="F173" s="9"/>
      <c r="G173" s="37"/>
      <c r="H173" s="9"/>
      <c r="I173" s="9"/>
      <c r="J173" s="37"/>
      <c r="K173" s="9"/>
      <c r="L173" s="9"/>
      <c r="M173" s="37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</row>
    <row r="174" spans="2:92" x14ac:dyDescent="0.25">
      <c r="B174" s="9"/>
      <c r="C174" s="9"/>
      <c r="D174" s="37"/>
      <c r="E174" s="9"/>
      <c r="F174" s="9"/>
      <c r="G174" s="37"/>
      <c r="H174" s="9"/>
      <c r="I174" s="9"/>
      <c r="J174" s="37"/>
      <c r="K174" s="9"/>
      <c r="L174" s="9"/>
      <c r="M174" s="37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</row>
    <row r="175" spans="2:92" x14ac:dyDescent="0.25">
      <c r="B175" s="9"/>
      <c r="C175" s="9"/>
      <c r="D175" s="37"/>
      <c r="E175" s="9"/>
      <c r="F175" s="9"/>
      <c r="G175" s="37"/>
      <c r="H175" s="9"/>
      <c r="I175" s="9"/>
      <c r="J175" s="37"/>
      <c r="K175" s="9"/>
      <c r="L175" s="9"/>
      <c r="M175" s="37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</row>
    <row r="176" spans="2:92" x14ac:dyDescent="0.25">
      <c r="B176" s="9"/>
      <c r="C176" s="9"/>
      <c r="D176" s="37"/>
      <c r="E176" s="9"/>
      <c r="F176" s="9"/>
      <c r="G176" s="37"/>
      <c r="H176" s="9"/>
      <c r="I176" s="9"/>
      <c r="J176" s="37"/>
      <c r="K176" s="9"/>
      <c r="L176" s="9"/>
      <c r="M176" s="37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</row>
    <row r="177" spans="2:92" x14ac:dyDescent="0.25">
      <c r="B177" s="9"/>
      <c r="C177" s="9"/>
      <c r="D177" s="37"/>
      <c r="E177" s="9"/>
      <c r="F177" s="9"/>
      <c r="G177" s="37"/>
      <c r="H177" s="9"/>
      <c r="I177" s="9"/>
      <c r="J177" s="37"/>
      <c r="K177" s="9"/>
      <c r="L177" s="9"/>
      <c r="M177" s="37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</row>
    <row r="178" spans="2:92" x14ac:dyDescent="0.25">
      <c r="B178" s="9"/>
      <c r="C178" s="9"/>
      <c r="D178" s="37"/>
      <c r="E178" s="9"/>
      <c r="F178" s="9"/>
      <c r="G178" s="37"/>
      <c r="H178" s="9"/>
      <c r="I178" s="9"/>
      <c r="J178" s="37"/>
      <c r="K178" s="9"/>
      <c r="L178" s="9"/>
      <c r="M178" s="37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</row>
    <row r="179" spans="2:92" x14ac:dyDescent="0.25">
      <c r="B179" s="9"/>
      <c r="C179" s="9"/>
      <c r="D179" s="37"/>
      <c r="E179" s="9"/>
      <c r="F179" s="9"/>
      <c r="G179" s="37"/>
      <c r="H179" s="9"/>
      <c r="I179" s="9"/>
      <c r="J179" s="37"/>
      <c r="K179" s="9"/>
      <c r="L179" s="9"/>
      <c r="M179" s="37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</row>
    <row r="180" spans="2:92" x14ac:dyDescent="0.25">
      <c r="B180" s="9"/>
      <c r="C180" s="9"/>
      <c r="D180" s="37"/>
      <c r="E180" s="9"/>
      <c r="F180" s="9"/>
      <c r="G180" s="37"/>
      <c r="H180" s="9"/>
      <c r="I180" s="9"/>
      <c r="J180" s="37"/>
      <c r="K180" s="9"/>
      <c r="L180" s="9"/>
      <c r="M180" s="37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</row>
    <row r="181" spans="2:92" x14ac:dyDescent="0.25">
      <c r="B181" s="9"/>
      <c r="C181" s="9"/>
      <c r="D181" s="37"/>
      <c r="E181" s="9"/>
      <c r="F181" s="9"/>
      <c r="G181" s="37"/>
      <c r="H181" s="9"/>
      <c r="I181" s="9"/>
      <c r="J181" s="37"/>
      <c r="K181" s="9"/>
      <c r="L181" s="9"/>
      <c r="M181" s="37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</row>
    <row r="182" spans="2:92" x14ac:dyDescent="0.25">
      <c r="B182" s="9"/>
      <c r="C182" s="9"/>
      <c r="D182" s="37"/>
      <c r="E182" s="9"/>
      <c r="F182" s="9"/>
      <c r="G182" s="37"/>
      <c r="H182" s="9"/>
      <c r="I182" s="9"/>
      <c r="J182" s="37"/>
      <c r="K182" s="9"/>
      <c r="L182" s="9"/>
      <c r="M182" s="37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</row>
    <row r="183" spans="2:92" x14ac:dyDescent="0.25">
      <c r="B183" s="9"/>
      <c r="C183" s="9"/>
      <c r="D183" s="37"/>
      <c r="E183" s="9"/>
      <c r="F183" s="9"/>
      <c r="G183" s="37"/>
      <c r="H183" s="9"/>
      <c r="I183" s="9"/>
      <c r="J183" s="37"/>
      <c r="K183" s="9"/>
      <c r="L183" s="9"/>
      <c r="M183" s="37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</row>
    <row r="184" spans="2:92" x14ac:dyDescent="0.25">
      <c r="B184" s="9"/>
      <c r="C184" s="9"/>
      <c r="D184" s="37"/>
      <c r="E184" s="9"/>
      <c r="F184" s="9"/>
      <c r="G184" s="37"/>
      <c r="H184" s="9"/>
      <c r="I184" s="9"/>
      <c r="J184" s="37"/>
      <c r="K184" s="9"/>
      <c r="L184" s="9"/>
      <c r="M184" s="37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</row>
    <row r="185" spans="2:92" x14ac:dyDescent="0.25">
      <c r="B185" s="9"/>
      <c r="C185" s="9"/>
      <c r="D185" s="37"/>
      <c r="E185" s="9"/>
      <c r="F185" s="9"/>
      <c r="G185" s="37"/>
      <c r="H185" s="9"/>
      <c r="I185" s="9"/>
      <c r="J185" s="37"/>
      <c r="K185" s="9"/>
      <c r="L185" s="9"/>
      <c r="M185" s="37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</row>
    <row r="186" spans="2:92" x14ac:dyDescent="0.25">
      <c r="B186" s="9"/>
      <c r="C186" s="9"/>
      <c r="D186" s="37"/>
      <c r="E186" s="9"/>
      <c r="F186" s="9"/>
      <c r="G186" s="37"/>
      <c r="H186" s="9"/>
      <c r="I186" s="9"/>
      <c r="J186" s="37"/>
      <c r="K186" s="9"/>
      <c r="L186" s="9"/>
      <c r="M186" s="37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</row>
    <row r="187" spans="2:92" x14ac:dyDescent="0.25">
      <c r="B187" s="9"/>
      <c r="C187" s="9"/>
      <c r="D187" s="37"/>
      <c r="E187" s="9"/>
      <c r="F187" s="9"/>
      <c r="G187" s="37"/>
      <c r="H187" s="9"/>
      <c r="I187" s="9"/>
      <c r="J187" s="37"/>
      <c r="K187" s="9"/>
      <c r="L187" s="9"/>
      <c r="M187" s="37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</row>
    <row r="188" spans="2:92" x14ac:dyDescent="0.25">
      <c r="B188" s="9"/>
      <c r="C188" s="9"/>
      <c r="D188" s="37"/>
      <c r="E188" s="9"/>
      <c r="F188" s="9"/>
      <c r="G188" s="37"/>
      <c r="H188" s="9"/>
      <c r="I188" s="9"/>
      <c r="J188" s="37"/>
      <c r="K188" s="9"/>
      <c r="L188" s="9"/>
      <c r="M188" s="37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</row>
    <row r="189" spans="2:92" x14ac:dyDescent="0.25">
      <c r="B189" s="9"/>
      <c r="C189" s="9"/>
      <c r="D189" s="37"/>
      <c r="E189" s="9"/>
      <c r="F189" s="9"/>
      <c r="G189" s="37"/>
      <c r="H189" s="9"/>
      <c r="I189" s="9"/>
      <c r="J189" s="37"/>
      <c r="K189" s="9"/>
      <c r="L189" s="9"/>
      <c r="M189" s="37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</row>
    <row r="190" spans="2:92" x14ac:dyDescent="0.25">
      <c r="B190" s="9"/>
      <c r="C190" s="9"/>
      <c r="D190" s="37"/>
      <c r="E190" s="9"/>
      <c r="F190" s="9"/>
      <c r="G190" s="37"/>
      <c r="H190" s="9"/>
      <c r="I190" s="9"/>
      <c r="J190" s="37"/>
      <c r="K190" s="9"/>
      <c r="L190" s="9"/>
      <c r="M190" s="37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</row>
    <row r="191" spans="2:92" x14ac:dyDescent="0.25">
      <c r="B191" s="9"/>
      <c r="C191" s="9"/>
      <c r="D191" s="37"/>
      <c r="E191" s="9"/>
      <c r="F191" s="9"/>
      <c r="G191" s="37"/>
      <c r="H191" s="9"/>
      <c r="I191" s="9"/>
      <c r="J191" s="37"/>
      <c r="K191" s="9"/>
      <c r="L191" s="9"/>
      <c r="M191" s="37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</row>
    <row r="192" spans="2:92" x14ac:dyDescent="0.25">
      <c r="B192" s="9"/>
      <c r="C192" s="9"/>
      <c r="D192" s="37"/>
      <c r="E192" s="9"/>
      <c r="F192" s="9"/>
      <c r="G192" s="37"/>
      <c r="H192" s="9"/>
      <c r="I192" s="9"/>
      <c r="J192" s="37"/>
      <c r="K192" s="9"/>
      <c r="L192" s="9"/>
      <c r="M192" s="37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</row>
    <row r="193" spans="2:92" x14ac:dyDescent="0.25">
      <c r="B193" s="9"/>
      <c r="C193" s="9"/>
      <c r="D193" s="37"/>
      <c r="E193" s="9"/>
      <c r="F193" s="9"/>
      <c r="G193" s="37"/>
      <c r="H193" s="9"/>
      <c r="I193" s="9"/>
      <c r="J193" s="37"/>
      <c r="K193" s="9"/>
      <c r="L193" s="9"/>
      <c r="M193" s="37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</row>
    <row r="194" spans="2:92" x14ac:dyDescent="0.25">
      <c r="B194" s="9"/>
      <c r="C194" s="9"/>
      <c r="D194" s="37"/>
      <c r="E194" s="9"/>
      <c r="F194" s="9"/>
      <c r="G194" s="37"/>
      <c r="H194" s="9"/>
      <c r="I194" s="9"/>
      <c r="J194" s="37"/>
      <c r="K194" s="9"/>
      <c r="L194" s="9"/>
      <c r="M194" s="37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</row>
    <row r="195" spans="2:92" x14ac:dyDescent="0.25">
      <c r="B195" s="9"/>
      <c r="C195" s="9"/>
      <c r="D195" s="37"/>
      <c r="E195" s="9"/>
      <c r="F195" s="9"/>
      <c r="G195" s="37"/>
      <c r="H195" s="9"/>
      <c r="I195" s="9"/>
      <c r="J195" s="37"/>
      <c r="K195" s="9"/>
      <c r="L195" s="9"/>
      <c r="M195" s="37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</row>
    <row r="196" spans="2:92" x14ac:dyDescent="0.25">
      <c r="B196" s="9"/>
      <c r="C196" s="9"/>
      <c r="D196" s="37"/>
      <c r="E196" s="9"/>
      <c r="F196" s="9"/>
      <c r="G196" s="37"/>
      <c r="H196" s="9"/>
      <c r="I196" s="9"/>
      <c r="J196" s="37"/>
      <c r="K196" s="9"/>
      <c r="L196" s="9"/>
      <c r="M196" s="37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</row>
    <row r="197" spans="2:92" x14ac:dyDescent="0.25">
      <c r="B197" s="9"/>
      <c r="C197" s="9"/>
      <c r="D197" s="37"/>
      <c r="E197" s="9"/>
      <c r="F197" s="9"/>
      <c r="G197" s="37"/>
      <c r="H197" s="9"/>
      <c r="I197" s="9"/>
      <c r="J197" s="37"/>
      <c r="K197" s="9"/>
      <c r="L197" s="9"/>
      <c r="M197" s="37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</row>
    <row r="198" spans="2:92" x14ac:dyDescent="0.25">
      <c r="B198" s="9"/>
      <c r="C198" s="9"/>
      <c r="D198" s="37"/>
      <c r="E198" s="9"/>
      <c r="F198" s="9"/>
      <c r="G198" s="37"/>
      <c r="H198" s="9"/>
      <c r="I198" s="9"/>
      <c r="J198" s="37"/>
      <c r="K198" s="9"/>
      <c r="L198" s="9"/>
      <c r="M198" s="37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</row>
    <row r="199" spans="2:92" x14ac:dyDescent="0.25">
      <c r="B199" s="9"/>
      <c r="C199" s="9"/>
      <c r="D199" s="37"/>
      <c r="E199" s="9"/>
      <c r="F199" s="9"/>
      <c r="G199" s="37"/>
      <c r="H199" s="9"/>
      <c r="I199" s="9"/>
      <c r="J199" s="37"/>
      <c r="K199" s="9"/>
      <c r="L199" s="9"/>
      <c r="M199" s="37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</row>
    <row r="200" spans="2:92" x14ac:dyDescent="0.25">
      <c r="B200" s="9"/>
      <c r="C200" s="9"/>
      <c r="D200" s="37"/>
      <c r="E200" s="9"/>
      <c r="F200" s="9"/>
      <c r="G200" s="37"/>
      <c r="H200" s="9"/>
      <c r="I200" s="9"/>
      <c r="J200" s="37"/>
      <c r="K200" s="9"/>
      <c r="L200" s="9"/>
      <c r="M200" s="37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</row>
    <row r="201" spans="2:92" x14ac:dyDescent="0.25">
      <c r="B201" s="9"/>
      <c r="C201" s="9"/>
      <c r="D201" s="37"/>
      <c r="E201" s="9"/>
      <c r="F201" s="9"/>
      <c r="G201" s="37"/>
      <c r="H201" s="9"/>
      <c r="I201" s="9"/>
      <c r="J201" s="37"/>
      <c r="K201" s="9"/>
      <c r="L201" s="9"/>
      <c r="M201" s="37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</row>
    <row r="202" spans="2:92" x14ac:dyDescent="0.25">
      <c r="B202" s="9"/>
      <c r="C202" s="9"/>
      <c r="D202" s="37"/>
      <c r="E202" s="9"/>
      <c r="F202" s="9"/>
      <c r="G202" s="37"/>
      <c r="H202" s="9"/>
      <c r="I202" s="9"/>
      <c r="J202" s="37"/>
      <c r="K202" s="9"/>
      <c r="L202" s="9"/>
      <c r="M202" s="37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</row>
    <row r="203" spans="2:92" x14ac:dyDescent="0.25">
      <c r="B203" s="9"/>
      <c r="C203" s="9"/>
      <c r="D203" s="37"/>
      <c r="E203" s="9"/>
      <c r="F203" s="9"/>
      <c r="G203" s="37"/>
      <c r="H203" s="9"/>
      <c r="I203" s="9"/>
      <c r="J203" s="37"/>
      <c r="K203" s="9"/>
      <c r="L203" s="9"/>
      <c r="M203" s="37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</row>
    <row r="204" spans="2:92" x14ac:dyDescent="0.25">
      <c r="B204" s="9"/>
      <c r="C204" s="9"/>
      <c r="D204" s="37"/>
      <c r="E204" s="9"/>
      <c r="F204" s="9"/>
      <c r="G204" s="37"/>
      <c r="H204" s="9"/>
      <c r="I204" s="9"/>
      <c r="J204" s="37"/>
      <c r="K204" s="9"/>
      <c r="L204" s="9"/>
      <c r="M204" s="37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</row>
    <row r="205" spans="2:92" x14ac:dyDescent="0.25">
      <c r="B205" s="9"/>
      <c r="C205" s="9"/>
      <c r="D205" s="37"/>
      <c r="E205" s="9"/>
      <c r="F205" s="9"/>
      <c r="G205" s="37"/>
      <c r="H205" s="9"/>
      <c r="I205" s="9"/>
      <c r="J205" s="37"/>
      <c r="K205" s="9"/>
      <c r="L205" s="9"/>
      <c r="M205" s="37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</row>
    <row r="206" spans="2:92" x14ac:dyDescent="0.25">
      <c r="B206" s="9"/>
      <c r="C206" s="9"/>
      <c r="D206" s="37"/>
      <c r="E206" s="9"/>
      <c r="F206" s="9"/>
      <c r="G206" s="37"/>
      <c r="H206" s="9"/>
      <c r="I206" s="9"/>
      <c r="J206" s="37"/>
      <c r="K206" s="9"/>
      <c r="L206" s="9"/>
      <c r="M206" s="37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</row>
    <row r="207" spans="2:92" x14ac:dyDescent="0.25">
      <c r="B207" s="9"/>
      <c r="C207" s="9"/>
      <c r="D207" s="37"/>
      <c r="E207" s="9"/>
      <c r="F207" s="9"/>
      <c r="G207" s="37"/>
      <c r="H207" s="9"/>
      <c r="I207" s="9"/>
      <c r="J207" s="37"/>
      <c r="K207" s="9"/>
      <c r="L207" s="9"/>
      <c r="M207" s="37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</row>
    <row r="208" spans="2:92" x14ac:dyDescent="0.25">
      <c r="B208" s="9"/>
      <c r="C208" s="9"/>
      <c r="D208" s="37"/>
      <c r="E208" s="9"/>
      <c r="F208" s="9"/>
      <c r="G208" s="37"/>
      <c r="H208" s="9"/>
      <c r="I208" s="9"/>
      <c r="J208" s="37"/>
      <c r="K208" s="9"/>
      <c r="L208" s="9"/>
      <c r="M208" s="37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</row>
    <row r="209" spans="2:92" x14ac:dyDescent="0.25">
      <c r="B209" s="9"/>
      <c r="C209" s="9"/>
      <c r="D209" s="37"/>
      <c r="E209" s="9"/>
      <c r="F209" s="9"/>
      <c r="G209" s="37"/>
      <c r="H209" s="9"/>
      <c r="I209" s="9"/>
      <c r="J209" s="37"/>
      <c r="K209" s="9"/>
      <c r="L209" s="9"/>
      <c r="M209" s="37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</row>
    <row r="210" spans="2:92" x14ac:dyDescent="0.25">
      <c r="B210" s="9"/>
      <c r="C210" s="9"/>
      <c r="D210" s="37"/>
      <c r="E210" s="9"/>
      <c r="F210" s="9"/>
      <c r="G210" s="37"/>
      <c r="H210" s="9"/>
      <c r="I210" s="9"/>
      <c r="J210" s="37"/>
      <c r="K210" s="9"/>
      <c r="L210" s="9"/>
      <c r="M210" s="37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</row>
    <row r="211" spans="2:92" x14ac:dyDescent="0.25">
      <c r="B211" s="9"/>
      <c r="C211" s="9"/>
      <c r="D211" s="37"/>
      <c r="E211" s="9"/>
      <c r="F211" s="9"/>
      <c r="G211" s="37"/>
      <c r="H211" s="9"/>
      <c r="I211" s="9"/>
      <c r="J211" s="37"/>
      <c r="K211" s="9"/>
      <c r="L211" s="9"/>
      <c r="M211" s="37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</row>
    <row r="212" spans="2:92" x14ac:dyDescent="0.25">
      <c r="B212" s="9"/>
      <c r="C212" s="9"/>
      <c r="D212" s="37"/>
      <c r="E212" s="9"/>
      <c r="F212" s="9"/>
      <c r="G212" s="37"/>
      <c r="H212" s="9"/>
      <c r="I212" s="9"/>
      <c r="J212" s="37"/>
      <c r="K212" s="9"/>
      <c r="L212" s="9"/>
      <c r="M212" s="37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</row>
    <row r="213" spans="2:92" x14ac:dyDescent="0.25">
      <c r="B213" s="9"/>
      <c r="C213" s="9"/>
      <c r="D213" s="37"/>
      <c r="E213" s="9"/>
      <c r="F213" s="9"/>
      <c r="G213" s="37"/>
      <c r="H213" s="9"/>
      <c r="I213" s="9"/>
      <c r="J213" s="37"/>
      <c r="K213" s="9"/>
      <c r="L213" s="9"/>
      <c r="M213" s="37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</row>
    <row r="214" spans="2:92" x14ac:dyDescent="0.25">
      <c r="B214" s="9"/>
      <c r="C214" s="9"/>
      <c r="D214" s="37"/>
      <c r="E214" s="9"/>
      <c r="F214" s="9"/>
      <c r="G214" s="37"/>
      <c r="H214" s="9"/>
      <c r="I214" s="9"/>
      <c r="J214" s="37"/>
      <c r="K214" s="9"/>
      <c r="L214" s="9"/>
      <c r="M214" s="37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</row>
    <row r="215" spans="2:92" x14ac:dyDescent="0.25">
      <c r="B215" s="9"/>
      <c r="C215" s="9"/>
      <c r="D215" s="37"/>
      <c r="E215" s="9"/>
      <c r="F215" s="9"/>
      <c r="G215" s="37"/>
      <c r="H215" s="9"/>
      <c r="I215" s="9"/>
      <c r="J215" s="37"/>
      <c r="K215" s="9"/>
      <c r="L215" s="9"/>
      <c r="M215" s="37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</row>
    <row r="216" spans="2:92" x14ac:dyDescent="0.25">
      <c r="B216" s="9"/>
      <c r="C216" s="9"/>
      <c r="D216" s="37"/>
      <c r="E216" s="9"/>
      <c r="F216" s="9"/>
      <c r="G216" s="37"/>
      <c r="H216" s="9"/>
      <c r="I216" s="9"/>
      <c r="J216" s="37"/>
      <c r="K216" s="9"/>
      <c r="L216" s="9"/>
      <c r="M216" s="37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</row>
    <row r="217" spans="2:92" x14ac:dyDescent="0.25">
      <c r="B217" s="9"/>
      <c r="C217" s="9"/>
      <c r="D217" s="37"/>
      <c r="E217" s="9"/>
      <c r="F217" s="9"/>
      <c r="G217" s="37"/>
      <c r="H217" s="9"/>
      <c r="I217" s="9"/>
      <c r="J217" s="37"/>
      <c r="K217" s="9"/>
      <c r="L217" s="9"/>
      <c r="M217" s="37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</row>
    <row r="218" spans="2:92" x14ac:dyDescent="0.25">
      <c r="B218" s="9"/>
      <c r="C218" s="9"/>
      <c r="D218" s="37"/>
      <c r="E218" s="9"/>
      <c r="F218" s="9"/>
      <c r="G218" s="37"/>
      <c r="H218" s="9"/>
      <c r="I218" s="9"/>
      <c r="J218" s="37"/>
      <c r="K218" s="9"/>
      <c r="L218" s="9"/>
      <c r="M218" s="37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</row>
    <row r="219" spans="2:92" x14ac:dyDescent="0.25">
      <c r="B219" s="9"/>
      <c r="C219" s="9"/>
      <c r="D219" s="37"/>
      <c r="E219" s="9"/>
      <c r="F219" s="9"/>
      <c r="G219" s="37"/>
      <c r="H219" s="9"/>
      <c r="I219" s="9"/>
      <c r="J219" s="37"/>
      <c r="K219" s="9"/>
      <c r="L219" s="9"/>
      <c r="M219" s="37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</row>
    <row r="220" spans="2:92" x14ac:dyDescent="0.25">
      <c r="B220" s="9"/>
      <c r="C220" s="9"/>
      <c r="D220" s="37"/>
      <c r="E220" s="9"/>
      <c r="F220" s="9"/>
      <c r="G220" s="37"/>
      <c r="H220" s="9"/>
      <c r="I220" s="9"/>
      <c r="J220" s="37"/>
      <c r="K220" s="9"/>
      <c r="L220" s="9"/>
      <c r="M220" s="37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</row>
    <row r="221" spans="2:92" x14ac:dyDescent="0.25">
      <c r="B221" s="9"/>
      <c r="C221" s="9"/>
      <c r="D221" s="37"/>
      <c r="E221" s="9"/>
      <c r="F221" s="9"/>
      <c r="G221" s="37"/>
      <c r="H221" s="9"/>
      <c r="I221" s="9"/>
      <c r="J221" s="37"/>
      <c r="K221" s="9"/>
      <c r="L221" s="9"/>
      <c r="M221" s="37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</row>
    <row r="222" spans="2:92" x14ac:dyDescent="0.25">
      <c r="B222" s="9"/>
      <c r="C222" s="9"/>
      <c r="D222" s="37"/>
      <c r="E222" s="9"/>
      <c r="F222" s="9"/>
      <c r="G222" s="37"/>
      <c r="H222" s="9"/>
      <c r="I222" s="9"/>
      <c r="J222" s="37"/>
      <c r="K222" s="9"/>
      <c r="L222" s="9"/>
      <c r="M222" s="37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</row>
    <row r="223" spans="2:92" x14ac:dyDescent="0.25">
      <c r="B223" s="9"/>
      <c r="C223" s="9"/>
      <c r="D223" s="37"/>
      <c r="E223" s="9"/>
      <c r="F223" s="9"/>
      <c r="G223" s="37"/>
      <c r="H223" s="9"/>
      <c r="I223" s="9"/>
      <c r="J223" s="37"/>
      <c r="K223" s="9"/>
      <c r="L223" s="9"/>
      <c r="M223" s="37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</row>
    <row r="224" spans="2:92" x14ac:dyDescent="0.25">
      <c r="B224" s="9"/>
      <c r="C224" s="9"/>
      <c r="D224" s="37"/>
      <c r="E224" s="9"/>
      <c r="F224" s="9"/>
      <c r="G224" s="37"/>
      <c r="H224" s="9"/>
      <c r="I224" s="9"/>
      <c r="J224" s="37"/>
      <c r="K224" s="9"/>
      <c r="L224" s="9"/>
      <c r="M224" s="37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</row>
    <row r="225" spans="2:92" x14ac:dyDescent="0.25">
      <c r="B225" s="9"/>
      <c r="C225" s="9"/>
      <c r="D225" s="37"/>
      <c r="E225" s="9"/>
      <c r="F225" s="9"/>
      <c r="G225" s="37"/>
      <c r="H225" s="9"/>
      <c r="I225" s="9"/>
      <c r="J225" s="37"/>
      <c r="K225" s="9"/>
      <c r="L225" s="9"/>
      <c r="M225" s="3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</row>
    <row r="226" spans="2:92" x14ac:dyDescent="0.25">
      <c r="B226" s="9"/>
      <c r="C226" s="9"/>
      <c r="D226" s="37"/>
      <c r="E226" s="9"/>
      <c r="F226" s="9"/>
      <c r="G226" s="37"/>
      <c r="H226" s="9"/>
      <c r="I226" s="9"/>
      <c r="J226" s="37"/>
      <c r="K226" s="9"/>
      <c r="L226" s="9"/>
      <c r="M226" s="3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</row>
    <row r="227" spans="2:92" x14ac:dyDescent="0.25">
      <c r="B227" s="9"/>
      <c r="C227" s="9"/>
      <c r="D227" s="37"/>
      <c r="E227" s="9"/>
      <c r="F227" s="9"/>
      <c r="G227" s="37"/>
      <c r="H227" s="9"/>
      <c r="I227" s="9"/>
      <c r="J227" s="37"/>
      <c r="K227" s="9"/>
      <c r="L227" s="9"/>
      <c r="M227" s="3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</row>
    <row r="228" spans="2:92" x14ac:dyDescent="0.25">
      <c r="B228" s="9"/>
      <c r="C228" s="9"/>
      <c r="D228" s="37"/>
      <c r="E228" s="9"/>
      <c r="F228" s="9"/>
      <c r="G228" s="37"/>
      <c r="H228" s="9"/>
      <c r="I228" s="9"/>
      <c r="J228" s="37"/>
      <c r="K228" s="9"/>
      <c r="L228" s="9"/>
      <c r="M228" s="3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</row>
    <row r="229" spans="2:92" x14ac:dyDescent="0.25">
      <c r="B229" s="9"/>
      <c r="C229" s="9"/>
      <c r="D229" s="37"/>
      <c r="E229" s="9"/>
      <c r="F229" s="9"/>
      <c r="G229" s="37"/>
      <c r="H229" s="9"/>
      <c r="I229" s="9"/>
      <c r="J229" s="37"/>
      <c r="K229" s="9"/>
      <c r="L229" s="9"/>
      <c r="M229" s="3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</row>
    <row r="230" spans="2:92" x14ac:dyDescent="0.25">
      <c r="B230" s="9"/>
      <c r="C230" s="9"/>
      <c r="D230" s="37"/>
      <c r="E230" s="9"/>
      <c r="F230" s="9"/>
      <c r="G230" s="37"/>
      <c r="H230" s="9"/>
      <c r="I230" s="9"/>
      <c r="J230" s="37"/>
      <c r="K230" s="9"/>
      <c r="L230" s="9"/>
      <c r="M230" s="3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</row>
    <row r="231" spans="2:92" x14ac:dyDescent="0.25">
      <c r="B231" s="9"/>
      <c r="C231" s="9"/>
      <c r="D231" s="37"/>
      <c r="E231" s="9"/>
      <c r="F231" s="9"/>
      <c r="G231" s="37"/>
      <c r="H231" s="9"/>
      <c r="I231" s="9"/>
      <c r="J231" s="37"/>
      <c r="K231" s="9"/>
      <c r="L231" s="9"/>
      <c r="M231" s="3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</row>
    <row r="232" spans="2:92" x14ac:dyDescent="0.25">
      <c r="B232" s="9"/>
      <c r="C232" s="9"/>
      <c r="D232" s="37"/>
      <c r="E232" s="9"/>
      <c r="F232" s="9"/>
      <c r="G232" s="37"/>
      <c r="H232" s="9"/>
      <c r="I232" s="9"/>
      <c r="J232" s="37"/>
      <c r="K232" s="9"/>
      <c r="L232" s="9"/>
      <c r="M232" s="3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</row>
    <row r="233" spans="2:92" x14ac:dyDescent="0.25">
      <c r="B233" s="9"/>
      <c r="C233" s="9"/>
      <c r="D233" s="37"/>
      <c r="E233" s="9"/>
      <c r="F233" s="9"/>
      <c r="G233" s="37"/>
      <c r="H233" s="9"/>
      <c r="I233" s="9"/>
      <c r="J233" s="37"/>
      <c r="K233" s="9"/>
      <c r="L233" s="9"/>
      <c r="M233" s="3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</row>
    <row r="234" spans="2:92" x14ac:dyDescent="0.25">
      <c r="B234" s="9"/>
      <c r="C234" s="9"/>
      <c r="D234" s="37"/>
      <c r="E234" s="9"/>
      <c r="F234" s="9"/>
      <c r="G234" s="37"/>
      <c r="H234" s="9"/>
      <c r="I234" s="9"/>
      <c r="J234" s="37"/>
      <c r="K234" s="9"/>
      <c r="L234" s="9"/>
      <c r="M234" s="3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</row>
    <row r="235" spans="2:92" x14ac:dyDescent="0.25">
      <c r="B235" s="9"/>
      <c r="C235" s="9"/>
      <c r="D235" s="37"/>
      <c r="E235" s="9"/>
      <c r="F235" s="9"/>
      <c r="G235" s="37"/>
      <c r="H235" s="9"/>
      <c r="I235" s="9"/>
      <c r="J235" s="37"/>
      <c r="K235" s="9"/>
      <c r="L235" s="9"/>
      <c r="M235" s="3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</row>
    <row r="236" spans="2:92" x14ac:dyDescent="0.25">
      <c r="B236" s="9"/>
      <c r="C236" s="9"/>
      <c r="D236" s="37"/>
      <c r="E236" s="9"/>
      <c r="F236" s="9"/>
      <c r="G236" s="37"/>
      <c r="H236" s="9"/>
      <c r="I236" s="9"/>
      <c r="J236" s="37"/>
      <c r="K236" s="9"/>
      <c r="L236" s="9"/>
      <c r="M236" s="3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</row>
    <row r="237" spans="2:92" x14ac:dyDescent="0.25">
      <c r="B237" s="9"/>
      <c r="C237" s="9"/>
      <c r="D237" s="37"/>
      <c r="E237" s="9"/>
      <c r="F237" s="9"/>
      <c r="G237" s="37"/>
      <c r="H237" s="9"/>
      <c r="I237" s="9"/>
      <c r="J237" s="37"/>
      <c r="K237" s="9"/>
      <c r="L237" s="9"/>
      <c r="M237" s="3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</row>
    <row r="238" spans="2:92" x14ac:dyDescent="0.25">
      <c r="B238" s="9"/>
      <c r="C238" s="9"/>
      <c r="D238" s="37"/>
      <c r="E238" s="9"/>
      <c r="F238" s="9"/>
      <c r="G238" s="37"/>
      <c r="H238" s="9"/>
      <c r="I238" s="9"/>
      <c r="J238" s="37"/>
      <c r="K238" s="9"/>
      <c r="L238" s="9"/>
      <c r="M238" s="3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</row>
    <row r="239" spans="2:92" x14ac:dyDescent="0.25">
      <c r="B239" s="9"/>
      <c r="C239" s="9"/>
      <c r="D239" s="37"/>
      <c r="E239" s="9"/>
      <c r="F239" s="9"/>
      <c r="G239" s="37"/>
      <c r="H239" s="9"/>
      <c r="I239" s="9"/>
      <c r="J239" s="37"/>
      <c r="K239" s="9"/>
      <c r="L239" s="9"/>
      <c r="M239" s="3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</row>
    <row r="240" spans="2:92" x14ac:dyDescent="0.25">
      <c r="B240" s="9"/>
      <c r="C240" s="9"/>
      <c r="D240" s="37"/>
      <c r="E240" s="9"/>
      <c r="F240" s="9"/>
      <c r="G240" s="37"/>
      <c r="H240" s="9"/>
      <c r="I240" s="9"/>
      <c r="J240" s="37"/>
      <c r="K240" s="9"/>
      <c r="L240" s="9"/>
      <c r="M240" s="3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</row>
    <row r="241" spans="2:92" x14ac:dyDescent="0.25">
      <c r="B241" s="9"/>
      <c r="C241" s="9"/>
      <c r="D241" s="37"/>
      <c r="E241" s="9"/>
      <c r="F241" s="9"/>
      <c r="G241" s="37"/>
      <c r="H241" s="9"/>
      <c r="I241" s="9"/>
      <c r="J241" s="37"/>
      <c r="K241" s="9"/>
      <c r="L241" s="9"/>
      <c r="M241" s="3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</row>
    <row r="242" spans="2:92" x14ac:dyDescent="0.25">
      <c r="B242" s="9"/>
      <c r="C242" s="9"/>
      <c r="D242" s="37"/>
      <c r="E242" s="9"/>
      <c r="F242" s="9"/>
      <c r="G242" s="37"/>
      <c r="H242" s="9"/>
      <c r="I242" s="9"/>
      <c r="J242" s="37"/>
      <c r="K242" s="9"/>
      <c r="L242" s="9"/>
      <c r="M242" s="3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</row>
    <row r="243" spans="2:92" x14ac:dyDescent="0.25">
      <c r="B243" s="9"/>
      <c r="C243" s="9"/>
      <c r="D243" s="37"/>
      <c r="E243" s="9"/>
      <c r="F243" s="9"/>
      <c r="G243" s="37"/>
      <c r="H243" s="9"/>
      <c r="I243" s="9"/>
      <c r="J243" s="37"/>
      <c r="K243" s="9"/>
      <c r="L243" s="9"/>
      <c r="M243" s="3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</row>
    <row r="244" spans="2:92" x14ac:dyDescent="0.25">
      <c r="B244" s="9"/>
      <c r="C244" s="9"/>
      <c r="D244" s="37"/>
      <c r="E244" s="9"/>
      <c r="F244" s="9"/>
      <c r="G244" s="37"/>
      <c r="H244" s="9"/>
      <c r="I244" s="9"/>
      <c r="J244" s="37"/>
      <c r="K244" s="9"/>
      <c r="L244" s="9"/>
      <c r="M244" s="3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</row>
    <row r="245" spans="2:92" x14ac:dyDescent="0.25">
      <c r="B245" s="9"/>
      <c r="C245" s="9"/>
      <c r="D245" s="37"/>
      <c r="E245" s="9"/>
      <c r="F245" s="9"/>
      <c r="G245" s="37"/>
      <c r="H245" s="9"/>
      <c r="I245" s="9"/>
      <c r="J245" s="37"/>
      <c r="K245" s="9"/>
      <c r="L245" s="9"/>
      <c r="M245" s="3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</row>
    <row r="246" spans="2:92" x14ac:dyDescent="0.25">
      <c r="B246" s="9"/>
      <c r="C246" s="9"/>
      <c r="D246" s="37"/>
      <c r="E246" s="9"/>
      <c r="F246" s="9"/>
      <c r="G246" s="37"/>
      <c r="H246" s="9"/>
      <c r="I246" s="9"/>
      <c r="J246" s="37"/>
      <c r="K246" s="9"/>
      <c r="L246" s="9"/>
      <c r="M246" s="3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</row>
    <row r="247" spans="2:92" x14ac:dyDescent="0.25">
      <c r="B247" s="9"/>
      <c r="C247" s="9"/>
      <c r="D247" s="37"/>
      <c r="E247" s="9"/>
      <c r="F247" s="9"/>
      <c r="G247" s="37"/>
      <c r="H247" s="9"/>
      <c r="I247" s="9"/>
      <c r="J247" s="37"/>
      <c r="K247" s="9"/>
      <c r="L247" s="9"/>
      <c r="M247" s="3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</row>
    <row r="248" spans="2:92" x14ac:dyDescent="0.25">
      <c r="B248" s="9"/>
      <c r="C248" s="9"/>
      <c r="D248" s="37"/>
      <c r="E248" s="9"/>
      <c r="F248" s="9"/>
      <c r="G248" s="37"/>
      <c r="H248" s="9"/>
      <c r="I248" s="9"/>
      <c r="J248" s="37"/>
      <c r="K248" s="9"/>
      <c r="L248" s="9"/>
      <c r="M248" s="3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</row>
    <row r="249" spans="2:92" x14ac:dyDescent="0.25">
      <c r="B249" s="9"/>
      <c r="C249" s="9"/>
      <c r="D249" s="37"/>
      <c r="E249" s="9"/>
      <c r="F249" s="9"/>
      <c r="G249" s="37"/>
      <c r="H249" s="9"/>
      <c r="I249" s="9"/>
      <c r="J249" s="37"/>
      <c r="K249" s="9"/>
      <c r="L249" s="9"/>
      <c r="M249" s="3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</row>
    <row r="250" spans="2:92" x14ac:dyDescent="0.25">
      <c r="B250" s="9"/>
      <c r="C250" s="9"/>
      <c r="D250" s="37"/>
      <c r="E250" s="9"/>
      <c r="F250" s="9"/>
      <c r="G250" s="37"/>
      <c r="H250" s="9"/>
      <c r="I250" s="9"/>
      <c r="J250" s="37"/>
      <c r="K250" s="9"/>
      <c r="L250" s="9"/>
      <c r="M250" s="3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</row>
    <row r="251" spans="2:92" x14ac:dyDescent="0.25">
      <c r="B251" s="9"/>
      <c r="C251" s="9"/>
      <c r="D251" s="37"/>
      <c r="E251" s="9"/>
      <c r="F251" s="9"/>
      <c r="G251" s="37"/>
      <c r="H251" s="9"/>
      <c r="I251" s="9"/>
      <c r="J251" s="37"/>
      <c r="K251" s="9"/>
      <c r="L251" s="9"/>
      <c r="M251" s="3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</row>
    <row r="252" spans="2:92" x14ac:dyDescent="0.25">
      <c r="B252" s="9"/>
      <c r="C252" s="9"/>
      <c r="D252" s="37"/>
      <c r="E252" s="9"/>
      <c r="F252" s="9"/>
      <c r="G252" s="37"/>
      <c r="H252" s="9"/>
      <c r="I252" s="9"/>
      <c r="J252" s="37"/>
      <c r="K252" s="9"/>
      <c r="L252" s="9"/>
      <c r="M252" s="3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</row>
    <row r="253" spans="2:92" x14ac:dyDescent="0.25">
      <c r="B253" s="9"/>
      <c r="C253" s="9"/>
      <c r="D253" s="37"/>
      <c r="E253" s="9"/>
      <c r="F253" s="9"/>
      <c r="G253" s="37"/>
      <c r="H253" s="9"/>
      <c r="I253" s="9"/>
      <c r="J253" s="37"/>
      <c r="K253" s="9"/>
      <c r="L253" s="9"/>
      <c r="M253" s="3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</row>
    <row r="254" spans="2:92" x14ac:dyDescent="0.25">
      <c r="B254" s="9"/>
      <c r="C254" s="9"/>
      <c r="D254" s="37"/>
      <c r="E254" s="9"/>
      <c r="F254" s="9"/>
      <c r="G254" s="37"/>
      <c r="H254" s="9"/>
      <c r="I254" s="9"/>
      <c r="J254" s="37"/>
      <c r="K254" s="9"/>
      <c r="L254" s="9"/>
      <c r="M254" s="3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</row>
    <row r="255" spans="2:92" x14ac:dyDescent="0.25">
      <c r="B255" s="9"/>
      <c r="C255" s="9"/>
      <c r="D255" s="37"/>
      <c r="E255" s="9"/>
      <c r="F255" s="9"/>
      <c r="G255" s="37"/>
      <c r="H255" s="9"/>
      <c r="I255" s="9"/>
      <c r="J255" s="37"/>
      <c r="K255" s="9"/>
      <c r="L255" s="9"/>
      <c r="M255" s="3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</row>
    <row r="256" spans="2:92" x14ac:dyDescent="0.25">
      <c r="B256" s="9"/>
      <c r="C256" s="9"/>
      <c r="D256" s="37"/>
      <c r="E256" s="9"/>
      <c r="F256" s="9"/>
      <c r="G256" s="37"/>
      <c r="H256" s="9"/>
      <c r="I256" s="9"/>
      <c r="J256" s="37"/>
      <c r="K256" s="9"/>
      <c r="L256" s="9"/>
      <c r="M256" s="3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</row>
    <row r="257" spans="2:92" x14ac:dyDescent="0.25">
      <c r="B257" s="9"/>
      <c r="C257" s="9"/>
      <c r="D257" s="37"/>
      <c r="E257" s="9"/>
      <c r="F257" s="9"/>
      <c r="G257" s="37"/>
      <c r="H257" s="9"/>
      <c r="I257" s="9"/>
      <c r="J257" s="37"/>
      <c r="K257" s="9"/>
      <c r="L257" s="9"/>
      <c r="M257" s="3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</row>
    <row r="258" spans="2:92" x14ac:dyDescent="0.25">
      <c r="B258" s="9"/>
      <c r="C258" s="9"/>
      <c r="D258" s="37"/>
      <c r="E258" s="9"/>
      <c r="F258" s="9"/>
      <c r="G258" s="37"/>
      <c r="H258" s="9"/>
      <c r="I258" s="9"/>
      <c r="J258" s="37"/>
      <c r="K258" s="9"/>
      <c r="L258" s="9"/>
      <c r="M258" s="3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</row>
    <row r="259" spans="2:92" x14ac:dyDescent="0.25">
      <c r="B259" s="9"/>
      <c r="C259" s="9"/>
      <c r="D259" s="37"/>
      <c r="E259" s="9"/>
      <c r="F259" s="9"/>
      <c r="G259" s="37"/>
      <c r="H259" s="9"/>
      <c r="I259" s="9"/>
      <c r="J259" s="37"/>
      <c r="K259" s="9"/>
      <c r="L259" s="9"/>
      <c r="M259" s="3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</row>
    <row r="260" spans="2:92" x14ac:dyDescent="0.25">
      <c r="B260" s="9"/>
      <c r="C260" s="9"/>
      <c r="D260" s="37"/>
      <c r="E260" s="9"/>
      <c r="F260" s="9"/>
      <c r="G260" s="37"/>
      <c r="H260" s="9"/>
      <c r="I260" s="9"/>
      <c r="J260" s="37"/>
      <c r="K260" s="9"/>
      <c r="L260" s="9"/>
      <c r="M260" s="3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</row>
    <row r="261" spans="2:92" x14ac:dyDescent="0.25">
      <c r="B261" s="9"/>
      <c r="C261" s="9"/>
      <c r="D261" s="37"/>
      <c r="E261" s="9"/>
      <c r="F261" s="9"/>
      <c r="G261" s="37"/>
      <c r="H261" s="9"/>
      <c r="I261" s="9"/>
      <c r="J261" s="37"/>
      <c r="K261" s="9"/>
      <c r="L261" s="9"/>
      <c r="M261" s="3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</row>
    <row r="262" spans="2:92" x14ac:dyDescent="0.25">
      <c r="B262" s="9"/>
      <c r="C262" s="9"/>
      <c r="D262" s="37"/>
      <c r="E262" s="9"/>
      <c r="F262" s="9"/>
      <c r="G262" s="37"/>
      <c r="H262" s="9"/>
      <c r="I262" s="9"/>
      <c r="J262" s="37"/>
      <c r="K262" s="9"/>
      <c r="L262" s="9"/>
      <c r="M262" s="3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</row>
    <row r="263" spans="2:92" x14ac:dyDescent="0.25">
      <c r="B263" s="9"/>
      <c r="C263" s="9"/>
      <c r="D263" s="37"/>
      <c r="E263" s="9"/>
      <c r="F263" s="9"/>
      <c r="G263" s="37"/>
      <c r="H263" s="9"/>
      <c r="I263" s="9"/>
      <c r="J263" s="37"/>
      <c r="K263" s="9"/>
      <c r="L263" s="9"/>
      <c r="M263" s="3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</row>
    <row r="264" spans="2:92" x14ac:dyDescent="0.25">
      <c r="B264" s="9"/>
      <c r="C264" s="9"/>
      <c r="D264" s="37"/>
      <c r="E264" s="9"/>
      <c r="F264" s="9"/>
      <c r="G264" s="37"/>
      <c r="H264" s="9"/>
      <c r="I264" s="9"/>
      <c r="J264" s="37"/>
      <c r="K264" s="9"/>
      <c r="L264" s="9"/>
      <c r="M264" s="3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</row>
    <row r="265" spans="2:92" x14ac:dyDescent="0.25">
      <c r="B265" s="9"/>
      <c r="C265" s="9"/>
      <c r="D265" s="37"/>
      <c r="E265" s="9"/>
      <c r="F265" s="9"/>
      <c r="G265" s="37"/>
      <c r="H265" s="9"/>
      <c r="I265" s="9"/>
      <c r="J265" s="37"/>
      <c r="K265" s="9"/>
      <c r="L265" s="9"/>
      <c r="M265" s="3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</row>
    <row r="266" spans="2:92" x14ac:dyDescent="0.25">
      <c r="B266" s="9"/>
      <c r="C266" s="9"/>
      <c r="D266" s="37"/>
      <c r="E266" s="9"/>
      <c r="F266" s="9"/>
      <c r="G266" s="37"/>
      <c r="H266" s="9"/>
      <c r="I266" s="9"/>
      <c r="J266" s="37"/>
      <c r="K266" s="9"/>
      <c r="L266" s="9"/>
      <c r="M266" s="3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</row>
    <row r="267" spans="2:92" x14ac:dyDescent="0.25">
      <c r="B267" s="9"/>
      <c r="C267" s="9"/>
      <c r="D267" s="37"/>
      <c r="E267" s="9"/>
      <c r="F267" s="9"/>
      <c r="G267" s="37"/>
      <c r="H267" s="9"/>
      <c r="I267" s="9"/>
      <c r="J267" s="37"/>
      <c r="K267" s="9"/>
      <c r="L267" s="9"/>
      <c r="M267" s="3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</row>
    <row r="268" spans="2:92" x14ac:dyDescent="0.25">
      <c r="B268" s="9"/>
      <c r="C268" s="9"/>
      <c r="D268" s="37"/>
      <c r="E268" s="9"/>
      <c r="F268" s="9"/>
      <c r="G268" s="37"/>
      <c r="H268" s="9"/>
      <c r="I268" s="9"/>
      <c r="J268" s="37"/>
      <c r="K268" s="9"/>
      <c r="L268" s="9"/>
      <c r="M268" s="3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</row>
    <row r="269" spans="2:92" x14ac:dyDescent="0.25">
      <c r="B269" s="9"/>
      <c r="C269" s="9"/>
      <c r="D269" s="37"/>
      <c r="E269" s="9"/>
      <c r="F269" s="9"/>
      <c r="G269" s="37"/>
      <c r="H269" s="9"/>
      <c r="I269" s="9"/>
      <c r="J269" s="37"/>
      <c r="K269" s="9"/>
      <c r="L269" s="9"/>
      <c r="M269" s="3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</row>
    <row r="270" spans="2:92" x14ac:dyDescent="0.25">
      <c r="B270" s="9"/>
      <c r="C270" s="9"/>
      <c r="D270" s="37"/>
      <c r="E270" s="9"/>
      <c r="F270" s="9"/>
      <c r="G270" s="37"/>
      <c r="H270" s="9"/>
      <c r="I270" s="9"/>
      <c r="J270" s="37"/>
      <c r="K270" s="9"/>
      <c r="L270" s="9"/>
      <c r="M270" s="3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</row>
    <row r="271" spans="2:92" x14ac:dyDescent="0.25">
      <c r="B271" s="9"/>
      <c r="C271" s="9"/>
      <c r="D271" s="37"/>
      <c r="E271" s="9"/>
      <c r="F271" s="9"/>
      <c r="G271" s="37"/>
      <c r="H271" s="9"/>
      <c r="I271" s="9"/>
      <c r="J271" s="37"/>
      <c r="K271" s="9"/>
      <c r="L271" s="9"/>
      <c r="M271" s="3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</row>
    <row r="272" spans="2:92" x14ac:dyDescent="0.25">
      <c r="B272" s="9"/>
      <c r="C272" s="9"/>
      <c r="D272" s="37"/>
      <c r="E272" s="9"/>
      <c r="F272" s="9"/>
      <c r="G272" s="37"/>
      <c r="H272" s="9"/>
      <c r="I272" s="9"/>
      <c r="J272" s="37"/>
      <c r="K272" s="9"/>
      <c r="L272" s="9"/>
      <c r="M272" s="3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</row>
    <row r="273" spans="2:92" x14ac:dyDescent="0.25">
      <c r="B273" s="9"/>
      <c r="C273" s="9"/>
      <c r="D273" s="37"/>
      <c r="E273" s="9"/>
      <c r="F273" s="9"/>
      <c r="G273" s="37"/>
      <c r="H273" s="9"/>
      <c r="I273" s="9"/>
      <c r="J273" s="37"/>
      <c r="K273" s="9"/>
      <c r="L273" s="9"/>
      <c r="M273" s="3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</row>
    <row r="274" spans="2:92" x14ac:dyDescent="0.25">
      <c r="B274" s="9"/>
      <c r="C274" s="9"/>
      <c r="D274" s="37"/>
      <c r="E274" s="9"/>
      <c r="F274" s="9"/>
      <c r="G274" s="37"/>
      <c r="H274" s="9"/>
      <c r="I274" s="9"/>
      <c r="J274" s="37"/>
      <c r="K274" s="9"/>
      <c r="L274" s="9"/>
      <c r="M274" s="3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</row>
    <row r="275" spans="2:92" x14ac:dyDescent="0.25">
      <c r="B275" s="9"/>
      <c r="C275" s="9"/>
      <c r="D275" s="37"/>
      <c r="E275" s="9"/>
      <c r="F275" s="9"/>
      <c r="G275" s="37"/>
      <c r="H275" s="9"/>
      <c r="I275" s="9"/>
      <c r="J275" s="37"/>
      <c r="K275" s="9"/>
      <c r="L275" s="9"/>
      <c r="M275" s="3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</row>
    <row r="276" spans="2:92" x14ac:dyDescent="0.25">
      <c r="B276" s="9"/>
      <c r="C276" s="9"/>
      <c r="D276" s="37"/>
      <c r="E276" s="9"/>
      <c r="F276" s="9"/>
      <c r="G276" s="37"/>
      <c r="H276" s="9"/>
      <c r="I276" s="9"/>
      <c r="J276" s="37"/>
      <c r="K276" s="9"/>
      <c r="L276" s="9"/>
      <c r="M276" s="3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</row>
    <row r="277" spans="2:92" x14ac:dyDescent="0.25">
      <c r="B277" s="9"/>
      <c r="C277" s="9"/>
      <c r="D277" s="37"/>
      <c r="E277" s="9"/>
      <c r="F277" s="9"/>
      <c r="G277" s="37"/>
      <c r="H277" s="9"/>
      <c r="I277" s="9"/>
      <c r="J277" s="37"/>
      <c r="K277" s="9"/>
      <c r="L277" s="9"/>
      <c r="M277" s="3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</row>
    <row r="278" spans="2:92" x14ac:dyDescent="0.25">
      <c r="B278" s="9"/>
      <c r="C278" s="9"/>
      <c r="D278" s="37"/>
      <c r="E278" s="9"/>
      <c r="F278" s="9"/>
      <c r="G278" s="37"/>
      <c r="H278" s="9"/>
      <c r="I278" s="9"/>
      <c r="J278" s="37"/>
      <c r="K278" s="9"/>
      <c r="L278" s="9"/>
      <c r="M278" s="3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</row>
    <row r="279" spans="2:92" x14ac:dyDescent="0.25">
      <c r="B279" s="9"/>
      <c r="C279" s="9"/>
      <c r="D279" s="37"/>
      <c r="E279" s="9"/>
      <c r="F279" s="9"/>
      <c r="G279" s="37"/>
      <c r="H279" s="9"/>
      <c r="I279" s="9"/>
      <c r="J279" s="37"/>
      <c r="K279" s="9"/>
      <c r="L279" s="9"/>
      <c r="M279" s="3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</row>
    <row r="280" spans="2:92" x14ac:dyDescent="0.25">
      <c r="B280" s="9"/>
      <c r="C280" s="9"/>
      <c r="D280" s="37"/>
      <c r="E280" s="9"/>
      <c r="F280" s="9"/>
      <c r="G280" s="37"/>
      <c r="H280" s="9"/>
      <c r="I280" s="9"/>
      <c r="J280" s="37"/>
      <c r="K280" s="9"/>
      <c r="L280" s="9"/>
      <c r="M280" s="37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</row>
    <row r="281" spans="2:92" x14ac:dyDescent="0.25">
      <c r="B281" s="9"/>
      <c r="C281" s="9"/>
      <c r="D281" s="37"/>
      <c r="E281" s="9"/>
      <c r="F281" s="9"/>
      <c r="G281" s="37"/>
      <c r="H281" s="9"/>
      <c r="I281" s="9"/>
      <c r="J281" s="37"/>
      <c r="K281" s="9"/>
      <c r="L281" s="9"/>
      <c r="M281" s="3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</row>
    <row r="282" spans="2:92" x14ac:dyDescent="0.25">
      <c r="B282" s="9"/>
      <c r="C282" s="9"/>
      <c r="D282" s="37"/>
      <c r="E282" s="9"/>
      <c r="F282" s="9"/>
      <c r="G282" s="37"/>
      <c r="H282" s="9"/>
      <c r="I282" s="9"/>
      <c r="J282" s="37"/>
      <c r="K282" s="9"/>
      <c r="L282" s="9"/>
      <c r="M282" s="3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</row>
    <row r="283" spans="2:92" x14ac:dyDescent="0.25">
      <c r="B283" s="9"/>
      <c r="C283" s="9"/>
      <c r="D283" s="37"/>
      <c r="E283" s="9"/>
      <c r="F283" s="9"/>
      <c r="G283" s="37"/>
      <c r="H283" s="9"/>
      <c r="I283" s="9"/>
      <c r="J283" s="37"/>
      <c r="K283" s="9"/>
      <c r="L283" s="9"/>
      <c r="M283" s="3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</row>
    <row r="284" spans="2:92" x14ac:dyDescent="0.25">
      <c r="B284" s="9"/>
      <c r="C284" s="9"/>
      <c r="D284" s="37"/>
      <c r="E284" s="9"/>
      <c r="F284" s="9"/>
      <c r="G284" s="37"/>
      <c r="H284" s="9"/>
      <c r="I284" s="9"/>
      <c r="J284" s="37"/>
      <c r="K284" s="9"/>
      <c r="L284" s="9"/>
      <c r="M284" s="3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</row>
    <row r="285" spans="2:92" x14ac:dyDescent="0.25">
      <c r="B285" s="9"/>
      <c r="C285" s="9"/>
      <c r="D285" s="37"/>
      <c r="E285" s="9"/>
      <c r="F285" s="9"/>
      <c r="G285" s="37"/>
      <c r="H285" s="9"/>
      <c r="I285" s="9"/>
      <c r="J285" s="37"/>
      <c r="K285" s="9"/>
      <c r="L285" s="9"/>
      <c r="M285" s="3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</row>
    <row r="286" spans="2:92" x14ac:dyDescent="0.25">
      <c r="B286" s="9"/>
      <c r="C286" s="9"/>
      <c r="D286" s="37"/>
      <c r="E286" s="9"/>
      <c r="F286" s="9"/>
      <c r="G286" s="37"/>
      <c r="H286" s="9"/>
      <c r="I286" s="9"/>
      <c r="J286" s="37"/>
      <c r="K286" s="9"/>
      <c r="L286" s="9"/>
      <c r="M286" s="3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</row>
    <row r="287" spans="2:92" x14ac:dyDescent="0.25">
      <c r="B287" s="9"/>
      <c r="C287" s="9"/>
      <c r="D287" s="37"/>
      <c r="E287" s="9"/>
      <c r="F287" s="9"/>
      <c r="G287" s="37"/>
      <c r="H287" s="9"/>
      <c r="I287" s="9"/>
      <c r="J287" s="37"/>
      <c r="K287" s="9"/>
      <c r="L287" s="9"/>
      <c r="M287" s="37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</row>
    <row r="288" spans="2:92" x14ac:dyDescent="0.25">
      <c r="B288" s="9"/>
      <c r="C288" s="9"/>
      <c r="D288" s="37"/>
      <c r="E288" s="9"/>
      <c r="F288" s="9"/>
      <c r="G288" s="37"/>
      <c r="H288" s="9"/>
      <c r="I288" s="9"/>
      <c r="J288" s="37"/>
      <c r="K288" s="9"/>
      <c r="L288" s="9"/>
      <c r="M288" s="3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</row>
    <row r="289" spans="2:92" x14ac:dyDescent="0.25">
      <c r="B289" s="9"/>
      <c r="C289" s="9"/>
      <c r="D289" s="37"/>
      <c r="E289" s="9"/>
      <c r="F289" s="9"/>
      <c r="G289" s="37"/>
      <c r="H289" s="9"/>
      <c r="I289" s="9"/>
      <c r="J289" s="37"/>
      <c r="K289" s="9"/>
      <c r="L289" s="9"/>
      <c r="M289" s="3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</row>
    <row r="290" spans="2:92" x14ac:dyDescent="0.25">
      <c r="B290" s="9"/>
      <c r="C290" s="9"/>
      <c r="D290" s="37"/>
      <c r="E290" s="9"/>
      <c r="F290" s="9"/>
      <c r="G290" s="37"/>
      <c r="H290" s="9"/>
      <c r="I290" s="9"/>
      <c r="J290" s="37"/>
      <c r="K290" s="9"/>
      <c r="L290" s="9"/>
      <c r="M290" s="3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</row>
    <row r="291" spans="2:92" x14ac:dyDescent="0.25">
      <c r="B291" s="9"/>
      <c r="C291" s="9"/>
      <c r="D291" s="37"/>
      <c r="E291" s="9"/>
      <c r="F291" s="9"/>
      <c r="G291" s="37"/>
      <c r="H291" s="9"/>
      <c r="I291" s="9"/>
      <c r="J291" s="37"/>
      <c r="K291" s="9"/>
      <c r="L291" s="9"/>
      <c r="M291" s="37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</row>
    <row r="292" spans="2:92" x14ac:dyDescent="0.25">
      <c r="B292" s="9"/>
      <c r="C292" s="9"/>
      <c r="D292" s="37"/>
      <c r="E292" s="9"/>
      <c r="F292" s="9"/>
      <c r="G292" s="37"/>
      <c r="H292" s="9"/>
      <c r="I292" s="9"/>
      <c r="J292" s="37"/>
      <c r="K292" s="9"/>
      <c r="L292" s="9"/>
      <c r="M292" s="3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</row>
    <row r="293" spans="2:92" x14ac:dyDescent="0.25">
      <c r="B293" s="9"/>
      <c r="C293" s="9"/>
      <c r="D293" s="37"/>
      <c r="E293" s="9"/>
      <c r="F293" s="9"/>
      <c r="G293" s="37"/>
      <c r="H293" s="9"/>
      <c r="I293" s="9"/>
      <c r="J293" s="37"/>
      <c r="K293" s="9"/>
      <c r="L293" s="9"/>
      <c r="M293" s="3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</row>
    <row r="294" spans="2:92" x14ac:dyDescent="0.25">
      <c r="B294" s="9"/>
      <c r="C294" s="9"/>
      <c r="D294" s="37"/>
      <c r="E294" s="9"/>
      <c r="F294" s="9"/>
      <c r="G294" s="37"/>
      <c r="H294" s="9"/>
      <c r="I294" s="9"/>
      <c r="J294" s="37"/>
      <c r="K294" s="9"/>
      <c r="L294" s="9"/>
      <c r="M294" s="3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</row>
    <row r="295" spans="2:92" x14ac:dyDescent="0.25">
      <c r="B295" s="9"/>
      <c r="C295" s="9"/>
      <c r="D295" s="37"/>
      <c r="E295" s="9"/>
      <c r="F295" s="9"/>
      <c r="G295" s="37"/>
      <c r="H295" s="9"/>
      <c r="I295" s="9"/>
      <c r="J295" s="37"/>
      <c r="K295" s="9"/>
      <c r="L295" s="9"/>
      <c r="M295" s="37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</row>
    <row r="296" spans="2:92" x14ac:dyDescent="0.25">
      <c r="B296" s="9"/>
      <c r="C296" s="9"/>
      <c r="D296" s="37"/>
      <c r="E296" s="9"/>
      <c r="F296" s="9"/>
      <c r="G296" s="37"/>
      <c r="H296" s="9"/>
      <c r="I296" s="9"/>
      <c r="J296" s="37"/>
      <c r="K296" s="9"/>
      <c r="L296" s="9"/>
      <c r="M296" s="37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</row>
    <row r="297" spans="2:92" x14ac:dyDescent="0.25">
      <c r="B297" s="9"/>
      <c r="C297" s="9"/>
      <c r="D297" s="37"/>
      <c r="E297" s="9"/>
      <c r="F297" s="9"/>
      <c r="G297" s="37"/>
      <c r="H297" s="9"/>
      <c r="I297" s="9"/>
      <c r="J297" s="37"/>
      <c r="K297" s="9"/>
      <c r="L297" s="9"/>
      <c r="M297" s="3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</row>
    <row r="298" spans="2:92" x14ac:dyDescent="0.25">
      <c r="B298" s="9"/>
      <c r="C298" s="9"/>
      <c r="D298" s="37"/>
      <c r="E298" s="9"/>
      <c r="F298" s="9"/>
      <c r="G298" s="37"/>
      <c r="H298" s="9"/>
      <c r="I298" s="9"/>
      <c r="J298" s="37"/>
      <c r="K298" s="9"/>
      <c r="L298" s="9"/>
      <c r="M298" s="3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</row>
    <row r="299" spans="2:92" x14ac:dyDescent="0.25">
      <c r="B299" s="9"/>
      <c r="C299" s="9"/>
      <c r="D299" s="37"/>
      <c r="E299" s="9"/>
      <c r="F299" s="9"/>
      <c r="G299" s="37"/>
      <c r="H299" s="9"/>
      <c r="I299" s="9"/>
      <c r="J299" s="37"/>
      <c r="K299" s="9"/>
      <c r="L299" s="9"/>
      <c r="M299" s="37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</row>
    <row r="300" spans="2:92" x14ac:dyDescent="0.25">
      <c r="B300" s="9"/>
      <c r="C300" s="9"/>
      <c r="D300" s="37"/>
      <c r="E300" s="9"/>
      <c r="F300" s="9"/>
      <c r="G300" s="37"/>
      <c r="H300" s="9"/>
      <c r="I300" s="9"/>
      <c r="J300" s="37"/>
      <c r="K300" s="9"/>
      <c r="L300" s="9"/>
      <c r="M300" s="3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</row>
    <row r="301" spans="2:92" x14ac:dyDescent="0.25">
      <c r="B301" s="9"/>
      <c r="C301" s="9"/>
      <c r="D301" s="37"/>
      <c r="E301" s="9"/>
      <c r="F301" s="9"/>
      <c r="G301" s="37"/>
      <c r="H301" s="9"/>
      <c r="I301" s="9"/>
      <c r="J301" s="37"/>
      <c r="K301" s="9"/>
      <c r="L301" s="9"/>
      <c r="M301" s="3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</row>
    <row r="302" spans="2:92" x14ac:dyDescent="0.25">
      <c r="B302" s="9"/>
      <c r="C302" s="9"/>
      <c r="D302" s="37"/>
      <c r="E302" s="9"/>
      <c r="F302" s="9"/>
      <c r="G302" s="37"/>
      <c r="H302" s="9"/>
      <c r="I302" s="9"/>
      <c r="J302" s="37"/>
      <c r="K302" s="9"/>
      <c r="L302" s="9"/>
      <c r="M302" s="37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</row>
    <row r="303" spans="2:92" x14ac:dyDescent="0.25">
      <c r="B303" s="9"/>
      <c r="C303" s="9"/>
      <c r="D303" s="37"/>
      <c r="E303" s="9"/>
      <c r="F303" s="9"/>
      <c r="G303" s="37"/>
      <c r="H303" s="9"/>
      <c r="I303" s="9"/>
      <c r="J303" s="37"/>
      <c r="K303" s="9"/>
      <c r="L303" s="9"/>
      <c r="M303" s="3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</row>
    <row r="304" spans="2:92" x14ac:dyDescent="0.25">
      <c r="B304" s="9"/>
      <c r="C304" s="9"/>
      <c r="D304" s="37"/>
      <c r="E304" s="9"/>
      <c r="F304" s="9"/>
      <c r="G304" s="37"/>
      <c r="H304" s="9"/>
      <c r="I304" s="9"/>
      <c r="J304" s="37"/>
      <c r="K304" s="9"/>
      <c r="L304" s="9"/>
      <c r="M304" s="3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</row>
    <row r="305" spans="2:92" x14ac:dyDescent="0.25">
      <c r="B305" s="9"/>
      <c r="C305" s="9"/>
      <c r="D305" s="37"/>
      <c r="E305" s="9"/>
      <c r="F305" s="9"/>
      <c r="G305" s="37"/>
      <c r="H305" s="9"/>
      <c r="I305" s="9"/>
      <c r="J305" s="37"/>
      <c r="K305" s="9"/>
      <c r="L305" s="9"/>
      <c r="M305" s="3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</row>
    <row r="306" spans="2:92" x14ac:dyDescent="0.25">
      <c r="B306" s="9"/>
      <c r="C306" s="9"/>
      <c r="D306" s="37"/>
      <c r="E306" s="9"/>
      <c r="F306" s="9"/>
      <c r="G306" s="37"/>
      <c r="H306" s="9"/>
      <c r="I306" s="9"/>
      <c r="J306" s="37"/>
      <c r="K306" s="9"/>
      <c r="L306" s="9"/>
      <c r="M306" s="3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</row>
    <row r="307" spans="2:92" x14ac:dyDescent="0.25">
      <c r="B307" s="9"/>
      <c r="C307" s="9"/>
      <c r="D307" s="37"/>
      <c r="E307" s="9"/>
      <c r="F307" s="9"/>
      <c r="G307" s="37"/>
      <c r="H307" s="9"/>
      <c r="I307" s="9"/>
      <c r="J307" s="37"/>
      <c r="K307" s="9"/>
      <c r="L307" s="9"/>
      <c r="M307" s="37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</row>
    <row r="308" spans="2:92" x14ac:dyDescent="0.25">
      <c r="B308" s="9"/>
      <c r="C308" s="9"/>
      <c r="D308" s="37"/>
      <c r="E308" s="9"/>
      <c r="F308" s="9"/>
      <c r="G308" s="37"/>
      <c r="H308" s="9"/>
      <c r="I308" s="9"/>
      <c r="J308" s="37"/>
      <c r="K308" s="9"/>
      <c r="L308" s="9"/>
      <c r="M308" s="37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</row>
    <row r="309" spans="2:92" x14ac:dyDescent="0.25">
      <c r="B309" s="9"/>
      <c r="C309" s="9"/>
      <c r="D309" s="37"/>
      <c r="E309" s="9"/>
      <c r="F309" s="9"/>
      <c r="G309" s="37"/>
      <c r="H309" s="9"/>
      <c r="I309" s="9"/>
      <c r="J309" s="37"/>
      <c r="K309" s="9"/>
      <c r="L309" s="9"/>
      <c r="M309" s="37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</row>
    <row r="310" spans="2:92" x14ac:dyDescent="0.25">
      <c r="B310" s="9"/>
      <c r="C310" s="9"/>
      <c r="D310" s="37"/>
      <c r="E310" s="9"/>
      <c r="F310" s="9"/>
      <c r="G310" s="37"/>
      <c r="H310" s="9"/>
      <c r="I310" s="9"/>
      <c r="J310" s="37"/>
      <c r="K310" s="9"/>
      <c r="L310" s="9"/>
      <c r="M310" s="37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</row>
    <row r="311" spans="2:92" x14ac:dyDescent="0.25">
      <c r="B311" s="9"/>
      <c r="C311" s="9"/>
      <c r="D311" s="37"/>
      <c r="E311" s="9"/>
      <c r="F311" s="9"/>
      <c r="G311" s="37"/>
      <c r="H311" s="9"/>
      <c r="I311" s="9"/>
      <c r="J311" s="37"/>
      <c r="K311" s="9"/>
      <c r="L311" s="9"/>
      <c r="M311" s="37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</row>
    <row r="312" spans="2:92" x14ac:dyDescent="0.25">
      <c r="B312" s="9"/>
      <c r="C312" s="9"/>
      <c r="D312" s="37"/>
      <c r="E312" s="9"/>
      <c r="F312" s="9"/>
      <c r="G312" s="37"/>
      <c r="H312" s="9"/>
      <c r="I312" s="9"/>
      <c r="J312" s="37"/>
      <c r="K312" s="9"/>
      <c r="L312" s="9"/>
      <c r="M312" s="37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</row>
    <row r="313" spans="2:92" x14ac:dyDescent="0.25">
      <c r="B313" s="9"/>
      <c r="C313" s="9"/>
      <c r="D313" s="37"/>
      <c r="E313" s="9"/>
      <c r="F313" s="9"/>
      <c r="G313" s="37"/>
      <c r="H313" s="9"/>
      <c r="I313" s="9"/>
      <c r="J313" s="37"/>
      <c r="K313" s="9"/>
      <c r="L313" s="9"/>
      <c r="M313" s="37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</row>
    <row r="314" spans="2:92" x14ac:dyDescent="0.25">
      <c r="B314" s="9"/>
      <c r="C314" s="9"/>
      <c r="D314" s="37"/>
      <c r="E314" s="9"/>
      <c r="F314" s="9"/>
      <c r="G314" s="37"/>
      <c r="H314" s="9"/>
      <c r="I314" s="9"/>
      <c r="J314" s="37"/>
      <c r="K314" s="9"/>
      <c r="L314" s="9"/>
      <c r="M314" s="37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</row>
    <row r="315" spans="2:92" x14ac:dyDescent="0.25">
      <c r="B315" s="9"/>
      <c r="C315" s="9"/>
      <c r="D315" s="37"/>
      <c r="E315" s="9"/>
      <c r="F315" s="9"/>
      <c r="G315" s="37"/>
      <c r="H315" s="9"/>
      <c r="I315" s="9"/>
      <c r="J315" s="37"/>
      <c r="K315" s="9"/>
      <c r="L315" s="9"/>
      <c r="M315" s="37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</row>
    <row r="316" spans="2:92" x14ac:dyDescent="0.25">
      <c r="B316" s="9"/>
      <c r="C316" s="9"/>
      <c r="D316" s="37"/>
      <c r="E316" s="9"/>
      <c r="F316" s="9"/>
      <c r="G316" s="37"/>
      <c r="H316" s="9"/>
      <c r="I316" s="9"/>
      <c r="J316" s="37"/>
      <c r="K316" s="9"/>
      <c r="L316" s="9"/>
      <c r="M316" s="37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</row>
    <row r="317" spans="2:92" x14ac:dyDescent="0.25">
      <c r="B317" s="9"/>
      <c r="C317" s="9"/>
      <c r="D317" s="37"/>
      <c r="E317" s="9"/>
      <c r="F317" s="9"/>
      <c r="G317" s="37"/>
      <c r="H317" s="9"/>
      <c r="I317" s="9"/>
      <c r="J317" s="37"/>
      <c r="K317" s="9"/>
      <c r="L317" s="9"/>
      <c r="M317" s="37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</row>
    <row r="318" spans="2:92" x14ac:dyDescent="0.25">
      <c r="B318" s="9"/>
      <c r="C318" s="9"/>
      <c r="D318" s="37"/>
      <c r="E318" s="9"/>
      <c r="F318" s="9"/>
      <c r="G318" s="37"/>
      <c r="H318" s="9"/>
      <c r="I318" s="9"/>
      <c r="J318" s="37"/>
      <c r="K318" s="9"/>
      <c r="L318" s="9"/>
      <c r="M318" s="37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</row>
    <row r="319" spans="2:92" x14ac:dyDescent="0.25">
      <c r="B319" s="9"/>
      <c r="C319" s="9"/>
      <c r="D319" s="37"/>
      <c r="E319" s="9"/>
      <c r="F319" s="9"/>
      <c r="G319" s="37"/>
      <c r="H319" s="9"/>
      <c r="I319" s="9"/>
      <c r="J319" s="37"/>
      <c r="K319" s="9"/>
      <c r="L319" s="9"/>
      <c r="M319" s="37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</row>
    <row r="320" spans="2:92" x14ac:dyDescent="0.25">
      <c r="B320" s="9"/>
      <c r="C320" s="9"/>
      <c r="D320" s="37"/>
      <c r="E320" s="9"/>
      <c r="F320" s="9"/>
      <c r="G320" s="37"/>
      <c r="H320" s="9"/>
      <c r="I320" s="9"/>
      <c r="J320" s="37"/>
      <c r="K320" s="9"/>
      <c r="L320" s="9"/>
      <c r="M320" s="37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</row>
    <row r="321" spans="2:92" x14ac:dyDescent="0.25">
      <c r="B321" s="9"/>
      <c r="C321" s="9"/>
      <c r="D321" s="37"/>
      <c r="E321" s="9"/>
      <c r="F321" s="9"/>
      <c r="G321" s="37"/>
      <c r="H321" s="9"/>
      <c r="I321" s="9"/>
      <c r="J321" s="37"/>
      <c r="K321" s="9"/>
      <c r="L321" s="9"/>
      <c r="M321" s="37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</row>
    <row r="322" spans="2:92" x14ac:dyDescent="0.25">
      <c r="B322" s="9"/>
      <c r="C322" s="9"/>
      <c r="D322" s="37"/>
      <c r="E322" s="9"/>
      <c r="F322" s="9"/>
      <c r="G322" s="37"/>
      <c r="H322" s="9"/>
      <c r="I322" s="9"/>
      <c r="J322" s="37"/>
      <c r="K322" s="9"/>
      <c r="L322" s="9"/>
      <c r="M322" s="37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</row>
    <row r="323" spans="2:92" x14ac:dyDescent="0.25">
      <c r="B323" s="9"/>
      <c r="C323" s="9"/>
      <c r="D323" s="37"/>
      <c r="E323" s="9"/>
      <c r="F323" s="9"/>
      <c r="G323" s="37"/>
      <c r="H323" s="9"/>
      <c r="I323" s="9"/>
      <c r="J323" s="37"/>
      <c r="K323" s="9"/>
      <c r="L323" s="9"/>
      <c r="M323" s="37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</row>
    <row r="324" spans="2:92" x14ac:dyDescent="0.25">
      <c r="B324" s="9"/>
      <c r="C324" s="9"/>
      <c r="D324" s="37"/>
      <c r="E324" s="9"/>
      <c r="F324" s="9"/>
      <c r="G324" s="37"/>
      <c r="H324" s="9"/>
      <c r="I324" s="9"/>
      <c r="J324" s="37"/>
      <c r="K324" s="9"/>
      <c r="L324" s="9"/>
      <c r="M324" s="37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</row>
    <row r="325" spans="2:92" x14ac:dyDescent="0.25">
      <c r="B325" s="9"/>
      <c r="C325" s="9"/>
      <c r="D325" s="37"/>
      <c r="E325" s="9"/>
      <c r="F325" s="9"/>
      <c r="G325" s="37"/>
      <c r="H325" s="9"/>
      <c r="I325" s="9"/>
      <c r="J325" s="37"/>
      <c r="K325" s="9"/>
      <c r="L325" s="9"/>
      <c r="M325" s="37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</row>
    <row r="326" spans="2:92" x14ac:dyDescent="0.25">
      <c r="B326" s="9"/>
      <c r="C326" s="9"/>
      <c r="D326" s="37"/>
      <c r="E326" s="9"/>
      <c r="F326" s="9"/>
      <c r="G326" s="37"/>
      <c r="H326" s="9"/>
      <c r="I326" s="9"/>
      <c r="J326" s="37"/>
      <c r="K326" s="9"/>
      <c r="L326" s="9"/>
      <c r="M326" s="37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</row>
    <row r="327" spans="2:92" x14ac:dyDescent="0.25">
      <c r="B327" s="9"/>
      <c r="C327" s="9"/>
      <c r="D327" s="37"/>
      <c r="E327" s="9"/>
      <c r="F327" s="9"/>
      <c r="G327" s="37"/>
      <c r="H327" s="9"/>
      <c r="I327" s="9"/>
      <c r="J327" s="37"/>
      <c r="K327" s="9"/>
      <c r="L327" s="9"/>
      <c r="M327" s="37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</row>
    <row r="328" spans="2:92" x14ac:dyDescent="0.25">
      <c r="B328" s="9"/>
      <c r="C328" s="9"/>
      <c r="D328" s="37"/>
      <c r="E328" s="9"/>
      <c r="F328" s="9"/>
      <c r="G328" s="37"/>
      <c r="H328" s="9"/>
      <c r="I328" s="9"/>
      <c r="J328" s="37"/>
      <c r="K328" s="9"/>
      <c r="L328" s="9"/>
      <c r="M328" s="37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</row>
    <row r="329" spans="2:92" x14ac:dyDescent="0.25">
      <c r="B329" s="9"/>
      <c r="C329" s="9"/>
      <c r="D329" s="37"/>
      <c r="E329" s="9"/>
      <c r="F329" s="9"/>
      <c r="G329" s="37"/>
      <c r="H329" s="9"/>
      <c r="I329" s="9"/>
      <c r="J329" s="37"/>
      <c r="K329" s="9"/>
      <c r="L329" s="9"/>
      <c r="M329" s="37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</row>
    <row r="330" spans="2:92" x14ac:dyDescent="0.25">
      <c r="B330" s="9"/>
      <c r="C330" s="9"/>
      <c r="D330" s="37"/>
      <c r="E330" s="9"/>
      <c r="F330" s="9"/>
      <c r="G330" s="37"/>
      <c r="H330" s="9"/>
      <c r="I330" s="9"/>
      <c r="J330" s="37"/>
      <c r="K330" s="9"/>
      <c r="L330" s="9"/>
      <c r="M330" s="37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</row>
    <row r="331" spans="2:92" x14ac:dyDescent="0.25">
      <c r="B331" s="9"/>
      <c r="C331" s="9"/>
      <c r="D331" s="37"/>
      <c r="E331" s="9"/>
      <c r="F331" s="9"/>
      <c r="G331" s="37"/>
      <c r="H331" s="9"/>
      <c r="I331" s="9"/>
      <c r="J331" s="37"/>
      <c r="K331" s="9"/>
      <c r="L331" s="9"/>
      <c r="M331" s="37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</row>
    <row r="332" spans="2:92" x14ac:dyDescent="0.25">
      <c r="B332" s="9"/>
      <c r="C332" s="9"/>
      <c r="D332" s="37"/>
      <c r="E332" s="9"/>
      <c r="F332" s="9"/>
      <c r="G332" s="37"/>
      <c r="H332" s="9"/>
      <c r="I332" s="9"/>
      <c r="J332" s="37"/>
      <c r="K332" s="9"/>
      <c r="L332" s="9"/>
      <c r="M332" s="37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</row>
    <row r="333" spans="2:92" x14ac:dyDescent="0.25">
      <c r="B333" s="9"/>
      <c r="C333" s="9"/>
      <c r="D333" s="37"/>
      <c r="E333" s="9"/>
      <c r="F333" s="9"/>
      <c r="G333" s="37"/>
      <c r="H333" s="9"/>
      <c r="I333" s="9"/>
      <c r="J333" s="37"/>
      <c r="K333" s="9"/>
      <c r="L333" s="9"/>
      <c r="M333" s="37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</row>
    <row r="334" spans="2:92" x14ac:dyDescent="0.25">
      <c r="B334" s="9"/>
      <c r="C334" s="9"/>
      <c r="D334" s="37"/>
      <c r="E334" s="9"/>
      <c r="F334" s="9"/>
      <c r="G334" s="37"/>
      <c r="H334" s="9"/>
      <c r="I334" s="9"/>
      <c r="J334" s="37"/>
      <c r="K334" s="9"/>
      <c r="L334" s="9"/>
      <c r="M334" s="37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</row>
    <row r="335" spans="2:92" x14ac:dyDescent="0.25">
      <c r="B335" s="9"/>
      <c r="C335" s="9"/>
      <c r="D335" s="37"/>
      <c r="E335" s="9"/>
      <c r="F335" s="9"/>
      <c r="G335" s="37"/>
      <c r="H335" s="9"/>
      <c r="I335" s="9"/>
      <c r="J335" s="37"/>
      <c r="K335" s="9"/>
      <c r="L335" s="9"/>
      <c r="M335" s="37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</row>
    <row r="336" spans="2:92" x14ac:dyDescent="0.25">
      <c r="B336" s="9"/>
      <c r="C336" s="9"/>
      <c r="D336" s="37"/>
      <c r="E336" s="9"/>
      <c r="F336" s="9"/>
      <c r="G336" s="37"/>
      <c r="H336" s="9"/>
      <c r="I336" s="9"/>
      <c r="J336" s="37"/>
      <c r="K336" s="9"/>
      <c r="L336" s="9"/>
      <c r="M336" s="37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</row>
    <row r="337" spans="2:92" x14ac:dyDescent="0.25">
      <c r="B337" s="9"/>
      <c r="C337" s="9"/>
      <c r="D337" s="37"/>
      <c r="E337" s="9"/>
      <c r="F337" s="9"/>
      <c r="G337" s="37"/>
      <c r="H337" s="9"/>
      <c r="I337" s="9"/>
      <c r="J337" s="37"/>
      <c r="K337" s="9"/>
      <c r="L337" s="9"/>
      <c r="M337" s="37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</row>
    <row r="338" spans="2:92" x14ac:dyDescent="0.25">
      <c r="B338" s="9"/>
      <c r="C338" s="9"/>
      <c r="D338" s="37"/>
      <c r="E338" s="9"/>
      <c r="F338" s="9"/>
      <c r="G338" s="37"/>
      <c r="H338" s="9"/>
      <c r="I338" s="9"/>
      <c r="J338" s="37"/>
      <c r="K338" s="9"/>
      <c r="L338" s="9"/>
      <c r="M338" s="37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</row>
    <row r="339" spans="2:92" x14ac:dyDescent="0.25">
      <c r="B339" s="9"/>
      <c r="C339" s="9"/>
      <c r="D339" s="37"/>
      <c r="E339" s="9"/>
      <c r="F339" s="9"/>
      <c r="G339" s="37"/>
      <c r="H339" s="9"/>
      <c r="I339" s="9"/>
      <c r="J339" s="37"/>
      <c r="K339" s="9"/>
      <c r="L339" s="9"/>
      <c r="M339" s="37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</row>
    <row r="340" spans="2:92" x14ac:dyDescent="0.25">
      <c r="B340" s="9"/>
      <c r="C340" s="9"/>
      <c r="D340" s="37"/>
      <c r="E340" s="9"/>
      <c r="F340" s="9"/>
      <c r="G340" s="37"/>
      <c r="H340" s="9"/>
      <c r="I340" s="9"/>
      <c r="J340" s="37"/>
      <c r="K340" s="9"/>
      <c r="L340" s="9"/>
      <c r="M340" s="37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</row>
    <row r="341" spans="2:92" x14ac:dyDescent="0.25">
      <c r="B341" s="9"/>
      <c r="C341" s="9"/>
      <c r="D341" s="37"/>
      <c r="E341" s="9"/>
      <c r="F341" s="9"/>
      <c r="G341" s="37"/>
      <c r="H341" s="9"/>
      <c r="I341" s="9"/>
      <c r="J341" s="37"/>
      <c r="K341" s="9"/>
      <c r="L341" s="9"/>
      <c r="M341" s="37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</row>
    <row r="342" spans="2:92" x14ac:dyDescent="0.25">
      <c r="B342" s="9"/>
      <c r="C342" s="9"/>
      <c r="D342" s="37"/>
      <c r="E342" s="9"/>
      <c r="F342" s="9"/>
      <c r="G342" s="37"/>
      <c r="H342" s="9"/>
      <c r="I342" s="9"/>
      <c r="J342" s="37"/>
      <c r="K342" s="9"/>
      <c r="L342" s="9"/>
      <c r="M342" s="37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</row>
    <row r="343" spans="2:92" x14ac:dyDescent="0.25">
      <c r="B343" s="9"/>
      <c r="C343" s="9"/>
      <c r="D343" s="37"/>
      <c r="E343" s="9"/>
      <c r="F343" s="9"/>
      <c r="G343" s="37"/>
      <c r="H343" s="9"/>
      <c r="I343" s="9"/>
      <c r="J343" s="37"/>
      <c r="K343" s="9"/>
      <c r="L343" s="9"/>
      <c r="M343" s="37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</row>
    <row r="344" spans="2:92" x14ac:dyDescent="0.25">
      <c r="B344" s="9"/>
      <c r="C344" s="9"/>
      <c r="D344" s="37"/>
      <c r="E344" s="9"/>
      <c r="F344" s="9"/>
      <c r="G344" s="37"/>
      <c r="H344" s="9"/>
      <c r="I344" s="9"/>
      <c r="J344" s="37"/>
      <c r="K344" s="9"/>
      <c r="L344" s="9"/>
      <c r="M344" s="37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</row>
    <row r="345" spans="2:92" x14ac:dyDescent="0.25">
      <c r="B345" s="9"/>
      <c r="C345" s="9"/>
      <c r="D345" s="37"/>
      <c r="E345" s="9"/>
      <c r="F345" s="9"/>
      <c r="G345" s="37"/>
      <c r="H345" s="9"/>
      <c r="I345" s="9"/>
      <c r="J345" s="37"/>
      <c r="K345" s="9"/>
      <c r="L345" s="9"/>
      <c r="M345" s="37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</row>
    <row r="346" spans="2:92" x14ac:dyDescent="0.25">
      <c r="B346" s="9"/>
      <c r="C346" s="9"/>
      <c r="D346" s="37"/>
      <c r="E346" s="9"/>
      <c r="F346" s="9"/>
      <c r="G346" s="37"/>
      <c r="H346" s="9"/>
      <c r="I346" s="9"/>
      <c r="J346" s="37"/>
      <c r="K346" s="9"/>
      <c r="L346" s="9"/>
      <c r="M346" s="37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</row>
    <row r="347" spans="2:92" x14ac:dyDescent="0.25">
      <c r="B347" s="9"/>
      <c r="C347" s="9"/>
      <c r="D347" s="37"/>
      <c r="E347" s="9"/>
      <c r="F347" s="9"/>
      <c r="G347" s="37"/>
      <c r="H347" s="9"/>
      <c r="I347" s="9"/>
      <c r="J347" s="37"/>
      <c r="K347" s="9"/>
      <c r="L347" s="9"/>
      <c r="M347" s="37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</row>
    <row r="348" spans="2:92" x14ac:dyDescent="0.25">
      <c r="B348" s="9"/>
      <c r="C348" s="9"/>
      <c r="D348" s="37"/>
      <c r="E348" s="9"/>
      <c r="F348" s="9"/>
      <c r="G348" s="37"/>
      <c r="H348" s="9"/>
      <c r="I348" s="9"/>
      <c r="J348" s="37"/>
      <c r="K348" s="9"/>
      <c r="L348" s="9"/>
      <c r="M348" s="37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</row>
    <row r="349" spans="2:92" x14ac:dyDescent="0.25">
      <c r="B349" s="9"/>
      <c r="C349" s="9"/>
      <c r="D349" s="37"/>
      <c r="E349" s="9"/>
      <c r="F349" s="9"/>
      <c r="G349" s="37"/>
      <c r="H349" s="9"/>
      <c r="I349" s="9"/>
      <c r="J349" s="37"/>
      <c r="K349" s="9"/>
      <c r="L349" s="9"/>
      <c r="M349" s="37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</row>
    <row r="350" spans="2:92" x14ac:dyDescent="0.25">
      <c r="B350" s="9"/>
      <c r="C350" s="9"/>
      <c r="D350" s="37"/>
      <c r="E350" s="9"/>
      <c r="F350" s="9"/>
      <c r="G350" s="37"/>
      <c r="H350" s="9"/>
      <c r="I350" s="9"/>
      <c r="J350" s="37"/>
      <c r="K350" s="9"/>
      <c r="L350" s="9"/>
      <c r="M350" s="37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</row>
    <row r="351" spans="2:92" x14ac:dyDescent="0.25">
      <c r="B351" s="9"/>
      <c r="C351" s="9"/>
      <c r="D351" s="37"/>
      <c r="E351" s="9"/>
      <c r="F351" s="9"/>
      <c r="G351" s="37"/>
      <c r="H351" s="9"/>
      <c r="I351" s="9"/>
      <c r="J351" s="37"/>
      <c r="K351" s="9"/>
      <c r="L351" s="9"/>
      <c r="M351" s="37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</row>
    <row r="352" spans="2:92" x14ac:dyDescent="0.25">
      <c r="B352" s="9"/>
      <c r="C352" s="9"/>
      <c r="D352" s="37"/>
      <c r="E352" s="9"/>
      <c r="F352" s="9"/>
      <c r="G352" s="37"/>
      <c r="H352" s="9"/>
      <c r="I352" s="9"/>
      <c r="J352" s="37"/>
      <c r="K352" s="9"/>
      <c r="L352" s="9"/>
      <c r="M352" s="37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</row>
    <row r="353" spans="2:92" x14ac:dyDescent="0.25">
      <c r="B353" s="9"/>
      <c r="C353" s="9"/>
      <c r="D353" s="37"/>
      <c r="E353" s="9"/>
      <c r="F353" s="9"/>
      <c r="G353" s="37"/>
      <c r="H353" s="9"/>
      <c r="I353" s="9"/>
      <c r="J353" s="37"/>
      <c r="K353" s="9"/>
      <c r="L353" s="9"/>
      <c r="M353" s="37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</row>
    <row r="354" spans="2:92" x14ac:dyDescent="0.25">
      <c r="B354" s="9"/>
      <c r="C354" s="9"/>
      <c r="D354" s="37"/>
      <c r="E354" s="9"/>
      <c r="F354" s="9"/>
      <c r="G354" s="37"/>
      <c r="H354" s="9"/>
      <c r="I354" s="9"/>
      <c r="J354" s="37"/>
      <c r="K354" s="9"/>
      <c r="L354" s="9"/>
      <c r="M354" s="37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</row>
    <row r="355" spans="2:92" x14ac:dyDescent="0.25">
      <c r="B355" s="9"/>
      <c r="C355" s="9"/>
      <c r="D355" s="37"/>
      <c r="E355" s="9"/>
      <c r="F355" s="9"/>
      <c r="G355" s="37"/>
      <c r="H355" s="9"/>
      <c r="I355" s="9"/>
      <c r="J355" s="37"/>
      <c r="K355" s="9"/>
      <c r="L355" s="9"/>
      <c r="M355" s="37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</row>
    <row r="356" spans="2:92" x14ac:dyDescent="0.25">
      <c r="B356" s="9"/>
      <c r="C356" s="9"/>
      <c r="D356" s="37"/>
      <c r="E356" s="9"/>
      <c r="F356" s="9"/>
      <c r="G356" s="37"/>
      <c r="H356" s="9"/>
      <c r="I356" s="9"/>
      <c r="J356" s="37"/>
      <c r="K356" s="9"/>
      <c r="L356" s="9"/>
      <c r="M356" s="37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</row>
    <row r="357" spans="2:92" x14ac:dyDescent="0.25">
      <c r="B357" s="9"/>
      <c r="C357" s="9"/>
      <c r="D357" s="37"/>
      <c r="E357" s="9"/>
      <c r="F357" s="9"/>
      <c r="G357" s="37"/>
      <c r="H357" s="9"/>
      <c r="I357" s="9"/>
      <c r="J357" s="37"/>
      <c r="K357" s="9"/>
      <c r="L357" s="9"/>
      <c r="M357" s="37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</row>
    <row r="358" spans="2:92" x14ac:dyDescent="0.25">
      <c r="B358" s="9"/>
      <c r="C358" s="9"/>
      <c r="D358" s="37"/>
      <c r="E358" s="9"/>
      <c r="F358" s="9"/>
      <c r="G358" s="37"/>
      <c r="H358" s="9"/>
      <c r="I358" s="9"/>
      <c r="J358" s="37"/>
      <c r="K358" s="9"/>
      <c r="L358" s="9"/>
      <c r="M358" s="37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</row>
    <row r="359" spans="2:92" x14ac:dyDescent="0.25">
      <c r="B359" s="9"/>
      <c r="C359" s="9"/>
      <c r="D359" s="37"/>
      <c r="E359" s="9"/>
      <c r="F359" s="9"/>
      <c r="G359" s="37"/>
      <c r="H359" s="9"/>
      <c r="I359" s="9"/>
      <c r="J359" s="37"/>
      <c r="K359" s="9"/>
      <c r="L359" s="9"/>
      <c r="M359" s="37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</row>
    <row r="360" spans="2:92" x14ac:dyDescent="0.25">
      <c r="B360" s="9"/>
      <c r="C360" s="9"/>
      <c r="D360" s="37"/>
      <c r="E360" s="9"/>
      <c r="F360" s="9"/>
      <c r="G360" s="37"/>
      <c r="H360" s="9"/>
      <c r="I360" s="9"/>
      <c r="J360" s="37"/>
      <c r="K360" s="9"/>
      <c r="L360" s="9"/>
      <c r="M360" s="37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</row>
    <row r="361" spans="2:92" x14ac:dyDescent="0.25">
      <c r="B361" s="9"/>
      <c r="C361" s="9"/>
      <c r="D361" s="37"/>
      <c r="E361" s="9"/>
      <c r="F361" s="9"/>
      <c r="G361" s="37"/>
      <c r="H361" s="9"/>
      <c r="I361" s="9"/>
      <c r="J361" s="37"/>
      <c r="K361" s="9"/>
      <c r="L361" s="9"/>
      <c r="M361" s="37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</row>
    <row r="362" spans="2:92" x14ac:dyDescent="0.25">
      <c r="B362" s="9"/>
      <c r="C362" s="9"/>
      <c r="D362" s="37"/>
      <c r="E362" s="9"/>
      <c r="F362" s="9"/>
      <c r="G362" s="37"/>
      <c r="H362" s="9"/>
      <c r="I362" s="9"/>
      <c r="J362" s="37"/>
      <c r="K362" s="9"/>
      <c r="L362" s="9"/>
      <c r="M362" s="37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</row>
    <row r="363" spans="2:92" x14ac:dyDescent="0.25">
      <c r="B363" s="9"/>
      <c r="C363" s="9"/>
      <c r="D363" s="37"/>
      <c r="E363" s="9"/>
      <c r="F363" s="9"/>
      <c r="G363" s="37"/>
      <c r="H363" s="9"/>
      <c r="I363" s="9"/>
      <c r="J363" s="37"/>
      <c r="K363" s="9"/>
      <c r="L363" s="9"/>
      <c r="M363" s="37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</row>
    <row r="364" spans="2:92" x14ac:dyDescent="0.25">
      <c r="B364" s="9"/>
      <c r="C364" s="9"/>
      <c r="D364" s="37"/>
      <c r="E364" s="9"/>
      <c r="F364" s="9"/>
      <c r="G364" s="37"/>
      <c r="H364" s="9"/>
      <c r="I364" s="9"/>
      <c r="J364" s="37"/>
      <c r="K364" s="9"/>
      <c r="L364" s="9"/>
      <c r="M364" s="37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</row>
    <row r="365" spans="2:92" x14ac:dyDescent="0.25">
      <c r="B365" s="9"/>
      <c r="C365" s="9"/>
      <c r="D365" s="37"/>
      <c r="E365" s="9"/>
      <c r="F365" s="9"/>
      <c r="G365" s="37"/>
      <c r="H365" s="9"/>
      <c r="I365" s="9"/>
      <c r="J365" s="37"/>
      <c r="K365" s="9"/>
      <c r="L365" s="9"/>
      <c r="M365" s="37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</row>
    <row r="366" spans="2:92" x14ac:dyDescent="0.25">
      <c r="B366" s="9"/>
      <c r="C366" s="9"/>
      <c r="D366" s="37"/>
      <c r="E366" s="9"/>
      <c r="F366" s="9"/>
      <c r="G366" s="37"/>
      <c r="H366" s="9"/>
      <c r="I366" s="9"/>
      <c r="J366" s="37"/>
      <c r="K366" s="9"/>
      <c r="L366" s="9"/>
      <c r="M366" s="37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</row>
    <row r="367" spans="2:92" x14ac:dyDescent="0.25">
      <c r="B367" s="9"/>
      <c r="C367" s="9"/>
      <c r="D367" s="37"/>
      <c r="E367" s="9"/>
      <c r="F367" s="9"/>
      <c r="G367" s="37"/>
      <c r="H367" s="9"/>
      <c r="I367" s="9"/>
      <c r="J367" s="37"/>
      <c r="K367" s="9"/>
      <c r="L367" s="9"/>
      <c r="M367" s="37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</row>
    <row r="368" spans="2:92" x14ac:dyDescent="0.25">
      <c r="B368" s="9"/>
      <c r="C368" s="9"/>
      <c r="D368" s="37"/>
      <c r="E368" s="9"/>
      <c r="F368" s="9"/>
      <c r="G368" s="37"/>
      <c r="H368" s="9"/>
      <c r="I368" s="9"/>
      <c r="J368" s="37"/>
      <c r="K368" s="9"/>
      <c r="L368" s="9"/>
      <c r="M368" s="37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</row>
    <row r="369" spans="2:92" x14ac:dyDescent="0.25">
      <c r="B369" s="9"/>
      <c r="C369" s="9"/>
      <c r="D369" s="37"/>
      <c r="E369" s="9"/>
      <c r="F369" s="9"/>
      <c r="G369" s="37"/>
      <c r="H369" s="9"/>
      <c r="I369" s="9"/>
      <c r="J369" s="37"/>
      <c r="K369" s="9"/>
      <c r="L369" s="9"/>
      <c r="M369" s="37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</row>
    <row r="370" spans="2:92" x14ac:dyDescent="0.25">
      <c r="B370" s="9"/>
      <c r="C370" s="9"/>
      <c r="D370" s="37"/>
      <c r="E370" s="9"/>
      <c r="F370" s="9"/>
      <c r="G370" s="37"/>
      <c r="H370" s="9"/>
      <c r="I370" s="9"/>
      <c r="J370" s="37"/>
      <c r="K370" s="9"/>
      <c r="L370" s="9"/>
      <c r="M370" s="37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</row>
    <row r="371" spans="2:92" x14ac:dyDescent="0.25">
      <c r="B371" s="9"/>
      <c r="C371" s="9"/>
      <c r="D371" s="37"/>
      <c r="E371" s="9"/>
      <c r="F371" s="9"/>
      <c r="G371" s="37"/>
      <c r="H371" s="9"/>
      <c r="I371" s="9"/>
      <c r="J371" s="37"/>
      <c r="K371" s="9"/>
      <c r="L371" s="9"/>
      <c r="M371" s="37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</row>
    <row r="372" spans="2:92" x14ac:dyDescent="0.25">
      <c r="B372" s="9"/>
      <c r="C372" s="9"/>
      <c r="D372" s="37"/>
      <c r="E372" s="9"/>
      <c r="F372" s="9"/>
      <c r="G372" s="37"/>
      <c r="H372" s="9"/>
      <c r="I372" s="9"/>
      <c r="J372" s="37"/>
      <c r="K372" s="9"/>
      <c r="L372" s="9"/>
      <c r="M372" s="37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</row>
    <row r="373" spans="2:92" x14ac:dyDescent="0.25">
      <c r="B373" s="9"/>
      <c r="C373" s="9"/>
      <c r="D373" s="37"/>
      <c r="E373" s="9"/>
      <c r="F373" s="9"/>
      <c r="G373" s="37"/>
      <c r="H373" s="9"/>
      <c r="I373" s="9"/>
      <c r="J373" s="37"/>
      <c r="K373" s="9"/>
      <c r="L373" s="9"/>
      <c r="M373" s="37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</row>
    <row r="374" spans="2:92" x14ac:dyDescent="0.25">
      <c r="B374" s="9"/>
      <c r="C374" s="9"/>
      <c r="D374" s="37"/>
      <c r="E374" s="9"/>
      <c r="F374" s="9"/>
      <c r="G374" s="37"/>
      <c r="H374" s="9"/>
      <c r="I374" s="9"/>
      <c r="J374" s="37"/>
      <c r="K374" s="9"/>
      <c r="L374" s="9"/>
      <c r="M374" s="37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</row>
    <row r="375" spans="2:92" x14ac:dyDescent="0.25">
      <c r="B375" s="9"/>
      <c r="C375" s="9"/>
      <c r="D375" s="37"/>
      <c r="E375" s="9"/>
      <c r="F375" s="9"/>
      <c r="G375" s="37"/>
      <c r="H375" s="9"/>
      <c r="I375" s="9"/>
      <c r="J375" s="37"/>
      <c r="K375" s="9"/>
      <c r="L375" s="9"/>
      <c r="M375" s="37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</row>
    <row r="376" spans="2:92" x14ac:dyDescent="0.25">
      <c r="B376" s="9"/>
      <c r="C376" s="9"/>
      <c r="D376" s="37"/>
      <c r="E376" s="9"/>
      <c r="F376" s="9"/>
      <c r="G376" s="37"/>
      <c r="H376" s="9"/>
      <c r="I376" s="9"/>
      <c r="J376" s="37"/>
      <c r="K376" s="9"/>
      <c r="L376" s="9"/>
      <c r="M376" s="37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</row>
    <row r="377" spans="2:92" x14ac:dyDescent="0.25">
      <c r="B377" s="9"/>
      <c r="C377" s="9"/>
      <c r="D377" s="37"/>
      <c r="E377" s="9"/>
      <c r="F377" s="9"/>
      <c r="G377" s="37"/>
      <c r="H377" s="9"/>
      <c r="I377" s="9"/>
      <c r="J377" s="37"/>
      <c r="K377" s="9"/>
      <c r="L377" s="9"/>
      <c r="M377" s="37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</row>
    <row r="378" spans="2:92" x14ac:dyDescent="0.25">
      <c r="B378" s="9"/>
      <c r="C378" s="9"/>
      <c r="D378" s="37"/>
      <c r="E378" s="9"/>
      <c r="F378" s="9"/>
      <c r="G378" s="37"/>
      <c r="H378" s="9"/>
      <c r="I378" s="9"/>
      <c r="J378" s="37"/>
      <c r="K378" s="9"/>
      <c r="L378" s="9"/>
      <c r="M378" s="37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</row>
    <row r="379" spans="2:92" x14ac:dyDescent="0.25">
      <c r="B379" s="9"/>
      <c r="C379" s="9"/>
      <c r="D379" s="37"/>
      <c r="E379" s="9"/>
      <c r="F379" s="9"/>
      <c r="G379" s="37"/>
      <c r="H379" s="9"/>
      <c r="I379" s="9"/>
      <c r="J379" s="37"/>
      <c r="K379" s="9"/>
      <c r="L379" s="9"/>
      <c r="M379" s="37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</row>
    <row r="380" spans="2:92" x14ac:dyDescent="0.25">
      <c r="B380" s="9"/>
      <c r="C380" s="9"/>
      <c r="D380" s="37"/>
      <c r="E380" s="9"/>
      <c r="F380" s="9"/>
      <c r="G380" s="37"/>
      <c r="H380" s="9"/>
      <c r="I380" s="9"/>
      <c r="J380" s="37"/>
      <c r="K380" s="9"/>
      <c r="L380" s="9"/>
      <c r="M380" s="37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</row>
    <row r="381" spans="2:92" x14ac:dyDescent="0.25">
      <c r="B381" s="9"/>
      <c r="C381" s="9"/>
      <c r="D381" s="37"/>
      <c r="E381" s="9"/>
      <c r="F381" s="9"/>
      <c r="G381" s="37"/>
      <c r="H381" s="9"/>
      <c r="I381" s="9"/>
      <c r="J381" s="37"/>
      <c r="K381" s="9"/>
      <c r="L381" s="9"/>
      <c r="M381" s="37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</row>
    <row r="382" spans="2:92" x14ac:dyDescent="0.25">
      <c r="B382" s="9"/>
      <c r="C382" s="9"/>
      <c r="D382" s="37"/>
      <c r="E382" s="9"/>
      <c r="F382" s="9"/>
      <c r="G382" s="37"/>
      <c r="H382" s="9"/>
      <c r="I382" s="9"/>
      <c r="J382" s="37"/>
      <c r="K382" s="9"/>
      <c r="L382" s="9"/>
      <c r="M382" s="37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</row>
    <row r="383" spans="2:92" x14ac:dyDescent="0.25">
      <c r="B383" s="9"/>
      <c r="C383" s="9"/>
      <c r="D383" s="37"/>
      <c r="E383" s="9"/>
      <c r="F383" s="9"/>
      <c r="G383" s="37"/>
      <c r="H383" s="9"/>
      <c r="I383" s="9"/>
      <c r="J383" s="37"/>
      <c r="K383" s="9"/>
      <c r="L383" s="9"/>
      <c r="M383" s="37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</row>
    <row r="384" spans="2:92" x14ac:dyDescent="0.25">
      <c r="B384" s="9"/>
      <c r="C384" s="9"/>
      <c r="D384" s="37"/>
      <c r="E384" s="9"/>
      <c r="F384" s="9"/>
      <c r="G384" s="37"/>
      <c r="H384" s="9"/>
      <c r="I384" s="9"/>
      <c r="J384" s="37"/>
      <c r="K384" s="9"/>
      <c r="L384" s="9"/>
      <c r="M384" s="37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</row>
    <row r="385" spans="2:92" x14ac:dyDescent="0.25">
      <c r="B385" s="9"/>
      <c r="C385" s="9"/>
      <c r="D385" s="37"/>
      <c r="E385" s="9"/>
      <c r="F385" s="9"/>
      <c r="G385" s="37"/>
      <c r="H385" s="9"/>
      <c r="I385" s="9"/>
      <c r="J385" s="37"/>
      <c r="K385" s="9"/>
      <c r="L385" s="9"/>
      <c r="M385" s="37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</row>
    <row r="386" spans="2:92" x14ac:dyDescent="0.25">
      <c r="B386" s="9"/>
      <c r="C386" s="9"/>
      <c r="D386" s="37"/>
      <c r="E386" s="9"/>
      <c r="F386" s="9"/>
      <c r="G386" s="37"/>
      <c r="H386" s="9"/>
      <c r="I386" s="9"/>
      <c r="J386" s="37"/>
      <c r="K386" s="9"/>
      <c r="L386" s="9"/>
      <c r="M386" s="37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</row>
    <row r="387" spans="2:92" x14ac:dyDescent="0.25">
      <c r="B387" s="9"/>
      <c r="C387" s="9"/>
      <c r="D387" s="37"/>
      <c r="E387" s="9"/>
      <c r="F387" s="9"/>
      <c r="G387" s="37"/>
      <c r="H387" s="9"/>
      <c r="I387" s="9"/>
      <c r="J387" s="37"/>
      <c r="K387" s="9"/>
      <c r="L387" s="9"/>
      <c r="M387" s="37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</row>
    <row r="388" spans="2:92" x14ac:dyDescent="0.25">
      <c r="B388" s="9"/>
      <c r="C388" s="9"/>
      <c r="D388" s="37"/>
      <c r="E388" s="9"/>
      <c r="F388" s="9"/>
      <c r="G388" s="37"/>
      <c r="H388" s="9"/>
      <c r="I388" s="9"/>
      <c r="J388" s="37"/>
      <c r="K388" s="9"/>
      <c r="L388" s="9"/>
      <c r="M388" s="37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</row>
    <row r="389" spans="2:92" x14ac:dyDescent="0.25">
      <c r="B389" s="9"/>
      <c r="C389" s="9"/>
      <c r="D389" s="37"/>
      <c r="E389" s="9"/>
      <c r="F389" s="9"/>
      <c r="G389" s="37"/>
      <c r="H389" s="9"/>
      <c r="I389" s="9"/>
      <c r="J389" s="37"/>
      <c r="K389" s="9"/>
      <c r="L389" s="9"/>
      <c r="M389" s="37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</row>
    <row r="390" spans="2:92" x14ac:dyDescent="0.25">
      <c r="B390" s="9"/>
      <c r="C390" s="9"/>
      <c r="D390" s="37"/>
      <c r="E390" s="9"/>
      <c r="F390" s="9"/>
      <c r="G390" s="37"/>
      <c r="H390" s="9"/>
      <c r="I390" s="9"/>
      <c r="J390" s="37"/>
      <c r="K390" s="9"/>
      <c r="L390" s="9"/>
      <c r="M390" s="37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</row>
    <row r="391" spans="2:92" x14ac:dyDescent="0.25">
      <c r="B391" s="9"/>
      <c r="C391" s="9"/>
      <c r="D391" s="37"/>
      <c r="E391" s="9"/>
      <c r="F391" s="9"/>
      <c r="G391" s="37"/>
      <c r="H391" s="9"/>
      <c r="I391" s="9"/>
      <c r="J391" s="37"/>
      <c r="K391" s="9"/>
      <c r="L391" s="9"/>
      <c r="M391" s="37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</row>
    <row r="392" spans="2:92" x14ac:dyDescent="0.25">
      <c r="B392" s="9"/>
      <c r="C392" s="9"/>
      <c r="D392" s="37"/>
      <c r="E392" s="9"/>
      <c r="F392" s="9"/>
      <c r="G392" s="37"/>
      <c r="H392" s="9"/>
      <c r="I392" s="9"/>
      <c r="J392" s="37"/>
      <c r="K392" s="9"/>
      <c r="L392" s="9"/>
      <c r="M392" s="37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</row>
    <row r="393" spans="2:92" x14ac:dyDescent="0.25">
      <c r="B393" s="9"/>
      <c r="C393" s="9"/>
      <c r="D393" s="37"/>
      <c r="E393" s="9"/>
      <c r="F393" s="9"/>
      <c r="G393" s="37"/>
      <c r="H393" s="9"/>
      <c r="I393" s="9"/>
      <c r="J393" s="37"/>
      <c r="K393" s="9"/>
      <c r="L393" s="9"/>
      <c r="M393" s="37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</row>
    <row r="394" spans="2:92" x14ac:dyDescent="0.25">
      <c r="B394" s="9"/>
      <c r="C394" s="9"/>
      <c r="D394" s="37"/>
      <c r="E394" s="9"/>
      <c r="F394" s="9"/>
      <c r="G394" s="37"/>
      <c r="H394" s="9"/>
      <c r="I394" s="9"/>
      <c r="J394" s="37"/>
      <c r="K394" s="9"/>
      <c r="L394" s="9"/>
      <c r="M394" s="37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</row>
    <row r="395" spans="2:92" x14ac:dyDescent="0.25">
      <c r="B395" s="9"/>
      <c r="C395" s="9"/>
      <c r="D395" s="37"/>
      <c r="E395" s="9"/>
      <c r="F395" s="9"/>
      <c r="G395" s="37"/>
      <c r="H395" s="9"/>
      <c r="I395" s="9"/>
      <c r="J395" s="37"/>
      <c r="K395" s="9"/>
      <c r="L395" s="9"/>
      <c r="M395" s="37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</row>
    <row r="396" spans="2:92" x14ac:dyDescent="0.25">
      <c r="B396" s="9"/>
      <c r="C396" s="9"/>
      <c r="D396" s="37"/>
      <c r="E396" s="9"/>
      <c r="F396" s="9"/>
      <c r="G396" s="37"/>
      <c r="H396" s="9"/>
      <c r="I396" s="9"/>
      <c r="J396" s="37"/>
      <c r="K396" s="9"/>
      <c r="L396" s="9"/>
      <c r="M396" s="37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</row>
    <row r="397" spans="2:92" x14ac:dyDescent="0.25">
      <c r="B397" s="9"/>
      <c r="C397" s="9"/>
      <c r="D397" s="37"/>
      <c r="E397" s="9"/>
      <c r="F397" s="9"/>
      <c r="G397" s="37"/>
      <c r="H397" s="9"/>
      <c r="I397" s="9"/>
      <c r="J397" s="37"/>
      <c r="K397" s="9"/>
      <c r="L397" s="9"/>
      <c r="M397" s="37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</row>
    <row r="398" spans="2:92" x14ac:dyDescent="0.25">
      <c r="B398" s="9"/>
      <c r="C398" s="9"/>
      <c r="D398" s="37"/>
      <c r="E398" s="9"/>
      <c r="F398" s="9"/>
      <c r="G398" s="37"/>
      <c r="H398" s="9"/>
      <c r="I398" s="9"/>
      <c r="J398" s="37"/>
      <c r="K398" s="9"/>
      <c r="L398" s="9"/>
      <c r="M398" s="37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</row>
    <row r="399" spans="2:92" x14ac:dyDescent="0.25">
      <c r="B399" s="9"/>
      <c r="C399" s="9"/>
      <c r="D399" s="37"/>
      <c r="E399" s="9"/>
      <c r="F399" s="9"/>
      <c r="G399" s="37"/>
      <c r="H399" s="9"/>
      <c r="I399" s="9"/>
      <c r="J399" s="37"/>
      <c r="K399" s="9"/>
      <c r="L399" s="9"/>
      <c r="M399" s="37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</row>
    <row r="400" spans="2:92" x14ac:dyDescent="0.25">
      <c r="B400" s="9"/>
      <c r="C400" s="9"/>
      <c r="D400" s="37"/>
      <c r="E400" s="9"/>
      <c r="F400" s="9"/>
      <c r="G400" s="37"/>
      <c r="H400" s="9"/>
      <c r="I400" s="9"/>
      <c r="J400" s="37"/>
      <c r="K400" s="9"/>
      <c r="L400" s="9"/>
      <c r="M400" s="37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</row>
    <row r="401" spans="2:92" x14ac:dyDescent="0.25">
      <c r="B401" s="9"/>
      <c r="C401" s="9"/>
      <c r="D401" s="37"/>
      <c r="E401" s="9"/>
      <c r="F401" s="9"/>
      <c r="G401" s="37"/>
      <c r="H401" s="9"/>
      <c r="I401" s="9"/>
      <c r="J401" s="37"/>
      <c r="K401" s="9"/>
      <c r="L401" s="9"/>
      <c r="M401" s="37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</row>
    <row r="402" spans="2:92" x14ac:dyDescent="0.25">
      <c r="B402" s="9"/>
      <c r="C402" s="9"/>
      <c r="D402" s="37"/>
      <c r="E402" s="9"/>
      <c r="F402" s="9"/>
      <c r="G402" s="37"/>
      <c r="H402" s="9"/>
      <c r="I402" s="9"/>
      <c r="J402" s="37"/>
      <c r="K402" s="9"/>
      <c r="L402" s="9"/>
      <c r="M402" s="37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</row>
    <row r="403" spans="2:92" x14ac:dyDescent="0.25">
      <c r="B403" s="9"/>
      <c r="C403" s="9"/>
      <c r="D403" s="37"/>
      <c r="E403" s="9"/>
      <c r="F403" s="9"/>
      <c r="G403" s="37"/>
      <c r="H403" s="9"/>
      <c r="I403" s="9"/>
      <c r="J403" s="37"/>
      <c r="K403" s="9"/>
      <c r="L403" s="9"/>
      <c r="M403" s="37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</row>
    <row r="404" spans="2:92" x14ac:dyDescent="0.25">
      <c r="B404" s="9"/>
      <c r="C404" s="9"/>
      <c r="D404" s="37"/>
      <c r="E404" s="9"/>
      <c r="F404" s="9"/>
      <c r="G404" s="37"/>
      <c r="H404" s="9"/>
      <c r="I404" s="9"/>
      <c r="J404" s="37"/>
      <c r="K404" s="9"/>
      <c r="L404" s="9"/>
      <c r="M404" s="37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</row>
    <row r="405" spans="2:92" x14ac:dyDescent="0.25">
      <c r="B405" s="9"/>
      <c r="C405" s="9"/>
      <c r="D405" s="37"/>
      <c r="E405" s="9"/>
      <c r="F405" s="9"/>
      <c r="G405" s="37"/>
      <c r="H405" s="9"/>
      <c r="I405" s="9"/>
      <c r="J405" s="37"/>
      <c r="K405" s="9"/>
      <c r="L405" s="9"/>
      <c r="M405" s="37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</row>
    <row r="406" spans="2:92" x14ac:dyDescent="0.25">
      <c r="B406" s="9"/>
      <c r="C406" s="9"/>
      <c r="D406" s="37"/>
      <c r="E406" s="9"/>
      <c r="F406" s="9"/>
      <c r="G406" s="37"/>
      <c r="H406" s="9"/>
      <c r="I406" s="9"/>
      <c r="J406" s="37"/>
      <c r="K406" s="9"/>
      <c r="L406" s="9"/>
      <c r="M406" s="37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</row>
    <row r="407" spans="2:92" x14ac:dyDescent="0.25">
      <c r="B407" s="9"/>
      <c r="C407" s="9"/>
      <c r="D407" s="37"/>
      <c r="E407" s="9"/>
      <c r="F407" s="9"/>
      <c r="G407" s="37"/>
      <c r="H407" s="9"/>
      <c r="I407" s="9"/>
      <c r="J407" s="37"/>
      <c r="K407" s="9"/>
      <c r="L407" s="9"/>
      <c r="M407" s="37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</row>
    <row r="408" spans="2:92" x14ac:dyDescent="0.25">
      <c r="B408" s="9"/>
      <c r="C408" s="9"/>
      <c r="D408" s="37"/>
      <c r="E408" s="9"/>
      <c r="F408" s="9"/>
      <c r="G408" s="37"/>
      <c r="H408" s="9"/>
      <c r="I408" s="9"/>
      <c r="J408" s="37"/>
      <c r="K408" s="9"/>
      <c r="L408" s="9"/>
      <c r="M408" s="37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</row>
    <row r="409" spans="2:92" x14ac:dyDescent="0.25">
      <c r="B409" s="9"/>
      <c r="C409" s="9"/>
      <c r="D409" s="37"/>
      <c r="E409" s="9"/>
      <c r="F409" s="9"/>
      <c r="G409" s="37"/>
      <c r="H409" s="9"/>
      <c r="I409" s="9"/>
      <c r="J409" s="37"/>
      <c r="K409" s="9"/>
      <c r="L409" s="9"/>
      <c r="M409" s="37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</row>
    <row r="410" spans="2:92" x14ac:dyDescent="0.25">
      <c r="B410" s="9"/>
      <c r="C410" s="9"/>
      <c r="D410" s="37"/>
      <c r="E410" s="9"/>
      <c r="F410" s="9"/>
      <c r="G410" s="37"/>
      <c r="H410" s="9"/>
      <c r="I410" s="9"/>
      <c r="J410" s="37"/>
      <c r="K410" s="9"/>
      <c r="L410" s="9"/>
      <c r="M410" s="37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</row>
    <row r="411" spans="2:92" x14ac:dyDescent="0.25">
      <c r="B411" s="9"/>
      <c r="C411" s="9"/>
      <c r="D411" s="37"/>
      <c r="E411" s="9"/>
      <c r="F411" s="9"/>
      <c r="G411" s="37"/>
      <c r="H411" s="9"/>
      <c r="I411" s="9"/>
      <c r="J411" s="37"/>
      <c r="K411" s="9"/>
      <c r="L411" s="9"/>
      <c r="M411" s="37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</row>
    <row r="412" spans="2:92" x14ac:dyDescent="0.25">
      <c r="B412" s="9"/>
      <c r="C412" s="9"/>
      <c r="D412" s="37"/>
      <c r="E412" s="9"/>
      <c r="F412" s="9"/>
      <c r="G412" s="37"/>
      <c r="H412" s="9"/>
      <c r="I412" s="9"/>
      <c r="J412" s="37"/>
      <c r="K412" s="9"/>
      <c r="L412" s="9"/>
      <c r="M412" s="37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</row>
    <row r="413" spans="2:92" x14ac:dyDescent="0.25">
      <c r="B413" s="9"/>
      <c r="C413" s="9"/>
      <c r="D413" s="37"/>
      <c r="E413" s="9"/>
      <c r="F413" s="9"/>
      <c r="G413" s="37"/>
      <c r="H413" s="9"/>
      <c r="I413" s="9"/>
      <c r="J413" s="37"/>
      <c r="K413" s="9"/>
      <c r="L413" s="9"/>
      <c r="M413" s="37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</row>
    <row r="414" spans="2:92" x14ac:dyDescent="0.25">
      <c r="B414" s="9"/>
      <c r="C414" s="9"/>
      <c r="D414" s="37"/>
      <c r="E414" s="9"/>
      <c r="F414" s="9"/>
      <c r="G414" s="37"/>
      <c r="H414" s="9"/>
      <c r="I414" s="9"/>
      <c r="J414" s="37"/>
      <c r="K414" s="9"/>
      <c r="L414" s="9"/>
      <c r="M414" s="37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</row>
    <row r="415" spans="2:92" x14ac:dyDescent="0.25">
      <c r="B415" s="9"/>
      <c r="C415" s="9"/>
      <c r="D415" s="37"/>
      <c r="E415" s="9"/>
      <c r="F415" s="9"/>
      <c r="G415" s="37"/>
      <c r="H415" s="9"/>
      <c r="I415" s="9"/>
      <c r="J415" s="37"/>
      <c r="K415" s="9"/>
      <c r="L415" s="9"/>
      <c r="M415" s="37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</row>
  </sheetData>
  <mergeCells count="32">
    <mergeCell ref="AD23:AF23"/>
    <mergeCell ref="C22:AF22"/>
    <mergeCell ref="X23:Z23"/>
    <mergeCell ref="AA23:AC23"/>
    <mergeCell ref="C10:T10"/>
    <mergeCell ref="U23:W23"/>
    <mergeCell ref="O23:Q23"/>
    <mergeCell ref="R23:T23"/>
    <mergeCell ref="L2:M2"/>
    <mergeCell ref="N2:O2"/>
    <mergeCell ref="L9:BP9"/>
    <mergeCell ref="J2:K2"/>
    <mergeCell ref="I11:J11"/>
    <mergeCell ref="M11:N11"/>
    <mergeCell ref="S11:T11"/>
    <mergeCell ref="O11:P11"/>
    <mergeCell ref="Q11:R11"/>
    <mergeCell ref="K11:L11"/>
    <mergeCell ref="B2:B3"/>
    <mergeCell ref="B10:B14"/>
    <mergeCell ref="C11:D11"/>
    <mergeCell ref="G11:H11"/>
    <mergeCell ref="D2:E2"/>
    <mergeCell ref="F2:G2"/>
    <mergeCell ref="C2:C3"/>
    <mergeCell ref="H2:I2"/>
    <mergeCell ref="E11:F11"/>
    <mergeCell ref="B22:B24"/>
    <mergeCell ref="C23:E23"/>
    <mergeCell ref="F23:H23"/>
    <mergeCell ref="I23:K23"/>
    <mergeCell ref="L23:N23"/>
  </mergeCells>
  <pageMargins left="0.7" right="0.7" top="0.75" bottom="0.75" header="0.3" footer="0.3"/>
  <ignoredErrors>
    <ignoredError sqref="N5:N8" formula="1"/>
    <ignoredError sqref="D4:E4 D6:E8 E5" numberStoredAsText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35D0-9E80-4AAA-9A24-28AAA1AF0219}">
  <sheetPr>
    <tabColor rgb="FFFFFF00"/>
  </sheetPr>
  <dimension ref="A1:BH97"/>
  <sheetViews>
    <sheetView zoomScale="70" zoomScaleNormal="70" workbookViewId="0">
      <pane xSplit="8" ySplit="1" topLeftCell="AX92" activePane="bottomRight" state="frozen"/>
      <selection pane="topRight" activeCell="I1" sqref="I1"/>
      <selection pane="bottomLeft" activeCell="A2" sqref="A2"/>
      <selection pane="bottomRight" activeCell="AY96" sqref="AY96"/>
    </sheetView>
  </sheetViews>
  <sheetFormatPr baseColWidth="10" defaultRowHeight="14.3" x14ac:dyDescent="0.25"/>
  <cols>
    <col min="2" max="2" width="8.75" customWidth="1"/>
    <col min="3" max="3" width="12.25" bestFit="1" customWidth="1"/>
    <col min="4" max="8" width="11.375" hidden="1" customWidth="1"/>
    <col min="9" max="9" width="15.25" style="337" bestFit="1" customWidth="1"/>
    <col min="10" max="10" width="9.875" style="70" customWidth="1"/>
    <col min="11" max="11" width="10.125" style="70" customWidth="1"/>
    <col min="12" max="12" width="10.625" style="70" customWidth="1"/>
    <col min="13" max="13" width="9.75" style="70" hidden="1" customWidth="1"/>
    <col min="14" max="14" width="13.625" style="70" customWidth="1"/>
    <col min="15" max="15" width="10.875" style="70" customWidth="1"/>
    <col min="16" max="16" width="19.125" style="70" customWidth="1"/>
    <col min="17" max="17" width="17" style="70" customWidth="1"/>
    <col min="18" max="18" width="19.625" style="70" hidden="1" customWidth="1"/>
    <col min="19" max="19" width="15.25" style="70" customWidth="1"/>
    <col min="20" max="20" width="12.875" style="70" customWidth="1"/>
    <col min="21" max="21" width="17.25" style="70" customWidth="1"/>
    <col min="22" max="22" width="17.875" style="70" customWidth="1"/>
    <col min="23" max="23" width="16.125" style="70" hidden="1" customWidth="1"/>
    <col min="24" max="24" width="16.75" style="70" customWidth="1"/>
    <col min="25" max="29" width="11.375" style="70" hidden="1" customWidth="1"/>
    <col min="30" max="30" width="16.25" style="70" customWidth="1"/>
    <col min="31" max="31" width="25.25" style="70" customWidth="1"/>
    <col min="32" max="32" width="19.625" style="70" customWidth="1"/>
    <col min="33" max="33" width="21.625" style="70" hidden="1" customWidth="1"/>
    <col min="34" max="34" width="20.375" style="70" customWidth="1"/>
    <col min="35" max="35" width="19.625" style="70" customWidth="1"/>
    <col min="36" max="36" width="16.375" customWidth="1"/>
    <col min="37" max="38" width="17.375" customWidth="1"/>
    <col min="39" max="39" width="17.375" hidden="1" customWidth="1"/>
    <col min="40" max="40" width="17.375" customWidth="1"/>
    <col min="41" max="45" width="16.125" hidden="1" customWidth="1"/>
    <col min="46" max="46" width="18.125" customWidth="1"/>
    <col min="47" max="48" width="18.375" customWidth="1"/>
    <col min="49" max="49" width="17.875" hidden="1" customWidth="1"/>
    <col min="50" max="50" width="19.625" customWidth="1"/>
    <col min="51" max="51" width="13.875" bestFit="1" customWidth="1"/>
    <col min="52" max="52" width="12.25" customWidth="1"/>
    <col min="53" max="53" width="13.125" customWidth="1"/>
    <col min="54" max="54" width="13" hidden="1" customWidth="1"/>
    <col min="55" max="55" width="11.25" hidden="1" customWidth="1"/>
  </cols>
  <sheetData>
    <row r="1" spans="1:60" s="253" customFormat="1" ht="57.75" thickBot="1" x14ac:dyDescent="0.3">
      <c r="A1" s="231" t="s">
        <v>27</v>
      </c>
      <c r="B1" s="231" t="s">
        <v>79</v>
      </c>
      <c r="C1" s="232" t="s">
        <v>26</v>
      </c>
      <c r="D1" s="233" t="s">
        <v>23</v>
      </c>
      <c r="E1" s="234" t="s">
        <v>22</v>
      </c>
      <c r="F1" s="235" t="s">
        <v>21</v>
      </c>
      <c r="G1" s="235" t="s">
        <v>20</v>
      </c>
      <c r="H1" s="234" t="s">
        <v>19</v>
      </c>
      <c r="I1" s="336" t="s">
        <v>174</v>
      </c>
      <c r="J1" s="335" t="s">
        <v>132</v>
      </c>
      <c r="K1" s="236" t="s">
        <v>133</v>
      </c>
      <c r="L1" s="236" t="s">
        <v>134</v>
      </c>
      <c r="M1" s="236" t="s">
        <v>135</v>
      </c>
      <c r="N1" s="237" t="s">
        <v>136</v>
      </c>
      <c r="O1" s="238" t="s">
        <v>137</v>
      </c>
      <c r="P1" s="239" t="s">
        <v>138</v>
      </c>
      <c r="Q1" s="239" t="s">
        <v>139</v>
      </c>
      <c r="R1" s="239" t="s">
        <v>140</v>
      </c>
      <c r="S1" s="239" t="s">
        <v>141</v>
      </c>
      <c r="T1" s="240" t="s">
        <v>143</v>
      </c>
      <c r="U1" s="241" t="s">
        <v>144</v>
      </c>
      <c r="V1" s="242" t="s">
        <v>145</v>
      </c>
      <c r="W1" s="242" t="s">
        <v>146</v>
      </c>
      <c r="X1" s="243" t="s">
        <v>142</v>
      </c>
      <c r="Y1" s="244" t="s">
        <v>97</v>
      </c>
      <c r="Z1" s="245" t="s">
        <v>98</v>
      </c>
      <c r="AA1" s="246" t="s">
        <v>99</v>
      </c>
      <c r="AB1" s="246" t="s">
        <v>100</v>
      </c>
      <c r="AC1" s="247" t="s">
        <v>101</v>
      </c>
      <c r="AD1" s="248" t="s">
        <v>147</v>
      </c>
      <c r="AE1" s="249" t="s">
        <v>151</v>
      </c>
      <c r="AF1" s="250" t="s">
        <v>150</v>
      </c>
      <c r="AG1" s="250" t="s">
        <v>149</v>
      </c>
      <c r="AH1" s="251" t="s">
        <v>148</v>
      </c>
      <c r="AI1" s="422" t="s">
        <v>102</v>
      </c>
      <c r="AJ1" s="226" t="s">
        <v>103</v>
      </c>
      <c r="AK1" s="227" t="s">
        <v>104</v>
      </c>
      <c r="AL1" s="227" t="s">
        <v>105</v>
      </c>
      <c r="AM1" s="227" t="s">
        <v>106</v>
      </c>
      <c r="AN1" s="228" t="s">
        <v>107</v>
      </c>
      <c r="AO1" s="252" t="s">
        <v>131</v>
      </c>
      <c r="AP1" s="245" t="s">
        <v>130</v>
      </c>
      <c r="AQ1" s="246" t="s">
        <v>129</v>
      </c>
      <c r="AR1" s="246" t="s">
        <v>128</v>
      </c>
      <c r="AS1" s="247" t="s">
        <v>127</v>
      </c>
      <c r="AT1" s="252" t="s">
        <v>108</v>
      </c>
      <c r="AU1" s="246" t="s">
        <v>109</v>
      </c>
      <c r="AV1" s="246" t="s">
        <v>110</v>
      </c>
      <c r="AW1" s="246" t="s">
        <v>111</v>
      </c>
      <c r="AX1" s="247" t="s">
        <v>112</v>
      </c>
      <c r="AY1" s="229" t="s">
        <v>73</v>
      </c>
      <c r="AZ1" s="229" t="s">
        <v>74</v>
      </c>
      <c r="BA1" s="229" t="s">
        <v>115</v>
      </c>
      <c r="BB1" s="229" t="s">
        <v>113</v>
      </c>
      <c r="BC1" s="230" t="s">
        <v>114</v>
      </c>
    </row>
    <row r="2" spans="1:60" ht="14.95" thickBot="1" x14ac:dyDescent="0.3">
      <c r="A2" s="190">
        <v>46082</v>
      </c>
      <c r="B2" s="276">
        <f>DAY(Tabla2[[#This Row],[FECHA]])</f>
        <v>1</v>
      </c>
      <c r="C2" s="191" t="s">
        <v>28</v>
      </c>
      <c r="D2" s="192"/>
      <c r="E2" s="193"/>
      <c r="F2" s="194"/>
      <c r="G2" s="194"/>
      <c r="H2" s="193"/>
      <c r="I2" s="408">
        <f>((Tabla2[[#This Row],[VOLUMEN ENVIADO A RO (m3)]]/80)/3)*60</f>
        <v>0</v>
      </c>
      <c r="J2" s="394">
        <v>0</v>
      </c>
      <c r="K2" s="394">
        <v>175</v>
      </c>
      <c r="L2" s="396">
        <v>40</v>
      </c>
      <c r="M2" s="395">
        <v>0</v>
      </c>
      <c r="N2" s="396">
        <v>0</v>
      </c>
      <c r="O2" s="254">
        <f t="shared" ref="O2:O65" si="0">J2*(1000/114)</f>
        <v>0</v>
      </c>
      <c r="P2" s="255">
        <f t="shared" ref="P2:P33" si="1">K2*(1000/114)</f>
        <v>1535.0877192982457</v>
      </c>
      <c r="Q2" s="255">
        <f t="shared" ref="Q2:Q65" si="2">L2*(1000/114)</f>
        <v>350.87719298245617</v>
      </c>
      <c r="R2" s="255">
        <f t="shared" ref="R2:R33" si="3">M2*(1000/114)</f>
        <v>0</v>
      </c>
      <c r="S2" s="256">
        <f t="shared" ref="S2:S33" si="4">N2*(1000/114)</f>
        <v>0</v>
      </c>
      <c r="T2" s="257">
        <f>O2-O3</f>
        <v>0</v>
      </c>
      <c r="U2" s="258">
        <f>P2-P3</f>
        <v>0</v>
      </c>
      <c r="V2" s="258">
        <f>Q2-Q3</f>
        <v>0</v>
      </c>
      <c r="W2" s="258">
        <f>R2-R3</f>
        <v>0</v>
      </c>
      <c r="X2" s="259">
        <f>S2-S3</f>
        <v>0</v>
      </c>
      <c r="Y2" s="260">
        <v>1.18</v>
      </c>
      <c r="Z2" s="260">
        <v>1.28</v>
      </c>
      <c r="AA2" s="260">
        <v>1.2</v>
      </c>
      <c r="AB2" s="260">
        <v>1.53</v>
      </c>
      <c r="AC2" s="260">
        <v>1.2</v>
      </c>
      <c r="AD2" s="257">
        <f t="shared" ref="AD2:AD33" si="5">T2*Y2</f>
        <v>0</v>
      </c>
      <c r="AE2" s="258">
        <f t="shared" ref="AE2:AE33" si="6">U2*Z2</f>
        <v>0</v>
      </c>
      <c r="AF2" s="258">
        <f t="shared" ref="AF2:AF33" si="7">V2*AA2</f>
        <v>0</v>
      </c>
      <c r="AG2" s="258">
        <f t="shared" ref="AG2:AG33" si="8">W2*AB2</f>
        <v>0</v>
      </c>
      <c r="AH2" s="259">
        <f t="shared" ref="AH2:AH33" si="9">X2*AC2</f>
        <v>0</v>
      </c>
      <c r="AI2" s="430">
        <v>0</v>
      </c>
      <c r="AJ2" s="195" t="e">
        <f t="shared" ref="AJ2:AN6" si="10">(AD2*1000)/$AI2</f>
        <v>#DIV/0!</v>
      </c>
      <c r="AK2" s="196" t="e">
        <f t="shared" si="10"/>
        <v>#DIV/0!</v>
      </c>
      <c r="AL2" s="196" t="e">
        <f t="shared" si="10"/>
        <v>#DIV/0!</v>
      </c>
      <c r="AM2" s="196" t="e">
        <f t="shared" si="10"/>
        <v>#DIV/0!</v>
      </c>
      <c r="AN2" s="197" t="e">
        <f t="shared" si="10"/>
        <v>#DIV/0!</v>
      </c>
      <c r="AO2" s="166">
        <v>1550</v>
      </c>
      <c r="AP2" s="167">
        <v>19160</v>
      </c>
      <c r="AQ2" s="167">
        <v>36239</v>
      </c>
      <c r="AR2" s="167">
        <v>1560</v>
      </c>
      <c r="AS2" s="168">
        <v>3640</v>
      </c>
      <c r="AT2" s="166">
        <f t="shared" ref="AT2:AT33" si="11">AO2*(AD2*0.8)</f>
        <v>0</v>
      </c>
      <c r="AU2" s="167">
        <f>AP2*(AE2*0.012)</f>
        <v>0</v>
      </c>
      <c r="AV2" s="167">
        <f>AQ2*(AF2*0.044)</f>
        <v>0</v>
      </c>
      <c r="AW2" s="167">
        <f t="shared" ref="AW2:AW33" si="12">AR2*AG2</f>
        <v>0</v>
      </c>
      <c r="AX2" s="168">
        <f t="shared" ref="AX2:AX33" si="13">AS2*(AH2*0.025)</f>
        <v>0</v>
      </c>
      <c r="AY2" s="166">
        <f t="shared" ref="AY2:AY33" si="14">AT2+AU2+AV2+AW2+AX2</f>
        <v>0</v>
      </c>
      <c r="AZ2" s="167">
        <v>1000</v>
      </c>
      <c r="BA2" s="167" t="e">
        <f>$AY2/AI2</f>
        <v>#DIV/0!</v>
      </c>
      <c r="BB2" s="164" t="e">
        <f>$AY2/#REF!</f>
        <v>#REF!</v>
      </c>
      <c r="BC2" s="165" t="e">
        <f>$AY2/#REF!</f>
        <v>#REF!</v>
      </c>
    </row>
    <row r="3" spans="1:60" ht="14.95" thickBot="1" x14ac:dyDescent="0.3">
      <c r="A3" s="198">
        <f>+A2</f>
        <v>46082</v>
      </c>
      <c r="B3" s="277">
        <f>DAY(Tabla2[[#This Row],[FECHA]])</f>
        <v>1</v>
      </c>
      <c r="C3" s="199" t="s">
        <v>29</v>
      </c>
      <c r="D3" s="200"/>
      <c r="E3" s="201"/>
      <c r="F3" s="202"/>
      <c r="G3" s="202"/>
      <c r="H3" s="201"/>
      <c r="I3" s="408">
        <f>((Tabla2[[#This Row],[VOLUMEN ENVIADO A RO (m3)]]/80)/3)*60</f>
        <v>0</v>
      </c>
      <c r="J3" s="394">
        <v>0</v>
      </c>
      <c r="K3" s="398">
        <v>175</v>
      </c>
      <c r="L3" s="399">
        <v>40</v>
      </c>
      <c r="M3" s="398">
        <v>0</v>
      </c>
      <c r="N3" s="399">
        <v>0</v>
      </c>
      <c r="O3" s="261">
        <f t="shared" si="0"/>
        <v>0</v>
      </c>
      <c r="P3" s="262">
        <f t="shared" si="1"/>
        <v>1535.0877192982457</v>
      </c>
      <c r="Q3" s="262">
        <f t="shared" si="2"/>
        <v>350.87719298245617</v>
      </c>
      <c r="R3" s="262">
        <f t="shared" si="3"/>
        <v>0</v>
      </c>
      <c r="S3" s="263">
        <f t="shared" si="4"/>
        <v>0</v>
      </c>
      <c r="T3" s="257">
        <f t="shared" ref="T3:T66" si="15">O3-O4</f>
        <v>0</v>
      </c>
      <c r="U3" s="258">
        <f t="shared" ref="U3:U66" si="16">P3-P4</f>
        <v>0</v>
      </c>
      <c r="V3" s="258">
        <f t="shared" ref="V3:V66" si="17">Q3-Q4</f>
        <v>0</v>
      </c>
      <c r="W3" s="258">
        <f t="shared" ref="W3:W66" si="18">R3-R4</f>
        <v>0</v>
      </c>
      <c r="X3" s="259">
        <f t="shared" ref="X3:X66" si="19">S3-S4</f>
        <v>0</v>
      </c>
      <c r="Y3" s="264">
        <v>1.18</v>
      </c>
      <c r="Z3" s="264">
        <v>1.28</v>
      </c>
      <c r="AA3" s="264">
        <v>1.2</v>
      </c>
      <c r="AB3" s="264">
        <v>1.53</v>
      </c>
      <c r="AC3" s="264">
        <v>1.2</v>
      </c>
      <c r="AD3" s="257">
        <f t="shared" si="5"/>
        <v>0</v>
      </c>
      <c r="AE3" s="258">
        <f t="shared" si="6"/>
        <v>0</v>
      </c>
      <c r="AF3" s="258">
        <f t="shared" si="7"/>
        <v>0</v>
      </c>
      <c r="AG3" s="258">
        <f t="shared" si="8"/>
        <v>0</v>
      </c>
      <c r="AH3" s="259">
        <f t="shared" si="9"/>
        <v>0</v>
      </c>
      <c r="AI3" s="431">
        <v>0</v>
      </c>
      <c r="AJ3" s="195" t="e">
        <f t="shared" si="10"/>
        <v>#DIV/0!</v>
      </c>
      <c r="AK3" s="196" t="e">
        <f t="shared" si="10"/>
        <v>#DIV/0!</v>
      </c>
      <c r="AL3" s="196" t="e">
        <f t="shared" si="10"/>
        <v>#DIV/0!</v>
      </c>
      <c r="AM3" s="196" t="e">
        <f t="shared" si="10"/>
        <v>#DIV/0!</v>
      </c>
      <c r="AN3" s="197" t="e">
        <f t="shared" si="10"/>
        <v>#DIV/0!</v>
      </c>
      <c r="AO3" s="166">
        <f t="shared" ref="AO3:AO34" si="20">AO2</f>
        <v>1550</v>
      </c>
      <c r="AP3" s="167">
        <f t="shared" ref="AP3:AP34" si="21">AP2</f>
        <v>19160</v>
      </c>
      <c r="AQ3" s="167">
        <f t="shared" ref="AQ3:AQ34" si="22">AQ2</f>
        <v>36239</v>
      </c>
      <c r="AR3" s="167">
        <f t="shared" ref="AR3:AR34" si="23">AR2</f>
        <v>1560</v>
      </c>
      <c r="AS3" s="168">
        <f t="shared" ref="AS3:AS34" si="24">AS2</f>
        <v>3640</v>
      </c>
      <c r="AT3" s="166">
        <f t="shared" si="11"/>
        <v>0</v>
      </c>
      <c r="AU3" s="167">
        <f t="shared" ref="AU3:AU66" si="25">AP3*(AE3*0.012)</f>
        <v>0</v>
      </c>
      <c r="AV3" s="167">
        <f t="shared" ref="AV3:AV66" si="26">AQ3*(AF3*0.044)</f>
        <v>0</v>
      </c>
      <c r="AW3" s="167">
        <f t="shared" si="12"/>
        <v>0</v>
      </c>
      <c r="AX3" s="168">
        <f t="shared" si="13"/>
        <v>0</v>
      </c>
      <c r="AY3" s="166">
        <f t="shared" si="14"/>
        <v>0</v>
      </c>
      <c r="AZ3" s="167">
        <v>1000</v>
      </c>
      <c r="BA3" s="167" t="e">
        <f>AY3/AI3</f>
        <v>#DIV/0!</v>
      </c>
      <c r="BB3" s="164" t="e">
        <f>$AY3/#REF!</f>
        <v>#REF!</v>
      </c>
      <c r="BC3" s="165" t="e">
        <f>$AY3/#REF!</f>
        <v>#REF!</v>
      </c>
    </row>
    <row r="4" spans="1:60" ht="14.95" thickBot="1" x14ac:dyDescent="0.3">
      <c r="A4" s="203">
        <f>+A3</f>
        <v>46082</v>
      </c>
      <c r="B4" s="278">
        <f>DAY(Tabla2[[#This Row],[FECHA]])</f>
        <v>1</v>
      </c>
      <c r="C4" s="204" t="s">
        <v>30</v>
      </c>
      <c r="D4" s="205"/>
      <c r="E4" s="206"/>
      <c r="F4" s="207"/>
      <c r="G4" s="208"/>
      <c r="H4" s="209"/>
      <c r="I4" s="408">
        <f>((Tabla2[[#This Row],[VOLUMEN ENVIADO A RO (m3)]]/80)/3)*60</f>
        <v>0</v>
      </c>
      <c r="J4" s="394">
        <v>0</v>
      </c>
      <c r="K4" s="401">
        <v>175</v>
      </c>
      <c r="L4" s="402">
        <v>40</v>
      </c>
      <c r="M4" s="401">
        <v>0</v>
      </c>
      <c r="N4" s="402">
        <v>0</v>
      </c>
      <c r="O4" s="265">
        <f t="shared" si="0"/>
        <v>0</v>
      </c>
      <c r="P4" s="266">
        <f t="shared" si="1"/>
        <v>1535.0877192982457</v>
      </c>
      <c r="Q4" s="266">
        <f t="shared" si="2"/>
        <v>350.87719298245617</v>
      </c>
      <c r="R4" s="266">
        <f t="shared" si="3"/>
        <v>0</v>
      </c>
      <c r="S4" s="267">
        <f t="shared" si="4"/>
        <v>0</v>
      </c>
      <c r="T4" s="257">
        <f t="shared" si="15"/>
        <v>0</v>
      </c>
      <c r="U4" s="258">
        <f t="shared" si="16"/>
        <v>0</v>
      </c>
      <c r="V4" s="258">
        <f t="shared" si="17"/>
        <v>0</v>
      </c>
      <c r="W4" s="258">
        <f t="shared" si="18"/>
        <v>0</v>
      </c>
      <c r="X4" s="259">
        <f t="shared" si="19"/>
        <v>0</v>
      </c>
      <c r="Y4" s="264">
        <v>1.18</v>
      </c>
      <c r="Z4" s="264">
        <v>1.28</v>
      </c>
      <c r="AA4" s="264">
        <v>1.2</v>
      </c>
      <c r="AB4" s="264">
        <v>1.53</v>
      </c>
      <c r="AC4" s="264">
        <v>1.2</v>
      </c>
      <c r="AD4" s="268">
        <f t="shared" si="5"/>
        <v>0</v>
      </c>
      <c r="AE4" s="269">
        <f t="shared" si="6"/>
        <v>0</v>
      </c>
      <c r="AF4" s="269">
        <f t="shared" si="7"/>
        <v>0</v>
      </c>
      <c r="AG4" s="269">
        <f t="shared" si="8"/>
        <v>0</v>
      </c>
      <c r="AH4" s="270">
        <f t="shared" si="9"/>
        <v>0</v>
      </c>
      <c r="AI4" s="432">
        <v>0</v>
      </c>
      <c r="AJ4" s="210" t="e">
        <f t="shared" si="10"/>
        <v>#DIV/0!</v>
      </c>
      <c r="AK4" s="211" t="e">
        <f t="shared" si="10"/>
        <v>#DIV/0!</v>
      </c>
      <c r="AL4" s="211" t="e">
        <f t="shared" si="10"/>
        <v>#DIV/0!</v>
      </c>
      <c r="AM4" s="211" t="e">
        <f t="shared" si="10"/>
        <v>#DIV/0!</v>
      </c>
      <c r="AN4" s="212" t="e">
        <f t="shared" si="10"/>
        <v>#DIV/0!</v>
      </c>
      <c r="AO4" s="166">
        <f t="shared" si="20"/>
        <v>1550</v>
      </c>
      <c r="AP4" s="167">
        <f t="shared" si="21"/>
        <v>19160</v>
      </c>
      <c r="AQ4" s="167">
        <f t="shared" si="22"/>
        <v>36239</v>
      </c>
      <c r="AR4" s="167">
        <f t="shared" si="23"/>
        <v>1560</v>
      </c>
      <c r="AS4" s="168">
        <f t="shared" si="24"/>
        <v>3640</v>
      </c>
      <c r="AT4" s="169">
        <f t="shared" si="11"/>
        <v>0</v>
      </c>
      <c r="AU4" s="170">
        <f t="shared" si="25"/>
        <v>0</v>
      </c>
      <c r="AV4" s="170">
        <f t="shared" si="26"/>
        <v>0</v>
      </c>
      <c r="AW4" s="170">
        <f t="shared" si="12"/>
        <v>0</v>
      </c>
      <c r="AX4" s="171">
        <f t="shared" si="13"/>
        <v>0</v>
      </c>
      <c r="AY4" s="169">
        <f t="shared" si="14"/>
        <v>0</v>
      </c>
      <c r="AZ4" s="170">
        <v>1000</v>
      </c>
      <c r="BA4" s="170" t="e">
        <f>AY4/AI4</f>
        <v>#DIV/0!</v>
      </c>
      <c r="BB4" s="160"/>
      <c r="BC4" s="163"/>
      <c r="BE4" s="427"/>
      <c r="BG4" s="428"/>
      <c r="BH4" s="427"/>
    </row>
    <row r="5" spans="1:60" ht="14.95" thickBot="1" x14ac:dyDescent="0.3">
      <c r="A5" s="213">
        <f>+A4+1</f>
        <v>46083</v>
      </c>
      <c r="B5" s="157">
        <f>DAY(Tabla2[[#This Row],[FECHA]])</f>
        <v>2</v>
      </c>
      <c r="C5" s="191" t="s">
        <v>28</v>
      </c>
      <c r="D5" s="214"/>
      <c r="E5" s="215"/>
      <c r="F5" s="216"/>
      <c r="G5" s="216"/>
      <c r="H5" s="215"/>
      <c r="I5" s="408">
        <f>((Tabla2[[#This Row],[VOLUMEN ENVIADO A RO (m3)]]/80)/3)*60</f>
        <v>3.8170000000000002</v>
      </c>
      <c r="J5" s="394">
        <v>0</v>
      </c>
      <c r="K5" s="394">
        <v>175</v>
      </c>
      <c r="L5" s="396">
        <v>40</v>
      </c>
      <c r="M5" s="395">
        <v>0</v>
      </c>
      <c r="N5" s="396">
        <v>0</v>
      </c>
      <c r="O5" s="271">
        <f t="shared" si="0"/>
        <v>0</v>
      </c>
      <c r="P5" s="272">
        <f t="shared" si="1"/>
        <v>1535.0877192982457</v>
      </c>
      <c r="Q5" s="255">
        <f t="shared" si="2"/>
        <v>350.87719298245617</v>
      </c>
      <c r="R5" s="272">
        <f t="shared" si="3"/>
        <v>0</v>
      </c>
      <c r="S5" s="272">
        <f t="shared" si="4"/>
        <v>0</v>
      </c>
      <c r="T5" s="257">
        <f t="shared" si="15"/>
        <v>0</v>
      </c>
      <c r="U5" s="258">
        <f t="shared" si="16"/>
        <v>0</v>
      </c>
      <c r="V5" s="258">
        <f t="shared" si="17"/>
        <v>0</v>
      </c>
      <c r="W5" s="258">
        <f t="shared" si="18"/>
        <v>0</v>
      </c>
      <c r="X5" s="259">
        <f t="shared" si="19"/>
        <v>0</v>
      </c>
      <c r="Y5" s="264">
        <v>1.18</v>
      </c>
      <c r="Z5" s="264">
        <v>1.28</v>
      </c>
      <c r="AA5" s="264">
        <v>1.2</v>
      </c>
      <c r="AB5" s="264">
        <v>1.53</v>
      </c>
      <c r="AC5" s="264">
        <v>1.2</v>
      </c>
      <c r="AD5" s="273">
        <f t="shared" si="5"/>
        <v>0</v>
      </c>
      <c r="AE5" s="274">
        <f t="shared" si="6"/>
        <v>0</v>
      </c>
      <c r="AF5" s="274">
        <f t="shared" si="7"/>
        <v>0</v>
      </c>
      <c r="AG5" s="274">
        <f t="shared" si="8"/>
        <v>0</v>
      </c>
      <c r="AH5" s="275">
        <f t="shared" si="9"/>
        <v>0</v>
      </c>
      <c r="AI5" s="430">
        <v>15.268000000000001</v>
      </c>
      <c r="AJ5" s="217">
        <f t="shared" si="10"/>
        <v>0</v>
      </c>
      <c r="AK5" s="218">
        <f t="shared" si="10"/>
        <v>0</v>
      </c>
      <c r="AL5" s="218">
        <f t="shared" si="10"/>
        <v>0</v>
      </c>
      <c r="AM5" s="218">
        <f t="shared" si="10"/>
        <v>0</v>
      </c>
      <c r="AN5" s="219">
        <f t="shared" si="10"/>
        <v>0</v>
      </c>
      <c r="AO5" s="166">
        <f t="shared" si="20"/>
        <v>1550</v>
      </c>
      <c r="AP5" s="167">
        <f t="shared" si="21"/>
        <v>19160</v>
      </c>
      <c r="AQ5" s="167">
        <f t="shared" si="22"/>
        <v>36239</v>
      </c>
      <c r="AR5" s="167">
        <f t="shared" si="23"/>
        <v>1560</v>
      </c>
      <c r="AS5" s="168">
        <f t="shared" si="24"/>
        <v>3640</v>
      </c>
      <c r="AT5" s="166">
        <f t="shared" si="11"/>
        <v>0</v>
      </c>
      <c r="AU5" s="167">
        <f t="shared" si="25"/>
        <v>0</v>
      </c>
      <c r="AV5" s="167">
        <f t="shared" si="26"/>
        <v>0</v>
      </c>
      <c r="AW5" s="167">
        <f t="shared" si="12"/>
        <v>0</v>
      </c>
      <c r="AX5" s="168">
        <f t="shared" si="13"/>
        <v>0</v>
      </c>
      <c r="AY5" s="166">
        <f t="shared" si="14"/>
        <v>0</v>
      </c>
      <c r="AZ5" s="167">
        <v>1000</v>
      </c>
      <c r="BA5" s="167">
        <f>AY5/AI5</f>
        <v>0</v>
      </c>
      <c r="BB5" s="161"/>
      <c r="BC5" s="162"/>
      <c r="BE5" s="427"/>
      <c r="BG5" s="428"/>
      <c r="BH5" s="427"/>
    </row>
    <row r="6" spans="1:60" ht="14.95" thickBot="1" x14ac:dyDescent="0.3">
      <c r="A6" s="220">
        <f>+A5</f>
        <v>46083</v>
      </c>
      <c r="B6" s="279">
        <f>DAY(Tabla2[[#This Row],[FECHA]])</f>
        <v>2</v>
      </c>
      <c r="C6" s="199" t="s">
        <v>29</v>
      </c>
      <c r="D6" s="200"/>
      <c r="E6" s="201"/>
      <c r="F6" s="202"/>
      <c r="G6" s="202"/>
      <c r="H6" s="201"/>
      <c r="I6" s="408">
        <f>((Tabla2[[#This Row],[VOLUMEN ENVIADO A RO (m3)]]/80)/3)*60</f>
        <v>70.57950000000001</v>
      </c>
      <c r="J6" s="394">
        <v>0</v>
      </c>
      <c r="K6" s="398">
        <v>175</v>
      </c>
      <c r="L6" s="399">
        <v>40</v>
      </c>
      <c r="M6" s="398">
        <v>0</v>
      </c>
      <c r="N6" s="399">
        <v>0</v>
      </c>
      <c r="O6" s="261">
        <f t="shared" si="0"/>
        <v>0</v>
      </c>
      <c r="P6" s="262">
        <f t="shared" si="1"/>
        <v>1535.0877192982457</v>
      </c>
      <c r="Q6" s="262">
        <f t="shared" si="2"/>
        <v>350.87719298245617</v>
      </c>
      <c r="R6" s="262">
        <f t="shared" si="3"/>
        <v>0</v>
      </c>
      <c r="S6" s="262">
        <f t="shared" si="4"/>
        <v>0</v>
      </c>
      <c r="T6" s="257">
        <f t="shared" si="15"/>
        <v>0</v>
      </c>
      <c r="U6" s="258">
        <f t="shared" si="16"/>
        <v>0</v>
      </c>
      <c r="V6" s="258">
        <f t="shared" si="17"/>
        <v>0</v>
      </c>
      <c r="W6" s="258">
        <f t="shared" si="18"/>
        <v>0</v>
      </c>
      <c r="X6" s="259">
        <f t="shared" si="19"/>
        <v>0</v>
      </c>
      <c r="Y6" s="264">
        <v>1.18</v>
      </c>
      <c r="Z6" s="264">
        <v>1.28</v>
      </c>
      <c r="AA6" s="264">
        <v>1.2</v>
      </c>
      <c r="AB6" s="264">
        <v>1.53</v>
      </c>
      <c r="AC6" s="264">
        <v>1.2</v>
      </c>
      <c r="AD6" s="257">
        <f t="shared" si="5"/>
        <v>0</v>
      </c>
      <c r="AE6" s="258">
        <f t="shared" si="6"/>
        <v>0</v>
      </c>
      <c r="AF6" s="258">
        <f t="shared" si="7"/>
        <v>0</v>
      </c>
      <c r="AG6" s="258">
        <f t="shared" si="8"/>
        <v>0</v>
      </c>
      <c r="AH6" s="259">
        <f t="shared" si="9"/>
        <v>0</v>
      </c>
      <c r="AI6" s="431">
        <v>282.31799999999998</v>
      </c>
      <c r="AJ6" s="195">
        <f t="shared" si="10"/>
        <v>0</v>
      </c>
      <c r="AK6" s="196">
        <f t="shared" si="10"/>
        <v>0</v>
      </c>
      <c r="AL6" s="196">
        <f t="shared" si="10"/>
        <v>0</v>
      </c>
      <c r="AM6" s="196">
        <f t="shared" si="10"/>
        <v>0</v>
      </c>
      <c r="AN6" s="197">
        <f t="shared" si="10"/>
        <v>0</v>
      </c>
      <c r="AO6" s="166">
        <f t="shared" si="20"/>
        <v>1550</v>
      </c>
      <c r="AP6" s="167">
        <f t="shared" si="21"/>
        <v>19160</v>
      </c>
      <c r="AQ6" s="167">
        <f t="shared" si="22"/>
        <v>36239</v>
      </c>
      <c r="AR6" s="167">
        <f t="shared" si="23"/>
        <v>1560</v>
      </c>
      <c r="AS6" s="168">
        <f t="shared" si="24"/>
        <v>3640</v>
      </c>
      <c r="AT6" s="166">
        <f t="shared" si="11"/>
        <v>0</v>
      </c>
      <c r="AU6" s="167">
        <f t="shared" si="25"/>
        <v>0</v>
      </c>
      <c r="AV6" s="167">
        <f t="shared" si="26"/>
        <v>0</v>
      </c>
      <c r="AW6" s="167">
        <f t="shared" si="12"/>
        <v>0</v>
      </c>
      <c r="AX6" s="168">
        <f t="shared" si="13"/>
        <v>0</v>
      </c>
      <c r="AY6" s="166">
        <f t="shared" si="14"/>
        <v>0</v>
      </c>
      <c r="AZ6" s="167">
        <v>1000</v>
      </c>
      <c r="BA6" s="167">
        <f>AY6/AI6</f>
        <v>0</v>
      </c>
      <c r="BB6" s="161"/>
      <c r="BC6" s="162"/>
      <c r="BE6" s="427"/>
      <c r="BG6" s="428"/>
      <c r="BH6" s="427"/>
    </row>
    <row r="7" spans="1:60" ht="14.95" thickBot="1" x14ac:dyDescent="0.3">
      <c r="A7" s="221">
        <f>+A6</f>
        <v>46083</v>
      </c>
      <c r="B7" s="280">
        <f>DAY(Tabla2[[#This Row],[FECHA]])</f>
        <v>2</v>
      </c>
      <c r="C7" s="204" t="s">
        <v>30</v>
      </c>
      <c r="D7" s="205"/>
      <c r="E7" s="206"/>
      <c r="F7" s="207"/>
      <c r="G7" s="208"/>
      <c r="H7" s="209"/>
      <c r="I7" s="408">
        <f>((Tabla2[[#This Row],[VOLUMEN ENVIADO A RO (m3)]]/80)/3)*60</f>
        <v>41.540999999999997</v>
      </c>
      <c r="J7" s="394">
        <v>0</v>
      </c>
      <c r="K7" s="401">
        <v>175</v>
      </c>
      <c r="L7" s="402">
        <v>40</v>
      </c>
      <c r="M7" s="401">
        <v>0</v>
      </c>
      <c r="N7" s="402">
        <v>0</v>
      </c>
      <c r="O7" s="265">
        <f t="shared" si="0"/>
        <v>0</v>
      </c>
      <c r="P7" s="266">
        <f t="shared" si="1"/>
        <v>1535.0877192982457</v>
      </c>
      <c r="Q7" s="266">
        <f t="shared" si="2"/>
        <v>350.87719298245617</v>
      </c>
      <c r="R7" s="266">
        <f t="shared" si="3"/>
        <v>0</v>
      </c>
      <c r="S7" s="266">
        <f t="shared" si="4"/>
        <v>0</v>
      </c>
      <c r="T7" s="257">
        <f t="shared" si="15"/>
        <v>0</v>
      </c>
      <c r="U7" s="258">
        <f t="shared" si="16"/>
        <v>0</v>
      </c>
      <c r="V7" s="258">
        <f t="shared" si="17"/>
        <v>0</v>
      </c>
      <c r="W7" s="258">
        <f t="shared" si="18"/>
        <v>0</v>
      </c>
      <c r="X7" s="259">
        <f t="shared" si="19"/>
        <v>0</v>
      </c>
      <c r="Y7" s="264">
        <v>1.18</v>
      </c>
      <c r="Z7" s="264">
        <v>1.28</v>
      </c>
      <c r="AA7" s="264">
        <v>1.2</v>
      </c>
      <c r="AB7" s="264">
        <v>1.53</v>
      </c>
      <c r="AC7" s="264">
        <v>1.2</v>
      </c>
      <c r="AD7" s="268">
        <f t="shared" si="5"/>
        <v>0</v>
      </c>
      <c r="AE7" s="269">
        <f t="shared" si="6"/>
        <v>0</v>
      </c>
      <c r="AF7" s="269">
        <f t="shared" si="7"/>
        <v>0</v>
      </c>
      <c r="AG7" s="269">
        <f t="shared" si="8"/>
        <v>0</v>
      </c>
      <c r="AH7" s="270">
        <f t="shared" si="9"/>
        <v>0</v>
      </c>
      <c r="AI7" s="432">
        <v>166.16399999999999</v>
      </c>
      <c r="AJ7" s="210">
        <f>(AD7*1000)/$AI9</f>
        <v>0</v>
      </c>
      <c r="AK7" s="211">
        <f>(AE7*1000)/$AI9</f>
        <v>0</v>
      </c>
      <c r="AL7" s="211">
        <f>(AF7*1000)/$AI9</f>
        <v>0</v>
      </c>
      <c r="AM7" s="211">
        <f>(AG7*1000)/$AI9</f>
        <v>0</v>
      </c>
      <c r="AN7" s="212">
        <f>(AH7*1000)/$AI9</f>
        <v>0</v>
      </c>
      <c r="AO7" s="166">
        <f t="shared" si="20"/>
        <v>1550</v>
      </c>
      <c r="AP7" s="167">
        <f t="shared" si="21"/>
        <v>19160</v>
      </c>
      <c r="AQ7" s="167">
        <f t="shared" si="22"/>
        <v>36239</v>
      </c>
      <c r="AR7" s="167">
        <f t="shared" si="23"/>
        <v>1560</v>
      </c>
      <c r="AS7" s="168">
        <f t="shared" si="24"/>
        <v>3640</v>
      </c>
      <c r="AT7" s="169">
        <f t="shared" si="11"/>
        <v>0</v>
      </c>
      <c r="AU7" s="170">
        <f t="shared" si="25"/>
        <v>0</v>
      </c>
      <c r="AV7" s="170">
        <f t="shared" si="26"/>
        <v>0</v>
      </c>
      <c r="AW7" s="170">
        <f t="shared" si="12"/>
        <v>0</v>
      </c>
      <c r="AX7" s="171">
        <f t="shared" si="13"/>
        <v>0</v>
      </c>
      <c r="AY7" s="169">
        <f t="shared" si="14"/>
        <v>0</v>
      </c>
      <c r="AZ7" s="170">
        <v>1000</v>
      </c>
      <c r="BA7" s="170">
        <f>AY7/AI9</f>
        <v>0</v>
      </c>
      <c r="BB7" s="160"/>
      <c r="BC7" s="163"/>
      <c r="BE7" s="427"/>
      <c r="BG7" s="428"/>
      <c r="BH7" s="427"/>
    </row>
    <row r="8" spans="1:60" ht="14.95" thickBot="1" x14ac:dyDescent="0.3">
      <c r="A8" s="213">
        <f>+A7+1</f>
        <v>46084</v>
      </c>
      <c r="B8" s="157">
        <f>DAY(Tabla2[[#This Row],[FECHA]])</f>
        <v>3</v>
      </c>
      <c r="C8" s="191" t="s">
        <v>28</v>
      </c>
      <c r="D8" s="214"/>
      <c r="E8" s="215"/>
      <c r="F8" s="216"/>
      <c r="G8" s="216"/>
      <c r="H8" s="215"/>
      <c r="I8" s="408">
        <f>((Tabla2[[#This Row],[VOLUMEN ENVIADO A RO (m3)]]/80)/3)*60</f>
        <v>92.943999999999988</v>
      </c>
      <c r="J8" s="394">
        <v>0</v>
      </c>
      <c r="K8" s="394">
        <v>175</v>
      </c>
      <c r="L8" s="396">
        <v>40</v>
      </c>
      <c r="M8" s="395">
        <v>0</v>
      </c>
      <c r="N8" s="396">
        <v>0</v>
      </c>
      <c r="O8" s="271">
        <f t="shared" si="0"/>
        <v>0</v>
      </c>
      <c r="P8" s="272">
        <f t="shared" si="1"/>
        <v>1535.0877192982457</v>
      </c>
      <c r="Q8" s="255">
        <f t="shared" si="2"/>
        <v>350.87719298245617</v>
      </c>
      <c r="R8" s="272">
        <f t="shared" si="3"/>
        <v>0</v>
      </c>
      <c r="S8" s="272">
        <f t="shared" si="4"/>
        <v>0</v>
      </c>
      <c r="T8" s="257">
        <f t="shared" si="15"/>
        <v>0</v>
      </c>
      <c r="U8" s="258">
        <f>P8-P9</f>
        <v>0</v>
      </c>
      <c r="V8" s="258">
        <f>Q8-Q9</f>
        <v>0</v>
      </c>
      <c r="W8" s="258">
        <f t="shared" si="18"/>
        <v>0</v>
      </c>
      <c r="X8" s="259">
        <f t="shared" si="19"/>
        <v>0</v>
      </c>
      <c r="Y8" s="264">
        <v>1.18</v>
      </c>
      <c r="Z8" s="264">
        <v>1.28</v>
      </c>
      <c r="AA8" s="264">
        <v>1.2</v>
      </c>
      <c r="AB8" s="264">
        <v>1.53</v>
      </c>
      <c r="AC8" s="264">
        <v>1.2</v>
      </c>
      <c r="AD8" s="273">
        <f t="shared" si="5"/>
        <v>0</v>
      </c>
      <c r="AE8" s="274">
        <f t="shared" si="6"/>
        <v>0</v>
      </c>
      <c r="AF8" s="274">
        <f t="shared" si="7"/>
        <v>0</v>
      </c>
      <c r="AG8" s="274">
        <f t="shared" si="8"/>
        <v>0</v>
      </c>
      <c r="AH8" s="275">
        <f t="shared" si="9"/>
        <v>0</v>
      </c>
      <c r="AI8" s="430">
        <v>371.77600000000001</v>
      </c>
      <c r="AJ8" s="217">
        <f>(AD8*1000)/$AI12</f>
        <v>0</v>
      </c>
      <c r="AK8" s="218">
        <f>(AE8*1000)/$AI12</f>
        <v>0</v>
      </c>
      <c r="AL8" s="218">
        <f>(AF8*1000)/$AI12</f>
        <v>0</v>
      </c>
      <c r="AM8" s="218">
        <f>(AG8*1000)/$AI12</f>
        <v>0</v>
      </c>
      <c r="AN8" s="219">
        <f>(AH8*1000)/$AI12</f>
        <v>0</v>
      </c>
      <c r="AO8" s="166">
        <f t="shared" si="20"/>
        <v>1550</v>
      </c>
      <c r="AP8" s="167">
        <f t="shared" si="21"/>
        <v>19160</v>
      </c>
      <c r="AQ8" s="167">
        <f t="shared" si="22"/>
        <v>36239</v>
      </c>
      <c r="AR8" s="167">
        <f t="shared" si="23"/>
        <v>1560</v>
      </c>
      <c r="AS8" s="168">
        <f t="shared" si="24"/>
        <v>3640</v>
      </c>
      <c r="AT8" s="166">
        <f t="shared" si="11"/>
        <v>0</v>
      </c>
      <c r="AU8" s="167">
        <f t="shared" si="25"/>
        <v>0</v>
      </c>
      <c r="AV8" s="167">
        <f t="shared" si="26"/>
        <v>0</v>
      </c>
      <c r="AW8" s="167">
        <f t="shared" si="12"/>
        <v>0</v>
      </c>
      <c r="AX8" s="168">
        <f t="shared" si="13"/>
        <v>0</v>
      </c>
      <c r="AY8" s="166">
        <f t="shared" si="14"/>
        <v>0</v>
      </c>
      <c r="AZ8" s="167">
        <v>1000</v>
      </c>
      <c r="BA8" s="167">
        <f>AY8/AI12</f>
        <v>0</v>
      </c>
      <c r="BB8" s="161"/>
      <c r="BC8" s="162"/>
      <c r="BE8" s="427"/>
      <c r="BG8" s="428"/>
      <c r="BH8" s="427"/>
    </row>
    <row r="9" spans="1:60" ht="14.95" thickBot="1" x14ac:dyDescent="0.3">
      <c r="A9" s="220">
        <f>+A8</f>
        <v>46084</v>
      </c>
      <c r="B9" s="279">
        <f>DAY(Tabla2[[#This Row],[FECHA]])</f>
        <v>3</v>
      </c>
      <c r="C9" s="199" t="s">
        <v>29</v>
      </c>
      <c r="D9" s="200"/>
      <c r="E9" s="201"/>
      <c r="F9" s="202"/>
      <c r="G9" s="202"/>
      <c r="H9" s="201"/>
      <c r="I9" s="408">
        <f>((Tabla2[[#This Row],[VOLUMEN ENVIADO A RO (m3)]]/80)/3)*60</f>
        <v>97.177000000000007</v>
      </c>
      <c r="J9" s="394">
        <v>0</v>
      </c>
      <c r="K9" s="398">
        <v>175</v>
      </c>
      <c r="L9" s="399">
        <v>40</v>
      </c>
      <c r="M9" s="398">
        <v>0</v>
      </c>
      <c r="N9" s="399">
        <v>0</v>
      </c>
      <c r="O9" s="261">
        <f t="shared" si="0"/>
        <v>0</v>
      </c>
      <c r="P9" s="262">
        <f t="shared" si="1"/>
        <v>1535.0877192982457</v>
      </c>
      <c r="Q9" s="262">
        <f t="shared" si="2"/>
        <v>350.87719298245617</v>
      </c>
      <c r="R9" s="262">
        <f t="shared" si="3"/>
        <v>0</v>
      </c>
      <c r="S9" s="262">
        <f t="shared" si="4"/>
        <v>0</v>
      </c>
      <c r="T9" s="257">
        <f t="shared" si="15"/>
        <v>0</v>
      </c>
      <c r="U9" s="258">
        <f>P9-P10</f>
        <v>0</v>
      </c>
      <c r="V9" s="258">
        <f t="shared" si="17"/>
        <v>0</v>
      </c>
      <c r="W9" s="258">
        <f t="shared" si="18"/>
        <v>0</v>
      </c>
      <c r="X9" s="259">
        <f t="shared" si="19"/>
        <v>0</v>
      </c>
      <c r="Y9" s="264">
        <v>1.18</v>
      </c>
      <c r="Z9" s="264">
        <v>1.28</v>
      </c>
      <c r="AA9" s="264">
        <v>1.2</v>
      </c>
      <c r="AB9" s="264">
        <v>1.53</v>
      </c>
      <c r="AC9" s="264">
        <v>1.2</v>
      </c>
      <c r="AD9" s="257">
        <f t="shared" si="5"/>
        <v>0</v>
      </c>
      <c r="AE9" s="258">
        <f t="shared" si="6"/>
        <v>0</v>
      </c>
      <c r="AF9" s="258">
        <f t="shared" si="7"/>
        <v>0</v>
      </c>
      <c r="AG9" s="258">
        <f t="shared" si="8"/>
        <v>0</v>
      </c>
      <c r="AH9" s="259">
        <f t="shared" si="9"/>
        <v>0</v>
      </c>
      <c r="AI9" s="431">
        <v>388.70800000000003</v>
      </c>
      <c r="AJ9" s="195">
        <f>(AD9*1000)/$AI15</f>
        <v>0</v>
      </c>
      <c r="AK9" s="196">
        <f>(AE9*1000)/$AI15</f>
        <v>0</v>
      </c>
      <c r="AL9" s="196">
        <f>(AF9*1000)/$AI15</f>
        <v>0</v>
      </c>
      <c r="AM9" s="196">
        <f>(AG9*1000)/$AI15</f>
        <v>0</v>
      </c>
      <c r="AN9" s="197">
        <f>(AH9*1000)/$AI15</f>
        <v>0</v>
      </c>
      <c r="AO9" s="166">
        <f t="shared" si="20"/>
        <v>1550</v>
      </c>
      <c r="AP9" s="167">
        <f t="shared" si="21"/>
        <v>19160</v>
      </c>
      <c r="AQ9" s="167">
        <f t="shared" si="22"/>
        <v>36239</v>
      </c>
      <c r="AR9" s="167">
        <f t="shared" si="23"/>
        <v>1560</v>
      </c>
      <c r="AS9" s="168">
        <f t="shared" si="24"/>
        <v>3640</v>
      </c>
      <c r="AT9" s="166">
        <f t="shared" si="11"/>
        <v>0</v>
      </c>
      <c r="AU9" s="167">
        <f t="shared" si="25"/>
        <v>0</v>
      </c>
      <c r="AV9" s="167">
        <f t="shared" si="26"/>
        <v>0</v>
      </c>
      <c r="AW9" s="167">
        <f t="shared" si="12"/>
        <v>0</v>
      </c>
      <c r="AX9" s="168">
        <f t="shared" si="13"/>
        <v>0</v>
      </c>
      <c r="AY9" s="166">
        <f t="shared" si="14"/>
        <v>0</v>
      </c>
      <c r="AZ9" s="167">
        <v>1000</v>
      </c>
      <c r="BA9" s="167">
        <f>AY9/AI15</f>
        <v>0</v>
      </c>
      <c r="BB9" s="161"/>
      <c r="BC9" s="162"/>
      <c r="BE9" s="427"/>
      <c r="BG9" s="428"/>
      <c r="BH9" s="427"/>
    </row>
    <row r="10" spans="1:60" ht="14.95" thickBot="1" x14ac:dyDescent="0.3">
      <c r="A10" s="221">
        <f>+A9</f>
        <v>46084</v>
      </c>
      <c r="B10" s="280">
        <f>DAY(Tabla2[[#This Row],[FECHA]])</f>
        <v>3</v>
      </c>
      <c r="C10" s="204" t="s">
        <v>30</v>
      </c>
      <c r="D10" s="205"/>
      <c r="E10" s="206"/>
      <c r="F10" s="207"/>
      <c r="G10" s="208"/>
      <c r="H10" s="209"/>
      <c r="I10" s="408">
        <f>((Tabla2[[#This Row],[VOLUMEN ENVIADO A RO (m3)]]/80)/3)*60</f>
        <v>82.552499999999995</v>
      </c>
      <c r="J10" s="394">
        <v>0</v>
      </c>
      <c r="K10" s="401">
        <v>175</v>
      </c>
      <c r="L10" s="402">
        <v>40</v>
      </c>
      <c r="M10" s="401">
        <v>0</v>
      </c>
      <c r="N10" s="402">
        <v>0</v>
      </c>
      <c r="O10" s="261">
        <f t="shared" si="0"/>
        <v>0</v>
      </c>
      <c r="P10" s="266">
        <f t="shared" si="1"/>
        <v>1535.0877192982457</v>
      </c>
      <c r="Q10" s="266">
        <f t="shared" si="2"/>
        <v>350.87719298245617</v>
      </c>
      <c r="R10" s="266">
        <f t="shared" si="3"/>
        <v>0</v>
      </c>
      <c r="S10" s="266">
        <f t="shared" si="4"/>
        <v>0</v>
      </c>
      <c r="T10" s="257">
        <f t="shared" si="15"/>
        <v>0</v>
      </c>
      <c r="U10" s="258">
        <f>P10-P11</f>
        <v>0</v>
      </c>
      <c r="V10" s="258">
        <f>Q10-Q11</f>
        <v>0</v>
      </c>
      <c r="W10" s="258">
        <f t="shared" si="18"/>
        <v>0</v>
      </c>
      <c r="X10" s="259">
        <f t="shared" si="19"/>
        <v>0</v>
      </c>
      <c r="Y10" s="264">
        <v>1.18</v>
      </c>
      <c r="Z10" s="264">
        <v>1.28</v>
      </c>
      <c r="AA10" s="264">
        <v>1.2</v>
      </c>
      <c r="AB10" s="264">
        <v>1.53</v>
      </c>
      <c r="AC10" s="264">
        <v>1.2</v>
      </c>
      <c r="AD10" s="268">
        <f t="shared" si="5"/>
        <v>0</v>
      </c>
      <c r="AE10" s="269">
        <f t="shared" si="6"/>
        <v>0</v>
      </c>
      <c r="AF10" s="269">
        <f t="shared" si="7"/>
        <v>0</v>
      </c>
      <c r="AG10" s="269">
        <f t="shared" si="8"/>
        <v>0</v>
      </c>
      <c r="AH10" s="270">
        <f t="shared" si="9"/>
        <v>0</v>
      </c>
      <c r="AI10" s="432">
        <v>330.21</v>
      </c>
      <c r="AJ10" s="210">
        <f>(AD10*1000)/$AI18</f>
        <v>0</v>
      </c>
      <c r="AK10" s="211">
        <f>(AE10*1000)/$AI18</f>
        <v>0</v>
      </c>
      <c r="AL10" s="211">
        <f>(AF10*1000)/$AI18</f>
        <v>0</v>
      </c>
      <c r="AM10" s="211">
        <f>(AG10*1000)/$AI18</f>
        <v>0</v>
      </c>
      <c r="AN10" s="212">
        <f>(AH10*1000)/$AI18</f>
        <v>0</v>
      </c>
      <c r="AO10" s="166">
        <f t="shared" si="20"/>
        <v>1550</v>
      </c>
      <c r="AP10" s="167">
        <f t="shared" si="21"/>
        <v>19160</v>
      </c>
      <c r="AQ10" s="167">
        <f t="shared" si="22"/>
        <v>36239</v>
      </c>
      <c r="AR10" s="167">
        <f t="shared" si="23"/>
        <v>1560</v>
      </c>
      <c r="AS10" s="168">
        <f t="shared" si="24"/>
        <v>3640</v>
      </c>
      <c r="AT10" s="169">
        <f t="shared" si="11"/>
        <v>0</v>
      </c>
      <c r="AU10" s="170">
        <f t="shared" si="25"/>
        <v>0</v>
      </c>
      <c r="AV10" s="170">
        <f t="shared" si="26"/>
        <v>0</v>
      </c>
      <c r="AW10" s="170">
        <f t="shared" si="12"/>
        <v>0</v>
      </c>
      <c r="AX10" s="171">
        <f t="shared" si="13"/>
        <v>0</v>
      </c>
      <c r="AY10" s="169">
        <f t="shared" si="14"/>
        <v>0</v>
      </c>
      <c r="AZ10" s="170">
        <v>1000</v>
      </c>
      <c r="BA10" s="170">
        <f>AY10/AI18</f>
        <v>0</v>
      </c>
      <c r="BB10" s="160"/>
      <c r="BC10" s="163"/>
      <c r="BE10" s="427"/>
      <c r="BG10" s="428"/>
      <c r="BH10" s="427"/>
    </row>
    <row r="11" spans="1:60" ht="14.95" thickBot="1" x14ac:dyDescent="0.3">
      <c r="A11" s="213">
        <f>+A10+1</f>
        <v>46085</v>
      </c>
      <c r="B11" s="157">
        <f>DAY(Tabla2[[#This Row],[FECHA]])</f>
        <v>4</v>
      </c>
      <c r="C11" s="191" t="s">
        <v>28</v>
      </c>
      <c r="D11" s="214"/>
      <c r="E11" s="215"/>
      <c r="F11" s="216"/>
      <c r="G11" s="216"/>
      <c r="H11" s="215"/>
      <c r="I11" s="408">
        <f>((Tabla2[[#This Row],[VOLUMEN ENVIADO A RO (m3)]]/80)/3)*60</f>
        <v>69.83175</v>
      </c>
      <c r="J11" s="394">
        <v>0</v>
      </c>
      <c r="K11" s="394">
        <v>175</v>
      </c>
      <c r="L11" s="396">
        <v>40</v>
      </c>
      <c r="M11" s="395">
        <v>0</v>
      </c>
      <c r="N11" s="399">
        <v>0</v>
      </c>
      <c r="O11" s="261">
        <f t="shared" si="0"/>
        <v>0</v>
      </c>
      <c r="P11" s="272">
        <f t="shared" si="1"/>
        <v>1535.0877192982457</v>
      </c>
      <c r="Q11" s="255">
        <f t="shared" si="2"/>
        <v>350.87719298245617</v>
      </c>
      <c r="R11" s="272">
        <f t="shared" si="3"/>
        <v>0</v>
      </c>
      <c r="S11" s="272">
        <f t="shared" si="4"/>
        <v>0</v>
      </c>
      <c r="T11" s="257">
        <f t="shared" si="15"/>
        <v>0</v>
      </c>
      <c r="U11" s="258">
        <f t="shared" si="16"/>
        <v>0</v>
      </c>
      <c r="V11" s="258">
        <f t="shared" si="17"/>
        <v>105.26315789473685</v>
      </c>
      <c r="W11" s="258">
        <f t="shared" si="18"/>
        <v>0</v>
      </c>
      <c r="X11" s="259">
        <f t="shared" si="19"/>
        <v>0</v>
      </c>
      <c r="Y11" s="264">
        <v>1.18</v>
      </c>
      <c r="Z11" s="264">
        <v>1.28</v>
      </c>
      <c r="AA11" s="264">
        <v>1.2</v>
      </c>
      <c r="AB11" s="264">
        <v>1.53</v>
      </c>
      <c r="AC11" s="264">
        <v>1.2</v>
      </c>
      <c r="AD11" s="273">
        <f t="shared" si="5"/>
        <v>0</v>
      </c>
      <c r="AE11" s="274">
        <f t="shared" si="6"/>
        <v>0</v>
      </c>
      <c r="AF11" s="274">
        <f t="shared" si="7"/>
        <v>126.31578947368422</v>
      </c>
      <c r="AG11" s="274">
        <f t="shared" si="8"/>
        <v>0</v>
      </c>
      <c r="AH11" s="275">
        <f t="shared" si="9"/>
        <v>0</v>
      </c>
      <c r="AI11" s="430">
        <v>279.327</v>
      </c>
      <c r="AJ11" s="217">
        <f>(AD11*1000)/$AI21</f>
        <v>0</v>
      </c>
      <c r="AK11" s="218">
        <f>(AE11*1000)/$AI21</f>
        <v>0</v>
      </c>
      <c r="AL11" s="218">
        <f>(AF11*1000)/$AI21</f>
        <v>484.1948706816375</v>
      </c>
      <c r="AM11" s="218">
        <f>(AG11*1000)/$AI21</f>
        <v>0</v>
      </c>
      <c r="AN11" s="219">
        <f>(AH11*1000)/$AI21</f>
        <v>0</v>
      </c>
      <c r="AO11" s="166">
        <f t="shared" si="20"/>
        <v>1550</v>
      </c>
      <c r="AP11" s="167">
        <f t="shared" si="21"/>
        <v>19160</v>
      </c>
      <c r="AQ11" s="167">
        <f t="shared" si="22"/>
        <v>36239</v>
      </c>
      <c r="AR11" s="167">
        <f t="shared" si="23"/>
        <v>1560</v>
      </c>
      <c r="AS11" s="168">
        <f t="shared" si="24"/>
        <v>3640</v>
      </c>
      <c r="AT11" s="166">
        <f t="shared" si="11"/>
        <v>0</v>
      </c>
      <c r="AU11" s="167">
        <f t="shared" si="25"/>
        <v>0</v>
      </c>
      <c r="AV11" s="167">
        <f t="shared" si="26"/>
        <v>201412.54736842107</v>
      </c>
      <c r="AW11" s="167">
        <f t="shared" si="12"/>
        <v>0</v>
      </c>
      <c r="AX11" s="168">
        <f t="shared" si="13"/>
        <v>0</v>
      </c>
      <c r="AY11" s="166">
        <f t="shared" si="14"/>
        <v>201412.54736842107</v>
      </c>
      <c r="AZ11" s="167">
        <v>1000</v>
      </c>
      <c r="BA11" s="167">
        <f>AY11/AI21</f>
        <v>772.05646841980194</v>
      </c>
      <c r="BB11" s="161"/>
      <c r="BC11" s="162"/>
      <c r="BE11" s="427"/>
      <c r="BG11" s="428"/>
      <c r="BH11" s="427"/>
    </row>
    <row r="12" spans="1:60" ht="14.95" thickBot="1" x14ac:dyDescent="0.3">
      <c r="A12" s="220">
        <f>+A11</f>
        <v>46085</v>
      </c>
      <c r="B12" s="279">
        <f>DAY(Tabla2[[#This Row],[FECHA]])</f>
        <v>4</v>
      </c>
      <c r="C12" s="199" t="s">
        <v>29</v>
      </c>
      <c r="D12" s="200"/>
      <c r="E12" s="201"/>
      <c r="F12" s="202"/>
      <c r="G12" s="202"/>
      <c r="H12" s="201"/>
      <c r="I12" s="408">
        <f>((Tabla2[[#This Row],[VOLUMEN ENVIADO A RO (m3)]]/80)/3)*60</f>
        <v>99.022749999999988</v>
      </c>
      <c r="J12" s="394">
        <v>0</v>
      </c>
      <c r="K12" s="398">
        <v>175</v>
      </c>
      <c r="L12" s="399">
        <v>28</v>
      </c>
      <c r="M12" s="398">
        <v>0</v>
      </c>
      <c r="N12" s="399">
        <v>0</v>
      </c>
      <c r="O12" s="261">
        <f t="shared" si="0"/>
        <v>0</v>
      </c>
      <c r="P12" s="262">
        <f t="shared" si="1"/>
        <v>1535.0877192982457</v>
      </c>
      <c r="Q12" s="262">
        <f t="shared" si="2"/>
        <v>245.61403508771932</v>
      </c>
      <c r="R12" s="262">
        <f t="shared" si="3"/>
        <v>0</v>
      </c>
      <c r="S12" s="262">
        <f t="shared" si="4"/>
        <v>0</v>
      </c>
      <c r="T12" s="257">
        <f t="shared" si="15"/>
        <v>0</v>
      </c>
      <c r="U12" s="258">
        <f t="shared" si="16"/>
        <v>219.29824561403507</v>
      </c>
      <c r="V12" s="258">
        <f t="shared" si="17"/>
        <v>17.543859649122822</v>
      </c>
      <c r="W12" s="258">
        <f t="shared" si="18"/>
        <v>0</v>
      </c>
      <c r="X12" s="259">
        <f t="shared" si="19"/>
        <v>0</v>
      </c>
      <c r="Y12" s="264">
        <v>1.18</v>
      </c>
      <c r="Z12" s="264">
        <v>1.28</v>
      </c>
      <c r="AA12" s="264">
        <v>1.2</v>
      </c>
      <c r="AB12" s="264">
        <v>1.53</v>
      </c>
      <c r="AC12" s="264">
        <v>1.2</v>
      </c>
      <c r="AD12" s="257">
        <f t="shared" si="5"/>
        <v>0</v>
      </c>
      <c r="AE12" s="258">
        <f t="shared" si="6"/>
        <v>280.70175438596488</v>
      </c>
      <c r="AF12" s="258">
        <f t="shared" si="7"/>
        <v>21.052631578947388</v>
      </c>
      <c r="AG12" s="258">
        <f t="shared" si="8"/>
        <v>0</v>
      </c>
      <c r="AH12" s="259">
        <f t="shared" si="9"/>
        <v>0</v>
      </c>
      <c r="AI12" s="431">
        <v>396.09100000000001</v>
      </c>
      <c r="AJ12" s="195" t="e">
        <f>(AD12*1000)/$AI24</f>
        <v>#DIV/0!</v>
      </c>
      <c r="AK12" s="196" t="e">
        <f>(AE12*1000)/$AI24</f>
        <v>#DIV/0!</v>
      </c>
      <c r="AL12" s="196" t="e">
        <f>(AF12*1000)/$AI24</f>
        <v>#DIV/0!</v>
      </c>
      <c r="AM12" s="196" t="e">
        <f>(AG12*1000)/$AI24</f>
        <v>#DIV/0!</v>
      </c>
      <c r="AN12" s="197" t="e">
        <f>(AH12*1000)/$AI24</f>
        <v>#DIV/0!</v>
      </c>
      <c r="AO12" s="166">
        <f t="shared" si="20"/>
        <v>1550</v>
      </c>
      <c r="AP12" s="167">
        <f t="shared" si="21"/>
        <v>19160</v>
      </c>
      <c r="AQ12" s="167">
        <f t="shared" si="22"/>
        <v>36239</v>
      </c>
      <c r="AR12" s="167">
        <f t="shared" si="23"/>
        <v>1560</v>
      </c>
      <c r="AS12" s="168">
        <f t="shared" si="24"/>
        <v>3640</v>
      </c>
      <c r="AT12" s="166">
        <f t="shared" si="11"/>
        <v>0</v>
      </c>
      <c r="AU12" s="167">
        <f t="shared" si="25"/>
        <v>64538.947368421046</v>
      </c>
      <c r="AV12" s="167">
        <f t="shared" si="26"/>
        <v>33568.757894736867</v>
      </c>
      <c r="AW12" s="167">
        <f t="shared" si="12"/>
        <v>0</v>
      </c>
      <c r="AX12" s="168">
        <f t="shared" si="13"/>
        <v>0</v>
      </c>
      <c r="AY12" s="166">
        <f t="shared" si="14"/>
        <v>98107.705263157914</v>
      </c>
      <c r="AZ12" s="167">
        <v>1000</v>
      </c>
      <c r="BA12" s="167" t="e">
        <f>AY12/AI24</f>
        <v>#DIV/0!</v>
      </c>
      <c r="BB12" s="161"/>
      <c r="BC12" s="162"/>
      <c r="BE12" s="427"/>
      <c r="BG12" s="428"/>
      <c r="BH12" s="427"/>
    </row>
    <row r="13" spans="1:60" ht="14.95" thickBot="1" x14ac:dyDescent="0.3">
      <c r="A13" s="221">
        <f>+A12</f>
        <v>46085</v>
      </c>
      <c r="B13" s="280">
        <f>DAY(Tabla2[[#This Row],[FECHA]])</f>
        <v>4</v>
      </c>
      <c r="C13" s="204" t="s">
        <v>30</v>
      </c>
      <c r="D13" s="205"/>
      <c r="E13" s="206"/>
      <c r="F13" s="207"/>
      <c r="G13" s="208"/>
      <c r="H13" s="209"/>
      <c r="I13" s="408">
        <f>((Tabla2[[#This Row],[VOLUMEN ENVIADO A RO (m3)]]/80)/3)*60</f>
        <v>74.233000000000004</v>
      </c>
      <c r="J13" s="394">
        <v>0</v>
      </c>
      <c r="K13" s="401">
        <v>150</v>
      </c>
      <c r="L13" s="402">
        <v>26</v>
      </c>
      <c r="M13" s="401">
        <v>0</v>
      </c>
      <c r="N13" s="402">
        <v>0</v>
      </c>
      <c r="O13" s="261">
        <f t="shared" si="0"/>
        <v>0</v>
      </c>
      <c r="P13" s="266">
        <f t="shared" si="1"/>
        <v>1315.7894736842106</v>
      </c>
      <c r="Q13" s="266">
        <f t="shared" si="2"/>
        <v>228.07017543859649</v>
      </c>
      <c r="R13" s="266">
        <f t="shared" si="3"/>
        <v>0</v>
      </c>
      <c r="S13" s="266">
        <f t="shared" si="4"/>
        <v>0</v>
      </c>
      <c r="T13" s="257">
        <f t="shared" si="15"/>
        <v>0</v>
      </c>
      <c r="U13" s="258">
        <f>P13-P14</f>
        <v>315.78947368421052</v>
      </c>
      <c r="V13" s="258">
        <f>Q13-Q14</f>
        <v>105.26315789473684</v>
      </c>
      <c r="W13" s="258">
        <f t="shared" si="18"/>
        <v>0</v>
      </c>
      <c r="X13" s="259">
        <f t="shared" si="19"/>
        <v>0</v>
      </c>
      <c r="Y13" s="264">
        <v>1.18</v>
      </c>
      <c r="Z13" s="264">
        <v>1.28</v>
      </c>
      <c r="AA13" s="264">
        <v>1.2</v>
      </c>
      <c r="AB13" s="264">
        <v>1.53</v>
      </c>
      <c r="AC13" s="264">
        <v>1.2</v>
      </c>
      <c r="AD13" s="268">
        <f t="shared" si="5"/>
        <v>0</v>
      </c>
      <c r="AE13" s="269">
        <f t="shared" si="6"/>
        <v>404.21052631578948</v>
      </c>
      <c r="AF13" s="269">
        <f t="shared" si="7"/>
        <v>126.31578947368419</v>
      </c>
      <c r="AG13" s="269">
        <f t="shared" si="8"/>
        <v>0</v>
      </c>
      <c r="AH13" s="270">
        <f t="shared" si="9"/>
        <v>0</v>
      </c>
      <c r="AI13" s="432">
        <v>296.93200000000002</v>
      </c>
      <c r="AJ13" s="210">
        <f>(AD13*1000)/$AI27</f>
        <v>0</v>
      </c>
      <c r="AK13" s="211">
        <f>(AE13*1000)/$AI27</f>
        <v>1351.4407625504502</v>
      </c>
      <c r="AL13" s="211">
        <f>(AF13*1000)/$AI27</f>
        <v>422.32523829701563</v>
      </c>
      <c r="AM13" s="211">
        <f>(AG13*1000)/$AI27</f>
        <v>0</v>
      </c>
      <c r="AN13" s="212">
        <f>(AH13*1000)/$AI27</f>
        <v>0</v>
      </c>
      <c r="AO13" s="166">
        <f t="shared" si="20"/>
        <v>1550</v>
      </c>
      <c r="AP13" s="167">
        <f t="shared" si="21"/>
        <v>19160</v>
      </c>
      <c r="AQ13" s="167">
        <f t="shared" si="22"/>
        <v>36239</v>
      </c>
      <c r="AR13" s="167">
        <f t="shared" si="23"/>
        <v>1560</v>
      </c>
      <c r="AS13" s="168">
        <f t="shared" si="24"/>
        <v>3640</v>
      </c>
      <c r="AT13" s="169">
        <f t="shared" si="11"/>
        <v>0</v>
      </c>
      <c r="AU13" s="170">
        <f t="shared" si="25"/>
        <v>92936.084210526329</v>
      </c>
      <c r="AV13" s="170">
        <f t="shared" si="26"/>
        <v>201412.54736842102</v>
      </c>
      <c r="AW13" s="170">
        <f t="shared" si="12"/>
        <v>0</v>
      </c>
      <c r="AX13" s="171">
        <f t="shared" si="13"/>
        <v>0</v>
      </c>
      <c r="AY13" s="169">
        <f t="shared" si="14"/>
        <v>294348.63157894736</v>
      </c>
      <c r="AZ13" s="170">
        <v>1000</v>
      </c>
      <c r="BA13" s="170">
        <f>AY13/AI27</f>
        <v>984.12760979400377</v>
      </c>
      <c r="BB13" s="160"/>
      <c r="BC13" s="163"/>
      <c r="BE13" s="427"/>
      <c r="BG13" s="428"/>
      <c r="BH13" s="427"/>
    </row>
    <row r="14" spans="1:60" ht="14.95" thickBot="1" x14ac:dyDescent="0.3">
      <c r="A14" s="213">
        <f>+A13+1</f>
        <v>46086</v>
      </c>
      <c r="B14" s="157">
        <f>DAY(Tabla2[[#This Row],[FECHA]])</f>
        <v>5</v>
      </c>
      <c r="C14" s="191" t="s">
        <v>28</v>
      </c>
      <c r="D14" s="214"/>
      <c r="E14" s="215"/>
      <c r="F14" s="216"/>
      <c r="G14" s="216"/>
      <c r="H14" s="215"/>
      <c r="I14" s="408">
        <f>((Tabla2[[#This Row],[VOLUMEN ENVIADO A RO (m3)]]/80)/3)*60</f>
        <v>95.721500000000006</v>
      </c>
      <c r="J14" s="394">
        <v>0</v>
      </c>
      <c r="K14" s="394">
        <v>114</v>
      </c>
      <c r="L14" s="396">
        <v>14</v>
      </c>
      <c r="M14" s="395">
        <v>0</v>
      </c>
      <c r="N14" s="396">
        <v>0</v>
      </c>
      <c r="O14" s="261">
        <f t="shared" si="0"/>
        <v>0</v>
      </c>
      <c r="P14" s="272">
        <f t="shared" si="1"/>
        <v>1000.0000000000001</v>
      </c>
      <c r="Q14" s="255">
        <f t="shared" si="2"/>
        <v>122.80701754385966</v>
      </c>
      <c r="R14" s="272">
        <f t="shared" si="3"/>
        <v>0</v>
      </c>
      <c r="S14" s="272">
        <f t="shared" si="4"/>
        <v>0</v>
      </c>
      <c r="T14" s="257">
        <f t="shared" si="15"/>
        <v>0</v>
      </c>
      <c r="U14" s="258">
        <f>P14-P15</f>
        <v>61.403508771929864</v>
      </c>
      <c r="V14" s="618">
        <f>Q14-Q15+1000</f>
        <v>280.70175438596482</v>
      </c>
      <c r="W14" s="258">
        <f t="shared" si="18"/>
        <v>0</v>
      </c>
      <c r="X14" s="259">
        <f t="shared" si="19"/>
        <v>0</v>
      </c>
      <c r="Y14" s="264">
        <v>1.18</v>
      </c>
      <c r="Z14" s="264">
        <v>1.28</v>
      </c>
      <c r="AA14" s="264">
        <v>1.2</v>
      </c>
      <c r="AB14" s="264">
        <v>1.53</v>
      </c>
      <c r="AC14" s="264">
        <v>1.2</v>
      </c>
      <c r="AD14" s="273">
        <f t="shared" si="5"/>
        <v>0</v>
      </c>
      <c r="AE14" s="274">
        <f t="shared" si="6"/>
        <v>78.596491228070235</v>
      </c>
      <c r="AF14" s="274">
        <f t="shared" si="7"/>
        <v>336.84210526315775</v>
      </c>
      <c r="AG14" s="274">
        <f t="shared" si="8"/>
        <v>0</v>
      </c>
      <c r="AH14" s="275">
        <f t="shared" si="9"/>
        <v>0</v>
      </c>
      <c r="AI14" s="430">
        <v>382.88600000000002</v>
      </c>
      <c r="AJ14" s="217">
        <f>(AD14*1000)/$AI30</f>
        <v>0</v>
      </c>
      <c r="AK14" s="218">
        <f>(AE14*1000)/$AI30</f>
        <v>281.75026788287209</v>
      </c>
      <c r="AL14" s="218">
        <f>(AF14*1000)/$AI30</f>
        <v>1207.5011480694502</v>
      </c>
      <c r="AM14" s="218">
        <f>(AG14*1000)/$AI30</f>
        <v>0</v>
      </c>
      <c r="AN14" s="219">
        <f>(AH14*1000)/$AI30</f>
        <v>0</v>
      </c>
      <c r="AO14" s="166">
        <f t="shared" si="20"/>
        <v>1550</v>
      </c>
      <c r="AP14" s="167">
        <f t="shared" si="21"/>
        <v>19160</v>
      </c>
      <c r="AQ14" s="167">
        <f t="shared" si="22"/>
        <v>36239</v>
      </c>
      <c r="AR14" s="167">
        <f t="shared" si="23"/>
        <v>1560</v>
      </c>
      <c r="AS14" s="168">
        <f t="shared" si="24"/>
        <v>3640</v>
      </c>
      <c r="AT14" s="166">
        <f t="shared" si="11"/>
        <v>0</v>
      </c>
      <c r="AU14" s="167">
        <f t="shared" si="25"/>
        <v>18070.905263157911</v>
      </c>
      <c r="AV14" s="167">
        <f t="shared" si="26"/>
        <v>537100.12631578918</v>
      </c>
      <c r="AW14" s="167">
        <f t="shared" si="12"/>
        <v>0</v>
      </c>
      <c r="AX14" s="168">
        <f t="shared" si="13"/>
        <v>0</v>
      </c>
      <c r="AY14" s="166">
        <f t="shared" si="14"/>
        <v>555171.03157894709</v>
      </c>
      <c r="AZ14" s="167">
        <v>1000</v>
      </c>
      <c r="BA14" s="167">
        <f>AY14/AI30</f>
        <v>1990.1599222067373</v>
      </c>
      <c r="BB14" s="161"/>
      <c r="BC14" s="162"/>
      <c r="BE14" s="427"/>
      <c r="BG14" s="428"/>
      <c r="BH14" s="427"/>
    </row>
    <row r="15" spans="1:60" ht="14.95" thickBot="1" x14ac:dyDescent="0.3">
      <c r="A15" s="220">
        <f>+A14</f>
        <v>46086</v>
      </c>
      <c r="B15" s="279">
        <f>DAY(Tabla2[[#This Row],[FECHA]])</f>
        <v>5</v>
      </c>
      <c r="C15" s="199" t="s">
        <v>29</v>
      </c>
      <c r="D15" s="192"/>
      <c r="E15" s="193"/>
      <c r="F15" s="194"/>
      <c r="G15" s="194"/>
      <c r="H15" s="193"/>
      <c r="I15" s="408">
        <f>((Tabla2[[#This Row],[VOLUMEN ENVIADO A RO (m3)]]/80)/3)*60</f>
        <v>68.705500000000001</v>
      </c>
      <c r="J15" s="394">
        <v>0</v>
      </c>
      <c r="K15" s="398">
        <v>107</v>
      </c>
      <c r="L15" s="399">
        <v>96</v>
      </c>
      <c r="M15" s="398">
        <v>0</v>
      </c>
      <c r="N15" s="399">
        <v>0</v>
      </c>
      <c r="O15" s="261">
        <f t="shared" si="0"/>
        <v>0</v>
      </c>
      <c r="P15" s="262">
        <f t="shared" si="1"/>
        <v>938.59649122807025</v>
      </c>
      <c r="Q15" s="262">
        <f t="shared" si="2"/>
        <v>842.1052631578948</v>
      </c>
      <c r="R15" s="262">
        <f t="shared" si="3"/>
        <v>0</v>
      </c>
      <c r="S15" s="262">
        <f t="shared" si="4"/>
        <v>0</v>
      </c>
      <c r="T15" s="257">
        <f t="shared" si="15"/>
        <v>0</v>
      </c>
      <c r="U15" s="258">
        <f t="shared" si="16"/>
        <v>17.543859649122851</v>
      </c>
      <c r="V15" s="258">
        <f t="shared" si="17"/>
        <v>17.543859649122851</v>
      </c>
      <c r="W15" s="258">
        <f t="shared" si="18"/>
        <v>0</v>
      </c>
      <c r="X15" s="259">
        <f t="shared" si="19"/>
        <v>0</v>
      </c>
      <c r="Y15" s="264">
        <v>1.18</v>
      </c>
      <c r="Z15" s="264">
        <v>1.28</v>
      </c>
      <c r="AA15" s="264">
        <v>1.2</v>
      </c>
      <c r="AB15" s="264">
        <v>1.53</v>
      </c>
      <c r="AC15" s="264">
        <v>1.2</v>
      </c>
      <c r="AD15" s="257">
        <f t="shared" si="5"/>
        <v>0</v>
      </c>
      <c r="AE15" s="258">
        <f t="shared" si="6"/>
        <v>22.456140350877249</v>
      </c>
      <c r="AF15" s="258">
        <f t="shared" si="7"/>
        <v>21.05263157894742</v>
      </c>
      <c r="AG15" s="258">
        <f t="shared" si="8"/>
        <v>0</v>
      </c>
      <c r="AH15" s="259">
        <f t="shared" si="9"/>
        <v>0</v>
      </c>
      <c r="AI15" s="431">
        <v>274.822</v>
      </c>
      <c r="AJ15" s="195">
        <f>(AD15*1000)/$AI33</f>
        <v>0</v>
      </c>
      <c r="AK15" s="196">
        <f>(AE15*1000)/$AI33</f>
        <v>78.431040947192272</v>
      </c>
      <c r="AL15" s="196">
        <f>(AF15*1000)/$AI33</f>
        <v>73.529100887992755</v>
      </c>
      <c r="AM15" s="196">
        <f>(AG15*1000)/$AI33</f>
        <v>0</v>
      </c>
      <c r="AN15" s="197">
        <f>(AH15*1000)/$AI33</f>
        <v>0</v>
      </c>
      <c r="AO15" s="166">
        <f t="shared" si="20"/>
        <v>1550</v>
      </c>
      <c r="AP15" s="167">
        <f t="shared" si="21"/>
        <v>19160</v>
      </c>
      <c r="AQ15" s="167">
        <f t="shared" si="22"/>
        <v>36239</v>
      </c>
      <c r="AR15" s="167">
        <f t="shared" si="23"/>
        <v>1560</v>
      </c>
      <c r="AS15" s="168">
        <f t="shared" si="24"/>
        <v>3640</v>
      </c>
      <c r="AT15" s="166">
        <f t="shared" si="11"/>
        <v>0</v>
      </c>
      <c r="AU15" s="167">
        <f t="shared" si="25"/>
        <v>5163.1157894736971</v>
      </c>
      <c r="AV15" s="167">
        <f t="shared" si="26"/>
        <v>33568.757894736926</v>
      </c>
      <c r="AW15" s="167">
        <f t="shared" si="12"/>
        <v>0</v>
      </c>
      <c r="AX15" s="168">
        <f t="shared" si="13"/>
        <v>0</v>
      </c>
      <c r="AY15" s="166">
        <f t="shared" si="14"/>
        <v>38731.873684210623</v>
      </c>
      <c r="AZ15" s="167">
        <v>1000</v>
      </c>
      <c r="BA15" s="167">
        <f>AY15/AI33</f>
        <v>135.2761927660971</v>
      </c>
      <c r="BB15" s="161"/>
      <c r="BC15" s="162"/>
      <c r="BE15" s="427"/>
      <c r="BG15" s="428"/>
      <c r="BH15" s="427"/>
    </row>
    <row r="16" spans="1:60" ht="14.95" thickBot="1" x14ac:dyDescent="0.3">
      <c r="A16" s="221">
        <f>+A15</f>
        <v>46086</v>
      </c>
      <c r="B16" s="280">
        <f>DAY(Tabla2[[#This Row],[FECHA]])</f>
        <v>5</v>
      </c>
      <c r="C16" s="204" t="s">
        <v>30</v>
      </c>
      <c r="D16" s="222"/>
      <c r="E16" s="223"/>
      <c r="F16" s="224"/>
      <c r="G16" s="224"/>
      <c r="H16" s="223"/>
      <c r="I16" s="408">
        <f>((Tabla2[[#This Row],[VOLUMEN ENVIADO A RO (m3)]]/80)/3)*60</f>
        <v>65.643000000000001</v>
      </c>
      <c r="J16" s="394">
        <v>0</v>
      </c>
      <c r="K16" s="401">
        <v>105</v>
      </c>
      <c r="L16" s="402">
        <v>94</v>
      </c>
      <c r="M16" s="401">
        <v>0</v>
      </c>
      <c r="N16" s="402">
        <v>0</v>
      </c>
      <c r="O16" s="261">
        <f t="shared" si="0"/>
        <v>0</v>
      </c>
      <c r="P16" s="266">
        <f t="shared" si="1"/>
        <v>921.0526315789474</v>
      </c>
      <c r="Q16" s="266">
        <f t="shared" si="2"/>
        <v>824.56140350877195</v>
      </c>
      <c r="R16" s="266">
        <f t="shared" si="3"/>
        <v>0</v>
      </c>
      <c r="S16" s="266">
        <f t="shared" si="4"/>
        <v>0</v>
      </c>
      <c r="T16" s="257">
        <f t="shared" si="15"/>
        <v>0</v>
      </c>
      <c r="U16" s="258">
        <f t="shared" si="16"/>
        <v>192.98245614035091</v>
      </c>
      <c r="V16" s="258">
        <f t="shared" si="17"/>
        <v>219.29824561403507</v>
      </c>
      <c r="W16" s="258">
        <f t="shared" si="18"/>
        <v>0</v>
      </c>
      <c r="X16" s="259">
        <f t="shared" si="19"/>
        <v>0</v>
      </c>
      <c r="Y16" s="264">
        <v>1.18</v>
      </c>
      <c r="Z16" s="264">
        <v>1.28</v>
      </c>
      <c r="AA16" s="264">
        <v>1.2</v>
      </c>
      <c r="AB16" s="264">
        <v>1.53</v>
      </c>
      <c r="AC16" s="264">
        <v>1.2</v>
      </c>
      <c r="AD16" s="268">
        <f t="shared" si="5"/>
        <v>0</v>
      </c>
      <c r="AE16" s="269">
        <f t="shared" si="6"/>
        <v>247.01754385964915</v>
      </c>
      <c r="AF16" s="269">
        <f t="shared" si="7"/>
        <v>263.15789473684208</v>
      </c>
      <c r="AG16" s="269">
        <f t="shared" si="8"/>
        <v>0</v>
      </c>
      <c r="AH16" s="270">
        <f t="shared" si="9"/>
        <v>0</v>
      </c>
      <c r="AI16" s="432">
        <v>262.572</v>
      </c>
      <c r="AJ16" s="210">
        <f>(AD16*1000)/$AI36</f>
        <v>0</v>
      </c>
      <c r="AK16" s="211">
        <f>(AE16*1000)/$AI36</f>
        <v>1098.2071767839004</v>
      </c>
      <c r="AL16" s="211">
        <f>(AF16*1000)/$AI36</f>
        <v>1169.965032085121</v>
      </c>
      <c r="AM16" s="211">
        <f>(AG16*1000)/$AI36</f>
        <v>0</v>
      </c>
      <c r="AN16" s="212">
        <f>(AH16*1000)/$AI36</f>
        <v>0</v>
      </c>
      <c r="AO16" s="166">
        <f t="shared" si="20"/>
        <v>1550</v>
      </c>
      <c r="AP16" s="167">
        <f t="shared" si="21"/>
        <v>19160</v>
      </c>
      <c r="AQ16" s="167">
        <f t="shared" si="22"/>
        <v>36239</v>
      </c>
      <c r="AR16" s="167">
        <f t="shared" si="23"/>
        <v>1560</v>
      </c>
      <c r="AS16" s="168">
        <f t="shared" si="24"/>
        <v>3640</v>
      </c>
      <c r="AT16" s="169">
        <f t="shared" si="11"/>
        <v>0</v>
      </c>
      <c r="AU16" s="170">
        <f t="shared" si="25"/>
        <v>56794.273684210537</v>
      </c>
      <c r="AV16" s="170">
        <f t="shared" si="26"/>
        <v>419609.4736842105</v>
      </c>
      <c r="AW16" s="170">
        <f t="shared" si="12"/>
        <v>0</v>
      </c>
      <c r="AX16" s="171">
        <f t="shared" si="13"/>
        <v>0</v>
      </c>
      <c r="AY16" s="169">
        <f t="shared" si="14"/>
        <v>476403.74736842106</v>
      </c>
      <c r="AZ16" s="170">
        <v>1000</v>
      </c>
      <c r="BA16" s="170">
        <f>AY16/AI36</f>
        <v>2118.027757186393</v>
      </c>
      <c r="BB16" s="160"/>
      <c r="BC16" s="163"/>
      <c r="BE16" s="427"/>
      <c r="BG16" s="428"/>
      <c r="BH16" s="427"/>
    </row>
    <row r="17" spans="1:60" ht="14.95" thickBot="1" x14ac:dyDescent="0.3">
      <c r="A17" s="213">
        <f>+A16+1</f>
        <v>46087</v>
      </c>
      <c r="B17" s="281">
        <f>DAY(Tabla2[[#This Row],[FECHA]])</f>
        <v>6</v>
      </c>
      <c r="C17" s="225" t="s">
        <v>28</v>
      </c>
      <c r="D17" s="214"/>
      <c r="E17" s="215"/>
      <c r="F17" s="216"/>
      <c r="G17" s="216"/>
      <c r="H17" s="215"/>
      <c r="I17" s="408">
        <f>((Tabla2[[#This Row],[VOLUMEN ENVIADO A RO (m3)]]/80)/3)*60</f>
        <v>87.522249999999985</v>
      </c>
      <c r="J17" s="394">
        <v>0</v>
      </c>
      <c r="K17" s="394">
        <v>83</v>
      </c>
      <c r="L17" s="396">
        <v>69</v>
      </c>
      <c r="M17" s="395">
        <v>0</v>
      </c>
      <c r="N17" s="396">
        <v>0</v>
      </c>
      <c r="O17" s="261">
        <f t="shared" si="0"/>
        <v>0</v>
      </c>
      <c r="P17" s="272">
        <f t="shared" si="1"/>
        <v>728.07017543859649</v>
      </c>
      <c r="Q17" s="255">
        <f t="shared" si="2"/>
        <v>605.26315789473688</v>
      </c>
      <c r="R17" s="272">
        <f t="shared" si="3"/>
        <v>0</v>
      </c>
      <c r="S17" s="272">
        <f t="shared" si="4"/>
        <v>0</v>
      </c>
      <c r="T17" s="257">
        <f t="shared" si="15"/>
        <v>0</v>
      </c>
      <c r="U17" s="258">
        <f t="shared" si="16"/>
        <v>0</v>
      </c>
      <c r="V17" s="258">
        <f t="shared" si="17"/>
        <v>0</v>
      </c>
      <c r="W17" s="258">
        <f t="shared" si="18"/>
        <v>0</v>
      </c>
      <c r="X17" s="259">
        <f t="shared" si="19"/>
        <v>0</v>
      </c>
      <c r="Y17" s="264">
        <v>1.18</v>
      </c>
      <c r="Z17" s="264">
        <v>1.28</v>
      </c>
      <c r="AA17" s="264">
        <v>1.2</v>
      </c>
      <c r="AB17" s="264">
        <v>1.53</v>
      </c>
      <c r="AC17" s="264">
        <v>1.2</v>
      </c>
      <c r="AD17" s="273">
        <f t="shared" si="5"/>
        <v>0</v>
      </c>
      <c r="AE17" s="274">
        <f t="shared" si="6"/>
        <v>0</v>
      </c>
      <c r="AF17" s="274">
        <f t="shared" si="7"/>
        <v>0</v>
      </c>
      <c r="AG17" s="274">
        <f t="shared" si="8"/>
        <v>0</v>
      </c>
      <c r="AH17" s="275">
        <f t="shared" si="9"/>
        <v>0</v>
      </c>
      <c r="AI17" s="430">
        <v>350.089</v>
      </c>
      <c r="AJ17" s="217">
        <f>(AD17*1000)/$AI39</f>
        <v>0</v>
      </c>
      <c r="AK17" s="218">
        <f>(AE17*1000)/$AI39</f>
        <v>0</v>
      </c>
      <c r="AL17" s="218">
        <f>(AF17*1000)/$AI39</f>
        <v>0</v>
      </c>
      <c r="AM17" s="218">
        <f>(AG17*1000)/$AI39</f>
        <v>0</v>
      </c>
      <c r="AN17" s="219">
        <f>(AH17*1000)/$AI39</f>
        <v>0</v>
      </c>
      <c r="AO17" s="166">
        <f t="shared" si="20"/>
        <v>1550</v>
      </c>
      <c r="AP17" s="167">
        <f t="shared" si="21"/>
        <v>19160</v>
      </c>
      <c r="AQ17" s="167">
        <f t="shared" si="22"/>
        <v>36239</v>
      </c>
      <c r="AR17" s="167">
        <f t="shared" si="23"/>
        <v>1560</v>
      </c>
      <c r="AS17" s="168">
        <f t="shared" si="24"/>
        <v>3640</v>
      </c>
      <c r="AT17" s="166">
        <f t="shared" si="11"/>
        <v>0</v>
      </c>
      <c r="AU17" s="167">
        <f t="shared" si="25"/>
        <v>0</v>
      </c>
      <c r="AV17" s="167">
        <f t="shared" si="26"/>
        <v>0</v>
      </c>
      <c r="AW17" s="167">
        <f t="shared" si="12"/>
        <v>0</v>
      </c>
      <c r="AX17" s="168">
        <f t="shared" si="13"/>
        <v>0</v>
      </c>
      <c r="AY17" s="166">
        <f t="shared" si="14"/>
        <v>0</v>
      </c>
      <c r="AZ17" s="167">
        <v>1000</v>
      </c>
      <c r="BA17" s="167">
        <f>AY17/AI39</f>
        <v>0</v>
      </c>
      <c r="BB17" s="161"/>
      <c r="BC17" s="162"/>
      <c r="BE17" s="427"/>
      <c r="BG17" s="428"/>
      <c r="BH17" s="427"/>
    </row>
    <row r="18" spans="1:60" ht="14.95" thickBot="1" x14ac:dyDescent="0.3">
      <c r="A18" s="220">
        <f>+A17</f>
        <v>46087</v>
      </c>
      <c r="B18" s="279">
        <f>DAY(Tabla2[[#This Row],[FECHA]])</f>
        <v>6</v>
      </c>
      <c r="C18" s="199" t="s">
        <v>29</v>
      </c>
      <c r="D18" s="192"/>
      <c r="E18" s="193"/>
      <c r="F18" s="194"/>
      <c r="G18" s="194"/>
      <c r="H18" s="193"/>
      <c r="I18" s="408">
        <f>((Tabla2[[#This Row],[VOLUMEN ENVIADO A RO (m3)]]/80)/3)*60</f>
        <v>77.570250000000001</v>
      </c>
      <c r="J18" s="394">
        <v>0</v>
      </c>
      <c r="K18" s="394">
        <v>83</v>
      </c>
      <c r="L18" s="396">
        <v>69</v>
      </c>
      <c r="M18" s="398">
        <v>0</v>
      </c>
      <c r="N18" s="399">
        <v>0</v>
      </c>
      <c r="O18" s="261">
        <f t="shared" si="0"/>
        <v>0</v>
      </c>
      <c r="P18" s="262">
        <f t="shared" si="1"/>
        <v>728.07017543859649</v>
      </c>
      <c r="Q18" s="262">
        <f t="shared" si="2"/>
        <v>605.26315789473688</v>
      </c>
      <c r="R18" s="262">
        <f t="shared" si="3"/>
        <v>0</v>
      </c>
      <c r="S18" s="262">
        <f t="shared" si="4"/>
        <v>0</v>
      </c>
      <c r="T18" s="257">
        <f t="shared" si="15"/>
        <v>0</v>
      </c>
      <c r="U18" s="258">
        <f>P18-P19</f>
        <v>192.98245614035079</v>
      </c>
      <c r="V18" s="258">
        <f t="shared" si="17"/>
        <v>228.07017543859649</v>
      </c>
      <c r="W18" s="258">
        <f t="shared" si="18"/>
        <v>0</v>
      </c>
      <c r="X18" s="259">
        <f t="shared" si="19"/>
        <v>0</v>
      </c>
      <c r="Y18" s="264">
        <v>1.18</v>
      </c>
      <c r="Z18" s="264">
        <v>1.28</v>
      </c>
      <c r="AA18" s="264">
        <v>1.2</v>
      </c>
      <c r="AB18" s="264">
        <v>1.53</v>
      </c>
      <c r="AC18" s="264">
        <v>1.2</v>
      </c>
      <c r="AD18" s="257">
        <f t="shared" si="5"/>
        <v>0</v>
      </c>
      <c r="AE18" s="258">
        <f t="shared" si="6"/>
        <v>247.01754385964901</v>
      </c>
      <c r="AF18" s="258">
        <f t="shared" si="7"/>
        <v>273.68421052631578</v>
      </c>
      <c r="AG18" s="258">
        <f t="shared" si="8"/>
        <v>0</v>
      </c>
      <c r="AH18" s="259">
        <f t="shared" si="9"/>
        <v>0</v>
      </c>
      <c r="AI18" s="431">
        <v>310.28100000000001</v>
      </c>
      <c r="AJ18" s="195" t="e">
        <f>(AD18*1000)/$AI42</f>
        <v>#DIV/0!</v>
      </c>
      <c r="AK18" s="196" t="e">
        <f>(AE18*1000)/$AI42</f>
        <v>#DIV/0!</v>
      </c>
      <c r="AL18" s="196" t="e">
        <f>(AF18*1000)/$AI42</f>
        <v>#DIV/0!</v>
      </c>
      <c r="AM18" s="196" t="e">
        <f>(AG18*1000)/$AI42</f>
        <v>#DIV/0!</v>
      </c>
      <c r="AN18" s="197" t="e">
        <f>(AH18*1000)/$AI42</f>
        <v>#DIV/0!</v>
      </c>
      <c r="AO18" s="166">
        <f t="shared" si="20"/>
        <v>1550</v>
      </c>
      <c r="AP18" s="167">
        <f t="shared" si="21"/>
        <v>19160</v>
      </c>
      <c r="AQ18" s="167">
        <f t="shared" si="22"/>
        <v>36239</v>
      </c>
      <c r="AR18" s="167">
        <f t="shared" si="23"/>
        <v>1560</v>
      </c>
      <c r="AS18" s="168">
        <f t="shared" si="24"/>
        <v>3640</v>
      </c>
      <c r="AT18" s="166">
        <f t="shared" si="11"/>
        <v>0</v>
      </c>
      <c r="AU18" s="167">
        <f t="shared" si="25"/>
        <v>56794.273684210501</v>
      </c>
      <c r="AV18" s="167">
        <f t="shared" si="26"/>
        <v>436393.85263157886</v>
      </c>
      <c r="AW18" s="167">
        <f t="shared" si="12"/>
        <v>0</v>
      </c>
      <c r="AX18" s="168">
        <f t="shared" si="13"/>
        <v>0</v>
      </c>
      <c r="AY18" s="166">
        <f t="shared" si="14"/>
        <v>493188.12631578936</v>
      </c>
      <c r="AZ18" s="167">
        <v>1000</v>
      </c>
      <c r="BA18" s="167" t="e">
        <f>AY18/AI42</f>
        <v>#DIV/0!</v>
      </c>
      <c r="BB18" s="161"/>
      <c r="BC18" s="162"/>
      <c r="BE18" s="427"/>
      <c r="BG18" s="428"/>
      <c r="BH18" s="427"/>
    </row>
    <row r="19" spans="1:60" ht="14.95" thickBot="1" x14ac:dyDescent="0.3">
      <c r="A19" s="221">
        <f>+A18</f>
        <v>46087</v>
      </c>
      <c r="B19" s="280">
        <f>DAY(Tabla2[[#This Row],[FECHA]])</f>
        <v>6</v>
      </c>
      <c r="C19" s="204" t="s">
        <v>30</v>
      </c>
      <c r="D19" s="222"/>
      <c r="E19" s="223"/>
      <c r="F19" s="224"/>
      <c r="G19" s="224"/>
      <c r="H19" s="223"/>
      <c r="I19" s="408">
        <f>((Tabla2[[#This Row],[VOLUMEN ENVIADO A RO (m3)]]/80)/3)*60</f>
        <v>78.048749999999998</v>
      </c>
      <c r="J19" s="394">
        <v>0</v>
      </c>
      <c r="K19" s="401">
        <v>61</v>
      </c>
      <c r="L19" s="402">
        <v>43</v>
      </c>
      <c r="M19" s="401">
        <v>0</v>
      </c>
      <c r="N19" s="402">
        <v>0</v>
      </c>
      <c r="O19" s="261">
        <f t="shared" si="0"/>
        <v>0</v>
      </c>
      <c r="P19" s="266">
        <f t="shared" si="1"/>
        <v>535.0877192982457</v>
      </c>
      <c r="Q19" s="266">
        <f t="shared" si="2"/>
        <v>377.19298245614038</v>
      </c>
      <c r="R19" s="266">
        <f t="shared" si="3"/>
        <v>0</v>
      </c>
      <c r="S19" s="266">
        <f t="shared" si="4"/>
        <v>0</v>
      </c>
      <c r="T19" s="257">
        <f t="shared" si="15"/>
        <v>0</v>
      </c>
      <c r="U19" s="258">
        <f t="shared" si="16"/>
        <v>96.491228070175509</v>
      </c>
      <c r="V19" s="258">
        <f t="shared" si="17"/>
        <v>78.947368421052659</v>
      </c>
      <c r="W19" s="258">
        <f t="shared" si="18"/>
        <v>0</v>
      </c>
      <c r="X19" s="259">
        <f t="shared" si="19"/>
        <v>0</v>
      </c>
      <c r="Y19" s="264">
        <v>1.18</v>
      </c>
      <c r="Z19" s="264">
        <v>1.28</v>
      </c>
      <c r="AA19" s="264">
        <v>1.2</v>
      </c>
      <c r="AB19" s="264">
        <v>1.53</v>
      </c>
      <c r="AC19" s="264">
        <v>1.2</v>
      </c>
      <c r="AD19" s="268">
        <f t="shared" si="5"/>
        <v>0</v>
      </c>
      <c r="AE19" s="269">
        <f t="shared" si="6"/>
        <v>123.50877192982466</v>
      </c>
      <c r="AF19" s="269">
        <f t="shared" si="7"/>
        <v>94.736842105263193</v>
      </c>
      <c r="AG19" s="269">
        <f t="shared" si="8"/>
        <v>0</v>
      </c>
      <c r="AH19" s="270">
        <f t="shared" si="9"/>
        <v>0</v>
      </c>
      <c r="AI19" s="432">
        <v>312.19499999999999</v>
      </c>
      <c r="AJ19" s="210" t="e">
        <f>(AD19*1000)/$AI45</f>
        <v>#DIV/0!</v>
      </c>
      <c r="AK19" s="211" t="e">
        <f>(AE19*1000)/$AI45</f>
        <v>#DIV/0!</v>
      </c>
      <c r="AL19" s="211" t="e">
        <f>(AF19*1000)/$AI45</f>
        <v>#DIV/0!</v>
      </c>
      <c r="AM19" s="211" t="e">
        <f>(AG19*1000)/$AI45</f>
        <v>#DIV/0!</v>
      </c>
      <c r="AN19" s="212" t="e">
        <f>(AH19*1000)/$AI45</f>
        <v>#DIV/0!</v>
      </c>
      <c r="AO19" s="166">
        <f t="shared" si="20"/>
        <v>1550</v>
      </c>
      <c r="AP19" s="167">
        <f t="shared" si="21"/>
        <v>19160</v>
      </c>
      <c r="AQ19" s="167">
        <f t="shared" si="22"/>
        <v>36239</v>
      </c>
      <c r="AR19" s="167">
        <f t="shared" si="23"/>
        <v>1560</v>
      </c>
      <c r="AS19" s="168">
        <f t="shared" si="24"/>
        <v>3640</v>
      </c>
      <c r="AT19" s="169">
        <f t="shared" si="11"/>
        <v>0</v>
      </c>
      <c r="AU19" s="170">
        <f t="shared" si="25"/>
        <v>28397.136842105287</v>
      </c>
      <c r="AV19" s="170">
        <f t="shared" si="26"/>
        <v>151059.41052631583</v>
      </c>
      <c r="AW19" s="170">
        <f t="shared" si="12"/>
        <v>0</v>
      </c>
      <c r="AX19" s="171">
        <f t="shared" si="13"/>
        <v>0</v>
      </c>
      <c r="AY19" s="169">
        <f t="shared" si="14"/>
        <v>179456.5473684211</v>
      </c>
      <c r="AZ19" s="170">
        <v>1000</v>
      </c>
      <c r="BA19" s="170" t="e">
        <f>AY19/AI45</f>
        <v>#DIV/0!</v>
      </c>
      <c r="BB19" s="160"/>
      <c r="BC19" s="163"/>
      <c r="BE19" s="427"/>
      <c r="BG19" s="428"/>
      <c r="BH19" s="427"/>
    </row>
    <row r="20" spans="1:60" ht="14.95" thickBot="1" x14ac:dyDescent="0.3">
      <c r="A20" s="213">
        <f>+A19+1</f>
        <v>46088</v>
      </c>
      <c r="B20" s="281">
        <f>DAY(Tabla2[[#This Row],[FECHA]])</f>
        <v>7</v>
      </c>
      <c r="C20" s="225" t="s">
        <v>28</v>
      </c>
      <c r="D20" s="214"/>
      <c r="E20" s="215"/>
      <c r="F20" s="216"/>
      <c r="G20" s="216"/>
      <c r="H20" s="215"/>
      <c r="I20" s="408">
        <f>((Tabla2[[#This Row],[VOLUMEN ENVIADO A RO (m3)]]/80)/3)*60</f>
        <v>70.914500000000004</v>
      </c>
      <c r="J20" s="394">
        <v>0</v>
      </c>
      <c r="K20" s="394">
        <v>50</v>
      </c>
      <c r="L20" s="396">
        <v>34</v>
      </c>
      <c r="M20" s="395">
        <v>0</v>
      </c>
      <c r="N20" s="396">
        <v>0</v>
      </c>
      <c r="O20" s="261">
        <f t="shared" si="0"/>
        <v>0</v>
      </c>
      <c r="P20" s="272">
        <f t="shared" si="1"/>
        <v>438.59649122807019</v>
      </c>
      <c r="Q20" s="255">
        <f t="shared" si="2"/>
        <v>298.24561403508773</v>
      </c>
      <c r="R20" s="272">
        <f t="shared" si="3"/>
        <v>0</v>
      </c>
      <c r="S20" s="272">
        <f t="shared" si="4"/>
        <v>0</v>
      </c>
      <c r="T20" s="257">
        <f t="shared" si="15"/>
        <v>0</v>
      </c>
      <c r="U20" s="258">
        <f t="shared" si="16"/>
        <v>0</v>
      </c>
      <c r="V20" s="258">
        <f t="shared" si="17"/>
        <v>0</v>
      </c>
      <c r="W20" s="258">
        <f t="shared" si="18"/>
        <v>0</v>
      </c>
      <c r="X20" s="259">
        <f t="shared" si="19"/>
        <v>0</v>
      </c>
      <c r="Y20" s="264">
        <v>1.18</v>
      </c>
      <c r="Z20" s="264">
        <v>1.28</v>
      </c>
      <c r="AA20" s="264">
        <v>1.2</v>
      </c>
      <c r="AB20" s="264">
        <v>1.53</v>
      </c>
      <c r="AC20" s="264">
        <v>1.2</v>
      </c>
      <c r="AD20" s="273">
        <f t="shared" si="5"/>
        <v>0</v>
      </c>
      <c r="AE20" s="274">
        <f t="shared" si="6"/>
        <v>0</v>
      </c>
      <c r="AF20" s="274">
        <f t="shared" si="7"/>
        <v>0</v>
      </c>
      <c r="AG20" s="274">
        <f t="shared" si="8"/>
        <v>0</v>
      </c>
      <c r="AH20" s="275">
        <f t="shared" si="9"/>
        <v>0</v>
      </c>
      <c r="AI20" s="430">
        <v>283.65800000000002</v>
      </c>
      <c r="AJ20" s="217">
        <f>(AD20*1000)/$AI48</f>
        <v>0</v>
      </c>
      <c r="AK20" s="218">
        <f>(AE20*1000)/$AI48</f>
        <v>0</v>
      </c>
      <c r="AL20" s="218">
        <f>(AF20*1000)/$AI48</f>
        <v>0</v>
      </c>
      <c r="AM20" s="218">
        <f>(AG20*1000)/$AI48</f>
        <v>0</v>
      </c>
      <c r="AN20" s="219">
        <f>(AH20*1000)/$AI48</f>
        <v>0</v>
      </c>
      <c r="AO20" s="166">
        <f t="shared" si="20"/>
        <v>1550</v>
      </c>
      <c r="AP20" s="167">
        <f t="shared" si="21"/>
        <v>19160</v>
      </c>
      <c r="AQ20" s="167">
        <f t="shared" si="22"/>
        <v>36239</v>
      </c>
      <c r="AR20" s="167">
        <f t="shared" si="23"/>
        <v>1560</v>
      </c>
      <c r="AS20" s="168">
        <f t="shared" si="24"/>
        <v>3640</v>
      </c>
      <c r="AT20" s="166">
        <f t="shared" si="11"/>
        <v>0</v>
      </c>
      <c r="AU20" s="167">
        <f t="shared" si="25"/>
        <v>0</v>
      </c>
      <c r="AV20" s="167">
        <f t="shared" si="26"/>
        <v>0</v>
      </c>
      <c r="AW20" s="167">
        <f t="shared" si="12"/>
        <v>0</v>
      </c>
      <c r="AX20" s="168">
        <f t="shared" si="13"/>
        <v>0</v>
      </c>
      <c r="AY20" s="166">
        <f t="shared" si="14"/>
        <v>0</v>
      </c>
      <c r="AZ20" s="167">
        <v>1000</v>
      </c>
      <c r="BA20" s="167">
        <f>AY20/AI48</f>
        <v>0</v>
      </c>
      <c r="BB20" s="161"/>
      <c r="BC20" s="162"/>
      <c r="BE20" s="427"/>
      <c r="BG20" s="428"/>
      <c r="BH20" s="427"/>
    </row>
    <row r="21" spans="1:60" ht="14.95" thickBot="1" x14ac:dyDescent="0.3">
      <c r="A21" s="220">
        <f>+A20</f>
        <v>46088</v>
      </c>
      <c r="B21" s="279">
        <f>DAY(Tabla2[[#This Row],[FECHA]])</f>
        <v>7</v>
      </c>
      <c r="C21" s="199" t="s">
        <v>29</v>
      </c>
      <c r="D21" s="192"/>
      <c r="E21" s="193"/>
      <c r="F21" s="194"/>
      <c r="G21" s="194"/>
      <c r="H21" s="193"/>
      <c r="I21" s="408">
        <f>((Tabla2[[#This Row],[VOLUMEN ENVIADO A RO (m3)]]/80)/3)*60</f>
        <v>65.219499999999996</v>
      </c>
      <c r="J21" s="394">
        <v>0</v>
      </c>
      <c r="K21" s="398">
        <v>50</v>
      </c>
      <c r="L21" s="399">
        <v>34</v>
      </c>
      <c r="M21" s="398">
        <v>0</v>
      </c>
      <c r="N21" s="399">
        <v>0</v>
      </c>
      <c r="O21" s="261">
        <f t="shared" si="0"/>
        <v>0</v>
      </c>
      <c r="P21" s="262">
        <f t="shared" si="1"/>
        <v>438.59649122807019</v>
      </c>
      <c r="Q21" s="262">
        <f t="shared" si="2"/>
        <v>298.24561403508773</v>
      </c>
      <c r="R21" s="262">
        <f t="shared" si="3"/>
        <v>0</v>
      </c>
      <c r="S21" s="262">
        <f t="shared" si="4"/>
        <v>0</v>
      </c>
      <c r="T21" s="257">
        <f t="shared" si="15"/>
        <v>0</v>
      </c>
      <c r="U21" s="258">
        <f t="shared" si="16"/>
        <v>0</v>
      </c>
      <c r="V21" s="258">
        <f t="shared" si="17"/>
        <v>0</v>
      </c>
      <c r="W21" s="258">
        <f t="shared" si="18"/>
        <v>0</v>
      </c>
      <c r="X21" s="259">
        <f t="shared" si="19"/>
        <v>0</v>
      </c>
      <c r="Y21" s="264">
        <v>1.18</v>
      </c>
      <c r="Z21" s="264">
        <v>1.28</v>
      </c>
      <c r="AA21" s="264">
        <v>1.2</v>
      </c>
      <c r="AB21" s="264">
        <v>1.53</v>
      </c>
      <c r="AC21" s="264">
        <v>1.2</v>
      </c>
      <c r="AD21" s="257">
        <f t="shared" si="5"/>
        <v>0</v>
      </c>
      <c r="AE21" s="258">
        <f t="shared" si="6"/>
        <v>0</v>
      </c>
      <c r="AF21" s="258">
        <f t="shared" si="7"/>
        <v>0</v>
      </c>
      <c r="AG21" s="258">
        <f t="shared" si="8"/>
        <v>0</v>
      </c>
      <c r="AH21" s="259">
        <f t="shared" si="9"/>
        <v>0</v>
      </c>
      <c r="AI21" s="431">
        <v>260.87799999999999</v>
      </c>
      <c r="AJ21" s="195">
        <f>(AD21*1000)/$AI51</f>
        <v>0</v>
      </c>
      <c r="AK21" s="196">
        <f>(AE21*1000)/$AI51</f>
        <v>0</v>
      </c>
      <c r="AL21" s="196">
        <f>(AF21*1000)/$AI51</f>
        <v>0</v>
      </c>
      <c r="AM21" s="196">
        <f>(AG21*1000)/$AI51</f>
        <v>0</v>
      </c>
      <c r="AN21" s="197">
        <f>(AH21*1000)/$AI51</f>
        <v>0</v>
      </c>
      <c r="AO21" s="166">
        <f t="shared" si="20"/>
        <v>1550</v>
      </c>
      <c r="AP21" s="167">
        <f t="shared" si="21"/>
        <v>19160</v>
      </c>
      <c r="AQ21" s="167">
        <f t="shared" si="22"/>
        <v>36239</v>
      </c>
      <c r="AR21" s="167">
        <f t="shared" si="23"/>
        <v>1560</v>
      </c>
      <c r="AS21" s="168">
        <f t="shared" si="24"/>
        <v>3640</v>
      </c>
      <c r="AT21" s="166">
        <f t="shared" si="11"/>
        <v>0</v>
      </c>
      <c r="AU21" s="167">
        <f t="shared" si="25"/>
        <v>0</v>
      </c>
      <c r="AV21" s="167">
        <f t="shared" si="26"/>
        <v>0</v>
      </c>
      <c r="AW21" s="167">
        <f t="shared" si="12"/>
        <v>0</v>
      </c>
      <c r="AX21" s="168">
        <f t="shared" si="13"/>
        <v>0</v>
      </c>
      <c r="AY21" s="166">
        <f t="shared" si="14"/>
        <v>0</v>
      </c>
      <c r="AZ21" s="167">
        <v>1000</v>
      </c>
      <c r="BA21" s="167">
        <f>AY21/AI51</f>
        <v>0</v>
      </c>
      <c r="BB21" s="161"/>
      <c r="BC21" s="162"/>
      <c r="BE21" s="427"/>
      <c r="BG21" s="428"/>
      <c r="BH21" s="427"/>
    </row>
    <row r="22" spans="1:60" ht="14.95" thickBot="1" x14ac:dyDescent="0.3">
      <c r="A22" s="221">
        <f>+A21</f>
        <v>46088</v>
      </c>
      <c r="B22" s="280">
        <f>DAY(Tabla2[[#This Row],[FECHA]])</f>
        <v>7</v>
      </c>
      <c r="C22" s="204" t="s">
        <v>30</v>
      </c>
      <c r="D22" s="222"/>
      <c r="E22" s="223"/>
      <c r="F22" s="224"/>
      <c r="G22" s="224"/>
      <c r="H22" s="223"/>
      <c r="I22" s="408">
        <f>((Tabla2[[#This Row],[VOLUMEN ENVIADO A RO (m3)]]/80)/3)*60</f>
        <v>0</v>
      </c>
      <c r="J22" s="394">
        <v>0</v>
      </c>
      <c r="K22" s="401">
        <v>50</v>
      </c>
      <c r="L22" s="402">
        <v>34</v>
      </c>
      <c r="M22" s="401">
        <v>0</v>
      </c>
      <c r="N22" s="402">
        <v>0</v>
      </c>
      <c r="O22" s="261">
        <f t="shared" si="0"/>
        <v>0</v>
      </c>
      <c r="P22" s="266">
        <f t="shared" si="1"/>
        <v>438.59649122807019</v>
      </c>
      <c r="Q22" s="266">
        <f t="shared" si="2"/>
        <v>298.24561403508773</v>
      </c>
      <c r="R22" s="266">
        <f t="shared" si="3"/>
        <v>0</v>
      </c>
      <c r="S22" s="266">
        <f t="shared" si="4"/>
        <v>0</v>
      </c>
      <c r="T22" s="257">
        <f t="shared" si="15"/>
        <v>0</v>
      </c>
      <c r="U22" s="258">
        <f t="shared" si="16"/>
        <v>0</v>
      </c>
      <c r="V22" s="258">
        <f>Q22-Q23</f>
        <v>0</v>
      </c>
      <c r="W22" s="258">
        <f t="shared" si="18"/>
        <v>0</v>
      </c>
      <c r="X22" s="259">
        <f t="shared" si="19"/>
        <v>0</v>
      </c>
      <c r="Y22" s="264">
        <v>1.18</v>
      </c>
      <c r="Z22" s="264">
        <v>1.28</v>
      </c>
      <c r="AA22" s="264">
        <v>1.2</v>
      </c>
      <c r="AB22" s="264">
        <v>1.53</v>
      </c>
      <c r="AC22" s="264">
        <v>1.2</v>
      </c>
      <c r="AD22" s="268">
        <f t="shared" si="5"/>
        <v>0</v>
      </c>
      <c r="AE22" s="269">
        <f t="shared" si="6"/>
        <v>0</v>
      </c>
      <c r="AF22" s="269">
        <f t="shared" si="7"/>
        <v>0</v>
      </c>
      <c r="AG22" s="269">
        <f t="shared" si="8"/>
        <v>0</v>
      </c>
      <c r="AH22" s="270">
        <f t="shared" si="9"/>
        <v>0</v>
      </c>
      <c r="AI22" s="432">
        <v>0</v>
      </c>
      <c r="AJ22" s="210">
        <f>(AD22*1000)/$AI54</f>
        <v>0</v>
      </c>
      <c r="AK22" s="211">
        <f>(AE22*1000)/$AI54</f>
        <v>0</v>
      </c>
      <c r="AL22" s="211">
        <f>(AF22*1000)/$AI54</f>
        <v>0</v>
      </c>
      <c r="AM22" s="211">
        <f>(AG22*1000)/$AI54</f>
        <v>0</v>
      </c>
      <c r="AN22" s="212">
        <f>(AH22*1000)/$AI54</f>
        <v>0</v>
      </c>
      <c r="AO22" s="166">
        <f t="shared" si="20"/>
        <v>1550</v>
      </c>
      <c r="AP22" s="167">
        <f t="shared" si="21"/>
        <v>19160</v>
      </c>
      <c r="AQ22" s="167">
        <f t="shared" si="22"/>
        <v>36239</v>
      </c>
      <c r="AR22" s="167">
        <f t="shared" si="23"/>
        <v>1560</v>
      </c>
      <c r="AS22" s="168">
        <f t="shared" si="24"/>
        <v>3640</v>
      </c>
      <c r="AT22" s="169">
        <f t="shared" si="11"/>
        <v>0</v>
      </c>
      <c r="AU22" s="170">
        <f t="shared" si="25"/>
        <v>0</v>
      </c>
      <c r="AV22" s="170">
        <f t="shared" si="26"/>
        <v>0</v>
      </c>
      <c r="AW22" s="170">
        <f t="shared" si="12"/>
        <v>0</v>
      </c>
      <c r="AX22" s="171">
        <f t="shared" si="13"/>
        <v>0</v>
      </c>
      <c r="AY22" s="169">
        <f t="shared" si="14"/>
        <v>0</v>
      </c>
      <c r="AZ22" s="170">
        <v>1000</v>
      </c>
      <c r="BA22" s="170">
        <f>AY22/AI54</f>
        <v>0</v>
      </c>
      <c r="BB22" s="160"/>
      <c r="BC22" s="163"/>
      <c r="BE22" s="427"/>
      <c r="BG22" s="428"/>
      <c r="BH22" s="427"/>
    </row>
    <row r="23" spans="1:60" ht="14.95" thickBot="1" x14ac:dyDescent="0.3">
      <c r="A23" s="213">
        <f>+A22+1</f>
        <v>46089</v>
      </c>
      <c r="B23" s="281">
        <f>DAY(Tabla2[[#This Row],[FECHA]])</f>
        <v>8</v>
      </c>
      <c r="C23" s="225" t="s">
        <v>28</v>
      </c>
      <c r="D23" s="214"/>
      <c r="E23" s="215"/>
      <c r="F23" s="216"/>
      <c r="G23" s="216"/>
      <c r="H23" s="215"/>
      <c r="I23" s="408">
        <f>((Tabla2[[#This Row],[VOLUMEN ENVIADO A RO (m3)]]/80)/3)*60</f>
        <v>0</v>
      </c>
      <c r="J23" s="394">
        <v>0</v>
      </c>
      <c r="K23" s="394">
        <v>50</v>
      </c>
      <c r="L23" s="396">
        <v>34</v>
      </c>
      <c r="M23" s="395">
        <v>0</v>
      </c>
      <c r="N23" s="396">
        <v>0</v>
      </c>
      <c r="O23" s="261">
        <f t="shared" si="0"/>
        <v>0</v>
      </c>
      <c r="P23" s="272">
        <f t="shared" si="1"/>
        <v>438.59649122807019</v>
      </c>
      <c r="Q23" s="255">
        <f t="shared" si="2"/>
        <v>298.24561403508773</v>
      </c>
      <c r="R23" s="272">
        <f t="shared" si="3"/>
        <v>0</v>
      </c>
      <c r="S23" s="272">
        <f t="shared" si="4"/>
        <v>0</v>
      </c>
      <c r="T23" s="257">
        <f t="shared" si="15"/>
        <v>0</v>
      </c>
      <c r="U23" s="258">
        <f t="shared" si="16"/>
        <v>0</v>
      </c>
      <c r="V23" s="258">
        <f t="shared" si="17"/>
        <v>0</v>
      </c>
      <c r="W23" s="258">
        <f t="shared" si="18"/>
        <v>0</v>
      </c>
      <c r="X23" s="259">
        <f t="shared" si="19"/>
        <v>0</v>
      </c>
      <c r="Y23" s="264">
        <v>1.18</v>
      </c>
      <c r="Z23" s="264">
        <v>1.28</v>
      </c>
      <c r="AA23" s="264">
        <v>1.2</v>
      </c>
      <c r="AB23" s="264">
        <v>1.53</v>
      </c>
      <c r="AC23" s="264">
        <v>1.2</v>
      </c>
      <c r="AD23" s="273">
        <f t="shared" si="5"/>
        <v>0</v>
      </c>
      <c r="AE23" s="274">
        <f t="shared" si="6"/>
        <v>0</v>
      </c>
      <c r="AF23" s="274">
        <f t="shared" si="7"/>
        <v>0</v>
      </c>
      <c r="AG23" s="274">
        <f t="shared" si="8"/>
        <v>0</v>
      </c>
      <c r="AH23" s="275">
        <f t="shared" si="9"/>
        <v>0</v>
      </c>
      <c r="AI23" s="430">
        <v>0</v>
      </c>
      <c r="AJ23" s="217" t="e">
        <f>(AD23*1000)/$AI57</f>
        <v>#DIV/0!</v>
      </c>
      <c r="AK23" s="218" t="e">
        <f>(AE23*1000)/$AI57</f>
        <v>#DIV/0!</v>
      </c>
      <c r="AL23" s="218" t="e">
        <f>(AF23*1000)/$AI57</f>
        <v>#DIV/0!</v>
      </c>
      <c r="AM23" s="218" t="e">
        <f>(AG23*1000)/$AI57</f>
        <v>#DIV/0!</v>
      </c>
      <c r="AN23" s="219" t="e">
        <f>(AH23*1000)/$AI57</f>
        <v>#DIV/0!</v>
      </c>
      <c r="AO23" s="166">
        <f t="shared" si="20"/>
        <v>1550</v>
      </c>
      <c r="AP23" s="167">
        <f t="shared" si="21"/>
        <v>19160</v>
      </c>
      <c r="AQ23" s="167">
        <f t="shared" si="22"/>
        <v>36239</v>
      </c>
      <c r="AR23" s="167">
        <f t="shared" si="23"/>
        <v>1560</v>
      </c>
      <c r="AS23" s="168">
        <f t="shared" si="24"/>
        <v>3640</v>
      </c>
      <c r="AT23" s="166">
        <f t="shared" si="11"/>
        <v>0</v>
      </c>
      <c r="AU23" s="167">
        <f t="shared" si="25"/>
        <v>0</v>
      </c>
      <c r="AV23" s="167">
        <f t="shared" si="26"/>
        <v>0</v>
      </c>
      <c r="AW23" s="167">
        <f t="shared" si="12"/>
        <v>0</v>
      </c>
      <c r="AX23" s="168">
        <f t="shared" si="13"/>
        <v>0</v>
      </c>
      <c r="AY23" s="166">
        <f t="shared" si="14"/>
        <v>0</v>
      </c>
      <c r="AZ23" s="167">
        <v>1000</v>
      </c>
      <c r="BA23" s="167" t="e">
        <f>AY23/AI57</f>
        <v>#DIV/0!</v>
      </c>
      <c r="BB23" s="161"/>
      <c r="BC23" s="162"/>
      <c r="BE23" s="427"/>
      <c r="BG23" s="428"/>
      <c r="BH23" s="427"/>
    </row>
    <row r="24" spans="1:60" ht="14.95" thickBot="1" x14ac:dyDescent="0.3">
      <c r="A24" s="220">
        <f>+A23</f>
        <v>46089</v>
      </c>
      <c r="B24" s="279">
        <f>DAY(Tabla2[[#This Row],[FECHA]])</f>
        <v>8</v>
      </c>
      <c r="C24" s="199" t="s">
        <v>29</v>
      </c>
      <c r="D24" s="192"/>
      <c r="E24" s="193"/>
      <c r="F24" s="194"/>
      <c r="G24" s="194"/>
      <c r="H24" s="193"/>
      <c r="I24" s="408">
        <f>((Tabla2[[#This Row],[VOLUMEN ENVIADO A RO (m3)]]/80)/3)*60</f>
        <v>0</v>
      </c>
      <c r="J24" s="394">
        <v>0</v>
      </c>
      <c r="K24" s="398">
        <v>50</v>
      </c>
      <c r="L24" s="399">
        <v>34</v>
      </c>
      <c r="M24" s="398">
        <v>0</v>
      </c>
      <c r="N24" s="399">
        <v>0</v>
      </c>
      <c r="O24" s="261">
        <f t="shared" si="0"/>
        <v>0</v>
      </c>
      <c r="P24" s="262">
        <f t="shared" si="1"/>
        <v>438.59649122807019</v>
      </c>
      <c r="Q24" s="262">
        <f t="shared" si="2"/>
        <v>298.24561403508773</v>
      </c>
      <c r="R24" s="262">
        <f t="shared" si="3"/>
        <v>0</v>
      </c>
      <c r="S24" s="262">
        <f t="shared" si="4"/>
        <v>0</v>
      </c>
      <c r="T24" s="257">
        <f t="shared" si="15"/>
        <v>0</v>
      </c>
      <c r="U24" s="258">
        <f t="shared" si="16"/>
        <v>0</v>
      </c>
      <c r="V24" s="258">
        <f t="shared" si="17"/>
        <v>0</v>
      </c>
      <c r="W24" s="258">
        <f t="shared" si="18"/>
        <v>0</v>
      </c>
      <c r="X24" s="259">
        <f t="shared" si="19"/>
        <v>0</v>
      </c>
      <c r="Y24" s="264">
        <v>1.18</v>
      </c>
      <c r="Z24" s="264">
        <v>1.28</v>
      </c>
      <c r="AA24" s="264">
        <v>1.2</v>
      </c>
      <c r="AB24" s="264">
        <v>1.53</v>
      </c>
      <c r="AC24" s="264">
        <v>1.2</v>
      </c>
      <c r="AD24" s="257">
        <f t="shared" si="5"/>
        <v>0</v>
      </c>
      <c r="AE24" s="258">
        <f t="shared" si="6"/>
        <v>0</v>
      </c>
      <c r="AF24" s="258">
        <f t="shared" si="7"/>
        <v>0</v>
      </c>
      <c r="AG24" s="258">
        <f t="shared" si="8"/>
        <v>0</v>
      </c>
      <c r="AH24" s="259">
        <f t="shared" si="9"/>
        <v>0</v>
      </c>
      <c r="AI24" s="431">
        <v>0</v>
      </c>
      <c r="AJ24" s="195">
        <f>(AD24*1000)/$AI60</f>
        <v>0</v>
      </c>
      <c r="AK24" s="196">
        <f>(AE24*1000)/$AI60</f>
        <v>0</v>
      </c>
      <c r="AL24" s="196">
        <f>(AF24*1000)/$AI60</f>
        <v>0</v>
      </c>
      <c r="AM24" s="196">
        <f>(AG24*1000)/$AI60</f>
        <v>0</v>
      </c>
      <c r="AN24" s="197">
        <f>(AH24*1000)/$AI60</f>
        <v>0</v>
      </c>
      <c r="AO24" s="166">
        <f t="shared" si="20"/>
        <v>1550</v>
      </c>
      <c r="AP24" s="167">
        <f t="shared" si="21"/>
        <v>19160</v>
      </c>
      <c r="AQ24" s="167">
        <f t="shared" si="22"/>
        <v>36239</v>
      </c>
      <c r="AR24" s="167">
        <f t="shared" si="23"/>
        <v>1560</v>
      </c>
      <c r="AS24" s="168">
        <f t="shared" si="24"/>
        <v>3640</v>
      </c>
      <c r="AT24" s="166">
        <f t="shared" si="11"/>
        <v>0</v>
      </c>
      <c r="AU24" s="167">
        <f t="shared" si="25"/>
        <v>0</v>
      </c>
      <c r="AV24" s="167">
        <f t="shared" si="26"/>
        <v>0</v>
      </c>
      <c r="AW24" s="167">
        <f t="shared" si="12"/>
        <v>0</v>
      </c>
      <c r="AX24" s="168">
        <f t="shared" si="13"/>
        <v>0</v>
      </c>
      <c r="AY24" s="166">
        <f t="shared" si="14"/>
        <v>0</v>
      </c>
      <c r="AZ24" s="167">
        <v>1000</v>
      </c>
      <c r="BA24" s="167">
        <f>AY24/AI60</f>
        <v>0</v>
      </c>
      <c r="BB24" s="161"/>
      <c r="BC24" s="162"/>
      <c r="BE24" s="427"/>
      <c r="BG24" s="428"/>
      <c r="BH24" s="427"/>
    </row>
    <row r="25" spans="1:60" ht="14.95" thickBot="1" x14ac:dyDescent="0.3">
      <c r="A25" s="221">
        <f>+A24</f>
        <v>46089</v>
      </c>
      <c r="B25" s="280">
        <f>DAY(Tabla2[[#This Row],[FECHA]])</f>
        <v>8</v>
      </c>
      <c r="C25" s="204" t="s">
        <v>30</v>
      </c>
      <c r="D25" s="222"/>
      <c r="E25" s="223"/>
      <c r="F25" s="224"/>
      <c r="G25" s="224"/>
      <c r="H25" s="223"/>
      <c r="I25" s="408">
        <f>((Tabla2[[#This Row],[VOLUMEN ENVIADO A RO (m3)]]/80)/3)*60</f>
        <v>0</v>
      </c>
      <c r="J25" s="394">
        <v>0</v>
      </c>
      <c r="K25" s="401">
        <v>50</v>
      </c>
      <c r="L25" s="402">
        <v>34</v>
      </c>
      <c r="M25" s="401">
        <v>0</v>
      </c>
      <c r="N25" s="402">
        <v>0</v>
      </c>
      <c r="O25" s="261">
        <f t="shared" si="0"/>
        <v>0</v>
      </c>
      <c r="P25" s="266">
        <f t="shared" si="1"/>
        <v>438.59649122807019</v>
      </c>
      <c r="Q25" s="266">
        <f t="shared" si="2"/>
        <v>298.24561403508773</v>
      </c>
      <c r="R25" s="266">
        <f t="shared" si="3"/>
        <v>0</v>
      </c>
      <c r="S25" s="266">
        <f t="shared" si="4"/>
        <v>0</v>
      </c>
      <c r="T25" s="257">
        <f t="shared" si="15"/>
        <v>0</v>
      </c>
      <c r="U25" s="258">
        <f t="shared" si="16"/>
        <v>201.75438596491227</v>
      </c>
      <c r="V25" s="258">
        <f t="shared" si="17"/>
        <v>228.07017543859649</v>
      </c>
      <c r="W25" s="258">
        <f t="shared" si="18"/>
        <v>0</v>
      </c>
      <c r="X25" s="259">
        <f t="shared" si="19"/>
        <v>0</v>
      </c>
      <c r="Y25" s="264">
        <v>1.18</v>
      </c>
      <c r="Z25" s="264">
        <v>1.28</v>
      </c>
      <c r="AA25" s="264">
        <v>1.2</v>
      </c>
      <c r="AB25" s="264">
        <v>1.53</v>
      </c>
      <c r="AC25" s="264">
        <v>1.2</v>
      </c>
      <c r="AD25" s="268">
        <f t="shared" si="5"/>
        <v>0</v>
      </c>
      <c r="AE25" s="269">
        <f t="shared" si="6"/>
        <v>258.24561403508773</v>
      </c>
      <c r="AF25" s="269">
        <f t="shared" si="7"/>
        <v>273.68421052631578</v>
      </c>
      <c r="AG25" s="269">
        <f t="shared" si="8"/>
        <v>0</v>
      </c>
      <c r="AH25" s="270">
        <f t="shared" si="9"/>
        <v>0</v>
      </c>
      <c r="AI25" s="432">
        <v>0</v>
      </c>
      <c r="AJ25" s="210">
        <f>(AD25*1000)/$AI63</f>
        <v>0</v>
      </c>
      <c r="AK25" s="211">
        <f>(AE25*1000)/$AI63</f>
        <v>1053.1481366611383</v>
      </c>
      <c r="AL25" s="211">
        <f>(AF25*1000)/$AI63</f>
        <v>1116.1080796137064</v>
      </c>
      <c r="AM25" s="211">
        <f>(AG25*1000)/$AI63</f>
        <v>0</v>
      </c>
      <c r="AN25" s="212">
        <f>(AH25*1000)/$AI63</f>
        <v>0</v>
      </c>
      <c r="AO25" s="166">
        <f t="shared" si="20"/>
        <v>1550</v>
      </c>
      <c r="AP25" s="167">
        <f t="shared" si="21"/>
        <v>19160</v>
      </c>
      <c r="AQ25" s="167">
        <f t="shared" si="22"/>
        <v>36239</v>
      </c>
      <c r="AR25" s="167">
        <f t="shared" si="23"/>
        <v>1560</v>
      </c>
      <c r="AS25" s="168">
        <f t="shared" si="24"/>
        <v>3640</v>
      </c>
      <c r="AT25" s="169">
        <f t="shared" si="11"/>
        <v>0</v>
      </c>
      <c r="AU25" s="170">
        <f t="shared" si="25"/>
        <v>59375.831578947371</v>
      </c>
      <c r="AV25" s="170">
        <f t="shared" si="26"/>
        <v>436393.85263157886</v>
      </c>
      <c r="AW25" s="170">
        <f t="shared" si="12"/>
        <v>0</v>
      </c>
      <c r="AX25" s="171">
        <f t="shared" si="13"/>
        <v>0</v>
      </c>
      <c r="AY25" s="169">
        <f t="shared" si="14"/>
        <v>495769.68421052623</v>
      </c>
      <c r="AZ25" s="170">
        <v>1000</v>
      </c>
      <c r="BA25" s="170">
        <f>AY25/AI63</f>
        <v>2021.7920102544574</v>
      </c>
      <c r="BB25" s="160"/>
      <c r="BC25" s="163"/>
    </row>
    <row r="26" spans="1:60" ht="14.95" thickBot="1" x14ac:dyDescent="0.3">
      <c r="A26" s="213">
        <f>+A25+1</f>
        <v>46090</v>
      </c>
      <c r="B26" s="281">
        <f>DAY(Tabla2[[#This Row],[FECHA]])</f>
        <v>9</v>
      </c>
      <c r="C26" s="225" t="s">
        <v>28</v>
      </c>
      <c r="D26" s="214"/>
      <c r="E26" s="215"/>
      <c r="F26" s="216"/>
      <c r="G26" s="216"/>
      <c r="H26" s="215"/>
      <c r="I26" s="408">
        <f>((Tabla2[[#This Row],[VOLUMEN ENVIADO A RO (m3)]]/80)/3)*60</f>
        <v>79.97775</v>
      </c>
      <c r="J26" s="394">
        <v>0</v>
      </c>
      <c r="K26" s="394">
        <v>27</v>
      </c>
      <c r="L26" s="396">
        <v>8</v>
      </c>
      <c r="M26" s="395">
        <v>0</v>
      </c>
      <c r="N26" s="396">
        <v>0</v>
      </c>
      <c r="O26" s="261">
        <f t="shared" si="0"/>
        <v>0</v>
      </c>
      <c r="P26" s="272">
        <f t="shared" si="1"/>
        <v>236.84210526315792</v>
      </c>
      <c r="Q26" s="255">
        <f t="shared" si="2"/>
        <v>70.175438596491233</v>
      </c>
      <c r="R26" s="272">
        <f t="shared" si="3"/>
        <v>0</v>
      </c>
      <c r="S26" s="272">
        <f t="shared" si="4"/>
        <v>0</v>
      </c>
      <c r="T26" s="257">
        <f t="shared" si="15"/>
        <v>0</v>
      </c>
      <c r="U26" s="258">
        <f>P26-P27</f>
        <v>17.543859649122822</v>
      </c>
      <c r="V26" s="258">
        <f>Q26-Q27</f>
        <v>0</v>
      </c>
      <c r="W26" s="258">
        <f t="shared" si="18"/>
        <v>0</v>
      </c>
      <c r="X26" s="259">
        <f t="shared" si="19"/>
        <v>0</v>
      </c>
      <c r="Y26" s="264">
        <v>1.18</v>
      </c>
      <c r="Z26" s="264">
        <v>1.28</v>
      </c>
      <c r="AA26" s="264">
        <v>1.2</v>
      </c>
      <c r="AB26" s="264">
        <v>1.53</v>
      </c>
      <c r="AC26" s="264">
        <v>1.2</v>
      </c>
      <c r="AD26" s="273">
        <f t="shared" si="5"/>
        <v>0</v>
      </c>
      <c r="AE26" s="274">
        <f t="shared" si="6"/>
        <v>22.456140350877213</v>
      </c>
      <c r="AF26" s="274">
        <f t="shared" si="7"/>
        <v>0</v>
      </c>
      <c r="AG26" s="274">
        <f t="shared" si="8"/>
        <v>0</v>
      </c>
      <c r="AH26" s="275">
        <f t="shared" si="9"/>
        <v>0</v>
      </c>
      <c r="AI26" s="430">
        <v>319.911</v>
      </c>
      <c r="AJ26" s="217" t="e">
        <f>(AD26*1000)/#REF!</f>
        <v>#REF!</v>
      </c>
      <c r="AK26" s="218" t="e">
        <f>(AE26*1000)/#REF!</f>
        <v>#REF!</v>
      </c>
      <c r="AL26" s="218" t="e">
        <f>(AF26*1000)/#REF!</f>
        <v>#REF!</v>
      </c>
      <c r="AM26" s="218" t="e">
        <f>(AG26*1000)/#REF!</f>
        <v>#REF!</v>
      </c>
      <c r="AN26" s="219" t="e">
        <f>(AH26*1000)/#REF!</f>
        <v>#REF!</v>
      </c>
      <c r="AO26" s="166">
        <f t="shared" si="20"/>
        <v>1550</v>
      </c>
      <c r="AP26" s="167">
        <f t="shared" si="21"/>
        <v>19160</v>
      </c>
      <c r="AQ26" s="167">
        <f t="shared" si="22"/>
        <v>36239</v>
      </c>
      <c r="AR26" s="167">
        <f t="shared" si="23"/>
        <v>1560</v>
      </c>
      <c r="AS26" s="168">
        <f t="shared" si="24"/>
        <v>3640</v>
      </c>
      <c r="AT26" s="166">
        <f t="shared" si="11"/>
        <v>0</v>
      </c>
      <c r="AU26" s="167">
        <f t="shared" si="25"/>
        <v>5163.1157894736898</v>
      </c>
      <c r="AV26" s="167">
        <f t="shared" si="26"/>
        <v>0</v>
      </c>
      <c r="AW26" s="167">
        <f t="shared" si="12"/>
        <v>0</v>
      </c>
      <c r="AX26" s="168">
        <f t="shared" si="13"/>
        <v>0</v>
      </c>
      <c r="AY26" s="166">
        <f t="shared" si="14"/>
        <v>5163.1157894736898</v>
      </c>
      <c r="AZ26" s="167">
        <v>1000</v>
      </c>
      <c r="BA26" s="167" t="e">
        <f>AY26/#REF!</f>
        <v>#REF!</v>
      </c>
      <c r="BB26" s="161"/>
      <c r="BC26" s="162"/>
    </row>
    <row r="27" spans="1:60" ht="14.95" thickBot="1" x14ac:dyDescent="0.3">
      <c r="A27" s="220">
        <f>+A26</f>
        <v>46090</v>
      </c>
      <c r="B27" s="279">
        <f>DAY(Tabla2[[#This Row],[FECHA]])</f>
        <v>9</v>
      </c>
      <c r="C27" s="199" t="s">
        <v>29</v>
      </c>
      <c r="D27" s="192"/>
      <c r="E27" s="193"/>
      <c r="F27" s="194"/>
      <c r="G27" s="194"/>
      <c r="H27" s="193"/>
      <c r="I27" s="408">
        <f>((Tabla2[[#This Row],[VOLUMEN ENVIADO A RO (m3)]]/80)/3)*60</f>
        <v>74.774000000000001</v>
      </c>
      <c r="J27" s="394">
        <v>0</v>
      </c>
      <c r="K27" s="398">
        <v>25</v>
      </c>
      <c r="L27" s="399">
        <v>8</v>
      </c>
      <c r="M27" s="398">
        <v>0</v>
      </c>
      <c r="N27" s="399">
        <v>0</v>
      </c>
      <c r="O27" s="261">
        <f t="shared" si="0"/>
        <v>0</v>
      </c>
      <c r="P27" s="262">
        <f t="shared" si="1"/>
        <v>219.2982456140351</v>
      </c>
      <c r="Q27" s="262">
        <f t="shared" si="2"/>
        <v>70.175438596491233</v>
      </c>
      <c r="R27" s="262">
        <f t="shared" si="3"/>
        <v>0</v>
      </c>
      <c r="S27" s="262">
        <f t="shared" si="4"/>
        <v>0</v>
      </c>
      <c r="T27" s="257">
        <f t="shared" si="15"/>
        <v>0</v>
      </c>
      <c r="U27" s="258">
        <f t="shared" si="16"/>
        <v>26.315789473684191</v>
      </c>
      <c r="V27" s="258">
        <f t="shared" si="17"/>
        <v>0</v>
      </c>
      <c r="W27" s="258">
        <f t="shared" si="18"/>
        <v>0</v>
      </c>
      <c r="X27" s="259">
        <f t="shared" si="19"/>
        <v>0</v>
      </c>
      <c r="Y27" s="264">
        <v>1.18</v>
      </c>
      <c r="Z27" s="264">
        <v>1.28</v>
      </c>
      <c r="AA27" s="264">
        <v>1.2</v>
      </c>
      <c r="AB27" s="264">
        <v>1.53</v>
      </c>
      <c r="AC27" s="264">
        <v>1.2</v>
      </c>
      <c r="AD27" s="257">
        <f t="shared" si="5"/>
        <v>0</v>
      </c>
      <c r="AE27" s="258">
        <f t="shared" si="6"/>
        <v>33.684210526315766</v>
      </c>
      <c r="AF27" s="258">
        <f t="shared" si="7"/>
        <v>0</v>
      </c>
      <c r="AG27" s="258">
        <f t="shared" si="8"/>
        <v>0</v>
      </c>
      <c r="AH27" s="259">
        <f t="shared" si="9"/>
        <v>0</v>
      </c>
      <c r="AI27" s="431">
        <v>299.096</v>
      </c>
      <c r="AJ27" s="195" t="e">
        <f>(AD27*1000)/#REF!</f>
        <v>#REF!</v>
      </c>
      <c r="AK27" s="196" t="e">
        <f>(AE27*1000)/#REF!</f>
        <v>#REF!</v>
      </c>
      <c r="AL27" s="196" t="e">
        <f>(AF27*1000)/#REF!</f>
        <v>#REF!</v>
      </c>
      <c r="AM27" s="196" t="e">
        <f>(AG27*1000)/#REF!</f>
        <v>#REF!</v>
      </c>
      <c r="AN27" s="197" t="e">
        <f>(AH27*1000)/#REF!</f>
        <v>#REF!</v>
      </c>
      <c r="AO27" s="166">
        <f t="shared" si="20"/>
        <v>1550</v>
      </c>
      <c r="AP27" s="167">
        <f t="shared" si="21"/>
        <v>19160</v>
      </c>
      <c r="AQ27" s="167">
        <f t="shared" si="22"/>
        <v>36239</v>
      </c>
      <c r="AR27" s="167">
        <f t="shared" si="23"/>
        <v>1560</v>
      </c>
      <c r="AS27" s="168">
        <f t="shared" si="24"/>
        <v>3640</v>
      </c>
      <c r="AT27" s="166">
        <f t="shared" si="11"/>
        <v>0</v>
      </c>
      <c r="AU27" s="167">
        <f t="shared" si="25"/>
        <v>7744.6736842105211</v>
      </c>
      <c r="AV27" s="167">
        <f t="shared" si="26"/>
        <v>0</v>
      </c>
      <c r="AW27" s="167">
        <f t="shared" si="12"/>
        <v>0</v>
      </c>
      <c r="AX27" s="168">
        <f t="shared" si="13"/>
        <v>0</v>
      </c>
      <c r="AY27" s="166">
        <f t="shared" si="14"/>
        <v>7744.6736842105211</v>
      </c>
      <c r="AZ27" s="167">
        <v>1000</v>
      </c>
      <c r="BA27" s="167" t="e">
        <f>AY27/#REF!</f>
        <v>#REF!</v>
      </c>
      <c r="BB27" s="161"/>
      <c r="BC27" s="162"/>
    </row>
    <row r="28" spans="1:60" ht="14.95" thickBot="1" x14ac:dyDescent="0.3">
      <c r="A28" s="221">
        <f>+A27</f>
        <v>46090</v>
      </c>
      <c r="B28" s="280">
        <f>DAY(Tabla2[[#This Row],[FECHA]])</f>
        <v>9</v>
      </c>
      <c r="C28" s="204" t="s">
        <v>30</v>
      </c>
      <c r="D28" s="222"/>
      <c r="E28" s="223"/>
      <c r="F28" s="224"/>
      <c r="G28" s="224"/>
      <c r="H28" s="223"/>
      <c r="I28" s="408">
        <f>((Tabla2[[#This Row],[VOLUMEN ENVIADO A RO (m3)]]/80)/3)*60</f>
        <v>72.25</v>
      </c>
      <c r="J28" s="394">
        <v>0</v>
      </c>
      <c r="K28" s="401">
        <v>22</v>
      </c>
      <c r="L28" s="402">
        <v>8</v>
      </c>
      <c r="M28" s="395">
        <v>0</v>
      </c>
      <c r="N28" s="402">
        <v>0</v>
      </c>
      <c r="O28" s="261">
        <f t="shared" si="0"/>
        <v>0</v>
      </c>
      <c r="P28" s="266">
        <f t="shared" si="1"/>
        <v>192.98245614035091</v>
      </c>
      <c r="Q28" s="266">
        <f t="shared" si="2"/>
        <v>70.175438596491233</v>
      </c>
      <c r="R28" s="266">
        <f t="shared" si="3"/>
        <v>0</v>
      </c>
      <c r="S28" s="266">
        <f t="shared" si="4"/>
        <v>0</v>
      </c>
      <c r="T28" s="257">
        <f t="shared" si="15"/>
        <v>0</v>
      </c>
      <c r="U28" s="258">
        <f>P28-P29</f>
        <v>43.859649122807042</v>
      </c>
      <c r="V28" s="258">
        <f>Q28-Q29</f>
        <v>26.315789473684212</v>
      </c>
      <c r="W28" s="258">
        <f t="shared" si="18"/>
        <v>0</v>
      </c>
      <c r="X28" s="259">
        <f t="shared" si="19"/>
        <v>0</v>
      </c>
      <c r="Y28" s="264">
        <v>1.18</v>
      </c>
      <c r="Z28" s="264">
        <v>1.28</v>
      </c>
      <c r="AA28" s="264">
        <v>1.2</v>
      </c>
      <c r="AB28" s="264">
        <v>1.53</v>
      </c>
      <c r="AC28" s="264">
        <v>1.2</v>
      </c>
      <c r="AD28" s="268">
        <f t="shared" si="5"/>
        <v>0</v>
      </c>
      <c r="AE28" s="269">
        <f t="shared" si="6"/>
        <v>56.140350877193015</v>
      </c>
      <c r="AF28" s="269">
        <f t="shared" si="7"/>
        <v>31.578947368421055</v>
      </c>
      <c r="AG28" s="269">
        <f t="shared" si="8"/>
        <v>0</v>
      </c>
      <c r="AH28" s="270">
        <f t="shared" si="9"/>
        <v>0</v>
      </c>
      <c r="AI28" s="432">
        <v>289</v>
      </c>
      <c r="AJ28" s="210" t="e">
        <f>(AD28*1000)/#REF!</f>
        <v>#REF!</v>
      </c>
      <c r="AK28" s="211" t="e">
        <f>(AE28*1000)/#REF!</f>
        <v>#REF!</v>
      </c>
      <c r="AL28" s="211" t="e">
        <f>(AF28*1000)/#REF!</f>
        <v>#REF!</v>
      </c>
      <c r="AM28" s="211" t="e">
        <f>(AG28*1000)/#REF!</f>
        <v>#REF!</v>
      </c>
      <c r="AN28" s="212" t="e">
        <f>(AH28*1000)/#REF!</f>
        <v>#REF!</v>
      </c>
      <c r="AO28" s="166">
        <f t="shared" si="20"/>
        <v>1550</v>
      </c>
      <c r="AP28" s="167">
        <f t="shared" si="21"/>
        <v>19160</v>
      </c>
      <c r="AQ28" s="167">
        <f t="shared" si="22"/>
        <v>36239</v>
      </c>
      <c r="AR28" s="167">
        <f t="shared" si="23"/>
        <v>1560</v>
      </c>
      <c r="AS28" s="168">
        <f t="shared" si="24"/>
        <v>3640</v>
      </c>
      <c r="AT28" s="169">
        <f t="shared" si="11"/>
        <v>0</v>
      </c>
      <c r="AU28" s="170">
        <f t="shared" si="25"/>
        <v>12907.789473684219</v>
      </c>
      <c r="AV28" s="170">
        <f t="shared" si="26"/>
        <v>50353.136842105268</v>
      </c>
      <c r="AW28" s="170">
        <f t="shared" si="12"/>
        <v>0</v>
      </c>
      <c r="AX28" s="171">
        <f t="shared" si="13"/>
        <v>0</v>
      </c>
      <c r="AY28" s="169">
        <f t="shared" si="14"/>
        <v>63260.926315789489</v>
      </c>
      <c r="AZ28" s="170">
        <v>1000</v>
      </c>
      <c r="BA28" s="170" t="e">
        <f>AY28/#REF!</f>
        <v>#REF!</v>
      </c>
      <c r="BB28" s="160"/>
      <c r="BC28" s="163"/>
    </row>
    <row r="29" spans="1:60" ht="14.95" thickBot="1" x14ac:dyDescent="0.3">
      <c r="A29" s="213">
        <f>+A28+1</f>
        <v>46091</v>
      </c>
      <c r="B29" s="281">
        <f>DAY(Tabla2[[#This Row],[FECHA]])</f>
        <v>10</v>
      </c>
      <c r="C29" s="225" t="s">
        <v>28</v>
      </c>
      <c r="D29" s="214"/>
      <c r="E29" s="215"/>
      <c r="F29" s="216"/>
      <c r="G29" s="216"/>
      <c r="H29" s="215"/>
      <c r="I29" s="408">
        <f>((Tabla2[[#This Row],[VOLUMEN ENVIADO A RO (m3)]]/80)/3)*60</f>
        <v>72.197000000000003</v>
      </c>
      <c r="J29" s="394">
        <v>0</v>
      </c>
      <c r="K29" s="394">
        <v>17</v>
      </c>
      <c r="L29" s="396">
        <v>5</v>
      </c>
      <c r="M29" s="395">
        <v>0</v>
      </c>
      <c r="N29" s="396">
        <v>0</v>
      </c>
      <c r="O29" s="261">
        <f t="shared" si="0"/>
        <v>0</v>
      </c>
      <c r="P29" s="272">
        <f t="shared" si="1"/>
        <v>149.12280701754386</v>
      </c>
      <c r="Q29" s="255">
        <f t="shared" si="2"/>
        <v>43.859649122807021</v>
      </c>
      <c r="R29" s="272">
        <f t="shared" si="3"/>
        <v>0</v>
      </c>
      <c r="S29" s="272">
        <f t="shared" si="4"/>
        <v>0</v>
      </c>
      <c r="T29" s="257">
        <f t="shared" si="15"/>
        <v>0</v>
      </c>
      <c r="U29" s="618">
        <f>P29-P30+1000</f>
        <v>140.35087719298247</v>
      </c>
      <c r="V29" s="618">
        <f>Q29-Q30+1000</f>
        <v>166.66666666666663</v>
      </c>
      <c r="W29" s="258">
        <f t="shared" si="18"/>
        <v>0</v>
      </c>
      <c r="X29" s="259">
        <f t="shared" si="19"/>
        <v>0</v>
      </c>
      <c r="Y29" s="264">
        <v>1.18</v>
      </c>
      <c r="Z29" s="264">
        <v>1.28</v>
      </c>
      <c r="AA29" s="264">
        <v>1.2</v>
      </c>
      <c r="AB29" s="264">
        <v>1.53</v>
      </c>
      <c r="AC29" s="264">
        <v>1.2</v>
      </c>
      <c r="AD29" s="273">
        <f t="shared" si="5"/>
        <v>0</v>
      </c>
      <c r="AE29" s="274">
        <f t="shared" si="6"/>
        <v>179.64912280701756</v>
      </c>
      <c r="AF29" s="274">
        <f t="shared" si="7"/>
        <v>199.99999999999994</v>
      </c>
      <c r="AG29" s="274">
        <f t="shared" si="8"/>
        <v>0</v>
      </c>
      <c r="AH29" s="275">
        <f t="shared" si="9"/>
        <v>0</v>
      </c>
      <c r="AI29" s="430">
        <v>288.78800000000001</v>
      </c>
      <c r="AJ29" s="217" t="e">
        <f>(AD29*1000)/#REF!</f>
        <v>#REF!</v>
      </c>
      <c r="AK29" s="218" t="e">
        <f>(AE29*1000)/#REF!</f>
        <v>#REF!</v>
      </c>
      <c r="AL29" s="218" t="e">
        <f>(AF29*1000)/#REF!</f>
        <v>#REF!</v>
      </c>
      <c r="AM29" s="218" t="e">
        <f>(AG29*1000)/#REF!</f>
        <v>#REF!</v>
      </c>
      <c r="AN29" s="219" t="e">
        <f>(AH29*1000)/#REF!</f>
        <v>#REF!</v>
      </c>
      <c r="AO29" s="166">
        <f t="shared" si="20"/>
        <v>1550</v>
      </c>
      <c r="AP29" s="167">
        <f t="shared" si="21"/>
        <v>19160</v>
      </c>
      <c r="AQ29" s="167">
        <f t="shared" si="22"/>
        <v>36239</v>
      </c>
      <c r="AR29" s="167">
        <f t="shared" si="23"/>
        <v>1560</v>
      </c>
      <c r="AS29" s="168">
        <f t="shared" si="24"/>
        <v>3640</v>
      </c>
      <c r="AT29" s="166">
        <f t="shared" si="11"/>
        <v>0</v>
      </c>
      <c r="AU29" s="167">
        <f t="shared" si="25"/>
        <v>41304.926315789482</v>
      </c>
      <c r="AV29" s="167">
        <f t="shared" si="26"/>
        <v>318903.1999999999</v>
      </c>
      <c r="AW29" s="167">
        <f t="shared" si="12"/>
        <v>0</v>
      </c>
      <c r="AX29" s="168">
        <f t="shared" si="13"/>
        <v>0</v>
      </c>
      <c r="AY29" s="166">
        <f t="shared" si="14"/>
        <v>360208.12631578936</v>
      </c>
      <c r="AZ29" s="167">
        <v>1000</v>
      </c>
      <c r="BA29" s="167" t="e">
        <f>AY29/#REF!</f>
        <v>#REF!</v>
      </c>
      <c r="BB29" s="161"/>
      <c r="BC29" s="162"/>
    </row>
    <row r="30" spans="1:60" ht="14.95" thickBot="1" x14ac:dyDescent="0.3">
      <c r="A30" s="220">
        <f>+A29</f>
        <v>46091</v>
      </c>
      <c r="B30" s="279">
        <f>DAY(Tabla2[[#This Row],[FECHA]])</f>
        <v>10</v>
      </c>
      <c r="C30" s="199" t="s">
        <v>29</v>
      </c>
      <c r="D30" s="192"/>
      <c r="E30" s="193"/>
      <c r="F30" s="194"/>
      <c r="G30" s="194"/>
      <c r="H30" s="193"/>
      <c r="I30" s="408">
        <f>((Tabla2[[#This Row],[VOLUMEN ENVIADO A RO (m3)]]/80)/3)*60</f>
        <v>69.739500000000007</v>
      </c>
      <c r="J30" s="394">
        <v>0</v>
      </c>
      <c r="K30" s="398">
        <v>115</v>
      </c>
      <c r="L30" s="399">
        <v>100</v>
      </c>
      <c r="M30" s="395">
        <v>0</v>
      </c>
      <c r="N30" s="399">
        <v>0</v>
      </c>
      <c r="O30" s="261">
        <f t="shared" si="0"/>
        <v>0</v>
      </c>
      <c r="P30" s="262">
        <f t="shared" si="1"/>
        <v>1008.7719298245614</v>
      </c>
      <c r="Q30" s="262">
        <f t="shared" si="2"/>
        <v>877.19298245614038</v>
      </c>
      <c r="R30" s="262">
        <f t="shared" si="3"/>
        <v>0</v>
      </c>
      <c r="S30" s="262">
        <f t="shared" si="4"/>
        <v>0</v>
      </c>
      <c r="T30" s="257">
        <f t="shared" si="15"/>
        <v>0</v>
      </c>
      <c r="U30" s="258">
        <f t="shared" si="16"/>
        <v>17.543859649122737</v>
      </c>
      <c r="V30" s="258">
        <f t="shared" si="17"/>
        <v>17.543859649122737</v>
      </c>
      <c r="W30" s="258">
        <f t="shared" si="18"/>
        <v>0</v>
      </c>
      <c r="X30" s="259">
        <f t="shared" si="19"/>
        <v>0</v>
      </c>
      <c r="Y30" s="264">
        <v>1.18</v>
      </c>
      <c r="Z30" s="264">
        <v>1.28</v>
      </c>
      <c r="AA30" s="264">
        <v>1.2</v>
      </c>
      <c r="AB30" s="264">
        <v>1.53</v>
      </c>
      <c r="AC30" s="264">
        <v>1.2</v>
      </c>
      <c r="AD30" s="257">
        <f t="shared" si="5"/>
        <v>0</v>
      </c>
      <c r="AE30" s="258">
        <f t="shared" si="6"/>
        <v>22.456140350877103</v>
      </c>
      <c r="AF30" s="258">
        <f t="shared" si="7"/>
        <v>21.052631578947285</v>
      </c>
      <c r="AG30" s="258">
        <f t="shared" si="8"/>
        <v>0</v>
      </c>
      <c r="AH30" s="259">
        <f t="shared" si="9"/>
        <v>0</v>
      </c>
      <c r="AI30" s="431">
        <v>278.95800000000003</v>
      </c>
      <c r="AJ30" s="195" t="e">
        <f>(AD30*1000)/#REF!</f>
        <v>#REF!</v>
      </c>
      <c r="AK30" s="196" t="e">
        <f>(AE30*1000)/#REF!</f>
        <v>#REF!</v>
      </c>
      <c r="AL30" s="196" t="e">
        <f>(AF30*1000)/#REF!</f>
        <v>#REF!</v>
      </c>
      <c r="AM30" s="196" t="e">
        <f>(AG30*1000)/#REF!</f>
        <v>#REF!</v>
      </c>
      <c r="AN30" s="197" t="e">
        <f>(AH30*1000)/#REF!</f>
        <v>#REF!</v>
      </c>
      <c r="AO30" s="166">
        <f t="shared" si="20"/>
        <v>1550</v>
      </c>
      <c r="AP30" s="167">
        <f t="shared" si="21"/>
        <v>19160</v>
      </c>
      <c r="AQ30" s="167">
        <f t="shared" si="22"/>
        <v>36239</v>
      </c>
      <c r="AR30" s="167">
        <f t="shared" si="23"/>
        <v>1560</v>
      </c>
      <c r="AS30" s="168">
        <f t="shared" si="24"/>
        <v>3640</v>
      </c>
      <c r="AT30" s="166">
        <f t="shared" si="11"/>
        <v>0</v>
      </c>
      <c r="AU30" s="167">
        <f t="shared" si="25"/>
        <v>5163.1157894736643</v>
      </c>
      <c r="AV30" s="167">
        <f t="shared" si="26"/>
        <v>33568.757894736707</v>
      </c>
      <c r="AW30" s="167">
        <f t="shared" si="12"/>
        <v>0</v>
      </c>
      <c r="AX30" s="168">
        <f t="shared" si="13"/>
        <v>0</v>
      </c>
      <c r="AY30" s="166">
        <f t="shared" si="14"/>
        <v>38731.873684210368</v>
      </c>
      <c r="AZ30" s="167">
        <v>1000</v>
      </c>
      <c r="BA30" s="167" t="e">
        <f>AY30/#REF!</f>
        <v>#REF!</v>
      </c>
      <c r="BB30" s="161"/>
      <c r="BC30" s="162"/>
    </row>
    <row r="31" spans="1:60" ht="14.95" thickBot="1" x14ac:dyDescent="0.3">
      <c r="A31" s="221">
        <f>+A30</f>
        <v>46091</v>
      </c>
      <c r="B31" s="280">
        <f>DAY(Tabla2[[#This Row],[FECHA]])</f>
        <v>10</v>
      </c>
      <c r="C31" s="204" t="s">
        <v>30</v>
      </c>
      <c r="D31" s="222"/>
      <c r="E31" s="223"/>
      <c r="F31" s="224"/>
      <c r="G31" s="224"/>
      <c r="H31" s="223"/>
      <c r="I31" s="408">
        <f>((Tabla2[[#This Row],[VOLUMEN ENVIADO A RO (m3)]]/80)/3)*60</f>
        <v>77.482749999999996</v>
      </c>
      <c r="J31" s="394">
        <v>0</v>
      </c>
      <c r="K31" s="401">
        <v>113</v>
      </c>
      <c r="L31" s="402">
        <v>98</v>
      </c>
      <c r="M31" s="395">
        <v>0</v>
      </c>
      <c r="N31" s="402">
        <v>0</v>
      </c>
      <c r="O31" s="261">
        <f t="shared" si="0"/>
        <v>0</v>
      </c>
      <c r="P31" s="266">
        <f t="shared" si="1"/>
        <v>991.22807017543869</v>
      </c>
      <c r="Q31" s="266">
        <f t="shared" si="2"/>
        <v>859.64912280701765</v>
      </c>
      <c r="R31" s="266">
        <f t="shared" si="3"/>
        <v>0</v>
      </c>
      <c r="S31" s="266">
        <f t="shared" si="4"/>
        <v>0</v>
      </c>
      <c r="T31" s="257">
        <f t="shared" si="15"/>
        <v>0</v>
      </c>
      <c r="U31" s="258">
        <f t="shared" si="16"/>
        <v>35.087719298245588</v>
      </c>
      <c r="V31" s="258">
        <f t="shared" si="17"/>
        <v>35.087719298245702</v>
      </c>
      <c r="W31" s="258">
        <f t="shared" si="18"/>
        <v>0</v>
      </c>
      <c r="X31" s="259">
        <f t="shared" si="19"/>
        <v>0</v>
      </c>
      <c r="Y31" s="264">
        <v>1.18</v>
      </c>
      <c r="Z31" s="264">
        <v>1.28</v>
      </c>
      <c r="AA31" s="264">
        <v>1.2</v>
      </c>
      <c r="AB31" s="264">
        <v>1.53</v>
      </c>
      <c r="AC31" s="264">
        <v>1.2</v>
      </c>
      <c r="AD31" s="268">
        <f t="shared" si="5"/>
        <v>0</v>
      </c>
      <c r="AE31" s="269">
        <f t="shared" si="6"/>
        <v>44.912280701754355</v>
      </c>
      <c r="AF31" s="269">
        <f t="shared" si="7"/>
        <v>42.105263157894839</v>
      </c>
      <c r="AG31" s="269">
        <f t="shared" si="8"/>
        <v>0</v>
      </c>
      <c r="AH31" s="270">
        <f t="shared" si="9"/>
        <v>0</v>
      </c>
      <c r="AI31" s="432">
        <v>309.93099999999998</v>
      </c>
      <c r="AJ31" s="210" t="e">
        <f>(AD31*1000)/#REF!</f>
        <v>#REF!</v>
      </c>
      <c r="AK31" s="211" t="e">
        <f>(AE31*1000)/#REF!</f>
        <v>#REF!</v>
      </c>
      <c r="AL31" s="211" t="e">
        <f>(AF31*1000)/#REF!</f>
        <v>#REF!</v>
      </c>
      <c r="AM31" s="211" t="e">
        <f>(AG31*1000)/#REF!</f>
        <v>#REF!</v>
      </c>
      <c r="AN31" s="212" t="e">
        <f>(AH31*1000)/#REF!</f>
        <v>#REF!</v>
      </c>
      <c r="AO31" s="166">
        <f t="shared" si="20"/>
        <v>1550</v>
      </c>
      <c r="AP31" s="167">
        <f t="shared" si="21"/>
        <v>19160</v>
      </c>
      <c r="AQ31" s="167">
        <f t="shared" si="22"/>
        <v>36239</v>
      </c>
      <c r="AR31" s="167">
        <f t="shared" si="23"/>
        <v>1560</v>
      </c>
      <c r="AS31" s="168">
        <f t="shared" si="24"/>
        <v>3640</v>
      </c>
      <c r="AT31" s="169">
        <f t="shared" si="11"/>
        <v>0</v>
      </c>
      <c r="AU31" s="170">
        <f t="shared" si="25"/>
        <v>10326.231578947361</v>
      </c>
      <c r="AV31" s="170">
        <f t="shared" si="26"/>
        <v>67137.515789473851</v>
      </c>
      <c r="AW31" s="170">
        <f t="shared" si="12"/>
        <v>0</v>
      </c>
      <c r="AX31" s="171">
        <f t="shared" si="13"/>
        <v>0</v>
      </c>
      <c r="AY31" s="169">
        <f t="shared" si="14"/>
        <v>77463.747368421216</v>
      </c>
      <c r="AZ31" s="170">
        <v>1000</v>
      </c>
      <c r="BA31" s="170" t="e">
        <f>AY31/#REF!</f>
        <v>#REF!</v>
      </c>
      <c r="BB31" s="160"/>
      <c r="BC31" s="163"/>
    </row>
    <row r="32" spans="1:60" ht="14.95" thickBot="1" x14ac:dyDescent="0.3">
      <c r="A32" s="213">
        <f>+A31+1</f>
        <v>46092</v>
      </c>
      <c r="B32" s="281">
        <f>DAY(Tabla2[[#This Row],[FECHA]])</f>
        <v>11</v>
      </c>
      <c r="C32" s="225" t="s">
        <v>28</v>
      </c>
      <c r="D32" s="214"/>
      <c r="E32" s="215"/>
      <c r="F32" s="216"/>
      <c r="G32" s="216"/>
      <c r="H32" s="215"/>
      <c r="I32" s="408">
        <f>((Tabla2[[#This Row],[VOLUMEN ENVIADO A RO (m3)]]/80)/3)*60</f>
        <v>72.388499999999993</v>
      </c>
      <c r="J32" s="394">
        <v>0</v>
      </c>
      <c r="K32" s="394">
        <v>109</v>
      </c>
      <c r="L32" s="396">
        <v>94</v>
      </c>
      <c r="M32" s="395">
        <v>0</v>
      </c>
      <c r="N32" s="396">
        <v>0</v>
      </c>
      <c r="O32" s="261">
        <f t="shared" si="0"/>
        <v>0</v>
      </c>
      <c r="P32" s="272">
        <f t="shared" si="1"/>
        <v>956.1403508771931</v>
      </c>
      <c r="Q32" s="255">
        <f t="shared" si="2"/>
        <v>824.56140350877195</v>
      </c>
      <c r="R32" s="272">
        <f t="shared" si="3"/>
        <v>0</v>
      </c>
      <c r="S32" s="272">
        <f t="shared" si="4"/>
        <v>0</v>
      </c>
      <c r="T32" s="257">
        <f t="shared" si="15"/>
        <v>0</v>
      </c>
      <c r="U32" s="258">
        <f t="shared" si="16"/>
        <v>149.12280701754389</v>
      </c>
      <c r="V32" s="258">
        <f t="shared" si="17"/>
        <v>175.43859649122805</v>
      </c>
      <c r="W32" s="258">
        <f t="shared" si="18"/>
        <v>0</v>
      </c>
      <c r="X32" s="259">
        <f t="shared" si="19"/>
        <v>0</v>
      </c>
      <c r="Y32" s="264">
        <v>1.18</v>
      </c>
      <c r="Z32" s="264">
        <v>1.28</v>
      </c>
      <c r="AA32" s="264">
        <v>1.2</v>
      </c>
      <c r="AB32" s="264">
        <v>1.53</v>
      </c>
      <c r="AC32" s="264">
        <v>1.2</v>
      </c>
      <c r="AD32" s="273">
        <f t="shared" si="5"/>
        <v>0</v>
      </c>
      <c r="AE32" s="274">
        <f t="shared" si="6"/>
        <v>190.87719298245619</v>
      </c>
      <c r="AF32" s="274">
        <f t="shared" si="7"/>
        <v>210.52631578947367</v>
      </c>
      <c r="AG32" s="274">
        <f t="shared" si="8"/>
        <v>0</v>
      </c>
      <c r="AH32" s="275">
        <f t="shared" si="9"/>
        <v>0</v>
      </c>
      <c r="AI32" s="430">
        <v>289.55399999999997</v>
      </c>
      <c r="AJ32" s="217" t="e">
        <f>(AD32*1000)/#REF!</f>
        <v>#REF!</v>
      </c>
      <c r="AK32" s="218" t="e">
        <f>(AE32*1000)/#REF!</f>
        <v>#REF!</v>
      </c>
      <c r="AL32" s="218" t="e">
        <f>(AF32*1000)/#REF!</f>
        <v>#REF!</v>
      </c>
      <c r="AM32" s="218" t="e">
        <f>(AG32*1000)/#REF!</f>
        <v>#REF!</v>
      </c>
      <c r="AN32" s="219" t="e">
        <f>(AH32*1000)/#REF!</f>
        <v>#REF!</v>
      </c>
      <c r="AO32" s="166">
        <f t="shared" si="20"/>
        <v>1550</v>
      </c>
      <c r="AP32" s="167">
        <f t="shared" si="21"/>
        <v>19160</v>
      </c>
      <c r="AQ32" s="167">
        <f t="shared" si="22"/>
        <v>36239</v>
      </c>
      <c r="AR32" s="167">
        <f t="shared" si="23"/>
        <v>1560</v>
      </c>
      <c r="AS32" s="168">
        <f t="shared" si="24"/>
        <v>3640</v>
      </c>
      <c r="AT32" s="166">
        <f t="shared" si="11"/>
        <v>0</v>
      </c>
      <c r="AU32" s="167">
        <f t="shared" si="25"/>
        <v>43886.484210526331</v>
      </c>
      <c r="AV32" s="167">
        <f t="shared" si="26"/>
        <v>335687.57894736837</v>
      </c>
      <c r="AW32" s="167">
        <f t="shared" si="12"/>
        <v>0</v>
      </c>
      <c r="AX32" s="168">
        <f t="shared" si="13"/>
        <v>0</v>
      </c>
      <c r="AY32" s="166">
        <f t="shared" si="14"/>
        <v>379574.06315789471</v>
      </c>
      <c r="AZ32" s="167">
        <v>1000</v>
      </c>
      <c r="BA32" s="167" t="e">
        <f>AY32/#REF!</f>
        <v>#REF!</v>
      </c>
      <c r="BB32" s="161"/>
      <c r="BC32" s="162"/>
    </row>
    <row r="33" spans="1:55" ht="14.95" thickBot="1" x14ac:dyDescent="0.3">
      <c r="A33" s="220">
        <f>+A32</f>
        <v>46092</v>
      </c>
      <c r="B33" s="279">
        <f>DAY(Tabla2[[#This Row],[FECHA]])</f>
        <v>11</v>
      </c>
      <c r="C33" s="199" t="s">
        <v>29</v>
      </c>
      <c r="D33" s="192"/>
      <c r="E33" s="193"/>
      <c r="F33" s="194"/>
      <c r="G33" s="194"/>
      <c r="H33" s="193"/>
      <c r="I33" s="408">
        <f>((Tabla2[[#This Row],[VOLUMEN ENVIADO A RO (m3)]]/80)/3)*60</f>
        <v>71.579250000000002</v>
      </c>
      <c r="J33" s="394">
        <v>0</v>
      </c>
      <c r="K33" s="398">
        <v>92</v>
      </c>
      <c r="L33" s="399">
        <v>74</v>
      </c>
      <c r="M33" s="398">
        <v>0</v>
      </c>
      <c r="N33" s="399">
        <v>0</v>
      </c>
      <c r="O33" s="261">
        <f t="shared" si="0"/>
        <v>0</v>
      </c>
      <c r="P33" s="262">
        <f t="shared" si="1"/>
        <v>807.01754385964921</v>
      </c>
      <c r="Q33" s="262">
        <f t="shared" si="2"/>
        <v>649.12280701754389</v>
      </c>
      <c r="R33" s="262">
        <f t="shared" si="3"/>
        <v>0</v>
      </c>
      <c r="S33" s="262">
        <f t="shared" si="4"/>
        <v>0</v>
      </c>
      <c r="T33" s="257">
        <f t="shared" si="15"/>
        <v>0</v>
      </c>
      <c r="U33" s="258">
        <f>P33-P34</f>
        <v>87.719298245614027</v>
      </c>
      <c r="V33" s="258">
        <f>Q33-Q34</f>
        <v>105.26315789473688</v>
      </c>
      <c r="W33" s="258">
        <f t="shared" si="18"/>
        <v>0</v>
      </c>
      <c r="X33" s="259">
        <f t="shared" si="19"/>
        <v>0</v>
      </c>
      <c r="Y33" s="264">
        <v>1.18</v>
      </c>
      <c r="Z33" s="264">
        <v>1.28</v>
      </c>
      <c r="AA33" s="264">
        <v>1.2</v>
      </c>
      <c r="AB33" s="264">
        <v>1.53</v>
      </c>
      <c r="AC33" s="264">
        <v>1.2</v>
      </c>
      <c r="AD33" s="257">
        <f t="shared" si="5"/>
        <v>0</v>
      </c>
      <c r="AE33" s="258">
        <f t="shared" si="6"/>
        <v>112.28070175438596</v>
      </c>
      <c r="AF33" s="258">
        <f t="shared" si="7"/>
        <v>126.31578947368425</v>
      </c>
      <c r="AG33" s="258">
        <f t="shared" si="8"/>
        <v>0</v>
      </c>
      <c r="AH33" s="259">
        <f t="shared" si="9"/>
        <v>0</v>
      </c>
      <c r="AI33" s="431">
        <v>286.31700000000001</v>
      </c>
      <c r="AJ33" s="195" t="e">
        <f>(AD33*1000)/#REF!</f>
        <v>#REF!</v>
      </c>
      <c r="AK33" s="196" t="e">
        <f>(AE33*1000)/#REF!</f>
        <v>#REF!</v>
      </c>
      <c r="AL33" s="196" t="e">
        <f>(AF33*1000)/#REF!</f>
        <v>#REF!</v>
      </c>
      <c r="AM33" s="196" t="e">
        <f>(AG33*1000)/#REF!</f>
        <v>#REF!</v>
      </c>
      <c r="AN33" s="197" t="e">
        <f>(AH33*1000)/#REF!</f>
        <v>#REF!</v>
      </c>
      <c r="AO33" s="166">
        <f t="shared" si="20"/>
        <v>1550</v>
      </c>
      <c r="AP33" s="167">
        <f t="shared" si="21"/>
        <v>19160</v>
      </c>
      <c r="AQ33" s="167">
        <f t="shared" si="22"/>
        <v>36239</v>
      </c>
      <c r="AR33" s="167">
        <f t="shared" si="23"/>
        <v>1560</v>
      </c>
      <c r="AS33" s="168">
        <f t="shared" si="24"/>
        <v>3640</v>
      </c>
      <c r="AT33" s="166">
        <f t="shared" si="11"/>
        <v>0</v>
      </c>
      <c r="AU33" s="167">
        <f t="shared" si="25"/>
        <v>25815.57894736842</v>
      </c>
      <c r="AV33" s="167">
        <f t="shared" si="26"/>
        <v>201412.5473684211</v>
      </c>
      <c r="AW33" s="167">
        <f t="shared" si="12"/>
        <v>0</v>
      </c>
      <c r="AX33" s="168">
        <f t="shared" si="13"/>
        <v>0</v>
      </c>
      <c r="AY33" s="166">
        <f t="shared" si="14"/>
        <v>227228.12631578953</v>
      </c>
      <c r="AZ33" s="167">
        <v>1000</v>
      </c>
      <c r="BA33" s="167" t="e">
        <f>AY33/#REF!</f>
        <v>#REF!</v>
      </c>
      <c r="BB33" s="161"/>
      <c r="BC33" s="162"/>
    </row>
    <row r="34" spans="1:55" ht="14.95" thickBot="1" x14ac:dyDescent="0.3">
      <c r="A34" s="221">
        <f>+A33</f>
        <v>46092</v>
      </c>
      <c r="B34" s="280">
        <f>DAY(Tabla2[[#This Row],[FECHA]])</f>
        <v>11</v>
      </c>
      <c r="C34" s="204" t="s">
        <v>30</v>
      </c>
      <c r="D34" s="222"/>
      <c r="E34" s="223"/>
      <c r="F34" s="224"/>
      <c r="G34" s="224"/>
      <c r="H34" s="223"/>
      <c r="I34" s="408">
        <f>((Tabla2[[#This Row],[VOLUMEN ENVIADO A RO (m3)]]/80)/3)*60</f>
        <v>61.75800000000001</v>
      </c>
      <c r="J34" s="394">
        <v>0</v>
      </c>
      <c r="K34" s="401">
        <v>82</v>
      </c>
      <c r="L34" s="402">
        <v>62</v>
      </c>
      <c r="M34" s="401">
        <v>0</v>
      </c>
      <c r="N34" s="402">
        <v>0</v>
      </c>
      <c r="O34" s="261">
        <f t="shared" si="0"/>
        <v>0</v>
      </c>
      <c r="P34" s="266">
        <f t="shared" ref="P34:P65" si="27">K34*(1000/114)</f>
        <v>719.29824561403518</v>
      </c>
      <c r="Q34" s="266">
        <f t="shared" si="2"/>
        <v>543.85964912280701</v>
      </c>
      <c r="R34" s="266">
        <f t="shared" ref="R34:R65" si="28">M34*(1000/114)</f>
        <v>0</v>
      </c>
      <c r="S34" s="266">
        <f t="shared" ref="S34:S65" si="29">N34*(1000/114)</f>
        <v>0</v>
      </c>
      <c r="T34" s="257">
        <f t="shared" si="15"/>
        <v>0</v>
      </c>
      <c r="U34" s="258">
        <f t="shared" si="16"/>
        <v>17.543859649122851</v>
      </c>
      <c r="V34" s="258">
        <f t="shared" si="17"/>
        <v>26.315789473684163</v>
      </c>
      <c r="W34" s="258">
        <f t="shared" si="18"/>
        <v>0</v>
      </c>
      <c r="X34" s="259">
        <f t="shared" si="19"/>
        <v>0</v>
      </c>
      <c r="Y34" s="264">
        <v>1.18</v>
      </c>
      <c r="Z34" s="264">
        <v>1.28</v>
      </c>
      <c r="AA34" s="264">
        <v>1.2</v>
      </c>
      <c r="AB34" s="264">
        <v>1.53</v>
      </c>
      <c r="AC34" s="264">
        <v>1.2</v>
      </c>
      <c r="AD34" s="268">
        <f t="shared" ref="AD34:AD65" si="30">T34*Y34</f>
        <v>0</v>
      </c>
      <c r="AE34" s="269">
        <f t="shared" ref="AE34:AE65" si="31">U34*Z34</f>
        <v>22.456140350877249</v>
      </c>
      <c r="AF34" s="269">
        <f t="shared" ref="AF34:AF65" si="32">V34*AA34</f>
        <v>31.578947368420994</v>
      </c>
      <c r="AG34" s="269">
        <f t="shared" ref="AG34:AG65" si="33">W34*AB34</f>
        <v>0</v>
      </c>
      <c r="AH34" s="270">
        <f t="shared" ref="AH34:AH65" si="34">X34*AC34</f>
        <v>0</v>
      </c>
      <c r="AI34" s="432">
        <v>247.03200000000001</v>
      </c>
      <c r="AJ34" s="210" t="e">
        <f>(AD34*1000)/#REF!</f>
        <v>#REF!</v>
      </c>
      <c r="AK34" s="211" t="e">
        <f>(AE34*1000)/#REF!</f>
        <v>#REF!</v>
      </c>
      <c r="AL34" s="211" t="e">
        <f>(AF34*1000)/#REF!</f>
        <v>#REF!</v>
      </c>
      <c r="AM34" s="211" t="e">
        <f>(AG34*1000)/#REF!</f>
        <v>#REF!</v>
      </c>
      <c r="AN34" s="212" t="e">
        <f>(AH34*1000)/#REF!</f>
        <v>#REF!</v>
      </c>
      <c r="AO34" s="166">
        <f t="shared" si="20"/>
        <v>1550</v>
      </c>
      <c r="AP34" s="167">
        <f t="shared" si="21"/>
        <v>19160</v>
      </c>
      <c r="AQ34" s="167">
        <f t="shared" si="22"/>
        <v>36239</v>
      </c>
      <c r="AR34" s="167">
        <f t="shared" si="23"/>
        <v>1560</v>
      </c>
      <c r="AS34" s="168">
        <f t="shared" si="24"/>
        <v>3640</v>
      </c>
      <c r="AT34" s="169">
        <f t="shared" ref="AT34:AT65" si="35">AO34*(AD34*0.8)</f>
        <v>0</v>
      </c>
      <c r="AU34" s="170">
        <f t="shared" si="25"/>
        <v>5163.1157894736971</v>
      </c>
      <c r="AV34" s="170">
        <f t="shared" si="26"/>
        <v>50353.136842105174</v>
      </c>
      <c r="AW34" s="170">
        <f t="shared" ref="AW34:AW65" si="36">AR34*AG34</f>
        <v>0</v>
      </c>
      <c r="AX34" s="171">
        <f t="shared" ref="AX34:AX65" si="37">AS34*(AH34*0.025)</f>
        <v>0</v>
      </c>
      <c r="AY34" s="169">
        <f t="shared" ref="AY34:AY83" si="38">AT34+AU34+AV34+AW34+AX34</f>
        <v>55516.252631578871</v>
      </c>
      <c r="AZ34" s="170">
        <v>1000</v>
      </c>
      <c r="BA34" s="170" t="e">
        <f>AY34/#REF!</f>
        <v>#REF!</v>
      </c>
      <c r="BB34" s="160"/>
      <c r="BC34" s="163"/>
    </row>
    <row r="35" spans="1:55" ht="14.95" thickBot="1" x14ac:dyDescent="0.3">
      <c r="A35" s="213">
        <f>+A34+1</f>
        <v>46093</v>
      </c>
      <c r="B35" s="281">
        <f>DAY(Tabla2[[#This Row],[FECHA]])</f>
        <v>12</v>
      </c>
      <c r="C35" s="225" t="s">
        <v>28</v>
      </c>
      <c r="D35" s="214"/>
      <c r="E35" s="215"/>
      <c r="F35" s="216"/>
      <c r="G35" s="216"/>
      <c r="H35" s="215"/>
      <c r="I35" s="408">
        <f>((Tabla2[[#This Row],[VOLUMEN ENVIADO A RO (m3)]]/80)/3)*60</f>
        <v>71.27</v>
      </c>
      <c r="J35" s="394">
        <v>0</v>
      </c>
      <c r="K35" s="394">
        <v>80</v>
      </c>
      <c r="L35" s="396">
        <v>59</v>
      </c>
      <c r="M35" s="395">
        <v>0</v>
      </c>
      <c r="N35" s="396">
        <v>0</v>
      </c>
      <c r="O35" s="261">
        <f t="shared" si="0"/>
        <v>0</v>
      </c>
      <c r="P35" s="272">
        <f t="shared" si="27"/>
        <v>701.75438596491233</v>
      </c>
      <c r="Q35" s="255">
        <f t="shared" si="2"/>
        <v>517.54385964912285</v>
      </c>
      <c r="R35" s="272">
        <f t="shared" si="28"/>
        <v>0</v>
      </c>
      <c r="S35" s="272">
        <f t="shared" si="29"/>
        <v>0</v>
      </c>
      <c r="T35" s="257">
        <f t="shared" si="15"/>
        <v>0</v>
      </c>
      <c r="U35" s="258">
        <f t="shared" si="16"/>
        <v>166.66666666666663</v>
      </c>
      <c r="V35" s="258">
        <f t="shared" si="17"/>
        <v>122.80701754385967</v>
      </c>
      <c r="W35" s="258">
        <f t="shared" si="18"/>
        <v>0</v>
      </c>
      <c r="X35" s="259">
        <f t="shared" si="19"/>
        <v>0</v>
      </c>
      <c r="Y35" s="264">
        <v>1.18</v>
      </c>
      <c r="Z35" s="264">
        <v>1.28</v>
      </c>
      <c r="AA35" s="264">
        <v>1.2</v>
      </c>
      <c r="AB35" s="264">
        <v>1.53</v>
      </c>
      <c r="AC35" s="264">
        <v>1.2</v>
      </c>
      <c r="AD35" s="273">
        <f t="shared" si="30"/>
        <v>0</v>
      </c>
      <c r="AE35" s="274">
        <f t="shared" si="31"/>
        <v>213.33333333333329</v>
      </c>
      <c r="AF35" s="274">
        <f t="shared" si="32"/>
        <v>147.36842105263159</v>
      </c>
      <c r="AG35" s="274">
        <f t="shared" si="33"/>
        <v>0</v>
      </c>
      <c r="AH35" s="275">
        <f t="shared" si="34"/>
        <v>0</v>
      </c>
      <c r="AI35" s="430">
        <v>285.08</v>
      </c>
      <c r="AJ35" s="217" t="e">
        <f>(AD35*1000)/#REF!</f>
        <v>#REF!</v>
      </c>
      <c r="AK35" s="218" t="e">
        <f>(AE35*1000)/#REF!</f>
        <v>#REF!</v>
      </c>
      <c r="AL35" s="218" t="e">
        <f>(AF35*1000)/#REF!</f>
        <v>#REF!</v>
      </c>
      <c r="AM35" s="218" t="e">
        <f>(AG35*1000)/#REF!</f>
        <v>#REF!</v>
      </c>
      <c r="AN35" s="219" t="e">
        <f>(AH35*1000)/#REF!</f>
        <v>#REF!</v>
      </c>
      <c r="AO35" s="166">
        <f t="shared" ref="AO35:AO66" si="39">AO34</f>
        <v>1550</v>
      </c>
      <c r="AP35" s="167">
        <f t="shared" ref="AP35:AP66" si="40">AP34</f>
        <v>19160</v>
      </c>
      <c r="AQ35" s="167">
        <f t="shared" ref="AQ35:AQ66" si="41">AQ34</f>
        <v>36239</v>
      </c>
      <c r="AR35" s="167">
        <f t="shared" ref="AR35:AR66" si="42">AR34</f>
        <v>1560</v>
      </c>
      <c r="AS35" s="168">
        <f t="shared" ref="AS35:AS66" si="43">AS34</f>
        <v>3640</v>
      </c>
      <c r="AT35" s="166">
        <f t="shared" si="35"/>
        <v>0</v>
      </c>
      <c r="AU35" s="167">
        <f t="shared" si="25"/>
        <v>49049.599999999991</v>
      </c>
      <c r="AV35" s="167">
        <f t="shared" si="26"/>
        <v>234981.30526315788</v>
      </c>
      <c r="AW35" s="167">
        <f t="shared" si="36"/>
        <v>0</v>
      </c>
      <c r="AX35" s="168">
        <f t="shared" si="37"/>
        <v>0</v>
      </c>
      <c r="AY35" s="166">
        <f t="shared" si="38"/>
        <v>284030.90526315785</v>
      </c>
      <c r="AZ35" s="167">
        <v>1000</v>
      </c>
      <c r="BA35" s="167" t="e">
        <f>AY35/#REF!</f>
        <v>#REF!</v>
      </c>
      <c r="BB35" s="161"/>
      <c r="BC35" s="162"/>
    </row>
    <row r="36" spans="1:55" ht="14.95" thickBot="1" x14ac:dyDescent="0.3">
      <c r="A36" s="220">
        <f>+A35</f>
        <v>46093</v>
      </c>
      <c r="B36" s="279">
        <f>DAY(Tabla2[[#This Row],[FECHA]])</f>
        <v>12</v>
      </c>
      <c r="C36" s="199" t="s">
        <v>29</v>
      </c>
      <c r="D36" s="192"/>
      <c r="E36" s="193"/>
      <c r="F36" s="194"/>
      <c r="G36" s="194"/>
      <c r="H36" s="193"/>
      <c r="I36" s="408">
        <f>((Tabla2[[#This Row],[VOLUMEN ENVIADO A RO (m3)]]/80)/3)*60</f>
        <v>56.231999999999992</v>
      </c>
      <c r="J36" s="397">
        <v>0</v>
      </c>
      <c r="K36" s="398">
        <v>61</v>
      </c>
      <c r="L36" s="399">
        <v>45</v>
      </c>
      <c r="M36" s="398">
        <v>0</v>
      </c>
      <c r="N36" s="399">
        <v>0</v>
      </c>
      <c r="O36" s="261">
        <f t="shared" si="0"/>
        <v>0</v>
      </c>
      <c r="P36" s="262">
        <f t="shared" si="27"/>
        <v>535.0877192982457</v>
      </c>
      <c r="Q36" s="262">
        <f t="shared" si="2"/>
        <v>394.73684210526318</v>
      </c>
      <c r="R36" s="262">
        <f t="shared" si="28"/>
        <v>0</v>
      </c>
      <c r="S36" s="262">
        <f t="shared" si="29"/>
        <v>0</v>
      </c>
      <c r="T36" s="257">
        <f t="shared" si="15"/>
        <v>0</v>
      </c>
      <c r="U36" s="258">
        <f t="shared" si="16"/>
        <v>96.491228070175509</v>
      </c>
      <c r="V36" s="258">
        <f t="shared" si="17"/>
        <v>78.947368421052659</v>
      </c>
      <c r="W36" s="258">
        <f t="shared" si="18"/>
        <v>0</v>
      </c>
      <c r="X36" s="259">
        <f t="shared" si="19"/>
        <v>0</v>
      </c>
      <c r="Y36" s="264">
        <v>1.18</v>
      </c>
      <c r="Z36" s="264">
        <v>1.28</v>
      </c>
      <c r="AA36" s="264">
        <v>1.2</v>
      </c>
      <c r="AB36" s="264">
        <v>1.53</v>
      </c>
      <c r="AC36" s="264">
        <v>1.2</v>
      </c>
      <c r="AD36" s="257">
        <f t="shared" si="30"/>
        <v>0</v>
      </c>
      <c r="AE36" s="258">
        <f t="shared" si="31"/>
        <v>123.50877192982466</v>
      </c>
      <c r="AF36" s="258">
        <f t="shared" si="32"/>
        <v>94.736842105263193</v>
      </c>
      <c r="AG36" s="258">
        <f t="shared" si="33"/>
        <v>0</v>
      </c>
      <c r="AH36" s="259">
        <f t="shared" si="34"/>
        <v>0</v>
      </c>
      <c r="AI36" s="431">
        <v>224.928</v>
      </c>
      <c r="AJ36" s="195" t="e">
        <f>(AD36*1000)/#REF!</f>
        <v>#REF!</v>
      </c>
      <c r="AK36" s="196" t="e">
        <f>(AE36*1000)/#REF!</f>
        <v>#REF!</v>
      </c>
      <c r="AL36" s="196" t="e">
        <f>(AF36*1000)/#REF!</f>
        <v>#REF!</v>
      </c>
      <c r="AM36" s="196" t="e">
        <f>(AG36*1000)/#REF!</f>
        <v>#REF!</v>
      </c>
      <c r="AN36" s="197" t="e">
        <f>(AH36*1000)/#REF!</f>
        <v>#REF!</v>
      </c>
      <c r="AO36" s="166">
        <f t="shared" si="39"/>
        <v>1550</v>
      </c>
      <c r="AP36" s="167">
        <f t="shared" si="40"/>
        <v>19160</v>
      </c>
      <c r="AQ36" s="167">
        <f t="shared" si="41"/>
        <v>36239</v>
      </c>
      <c r="AR36" s="167">
        <f t="shared" si="42"/>
        <v>1560</v>
      </c>
      <c r="AS36" s="168">
        <f t="shared" si="43"/>
        <v>3640</v>
      </c>
      <c r="AT36" s="166">
        <f t="shared" si="35"/>
        <v>0</v>
      </c>
      <c r="AU36" s="167">
        <f t="shared" si="25"/>
        <v>28397.136842105287</v>
      </c>
      <c r="AV36" s="167">
        <f t="shared" si="26"/>
        <v>151059.41052631583</v>
      </c>
      <c r="AW36" s="167">
        <f t="shared" si="36"/>
        <v>0</v>
      </c>
      <c r="AX36" s="168">
        <f t="shared" si="37"/>
        <v>0</v>
      </c>
      <c r="AY36" s="166">
        <f t="shared" si="38"/>
        <v>179456.5473684211</v>
      </c>
      <c r="AZ36" s="167">
        <v>1000</v>
      </c>
      <c r="BA36" s="167" t="e">
        <f>AY36/#REF!</f>
        <v>#REF!</v>
      </c>
      <c r="BB36" s="161"/>
      <c r="BC36" s="162"/>
    </row>
    <row r="37" spans="1:55" ht="14.95" thickBot="1" x14ac:dyDescent="0.3">
      <c r="A37" s="221">
        <f>+A36</f>
        <v>46093</v>
      </c>
      <c r="B37" s="280">
        <f>DAY(Tabla2[[#This Row],[FECHA]])</f>
        <v>12</v>
      </c>
      <c r="C37" s="204" t="s">
        <v>30</v>
      </c>
      <c r="D37" s="222"/>
      <c r="E37" s="223">
        <v>0</v>
      </c>
      <c r="F37" s="224">
        <v>0</v>
      </c>
      <c r="G37" s="224"/>
      <c r="H37" s="223"/>
      <c r="I37" s="408">
        <f>((Tabla2[[#This Row],[VOLUMEN ENVIADO A RO (m3)]]/80)/3)*60</f>
        <v>70.316500000000019</v>
      </c>
      <c r="J37" s="400">
        <v>0</v>
      </c>
      <c r="K37" s="401">
        <v>50</v>
      </c>
      <c r="L37" s="402">
        <v>36</v>
      </c>
      <c r="M37" s="401">
        <v>0</v>
      </c>
      <c r="N37" s="402">
        <v>0</v>
      </c>
      <c r="O37" s="261">
        <f t="shared" si="0"/>
        <v>0</v>
      </c>
      <c r="P37" s="266">
        <f t="shared" si="27"/>
        <v>438.59649122807019</v>
      </c>
      <c r="Q37" s="266">
        <f t="shared" si="2"/>
        <v>315.78947368421052</v>
      </c>
      <c r="R37" s="266">
        <f t="shared" si="28"/>
        <v>0</v>
      </c>
      <c r="S37" s="266">
        <f t="shared" si="29"/>
        <v>0</v>
      </c>
      <c r="T37" s="257">
        <f t="shared" si="15"/>
        <v>0</v>
      </c>
      <c r="U37" s="258">
        <f>P37-P38</f>
        <v>96.491228070175453</v>
      </c>
      <c r="V37" s="258">
        <f>Q37-Q38</f>
        <v>70.175438596491205</v>
      </c>
      <c r="W37" s="258">
        <f t="shared" si="18"/>
        <v>0</v>
      </c>
      <c r="X37" s="259">
        <f t="shared" si="19"/>
        <v>0</v>
      </c>
      <c r="Y37" s="264">
        <v>1.18</v>
      </c>
      <c r="Z37" s="264">
        <v>1.28</v>
      </c>
      <c r="AA37" s="264">
        <v>1.2</v>
      </c>
      <c r="AB37" s="264">
        <v>1.53</v>
      </c>
      <c r="AC37" s="264">
        <v>1.2</v>
      </c>
      <c r="AD37" s="268">
        <f t="shared" si="30"/>
        <v>0</v>
      </c>
      <c r="AE37" s="269">
        <f t="shared" si="31"/>
        <v>123.50877192982458</v>
      </c>
      <c r="AF37" s="269">
        <f t="shared" si="32"/>
        <v>84.210526315789437</v>
      </c>
      <c r="AG37" s="269">
        <f t="shared" si="33"/>
        <v>0</v>
      </c>
      <c r="AH37" s="270">
        <f t="shared" si="34"/>
        <v>0</v>
      </c>
      <c r="AI37" s="432">
        <v>281.26600000000002</v>
      </c>
      <c r="AJ37" s="210" t="e">
        <f>(AD37*1000)/#REF!</f>
        <v>#REF!</v>
      </c>
      <c r="AK37" s="211" t="e">
        <f>(AE37*1000)/#REF!</f>
        <v>#REF!</v>
      </c>
      <c r="AL37" s="211" t="e">
        <f>(AF37*1000)/#REF!</f>
        <v>#REF!</v>
      </c>
      <c r="AM37" s="211" t="e">
        <f>(AG37*1000)/#REF!</f>
        <v>#REF!</v>
      </c>
      <c r="AN37" s="212" t="e">
        <f>(AH37*1000)/#REF!</f>
        <v>#REF!</v>
      </c>
      <c r="AO37" s="166">
        <f t="shared" si="39"/>
        <v>1550</v>
      </c>
      <c r="AP37" s="167">
        <f t="shared" si="40"/>
        <v>19160</v>
      </c>
      <c r="AQ37" s="167">
        <f t="shared" si="41"/>
        <v>36239</v>
      </c>
      <c r="AR37" s="167">
        <f t="shared" si="42"/>
        <v>1560</v>
      </c>
      <c r="AS37" s="168">
        <f t="shared" si="43"/>
        <v>3640</v>
      </c>
      <c r="AT37" s="169">
        <f t="shared" si="35"/>
        <v>0</v>
      </c>
      <c r="AU37" s="170">
        <f t="shared" si="25"/>
        <v>28397.136842105268</v>
      </c>
      <c r="AV37" s="170">
        <f t="shared" si="26"/>
        <v>134275.0315789473</v>
      </c>
      <c r="AW37" s="170">
        <f t="shared" si="36"/>
        <v>0</v>
      </c>
      <c r="AX37" s="171">
        <f t="shared" si="37"/>
        <v>0</v>
      </c>
      <c r="AY37" s="169">
        <f t="shared" si="38"/>
        <v>162672.16842105257</v>
      </c>
      <c r="AZ37" s="170">
        <v>1000</v>
      </c>
      <c r="BA37" s="170" t="e">
        <f>AY37/#REF!</f>
        <v>#REF!</v>
      </c>
      <c r="BB37" s="160"/>
      <c r="BC37" s="163"/>
    </row>
    <row r="38" spans="1:55" ht="14.95" thickBot="1" x14ac:dyDescent="0.3">
      <c r="A38" s="213">
        <f>+A37+1</f>
        <v>46094</v>
      </c>
      <c r="B38" s="281">
        <f>DAY(Tabla2[[#This Row],[FECHA]])</f>
        <v>13</v>
      </c>
      <c r="C38" s="225" t="s">
        <v>28</v>
      </c>
      <c r="D38" s="214"/>
      <c r="E38" s="215"/>
      <c r="F38" s="216"/>
      <c r="G38" s="216"/>
      <c r="H38" s="215"/>
      <c r="I38" s="408">
        <f>((Tabla2[[#This Row],[VOLUMEN ENVIADO A RO (m3)]]/80)/3)*60</f>
        <v>61.24325000000001</v>
      </c>
      <c r="J38" s="394">
        <v>0</v>
      </c>
      <c r="K38" s="394">
        <v>39</v>
      </c>
      <c r="L38" s="396">
        <v>28</v>
      </c>
      <c r="M38" s="395">
        <v>0</v>
      </c>
      <c r="N38" s="396">
        <v>0</v>
      </c>
      <c r="O38" s="261">
        <f t="shared" si="0"/>
        <v>0</v>
      </c>
      <c r="P38" s="272">
        <f>K38*(1000/114)</f>
        <v>342.10526315789474</v>
      </c>
      <c r="Q38" s="255">
        <f t="shared" si="2"/>
        <v>245.61403508771932</v>
      </c>
      <c r="R38" s="272">
        <f t="shared" si="28"/>
        <v>0</v>
      </c>
      <c r="S38" s="272">
        <f t="shared" si="29"/>
        <v>0</v>
      </c>
      <c r="T38" s="257">
        <f t="shared" si="15"/>
        <v>0</v>
      </c>
      <c r="U38" s="258">
        <f t="shared" si="16"/>
        <v>17.543859649122794</v>
      </c>
      <c r="V38" s="258">
        <f t="shared" si="17"/>
        <v>26.31578947368422</v>
      </c>
      <c r="W38" s="258">
        <f t="shared" si="18"/>
        <v>0</v>
      </c>
      <c r="X38" s="259">
        <f t="shared" si="19"/>
        <v>0</v>
      </c>
      <c r="Y38" s="264">
        <v>1.18</v>
      </c>
      <c r="Z38" s="264">
        <v>1.28</v>
      </c>
      <c r="AA38" s="264">
        <v>1.2</v>
      </c>
      <c r="AB38" s="264">
        <v>1.53</v>
      </c>
      <c r="AC38" s="264">
        <v>1.2</v>
      </c>
      <c r="AD38" s="273">
        <f t="shared" si="30"/>
        <v>0</v>
      </c>
      <c r="AE38" s="274">
        <f t="shared" si="31"/>
        <v>22.456140350877178</v>
      </c>
      <c r="AF38" s="274">
        <f t="shared" si="32"/>
        <v>31.578947368421062</v>
      </c>
      <c r="AG38" s="274">
        <f t="shared" si="33"/>
        <v>0</v>
      </c>
      <c r="AH38" s="275">
        <f t="shared" si="34"/>
        <v>0</v>
      </c>
      <c r="AI38" s="430">
        <v>244.97300000000001</v>
      </c>
      <c r="AJ38" s="217" t="e">
        <f>(AD38*1000)/#REF!</f>
        <v>#REF!</v>
      </c>
      <c r="AK38" s="218" t="e">
        <f>(AE38*1000)/#REF!</f>
        <v>#REF!</v>
      </c>
      <c r="AL38" s="218" t="e">
        <f>(AF38*1000)/#REF!</f>
        <v>#REF!</v>
      </c>
      <c r="AM38" s="218" t="e">
        <f>(AG38*1000)/#REF!</f>
        <v>#REF!</v>
      </c>
      <c r="AN38" s="219" t="e">
        <f>(AH38*1000)/#REF!</f>
        <v>#REF!</v>
      </c>
      <c r="AO38" s="166">
        <f t="shared" si="39"/>
        <v>1550</v>
      </c>
      <c r="AP38" s="167">
        <f t="shared" si="40"/>
        <v>19160</v>
      </c>
      <c r="AQ38" s="167">
        <f t="shared" si="41"/>
        <v>36239</v>
      </c>
      <c r="AR38" s="167">
        <f t="shared" si="42"/>
        <v>1560</v>
      </c>
      <c r="AS38" s="168">
        <f t="shared" si="43"/>
        <v>3640</v>
      </c>
      <c r="AT38" s="166">
        <f t="shared" si="35"/>
        <v>0</v>
      </c>
      <c r="AU38" s="167">
        <f t="shared" si="25"/>
        <v>5163.1157894736807</v>
      </c>
      <c r="AV38" s="167">
        <f t="shared" si="26"/>
        <v>50353.136842105276</v>
      </c>
      <c r="AW38" s="167">
        <f t="shared" si="36"/>
        <v>0</v>
      </c>
      <c r="AX38" s="168">
        <f t="shared" si="37"/>
        <v>0</v>
      </c>
      <c r="AY38" s="166">
        <f t="shared" si="38"/>
        <v>55516.252631578958</v>
      </c>
      <c r="AZ38" s="167">
        <v>1000</v>
      </c>
      <c r="BA38" s="167" t="e">
        <f>AY38/#REF!</f>
        <v>#REF!</v>
      </c>
      <c r="BB38" s="161"/>
      <c r="BC38" s="162"/>
    </row>
    <row r="39" spans="1:55" ht="14.95" thickBot="1" x14ac:dyDescent="0.3">
      <c r="A39" s="220">
        <f>+A38</f>
        <v>46094</v>
      </c>
      <c r="B39" s="279">
        <f>DAY(Tabla2[[#This Row],[FECHA]])</f>
        <v>13</v>
      </c>
      <c r="C39" s="199" t="s">
        <v>29</v>
      </c>
      <c r="D39" s="192"/>
      <c r="E39" s="193"/>
      <c r="F39" s="194"/>
      <c r="G39" s="194"/>
      <c r="H39" s="193"/>
      <c r="I39" s="408">
        <f>((Tabla2[[#This Row],[VOLUMEN ENVIADO A RO (m3)]]/80)/3)*60</f>
        <v>46.0105</v>
      </c>
      <c r="J39" s="397">
        <v>0</v>
      </c>
      <c r="K39" s="398">
        <v>37</v>
      </c>
      <c r="L39" s="399">
        <v>25</v>
      </c>
      <c r="M39" s="398">
        <v>0</v>
      </c>
      <c r="N39" s="399">
        <v>0</v>
      </c>
      <c r="O39" s="261">
        <f t="shared" si="0"/>
        <v>0</v>
      </c>
      <c r="P39" s="262">
        <f>K39*(1000/114)</f>
        <v>324.56140350877195</v>
      </c>
      <c r="Q39" s="262">
        <f t="shared" si="2"/>
        <v>219.2982456140351</v>
      </c>
      <c r="R39" s="262">
        <f t="shared" si="28"/>
        <v>0</v>
      </c>
      <c r="S39" s="262">
        <f t="shared" si="29"/>
        <v>0</v>
      </c>
      <c r="T39" s="257">
        <f t="shared" si="15"/>
        <v>0</v>
      </c>
      <c r="U39" s="258">
        <f t="shared" si="16"/>
        <v>61.403508771929808</v>
      </c>
      <c r="V39" s="258">
        <f t="shared" si="17"/>
        <v>105.26315789473685</v>
      </c>
      <c r="W39" s="258">
        <f t="shared" si="18"/>
        <v>0</v>
      </c>
      <c r="X39" s="259">
        <f t="shared" si="19"/>
        <v>0</v>
      </c>
      <c r="Y39" s="264">
        <v>1.18</v>
      </c>
      <c r="Z39" s="264">
        <v>1.28</v>
      </c>
      <c r="AA39" s="264">
        <v>1.2</v>
      </c>
      <c r="AB39" s="264">
        <v>1.53</v>
      </c>
      <c r="AC39" s="264">
        <v>1.2</v>
      </c>
      <c r="AD39" s="257">
        <f t="shared" si="30"/>
        <v>0</v>
      </c>
      <c r="AE39" s="258">
        <f t="shared" si="31"/>
        <v>78.59649122807015</v>
      </c>
      <c r="AF39" s="258">
        <f t="shared" si="32"/>
        <v>126.31578947368422</v>
      </c>
      <c r="AG39" s="258">
        <f t="shared" si="33"/>
        <v>0</v>
      </c>
      <c r="AH39" s="259">
        <f t="shared" si="34"/>
        <v>0</v>
      </c>
      <c r="AI39" s="431">
        <v>184.042</v>
      </c>
      <c r="AJ39" s="195" t="e">
        <f>(AD39*1000)/#REF!</f>
        <v>#REF!</v>
      </c>
      <c r="AK39" s="196" t="e">
        <f>(AE39*1000)/#REF!</f>
        <v>#REF!</v>
      </c>
      <c r="AL39" s="196" t="e">
        <f>(AF39*1000)/#REF!</f>
        <v>#REF!</v>
      </c>
      <c r="AM39" s="196" t="e">
        <f>(AG39*1000)/#REF!</f>
        <v>#REF!</v>
      </c>
      <c r="AN39" s="197" t="e">
        <f>(AH39*1000)/#REF!</f>
        <v>#REF!</v>
      </c>
      <c r="AO39" s="166">
        <f t="shared" si="39"/>
        <v>1550</v>
      </c>
      <c r="AP39" s="167">
        <f t="shared" si="40"/>
        <v>19160</v>
      </c>
      <c r="AQ39" s="167">
        <f t="shared" si="41"/>
        <v>36239</v>
      </c>
      <c r="AR39" s="167">
        <f t="shared" si="42"/>
        <v>1560</v>
      </c>
      <c r="AS39" s="168">
        <f t="shared" si="43"/>
        <v>3640</v>
      </c>
      <c r="AT39" s="166">
        <f t="shared" si="35"/>
        <v>0</v>
      </c>
      <c r="AU39" s="167">
        <f t="shared" si="25"/>
        <v>18070.905263157889</v>
      </c>
      <c r="AV39" s="167">
        <f t="shared" si="26"/>
        <v>201412.54736842107</v>
      </c>
      <c r="AW39" s="167">
        <f t="shared" si="36"/>
        <v>0</v>
      </c>
      <c r="AX39" s="168">
        <f t="shared" si="37"/>
        <v>0</v>
      </c>
      <c r="AY39" s="166">
        <f t="shared" si="38"/>
        <v>219483.45263157896</v>
      </c>
      <c r="AZ39" s="167">
        <v>1000</v>
      </c>
      <c r="BA39" s="167" t="e">
        <f>AY39/#REF!</f>
        <v>#REF!</v>
      </c>
      <c r="BB39" s="161"/>
      <c r="BC39" s="162"/>
    </row>
    <row r="40" spans="1:55" ht="14.95" thickBot="1" x14ac:dyDescent="0.3">
      <c r="A40" s="221">
        <f>+A39</f>
        <v>46094</v>
      </c>
      <c r="B40" s="280">
        <f>DAY(Tabla2[[#This Row],[FECHA]])</f>
        <v>13</v>
      </c>
      <c r="C40" s="204" t="s">
        <v>30</v>
      </c>
      <c r="D40" s="222"/>
      <c r="E40" s="223"/>
      <c r="F40" s="224"/>
      <c r="G40" s="224"/>
      <c r="H40" s="223"/>
      <c r="I40" s="408">
        <f>((Tabla2[[#This Row],[VOLUMEN ENVIADO A RO (m3)]]/80)/3)*60</f>
        <v>71.343500000000006</v>
      </c>
      <c r="J40" s="400">
        <v>0</v>
      </c>
      <c r="K40" s="401">
        <v>30</v>
      </c>
      <c r="L40" s="402">
        <v>13</v>
      </c>
      <c r="M40" s="401">
        <v>0</v>
      </c>
      <c r="N40" s="402">
        <v>0</v>
      </c>
      <c r="O40" s="261">
        <f t="shared" si="0"/>
        <v>0</v>
      </c>
      <c r="P40" s="266">
        <f t="shared" si="27"/>
        <v>263.15789473684214</v>
      </c>
      <c r="Q40" s="266">
        <f t="shared" si="2"/>
        <v>114.03508771929825</v>
      </c>
      <c r="R40" s="266">
        <f t="shared" si="28"/>
        <v>0</v>
      </c>
      <c r="S40" s="266">
        <f t="shared" si="29"/>
        <v>0</v>
      </c>
      <c r="T40" s="257">
        <f t="shared" si="15"/>
        <v>0</v>
      </c>
      <c r="U40" s="258">
        <f>P40-P41</f>
        <v>78.947368421052659</v>
      </c>
      <c r="V40" s="258">
        <f>Q40-Q41</f>
        <v>52.631578947368418</v>
      </c>
      <c r="W40" s="258">
        <f t="shared" si="18"/>
        <v>0</v>
      </c>
      <c r="X40" s="259">
        <f t="shared" si="19"/>
        <v>0</v>
      </c>
      <c r="Y40" s="264">
        <v>1.18</v>
      </c>
      <c r="Z40" s="264">
        <v>1.28</v>
      </c>
      <c r="AA40" s="264">
        <v>1.2</v>
      </c>
      <c r="AB40" s="264">
        <v>1.53</v>
      </c>
      <c r="AC40" s="264">
        <v>1.2</v>
      </c>
      <c r="AD40" s="268">
        <f t="shared" si="30"/>
        <v>0</v>
      </c>
      <c r="AE40" s="269">
        <f t="shared" si="31"/>
        <v>101.0526315789474</v>
      </c>
      <c r="AF40" s="269">
        <f t="shared" si="32"/>
        <v>63.157894736842096</v>
      </c>
      <c r="AG40" s="269">
        <f t="shared" si="33"/>
        <v>0</v>
      </c>
      <c r="AH40" s="270">
        <f t="shared" si="34"/>
        <v>0</v>
      </c>
      <c r="AI40" s="432">
        <v>285.37400000000002</v>
      </c>
      <c r="AJ40" s="210" t="e">
        <f>(AD40*1000)/#REF!</f>
        <v>#REF!</v>
      </c>
      <c r="AK40" s="211" t="e">
        <f>(AE40*1000)/#REF!</f>
        <v>#REF!</v>
      </c>
      <c r="AL40" s="211" t="e">
        <f>(AF40*1000)/#REF!</f>
        <v>#REF!</v>
      </c>
      <c r="AM40" s="211" t="e">
        <f>(AG40*1000)/#REF!</f>
        <v>#REF!</v>
      </c>
      <c r="AN40" s="212" t="e">
        <f>(AH40*1000)/#REF!</f>
        <v>#REF!</v>
      </c>
      <c r="AO40" s="166">
        <f t="shared" si="39"/>
        <v>1550</v>
      </c>
      <c r="AP40" s="167">
        <f t="shared" si="40"/>
        <v>19160</v>
      </c>
      <c r="AQ40" s="167">
        <f t="shared" si="41"/>
        <v>36239</v>
      </c>
      <c r="AR40" s="167">
        <f t="shared" si="42"/>
        <v>1560</v>
      </c>
      <c r="AS40" s="168">
        <f t="shared" si="43"/>
        <v>3640</v>
      </c>
      <c r="AT40" s="169">
        <f t="shared" si="35"/>
        <v>0</v>
      </c>
      <c r="AU40" s="170">
        <f t="shared" si="25"/>
        <v>23234.021052631586</v>
      </c>
      <c r="AV40" s="170">
        <f t="shared" si="26"/>
        <v>100706.27368421051</v>
      </c>
      <c r="AW40" s="170">
        <f t="shared" si="36"/>
        <v>0</v>
      </c>
      <c r="AX40" s="171">
        <f t="shared" si="37"/>
        <v>0</v>
      </c>
      <c r="AY40" s="169">
        <f t="shared" si="38"/>
        <v>123940.2947368421</v>
      </c>
      <c r="AZ40" s="170">
        <v>1000</v>
      </c>
      <c r="BA40" s="170" t="e">
        <f>AY40/#REF!</f>
        <v>#REF!</v>
      </c>
      <c r="BB40" s="160"/>
      <c r="BC40" s="163"/>
    </row>
    <row r="41" spans="1:55" ht="14.95" thickBot="1" x14ac:dyDescent="0.3">
      <c r="A41" s="213">
        <f>+A40+1</f>
        <v>46095</v>
      </c>
      <c r="B41" s="281">
        <f>DAY(Tabla2[[#This Row],[FECHA]])</f>
        <v>14</v>
      </c>
      <c r="C41" s="225" t="s">
        <v>28</v>
      </c>
      <c r="D41" s="214"/>
      <c r="E41" s="215"/>
      <c r="F41" s="216"/>
      <c r="G41" s="216"/>
      <c r="H41" s="215"/>
      <c r="I41" s="408">
        <f>((Tabla2[[#This Row],[VOLUMEN ENVIADO A RO (m3)]]/80)/3)*60</f>
        <v>47.176749999999998</v>
      </c>
      <c r="J41" s="394">
        <v>0</v>
      </c>
      <c r="K41" s="394">
        <v>21</v>
      </c>
      <c r="L41" s="396">
        <v>7</v>
      </c>
      <c r="M41" s="395">
        <v>0</v>
      </c>
      <c r="N41" s="396">
        <v>0</v>
      </c>
      <c r="O41" s="261">
        <f t="shared" si="0"/>
        <v>0</v>
      </c>
      <c r="P41" s="272">
        <f t="shared" si="27"/>
        <v>184.21052631578948</v>
      </c>
      <c r="Q41" s="255">
        <f t="shared" si="2"/>
        <v>61.403508771929829</v>
      </c>
      <c r="R41" s="272">
        <f t="shared" si="28"/>
        <v>0</v>
      </c>
      <c r="S41" s="272">
        <f t="shared" si="29"/>
        <v>0</v>
      </c>
      <c r="T41" s="257">
        <f t="shared" si="15"/>
        <v>0</v>
      </c>
      <c r="U41" s="258">
        <f t="shared" si="16"/>
        <v>0</v>
      </c>
      <c r="V41" s="258">
        <f t="shared" si="17"/>
        <v>0</v>
      </c>
      <c r="W41" s="258">
        <f t="shared" si="18"/>
        <v>0</v>
      </c>
      <c r="X41" s="259">
        <f t="shared" si="19"/>
        <v>0</v>
      </c>
      <c r="Y41" s="264">
        <v>1.18</v>
      </c>
      <c r="Z41" s="264">
        <v>1.28</v>
      </c>
      <c r="AA41" s="264">
        <v>1.2</v>
      </c>
      <c r="AB41" s="264">
        <v>1.53</v>
      </c>
      <c r="AC41" s="264">
        <v>1.2</v>
      </c>
      <c r="AD41" s="273">
        <f t="shared" si="30"/>
        <v>0</v>
      </c>
      <c r="AE41" s="274">
        <f t="shared" si="31"/>
        <v>0</v>
      </c>
      <c r="AF41" s="274">
        <f t="shared" si="32"/>
        <v>0</v>
      </c>
      <c r="AG41" s="274">
        <f t="shared" si="33"/>
        <v>0</v>
      </c>
      <c r="AH41" s="275">
        <f t="shared" si="34"/>
        <v>0</v>
      </c>
      <c r="AI41" s="430">
        <v>188.70699999999999</v>
      </c>
      <c r="AJ41" s="217" t="e">
        <f>(AD41*1000)/#REF!</f>
        <v>#REF!</v>
      </c>
      <c r="AK41" s="218" t="e">
        <f>(AE41*1000)/#REF!</f>
        <v>#REF!</v>
      </c>
      <c r="AL41" s="218" t="e">
        <f>(AF41*1000)/#REF!</f>
        <v>#REF!</v>
      </c>
      <c r="AM41" s="218" t="e">
        <f>(AG41*1000)/#REF!</f>
        <v>#REF!</v>
      </c>
      <c r="AN41" s="219" t="e">
        <f>(AH41*1000)/#REF!</f>
        <v>#REF!</v>
      </c>
      <c r="AO41" s="166">
        <f t="shared" si="39"/>
        <v>1550</v>
      </c>
      <c r="AP41" s="167">
        <f t="shared" si="40"/>
        <v>19160</v>
      </c>
      <c r="AQ41" s="167">
        <f t="shared" si="41"/>
        <v>36239</v>
      </c>
      <c r="AR41" s="167">
        <f t="shared" si="42"/>
        <v>1560</v>
      </c>
      <c r="AS41" s="168">
        <f t="shared" si="43"/>
        <v>3640</v>
      </c>
      <c r="AT41" s="166">
        <f t="shared" si="35"/>
        <v>0</v>
      </c>
      <c r="AU41" s="167">
        <f t="shared" si="25"/>
        <v>0</v>
      </c>
      <c r="AV41" s="167">
        <f t="shared" si="26"/>
        <v>0</v>
      </c>
      <c r="AW41" s="167">
        <f t="shared" si="36"/>
        <v>0</v>
      </c>
      <c r="AX41" s="168">
        <f t="shared" si="37"/>
        <v>0</v>
      </c>
      <c r="AY41" s="166">
        <f t="shared" si="38"/>
        <v>0</v>
      </c>
      <c r="AZ41" s="167">
        <v>1000</v>
      </c>
      <c r="BA41" s="167" t="e">
        <f>AY41/#REF!</f>
        <v>#REF!</v>
      </c>
      <c r="BB41" s="161"/>
      <c r="BC41" s="162"/>
    </row>
    <row r="42" spans="1:55" ht="14.95" thickBot="1" x14ac:dyDescent="0.3">
      <c r="A42" s="220">
        <f>+A41</f>
        <v>46095</v>
      </c>
      <c r="B42" s="279">
        <f>DAY(Tabla2[[#This Row],[FECHA]])</f>
        <v>14</v>
      </c>
      <c r="C42" s="199" t="s">
        <v>29</v>
      </c>
      <c r="D42" s="192"/>
      <c r="E42" s="193"/>
      <c r="F42" s="194"/>
      <c r="G42" s="194"/>
      <c r="H42" s="193"/>
      <c r="I42" s="408">
        <f>((Tabla2[[#This Row],[VOLUMEN ENVIADO A RO (m3)]]/80)/3)*60</f>
        <v>0</v>
      </c>
      <c r="J42" s="397">
        <v>0</v>
      </c>
      <c r="K42" s="398">
        <v>21</v>
      </c>
      <c r="L42" s="399">
        <v>7</v>
      </c>
      <c r="M42" s="398">
        <v>0</v>
      </c>
      <c r="N42" s="399">
        <v>0</v>
      </c>
      <c r="O42" s="261">
        <f t="shared" si="0"/>
        <v>0</v>
      </c>
      <c r="P42" s="262">
        <f t="shared" si="27"/>
        <v>184.21052631578948</v>
      </c>
      <c r="Q42" s="262">
        <f t="shared" si="2"/>
        <v>61.403508771929829</v>
      </c>
      <c r="R42" s="262">
        <f t="shared" si="28"/>
        <v>0</v>
      </c>
      <c r="S42" s="262">
        <f t="shared" si="29"/>
        <v>0</v>
      </c>
      <c r="T42" s="257">
        <f t="shared" si="15"/>
        <v>0</v>
      </c>
      <c r="U42" s="258">
        <f t="shared" si="16"/>
        <v>0</v>
      </c>
      <c r="V42" s="258">
        <f t="shared" si="17"/>
        <v>0</v>
      </c>
      <c r="W42" s="258">
        <f t="shared" si="18"/>
        <v>0</v>
      </c>
      <c r="X42" s="259">
        <f t="shared" si="19"/>
        <v>0</v>
      </c>
      <c r="Y42" s="264">
        <v>1.18</v>
      </c>
      <c r="Z42" s="264">
        <v>1.28</v>
      </c>
      <c r="AA42" s="264">
        <v>1.2</v>
      </c>
      <c r="AB42" s="264">
        <v>1.53</v>
      </c>
      <c r="AC42" s="264">
        <v>1.2</v>
      </c>
      <c r="AD42" s="257">
        <f t="shared" si="30"/>
        <v>0</v>
      </c>
      <c r="AE42" s="258">
        <f t="shared" si="31"/>
        <v>0</v>
      </c>
      <c r="AF42" s="258">
        <f t="shared" si="32"/>
        <v>0</v>
      </c>
      <c r="AG42" s="258">
        <f t="shared" si="33"/>
        <v>0</v>
      </c>
      <c r="AH42" s="259">
        <f t="shared" si="34"/>
        <v>0</v>
      </c>
      <c r="AI42" s="431">
        <v>0</v>
      </c>
      <c r="AJ42" s="195" t="e">
        <f>(AD42*1000)/#REF!</f>
        <v>#REF!</v>
      </c>
      <c r="AK42" s="196" t="e">
        <f>(AE42*1000)/#REF!</f>
        <v>#REF!</v>
      </c>
      <c r="AL42" s="196" t="e">
        <f>(AF42*1000)/#REF!</f>
        <v>#REF!</v>
      </c>
      <c r="AM42" s="196" t="e">
        <f>(AG42*1000)/#REF!</f>
        <v>#REF!</v>
      </c>
      <c r="AN42" s="197" t="e">
        <f>(AH42*1000)/#REF!</f>
        <v>#REF!</v>
      </c>
      <c r="AO42" s="166">
        <f t="shared" si="39"/>
        <v>1550</v>
      </c>
      <c r="AP42" s="167">
        <f t="shared" si="40"/>
        <v>19160</v>
      </c>
      <c r="AQ42" s="167">
        <f t="shared" si="41"/>
        <v>36239</v>
      </c>
      <c r="AR42" s="167">
        <f t="shared" si="42"/>
        <v>1560</v>
      </c>
      <c r="AS42" s="168">
        <f t="shared" si="43"/>
        <v>3640</v>
      </c>
      <c r="AT42" s="166">
        <f t="shared" si="35"/>
        <v>0</v>
      </c>
      <c r="AU42" s="167">
        <f t="shared" si="25"/>
        <v>0</v>
      </c>
      <c r="AV42" s="167">
        <f t="shared" si="26"/>
        <v>0</v>
      </c>
      <c r="AW42" s="167">
        <f t="shared" si="36"/>
        <v>0</v>
      </c>
      <c r="AX42" s="168">
        <f t="shared" si="37"/>
        <v>0</v>
      </c>
      <c r="AY42" s="166">
        <f t="shared" si="38"/>
        <v>0</v>
      </c>
      <c r="AZ42" s="167">
        <v>1000</v>
      </c>
      <c r="BA42" s="167" t="e">
        <f>AY42/#REF!</f>
        <v>#REF!</v>
      </c>
      <c r="BB42" s="161"/>
      <c r="BC42" s="162"/>
    </row>
    <row r="43" spans="1:55" ht="14.95" thickBot="1" x14ac:dyDescent="0.3">
      <c r="A43" s="221">
        <f>+A42</f>
        <v>46095</v>
      </c>
      <c r="B43" s="280">
        <f>DAY(Tabla2[[#This Row],[FECHA]])</f>
        <v>14</v>
      </c>
      <c r="C43" s="204" t="s">
        <v>30</v>
      </c>
      <c r="D43" s="222"/>
      <c r="E43" s="223"/>
      <c r="F43" s="224"/>
      <c r="G43" s="224"/>
      <c r="H43" s="223"/>
      <c r="I43" s="408">
        <f>((Tabla2[[#This Row],[VOLUMEN ENVIADO A RO (m3)]]/80)/3)*60</f>
        <v>0</v>
      </c>
      <c r="J43" s="400">
        <v>0</v>
      </c>
      <c r="K43" s="401">
        <v>21</v>
      </c>
      <c r="L43" s="402">
        <v>7</v>
      </c>
      <c r="M43" s="401">
        <v>0</v>
      </c>
      <c r="N43" s="402">
        <v>0</v>
      </c>
      <c r="O43" s="261">
        <f t="shared" si="0"/>
        <v>0</v>
      </c>
      <c r="P43" s="266">
        <f t="shared" si="27"/>
        <v>184.21052631578948</v>
      </c>
      <c r="Q43" s="266">
        <f t="shared" si="2"/>
        <v>61.403508771929829</v>
      </c>
      <c r="R43" s="266">
        <f t="shared" si="28"/>
        <v>0</v>
      </c>
      <c r="S43" s="266">
        <f t="shared" si="29"/>
        <v>0</v>
      </c>
      <c r="T43" s="257">
        <f t="shared" si="15"/>
        <v>0</v>
      </c>
      <c r="U43" s="258">
        <f>P43-P44</f>
        <v>0</v>
      </c>
      <c r="V43" s="258">
        <f t="shared" si="17"/>
        <v>0</v>
      </c>
      <c r="W43" s="258">
        <f t="shared" si="18"/>
        <v>0</v>
      </c>
      <c r="X43" s="259">
        <f t="shared" si="19"/>
        <v>0</v>
      </c>
      <c r="Y43" s="264">
        <v>1.18</v>
      </c>
      <c r="Z43" s="264">
        <v>1.28</v>
      </c>
      <c r="AA43" s="264">
        <v>1.2</v>
      </c>
      <c r="AB43" s="264">
        <v>1.53</v>
      </c>
      <c r="AC43" s="264">
        <v>1.2</v>
      </c>
      <c r="AD43" s="268">
        <f t="shared" si="30"/>
        <v>0</v>
      </c>
      <c r="AE43" s="269">
        <f t="shared" si="31"/>
        <v>0</v>
      </c>
      <c r="AF43" s="269">
        <f t="shared" si="32"/>
        <v>0</v>
      </c>
      <c r="AG43" s="269">
        <f t="shared" si="33"/>
        <v>0</v>
      </c>
      <c r="AH43" s="270">
        <f t="shared" si="34"/>
        <v>0</v>
      </c>
      <c r="AI43" s="432">
        <v>0</v>
      </c>
      <c r="AJ43" s="210" t="e">
        <f>(AD43*1000)/#REF!</f>
        <v>#REF!</v>
      </c>
      <c r="AK43" s="211" t="e">
        <f>(AE43*1000)/#REF!</f>
        <v>#REF!</v>
      </c>
      <c r="AL43" s="211" t="e">
        <f>(AF43*1000)/#REF!</f>
        <v>#REF!</v>
      </c>
      <c r="AM43" s="211" t="e">
        <f>(AG43*1000)/#REF!</f>
        <v>#REF!</v>
      </c>
      <c r="AN43" s="212" t="e">
        <f>(AH43*1000)/#REF!</f>
        <v>#REF!</v>
      </c>
      <c r="AO43" s="166">
        <f t="shared" si="39"/>
        <v>1550</v>
      </c>
      <c r="AP43" s="167">
        <f t="shared" si="40"/>
        <v>19160</v>
      </c>
      <c r="AQ43" s="167">
        <f t="shared" si="41"/>
        <v>36239</v>
      </c>
      <c r="AR43" s="167">
        <f t="shared" si="42"/>
        <v>1560</v>
      </c>
      <c r="AS43" s="168">
        <f t="shared" si="43"/>
        <v>3640</v>
      </c>
      <c r="AT43" s="169">
        <f t="shared" si="35"/>
        <v>0</v>
      </c>
      <c r="AU43" s="170">
        <f t="shared" si="25"/>
        <v>0</v>
      </c>
      <c r="AV43" s="170">
        <f t="shared" si="26"/>
        <v>0</v>
      </c>
      <c r="AW43" s="170">
        <f t="shared" si="36"/>
        <v>0</v>
      </c>
      <c r="AX43" s="171">
        <f t="shared" si="37"/>
        <v>0</v>
      </c>
      <c r="AY43" s="169">
        <f t="shared" si="38"/>
        <v>0</v>
      </c>
      <c r="AZ43" s="170">
        <v>1000</v>
      </c>
      <c r="BA43" s="170" t="e">
        <f>AY43/#REF!</f>
        <v>#REF!</v>
      </c>
      <c r="BB43" s="160"/>
      <c r="BC43" s="163"/>
    </row>
    <row r="44" spans="1:55" ht="14.95" thickBot="1" x14ac:dyDescent="0.3">
      <c r="A44" s="213">
        <f>+A43+1</f>
        <v>46096</v>
      </c>
      <c r="B44" s="281">
        <f>DAY(Tabla2[[#This Row],[FECHA]])</f>
        <v>15</v>
      </c>
      <c r="C44" s="225" t="s">
        <v>28</v>
      </c>
      <c r="D44" s="214"/>
      <c r="E44" s="215"/>
      <c r="F44" s="216"/>
      <c r="G44" s="216"/>
      <c r="H44" s="215"/>
      <c r="I44" s="408">
        <f>((Tabla2[[#This Row],[VOLUMEN ENVIADO A RO (m3)]]/80)/3)*60</f>
        <v>0</v>
      </c>
      <c r="J44" s="394">
        <v>0</v>
      </c>
      <c r="K44" s="394">
        <v>21</v>
      </c>
      <c r="L44" s="396">
        <v>7</v>
      </c>
      <c r="M44" s="395">
        <v>0</v>
      </c>
      <c r="N44" s="396">
        <v>0</v>
      </c>
      <c r="O44" s="261">
        <f t="shared" si="0"/>
        <v>0</v>
      </c>
      <c r="P44" s="272">
        <f t="shared" si="27"/>
        <v>184.21052631578948</v>
      </c>
      <c r="Q44" s="255">
        <f t="shared" si="2"/>
        <v>61.403508771929829</v>
      </c>
      <c r="R44" s="272">
        <f t="shared" si="28"/>
        <v>0</v>
      </c>
      <c r="S44" s="272">
        <f t="shared" si="29"/>
        <v>0</v>
      </c>
      <c r="T44" s="257">
        <f t="shared" si="15"/>
        <v>0</v>
      </c>
      <c r="U44" s="258">
        <f t="shared" si="16"/>
        <v>0</v>
      </c>
      <c r="V44" s="258">
        <f t="shared" si="17"/>
        <v>0</v>
      </c>
      <c r="W44" s="258">
        <f t="shared" si="18"/>
        <v>0</v>
      </c>
      <c r="X44" s="259">
        <f t="shared" si="19"/>
        <v>0</v>
      </c>
      <c r="Y44" s="264">
        <v>1.18</v>
      </c>
      <c r="Z44" s="264">
        <v>1.28</v>
      </c>
      <c r="AA44" s="264">
        <v>1.2</v>
      </c>
      <c r="AB44" s="264">
        <v>1.53</v>
      </c>
      <c r="AC44" s="264">
        <v>1.2</v>
      </c>
      <c r="AD44" s="273">
        <f t="shared" si="30"/>
        <v>0</v>
      </c>
      <c r="AE44" s="274">
        <f t="shared" si="31"/>
        <v>0</v>
      </c>
      <c r="AF44" s="274">
        <f t="shared" si="32"/>
        <v>0</v>
      </c>
      <c r="AG44" s="274">
        <f t="shared" si="33"/>
        <v>0</v>
      </c>
      <c r="AH44" s="275">
        <f t="shared" si="34"/>
        <v>0</v>
      </c>
      <c r="AI44" s="430">
        <v>0</v>
      </c>
      <c r="AJ44" s="217" t="e">
        <f>(AD44*1000)/#REF!</f>
        <v>#REF!</v>
      </c>
      <c r="AK44" s="218" t="e">
        <f>(AE44*1000)/#REF!</f>
        <v>#REF!</v>
      </c>
      <c r="AL44" s="218" t="e">
        <f>(AF44*1000)/#REF!</f>
        <v>#REF!</v>
      </c>
      <c r="AM44" s="218" t="e">
        <f>(AG44*1000)/#REF!</f>
        <v>#REF!</v>
      </c>
      <c r="AN44" s="219" t="e">
        <f>(AH44*1000)/#REF!</f>
        <v>#REF!</v>
      </c>
      <c r="AO44" s="166">
        <f t="shared" si="39"/>
        <v>1550</v>
      </c>
      <c r="AP44" s="167">
        <f t="shared" si="40"/>
        <v>19160</v>
      </c>
      <c r="AQ44" s="167">
        <f t="shared" si="41"/>
        <v>36239</v>
      </c>
      <c r="AR44" s="167">
        <f t="shared" si="42"/>
        <v>1560</v>
      </c>
      <c r="AS44" s="168">
        <f t="shared" si="43"/>
        <v>3640</v>
      </c>
      <c r="AT44" s="166">
        <f t="shared" si="35"/>
        <v>0</v>
      </c>
      <c r="AU44" s="167">
        <f t="shared" si="25"/>
        <v>0</v>
      </c>
      <c r="AV44" s="167">
        <f t="shared" si="26"/>
        <v>0</v>
      </c>
      <c r="AW44" s="167">
        <f t="shared" si="36"/>
        <v>0</v>
      </c>
      <c r="AX44" s="168">
        <f t="shared" si="37"/>
        <v>0</v>
      </c>
      <c r="AY44" s="166">
        <f t="shared" si="38"/>
        <v>0</v>
      </c>
      <c r="AZ44" s="167">
        <v>1000</v>
      </c>
      <c r="BA44" s="167" t="e">
        <f>AY44/#REF!</f>
        <v>#REF!</v>
      </c>
      <c r="BB44" s="161"/>
      <c r="BC44" s="162"/>
    </row>
    <row r="45" spans="1:55" ht="14.95" thickBot="1" x14ac:dyDescent="0.3">
      <c r="A45" s="220">
        <f>+A44</f>
        <v>46096</v>
      </c>
      <c r="B45" s="279">
        <f>DAY(Tabla2[[#This Row],[FECHA]])</f>
        <v>15</v>
      </c>
      <c r="C45" s="199" t="s">
        <v>29</v>
      </c>
      <c r="D45" s="200"/>
      <c r="E45" s="201"/>
      <c r="F45" s="202"/>
      <c r="G45" s="202"/>
      <c r="H45" s="201"/>
      <c r="I45" s="408">
        <f>((Tabla2[[#This Row],[VOLUMEN ENVIADO A RO (m3)]]/80)/3)*60</f>
        <v>0</v>
      </c>
      <c r="J45" s="397">
        <v>0</v>
      </c>
      <c r="K45" s="398">
        <v>21</v>
      </c>
      <c r="L45" s="399">
        <v>7</v>
      </c>
      <c r="M45" s="398">
        <v>0</v>
      </c>
      <c r="N45" s="399">
        <v>0</v>
      </c>
      <c r="O45" s="261">
        <f t="shared" si="0"/>
        <v>0</v>
      </c>
      <c r="P45" s="262">
        <f t="shared" si="27"/>
        <v>184.21052631578948</v>
      </c>
      <c r="Q45" s="262">
        <f t="shared" si="2"/>
        <v>61.403508771929829</v>
      </c>
      <c r="R45" s="262">
        <f t="shared" si="28"/>
        <v>0</v>
      </c>
      <c r="S45" s="262">
        <f t="shared" si="29"/>
        <v>0</v>
      </c>
      <c r="T45" s="257">
        <f t="shared" si="15"/>
        <v>0</v>
      </c>
      <c r="U45" s="258">
        <f t="shared" si="16"/>
        <v>0</v>
      </c>
      <c r="V45" s="258">
        <f t="shared" si="17"/>
        <v>0</v>
      </c>
      <c r="W45" s="258">
        <f t="shared" si="18"/>
        <v>0</v>
      </c>
      <c r="X45" s="259">
        <f t="shared" si="19"/>
        <v>0</v>
      </c>
      <c r="Y45" s="264">
        <v>1.18</v>
      </c>
      <c r="Z45" s="264">
        <v>1.28</v>
      </c>
      <c r="AA45" s="264">
        <v>1.2</v>
      </c>
      <c r="AB45" s="264">
        <v>1.53</v>
      </c>
      <c r="AC45" s="264">
        <v>1.2</v>
      </c>
      <c r="AD45" s="257">
        <f t="shared" si="30"/>
        <v>0</v>
      </c>
      <c r="AE45" s="258">
        <f t="shared" si="31"/>
        <v>0</v>
      </c>
      <c r="AF45" s="258">
        <f t="shared" si="32"/>
        <v>0</v>
      </c>
      <c r="AG45" s="258">
        <f t="shared" si="33"/>
        <v>0</v>
      </c>
      <c r="AH45" s="259">
        <f t="shared" si="34"/>
        <v>0</v>
      </c>
      <c r="AI45" s="431">
        <v>0</v>
      </c>
      <c r="AJ45" s="195" t="e">
        <f>(AD45*1000)/#REF!</f>
        <v>#REF!</v>
      </c>
      <c r="AK45" s="196" t="e">
        <f>(AE45*1000)/#REF!</f>
        <v>#REF!</v>
      </c>
      <c r="AL45" s="196" t="e">
        <f>(AF45*1000)/#REF!</f>
        <v>#REF!</v>
      </c>
      <c r="AM45" s="196" t="e">
        <f>(AG45*1000)/#REF!</f>
        <v>#REF!</v>
      </c>
      <c r="AN45" s="197" t="e">
        <f>(AH45*1000)/#REF!</f>
        <v>#REF!</v>
      </c>
      <c r="AO45" s="166">
        <f t="shared" si="39"/>
        <v>1550</v>
      </c>
      <c r="AP45" s="167">
        <f t="shared" si="40"/>
        <v>19160</v>
      </c>
      <c r="AQ45" s="167">
        <f t="shared" si="41"/>
        <v>36239</v>
      </c>
      <c r="AR45" s="167">
        <f t="shared" si="42"/>
        <v>1560</v>
      </c>
      <c r="AS45" s="168">
        <f t="shared" si="43"/>
        <v>3640</v>
      </c>
      <c r="AT45" s="166">
        <f t="shared" si="35"/>
        <v>0</v>
      </c>
      <c r="AU45" s="167">
        <f t="shared" si="25"/>
        <v>0</v>
      </c>
      <c r="AV45" s="167">
        <f t="shared" si="26"/>
        <v>0</v>
      </c>
      <c r="AW45" s="167">
        <f t="shared" si="36"/>
        <v>0</v>
      </c>
      <c r="AX45" s="168">
        <f t="shared" si="37"/>
        <v>0</v>
      </c>
      <c r="AY45" s="166">
        <f t="shared" si="38"/>
        <v>0</v>
      </c>
      <c r="AZ45" s="167">
        <v>1000</v>
      </c>
      <c r="BA45" s="167" t="e">
        <f>AY45/#REF!</f>
        <v>#REF!</v>
      </c>
      <c r="BB45" s="161"/>
      <c r="BC45" s="162"/>
    </row>
    <row r="46" spans="1:55" ht="14.95" thickBot="1" x14ac:dyDescent="0.3">
      <c r="A46" s="221">
        <f>+A45</f>
        <v>46096</v>
      </c>
      <c r="B46" s="280">
        <f>DAY(Tabla2[[#This Row],[FECHA]])</f>
        <v>15</v>
      </c>
      <c r="C46" s="204" t="s">
        <v>30</v>
      </c>
      <c r="D46" s="205"/>
      <c r="E46" s="206"/>
      <c r="F46" s="207"/>
      <c r="G46" s="208"/>
      <c r="H46" s="209"/>
      <c r="I46" s="408">
        <f>((Tabla2[[#This Row],[VOLUMEN ENVIADO A RO (m3)]]/80)/3)*60</f>
        <v>0</v>
      </c>
      <c r="J46" s="400">
        <v>0</v>
      </c>
      <c r="K46" s="401">
        <v>21</v>
      </c>
      <c r="L46" s="402">
        <v>7</v>
      </c>
      <c r="M46" s="401">
        <v>0</v>
      </c>
      <c r="N46" s="402">
        <v>0</v>
      </c>
      <c r="O46" s="261">
        <f t="shared" si="0"/>
        <v>0</v>
      </c>
      <c r="P46" s="266">
        <f t="shared" si="27"/>
        <v>184.21052631578948</v>
      </c>
      <c r="Q46" s="266">
        <f t="shared" si="2"/>
        <v>61.403508771929829</v>
      </c>
      <c r="R46" s="266">
        <f t="shared" si="28"/>
        <v>0</v>
      </c>
      <c r="S46" s="266">
        <f t="shared" si="29"/>
        <v>0</v>
      </c>
      <c r="T46" s="257">
        <f t="shared" si="15"/>
        <v>0</v>
      </c>
      <c r="U46" s="258">
        <f>P46-P47</f>
        <v>43.859649122807014</v>
      </c>
      <c r="V46" s="618">
        <f>Q46-Q47+1000</f>
        <v>96.491228070175453</v>
      </c>
      <c r="W46" s="258">
        <f t="shared" si="18"/>
        <v>0</v>
      </c>
      <c r="X46" s="259">
        <f t="shared" si="19"/>
        <v>0</v>
      </c>
      <c r="Y46" s="264">
        <v>1.18</v>
      </c>
      <c r="Z46" s="264">
        <v>1.28</v>
      </c>
      <c r="AA46" s="264">
        <v>1.2</v>
      </c>
      <c r="AB46" s="264">
        <v>1.53</v>
      </c>
      <c r="AC46" s="264">
        <v>1.2</v>
      </c>
      <c r="AD46" s="268">
        <f t="shared" si="30"/>
        <v>0</v>
      </c>
      <c r="AE46" s="269">
        <f t="shared" si="31"/>
        <v>56.140350877192979</v>
      </c>
      <c r="AF46" s="269">
        <f t="shared" si="32"/>
        <v>115.78947368421053</v>
      </c>
      <c r="AG46" s="269">
        <f t="shared" si="33"/>
        <v>0</v>
      </c>
      <c r="AH46" s="270">
        <f t="shared" si="34"/>
        <v>0</v>
      </c>
      <c r="AI46" s="432">
        <v>0</v>
      </c>
      <c r="AJ46" s="210" t="e">
        <f>(AD46*1000)/#REF!</f>
        <v>#REF!</v>
      </c>
      <c r="AK46" s="211" t="e">
        <f>(AE46*1000)/#REF!</f>
        <v>#REF!</v>
      </c>
      <c r="AL46" s="211" t="e">
        <f>(AF46*1000)/#REF!</f>
        <v>#REF!</v>
      </c>
      <c r="AM46" s="211" t="e">
        <f>(AG46*1000)/#REF!</f>
        <v>#REF!</v>
      </c>
      <c r="AN46" s="212" t="e">
        <f>(AH46*1000)/#REF!</f>
        <v>#REF!</v>
      </c>
      <c r="AO46" s="166">
        <f t="shared" si="39"/>
        <v>1550</v>
      </c>
      <c r="AP46" s="167">
        <f t="shared" si="40"/>
        <v>19160</v>
      </c>
      <c r="AQ46" s="167">
        <f t="shared" si="41"/>
        <v>36239</v>
      </c>
      <c r="AR46" s="167">
        <f t="shared" si="42"/>
        <v>1560</v>
      </c>
      <c r="AS46" s="168">
        <f t="shared" si="43"/>
        <v>3640</v>
      </c>
      <c r="AT46" s="169">
        <f t="shared" si="35"/>
        <v>0</v>
      </c>
      <c r="AU46" s="170">
        <f t="shared" si="25"/>
        <v>12907.78947368421</v>
      </c>
      <c r="AV46" s="170">
        <f t="shared" si="26"/>
        <v>184628.16842105263</v>
      </c>
      <c r="AW46" s="170">
        <f t="shared" si="36"/>
        <v>0</v>
      </c>
      <c r="AX46" s="171">
        <f t="shared" si="37"/>
        <v>0</v>
      </c>
      <c r="AY46" s="169">
        <f t="shared" si="38"/>
        <v>197535.95789473684</v>
      </c>
      <c r="AZ46" s="170">
        <v>1000</v>
      </c>
      <c r="BA46" s="170" t="e">
        <f>AY46/#REF!</f>
        <v>#REF!</v>
      </c>
      <c r="BB46" s="160"/>
      <c r="BC46" s="163"/>
    </row>
    <row r="47" spans="1:55" ht="14.95" thickBot="1" x14ac:dyDescent="0.3">
      <c r="A47" s="213">
        <f>+A46+1</f>
        <v>46097</v>
      </c>
      <c r="B47" s="281">
        <f>DAY(Tabla2[[#This Row],[FECHA]])</f>
        <v>16</v>
      </c>
      <c r="C47" s="225" t="s">
        <v>28</v>
      </c>
      <c r="D47" s="214"/>
      <c r="E47" s="215"/>
      <c r="F47" s="216"/>
      <c r="G47" s="216"/>
      <c r="H47" s="215"/>
      <c r="I47" s="408">
        <f>((Tabla2[[#This Row],[VOLUMEN ENVIADO A RO (m3)]]/80)/3)*60</f>
        <v>69.127499999999998</v>
      </c>
      <c r="J47" s="394">
        <v>0</v>
      </c>
      <c r="K47" s="394">
        <v>16</v>
      </c>
      <c r="L47" s="396">
        <v>110</v>
      </c>
      <c r="M47" s="395">
        <v>0</v>
      </c>
      <c r="N47" s="396">
        <v>0</v>
      </c>
      <c r="O47" s="261">
        <f t="shared" si="0"/>
        <v>0</v>
      </c>
      <c r="P47" s="272">
        <f t="shared" si="27"/>
        <v>140.35087719298247</v>
      </c>
      <c r="Q47" s="255">
        <f t="shared" si="2"/>
        <v>964.91228070175441</v>
      </c>
      <c r="R47" s="272">
        <f t="shared" si="28"/>
        <v>0</v>
      </c>
      <c r="S47" s="272">
        <f t="shared" si="29"/>
        <v>0</v>
      </c>
      <c r="T47" s="257">
        <f t="shared" si="15"/>
        <v>0</v>
      </c>
      <c r="U47" s="618">
        <f>P47-P48+1000</f>
        <v>210.52631578947364</v>
      </c>
      <c r="V47" s="258">
        <f t="shared" si="17"/>
        <v>0</v>
      </c>
      <c r="W47" s="258">
        <f t="shared" si="18"/>
        <v>0</v>
      </c>
      <c r="X47" s="259">
        <f t="shared" si="19"/>
        <v>0</v>
      </c>
      <c r="Y47" s="264">
        <v>1.18</v>
      </c>
      <c r="Z47" s="264">
        <v>1.28</v>
      </c>
      <c r="AA47" s="264">
        <v>1.2</v>
      </c>
      <c r="AB47" s="264">
        <v>1.53</v>
      </c>
      <c r="AC47" s="264">
        <v>1.2</v>
      </c>
      <c r="AD47" s="273">
        <f t="shared" si="30"/>
        <v>0</v>
      </c>
      <c r="AE47" s="274">
        <f t="shared" si="31"/>
        <v>269.47368421052624</v>
      </c>
      <c r="AF47" s="274">
        <f t="shared" si="32"/>
        <v>0</v>
      </c>
      <c r="AG47" s="274">
        <f t="shared" si="33"/>
        <v>0</v>
      </c>
      <c r="AH47" s="275">
        <f t="shared" si="34"/>
        <v>0</v>
      </c>
      <c r="AI47" s="430">
        <v>276.51</v>
      </c>
      <c r="AJ47" s="217" t="e">
        <f>(AD47*1000)/#REF!</f>
        <v>#REF!</v>
      </c>
      <c r="AK47" s="218" t="e">
        <f>(AE47*1000)/#REF!</f>
        <v>#REF!</v>
      </c>
      <c r="AL47" s="218" t="e">
        <f>(AF47*1000)/#REF!</f>
        <v>#REF!</v>
      </c>
      <c r="AM47" s="218" t="e">
        <f>(AG47*1000)/#REF!</f>
        <v>#REF!</v>
      </c>
      <c r="AN47" s="219" t="e">
        <f>(AH47*1000)/#REF!</f>
        <v>#REF!</v>
      </c>
      <c r="AO47" s="166">
        <f t="shared" si="39"/>
        <v>1550</v>
      </c>
      <c r="AP47" s="167">
        <f t="shared" si="40"/>
        <v>19160</v>
      </c>
      <c r="AQ47" s="167">
        <f t="shared" si="41"/>
        <v>36239</v>
      </c>
      <c r="AR47" s="167">
        <f t="shared" si="42"/>
        <v>1560</v>
      </c>
      <c r="AS47" s="168">
        <f t="shared" si="43"/>
        <v>3640</v>
      </c>
      <c r="AT47" s="166">
        <f t="shared" si="35"/>
        <v>0</v>
      </c>
      <c r="AU47" s="167">
        <f t="shared" si="25"/>
        <v>61957.38947368419</v>
      </c>
      <c r="AV47" s="167">
        <f t="shared" si="26"/>
        <v>0</v>
      </c>
      <c r="AW47" s="167">
        <f t="shared" si="36"/>
        <v>0</v>
      </c>
      <c r="AX47" s="168">
        <f t="shared" si="37"/>
        <v>0</v>
      </c>
      <c r="AY47" s="166">
        <f t="shared" si="38"/>
        <v>61957.38947368419</v>
      </c>
      <c r="AZ47" s="167">
        <v>1000</v>
      </c>
      <c r="BA47" s="167" t="e">
        <f>AY47/#REF!</f>
        <v>#REF!</v>
      </c>
      <c r="BB47" s="161"/>
      <c r="BC47" s="162"/>
    </row>
    <row r="48" spans="1:55" ht="14.95" thickBot="1" x14ac:dyDescent="0.3">
      <c r="A48" s="220">
        <f>+A47</f>
        <v>46097</v>
      </c>
      <c r="B48" s="279">
        <f>DAY(Tabla2[[#This Row],[FECHA]])</f>
        <v>16</v>
      </c>
      <c r="C48" s="199" t="s">
        <v>29</v>
      </c>
      <c r="D48" s="200"/>
      <c r="E48" s="201"/>
      <c r="F48" s="202"/>
      <c r="G48" s="202"/>
      <c r="H48" s="201"/>
      <c r="I48" s="408">
        <f>((Tabla2[[#This Row],[VOLUMEN ENVIADO A RO (m3)]]/80)/3)*60</f>
        <v>69.127499999999998</v>
      </c>
      <c r="J48" s="397">
        <v>0</v>
      </c>
      <c r="K48" s="398">
        <v>106</v>
      </c>
      <c r="L48" s="399">
        <v>110</v>
      </c>
      <c r="M48" s="398">
        <v>0</v>
      </c>
      <c r="N48" s="399">
        <v>0</v>
      </c>
      <c r="O48" s="261">
        <f t="shared" si="0"/>
        <v>0</v>
      </c>
      <c r="P48" s="262">
        <f t="shared" si="27"/>
        <v>929.82456140350882</v>
      </c>
      <c r="Q48" s="262">
        <f t="shared" si="2"/>
        <v>964.91228070175441</v>
      </c>
      <c r="R48" s="262">
        <f t="shared" si="28"/>
        <v>0</v>
      </c>
      <c r="S48" s="262">
        <f t="shared" si="29"/>
        <v>0</v>
      </c>
      <c r="T48" s="257">
        <f t="shared" si="15"/>
        <v>0</v>
      </c>
      <c r="U48" s="258">
        <f t="shared" si="16"/>
        <v>0</v>
      </c>
      <c r="V48" s="258">
        <f t="shared" si="17"/>
        <v>26.315789473684163</v>
      </c>
      <c r="W48" s="258">
        <f t="shared" si="18"/>
        <v>0</v>
      </c>
      <c r="X48" s="259">
        <f t="shared" si="19"/>
        <v>0</v>
      </c>
      <c r="Y48" s="264">
        <v>1.18</v>
      </c>
      <c r="Z48" s="264">
        <v>1.28</v>
      </c>
      <c r="AA48" s="264">
        <v>1.2</v>
      </c>
      <c r="AB48" s="264">
        <v>1.53</v>
      </c>
      <c r="AC48" s="264">
        <v>1.2</v>
      </c>
      <c r="AD48" s="257">
        <f t="shared" si="30"/>
        <v>0</v>
      </c>
      <c r="AE48" s="258">
        <f t="shared" si="31"/>
        <v>0</v>
      </c>
      <c r="AF48" s="258">
        <f t="shared" si="32"/>
        <v>31.578947368420994</v>
      </c>
      <c r="AG48" s="258">
        <f t="shared" si="33"/>
        <v>0</v>
      </c>
      <c r="AH48" s="259">
        <f t="shared" si="34"/>
        <v>0</v>
      </c>
      <c r="AI48" s="431">
        <v>276.51</v>
      </c>
      <c r="AJ48" s="195" t="e">
        <f>(AD48*1000)/#REF!</f>
        <v>#REF!</v>
      </c>
      <c r="AK48" s="196" t="e">
        <f>(AE48*1000)/#REF!</f>
        <v>#REF!</v>
      </c>
      <c r="AL48" s="196" t="e">
        <f>(AF48*1000)/#REF!</f>
        <v>#REF!</v>
      </c>
      <c r="AM48" s="196" t="e">
        <f>(AG48*1000)/#REF!</f>
        <v>#REF!</v>
      </c>
      <c r="AN48" s="197" t="e">
        <f>(AH48*1000)/#REF!</f>
        <v>#REF!</v>
      </c>
      <c r="AO48" s="166">
        <f t="shared" si="39"/>
        <v>1550</v>
      </c>
      <c r="AP48" s="167">
        <f t="shared" si="40"/>
        <v>19160</v>
      </c>
      <c r="AQ48" s="167">
        <f t="shared" si="41"/>
        <v>36239</v>
      </c>
      <c r="AR48" s="167">
        <f t="shared" si="42"/>
        <v>1560</v>
      </c>
      <c r="AS48" s="168">
        <f t="shared" si="43"/>
        <v>3640</v>
      </c>
      <c r="AT48" s="166">
        <f t="shared" si="35"/>
        <v>0</v>
      </c>
      <c r="AU48" s="167">
        <f t="shared" si="25"/>
        <v>0</v>
      </c>
      <c r="AV48" s="167">
        <f t="shared" si="26"/>
        <v>50353.136842105174</v>
      </c>
      <c r="AW48" s="167">
        <f t="shared" si="36"/>
        <v>0</v>
      </c>
      <c r="AX48" s="168">
        <f t="shared" si="37"/>
        <v>0</v>
      </c>
      <c r="AY48" s="166">
        <f t="shared" si="38"/>
        <v>50353.136842105174</v>
      </c>
      <c r="AZ48" s="167">
        <v>1000</v>
      </c>
      <c r="BA48" s="167" t="e">
        <f>AY48/#REF!</f>
        <v>#REF!</v>
      </c>
      <c r="BB48" s="161"/>
      <c r="BC48" s="162"/>
    </row>
    <row r="49" spans="1:55" ht="14.95" thickBot="1" x14ac:dyDescent="0.3">
      <c r="A49" s="221">
        <f>+A48</f>
        <v>46097</v>
      </c>
      <c r="B49" s="280">
        <f>DAY(Tabla2[[#This Row],[FECHA]])</f>
        <v>16</v>
      </c>
      <c r="C49" s="204" t="s">
        <v>30</v>
      </c>
      <c r="D49" s="205"/>
      <c r="E49" s="206"/>
      <c r="F49" s="207"/>
      <c r="G49" s="208"/>
      <c r="H49" s="209"/>
      <c r="I49" s="408">
        <f>((Tabla2[[#This Row],[VOLUMEN ENVIADO A RO (m3)]]/80)/3)*60</f>
        <v>76.033749999999998</v>
      </c>
      <c r="J49" s="397">
        <v>0</v>
      </c>
      <c r="K49" s="401">
        <v>106</v>
      </c>
      <c r="L49" s="402">
        <v>107</v>
      </c>
      <c r="M49" s="398">
        <v>0</v>
      </c>
      <c r="N49" s="399">
        <v>0</v>
      </c>
      <c r="O49" s="261">
        <f t="shared" si="0"/>
        <v>0</v>
      </c>
      <c r="P49" s="266">
        <f t="shared" si="27"/>
        <v>929.82456140350882</v>
      </c>
      <c r="Q49" s="266">
        <f t="shared" si="2"/>
        <v>938.59649122807025</v>
      </c>
      <c r="R49" s="266">
        <f t="shared" si="28"/>
        <v>0</v>
      </c>
      <c r="S49" s="266">
        <f t="shared" si="29"/>
        <v>0</v>
      </c>
      <c r="T49" s="257">
        <f t="shared" si="15"/>
        <v>0</v>
      </c>
      <c r="U49" s="258">
        <f>P49-P50</f>
        <v>0</v>
      </c>
      <c r="V49" s="258">
        <f t="shared" si="17"/>
        <v>78.947368421052602</v>
      </c>
      <c r="W49" s="258">
        <f t="shared" si="18"/>
        <v>0</v>
      </c>
      <c r="X49" s="259">
        <f t="shared" si="19"/>
        <v>0</v>
      </c>
      <c r="Y49" s="264">
        <v>1.18</v>
      </c>
      <c r="Z49" s="264">
        <v>1.28</v>
      </c>
      <c r="AA49" s="264">
        <v>1.2</v>
      </c>
      <c r="AB49" s="264">
        <v>1.53</v>
      </c>
      <c r="AC49" s="264">
        <v>1.2</v>
      </c>
      <c r="AD49" s="268">
        <f t="shared" si="30"/>
        <v>0</v>
      </c>
      <c r="AE49" s="269">
        <f t="shared" si="31"/>
        <v>0</v>
      </c>
      <c r="AF49" s="269">
        <f t="shared" si="32"/>
        <v>94.736842105263122</v>
      </c>
      <c r="AG49" s="269">
        <f t="shared" si="33"/>
        <v>0</v>
      </c>
      <c r="AH49" s="270">
        <f t="shared" si="34"/>
        <v>0</v>
      </c>
      <c r="AI49" s="432">
        <v>304.13499999999999</v>
      </c>
      <c r="AJ49" s="210" t="e">
        <f>(AD49*1000)/#REF!</f>
        <v>#REF!</v>
      </c>
      <c r="AK49" s="211" t="e">
        <f>(AE49*1000)/#REF!</f>
        <v>#REF!</v>
      </c>
      <c r="AL49" s="211" t="e">
        <f>(AF49*1000)/#REF!</f>
        <v>#REF!</v>
      </c>
      <c r="AM49" s="211" t="e">
        <f>(AG49*1000)/#REF!</f>
        <v>#REF!</v>
      </c>
      <c r="AN49" s="212" t="e">
        <f>(AH49*1000)/#REF!</f>
        <v>#REF!</v>
      </c>
      <c r="AO49" s="166">
        <f t="shared" si="39"/>
        <v>1550</v>
      </c>
      <c r="AP49" s="167">
        <f t="shared" si="40"/>
        <v>19160</v>
      </c>
      <c r="AQ49" s="167">
        <f t="shared" si="41"/>
        <v>36239</v>
      </c>
      <c r="AR49" s="167">
        <f t="shared" si="42"/>
        <v>1560</v>
      </c>
      <c r="AS49" s="168">
        <f t="shared" si="43"/>
        <v>3640</v>
      </c>
      <c r="AT49" s="169">
        <f t="shared" si="35"/>
        <v>0</v>
      </c>
      <c r="AU49" s="170">
        <f t="shared" si="25"/>
        <v>0</v>
      </c>
      <c r="AV49" s="170">
        <f t="shared" si="26"/>
        <v>151059.41052631571</v>
      </c>
      <c r="AW49" s="170">
        <f t="shared" si="36"/>
        <v>0</v>
      </c>
      <c r="AX49" s="171">
        <f t="shared" si="37"/>
        <v>0</v>
      </c>
      <c r="AY49" s="169">
        <f t="shared" si="38"/>
        <v>151059.41052631571</v>
      </c>
      <c r="AZ49" s="170">
        <v>1000</v>
      </c>
      <c r="BA49" s="170" t="e">
        <f>AY49/#REF!</f>
        <v>#REF!</v>
      </c>
      <c r="BB49" s="160"/>
      <c r="BC49" s="163"/>
    </row>
    <row r="50" spans="1:55" ht="14.95" thickBot="1" x14ac:dyDescent="0.3">
      <c r="A50" s="213">
        <f>+A49+1</f>
        <v>46098</v>
      </c>
      <c r="B50" s="281">
        <f>DAY(Tabla2[[#This Row],[FECHA]])</f>
        <v>17</v>
      </c>
      <c r="C50" s="225" t="s">
        <v>28</v>
      </c>
      <c r="D50" s="214"/>
      <c r="E50" s="215"/>
      <c r="F50" s="216"/>
      <c r="G50" s="216"/>
      <c r="H50" s="215"/>
      <c r="I50" s="408">
        <f>((Tabla2[[#This Row],[VOLUMEN ENVIADO A RO (m3)]]/80)/3)*60</f>
        <v>73.957499999999996</v>
      </c>
      <c r="J50" s="394">
        <v>0</v>
      </c>
      <c r="K50" s="394">
        <v>106</v>
      </c>
      <c r="L50" s="396">
        <v>98</v>
      </c>
      <c r="M50" s="395">
        <v>0</v>
      </c>
      <c r="N50" s="396">
        <v>0</v>
      </c>
      <c r="O50" s="261">
        <f t="shared" si="0"/>
        <v>0</v>
      </c>
      <c r="P50" s="272">
        <f t="shared" si="27"/>
        <v>929.82456140350882</v>
      </c>
      <c r="Q50" s="255">
        <f t="shared" si="2"/>
        <v>859.64912280701765</v>
      </c>
      <c r="R50" s="272">
        <f t="shared" si="28"/>
        <v>0</v>
      </c>
      <c r="S50" s="272">
        <f t="shared" si="29"/>
        <v>0</v>
      </c>
      <c r="T50" s="257">
        <f t="shared" si="15"/>
        <v>0</v>
      </c>
      <c r="U50" s="258">
        <f t="shared" si="16"/>
        <v>0</v>
      </c>
      <c r="V50" s="258">
        <f t="shared" si="17"/>
        <v>105.26315789473688</v>
      </c>
      <c r="W50" s="258">
        <f t="shared" si="18"/>
        <v>0</v>
      </c>
      <c r="X50" s="259">
        <f t="shared" si="19"/>
        <v>0</v>
      </c>
      <c r="Y50" s="264">
        <v>1.18</v>
      </c>
      <c r="Z50" s="264">
        <v>1.28</v>
      </c>
      <c r="AA50" s="264">
        <v>1.2</v>
      </c>
      <c r="AB50" s="264">
        <v>1.53</v>
      </c>
      <c r="AC50" s="264">
        <v>1.2</v>
      </c>
      <c r="AD50" s="273">
        <f t="shared" si="30"/>
        <v>0</v>
      </c>
      <c r="AE50" s="274">
        <f t="shared" si="31"/>
        <v>0</v>
      </c>
      <c r="AF50" s="274">
        <f t="shared" si="32"/>
        <v>126.31578947368425</v>
      </c>
      <c r="AG50" s="274">
        <f t="shared" si="33"/>
        <v>0</v>
      </c>
      <c r="AH50" s="275">
        <f t="shared" si="34"/>
        <v>0</v>
      </c>
      <c r="AI50" s="430">
        <v>295.83</v>
      </c>
      <c r="AJ50" s="217" t="e">
        <f>(AD50*1000)/#REF!</f>
        <v>#REF!</v>
      </c>
      <c r="AK50" s="218" t="e">
        <f>(AE50*1000)/#REF!</f>
        <v>#REF!</v>
      </c>
      <c r="AL50" s="218" t="e">
        <f>(AF50*1000)/#REF!</f>
        <v>#REF!</v>
      </c>
      <c r="AM50" s="218" t="e">
        <f>(AG50*1000)/#REF!</f>
        <v>#REF!</v>
      </c>
      <c r="AN50" s="219" t="e">
        <f>(AH50*1000)/#REF!</f>
        <v>#REF!</v>
      </c>
      <c r="AO50" s="166">
        <f t="shared" si="39"/>
        <v>1550</v>
      </c>
      <c r="AP50" s="167">
        <f t="shared" si="40"/>
        <v>19160</v>
      </c>
      <c r="AQ50" s="167">
        <f t="shared" si="41"/>
        <v>36239</v>
      </c>
      <c r="AR50" s="167">
        <f t="shared" si="42"/>
        <v>1560</v>
      </c>
      <c r="AS50" s="168">
        <f t="shared" si="43"/>
        <v>3640</v>
      </c>
      <c r="AT50" s="166">
        <f t="shared" si="35"/>
        <v>0</v>
      </c>
      <c r="AU50" s="167">
        <f t="shared" si="25"/>
        <v>0</v>
      </c>
      <c r="AV50" s="167">
        <f t="shared" si="26"/>
        <v>201412.5473684211</v>
      </c>
      <c r="AW50" s="167">
        <f t="shared" si="36"/>
        <v>0</v>
      </c>
      <c r="AX50" s="168">
        <f t="shared" si="37"/>
        <v>0</v>
      </c>
      <c r="AY50" s="166">
        <f t="shared" si="38"/>
        <v>201412.5473684211</v>
      </c>
      <c r="AZ50" s="167">
        <v>1000</v>
      </c>
      <c r="BA50" s="167" t="e">
        <f>AY50/#REF!</f>
        <v>#REF!</v>
      </c>
      <c r="BB50" s="161"/>
      <c r="BC50" s="162"/>
    </row>
    <row r="51" spans="1:55" ht="14.95" thickBot="1" x14ac:dyDescent="0.3">
      <c r="A51" s="220">
        <f>+A50</f>
        <v>46098</v>
      </c>
      <c r="B51" s="279">
        <f>DAY(Tabla2[[#This Row],[FECHA]])</f>
        <v>17</v>
      </c>
      <c r="C51" s="199" t="s">
        <v>29</v>
      </c>
      <c r="D51" s="200"/>
      <c r="E51" s="201"/>
      <c r="F51" s="202"/>
      <c r="G51" s="202"/>
      <c r="H51" s="201"/>
      <c r="I51" s="408">
        <f>((Tabla2[[#This Row],[VOLUMEN ENVIADO A RO (m3)]]/80)/3)*60</f>
        <v>84.981499999999983</v>
      </c>
      <c r="J51" s="397">
        <v>0</v>
      </c>
      <c r="K51" s="398">
        <v>106</v>
      </c>
      <c r="L51" s="399">
        <v>86</v>
      </c>
      <c r="M51" s="398">
        <v>0</v>
      </c>
      <c r="N51" s="399">
        <v>0</v>
      </c>
      <c r="O51" s="261">
        <f t="shared" si="0"/>
        <v>0</v>
      </c>
      <c r="P51" s="262">
        <f t="shared" si="27"/>
        <v>929.82456140350882</v>
      </c>
      <c r="Q51" s="262">
        <f t="shared" si="2"/>
        <v>754.38596491228077</v>
      </c>
      <c r="R51" s="262">
        <f t="shared" si="28"/>
        <v>0</v>
      </c>
      <c r="S51" s="262">
        <f t="shared" si="29"/>
        <v>0</v>
      </c>
      <c r="T51" s="257">
        <f t="shared" si="15"/>
        <v>0</v>
      </c>
      <c r="U51" s="258">
        <f t="shared" si="16"/>
        <v>0</v>
      </c>
      <c r="V51" s="258">
        <f t="shared" si="17"/>
        <v>0</v>
      </c>
      <c r="W51" s="258">
        <f t="shared" si="18"/>
        <v>0</v>
      </c>
      <c r="X51" s="259">
        <f t="shared" si="19"/>
        <v>0</v>
      </c>
      <c r="Y51" s="264">
        <v>1.18</v>
      </c>
      <c r="Z51" s="264">
        <v>1.28</v>
      </c>
      <c r="AA51" s="264">
        <v>1.2</v>
      </c>
      <c r="AB51" s="264">
        <v>1.53</v>
      </c>
      <c r="AC51" s="264">
        <v>1.2</v>
      </c>
      <c r="AD51" s="257">
        <f t="shared" si="30"/>
        <v>0</v>
      </c>
      <c r="AE51" s="258">
        <f t="shared" si="31"/>
        <v>0</v>
      </c>
      <c r="AF51" s="258">
        <f t="shared" si="32"/>
        <v>0</v>
      </c>
      <c r="AG51" s="258">
        <f t="shared" si="33"/>
        <v>0</v>
      </c>
      <c r="AH51" s="259">
        <f t="shared" si="34"/>
        <v>0</v>
      </c>
      <c r="AI51" s="431">
        <v>339.92599999999999</v>
      </c>
      <c r="AJ51" s="195" t="e">
        <f>(AD51*1000)/#REF!</f>
        <v>#REF!</v>
      </c>
      <c r="AK51" s="196" t="e">
        <f>(AE51*1000)/#REF!</f>
        <v>#REF!</v>
      </c>
      <c r="AL51" s="196" t="e">
        <f>(AF51*1000)/#REF!</f>
        <v>#REF!</v>
      </c>
      <c r="AM51" s="196" t="e">
        <f>(AG51*1000)/#REF!</f>
        <v>#REF!</v>
      </c>
      <c r="AN51" s="197" t="e">
        <f>(AH51*1000)/#REF!</f>
        <v>#REF!</v>
      </c>
      <c r="AO51" s="166">
        <f t="shared" si="39"/>
        <v>1550</v>
      </c>
      <c r="AP51" s="167">
        <f t="shared" si="40"/>
        <v>19160</v>
      </c>
      <c r="AQ51" s="167">
        <f t="shared" si="41"/>
        <v>36239</v>
      </c>
      <c r="AR51" s="167">
        <f t="shared" si="42"/>
        <v>1560</v>
      </c>
      <c r="AS51" s="168">
        <f t="shared" si="43"/>
        <v>3640</v>
      </c>
      <c r="AT51" s="166">
        <f t="shared" si="35"/>
        <v>0</v>
      </c>
      <c r="AU51" s="167">
        <f t="shared" si="25"/>
        <v>0</v>
      </c>
      <c r="AV51" s="167">
        <f t="shared" si="26"/>
        <v>0</v>
      </c>
      <c r="AW51" s="167">
        <f t="shared" si="36"/>
        <v>0</v>
      </c>
      <c r="AX51" s="168">
        <f t="shared" si="37"/>
        <v>0</v>
      </c>
      <c r="AY51" s="166">
        <f t="shared" si="38"/>
        <v>0</v>
      </c>
      <c r="AZ51" s="167">
        <v>1000</v>
      </c>
      <c r="BA51" s="167" t="e">
        <f>AY51/#REF!</f>
        <v>#REF!</v>
      </c>
      <c r="BB51" s="161"/>
      <c r="BC51" s="162"/>
    </row>
    <row r="52" spans="1:55" ht="14.95" thickBot="1" x14ac:dyDescent="0.3">
      <c r="A52" s="221">
        <f>+A51</f>
        <v>46098</v>
      </c>
      <c r="B52" s="280">
        <f>DAY(Tabla2[[#This Row],[FECHA]])</f>
        <v>17</v>
      </c>
      <c r="C52" s="204" t="s">
        <v>30</v>
      </c>
      <c r="D52" s="205"/>
      <c r="E52" s="206"/>
      <c r="F52" s="207"/>
      <c r="G52" s="208"/>
      <c r="H52" s="209"/>
      <c r="I52" s="408">
        <f>((Tabla2[[#This Row],[VOLUMEN ENVIADO A RO (m3)]]/80)/3)*60</f>
        <v>77.639499999999998</v>
      </c>
      <c r="J52" s="400">
        <v>0</v>
      </c>
      <c r="K52" s="401">
        <v>106</v>
      </c>
      <c r="L52" s="402">
        <v>86</v>
      </c>
      <c r="M52" s="401">
        <v>0</v>
      </c>
      <c r="N52" s="402">
        <v>0</v>
      </c>
      <c r="O52" s="261">
        <f t="shared" si="0"/>
        <v>0</v>
      </c>
      <c r="P52" s="266">
        <f t="shared" si="27"/>
        <v>929.82456140350882</v>
      </c>
      <c r="Q52" s="266">
        <f t="shared" si="2"/>
        <v>754.38596491228077</v>
      </c>
      <c r="R52" s="266">
        <f t="shared" si="28"/>
        <v>0</v>
      </c>
      <c r="S52" s="266">
        <f t="shared" si="29"/>
        <v>0</v>
      </c>
      <c r="T52" s="257">
        <f t="shared" si="15"/>
        <v>0</v>
      </c>
      <c r="U52" s="258">
        <f t="shared" si="16"/>
        <v>52.631578947368439</v>
      </c>
      <c r="V52" s="258">
        <f t="shared" si="17"/>
        <v>122.80701754385973</v>
      </c>
      <c r="W52" s="258">
        <f t="shared" si="18"/>
        <v>0</v>
      </c>
      <c r="X52" s="259">
        <f t="shared" si="19"/>
        <v>0</v>
      </c>
      <c r="Y52" s="264">
        <v>1.18</v>
      </c>
      <c r="Z52" s="264">
        <v>1.28</v>
      </c>
      <c r="AA52" s="264">
        <v>1.2</v>
      </c>
      <c r="AB52" s="264">
        <v>1.53</v>
      </c>
      <c r="AC52" s="264">
        <v>1.2</v>
      </c>
      <c r="AD52" s="268">
        <f t="shared" si="30"/>
        <v>0</v>
      </c>
      <c r="AE52" s="269">
        <f t="shared" si="31"/>
        <v>67.368421052631604</v>
      </c>
      <c r="AF52" s="269">
        <f t="shared" si="32"/>
        <v>147.36842105263167</v>
      </c>
      <c r="AG52" s="269">
        <f t="shared" si="33"/>
        <v>0</v>
      </c>
      <c r="AH52" s="270">
        <f t="shared" si="34"/>
        <v>0</v>
      </c>
      <c r="AI52" s="432">
        <v>310.55799999999999</v>
      </c>
      <c r="AJ52" s="210" t="e">
        <f>(AD52*1000)/#REF!</f>
        <v>#REF!</v>
      </c>
      <c r="AK52" s="211" t="e">
        <f>(AE52*1000)/#REF!</f>
        <v>#REF!</v>
      </c>
      <c r="AL52" s="211" t="e">
        <f>(AF52*1000)/#REF!</f>
        <v>#REF!</v>
      </c>
      <c r="AM52" s="211" t="e">
        <f>(AG52*1000)/#REF!</f>
        <v>#REF!</v>
      </c>
      <c r="AN52" s="212" t="e">
        <f>(AH52*1000)/#REF!</f>
        <v>#REF!</v>
      </c>
      <c r="AO52" s="166">
        <f t="shared" si="39"/>
        <v>1550</v>
      </c>
      <c r="AP52" s="167">
        <f t="shared" si="40"/>
        <v>19160</v>
      </c>
      <c r="AQ52" s="167">
        <f t="shared" si="41"/>
        <v>36239</v>
      </c>
      <c r="AR52" s="167">
        <f t="shared" si="42"/>
        <v>1560</v>
      </c>
      <c r="AS52" s="168">
        <f t="shared" si="43"/>
        <v>3640</v>
      </c>
      <c r="AT52" s="169">
        <f t="shared" si="35"/>
        <v>0</v>
      </c>
      <c r="AU52" s="170">
        <f t="shared" si="25"/>
        <v>15489.347368421058</v>
      </c>
      <c r="AV52" s="170">
        <f t="shared" si="26"/>
        <v>234981.30526315805</v>
      </c>
      <c r="AW52" s="170">
        <f t="shared" si="36"/>
        <v>0</v>
      </c>
      <c r="AX52" s="171">
        <f t="shared" si="37"/>
        <v>0</v>
      </c>
      <c r="AY52" s="169">
        <f t="shared" si="38"/>
        <v>250470.65263157911</v>
      </c>
      <c r="AZ52" s="170">
        <v>1000</v>
      </c>
      <c r="BA52" s="170" t="e">
        <f>AY52/#REF!</f>
        <v>#REF!</v>
      </c>
      <c r="BB52" s="160"/>
      <c r="BC52" s="163"/>
    </row>
    <row r="53" spans="1:55" ht="14.95" thickBot="1" x14ac:dyDescent="0.3">
      <c r="A53" s="213">
        <f>+A52+1</f>
        <v>46099</v>
      </c>
      <c r="B53" s="281">
        <f>DAY(Tabla2[[#This Row],[FECHA]])</f>
        <v>18</v>
      </c>
      <c r="C53" s="225" t="s">
        <v>28</v>
      </c>
      <c r="D53" s="214"/>
      <c r="E53" s="215"/>
      <c r="F53" s="216"/>
      <c r="G53" s="216"/>
      <c r="H53" s="215"/>
      <c r="I53" s="408">
        <f>((Tabla2[[#This Row],[VOLUMEN ENVIADO A RO (m3)]]/80)/3)*60</f>
        <v>75.436000000000007</v>
      </c>
      <c r="J53" s="394">
        <v>0</v>
      </c>
      <c r="K53" s="394">
        <v>100</v>
      </c>
      <c r="L53" s="396">
        <v>72</v>
      </c>
      <c r="M53" s="395">
        <v>0</v>
      </c>
      <c r="N53" s="396">
        <v>0</v>
      </c>
      <c r="O53" s="261">
        <f t="shared" si="0"/>
        <v>0</v>
      </c>
      <c r="P53" s="272">
        <f t="shared" si="27"/>
        <v>877.19298245614038</v>
      </c>
      <c r="Q53" s="255">
        <f t="shared" si="2"/>
        <v>631.57894736842104</v>
      </c>
      <c r="R53" s="272">
        <f t="shared" si="28"/>
        <v>0</v>
      </c>
      <c r="S53" s="272">
        <f t="shared" si="29"/>
        <v>0</v>
      </c>
      <c r="T53" s="257">
        <f t="shared" si="15"/>
        <v>0</v>
      </c>
      <c r="U53" s="258">
        <f t="shared" si="16"/>
        <v>157.8947368421052</v>
      </c>
      <c r="V53" s="258">
        <f t="shared" si="17"/>
        <v>175.43859649122805</v>
      </c>
      <c r="W53" s="258">
        <f t="shared" si="18"/>
        <v>0</v>
      </c>
      <c r="X53" s="259">
        <f t="shared" si="19"/>
        <v>0</v>
      </c>
      <c r="Y53" s="264">
        <v>1.18</v>
      </c>
      <c r="Z53" s="264">
        <v>1.28</v>
      </c>
      <c r="AA53" s="264">
        <v>1.2</v>
      </c>
      <c r="AB53" s="264">
        <v>1.53</v>
      </c>
      <c r="AC53" s="264">
        <v>1.2</v>
      </c>
      <c r="AD53" s="273">
        <f t="shared" si="30"/>
        <v>0</v>
      </c>
      <c r="AE53" s="274">
        <f t="shared" si="31"/>
        <v>202.10526315789465</v>
      </c>
      <c r="AF53" s="274">
        <f t="shared" si="32"/>
        <v>210.52631578947367</v>
      </c>
      <c r="AG53" s="274">
        <f t="shared" si="33"/>
        <v>0</v>
      </c>
      <c r="AH53" s="275">
        <f t="shared" si="34"/>
        <v>0</v>
      </c>
      <c r="AI53" s="430">
        <v>301.74400000000003</v>
      </c>
      <c r="AJ53" s="217" t="e">
        <f>(AD53*1000)/#REF!</f>
        <v>#REF!</v>
      </c>
      <c r="AK53" s="218" t="e">
        <f>(AE53*1000)/#REF!</f>
        <v>#REF!</v>
      </c>
      <c r="AL53" s="218" t="e">
        <f>(AF53*1000)/#REF!</f>
        <v>#REF!</v>
      </c>
      <c r="AM53" s="218" t="e">
        <f>(AG53*1000)/#REF!</f>
        <v>#REF!</v>
      </c>
      <c r="AN53" s="219" t="e">
        <f>(AH53*1000)/#REF!</f>
        <v>#REF!</v>
      </c>
      <c r="AO53" s="166">
        <f t="shared" si="39"/>
        <v>1550</v>
      </c>
      <c r="AP53" s="167">
        <f t="shared" si="40"/>
        <v>19160</v>
      </c>
      <c r="AQ53" s="167">
        <f t="shared" si="41"/>
        <v>36239</v>
      </c>
      <c r="AR53" s="167">
        <f t="shared" si="42"/>
        <v>1560</v>
      </c>
      <c r="AS53" s="168">
        <f t="shared" si="43"/>
        <v>3640</v>
      </c>
      <c r="AT53" s="166">
        <f t="shared" si="35"/>
        <v>0</v>
      </c>
      <c r="AU53" s="167">
        <f t="shared" si="25"/>
        <v>46468.042105263143</v>
      </c>
      <c r="AV53" s="167">
        <f t="shared" si="26"/>
        <v>335687.57894736837</v>
      </c>
      <c r="AW53" s="167">
        <f t="shared" si="36"/>
        <v>0</v>
      </c>
      <c r="AX53" s="168">
        <f t="shared" si="37"/>
        <v>0</v>
      </c>
      <c r="AY53" s="166">
        <f t="shared" si="38"/>
        <v>382155.62105263153</v>
      </c>
      <c r="AZ53" s="167">
        <v>1000</v>
      </c>
      <c r="BA53" s="167" t="e">
        <f>AY53/#REF!</f>
        <v>#REF!</v>
      </c>
      <c r="BB53" s="161"/>
      <c r="BC53" s="162"/>
    </row>
    <row r="54" spans="1:55" ht="14.95" thickBot="1" x14ac:dyDescent="0.3">
      <c r="A54" s="220">
        <f>+A53</f>
        <v>46099</v>
      </c>
      <c r="B54" s="279">
        <f>DAY(Tabla2[[#This Row],[FECHA]])</f>
        <v>18</v>
      </c>
      <c r="C54" s="199" t="s">
        <v>29</v>
      </c>
      <c r="D54" s="200"/>
      <c r="E54" s="201"/>
      <c r="F54" s="202"/>
      <c r="G54" s="202"/>
      <c r="H54" s="201"/>
      <c r="I54" s="408">
        <f>((Tabla2[[#This Row],[VOLUMEN ENVIADO A RO (m3)]]/80)/3)*60</f>
        <v>66.882249999999999</v>
      </c>
      <c r="J54" s="397">
        <v>0</v>
      </c>
      <c r="K54" s="398">
        <v>82</v>
      </c>
      <c r="L54" s="399">
        <v>52</v>
      </c>
      <c r="M54" s="398">
        <v>0</v>
      </c>
      <c r="N54" s="399">
        <v>0</v>
      </c>
      <c r="O54" s="261">
        <f t="shared" si="0"/>
        <v>0</v>
      </c>
      <c r="P54" s="262">
        <f t="shared" si="27"/>
        <v>719.29824561403518</v>
      </c>
      <c r="Q54" s="262">
        <f t="shared" si="2"/>
        <v>456.14035087719299</v>
      </c>
      <c r="R54" s="262">
        <f t="shared" si="28"/>
        <v>0</v>
      </c>
      <c r="S54" s="262">
        <f t="shared" si="29"/>
        <v>0</v>
      </c>
      <c r="T54" s="257">
        <f t="shared" si="15"/>
        <v>0</v>
      </c>
      <c r="U54" s="258">
        <f t="shared" si="16"/>
        <v>122.80701754385973</v>
      </c>
      <c r="V54" s="258">
        <f t="shared" si="17"/>
        <v>52.631578947368382</v>
      </c>
      <c r="W54" s="258">
        <f t="shared" si="18"/>
        <v>0</v>
      </c>
      <c r="X54" s="259">
        <f t="shared" si="19"/>
        <v>0</v>
      </c>
      <c r="Y54" s="264">
        <v>1.18</v>
      </c>
      <c r="Z54" s="264">
        <v>1.28</v>
      </c>
      <c r="AA54" s="264">
        <v>1.2</v>
      </c>
      <c r="AB54" s="264">
        <v>1.53</v>
      </c>
      <c r="AC54" s="264">
        <v>1.2</v>
      </c>
      <c r="AD54" s="257">
        <f t="shared" si="30"/>
        <v>0</v>
      </c>
      <c r="AE54" s="258">
        <f t="shared" si="31"/>
        <v>157.19298245614047</v>
      </c>
      <c r="AF54" s="258">
        <f t="shared" si="32"/>
        <v>63.157894736842053</v>
      </c>
      <c r="AG54" s="258">
        <f t="shared" si="33"/>
        <v>0</v>
      </c>
      <c r="AH54" s="259">
        <f t="shared" si="34"/>
        <v>0</v>
      </c>
      <c r="AI54" s="431">
        <v>267.529</v>
      </c>
      <c r="AJ54" s="195" t="e">
        <f>(AD54*1000)/#REF!</f>
        <v>#REF!</v>
      </c>
      <c r="AK54" s="196" t="e">
        <f>(AE54*1000)/#REF!</f>
        <v>#REF!</v>
      </c>
      <c r="AL54" s="196" t="e">
        <f>(AF54*1000)/#REF!</f>
        <v>#REF!</v>
      </c>
      <c r="AM54" s="196" t="e">
        <f>(AG54*1000)/#REF!</f>
        <v>#REF!</v>
      </c>
      <c r="AN54" s="197" t="e">
        <f>(AH54*1000)/#REF!</f>
        <v>#REF!</v>
      </c>
      <c r="AO54" s="166">
        <f t="shared" si="39"/>
        <v>1550</v>
      </c>
      <c r="AP54" s="167">
        <f t="shared" si="40"/>
        <v>19160</v>
      </c>
      <c r="AQ54" s="167">
        <f t="shared" si="41"/>
        <v>36239</v>
      </c>
      <c r="AR54" s="167">
        <f t="shared" si="42"/>
        <v>1560</v>
      </c>
      <c r="AS54" s="168">
        <f t="shared" si="43"/>
        <v>3640</v>
      </c>
      <c r="AT54" s="166">
        <f t="shared" si="35"/>
        <v>0</v>
      </c>
      <c r="AU54" s="167">
        <f t="shared" si="25"/>
        <v>36141.810526315821</v>
      </c>
      <c r="AV54" s="167">
        <f t="shared" si="26"/>
        <v>100706.27368421044</v>
      </c>
      <c r="AW54" s="167">
        <f t="shared" si="36"/>
        <v>0</v>
      </c>
      <c r="AX54" s="168">
        <f t="shared" si="37"/>
        <v>0</v>
      </c>
      <c r="AY54" s="166">
        <f t="shared" si="38"/>
        <v>136848.08421052626</v>
      </c>
      <c r="AZ54" s="167">
        <v>1000</v>
      </c>
      <c r="BA54" s="167" t="e">
        <f>AY54/#REF!</f>
        <v>#REF!</v>
      </c>
      <c r="BB54" s="161"/>
      <c r="BC54" s="162"/>
    </row>
    <row r="55" spans="1:55" ht="14.95" thickBot="1" x14ac:dyDescent="0.3">
      <c r="A55" s="221">
        <f>+A54</f>
        <v>46099</v>
      </c>
      <c r="B55" s="280">
        <f>DAY(Tabla2[[#This Row],[FECHA]])</f>
        <v>18</v>
      </c>
      <c r="C55" s="204" t="s">
        <v>30</v>
      </c>
      <c r="D55" s="205"/>
      <c r="E55" s="206"/>
      <c r="F55" s="207"/>
      <c r="G55" s="208"/>
      <c r="H55" s="209"/>
      <c r="I55" s="408">
        <f>((Tabla2[[#This Row],[VOLUMEN ENVIADO A RO (m3)]]/80)/3)*60</f>
        <v>80.322999999999993</v>
      </c>
      <c r="J55" s="400">
        <v>0</v>
      </c>
      <c r="K55" s="401">
        <v>68</v>
      </c>
      <c r="L55" s="402">
        <v>46</v>
      </c>
      <c r="M55" s="401">
        <v>0</v>
      </c>
      <c r="N55" s="402">
        <v>0</v>
      </c>
      <c r="O55" s="261">
        <f t="shared" si="0"/>
        <v>0</v>
      </c>
      <c r="P55" s="266">
        <f t="shared" si="27"/>
        <v>596.49122807017545</v>
      </c>
      <c r="Q55" s="266">
        <f t="shared" si="2"/>
        <v>403.5087719298246</v>
      </c>
      <c r="R55" s="266">
        <f t="shared" si="28"/>
        <v>0</v>
      </c>
      <c r="S55" s="266">
        <f t="shared" si="29"/>
        <v>0</v>
      </c>
      <c r="T55" s="257">
        <f t="shared" si="15"/>
        <v>0</v>
      </c>
      <c r="U55" s="258">
        <f t="shared" si="16"/>
        <v>105.26315789473682</v>
      </c>
      <c r="V55" s="258">
        <f t="shared" si="17"/>
        <v>96.491228070175453</v>
      </c>
      <c r="W55" s="258">
        <f t="shared" si="18"/>
        <v>0</v>
      </c>
      <c r="X55" s="259">
        <f t="shared" si="19"/>
        <v>0</v>
      </c>
      <c r="Y55" s="264">
        <v>1.18</v>
      </c>
      <c r="Z55" s="264">
        <v>1.28</v>
      </c>
      <c r="AA55" s="264">
        <v>1.2</v>
      </c>
      <c r="AB55" s="264">
        <v>1.53</v>
      </c>
      <c r="AC55" s="264">
        <v>1.2</v>
      </c>
      <c r="AD55" s="268">
        <f t="shared" si="30"/>
        <v>0</v>
      </c>
      <c r="AE55" s="269">
        <f t="shared" si="31"/>
        <v>134.73684210526312</v>
      </c>
      <c r="AF55" s="269">
        <f>V55*AA55</f>
        <v>115.78947368421053</v>
      </c>
      <c r="AG55" s="269">
        <f t="shared" si="33"/>
        <v>0</v>
      </c>
      <c r="AH55" s="270">
        <f t="shared" si="34"/>
        <v>0</v>
      </c>
      <c r="AI55" s="432">
        <v>321.29199999999997</v>
      </c>
      <c r="AJ55" s="210" t="e">
        <f>(AD55*1000)/#REF!</f>
        <v>#REF!</v>
      </c>
      <c r="AK55" s="211" t="e">
        <f>(AE55*1000)/#REF!</f>
        <v>#REF!</v>
      </c>
      <c r="AL55" s="211" t="e">
        <f>(AF55*1000)/#REF!</f>
        <v>#REF!</v>
      </c>
      <c r="AM55" s="211" t="e">
        <f>(AG55*1000)/#REF!</f>
        <v>#REF!</v>
      </c>
      <c r="AN55" s="212" t="e">
        <f>(AH55*1000)/#REF!</f>
        <v>#REF!</v>
      </c>
      <c r="AO55" s="166">
        <f t="shared" si="39"/>
        <v>1550</v>
      </c>
      <c r="AP55" s="167">
        <f t="shared" si="40"/>
        <v>19160</v>
      </c>
      <c r="AQ55" s="167">
        <f t="shared" si="41"/>
        <v>36239</v>
      </c>
      <c r="AR55" s="167">
        <f t="shared" si="42"/>
        <v>1560</v>
      </c>
      <c r="AS55" s="168">
        <f t="shared" si="43"/>
        <v>3640</v>
      </c>
      <c r="AT55" s="169">
        <f t="shared" si="35"/>
        <v>0</v>
      </c>
      <c r="AU55" s="170">
        <f t="shared" si="25"/>
        <v>30978.694736842095</v>
      </c>
      <c r="AV55" s="170">
        <f t="shared" si="26"/>
        <v>184628.16842105263</v>
      </c>
      <c r="AW55" s="170">
        <f t="shared" si="36"/>
        <v>0</v>
      </c>
      <c r="AX55" s="171">
        <f t="shared" si="37"/>
        <v>0</v>
      </c>
      <c r="AY55" s="169">
        <f t="shared" si="38"/>
        <v>215606.86315789472</v>
      </c>
      <c r="AZ55" s="170">
        <v>1000</v>
      </c>
      <c r="BA55" s="170" t="e">
        <f>AY55/#REF!</f>
        <v>#REF!</v>
      </c>
      <c r="BB55" s="160"/>
      <c r="BC55" s="163"/>
    </row>
    <row r="56" spans="1:55" ht="14.95" thickBot="1" x14ac:dyDescent="0.3">
      <c r="A56" s="213">
        <f>+A55+1</f>
        <v>46100</v>
      </c>
      <c r="B56" s="281">
        <f>DAY(Tabla2[[#This Row],[FECHA]])</f>
        <v>19</v>
      </c>
      <c r="C56" s="225" t="s">
        <v>28</v>
      </c>
      <c r="D56" s="214"/>
      <c r="E56" s="215"/>
      <c r="F56" s="216"/>
      <c r="G56" s="216"/>
      <c r="H56" s="215"/>
      <c r="I56" s="408">
        <f>((Tabla2[[#This Row],[VOLUMEN ENVIADO A RO (m3)]]/80)/3)*60</f>
        <v>159.21199999999999</v>
      </c>
      <c r="J56" s="394">
        <v>0</v>
      </c>
      <c r="K56" s="394">
        <v>56</v>
      </c>
      <c r="L56" s="396">
        <v>35</v>
      </c>
      <c r="M56" s="395">
        <v>0</v>
      </c>
      <c r="N56" s="396">
        <v>0</v>
      </c>
      <c r="O56" s="261">
        <f t="shared" si="0"/>
        <v>0</v>
      </c>
      <c r="P56" s="272">
        <f t="shared" si="27"/>
        <v>491.22807017543863</v>
      </c>
      <c r="Q56" s="255">
        <f t="shared" si="2"/>
        <v>307.01754385964915</v>
      </c>
      <c r="R56" s="272">
        <f t="shared" si="28"/>
        <v>0</v>
      </c>
      <c r="S56" s="272">
        <f t="shared" si="29"/>
        <v>0</v>
      </c>
      <c r="T56" s="257">
        <f t="shared" si="15"/>
        <v>0</v>
      </c>
      <c r="U56" s="258">
        <f t="shared" si="16"/>
        <v>140.35087719298247</v>
      </c>
      <c r="V56" s="258">
        <f>Q56-Q57</f>
        <v>228.07017543859652</v>
      </c>
      <c r="W56" s="258">
        <f t="shared" si="18"/>
        <v>0</v>
      </c>
      <c r="X56" s="259">
        <f t="shared" si="19"/>
        <v>0</v>
      </c>
      <c r="Y56" s="264">
        <v>1.18</v>
      </c>
      <c r="Z56" s="264">
        <v>1.28</v>
      </c>
      <c r="AA56" s="264">
        <v>1.2</v>
      </c>
      <c r="AB56" s="264">
        <v>1.53</v>
      </c>
      <c r="AC56" s="264">
        <v>1.2</v>
      </c>
      <c r="AD56" s="273">
        <f t="shared" si="30"/>
        <v>0</v>
      </c>
      <c r="AE56" s="274">
        <f t="shared" si="31"/>
        <v>179.64912280701756</v>
      </c>
      <c r="AF56" s="274">
        <f t="shared" si="32"/>
        <v>273.68421052631584</v>
      </c>
      <c r="AG56" s="274">
        <f t="shared" si="33"/>
        <v>0</v>
      </c>
      <c r="AH56" s="275">
        <f t="shared" si="34"/>
        <v>0</v>
      </c>
      <c r="AI56" s="430">
        <v>636.84799999999996</v>
      </c>
      <c r="AJ56" s="217" t="e">
        <f>(AD56*1000)/#REF!</f>
        <v>#REF!</v>
      </c>
      <c r="AK56" s="218" t="e">
        <f>(AE56*1000)/#REF!</f>
        <v>#REF!</v>
      </c>
      <c r="AL56" s="218" t="e">
        <f>(AF56*1000)/#REF!</f>
        <v>#REF!</v>
      </c>
      <c r="AM56" s="218" t="e">
        <f>(AG56*1000)/#REF!</f>
        <v>#REF!</v>
      </c>
      <c r="AN56" s="219" t="e">
        <f>(AH56*1000)/#REF!</f>
        <v>#REF!</v>
      </c>
      <c r="AO56" s="166">
        <f t="shared" si="39"/>
        <v>1550</v>
      </c>
      <c r="AP56" s="167">
        <f t="shared" si="40"/>
        <v>19160</v>
      </c>
      <c r="AQ56" s="167">
        <f t="shared" si="41"/>
        <v>36239</v>
      </c>
      <c r="AR56" s="167">
        <f t="shared" si="42"/>
        <v>1560</v>
      </c>
      <c r="AS56" s="168">
        <f t="shared" si="43"/>
        <v>3640</v>
      </c>
      <c r="AT56" s="166">
        <f t="shared" si="35"/>
        <v>0</v>
      </c>
      <c r="AU56" s="167">
        <f t="shared" si="25"/>
        <v>41304.926315789482</v>
      </c>
      <c r="AV56" s="167">
        <f t="shared" si="26"/>
        <v>436393.85263157904</v>
      </c>
      <c r="AW56" s="167">
        <f t="shared" si="36"/>
        <v>0</v>
      </c>
      <c r="AX56" s="168">
        <f t="shared" si="37"/>
        <v>0</v>
      </c>
      <c r="AY56" s="166">
        <f t="shared" si="38"/>
        <v>477698.7789473685</v>
      </c>
      <c r="AZ56" s="167">
        <v>1000</v>
      </c>
      <c r="BA56" s="167" t="e">
        <f>AY56/#REF!</f>
        <v>#REF!</v>
      </c>
      <c r="BB56" s="161"/>
      <c r="BC56" s="162"/>
    </row>
    <row r="57" spans="1:55" ht="14.95" thickBot="1" x14ac:dyDescent="0.3">
      <c r="A57" s="220">
        <f>+A56</f>
        <v>46100</v>
      </c>
      <c r="B57" s="279">
        <f>DAY(Tabla2[[#This Row],[FECHA]])</f>
        <v>19</v>
      </c>
      <c r="C57" s="199" t="s">
        <v>29</v>
      </c>
      <c r="D57" s="200"/>
      <c r="E57" s="201"/>
      <c r="F57" s="202"/>
      <c r="G57" s="202"/>
      <c r="H57" s="201"/>
      <c r="I57" s="408">
        <f>((Tabla2[[#This Row],[VOLUMEN ENVIADO A RO (m3)]]/80)/3)*60</f>
        <v>0</v>
      </c>
      <c r="J57" s="397">
        <v>0</v>
      </c>
      <c r="K57" s="398">
        <v>40</v>
      </c>
      <c r="L57" s="399">
        <v>9</v>
      </c>
      <c r="M57" s="398">
        <v>0</v>
      </c>
      <c r="N57" s="399">
        <v>0</v>
      </c>
      <c r="O57" s="261">
        <f t="shared" si="0"/>
        <v>0</v>
      </c>
      <c r="P57" s="262">
        <f t="shared" si="27"/>
        <v>350.87719298245617</v>
      </c>
      <c r="Q57" s="262">
        <f t="shared" si="2"/>
        <v>78.94736842105263</v>
      </c>
      <c r="R57" s="262">
        <f t="shared" si="28"/>
        <v>0</v>
      </c>
      <c r="S57" s="262">
        <f t="shared" si="29"/>
        <v>0</v>
      </c>
      <c r="T57" s="257">
        <f t="shared" si="15"/>
        <v>0</v>
      </c>
      <c r="U57" s="258">
        <f t="shared" si="16"/>
        <v>70.175438596491233</v>
      </c>
      <c r="V57" s="618">
        <f>Q57-Q58+1000</f>
        <v>122.8070175438595</v>
      </c>
      <c r="W57" s="258">
        <f t="shared" si="18"/>
        <v>0</v>
      </c>
      <c r="X57" s="259">
        <f t="shared" si="19"/>
        <v>0</v>
      </c>
      <c r="Y57" s="264">
        <v>1.18</v>
      </c>
      <c r="Z57" s="264">
        <v>1.28</v>
      </c>
      <c r="AA57" s="264">
        <v>1.2</v>
      </c>
      <c r="AB57" s="264">
        <v>1.53</v>
      </c>
      <c r="AC57" s="264">
        <v>1.2</v>
      </c>
      <c r="AD57" s="257">
        <f t="shared" si="30"/>
        <v>0</v>
      </c>
      <c r="AE57" s="258">
        <f t="shared" si="31"/>
        <v>89.824561403508781</v>
      </c>
      <c r="AF57" s="258">
        <f t="shared" si="32"/>
        <v>147.36842105263139</v>
      </c>
      <c r="AG57" s="258">
        <f t="shared" si="33"/>
        <v>0</v>
      </c>
      <c r="AH57" s="259">
        <f t="shared" si="34"/>
        <v>0</v>
      </c>
      <c r="AI57" s="431">
        <v>0</v>
      </c>
      <c r="AJ57" s="195" t="e">
        <f>(AD57*1000)/#REF!</f>
        <v>#REF!</v>
      </c>
      <c r="AK57" s="196" t="e">
        <f>(AE57*1000)/#REF!</f>
        <v>#REF!</v>
      </c>
      <c r="AL57" s="196" t="e">
        <f>(AF57*1000)/#REF!</f>
        <v>#REF!</v>
      </c>
      <c r="AM57" s="196" t="e">
        <f>(AG57*1000)/#REF!</f>
        <v>#REF!</v>
      </c>
      <c r="AN57" s="197" t="e">
        <f>(AH57*1000)/#REF!</f>
        <v>#REF!</v>
      </c>
      <c r="AO57" s="166">
        <f t="shared" si="39"/>
        <v>1550</v>
      </c>
      <c r="AP57" s="167">
        <f t="shared" si="40"/>
        <v>19160</v>
      </c>
      <c r="AQ57" s="167">
        <f t="shared" si="41"/>
        <v>36239</v>
      </c>
      <c r="AR57" s="167">
        <f t="shared" si="42"/>
        <v>1560</v>
      </c>
      <c r="AS57" s="168">
        <f t="shared" si="43"/>
        <v>3640</v>
      </c>
      <c r="AT57" s="166">
        <f t="shared" si="35"/>
        <v>0</v>
      </c>
      <c r="AU57" s="167">
        <f t="shared" si="25"/>
        <v>20652.463157894741</v>
      </c>
      <c r="AV57" s="167">
        <f t="shared" si="26"/>
        <v>234981.30526315758</v>
      </c>
      <c r="AW57" s="167">
        <f t="shared" si="36"/>
        <v>0</v>
      </c>
      <c r="AX57" s="168">
        <f t="shared" si="37"/>
        <v>0</v>
      </c>
      <c r="AY57" s="166">
        <f t="shared" si="38"/>
        <v>255633.76842105231</v>
      </c>
      <c r="AZ57" s="167">
        <v>1000</v>
      </c>
      <c r="BA57" s="167" t="e">
        <f>AY57/#REF!</f>
        <v>#REF!</v>
      </c>
      <c r="BB57" s="161"/>
      <c r="BC57" s="162"/>
    </row>
    <row r="58" spans="1:55" ht="14.95" thickBot="1" x14ac:dyDescent="0.3">
      <c r="A58" s="221">
        <f>+A57</f>
        <v>46100</v>
      </c>
      <c r="B58" s="280">
        <f>DAY(Tabla2[[#This Row],[FECHA]])</f>
        <v>19</v>
      </c>
      <c r="C58" s="204" t="s">
        <v>30</v>
      </c>
      <c r="D58" s="205"/>
      <c r="E58" s="206"/>
      <c r="F58" s="207"/>
      <c r="G58" s="208"/>
      <c r="H58" s="209"/>
      <c r="I58" s="408">
        <f>((Tabla2[[#This Row],[VOLUMEN ENVIADO A RO (m3)]]/80)/3)*60</f>
        <v>75.605000000000004</v>
      </c>
      <c r="J58" s="400">
        <v>0</v>
      </c>
      <c r="K58" s="401">
        <v>32</v>
      </c>
      <c r="L58" s="402">
        <v>109</v>
      </c>
      <c r="M58" s="401">
        <v>0</v>
      </c>
      <c r="N58" s="402">
        <v>0</v>
      </c>
      <c r="O58" s="261">
        <f t="shared" si="0"/>
        <v>0</v>
      </c>
      <c r="P58" s="266">
        <f t="shared" si="27"/>
        <v>280.70175438596493</v>
      </c>
      <c r="Q58" s="266">
        <f t="shared" si="2"/>
        <v>956.1403508771931</v>
      </c>
      <c r="R58" s="266">
        <f t="shared" si="28"/>
        <v>0</v>
      </c>
      <c r="S58" s="266">
        <f t="shared" si="29"/>
        <v>0</v>
      </c>
      <c r="T58" s="257">
        <f t="shared" si="15"/>
        <v>0</v>
      </c>
      <c r="U58" s="618">
        <f>P58-P59+800</f>
        <v>203.50877192982455</v>
      </c>
      <c r="V58" s="258">
        <f t="shared" si="17"/>
        <v>122.80701754385973</v>
      </c>
      <c r="W58" s="258">
        <f t="shared" si="18"/>
        <v>0</v>
      </c>
      <c r="X58" s="259">
        <f t="shared" si="19"/>
        <v>0</v>
      </c>
      <c r="Y58" s="264">
        <v>1.18</v>
      </c>
      <c r="Z58" s="264">
        <v>1.28</v>
      </c>
      <c r="AA58" s="264">
        <v>1.2</v>
      </c>
      <c r="AB58" s="264">
        <v>1.53</v>
      </c>
      <c r="AC58" s="264">
        <v>1.2</v>
      </c>
      <c r="AD58" s="268">
        <f t="shared" si="30"/>
        <v>0</v>
      </c>
      <c r="AE58" s="269">
        <f t="shared" si="31"/>
        <v>260.49122807017545</v>
      </c>
      <c r="AF58" s="269">
        <f t="shared" si="32"/>
        <v>147.36842105263167</v>
      </c>
      <c r="AG58" s="269">
        <f t="shared" si="33"/>
        <v>0</v>
      </c>
      <c r="AH58" s="270">
        <f t="shared" si="34"/>
        <v>0</v>
      </c>
      <c r="AI58" s="432">
        <v>302.42</v>
      </c>
      <c r="AJ58" s="210" t="e">
        <f>(AD58*1000)/#REF!</f>
        <v>#REF!</v>
      </c>
      <c r="AK58" s="211" t="e">
        <f>(AE58*1000)/#REF!</f>
        <v>#REF!</v>
      </c>
      <c r="AL58" s="211" t="e">
        <f>(AF58*1000)/#REF!</f>
        <v>#REF!</v>
      </c>
      <c r="AM58" s="211" t="e">
        <f>(AG58*1000)/#REF!</f>
        <v>#REF!</v>
      </c>
      <c r="AN58" s="212" t="e">
        <f>(AH58*1000)/#REF!</f>
        <v>#REF!</v>
      </c>
      <c r="AO58" s="166">
        <f t="shared" si="39"/>
        <v>1550</v>
      </c>
      <c r="AP58" s="167">
        <f t="shared" si="40"/>
        <v>19160</v>
      </c>
      <c r="AQ58" s="167">
        <f t="shared" si="41"/>
        <v>36239</v>
      </c>
      <c r="AR58" s="167">
        <f t="shared" si="42"/>
        <v>1560</v>
      </c>
      <c r="AS58" s="168">
        <f t="shared" si="43"/>
        <v>3640</v>
      </c>
      <c r="AT58" s="169">
        <f t="shared" si="35"/>
        <v>0</v>
      </c>
      <c r="AU58" s="170">
        <f t="shared" si="25"/>
        <v>59892.143157894738</v>
      </c>
      <c r="AV58" s="170">
        <f t="shared" si="26"/>
        <v>234981.30526315805</v>
      </c>
      <c r="AW58" s="170">
        <f t="shared" si="36"/>
        <v>0</v>
      </c>
      <c r="AX58" s="171">
        <f t="shared" si="37"/>
        <v>0</v>
      </c>
      <c r="AY58" s="169">
        <f t="shared" si="38"/>
        <v>294873.44842105277</v>
      </c>
      <c r="AZ58" s="170">
        <v>1000</v>
      </c>
      <c r="BA58" s="170" t="e">
        <f>AY58/#REF!</f>
        <v>#REF!</v>
      </c>
      <c r="BB58" s="160"/>
      <c r="BC58" s="163"/>
    </row>
    <row r="59" spans="1:55" ht="14.95" thickBot="1" x14ac:dyDescent="0.3">
      <c r="A59" s="213">
        <f>+A58+1</f>
        <v>46101</v>
      </c>
      <c r="B59" s="281">
        <f>DAY(Tabla2[[#This Row],[FECHA]])</f>
        <v>20</v>
      </c>
      <c r="C59" s="225" t="s">
        <v>28</v>
      </c>
      <c r="D59" s="214"/>
      <c r="E59" s="215"/>
      <c r="F59" s="216"/>
      <c r="G59" s="216"/>
      <c r="H59" s="215"/>
      <c r="I59" s="408">
        <f>((Tabla2[[#This Row],[VOLUMEN ENVIADO A RO (m3)]]/80)/3)*60</f>
        <v>79.476749999999996</v>
      </c>
      <c r="J59" s="394">
        <v>0</v>
      </c>
      <c r="K59" s="394">
        <v>100</v>
      </c>
      <c r="L59" s="396">
        <v>95</v>
      </c>
      <c r="M59" s="395">
        <v>0</v>
      </c>
      <c r="N59" s="396">
        <v>0</v>
      </c>
      <c r="O59" s="261">
        <f t="shared" si="0"/>
        <v>0</v>
      </c>
      <c r="P59" s="272">
        <f t="shared" si="27"/>
        <v>877.19298245614038</v>
      </c>
      <c r="Q59" s="255">
        <f t="shared" si="2"/>
        <v>833.33333333333337</v>
      </c>
      <c r="R59" s="272">
        <f t="shared" si="28"/>
        <v>0</v>
      </c>
      <c r="S59" s="272">
        <f t="shared" si="29"/>
        <v>0</v>
      </c>
      <c r="T59" s="257">
        <f t="shared" si="15"/>
        <v>0</v>
      </c>
      <c r="U59" s="258">
        <f t="shared" si="16"/>
        <v>175.43859649122805</v>
      </c>
      <c r="V59" s="258">
        <f t="shared" si="17"/>
        <v>0</v>
      </c>
      <c r="W59" s="258">
        <f t="shared" si="18"/>
        <v>0</v>
      </c>
      <c r="X59" s="259">
        <f t="shared" si="19"/>
        <v>0</v>
      </c>
      <c r="Y59" s="264">
        <v>1.18</v>
      </c>
      <c r="Z59" s="264">
        <v>1.28</v>
      </c>
      <c r="AA59" s="264">
        <v>1.2</v>
      </c>
      <c r="AB59" s="264">
        <v>1.53</v>
      </c>
      <c r="AC59" s="264">
        <v>1.2</v>
      </c>
      <c r="AD59" s="273">
        <f t="shared" si="30"/>
        <v>0</v>
      </c>
      <c r="AE59" s="274">
        <f t="shared" si="31"/>
        <v>224.56140350877192</v>
      </c>
      <c r="AF59" s="274">
        <f t="shared" si="32"/>
        <v>0</v>
      </c>
      <c r="AG59" s="274">
        <f t="shared" si="33"/>
        <v>0</v>
      </c>
      <c r="AH59" s="275">
        <f t="shared" si="34"/>
        <v>0</v>
      </c>
      <c r="AI59" s="430">
        <v>317.90699999999998</v>
      </c>
      <c r="AJ59" s="217" t="e">
        <f>(AD59*1000)/#REF!</f>
        <v>#REF!</v>
      </c>
      <c r="AK59" s="218" t="e">
        <f>(AE59*1000)/#REF!</f>
        <v>#REF!</v>
      </c>
      <c r="AL59" s="218" t="e">
        <f>(AF59*1000)/#REF!</f>
        <v>#REF!</v>
      </c>
      <c r="AM59" s="218" t="e">
        <f>(AG59*1000)/#REF!</f>
        <v>#REF!</v>
      </c>
      <c r="AN59" s="219" t="e">
        <f>(AH59*1000)/#REF!</f>
        <v>#REF!</v>
      </c>
      <c r="AO59" s="166">
        <f t="shared" si="39"/>
        <v>1550</v>
      </c>
      <c r="AP59" s="167">
        <f t="shared" si="40"/>
        <v>19160</v>
      </c>
      <c r="AQ59" s="167">
        <f t="shared" si="41"/>
        <v>36239</v>
      </c>
      <c r="AR59" s="167">
        <f t="shared" si="42"/>
        <v>1560</v>
      </c>
      <c r="AS59" s="168">
        <f t="shared" si="43"/>
        <v>3640</v>
      </c>
      <c r="AT59" s="166">
        <f t="shared" si="35"/>
        <v>0</v>
      </c>
      <c r="AU59" s="167">
        <f t="shared" si="25"/>
        <v>51631.15789473684</v>
      </c>
      <c r="AV59" s="167">
        <f t="shared" si="26"/>
        <v>0</v>
      </c>
      <c r="AW59" s="167">
        <f t="shared" si="36"/>
        <v>0</v>
      </c>
      <c r="AX59" s="168">
        <f t="shared" si="37"/>
        <v>0</v>
      </c>
      <c r="AY59" s="166">
        <f t="shared" si="38"/>
        <v>51631.15789473684</v>
      </c>
      <c r="AZ59" s="167">
        <v>1000</v>
      </c>
      <c r="BA59" s="167" t="e">
        <f>AY59/#REF!</f>
        <v>#REF!</v>
      </c>
      <c r="BB59" s="161"/>
      <c r="BC59" s="162"/>
    </row>
    <row r="60" spans="1:55" ht="14.95" thickBot="1" x14ac:dyDescent="0.3">
      <c r="A60" s="220">
        <f>+A59</f>
        <v>46101</v>
      </c>
      <c r="B60" s="279">
        <f>DAY(Tabla2[[#This Row],[FECHA]])</f>
        <v>20</v>
      </c>
      <c r="C60" s="199" t="s">
        <v>29</v>
      </c>
      <c r="D60" s="200"/>
      <c r="E60" s="201"/>
      <c r="F60" s="202"/>
      <c r="G60" s="202"/>
      <c r="H60" s="201"/>
      <c r="I60" s="408">
        <f>((Tabla2[[#This Row],[VOLUMEN ENVIADO A RO (m3)]]/80)/3)*60</f>
        <v>73.000500000000017</v>
      </c>
      <c r="J60" s="397">
        <v>0</v>
      </c>
      <c r="K60" s="398">
        <v>80</v>
      </c>
      <c r="L60" s="399">
        <v>95</v>
      </c>
      <c r="M60" s="398">
        <v>0</v>
      </c>
      <c r="N60" s="399">
        <v>0</v>
      </c>
      <c r="O60" s="261">
        <f t="shared" si="0"/>
        <v>0</v>
      </c>
      <c r="P60" s="262">
        <f t="shared" si="27"/>
        <v>701.75438596491233</v>
      </c>
      <c r="Q60" s="262">
        <f t="shared" si="2"/>
        <v>833.33333333333337</v>
      </c>
      <c r="R60" s="262">
        <f t="shared" si="28"/>
        <v>0</v>
      </c>
      <c r="S60" s="262">
        <f t="shared" si="29"/>
        <v>0</v>
      </c>
      <c r="T60" s="257">
        <f t="shared" si="15"/>
        <v>0</v>
      </c>
      <c r="U60" s="258">
        <f t="shared" si="16"/>
        <v>61.403508771929864</v>
      </c>
      <c r="V60" s="258">
        <f t="shared" si="17"/>
        <v>157.8947368421052</v>
      </c>
      <c r="W60" s="258">
        <f t="shared" si="18"/>
        <v>0</v>
      </c>
      <c r="X60" s="259">
        <f t="shared" si="19"/>
        <v>0</v>
      </c>
      <c r="Y60" s="264">
        <v>1.18</v>
      </c>
      <c r="Z60" s="264">
        <v>1.28</v>
      </c>
      <c r="AA60" s="264">
        <v>1.2</v>
      </c>
      <c r="AB60" s="264">
        <v>1.53</v>
      </c>
      <c r="AC60" s="264">
        <v>1.2</v>
      </c>
      <c r="AD60" s="257">
        <f t="shared" si="30"/>
        <v>0</v>
      </c>
      <c r="AE60" s="258">
        <f t="shared" si="31"/>
        <v>78.596491228070235</v>
      </c>
      <c r="AF60" s="258">
        <f t="shared" si="32"/>
        <v>189.47368421052624</v>
      </c>
      <c r="AG60" s="258">
        <f t="shared" si="33"/>
        <v>0</v>
      </c>
      <c r="AH60" s="259">
        <f t="shared" si="34"/>
        <v>0</v>
      </c>
      <c r="AI60" s="431">
        <v>292.00200000000001</v>
      </c>
      <c r="AJ60" s="195" t="e">
        <f>(AD60*1000)/#REF!</f>
        <v>#REF!</v>
      </c>
      <c r="AK60" s="196" t="e">
        <f>(AE60*1000)/#REF!</f>
        <v>#REF!</v>
      </c>
      <c r="AL60" s="196" t="e">
        <f>(AF60*1000)/#REF!</f>
        <v>#REF!</v>
      </c>
      <c r="AM60" s="196" t="e">
        <f>(AG60*1000)/#REF!</f>
        <v>#REF!</v>
      </c>
      <c r="AN60" s="197" t="e">
        <f>(AH60*1000)/#REF!</f>
        <v>#REF!</v>
      </c>
      <c r="AO60" s="166">
        <f t="shared" si="39"/>
        <v>1550</v>
      </c>
      <c r="AP60" s="167">
        <f t="shared" si="40"/>
        <v>19160</v>
      </c>
      <c r="AQ60" s="167">
        <f t="shared" si="41"/>
        <v>36239</v>
      </c>
      <c r="AR60" s="167">
        <f t="shared" si="42"/>
        <v>1560</v>
      </c>
      <c r="AS60" s="168">
        <f t="shared" si="43"/>
        <v>3640</v>
      </c>
      <c r="AT60" s="166">
        <f t="shared" si="35"/>
        <v>0</v>
      </c>
      <c r="AU60" s="167">
        <f t="shared" si="25"/>
        <v>18070.905263157911</v>
      </c>
      <c r="AV60" s="167">
        <f t="shared" si="26"/>
        <v>302118.82105263142</v>
      </c>
      <c r="AW60" s="167">
        <f t="shared" si="36"/>
        <v>0</v>
      </c>
      <c r="AX60" s="168">
        <f t="shared" si="37"/>
        <v>0</v>
      </c>
      <c r="AY60" s="166">
        <f t="shared" si="38"/>
        <v>320189.72631578933</v>
      </c>
      <c r="AZ60" s="167">
        <v>1000</v>
      </c>
      <c r="BA60" s="167" t="e">
        <f>AY60/#REF!</f>
        <v>#REF!</v>
      </c>
      <c r="BB60" s="161"/>
      <c r="BC60" s="162"/>
    </row>
    <row r="61" spans="1:55" ht="14.95" thickBot="1" x14ac:dyDescent="0.3">
      <c r="A61" s="221">
        <f>+A60</f>
        <v>46101</v>
      </c>
      <c r="B61" s="280">
        <f>DAY(Tabla2[[#This Row],[FECHA]])</f>
        <v>20</v>
      </c>
      <c r="C61" s="204" t="s">
        <v>30</v>
      </c>
      <c r="D61" s="205"/>
      <c r="E61" s="206"/>
      <c r="F61" s="207"/>
      <c r="G61" s="208"/>
      <c r="H61" s="209"/>
      <c r="I61" s="408">
        <f>((Tabla2[[#This Row],[VOLUMEN ENVIADO A RO (m3)]]/80)/3)*60</f>
        <v>78.073250000000016</v>
      </c>
      <c r="J61" s="400">
        <v>0</v>
      </c>
      <c r="K61" s="401">
        <v>73</v>
      </c>
      <c r="L61" s="402">
        <v>77</v>
      </c>
      <c r="M61" s="401">
        <v>0</v>
      </c>
      <c r="N61" s="402">
        <v>0</v>
      </c>
      <c r="O61" s="261">
        <f t="shared" si="0"/>
        <v>0</v>
      </c>
      <c r="P61" s="266">
        <f t="shared" si="27"/>
        <v>640.35087719298247</v>
      </c>
      <c r="Q61" s="266">
        <f t="shared" si="2"/>
        <v>675.43859649122817</v>
      </c>
      <c r="R61" s="266">
        <f t="shared" si="28"/>
        <v>0</v>
      </c>
      <c r="S61" s="266">
        <f t="shared" si="29"/>
        <v>0</v>
      </c>
      <c r="T61" s="257">
        <f t="shared" si="15"/>
        <v>0</v>
      </c>
      <c r="U61" s="258">
        <f t="shared" si="16"/>
        <v>96.491228070175453</v>
      </c>
      <c r="V61" s="258">
        <f t="shared" si="17"/>
        <v>61.403508771929864</v>
      </c>
      <c r="W61" s="258">
        <f t="shared" si="18"/>
        <v>0</v>
      </c>
      <c r="X61" s="259">
        <f t="shared" si="19"/>
        <v>0</v>
      </c>
      <c r="Y61" s="264">
        <v>1.18</v>
      </c>
      <c r="Z61" s="264">
        <v>1.28</v>
      </c>
      <c r="AA61" s="264">
        <v>1.2</v>
      </c>
      <c r="AB61" s="264">
        <v>1.53</v>
      </c>
      <c r="AC61" s="264">
        <v>1.2</v>
      </c>
      <c r="AD61" s="268">
        <f t="shared" si="30"/>
        <v>0</v>
      </c>
      <c r="AE61" s="269">
        <f t="shared" si="31"/>
        <v>123.50877192982458</v>
      </c>
      <c r="AF61" s="269">
        <f t="shared" si="32"/>
        <v>73.684210526315837</v>
      </c>
      <c r="AG61" s="269">
        <f t="shared" si="33"/>
        <v>0</v>
      </c>
      <c r="AH61" s="270">
        <f t="shared" si="34"/>
        <v>0</v>
      </c>
      <c r="AI61" s="432">
        <v>312.29300000000001</v>
      </c>
      <c r="AJ61" s="210" t="e">
        <f>(AD61*1000)/#REF!</f>
        <v>#REF!</v>
      </c>
      <c r="AK61" s="211" t="e">
        <f>(AE61*1000)/#REF!</f>
        <v>#REF!</v>
      </c>
      <c r="AL61" s="211" t="e">
        <f>(AF61*1000)/#REF!</f>
        <v>#REF!</v>
      </c>
      <c r="AM61" s="211" t="e">
        <f>(AG61*1000)/#REF!</f>
        <v>#REF!</v>
      </c>
      <c r="AN61" s="212" t="e">
        <f>(AH61*1000)/#REF!</f>
        <v>#REF!</v>
      </c>
      <c r="AO61" s="166">
        <f t="shared" si="39"/>
        <v>1550</v>
      </c>
      <c r="AP61" s="167">
        <f t="shared" si="40"/>
        <v>19160</v>
      </c>
      <c r="AQ61" s="167">
        <f t="shared" si="41"/>
        <v>36239</v>
      </c>
      <c r="AR61" s="167">
        <f t="shared" si="42"/>
        <v>1560</v>
      </c>
      <c r="AS61" s="168">
        <f t="shared" si="43"/>
        <v>3640</v>
      </c>
      <c r="AT61" s="169">
        <f t="shared" si="35"/>
        <v>0</v>
      </c>
      <c r="AU61" s="170">
        <f t="shared" si="25"/>
        <v>28397.136842105268</v>
      </c>
      <c r="AV61" s="170">
        <f t="shared" si="26"/>
        <v>117490.65263157903</v>
      </c>
      <c r="AW61" s="170">
        <f t="shared" si="36"/>
        <v>0</v>
      </c>
      <c r="AX61" s="171">
        <f t="shared" si="37"/>
        <v>0</v>
      </c>
      <c r="AY61" s="169">
        <f t="shared" si="38"/>
        <v>145887.7894736843</v>
      </c>
      <c r="AZ61" s="170">
        <v>1000</v>
      </c>
      <c r="BA61" s="170" t="e">
        <f>AY61/#REF!</f>
        <v>#REF!</v>
      </c>
      <c r="BB61" s="160"/>
      <c r="BC61" s="163"/>
    </row>
    <row r="62" spans="1:55" ht="14.95" thickBot="1" x14ac:dyDescent="0.3">
      <c r="A62" s="213">
        <f>+A61+1</f>
        <v>46102</v>
      </c>
      <c r="B62" s="281">
        <f>DAY(Tabla2[[#This Row],[FECHA]])</f>
        <v>21</v>
      </c>
      <c r="C62" s="225" t="s">
        <v>28</v>
      </c>
      <c r="D62" s="214"/>
      <c r="E62" s="215"/>
      <c r="F62" s="216"/>
      <c r="G62" s="216"/>
      <c r="H62" s="215"/>
      <c r="I62" s="408">
        <f>((Tabla2[[#This Row],[VOLUMEN ENVIADO A RO (m3)]]/80)/3)*60</f>
        <v>71.256</v>
      </c>
      <c r="J62" s="394">
        <v>0</v>
      </c>
      <c r="K62" s="394">
        <v>62</v>
      </c>
      <c r="L62" s="396">
        <v>70</v>
      </c>
      <c r="M62" s="395">
        <v>0</v>
      </c>
      <c r="N62" s="396">
        <v>0</v>
      </c>
      <c r="O62" s="261">
        <f t="shared" si="0"/>
        <v>0</v>
      </c>
      <c r="P62" s="272">
        <f t="shared" si="27"/>
        <v>543.85964912280701</v>
      </c>
      <c r="Q62" s="255">
        <f t="shared" si="2"/>
        <v>614.0350877192983</v>
      </c>
      <c r="R62" s="272">
        <f t="shared" si="28"/>
        <v>0</v>
      </c>
      <c r="S62" s="272">
        <f t="shared" si="29"/>
        <v>0</v>
      </c>
      <c r="T62" s="257">
        <f t="shared" si="15"/>
        <v>0</v>
      </c>
      <c r="U62" s="258">
        <f t="shared" si="16"/>
        <v>35.087719298245588</v>
      </c>
      <c r="V62" s="258">
        <f t="shared" si="17"/>
        <v>131.5789473684211</v>
      </c>
      <c r="W62" s="258">
        <f t="shared" si="18"/>
        <v>0</v>
      </c>
      <c r="X62" s="259">
        <f t="shared" si="19"/>
        <v>0</v>
      </c>
      <c r="Y62" s="264">
        <v>1.18</v>
      </c>
      <c r="Z62" s="264">
        <v>1.28</v>
      </c>
      <c r="AA62" s="264">
        <v>1.2</v>
      </c>
      <c r="AB62" s="264">
        <v>1.53</v>
      </c>
      <c r="AC62" s="264">
        <v>1.2</v>
      </c>
      <c r="AD62" s="273">
        <f t="shared" si="30"/>
        <v>0</v>
      </c>
      <c r="AE62" s="274">
        <f t="shared" si="31"/>
        <v>44.912280701754355</v>
      </c>
      <c r="AF62" s="274">
        <f t="shared" si="32"/>
        <v>157.89473684210532</v>
      </c>
      <c r="AG62" s="274">
        <f t="shared" si="33"/>
        <v>0</v>
      </c>
      <c r="AH62" s="275">
        <f t="shared" si="34"/>
        <v>0</v>
      </c>
      <c r="AI62" s="430">
        <v>285.024</v>
      </c>
      <c r="AJ62" s="217">
        <f>(AD62*1000)/$AI62</f>
        <v>0</v>
      </c>
      <c r="AK62" s="218">
        <f>(AE62*1000)/$AI62</f>
        <v>157.57368046815128</v>
      </c>
      <c r="AL62" s="218">
        <f>(AF62*1000)/$AI62</f>
        <v>553.96997039584494</v>
      </c>
      <c r="AM62" s="218">
        <f>(AG62*1000)/$AI62</f>
        <v>0</v>
      </c>
      <c r="AN62" s="219">
        <f>(AH62*1000)/$AI62</f>
        <v>0</v>
      </c>
      <c r="AO62" s="166">
        <f t="shared" si="39"/>
        <v>1550</v>
      </c>
      <c r="AP62" s="167">
        <f t="shared" si="40"/>
        <v>19160</v>
      </c>
      <c r="AQ62" s="167">
        <f t="shared" si="41"/>
        <v>36239</v>
      </c>
      <c r="AR62" s="167">
        <f t="shared" si="42"/>
        <v>1560</v>
      </c>
      <c r="AS62" s="168">
        <f t="shared" si="43"/>
        <v>3640</v>
      </c>
      <c r="AT62" s="166">
        <f t="shared" si="35"/>
        <v>0</v>
      </c>
      <c r="AU62" s="167">
        <f t="shared" si="25"/>
        <v>10326.231578947361</v>
      </c>
      <c r="AV62" s="167">
        <f t="shared" si="26"/>
        <v>251765.68421052638</v>
      </c>
      <c r="AW62" s="167">
        <f t="shared" si="36"/>
        <v>0</v>
      </c>
      <c r="AX62" s="168">
        <f t="shared" si="37"/>
        <v>0</v>
      </c>
      <c r="AY62" s="166">
        <f t="shared" si="38"/>
        <v>262091.91578947374</v>
      </c>
      <c r="AZ62" s="167">
        <v>1000</v>
      </c>
      <c r="BA62" s="167">
        <f>AY62/AI62</f>
        <v>919.54332192893844</v>
      </c>
      <c r="BB62" s="161"/>
      <c r="BC62" s="162"/>
    </row>
    <row r="63" spans="1:55" ht="14.95" thickBot="1" x14ac:dyDescent="0.3">
      <c r="A63" s="220">
        <f>+A62</f>
        <v>46102</v>
      </c>
      <c r="B63" s="279">
        <f>DAY(Tabla2[[#This Row],[FECHA]])</f>
        <v>21</v>
      </c>
      <c r="C63" s="199" t="s">
        <v>29</v>
      </c>
      <c r="D63" s="200"/>
      <c r="E63" s="201"/>
      <c r="F63" s="202"/>
      <c r="G63" s="202"/>
      <c r="H63" s="201"/>
      <c r="I63" s="408">
        <f>((Tabla2[[#This Row],[VOLUMEN ENVIADO A RO (m3)]]/80)/3)*60</f>
        <v>61.303250000000006</v>
      </c>
      <c r="J63" s="397">
        <v>0</v>
      </c>
      <c r="K63" s="398">
        <v>58</v>
      </c>
      <c r="L63" s="399">
        <v>55</v>
      </c>
      <c r="M63" s="398">
        <v>0</v>
      </c>
      <c r="N63" s="399">
        <v>0</v>
      </c>
      <c r="O63" s="261">
        <f t="shared" si="0"/>
        <v>0</v>
      </c>
      <c r="P63" s="262">
        <f t="shared" si="27"/>
        <v>508.77192982456143</v>
      </c>
      <c r="Q63" s="262">
        <f t="shared" si="2"/>
        <v>482.45614035087721</v>
      </c>
      <c r="R63" s="262">
        <f t="shared" si="28"/>
        <v>0</v>
      </c>
      <c r="S63" s="262">
        <f t="shared" si="29"/>
        <v>0</v>
      </c>
      <c r="T63" s="257">
        <f t="shared" si="15"/>
        <v>0</v>
      </c>
      <c r="U63" s="258">
        <f t="shared" si="16"/>
        <v>0</v>
      </c>
      <c r="V63" s="258">
        <f t="shared" si="17"/>
        <v>26.31578947368422</v>
      </c>
      <c r="W63" s="258">
        <f t="shared" si="18"/>
        <v>0</v>
      </c>
      <c r="X63" s="259">
        <f t="shared" si="19"/>
        <v>0</v>
      </c>
      <c r="Y63" s="264">
        <v>1.18</v>
      </c>
      <c r="Z63" s="264">
        <v>1.28</v>
      </c>
      <c r="AA63" s="264">
        <v>1.2</v>
      </c>
      <c r="AB63" s="264">
        <v>1.53</v>
      </c>
      <c r="AC63" s="264">
        <v>1.2</v>
      </c>
      <c r="AD63" s="257">
        <f t="shared" si="30"/>
        <v>0</v>
      </c>
      <c r="AE63" s="258">
        <f t="shared" si="31"/>
        <v>0</v>
      </c>
      <c r="AF63" s="258">
        <f t="shared" si="32"/>
        <v>31.578947368421062</v>
      </c>
      <c r="AG63" s="258">
        <f t="shared" si="33"/>
        <v>0</v>
      </c>
      <c r="AH63" s="259">
        <f t="shared" si="34"/>
        <v>0</v>
      </c>
      <c r="AI63" s="431">
        <v>245.21299999999999</v>
      </c>
      <c r="AJ63" s="195" t="e">
        <f>(AD63*1000)/#REF!</f>
        <v>#REF!</v>
      </c>
      <c r="AK63" s="196" t="e">
        <f>(AE63*1000)/#REF!</f>
        <v>#REF!</v>
      </c>
      <c r="AL63" s="196" t="e">
        <f>(AF63*1000)/#REF!</f>
        <v>#REF!</v>
      </c>
      <c r="AM63" s="196" t="e">
        <f>(AG63*1000)/#REF!</f>
        <v>#REF!</v>
      </c>
      <c r="AN63" s="197" t="e">
        <f>(AH63*1000)/#REF!</f>
        <v>#REF!</v>
      </c>
      <c r="AO63" s="166">
        <f t="shared" si="39"/>
        <v>1550</v>
      </c>
      <c r="AP63" s="167">
        <f t="shared" si="40"/>
        <v>19160</v>
      </c>
      <c r="AQ63" s="167">
        <f t="shared" si="41"/>
        <v>36239</v>
      </c>
      <c r="AR63" s="167">
        <f t="shared" si="42"/>
        <v>1560</v>
      </c>
      <c r="AS63" s="168">
        <f t="shared" si="43"/>
        <v>3640</v>
      </c>
      <c r="AT63" s="166">
        <f t="shared" si="35"/>
        <v>0</v>
      </c>
      <c r="AU63" s="167">
        <f t="shared" si="25"/>
        <v>0</v>
      </c>
      <c r="AV63" s="167">
        <f t="shared" si="26"/>
        <v>50353.136842105276</v>
      </c>
      <c r="AW63" s="167">
        <f t="shared" si="36"/>
        <v>0</v>
      </c>
      <c r="AX63" s="168">
        <f t="shared" si="37"/>
        <v>0</v>
      </c>
      <c r="AY63" s="166">
        <f t="shared" si="38"/>
        <v>50353.136842105276</v>
      </c>
      <c r="AZ63" s="167">
        <v>1000</v>
      </c>
      <c r="BA63" s="167" t="e">
        <f>AY63/#REF!</f>
        <v>#REF!</v>
      </c>
      <c r="BB63" s="161"/>
      <c r="BC63" s="162"/>
    </row>
    <row r="64" spans="1:55" ht="14.95" thickBot="1" x14ac:dyDescent="0.3">
      <c r="A64" s="221">
        <f>+A63</f>
        <v>46102</v>
      </c>
      <c r="B64" s="280">
        <f>DAY(Tabla2[[#This Row],[FECHA]])</f>
        <v>21</v>
      </c>
      <c r="C64" s="204" t="s">
        <v>30</v>
      </c>
      <c r="D64" s="205"/>
      <c r="E64" s="206"/>
      <c r="F64" s="207"/>
      <c r="G64" s="208"/>
      <c r="H64" s="209"/>
      <c r="I64" s="408">
        <f>((Tabla2[[#This Row],[VOLUMEN ENVIADO A RO (m3)]]/80)/3)*60</f>
        <v>42.412749999999996</v>
      </c>
      <c r="J64" s="400">
        <v>0</v>
      </c>
      <c r="K64" s="401">
        <v>58</v>
      </c>
      <c r="L64" s="402">
        <v>52</v>
      </c>
      <c r="M64" s="401">
        <v>0</v>
      </c>
      <c r="N64" s="402">
        <v>0</v>
      </c>
      <c r="O64" s="261">
        <f t="shared" si="0"/>
        <v>0</v>
      </c>
      <c r="P64" s="266">
        <f t="shared" si="27"/>
        <v>508.77192982456143</v>
      </c>
      <c r="Q64" s="266">
        <f t="shared" si="2"/>
        <v>456.14035087719299</v>
      </c>
      <c r="R64" s="266">
        <f t="shared" si="28"/>
        <v>0</v>
      </c>
      <c r="S64" s="266">
        <f t="shared" si="29"/>
        <v>0</v>
      </c>
      <c r="T64" s="257">
        <f t="shared" si="15"/>
        <v>0</v>
      </c>
      <c r="U64" s="258">
        <f t="shared" si="16"/>
        <v>0</v>
      </c>
      <c r="V64" s="258">
        <f t="shared" si="17"/>
        <v>0</v>
      </c>
      <c r="W64" s="258">
        <f t="shared" si="18"/>
        <v>0</v>
      </c>
      <c r="X64" s="259">
        <f t="shared" si="19"/>
        <v>0</v>
      </c>
      <c r="Y64" s="264">
        <v>1.18</v>
      </c>
      <c r="Z64" s="264">
        <v>1.28</v>
      </c>
      <c r="AA64" s="264">
        <v>1.2</v>
      </c>
      <c r="AB64" s="264">
        <v>1.53</v>
      </c>
      <c r="AC64" s="264">
        <v>1.2</v>
      </c>
      <c r="AD64" s="268">
        <f t="shared" si="30"/>
        <v>0</v>
      </c>
      <c r="AE64" s="269">
        <f t="shared" si="31"/>
        <v>0</v>
      </c>
      <c r="AF64" s="269">
        <f t="shared" si="32"/>
        <v>0</v>
      </c>
      <c r="AG64" s="269">
        <f t="shared" si="33"/>
        <v>0</v>
      </c>
      <c r="AH64" s="270">
        <f t="shared" si="34"/>
        <v>0</v>
      </c>
      <c r="AI64" s="432">
        <v>169.65100000000001</v>
      </c>
      <c r="AJ64" s="210">
        <f t="shared" ref="AJ64:AN65" si="44">(AD64*1000)/$AI64</f>
        <v>0</v>
      </c>
      <c r="AK64" s="211">
        <f t="shared" si="44"/>
        <v>0</v>
      </c>
      <c r="AL64" s="211">
        <f t="shared" si="44"/>
        <v>0</v>
      </c>
      <c r="AM64" s="211">
        <f t="shared" si="44"/>
        <v>0</v>
      </c>
      <c r="AN64" s="212">
        <f t="shared" si="44"/>
        <v>0</v>
      </c>
      <c r="AO64" s="166">
        <f t="shared" si="39"/>
        <v>1550</v>
      </c>
      <c r="AP64" s="167">
        <f t="shared" si="40"/>
        <v>19160</v>
      </c>
      <c r="AQ64" s="167">
        <f t="shared" si="41"/>
        <v>36239</v>
      </c>
      <c r="AR64" s="167">
        <f t="shared" si="42"/>
        <v>1560</v>
      </c>
      <c r="AS64" s="168">
        <f t="shared" si="43"/>
        <v>3640</v>
      </c>
      <c r="AT64" s="169">
        <f t="shared" si="35"/>
        <v>0</v>
      </c>
      <c r="AU64" s="170">
        <f t="shared" si="25"/>
        <v>0</v>
      </c>
      <c r="AV64" s="170">
        <f t="shared" si="26"/>
        <v>0</v>
      </c>
      <c r="AW64" s="170">
        <f t="shared" si="36"/>
        <v>0</v>
      </c>
      <c r="AX64" s="171">
        <f t="shared" si="37"/>
        <v>0</v>
      </c>
      <c r="AY64" s="169">
        <f t="shared" si="38"/>
        <v>0</v>
      </c>
      <c r="AZ64" s="170">
        <v>1000</v>
      </c>
      <c r="BA64" s="170">
        <f>AY64/AI64</f>
        <v>0</v>
      </c>
      <c r="BB64" s="160"/>
      <c r="BC64" s="163"/>
    </row>
    <row r="65" spans="1:55" ht="14.95" thickBot="1" x14ac:dyDescent="0.3">
      <c r="A65" s="213">
        <f>+A64+1</f>
        <v>46103</v>
      </c>
      <c r="B65" s="281">
        <f>DAY(Tabla2[[#This Row],[FECHA]])</f>
        <v>22</v>
      </c>
      <c r="C65" s="225" t="s">
        <v>28</v>
      </c>
      <c r="D65" s="214"/>
      <c r="E65" s="215"/>
      <c r="F65" s="216"/>
      <c r="G65" s="216"/>
      <c r="H65" s="215"/>
      <c r="I65" s="408">
        <f>((Tabla2[[#This Row],[VOLUMEN ENVIADO A RO (m3)]]/80)/3)*60</f>
        <v>0</v>
      </c>
      <c r="J65" s="394">
        <v>0</v>
      </c>
      <c r="K65" s="394">
        <v>58</v>
      </c>
      <c r="L65" s="396">
        <v>52</v>
      </c>
      <c r="M65" s="395">
        <v>0</v>
      </c>
      <c r="N65" s="396">
        <v>0</v>
      </c>
      <c r="O65" s="261">
        <f t="shared" si="0"/>
        <v>0</v>
      </c>
      <c r="P65" s="272">
        <f t="shared" si="27"/>
        <v>508.77192982456143</v>
      </c>
      <c r="Q65" s="255">
        <f t="shared" si="2"/>
        <v>456.14035087719299</v>
      </c>
      <c r="R65" s="272">
        <f t="shared" si="28"/>
        <v>0</v>
      </c>
      <c r="S65" s="272">
        <f t="shared" si="29"/>
        <v>0</v>
      </c>
      <c r="T65" s="257">
        <f t="shared" si="15"/>
        <v>0</v>
      </c>
      <c r="U65" s="258">
        <f t="shared" si="16"/>
        <v>0</v>
      </c>
      <c r="V65" s="258">
        <f t="shared" si="17"/>
        <v>0</v>
      </c>
      <c r="W65" s="258">
        <f t="shared" si="18"/>
        <v>0</v>
      </c>
      <c r="X65" s="259">
        <f t="shared" si="19"/>
        <v>0</v>
      </c>
      <c r="Y65" s="264">
        <v>1.18</v>
      </c>
      <c r="Z65" s="264">
        <v>1.28</v>
      </c>
      <c r="AA65" s="264">
        <v>1.2</v>
      </c>
      <c r="AB65" s="264">
        <v>1.53</v>
      </c>
      <c r="AC65" s="264">
        <v>1.2</v>
      </c>
      <c r="AD65" s="273">
        <f t="shared" si="30"/>
        <v>0</v>
      </c>
      <c r="AE65" s="274">
        <f t="shared" si="31"/>
        <v>0</v>
      </c>
      <c r="AF65" s="274">
        <f t="shared" si="32"/>
        <v>0</v>
      </c>
      <c r="AG65" s="274">
        <f t="shared" si="33"/>
        <v>0</v>
      </c>
      <c r="AH65" s="275">
        <f t="shared" si="34"/>
        <v>0</v>
      </c>
      <c r="AI65" s="430">
        <v>0</v>
      </c>
      <c r="AJ65" s="217" t="e">
        <f t="shared" si="44"/>
        <v>#DIV/0!</v>
      </c>
      <c r="AK65" s="218" t="e">
        <f t="shared" si="44"/>
        <v>#DIV/0!</v>
      </c>
      <c r="AL65" s="218" t="e">
        <f t="shared" si="44"/>
        <v>#DIV/0!</v>
      </c>
      <c r="AM65" s="218" t="e">
        <f t="shared" si="44"/>
        <v>#DIV/0!</v>
      </c>
      <c r="AN65" s="219" t="e">
        <f t="shared" si="44"/>
        <v>#DIV/0!</v>
      </c>
      <c r="AO65" s="166">
        <f t="shared" si="39"/>
        <v>1550</v>
      </c>
      <c r="AP65" s="167">
        <f t="shared" si="40"/>
        <v>19160</v>
      </c>
      <c r="AQ65" s="167">
        <f t="shared" si="41"/>
        <v>36239</v>
      </c>
      <c r="AR65" s="167">
        <f t="shared" si="42"/>
        <v>1560</v>
      </c>
      <c r="AS65" s="168">
        <f t="shared" si="43"/>
        <v>3640</v>
      </c>
      <c r="AT65" s="166">
        <f t="shared" si="35"/>
        <v>0</v>
      </c>
      <c r="AU65" s="167">
        <f t="shared" si="25"/>
        <v>0</v>
      </c>
      <c r="AV65" s="167">
        <f t="shared" si="26"/>
        <v>0</v>
      </c>
      <c r="AW65" s="167">
        <f t="shared" si="36"/>
        <v>0</v>
      </c>
      <c r="AX65" s="168">
        <f t="shared" si="37"/>
        <v>0</v>
      </c>
      <c r="AY65" s="166">
        <f t="shared" si="38"/>
        <v>0</v>
      </c>
      <c r="AZ65" s="167">
        <v>1000</v>
      </c>
      <c r="BA65" s="167" t="e">
        <f>AY65/AI65</f>
        <v>#DIV/0!</v>
      </c>
      <c r="BB65" s="161"/>
      <c r="BC65" s="162"/>
    </row>
    <row r="66" spans="1:55" ht="14.95" thickBot="1" x14ac:dyDescent="0.3">
      <c r="A66" s="220">
        <f>+A65</f>
        <v>46103</v>
      </c>
      <c r="B66" s="279">
        <f>DAY(Tabla2[[#This Row],[FECHA]])</f>
        <v>22</v>
      </c>
      <c r="C66" s="199" t="s">
        <v>29</v>
      </c>
      <c r="D66" s="200"/>
      <c r="E66" s="201"/>
      <c r="F66" s="202"/>
      <c r="G66" s="202"/>
      <c r="H66" s="201"/>
      <c r="I66" s="408">
        <f>((Tabla2[[#This Row],[VOLUMEN ENVIADO A RO (m3)]]/80)/3)*60</f>
        <v>0</v>
      </c>
      <c r="J66" s="397">
        <v>0</v>
      </c>
      <c r="K66" s="398">
        <v>58</v>
      </c>
      <c r="L66" s="399">
        <v>52</v>
      </c>
      <c r="M66" s="398">
        <v>0</v>
      </c>
      <c r="N66" s="399">
        <v>0</v>
      </c>
      <c r="O66" s="261">
        <f t="shared" ref="O66:O86" si="45">J66*(1000/114)</f>
        <v>0</v>
      </c>
      <c r="P66" s="262">
        <f t="shared" ref="P66:Q95" si="46">K66*(1000/114)</f>
        <v>508.77192982456143</v>
      </c>
      <c r="Q66" s="262">
        <f t="shared" si="46"/>
        <v>456.14035087719299</v>
      </c>
      <c r="R66" s="262">
        <f t="shared" ref="R66:R95" si="47">M66*(1000/114)</f>
        <v>0</v>
      </c>
      <c r="S66" s="262">
        <f t="shared" ref="S66:S95" si="48">N66*(1000/114)</f>
        <v>0</v>
      </c>
      <c r="T66" s="257">
        <f t="shared" si="15"/>
        <v>0</v>
      </c>
      <c r="U66" s="258">
        <f t="shared" si="16"/>
        <v>0</v>
      </c>
      <c r="V66" s="258">
        <f t="shared" si="17"/>
        <v>0</v>
      </c>
      <c r="W66" s="258">
        <f t="shared" si="18"/>
        <v>0</v>
      </c>
      <c r="X66" s="259">
        <f t="shared" si="19"/>
        <v>0</v>
      </c>
      <c r="Y66" s="264">
        <v>1.18</v>
      </c>
      <c r="Z66" s="264">
        <v>1.28</v>
      </c>
      <c r="AA66" s="264">
        <v>1.2</v>
      </c>
      <c r="AB66" s="264">
        <v>1.53</v>
      </c>
      <c r="AC66" s="264">
        <v>1.2</v>
      </c>
      <c r="AD66" s="257">
        <f t="shared" ref="AD66:AD95" si="49">T66*Y66</f>
        <v>0</v>
      </c>
      <c r="AE66" s="258">
        <f t="shared" ref="AE66:AE95" si="50">U66*Z66</f>
        <v>0</v>
      </c>
      <c r="AF66" s="258">
        <f t="shared" ref="AF66:AF95" si="51">V66*AA66</f>
        <v>0</v>
      </c>
      <c r="AG66" s="258">
        <f t="shared" ref="AG66:AG95" si="52">W66*AB66</f>
        <v>0</v>
      </c>
      <c r="AH66" s="259">
        <f t="shared" ref="AH66:AH95" si="53">X66*AC66</f>
        <v>0</v>
      </c>
      <c r="AI66" s="431">
        <v>0</v>
      </c>
      <c r="AJ66" s="195" t="e">
        <f t="shared" ref="AJ66:AJ95" si="54">(AD66*1000)/$AI66</f>
        <v>#DIV/0!</v>
      </c>
      <c r="AK66" s="196" t="e">
        <f t="shared" ref="AK66:AK95" si="55">(AE66*1000)/$AI66</f>
        <v>#DIV/0!</v>
      </c>
      <c r="AL66" s="196" t="e">
        <f t="shared" ref="AL66:AL95" si="56">(AF66*1000)/$AI66</f>
        <v>#DIV/0!</v>
      </c>
      <c r="AM66" s="196" t="e">
        <f t="shared" ref="AM66:AM95" si="57">(AG66*1000)/$AI66</f>
        <v>#DIV/0!</v>
      </c>
      <c r="AN66" s="197" t="e">
        <f t="shared" ref="AN66:AN95" si="58">(AH66*1000)/$AI66</f>
        <v>#DIV/0!</v>
      </c>
      <c r="AO66" s="166">
        <f t="shared" si="39"/>
        <v>1550</v>
      </c>
      <c r="AP66" s="167">
        <f t="shared" si="40"/>
        <v>19160</v>
      </c>
      <c r="AQ66" s="167">
        <f t="shared" si="41"/>
        <v>36239</v>
      </c>
      <c r="AR66" s="167">
        <f t="shared" si="42"/>
        <v>1560</v>
      </c>
      <c r="AS66" s="168">
        <f t="shared" si="43"/>
        <v>3640</v>
      </c>
      <c r="AT66" s="166">
        <f t="shared" ref="AT66:AT95" si="59">AO66*(AD66*0.8)</f>
        <v>0</v>
      </c>
      <c r="AU66" s="167">
        <f t="shared" si="25"/>
        <v>0</v>
      </c>
      <c r="AV66" s="167">
        <f t="shared" si="26"/>
        <v>0</v>
      </c>
      <c r="AW66" s="167">
        <f t="shared" ref="AW66:AW95" si="60">AR66*AG66</f>
        <v>0</v>
      </c>
      <c r="AX66" s="168">
        <f t="shared" ref="AX66:AX95" si="61">AS66*(AH66*0.025)</f>
        <v>0</v>
      </c>
      <c r="AY66" s="166">
        <f t="shared" si="38"/>
        <v>0</v>
      </c>
      <c r="AZ66" s="167">
        <v>1000</v>
      </c>
      <c r="BA66" s="167" t="e">
        <f>AY66/AI66</f>
        <v>#DIV/0!</v>
      </c>
      <c r="BB66" s="161"/>
      <c r="BC66" s="162"/>
    </row>
    <row r="67" spans="1:55" ht="14.95" thickBot="1" x14ac:dyDescent="0.3">
      <c r="A67" s="221">
        <f>+A66</f>
        <v>46103</v>
      </c>
      <c r="B67" s="280">
        <f>DAY(Tabla2[[#This Row],[FECHA]])</f>
        <v>22</v>
      </c>
      <c r="C67" s="204" t="s">
        <v>30</v>
      </c>
      <c r="D67" s="205"/>
      <c r="E67" s="206"/>
      <c r="F67" s="207"/>
      <c r="G67" s="208"/>
      <c r="H67" s="209"/>
      <c r="I67" s="408">
        <f>((Tabla2[[#This Row],[VOLUMEN ENVIADO A RO (m3)]]/80)/3)*60</f>
        <v>0</v>
      </c>
      <c r="J67" s="400">
        <v>0</v>
      </c>
      <c r="K67" s="401">
        <v>58</v>
      </c>
      <c r="L67" s="402">
        <v>52</v>
      </c>
      <c r="M67" s="401">
        <v>0</v>
      </c>
      <c r="N67" s="402">
        <v>0</v>
      </c>
      <c r="O67" s="261">
        <f t="shared" si="45"/>
        <v>0</v>
      </c>
      <c r="P67" s="266">
        <f t="shared" si="46"/>
        <v>508.77192982456143</v>
      </c>
      <c r="Q67" s="266">
        <f t="shared" si="46"/>
        <v>456.14035087719299</v>
      </c>
      <c r="R67" s="266">
        <f t="shared" si="47"/>
        <v>0</v>
      </c>
      <c r="S67" s="266">
        <f t="shared" si="48"/>
        <v>0</v>
      </c>
      <c r="T67" s="257">
        <f t="shared" ref="T67:T94" si="62">O67-O68</f>
        <v>0</v>
      </c>
      <c r="U67" s="258">
        <f t="shared" ref="U67:U94" si="63">P67-P68</f>
        <v>0</v>
      </c>
      <c r="V67" s="258">
        <f t="shared" ref="V67:V94" si="64">Q67-Q68</f>
        <v>0</v>
      </c>
      <c r="W67" s="258">
        <f t="shared" ref="W67:W94" si="65">R67-R68</f>
        <v>0</v>
      </c>
      <c r="X67" s="259">
        <f t="shared" ref="X67:X94" si="66">S67-S68</f>
        <v>0</v>
      </c>
      <c r="Y67" s="264">
        <v>1.18</v>
      </c>
      <c r="Z67" s="264">
        <v>1.28</v>
      </c>
      <c r="AA67" s="264">
        <v>1.2</v>
      </c>
      <c r="AB67" s="264">
        <v>1.53</v>
      </c>
      <c r="AC67" s="264">
        <v>1.2</v>
      </c>
      <c r="AD67" s="268">
        <f t="shared" si="49"/>
        <v>0</v>
      </c>
      <c r="AE67" s="269">
        <f t="shared" si="50"/>
        <v>0</v>
      </c>
      <c r="AF67" s="269">
        <f t="shared" si="51"/>
        <v>0</v>
      </c>
      <c r="AG67" s="269">
        <f t="shared" si="52"/>
        <v>0</v>
      </c>
      <c r="AH67" s="270">
        <f t="shared" si="53"/>
        <v>0</v>
      </c>
      <c r="AI67" s="432">
        <v>0</v>
      </c>
      <c r="AJ67" s="210" t="e">
        <f t="shared" si="54"/>
        <v>#DIV/0!</v>
      </c>
      <c r="AK67" s="211" t="e">
        <f t="shared" si="55"/>
        <v>#DIV/0!</v>
      </c>
      <c r="AL67" s="211" t="e">
        <f t="shared" si="56"/>
        <v>#DIV/0!</v>
      </c>
      <c r="AM67" s="211" t="e">
        <f t="shared" si="57"/>
        <v>#DIV/0!</v>
      </c>
      <c r="AN67" s="212" t="e">
        <f t="shared" si="58"/>
        <v>#DIV/0!</v>
      </c>
      <c r="AO67" s="166">
        <f t="shared" ref="AO67:AO95" si="67">AO66</f>
        <v>1550</v>
      </c>
      <c r="AP67" s="167">
        <f t="shared" ref="AP67:AP95" si="68">AP66</f>
        <v>19160</v>
      </c>
      <c r="AQ67" s="167">
        <f t="shared" ref="AQ67:AQ95" si="69">AQ66</f>
        <v>36239</v>
      </c>
      <c r="AR67" s="167">
        <f t="shared" ref="AR67:AR95" si="70">AR66</f>
        <v>1560</v>
      </c>
      <c r="AS67" s="168">
        <f t="shared" ref="AS67:AS95" si="71">AS66</f>
        <v>3640</v>
      </c>
      <c r="AT67" s="169">
        <f t="shared" si="59"/>
        <v>0</v>
      </c>
      <c r="AU67" s="170">
        <f t="shared" ref="AU67:AU95" si="72">AP67*(AE67*0.012)</f>
        <v>0</v>
      </c>
      <c r="AV67" s="170">
        <f t="shared" ref="AV67:AV95" si="73">AQ67*(AF67*0.044)</f>
        <v>0</v>
      </c>
      <c r="AW67" s="170">
        <f t="shared" si="60"/>
        <v>0</v>
      </c>
      <c r="AX67" s="171">
        <f t="shared" si="61"/>
        <v>0</v>
      </c>
      <c r="AY67" s="169">
        <f t="shared" si="38"/>
        <v>0</v>
      </c>
      <c r="AZ67" s="170">
        <v>1000</v>
      </c>
      <c r="BA67" s="170" t="e">
        <f t="shared" ref="BA67:BA95" si="74">AY67/AI67</f>
        <v>#DIV/0!</v>
      </c>
      <c r="BB67" s="160"/>
      <c r="BC67" s="163"/>
    </row>
    <row r="68" spans="1:55" ht="14.95" thickBot="1" x14ac:dyDescent="0.3">
      <c r="A68" s="213">
        <f>+A67+1</f>
        <v>46104</v>
      </c>
      <c r="B68" s="281">
        <f>DAY(Tabla2[[#This Row],[FECHA]])</f>
        <v>23</v>
      </c>
      <c r="C68" s="225" t="s">
        <v>28</v>
      </c>
      <c r="D68" s="214"/>
      <c r="E68" s="215"/>
      <c r="F68" s="216"/>
      <c r="G68" s="216"/>
      <c r="H68" s="215"/>
      <c r="I68" s="408">
        <f>((Tabla2[[#This Row],[VOLUMEN ENVIADO A RO (m3)]]/80)/3)*60</f>
        <v>0</v>
      </c>
      <c r="J68" s="394">
        <v>0</v>
      </c>
      <c r="K68" s="394">
        <v>58</v>
      </c>
      <c r="L68" s="396">
        <v>52</v>
      </c>
      <c r="M68" s="395">
        <v>0</v>
      </c>
      <c r="N68" s="396">
        <v>0</v>
      </c>
      <c r="O68" s="261">
        <f t="shared" si="45"/>
        <v>0</v>
      </c>
      <c r="P68" s="272">
        <f t="shared" si="46"/>
        <v>508.77192982456143</v>
      </c>
      <c r="Q68" s="255">
        <f t="shared" si="46"/>
        <v>456.14035087719299</v>
      </c>
      <c r="R68" s="272">
        <f t="shared" si="47"/>
        <v>0</v>
      </c>
      <c r="S68" s="272">
        <f t="shared" si="48"/>
        <v>0</v>
      </c>
      <c r="T68" s="257">
        <f t="shared" si="62"/>
        <v>0</v>
      </c>
      <c r="U68" s="258">
        <f t="shared" si="63"/>
        <v>140.35087719298247</v>
      </c>
      <c r="V68" s="258">
        <f t="shared" si="64"/>
        <v>70.175438596491176</v>
      </c>
      <c r="W68" s="258">
        <f t="shared" si="65"/>
        <v>0</v>
      </c>
      <c r="X68" s="259">
        <f t="shared" si="66"/>
        <v>0</v>
      </c>
      <c r="Y68" s="264">
        <v>1.18</v>
      </c>
      <c r="Z68" s="264">
        <v>1.28</v>
      </c>
      <c r="AA68" s="264">
        <v>1.2</v>
      </c>
      <c r="AB68" s="264">
        <v>1.53</v>
      </c>
      <c r="AC68" s="264">
        <v>1.2</v>
      </c>
      <c r="AD68" s="273">
        <f t="shared" si="49"/>
        <v>0</v>
      </c>
      <c r="AE68" s="274">
        <f t="shared" si="50"/>
        <v>179.64912280701756</v>
      </c>
      <c r="AF68" s="274">
        <f t="shared" si="51"/>
        <v>84.210526315789409</v>
      </c>
      <c r="AG68" s="274">
        <f t="shared" si="52"/>
        <v>0</v>
      </c>
      <c r="AH68" s="275">
        <f t="shared" si="53"/>
        <v>0</v>
      </c>
      <c r="AI68" s="430">
        <v>0</v>
      </c>
      <c r="AJ68" s="217" t="e">
        <f t="shared" si="54"/>
        <v>#DIV/0!</v>
      </c>
      <c r="AK68" s="218" t="e">
        <f t="shared" si="55"/>
        <v>#DIV/0!</v>
      </c>
      <c r="AL68" s="218" t="e">
        <f t="shared" si="56"/>
        <v>#DIV/0!</v>
      </c>
      <c r="AM68" s="218" t="e">
        <f t="shared" si="57"/>
        <v>#DIV/0!</v>
      </c>
      <c r="AN68" s="219" t="e">
        <f t="shared" si="58"/>
        <v>#DIV/0!</v>
      </c>
      <c r="AO68" s="166">
        <f t="shared" si="67"/>
        <v>1550</v>
      </c>
      <c r="AP68" s="167">
        <f t="shared" si="68"/>
        <v>19160</v>
      </c>
      <c r="AQ68" s="167">
        <f t="shared" si="69"/>
        <v>36239</v>
      </c>
      <c r="AR68" s="167">
        <f t="shared" si="70"/>
        <v>1560</v>
      </c>
      <c r="AS68" s="168">
        <f t="shared" si="71"/>
        <v>3640</v>
      </c>
      <c r="AT68" s="166">
        <f t="shared" si="59"/>
        <v>0</v>
      </c>
      <c r="AU68" s="167">
        <f t="shared" si="72"/>
        <v>41304.926315789482</v>
      </c>
      <c r="AV68" s="167">
        <f t="shared" si="73"/>
        <v>134275.03157894727</v>
      </c>
      <c r="AW68" s="167">
        <f t="shared" si="60"/>
        <v>0</v>
      </c>
      <c r="AX68" s="168">
        <f t="shared" si="61"/>
        <v>0</v>
      </c>
      <c r="AY68" s="166">
        <f t="shared" si="38"/>
        <v>175579.95789473676</v>
      </c>
      <c r="AZ68" s="167">
        <v>1000</v>
      </c>
      <c r="BA68" s="167" t="e">
        <f t="shared" si="74"/>
        <v>#DIV/0!</v>
      </c>
      <c r="BB68" s="161"/>
      <c r="BC68" s="162"/>
    </row>
    <row r="69" spans="1:55" ht="14.95" thickBot="1" x14ac:dyDescent="0.3">
      <c r="A69" s="220">
        <f>+A68</f>
        <v>46104</v>
      </c>
      <c r="B69" s="279">
        <f>DAY(Tabla2[[#This Row],[FECHA]])</f>
        <v>23</v>
      </c>
      <c r="C69" s="199" t="s">
        <v>29</v>
      </c>
      <c r="D69" s="200"/>
      <c r="E69" s="201"/>
      <c r="F69" s="202"/>
      <c r="G69" s="202"/>
      <c r="H69" s="201"/>
      <c r="I69" s="408">
        <f>((Tabla2[[#This Row],[VOLUMEN ENVIADO A RO (m3)]]/80)/3)*60</f>
        <v>42.4</v>
      </c>
      <c r="J69" s="397">
        <v>0</v>
      </c>
      <c r="K69" s="398">
        <v>42</v>
      </c>
      <c r="L69" s="399">
        <v>44</v>
      </c>
      <c r="M69" s="398">
        <v>0</v>
      </c>
      <c r="N69" s="399">
        <v>0</v>
      </c>
      <c r="O69" s="261">
        <f t="shared" si="45"/>
        <v>0</v>
      </c>
      <c r="P69" s="262">
        <f t="shared" si="46"/>
        <v>368.42105263157896</v>
      </c>
      <c r="Q69" s="262">
        <f t="shared" si="46"/>
        <v>385.96491228070181</v>
      </c>
      <c r="R69" s="262">
        <f t="shared" si="47"/>
        <v>0</v>
      </c>
      <c r="S69" s="262">
        <f t="shared" si="48"/>
        <v>0</v>
      </c>
      <c r="T69" s="257">
        <f t="shared" si="62"/>
        <v>0</v>
      </c>
      <c r="U69" s="258">
        <f t="shared" si="63"/>
        <v>43.859649122807014</v>
      </c>
      <c r="V69" s="258">
        <f t="shared" si="64"/>
        <v>43.85964912280707</v>
      </c>
      <c r="W69" s="258">
        <f t="shared" si="65"/>
        <v>0</v>
      </c>
      <c r="X69" s="259">
        <f t="shared" si="66"/>
        <v>0</v>
      </c>
      <c r="Y69" s="264">
        <v>1.18</v>
      </c>
      <c r="Z69" s="264">
        <v>1.28</v>
      </c>
      <c r="AA69" s="264">
        <v>1.2</v>
      </c>
      <c r="AB69" s="264">
        <v>1.53</v>
      </c>
      <c r="AC69" s="264">
        <v>1.2</v>
      </c>
      <c r="AD69" s="257">
        <f t="shared" si="49"/>
        <v>0</v>
      </c>
      <c r="AE69" s="258">
        <f t="shared" si="50"/>
        <v>56.140350877192979</v>
      </c>
      <c r="AF69" s="258">
        <f t="shared" si="51"/>
        <v>52.631578947368482</v>
      </c>
      <c r="AG69" s="258">
        <f t="shared" si="52"/>
        <v>0</v>
      </c>
      <c r="AH69" s="259">
        <f t="shared" si="53"/>
        <v>0</v>
      </c>
      <c r="AI69" s="431">
        <v>169.6</v>
      </c>
      <c r="AJ69" s="195">
        <f t="shared" si="54"/>
        <v>0</v>
      </c>
      <c r="AK69" s="196">
        <f t="shared" si="55"/>
        <v>331.01621979476994</v>
      </c>
      <c r="AL69" s="196">
        <f t="shared" si="56"/>
        <v>310.3277060575972</v>
      </c>
      <c r="AM69" s="196">
        <f t="shared" si="57"/>
        <v>0</v>
      </c>
      <c r="AN69" s="197">
        <f t="shared" si="58"/>
        <v>0</v>
      </c>
      <c r="AO69" s="166">
        <f t="shared" si="67"/>
        <v>1550</v>
      </c>
      <c r="AP69" s="167">
        <f t="shared" si="68"/>
        <v>19160</v>
      </c>
      <c r="AQ69" s="167">
        <f t="shared" si="69"/>
        <v>36239</v>
      </c>
      <c r="AR69" s="167">
        <f t="shared" si="70"/>
        <v>1560</v>
      </c>
      <c r="AS69" s="168">
        <f t="shared" si="71"/>
        <v>3640</v>
      </c>
      <c r="AT69" s="166">
        <f t="shared" si="59"/>
        <v>0</v>
      </c>
      <c r="AU69" s="167">
        <f t="shared" si="72"/>
        <v>12907.78947368421</v>
      </c>
      <c r="AV69" s="167">
        <f t="shared" si="73"/>
        <v>83921.894736842194</v>
      </c>
      <c r="AW69" s="167">
        <f t="shared" si="60"/>
        <v>0</v>
      </c>
      <c r="AX69" s="168">
        <f t="shared" si="61"/>
        <v>0</v>
      </c>
      <c r="AY69" s="166">
        <f t="shared" si="38"/>
        <v>96829.684210526408</v>
      </c>
      <c r="AZ69" s="167">
        <v>1000</v>
      </c>
      <c r="BA69" s="167">
        <f t="shared" si="74"/>
        <v>570.92974180734916</v>
      </c>
      <c r="BB69" s="161"/>
      <c r="BC69" s="162"/>
    </row>
    <row r="70" spans="1:55" ht="14.95" thickBot="1" x14ac:dyDescent="0.3">
      <c r="A70" s="221">
        <f>+A69</f>
        <v>46104</v>
      </c>
      <c r="B70" s="280">
        <f>DAY(Tabla2[[#This Row],[FECHA]])</f>
        <v>23</v>
      </c>
      <c r="C70" s="204" t="s">
        <v>30</v>
      </c>
      <c r="D70" s="205"/>
      <c r="E70" s="206"/>
      <c r="F70" s="207"/>
      <c r="G70" s="208"/>
      <c r="H70" s="209"/>
      <c r="I70" s="408">
        <f>((Tabla2[[#This Row],[VOLUMEN ENVIADO A RO (m3)]]/80)/3)*60</f>
        <v>74.304500000000004</v>
      </c>
      <c r="J70" s="400">
        <v>0</v>
      </c>
      <c r="K70" s="401">
        <v>37</v>
      </c>
      <c r="L70" s="402">
        <v>39</v>
      </c>
      <c r="M70" s="401">
        <v>0</v>
      </c>
      <c r="N70" s="402">
        <v>0</v>
      </c>
      <c r="O70" s="261">
        <f t="shared" si="45"/>
        <v>0</v>
      </c>
      <c r="P70" s="266">
        <f t="shared" si="46"/>
        <v>324.56140350877195</v>
      </c>
      <c r="Q70" s="266">
        <f t="shared" si="46"/>
        <v>342.10526315789474</v>
      </c>
      <c r="R70" s="266">
        <f t="shared" si="47"/>
        <v>0</v>
      </c>
      <c r="S70" s="266">
        <f t="shared" si="48"/>
        <v>0</v>
      </c>
      <c r="T70" s="257">
        <f t="shared" si="62"/>
        <v>0</v>
      </c>
      <c r="U70" s="258">
        <f t="shared" si="63"/>
        <v>70.175438596491233</v>
      </c>
      <c r="V70" s="258">
        <f t="shared" si="64"/>
        <v>105.26315789473682</v>
      </c>
      <c r="W70" s="258">
        <f t="shared" si="65"/>
        <v>0</v>
      </c>
      <c r="X70" s="259">
        <f t="shared" si="66"/>
        <v>0</v>
      </c>
      <c r="Y70" s="264">
        <v>1.18</v>
      </c>
      <c r="Z70" s="264">
        <v>1.28</v>
      </c>
      <c r="AA70" s="264">
        <v>1.2</v>
      </c>
      <c r="AB70" s="264">
        <v>1.53</v>
      </c>
      <c r="AC70" s="264">
        <v>1.2</v>
      </c>
      <c r="AD70" s="268">
        <f t="shared" si="49"/>
        <v>0</v>
      </c>
      <c r="AE70" s="269">
        <f t="shared" si="50"/>
        <v>89.824561403508781</v>
      </c>
      <c r="AF70" s="269">
        <f t="shared" si="51"/>
        <v>126.31578947368418</v>
      </c>
      <c r="AG70" s="269">
        <f t="shared" si="52"/>
        <v>0</v>
      </c>
      <c r="AH70" s="270">
        <f t="shared" si="53"/>
        <v>0</v>
      </c>
      <c r="AI70" s="432">
        <v>297.21800000000002</v>
      </c>
      <c r="AJ70" s="210">
        <f t="shared" si="54"/>
        <v>0</v>
      </c>
      <c r="AK70" s="211">
        <f t="shared" si="55"/>
        <v>302.21777080630642</v>
      </c>
      <c r="AL70" s="211">
        <f t="shared" si="56"/>
        <v>424.99374019636821</v>
      </c>
      <c r="AM70" s="211">
        <f t="shared" si="57"/>
        <v>0</v>
      </c>
      <c r="AN70" s="212">
        <f t="shared" si="58"/>
        <v>0</v>
      </c>
      <c r="AO70" s="166">
        <f t="shared" si="67"/>
        <v>1550</v>
      </c>
      <c r="AP70" s="167">
        <f t="shared" si="68"/>
        <v>19160</v>
      </c>
      <c r="AQ70" s="167">
        <f t="shared" si="69"/>
        <v>36239</v>
      </c>
      <c r="AR70" s="167">
        <f t="shared" si="70"/>
        <v>1560</v>
      </c>
      <c r="AS70" s="168">
        <f t="shared" si="71"/>
        <v>3640</v>
      </c>
      <c r="AT70" s="169">
        <f t="shared" si="59"/>
        <v>0</v>
      </c>
      <c r="AU70" s="170">
        <f t="shared" si="72"/>
        <v>20652.463157894741</v>
      </c>
      <c r="AV70" s="170">
        <f t="shared" si="73"/>
        <v>201412.54736842102</v>
      </c>
      <c r="AW70" s="170">
        <f t="shared" si="60"/>
        <v>0</v>
      </c>
      <c r="AX70" s="171">
        <f t="shared" si="61"/>
        <v>0</v>
      </c>
      <c r="AY70" s="169">
        <f t="shared" si="38"/>
        <v>222065.01052631575</v>
      </c>
      <c r="AZ70" s="170">
        <v>1000</v>
      </c>
      <c r="BA70" s="170">
        <f t="shared" si="74"/>
        <v>747.14522850673825</v>
      </c>
      <c r="BB70" s="160"/>
      <c r="BC70" s="163"/>
    </row>
    <row r="71" spans="1:55" ht="14.95" thickBot="1" x14ac:dyDescent="0.3">
      <c r="A71" s="213">
        <f>+A70+1</f>
        <v>46105</v>
      </c>
      <c r="B71" s="281">
        <f>DAY(Tabla2[[#This Row],[FECHA]])</f>
        <v>24</v>
      </c>
      <c r="C71" s="225" t="s">
        <v>28</v>
      </c>
      <c r="D71" s="214"/>
      <c r="E71" s="215"/>
      <c r="F71" s="216"/>
      <c r="G71" s="216"/>
      <c r="H71" s="215"/>
      <c r="I71" s="408">
        <f>((Tabla2[[#This Row],[VOLUMEN ENVIADO A RO (m3)]]/80)/3)*60</f>
        <v>84.545500000000004</v>
      </c>
      <c r="J71" s="394">
        <v>0</v>
      </c>
      <c r="K71" s="394">
        <v>29</v>
      </c>
      <c r="L71" s="396">
        <v>27</v>
      </c>
      <c r="M71" s="395">
        <v>0</v>
      </c>
      <c r="N71" s="396">
        <v>0</v>
      </c>
      <c r="O71" s="261">
        <f t="shared" si="45"/>
        <v>0</v>
      </c>
      <c r="P71" s="272">
        <f t="shared" si="46"/>
        <v>254.38596491228071</v>
      </c>
      <c r="Q71" s="255">
        <f t="shared" si="46"/>
        <v>236.84210526315792</v>
      </c>
      <c r="R71" s="272">
        <f t="shared" si="47"/>
        <v>0</v>
      </c>
      <c r="S71" s="272">
        <f t="shared" si="48"/>
        <v>0</v>
      </c>
      <c r="T71" s="257">
        <f t="shared" si="62"/>
        <v>0</v>
      </c>
      <c r="U71" s="258">
        <f t="shared" si="63"/>
        <v>0</v>
      </c>
      <c r="V71" s="258">
        <f t="shared" si="64"/>
        <v>0</v>
      </c>
      <c r="W71" s="258">
        <f t="shared" si="65"/>
        <v>0</v>
      </c>
      <c r="X71" s="259">
        <f t="shared" si="66"/>
        <v>0</v>
      </c>
      <c r="Y71" s="264">
        <v>1.18</v>
      </c>
      <c r="Z71" s="264">
        <v>1.28</v>
      </c>
      <c r="AA71" s="264">
        <v>1.2</v>
      </c>
      <c r="AB71" s="264">
        <v>1.53</v>
      </c>
      <c r="AC71" s="264">
        <v>1.2</v>
      </c>
      <c r="AD71" s="273">
        <f t="shared" si="49"/>
        <v>0</v>
      </c>
      <c r="AE71" s="274">
        <f t="shared" si="50"/>
        <v>0</v>
      </c>
      <c r="AF71" s="274">
        <f t="shared" si="51"/>
        <v>0</v>
      </c>
      <c r="AG71" s="274">
        <f t="shared" si="52"/>
        <v>0</v>
      </c>
      <c r="AH71" s="275">
        <f t="shared" si="53"/>
        <v>0</v>
      </c>
      <c r="AI71" s="430">
        <v>338.18200000000002</v>
      </c>
      <c r="AJ71" s="217">
        <f t="shared" si="54"/>
        <v>0</v>
      </c>
      <c r="AK71" s="218">
        <f t="shared" si="55"/>
        <v>0</v>
      </c>
      <c r="AL71" s="218">
        <f t="shared" si="56"/>
        <v>0</v>
      </c>
      <c r="AM71" s="218">
        <f t="shared" si="57"/>
        <v>0</v>
      </c>
      <c r="AN71" s="219">
        <f t="shared" si="58"/>
        <v>0</v>
      </c>
      <c r="AO71" s="166">
        <f t="shared" si="67"/>
        <v>1550</v>
      </c>
      <c r="AP71" s="167">
        <f t="shared" si="68"/>
        <v>19160</v>
      </c>
      <c r="AQ71" s="167">
        <f t="shared" si="69"/>
        <v>36239</v>
      </c>
      <c r="AR71" s="167">
        <f t="shared" si="70"/>
        <v>1560</v>
      </c>
      <c r="AS71" s="168">
        <f t="shared" si="71"/>
        <v>3640</v>
      </c>
      <c r="AT71" s="166">
        <f t="shared" si="59"/>
        <v>0</v>
      </c>
      <c r="AU71" s="167">
        <f t="shared" si="72"/>
        <v>0</v>
      </c>
      <c r="AV71" s="167">
        <f t="shared" si="73"/>
        <v>0</v>
      </c>
      <c r="AW71" s="167">
        <f t="shared" si="60"/>
        <v>0</v>
      </c>
      <c r="AX71" s="168">
        <f t="shared" si="61"/>
        <v>0</v>
      </c>
      <c r="AY71" s="166">
        <f t="shared" si="38"/>
        <v>0</v>
      </c>
      <c r="AZ71" s="167">
        <v>1000</v>
      </c>
      <c r="BA71" s="167">
        <f t="shared" si="74"/>
        <v>0</v>
      </c>
      <c r="BB71" s="161"/>
      <c r="BC71" s="162"/>
    </row>
    <row r="72" spans="1:55" ht="14.95" thickBot="1" x14ac:dyDescent="0.3">
      <c r="A72" s="220">
        <f>+A71</f>
        <v>46105</v>
      </c>
      <c r="B72" s="279">
        <f>DAY(Tabla2[[#This Row],[FECHA]])</f>
        <v>24</v>
      </c>
      <c r="C72" s="199" t="s">
        <v>29</v>
      </c>
      <c r="D72" s="200"/>
      <c r="E72" s="201"/>
      <c r="F72" s="202"/>
      <c r="G72" s="202"/>
      <c r="H72" s="201"/>
      <c r="I72" s="408">
        <f>((Tabla2[[#This Row],[VOLUMEN ENVIADO A RO (m3)]]/80)/3)*60</f>
        <v>85.5</v>
      </c>
      <c r="J72" s="397">
        <v>0</v>
      </c>
      <c r="K72" s="398">
        <v>29</v>
      </c>
      <c r="L72" s="399">
        <v>27</v>
      </c>
      <c r="M72" s="398">
        <v>0</v>
      </c>
      <c r="N72" s="399">
        <v>0</v>
      </c>
      <c r="O72" s="261">
        <f t="shared" si="45"/>
        <v>0</v>
      </c>
      <c r="P72" s="262">
        <f t="shared" si="46"/>
        <v>254.38596491228071</v>
      </c>
      <c r="Q72" s="262">
        <f t="shared" si="46"/>
        <v>236.84210526315792</v>
      </c>
      <c r="R72" s="262">
        <f t="shared" si="47"/>
        <v>0</v>
      </c>
      <c r="S72" s="262">
        <f t="shared" si="48"/>
        <v>0</v>
      </c>
      <c r="T72" s="257">
        <f t="shared" si="62"/>
        <v>0</v>
      </c>
      <c r="U72" s="258">
        <f t="shared" si="63"/>
        <v>122.80701754385964</v>
      </c>
      <c r="V72" s="258">
        <f t="shared" si="64"/>
        <v>131.57894736842107</v>
      </c>
      <c r="W72" s="258">
        <f t="shared" si="65"/>
        <v>0</v>
      </c>
      <c r="X72" s="259">
        <f t="shared" si="66"/>
        <v>0</v>
      </c>
      <c r="Y72" s="264">
        <v>1.18</v>
      </c>
      <c r="Z72" s="264">
        <v>1.28</v>
      </c>
      <c r="AA72" s="264">
        <v>1.2</v>
      </c>
      <c r="AB72" s="264">
        <v>1.53</v>
      </c>
      <c r="AC72" s="264">
        <v>1.2</v>
      </c>
      <c r="AD72" s="257">
        <f t="shared" si="49"/>
        <v>0</v>
      </c>
      <c r="AE72" s="258">
        <f t="shared" si="50"/>
        <v>157.19298245614036</v>
      </c>
      <c r="AF72" s="258">
        <f t="shared" si="51"/>
        <v>157.89473684210529</v>
      </c>
      <c r="AG72" s="258">
        <f t="shared" si="52"/>
        <v>0</v>
      </c>
      <c r="AH72" s="259">
        <f t="shared" si="53"/>
        <v>0</v>
      </c>
      <c r="AI72" s="431">
        <v>342</v>
      </c>
      <c r="AJ72" s="195">
        <f t="shared" si="54"/>
        <v>0</v>
      </c>
      <c r="AK72" s="196">
        <f t="shared" si="55"/>
        <v>459.62860367292507</v>
      </c>
      <c r="AL72" s="196">
        <f t="shared" si="56"/>
        <v>461.68051708217916</v>
      </c>
      <c r="AM72" s="196">
        <f t="shared" si="57"/>
        <v>0</v>
      </c>
      <c r="AN72" s="197">
        <f t="shared" si="58"/>
        <v>0</v>
      </c>
      <c r="AO72" s="166">
        <f t="shared" si="67"/>
        <v>1550</v>
      </c>
      <c r="AP72" s="167">
        <f t="shared" si="68"/>
        <v>19160</v>
      </c>
      <c r="AQ72" s="167">
        <f t="shared" si="69"/>
        <v>36239</v>
      </c>
      <c r="AR72" s="167">
        <f t="shared" si="70"/>
        <v>1560</v>
      </c>
      <c r="AS72" s="168">
        <f t="shared" si="71"/>
        <v>3640</v>
      </c>
      <c r="AT72" s="166">
        <f t="shared" si="59"/>
        <v>0</v>
      </c>
      <c r="AU72" s="167">
        <f t="shared" si="72"/>
        <v>36141.810526315792</v>
      </c>
      <c r="AV72" s="167">
        <f t="shared" si="73"/>
        <v>251765.68421052632</v>
      </c>
      <c r="AW72" s="167">
        <f t="shared" si="60"/>
        <v>0</v>
      </c>
      <c r="AX72" s="168">
        <f t="shared" si="61"/>
        <v>0</v>
      </c>
      <c r="AY72" s="166">
        <f t="shared" si="38"/>
        <v>287907.49473684211</v>
      </c>
      <c r="AZ72" s="167">
        <v>1000</v>
      </c>
      <c r="BA72" s="167">
        <f t="shared" si="74"/>
        <v>841.83477993228689</v>
      </c>
      <c r="BB72" s="161"/>
      <c r="BC72" s="162"/>
    </row>
    <row r="73" spans="1:55" ht="14.95" thickBot="1" x14ac:dyDescent="0.3">
      <c r="A73" s="221">
        <f>+A72</f>
        <v>46105</v>
      </c>
      <c r="B73" s="280">
        <f>DAY(Tabla2[[#This Row],[FECHA]])</f>
        <v>24</v>
      </c>
      <c r="C73" s="204" t="s">
        <v>30</v>
      </c>
      <c r="D73" s="205"/>
      <c r="E73" s="206"/>
      <c r="F73" s="207"/>
      <c r="G73" s="208"/>
      <c r="H73" s="209"/>
      <c r="I73" s="408">
        <f>((Tabla2[[#This Row],[VOLUMEN ENVIADO A RO (m3)]]/80)/3)*60</f>
        <v>77.252750000000006</v>
      </c>
      <c r="J73" s="400">
        <v>0</v>
      </c>
      <c r="K73" s="401">
        <v>15</v>
      </c>
      <c r="L73" s="402">
        <v>12</v>
      </c>
      <c r="M73" s="401">
        <v>0</v>
      </c>
      <c r="N73" s="402">
        <v>0</v>
      </c>
      <c r="O73" s="261">
        <f t="shared" si="45"/>
        <v>0</v>
      </c>
      <c r="P73" s="266">
        <f t="shared" si="46"/>
        <v>131.57894736842107</v>
      </c>
      <c r="Q73" s="266">
        <f t="shared" si="46"/>
        <v>105.26315789473685</v>
      </c>
      <c r="R73" s="266">
        <f t="shared" si="47"/>
        <v>0</v>
      </c>
      <c r="S73" s="266">
        <f t="shared" si="48"/>
        <v>0</v>
      </c>
      <c r="T73" s="257">
        <f t="shared" si="62"/>
        <v>0</v>
      </c>
      <c r="U73" s="618">
        <f>P73-P74+1000</f>
        <v>149.12280701754378</v>
      </c>
      <c r="V73" s="258">
        <f t="shared" si="64"/>
        <v>0</v>
      </c>
      <c r="W73" s="258">
        <f t="shared" si="65"/>
        <v>0</v>
      </c>
      <c r="X73" s="259">
        <f t="shared" si="66"/>
        <v>0</v>
      </c>
      <c r="Y73" s="264">
        <v>1.18</v>
      </c>
      <c r="Z73" s="264">
        <v>1.28</v>
      </c>
      <c r="AA73" s="264">
        <v>1.2</v>
      </c>
      <c r="AB73" s="264">
        <v>1.53</v>
      </c>
      <c r="AC73" s="264">
        <v>1.2</v>
      </c>
      <c r="AD73" s="268">
        <f t="shared" si="49"/>
        <v>0</v>
      </c>
      <c r="AE73" s="269">
        <f t="shared" si="50"/>
        <v>190.87719298245605</v>
      </c>
      <c r="AF73" s="269">
        <f t="shared" si="51"/>
        <v>0</v>
      </c>
      <c r="AG73" s="269">
        <f t="shared" si="52"/>
        <v>0</v>
      </c>
      <c r="AH73" s="270">
        <f t="shared" si="53"/>
        <v>0</v>
      </c>
      <c r="AI73" s="432">
        <v>309.01100000000002</v>
      </c>
      <c r="AJ73" s="210">
        <f t="shared" si="54"/>
        <v>0</v>
      </c>
      <c r="AK73" s="211">
        <f t="shared" si="55"/>
        <v>617.70355418563111</v>
      </c>
      <c r="AL73" s="211">
        <f t="shared" si="56"/>
        <v>0</v>
      </c>
      <c r="AM73" s="211">
        <f t="shared" si="57"/>
        <v>0</v>
      </c>
      <c r="AN73" s="212">
        <f t="shared" si="58"/>
        <v>0</v>
      </c>
      <c r="AO73" s="166">
        <f t="shared" si="67"/>
        <v>1550</v>
      </c>
      <c r="AP73" s="167">
        <f t="shared" si="68"/>
        <v>19160</v>
      </c>
      <c r="AQ73" s="167">
        <f t="shared" si="69"/>
        <v>36239</v>
      </c>
      <c r="AR73" s="167">
        <f t="shared" si="70"/>
        <v>1560</v>
      </c>
      <c r="AS73" s="168">
        <f t="shared" si="71"/>
        <v>3640</v>
      </c>
      <c r="AT73" s="169">
        <f t="shared" si="59"/>
        <v>0</v>
      </c>
      <c r="AU73" s="170">
        <f t="shared" si="72"/>
        <v>43886.484210526294</v>
      </c>
      <c r="AV73" s="170">
        <f t="shared" si="73"/>
        <v>0</v>
      </c>
      <c r="AW73" s="170">
        <f t="shared" si="60"/>
        <v>0</v>
      </c>
      <c r="AX73" s="171">
        <f t="shared" si="61"/>
        <v>0</v>
      </c>
      <c r="AY73" s="169">
        <f t="shared" si="38"/>
        <v>43886.484210526294</v>
      </c>
      <c r="AZ73" s="170">
        <v>1000</v>
      </c>
      <c r="BA73" s="170">
        <f>AY73/AI73</f>
        <v>142.0224011783603</v>
      </c>
      <c r="BB73" s="160"/>
      <c r="BC73" s="163"/>
    </row>
    <row r="74" spans="1:55" ht="14.95" thickBot="1" x14ac:dyDescent="0.3">
      <c r="A74" s="213">
        <f>+A73+1</f>
        <v>46106</v>
      </c>
      <c r="B74" s="281">
        <f>DAY(Tabla2[[#This Row],[FECHA]])</f>
        <v>25</v>
      </c>
      <c r="C74" s="225" t="s">
        <v>28</v>
      </c>
      <c r="D74" s="214"/>
      <c r="E74" s="215"/>
      <c r="F74" s="216"/>
      <c r="G74" s="216"/>
      <c r="H74" s="215"/>
      <c r="I74" s="408">
        <f>((Tabla2[[#This Row],[VOLUMEN ENVIADO A RO (m3)]]/80)/3)*60</f>
        <v>72.357500000000002</v>
      </c>
      <c r="J74" s="394">
        <v>0</v>
      </c>
      <c r="K74" s="394">
        <v>112</v>
      </c>
      <c r="L74" s="396">
        <v>12</v>
      </c>
      <c r="M74" s="395">
        <v>0</v>
      </c>
      <c r="N74" s="396">
        <v>0</v>
      </c>
      <c r="O74" s="261">
        <f t="shared" si="45"/>
        <v>0</v>
      </c>
      <c r="P74" s="272">
        <f t="shared" si="46"/>
        <v>982.45614035087726</v>
      </c>
      <c r="Q74" s="255">
        <f t="shared" si="46"/>
        <v>105.26315789473685</v>
      </c>
      <c r="R74" s="272">
        <f t="shared" si="47"/>
        <v>0</v>
      </c>
      <c r="S74" s="272">
        <f t="shared" si="48"/>
        <v>0</v>
      </c>
      <c r="T74" s="257">
        <f t="shared" si="62"/>
        <v>0</v>
      </c>
      <c r="U74" s="258">
        <f t="shared" si="63"/>
        <v>0</v>
      </c>
      <c r="V74" s="258">
        <f t="shared" si="64"/>
        <v>0</v>
      </c>
      <c r="W74" s="258">
        <f t="shared" si="65"/>
        <v>0</v>
      </c>
      <c r="X74" s="259">
        <f t="shared" si="66"/>
        <v>0</v>
      </c>
      <c r="Y74" s="264">
        <v>1.18</v>
      </c>
      <c r="Z74" s="264">
        <v>1.28</v>
      </c>
      <c r="AA74" s="264">
        <v>1.2</v>
      </c>
      <c r="AB74" s="264">
        <v>1.53</v>
      </c>
      <c r="AC74" s="264">
        <v>1.2</v>
      </c>
      <c r="AD74" s="273">
        <f t="shared" si="49"/>
        <v>0</v>
      </c>
      <c r="AE74" s="274">
        <f t="shared" si="50"/>
        <v>0</v>
      </c>
      <c r="AF74" s="274">
        <f t="shared" si="51"/>
        <v>0</v>
      </c>
      <c r="AG74" s="274">
        <f t="shared" si="52"/>
        <v>0</v>
      </c>
      <c r="AH74" s="275">
        <f t="shared" si="53"/>
        <v>0</v>
      </c>
      <c r="AI74" s="430">
        <v>289.43</v>
      </c>
      <c r="AJ74" s="217">
        <f t="shared" si="54"/>
        <v>0</v>
      </c>
      <c r="AK74" s="218">
        <f t="shared" si="55"/>
        <v>0</v>
      </c>
      <c r="AL74" s="218">
        <f t="shared" si="56"/>
        <v>0</v>
      </c>
      <c r="AM74" s="218">
        <f t="shared" si="57"/>
        <v>0</v>
      </c>
      <c r="AN74" s="219">
        <f t="shared" si="58"/>
        <v>0</v>
      </c>
      <c r="AO74" s="166">
        <f t="shared" si="67"/>
        <v>1550</v>
      </c>
      <c r="AP74" s="167">
        <f t="shared" si="68"/>
        <v>19160</v>
      </c>
      <c r="AQ74" s="167">
        <f t="shared" si="69"/>
        <v>36239</v>
      </c>
      <c r="AR74" s="167">
        <f t="shared" si="70"/>
        <v>1560</v>
      </c>
      <c r="AS74" s="168">
        <f t="shared" si="71"/>
        <v>3640</v>
      </c>
      <c r="AT74" s="166">
        <f t="shared" si="59"/>
        <v>0</v>
      </c>
      <c r="AU74" s="167">
        <f t="shared" si="72"/>
        <v>0</v>
      </c>
      <c r="AV74" s="167">
        <f t="shared" si="73"/>
        <v>0</v>
      </c>
      <c r="AW74" s="167">
        <f t="shared" si="60"/>
        <v>0</v>
      </c>
      <c r="AX74" s="168">
        <f t="shared" si="61"/>
        <v>0</v>
      </c>
      <c r="AY74" s="166">
        <f t="shared" si="38"/>
        <v>0</v>
      </c>
      <c r="AZ74" s="167">
        <v>1000</v>
      </c>
      <c r="BA74" s="167">
        <f t="shared" si="74"/>
        <v>0</v>
      </c>
      <c r="BB74" s="161"/>
      <c r="BC74" s="162"/>
    </row>
    <row r="75" spans="1:55" ht="14.95" thickBot="1" x14ac:dyDescent="0.3">
      <c r="A75" s="220">
        <f>+A74</f>
        <v>46106</v>
      </c>
      <c r="B75" s="279">
        <f>DAY(Tabla2[[#This Row],[FECHA]])</f>
        <v>25</v>
      </c>
      <c r="C75" s="199" t="s">
        <v>29</v>
      </c>
      <c r="D75" s="200"/>
      <c r="E75" s="201"/>
      <c r="F75" s="202"/>
      <c r="G75" s="202"/>
      <c r="H75" s="201"/>
      <c r="I75" s="408">
        <f>((Tabla2[[#This Row],[VOLUMEN ENVIADO A RO (m3)]]/80)/3)*60</f>
        <v>80.07374999999999</v>
      </c>
      <c r="J75" s="397">
        <v>0</v>
      </c>
      <c r="K75" s="398">
        <v>112</v>
      </c>
      <c r="L75" s="399">
        <v>12</v>
      </c>
      <c r="M75" s="398">
        <v>0</v>
      </c>
      <c r="N75" s="399">
        <v>0</v>
      </c>
      <c r="O75" s="261">
        <f t="shared" si="45"/>
        <v>0</v>
      </c>
      <c r="P75" s="262">
        <f t="shared" si="46"/>
        <v>982.45614035087726</v>
      </c>
      <c r="Q75" s="262">
        <f t="shared" si="46"/>
        <v>105.26315789473685</v>
      </c>
      <c r="R75" s="262">
        <f t="shared" si="47"/>
        <v>0</v>
      </c>
      <c r="S75" s="262">
        <f t="shared" si="48"/>
        <v>0</v>
      </c>
      <c r="T75" s="257">
        <f t="shared" si="62"/>
        <v>0</v>
      </c>
      <c r="U75" s="258">
        <f t="shared" si="63"/>
        <v>0</v>
      </c>
      <c r="V75" s="258">
        <f t="shared" si="64"/>
        <v>0</v>
      </c>
      <c r="W75" s="258">
        <f t="shared" si="65"/>
        <v>0</v>
      </c>
      <c r="X75" s="259">
        <f t="shared" si="66"/>
        <v>0</v>
      </c>
      <c r="Y75" s="264">
        <v>1.18</v>
      </c>
      <c r="Z75" s="264">
        <v>1.28</v>
      </c>
      <c r="AA75" s="264">
        <v>1.2</v>
      </c>
      <c r="AB75" s="264">
        <v>1.53</v>
      </c>
      <c r="AC75" s="264">
        <v>1.2</v>
      </c>
      <c r="AD75" s="257">
        <f t="shared" si="49"/>
        <v>0</v>
      </c>
      <c r="AE75" s="258">
        <f t="shared" si="50"/>
        <v>0</v>
      </c>
      <c r="AF75" s="258">
        <f t="shared" si="51"/>
        <v>0</v>
      </c>
      <c r="AG75" s="258">
        <f t="shared" si="52"/>
        <v>0</v>
      </c>
      <c r="AH75" s="259">
        <f t="shared" si="53"/>
        <v>0</v>
      </c>
      <c r="AI75" s="431">
        <v>320.29500000000002</v>
      </c>
      <c r="AJ75" s="195">
        <f t="shared" si="54"/>
        <v>0</v>
      </c>
      <c r="AK75" s="196">
        <f t="shared" si="55"/>
        <v>0</v>
      </c>
      <c r="AL75" s="196">
        <f t="shared" si="56"/>
        <v>0</v>
      </c>
      <c r="AM75" s="196">
        <f t="shared" si="57"/>
        <v>0</v>
      </c>
      <c r="AN75" s="197">
        <f t="shared" si="58"/>
        <v>0</v>
      </c>
      <c r="AO75" s="166">
        <f t="shared" si="67"/>
        <v>1550</v>
      </c>
      <c r="AP75" s="167">
        <f t="shared" si="68"/>
        <v>19160</v>
      </c>
      <c r="AQ75" s="167">
        <f t="shared" si="69"/>
        <v>36239</v>
      </c>
      <c r="AR75" s="167">
        <f t="shared" si="70"/>
        <v>1560</v>
      </c>
      <c r="AS75" s="168">
        <f t="shared" si="71"/>
        <v>3640</v>
      </c>
      <c r="AT75" s="166">
        <f t="shared" si="59"/>
        <v>0</v>
      </c>
      <c r="AU75" s="167">
        <f t="shared" si="72"/>
        <v>0</v>
      </c>
      <c r="AV75" s="167">
        <f t="shared" si="73"/>
        <v>0</v>
      </c>
      <c r="AW75" s="167">
        <f t="shared" si="60"/>
        <v>0</v>
      </c>
      <c r="AX75" s="168">
        <f t="shared" si="61"/>
        <v>0</v>
      </c>
      <c r="AY75" s="166">
        <f t="shared" si="38"/>
        <v>0</v>
      </c>
      <c r="AZ75" s="167">
        <v>1000</v>
      </c>
      <c r="BA75" s="167">
        <f>AY75/AI75</f>
        <v>0</v>
      </c>
      <c r="BB75" s="161"/>
      <c r="BC75" s="162"/>
    </row>
    <row r="76" spans="1:55" ht="14.95" thickBot="1" x14ac:dyDescent="0.3">
      <c r="A76" s="221">
        <f>+A75</f>
        <v>46106</v>
      </c>
      <c r="B76" s="280">
        <f>DAY(Tabla2[[#This Row],[FECHA]])</f>
        <v>25</v>
      </c>
      <c r="C76" s="204" t="s">
        <v>30</v>
      </c>
      <c r="D76" s="205"/>
      <c r="E76" s="206"/>
      <c r="F76" s="207"/>
      <c r="G76" s="208"/>
      <c r="H76" s="209"/>
      <c r="I76" s="408">
        <f>((Tabla2[[#This Row],[VOLUMEN ENVIADO A RO (m3)]]/80)/3)*60</f>
        <v>81.674249999999986</v>
      </c>
      <c r="J76" s="400">
        <v>0</v>
      </c>
      <c r="K76" s="401">
        <v>112</v>
      </c>
      <c r="L76" s="402">
        <v>12</v>
      </c>
      <c r="M76" s="401">
        <v>0</v>
      </c>
      <c r="N76" s="402">
        <v>0</v>
      </c>
      <c r="O76" s="261">
        <f t="shared" si="45"/>
        <v>0</v>
      </c>
      <c r="P76" s="266">
        <f t="shared" si="46"/>
        <v>982.45614035087726</v>
      </c>
      <c r="Q76" s="266">
        <f t="shared" si="46"/>
        <v>105.26315789473685</v>
      </c>
      <c r="R76" s="266">
        <f t="shared" si="47"/>
        <v>0</v>
      </c>
      <c r="S76" s="266">
        <f t="shared" si="48"/>
        <v>0</v>
      </c>
      <c r="T76" s="257">
        <f t="shared" si="62"/>
        <v>0</v>
      </c>
      <c r="U76" s="258">
        <f t="shared" si="63"/>
        <v>87.719298245614027</v>
      </c>
      <c r="V76" s="258">
        <f t="shared" si="64"/>
        <v>0</v>
      </c>
      <c r="W76" s="258">
        <f t="shared" si="65"/>
        <v>0</v>
      </c>
      <c r="X76" s="259">
        <f t="shared" si="66"/>
        <v>0</v>
      </c>
      <c r="Y76" s="264">
        <v>1.18</v>
      </c>
      <c r="Z76" s="264">
        <v>1.28</v>
      </c>
      <c r="AA76" s="264">
        <v>1.2</v>
      </c>
      <c r="AB76" s="264">
        <v>1.53</v>
      </c>
      <c r="AC76" s="264">
        <v>1.2</v>
      </c>
      <c r="AD76" s="268">
        <f t="shared" si="49"/>
        <v>0</v>
      </c>
      <c r="AE76" s="269">
        <f t="shared" si="50"/>
        <v>112.28070175438596</v>
      </c>
      <c r="AF76" s="269">
        <f t="shared" si="51"/>
        <v>0</v>
      </c>
      <c r="AG76" s="269">
        <f t="shared" si="52"/>
        <v>0</v>
      </c>
      <c r="AH76" s="270">
        <f t="shared" si="53"/>
        <v>0</v>
      </c>
      <c r="AI76" s="432">
        <v>326.697</v>
      </c>
      <c r="AJ76" s="210">
        <f t="shared" si="54"/>
        <v>0</v>
      </c>
      <c r="AK76" s="211">
        <f t="shared" si="55"/>
        <v>343.68452037939119</v>
      </c>
      <c r="AL76" s="211">
        <f t="shared" si="56"/>
        <v>0</v>
      </c>
      <c r="AM76" s="211">
        <f t="shared" si="57"/>
        <v>0</v>
      </c>
      <c r="AN76" s="212">
        <f t="shared" si="58"/>
        <v>0</v>
      </c>
      <c r="AO76" s="166">
        <f t="shared" si="67"/>
        <v>1550</v>
      </c>
      <c r="AP76" s="167">
        <f t="shared" si="68"/>
        <v>19160</v>
      </c>
      <c r="AQ76" s="167">
        <f t="shared" si="69"/>
        <v>36239</v>
      </c>
      <c r="AR76" s="167">
        <f t="shared" si="70"/>
        <v>1560</v>
      </c>
      <c r="AS76" s="168">
        <f t="shared" si="71"/>
        <v>3640</v>
      </c>
      <c r="AT76" s="169">
        <f t="shared" si="59"/>
        <v>0</v>
      </c>
      <c r="AU76" s="170">
        <f t="shared" si="72"/>
        <v>25815.57894736842</v>
      </c>
      <c r="AV76" s="170">
        <f t="shared" si="73"/>
        <v>0</v>
      </c>
      <c r="AW76" s="170">
        <f t="shared" si="60"/>
        <v>0</v>
      </c>
      <c r="AX76" s="171">
        <f t="shared" si="61"/>
        <v>0</v>
      </c>
      <c r="AY76" s="169">
        <f t="shared" si="38"/>
        <v>25815.57894736842</v>
      </c>
      <c r="AZ76" s="170">
        <v>1000</v>
      </c>
      <c r="BA76" s="170">
        <f t="shared" si="74"/>
        <v>79.019944925629616</v>
      </c>
      <c r="BB76" s="160"/>
      <c r="BC76" s="163"/>
    </row>
    <row r="77" spans="1:55" ht="14.95" thickBot="1" x14ac:dyDescent="0.3">
      <c r="A77" s="213">
        <f>+A76+1</f>
        <v>46107</v>
      </c>
      <c r="B77" s="281">
        <f>DAY(Tabla2[[#This Row],[FECHA]])</f>
        <v>26</v>
      </c>
      <c r="C77" s="225" t="s">
        <v>28</v>
      </c>
      <c r="D77" s="214"/>
      <c r="E77" s="215"/>
      <c r="F77" s="216"/>
      <c r="G77" s="216"/>
      <c r="H77" s="215"/>
      <c r="I77" s="408">
        <f>((Tabla2[[#This Row],[VOLUMEN ENVIADO A RO (m3)]]/80)/3)*60</f>
        <v>77.585000000000008</v>
      </c>
      <c r="J77" s="394">
        <v>0</v>
      </c>
      <c r="K77" s="394">
        <v>102</v>
      </c>
      <c r="L77" s="396">
        <v>12</v>
      </c>
      <c r="M77" s="395">
        <v>0</v>
      </c>
      <c r="N77" s="396">
        <v>0</v>
      </c>
      <c r="O77" s="261">
        <f t="shared" si="45"/>
        <v>0</v>
      </c>
      <c r="P77" s="272">
        <f t="shared" si="46"/>
        <v>894.73684210526324</v>
      </c>
      <c r="Q77" s="255">
        <f t="shared" si="46"/>
        <v>105.26315789473685</v>
      </c>
      <c r="R77" s="272">
        <f t="shared" si="47"/>
        <v>0</v>
      </c>
      <c r="S77" s="272">
        <f t="shared" si="48"/>
        <v>0</v>
      </c>
      <c r="T77" s="257">
        <f t="shared" si="62"/>
        <v>0</v>
      </c>
      <c r="U77" s="258">
        <f t="shared" si="63"/>
        <v>0</v>
      </c>
      <c r="V77" s="258">
        <f t="shared" si="64"/>
        <v>0</v>
      </c>
      <c r="W77" s="258">
        <f t="shared" si="65"/>
        <v>0</v>
      </c>
      <c r="X77" s="259">
        <f t="shared" si="66"/>
        <v>0</v>
      </c>
      <c r="Y77" s="264">
        <v>1.18</v>
      </c>
      <c r="Z77" s="264">
        <v>1.28</v>
      </c>
      <c r="AA77" s="264">
        <v>1.2</v>
      </c>
      <c r="AB77" s="264">
        <v>1.53</v>
      </c>
      <c r="AC77" s="264">
        <v>1.2</v>
      </c>
      <c r="AD77" s="273">
        <f t="shared" si="49"/>
        <v>0</v>
      </c>
      <c r="AE77" s="274">
        <f t="shared" si="50"/>
        <v>0</v>
      </c>
      <c r="AF77" s="274">
        <f t="shared" si="51"/>
        <v>0</v>
      </c>
      <c r="AG77" s="274">
        <f t="shared" si="52"/>
        <v>0</v>
      </c>
      <c r="AH77" s="275">
        <f t="shared" si="53"/>
        <v>0</v>
      </c>
      <c r="AI77" s="430">
        <v>310.33999999999997</v>
      </c>
      <c r="AJ77" s="217">
        <f t="shared" si="54"/>
        <v>0</v>
      </c>
      <c r="AK77" s="218">
        <f t="shared" si="55"/>
        <v>0</v>
      </c>
      <c r="AL77" s="218">
        <f t="shared" si="56"/>
        <v>0</v>
      </c>
      <c r="AM77" s="218">
        <f t="shared" si="57"/>
        <v>0</v>
      </c>
      <c r="AN77" s="219">
        <f t="shared" si="58"/>
        <v>0</v>
      </c>
      <c r="AO77" s="166">
        <f t="shared" si="67"/>
        <v>1550</v>
      </c>
      <c r="AP77" s="167">
        <f t="shared" si="68"/>
        <v>19160</v>
      </c>
      <c r="AQ77" s="167">
        <f t="shared" si="69"/>
        <v>36239</v>
      </c>
      <c r="AR77" s="167">
        <f t="shared" si="70"/>
        <v>1560</v>
      </c>
      <c r="AS77" s="168">
        <f t="shared" si="71"/>
        <v>3640</v>
      </c>
      <c r="AT77" s="166">
        <f t="shared" si="59"/>
        <v>0</v>
      </c>
      <c r="AU77" s="167">
        <f t="shared" si="72"/>
        <v>0</v>
      </c>
      <c r="AV77" s="167">
        <f t="shared" si="73"/>
        <v>0</v>
      </c>
      <c r="AW77" s="167">
        <f t="shared" si="60"/>
        <v>0</v>
      </c>
      <c r="AX77" s="168">
        <f t="shared" si="61"/>
        <v>0</v>
      </c>
      <c r="AY77" s="166">
        <f t="shared" si="38"/>
        <v>0</v>
      </c>
      <c r="AZ77" s="167">
        <v>1000</v>
      </c>
      <c r="BA77" s="167">
        <f t="shared" si="74"/>
        <v>0</v>
      </c>
      <c r="BB77" s="161"/>
      <c r="BC77" s="162"/>
    </row>
    <row r="78" spans="1:55" ht="14.95" thickBot="1" x14ac:dyDescent="0.3">
      <c r="A78" s="220">
        <f>+A77</f>
        <v>46107</v>
      </c>
      <c r="B78" s="279">
        <f>DAY(Tabla2[[#This Row],[FECHA]])</f>
        <v>26</v>
      </c>
      <c r="C78" s="199" t="s">
        <v>29</v>
      </c>
      <c r="D78" s="200"/>
      <c r="E78" s="201"/>
      <c r="F78" s="202"/>
      <c r="G78" s="202"/>
      <c r="H78" s="201"/>
      <c r="I78" s="408">
        <f>((Tabla2[[#This Row],[VOLUMEN ENVIADO A RO (m3)]]/80)/3)*60</f>
        <v>72.6815</v>
      </c>
      <c r="J78" s="397">
        <v>0</v>
      </c>
      <c r="K78" s="398">
        <v>102</v>
      </c>
      <c r="L78" s="399">
        <v>12</v>
      </c>
      <c r="M78" s="398">
        <v>0</v>
      </c>
      <c r="N78" s="399">
        <v>0</v>
      </c>
      <c r="O78" s="261">
        <f t="shared" si="45"/>
        <v>0</v>
      </c>
      <c r="P78" s="262">
        <f t="shared" si="46"/>
        <v>894.73684210526324</v>
      </c>
      <c r="Q78" s="262">
        <f t="shared" si="46"/>
        <v>105.26315789473685</v>
      </c>
      <c r="R78" s="262">
        <f t="shared" si="47"/>
        <v>0</v>
      </c>
      <c r="S78" s="262">
        <f t="shared" si="48"/>
        <v>0</v>
      </c>
      <c r="T78" s="257">
        <f t="shared" si="62"/>
        <v>0</v>
      </c>
      <c r="U78" s="258">
        <f t="shared" si="63"/>
        <v>140.35087719298247</v>
      </c>
      <c r="V78" s="258">
        <f t="shared" si="64"/>
        <v>0</v>
      </c>
      <c r="W78" s="258">
        <f t="shared" si="65"/>
        <v>0</v>
      </c>
      <c r="X78" s="259">
        <f t="shared" si="66"/>
        <v>0</v>
      </c>
      <c r="Y78" s="264">
        <v>1.18</v>
      </c>
      <c r="Z78" s="264">
        <v>1.28</v>
      </c>
      <c r="AA78" s="264">
        <v>1.2</v>
      </c>
      <c r="AB78" s="264">
        <v>1.53</v>
      </c>
      <c r="AC78" s="264">
        <v>1.2</v>
      </c>
      <c r="AD78" s="257">
        <f t="shared" si="49"/>
        <v>0</v>
      </c>
      <c r="AE78" s="258">
        <f t="shared" si="50"/>
        <v>179.64912280701756</v>
      </c>
      <c r="AF78" s="258">
        <f t="shared" si="51"/>
        <v>0</v>
      </c>
      <c r="AG78" s="258">
        <f t="shared" si="52"/>
        <v>0</v>
      </c>
      <c r="AH78" s="259">
        <f t="shared" si="53"/>
        <v>0</v>
      </c>
      <c r="AI78" s="431">
        <v>290.726</v>
      </c>
      <c r="AJ78" s="195">
        <f t="shared" si="54"/>
        <v>0</v>
      </c>
      <c r="AK78" s="196">
        <f t="shared" si="55"/>
        <v>617.93277108692564</v>
      </c>
      <c r="AL78" s="196">
        <f t="shared" si="56"/>
        <v>0</v>
      </c>
      <c r="AM78" s="196">
        <f t="shared" si="57"/>
        <v>0</v>
      </c>
      <c r="AN78" s="197">
        <f t="shared" si="58"/>
        <v>0</v>
      </c>
      <c r="AO78" s="166">
        <f t="shared" si="67"/>
        <v>1550</v>
      </c>
      <c r="AP78" s="167">
        <f t="shared" si="68"/>
        <v>19160</v>
      </c>
      <c r="AQ78" s="167">
        <f t="shared" si="69"/>
        <v>36239</v>
      </c>
      <c r="AR78" s="167">
        <f t="shared" si="70"/>
        <v>1560</v>
      </c>
      <c r="AS78" s="168">
        <f t="shared" si="71"/>
        <v>3640</v>
      </c>
      <c r="AT78" s="166">
        <f t="shared" si="59"/>
        <v>0</v>
      </c>
      <c r="AU78" s="167">
        <f t="shared" si="72"/>
        <v>41304.926315789482</v>
      </c>
      <c r="AV78" s="167">
        <f t="shared" si="73"/>
        <v>0</v>
      </c>
      <c r="AW78" s="167">
        <f t="shared" si="60"/>
        <v>0</v>
      </c>
      <c r="AX78" s="168">
        <f t="shared" si="61"/>
        <v>0</v>
      </c>
      <c r="AY78" s="166">
        <f t="shared" si="38"/>
        <v>41304.926315789482</v>
      </c>
      <c r="AZ78" s="167">
        <v>1000</v>
      </c>
      <c r="BA78" s="167">
        <f t="shared" si="74"/>
        <v>142.07510272830598</v>
      </c>
      <c r="BB78" s="161"/>
      <c r="BC78" s="162"/>
    </row>
    <row r="79" spans="1:55" ht="14.95" thickBot="1" x14ac:dyDescent="0.3">
      <c r="A79" s="221">
        <f>+A78</f>
        <v>46107</v>
      </c>
      <c r="B79" s="280">
        <f>DAY(Tabla2[[#This Row],[FECHA]])</f>
        <v>26</v>
      </c>
      <c r="C79" s="204" t="s">
        <v>30</v>
      </c>
      <c r="D79" s="205"/>
      <c r="E79" s="206"/>
      <c r="F79" s="207"/>
      <c r="G79" s="208"/>
      <c r="H79" s="209"/>
      <c r="I79" s="408">
        <f>((Tabla2[[#This Row],[VOLUMEN ENVIADO A RO (m3)]]/80)/3)*60</f>
        <v>68.158249999999995</v>
      </c>
      <c r="J79" s="400">
        <v>0</v>
      </c>
      <c r="K79" s="401">
        <v>86</v>
      </c>
      <c r="L79" s="402">
        <v>12</v>
      </c>
      <c r="M79" s="401">
        <v>0</v>
      </c>
      <c r="N79" s="402">
        <v>0</v>
      </c>
      <c r="O79" s="261">
        <f t="shared" si="45"/>
        <v>0</v>
      </c>
      <c r="P79" s="266">
        <f t="shared" si="46"/>
        <v>754.38596491228077</v>
      </c>
      <c r="Q79" s="266">
        <f t="shared" si="46"/>
        <v>105.26315789473685</v>
      </c>
      <c r="R79" s="266">
        <f t="shared" si="47"/>
        <v>0</v>
      </c>
      <c r="S79" s="266">
        <f t="shared" si="48"/>
        <v>0</v>
      </c>
      <c r="T79" s="257">
        <f t="shared" si="62"/>
        <v>0</v>
      </c>
      <c r="U79" s="258">
        <f t="shared" si="63"/>
        <v>122.80701754385973</v>
      </c>
      <c r="V79" s="258">
        <f t="shared" si="64"/>
        <v>0</v>
      </c>
      <c r="W79" s="258">
        <f t="shared" si="65"/>
        <v>0</v>
      </c>
      <c r="X79" s="259">
        <f t="shared" si="66"/>
        <v>0</v>
      </c>
      <c r="Y79" s="264">
        <v>1.18</v>
      </c>
      <c r="Z79" s="264">
        <v>1.28</v>
      </c>
      <c r="AA79" s="264">
        <v>1.2</v>
      </c>
      <c r="AB79" s="264">
        <v>1.53</v>
      </c>
      <c r="AC79" s="264">
        <v>1.2</v>
      </c>
      <c r="AD79" s="268">
        <f t="shared" si="49"/>
        <v>0</v>
      </c>
      <c r="AE79" s="269">
        <f t="shared" si="50"/>
        <v>157.19298245614047</v>
      </c>
      <c r="AF79" s="269">
        <f t="shared" si="51"/>
        <v>0</v>
      </c>
      <c r="AG79" s="269">
        <f t="shared" si="52"/>
        <v>0</v>
      </c>
      <c r="AH79" s="270">
        <f t="shared" si="53"/>
        <v>0</v>
      </c>
      <c r="AI79" s="432">
        <v>272.63299999999998</v>
      </c>
      <c r="AJ79" s="210">
        <f t="shared" si="54"/>
        <v>0</v>
      </c>
      <c r="AK79" s="211">
        <f t="shared" si="55"/>
        <v>576.57357127031753</v>
      </c>
      <c r="AL79" s="211">
        <f t="shared" si="56"/>
        <v>0</v>
      </c>
      <c r="AM79" s="211">
        <f t="shared" si="57"/>
        <v>0</v>
      </c>
      <c r="AN79" s="212">
        <f t="shared" si="58"/>
        <v>0</v>
      </c>
      <c r="AO79" s="166">
        <f t="shared" si="67"/>
        <v>1550</v>
      </c>
      <c r="AP79" s="167">
        <f t="shared" si="68"/>
        <v>19160</v>
      </c>
      <c r="AQ79" s="167">
        <f t="shared" si="69"/>
        <v>36239</v>
      </c>
      <c r="AR79" s="167">
        <f t="shared" si="70"/>
        <v>1560</v>
      </c>
      <c r="AS79" s="168">
        <f t="shared" si="71"/>
        <v>3640</v>
      </c>
      <c r="AT79" s="169">
        <f t="shared" si="59"/>
        <v>0</v>
      </c>
      <c r="AU79" s="170">
        <f t="shared" si="72"/>
        <v>36141.810526315821</v>
      </c>
      <c r="AV79" s="170">
        <f t="shared" si="73"/>
        <v>0</v>
      </c>
      <c r="AW79" s="170">
        <f t="shared" si="60"/>
        <v>0</v>
      </c>
      <c r="AX79" s="171">
        <f t="shared" si="61"/>
        <v>0</v>
      </c>
      <c r="AY79" s="169">
        <f t="shared" si="38"/>
        <v>36141.810526315821</v>
      </c>
      <c r="AZ79" s="170">
        <v>1000</v>
      </c>
      <c r="BA79" s="170">
        <f t="shared" si="74"/>
        <v>132.56579550647143</v>
      </c>
      <c r="BB79" s="160"/>
      <c r="BC79" s="163"/>
    </row>
    <row r="80" spans="1:55" ht="14.95" thickBot="1" x14ac:dyDescent="0.3">
      <c r="A80" s="213">
        <f>+A79+1</f>
        <v>46108</v>
      </c>
      <c r="B80" s="281">
        <f>DAY(Tabla2[[#This Row],[FECHA]])</f>
        <v>27</v>
      </c>
      <c r="C80" s="225" t="s">
        <v>28</v>
      </c>
      <c r="D80" s="214"/>
      <c r="E80" s="215"/>
      <c r="F80" s="216"/>
      <c r="G80" s="216"/>
      <c r="H80" s="215"/>
      <c r="I80" s="408">
        <f>((Tabla2[[#This Row],[VOLUMEN ENVIADO A RO (m3)]]/80)/3)*60</f>
        <v>86.86099999999999</v>
      </c>
      <c r="J80" s="394">
        <v>0</v>
      </c>
      <c r="K80" s="394">
        <v>72</v>
      </c>
      <c r="L80" s="396">
        <v>12</v>
      </c>
      <c r="M80" s="395">
        <v>0</v>
      </c>
      <c r="N80" s="396">
        <v>0</v>
      </c>
      <c r="O80" s="261">
        <f t="shared" si="45"/>
        <v>0</v>
      </c>
      <c r="P80" s="272">
        <f t="shared" si="46"/>
        <v>631.57894736842104</v>
      </c>
      <c r="Q80" s="255">
        <f t="shared" si="46"/>
        <v>105.26315789473685</v>
      </c>
      <c r="R80" s="272">
        <f t="shared" si="47"/>
        <v>0</v>
      </c>
      <c r="S80" s="272">
        <f t="shared" si="48"/>
        <v>0</v>
      </c>
      <c r="T80" s="257">
        <f t="shared" si="62"/>
        <v>0</v>
      </c>
      <c r="U80" s="258">
        <f t="shared" si="63"/>
        <v>17.543859649122737</v>
      </c>
      <c r="V80" s="258">
        <f t="shared" si="64"/>
        <v>0</v>
      </c>
      <c r="W80" s="258">
        <f t="shared" si="65"/>
        <v>0</v>
      </c>
      <c r="X80" s="259">
        <f t="shared" si="66"/>
        <v>0</v>
      </c>
      <c r="Y80" s="264">
        <v>1.18</v>
      </c>
      <c r="Z80" s="264">
        <v>1.28</v>
      </c>
      <c r="AA80" s="264">
        <v>1.2</v>
      </c>
      <c r="AB80" s="264">
        <v>1.53</v>
      </c>
      <c r="AC80" s="264">
        <v>1.2</v>
      </c>
      <c r="AD80" s="273">
        <f t="shared" si="49"/>
        <v>0</v>
      </c>
      <c r="AE80" s="274">
        <f t="shared" si="50"/>
        <v>22.456140350877103</v>
      </c>
      <c r="AF80" s="274">
        <f t="shared" si="51"/>
        <v>0</v>
      </c>
      <c r="AG80" s="274">
        <f t="shared" si="52"/>
        <v>0</v>
      </c>
      <c r="AH80" s="275">
        <f t="shared" si="53"/>
        <v>0</v>
      </c>
      <c r="AI80" s="430">
        <v>347.44400000000002</v>
      </c>
      <c r="AJ80" s="217">
        <f t="shared" si="54"/>
        <v>0</v>
      </c>
      <c r="AK80" s="218">
        <f t="shared" si="55"/>
        <v>64.632402202591223</v>
      </c>
      <c r="AL80" s="218">
        <f t="shared" si="56"/>
        <v>0</v>
      </c>
      <c r="AM80" s="218">
        <f t="shared" si="57"/>
        <v>0</v>
      </c>
      <c r="AN80" s="219">
        <f t="shared" si="58"/>
        <v>0</v>
      </c>
      <c r="AO80" s="166">
        <f t="shared" si="67"/>
        <v>1550</v>
      </c>
      <c r="AP80" s="167">
        <f t="shared" si="68"/>
        <v>19160</v>
      </c>
      <c r="AQ80" s="167">
        <f t="shared" si="69"/>
        <v>36239</v>
      </c>
      <c r="AR80" s="167">
        <f t="shared" si="70"/>
        <v>1560</v>
      </c>
      <c r="AS80" s="168">
        <f t="shared" si="71"/>
        <v>3640</v>
      </c>
      <c r="AT80" s="166">
        <f t="shared" si="59"/>
        <v>0</v>
      </c>
      <c r="AU80" s="167">
        <f t="shared" si="72"/>
        <v>5163.1157894736643</v>
      </c>
      <c r="AV80" s="167">
        <f t="shared" si="73"/>
        <v>0</v>
      </c>
      <c r="AW80" s="167">
        <f t="shared" si="60"/>
        <v>0</v>
      </c>
      <c r="AX80" s="168">
        <f t="shared" si="61"/>
        <v>0</v>
      </c>
      <c r="AY80" s="166">
        <f t="shared" si="38"/>
        <v>5163.1157894736643</v>
      </c>
      <c r="AZ80" s="167">
        <v>1000</v>
      </c>
      <c r="BA80" s="167">
        <f t="shared" si="74"/>
        <v>14.860281914419774</v>
      </c>
      <c r="BB80" s="161"/>
      <c r="BC80" s="162"/>
    </row>
    <row r="81" spans="1:55" ht="14.95" thickBot="1" x14ac:dyDescent="0.3">
      <c r="A81" s="220">
        <f>+A80</f>
        <v>46108</v>
      </c>
      <c r="B81" s="279">
        <f>DAY(Tabla2[[#This Row],[FECHA]])</f>
        <v>27</v>
      </c>
      <c r="C81" s="199" t="s">
        <v>29</v>
      </c>
      <c r="D81" s="200"/>
      <c r="E81" s="201"/>
      <c r="F81" s="202"/>
      <c r="G81" s="202"/>
      <c r="H81" s="201"/>
      <c r="I81" s="408">
        <f>((Tabla2[[#This Row],[VOLUMEN ENVIADO A RO (m3)]]/80)/3)*60</f>
        <v>66.694999999999993</v>
      </c>
      <c r="J81" s="397">
        <v>0</v>
      </c>
      <c r="K81" s="398">
        <v>70</v>
      </c>
      <c r="L81" s="399">
        <v>12</v>
      </c>
      <c r="M81" s="398">
        <v>0</v>
      </c>
      <c r="N81" s="399">
        <v>0</v>
      </c>
      <c r="O81" s="261">
        <f t="shared" si="45"/>
        <v>0</v>
      </c>
      <c r="P81" s="262">
        <f t="shared" si="46"/>
        <v>614.0350877192983</v>
      </c>
      <c r="Q81" s="262">
        <f t="shared" si="46"/>
        <v>105.26315789473685</v>
      </c>
      <c r="R81" s="262">
        <f t="shared" si="47"/>
        <v>0</v>
      </c>
      <c r="S81" s="262">
        <f t="shared" si="48"/>
        <v>0</v>
      </c>
      <c r="T81" s="257">
        <f t="shared" si="62"/>
        <v>0</v>
      </c>
      <c r="U81" s="258">
        <f t="shared" si="63"/>
        <v>0</v>
      </c>
      <c r="V81" s="258">
        <f>Q81-Q82</f>
        <v>0</v>
      </c>
      <c r="W81" s="258">
        <f t="shared" si="65"/>
        <v>0</v>
      </c>
      <c r="X81" s="259">
        <f t="shared" si="66"/>
        <v>0</v>
      </c>
      <c r="Y81" s="264">
        <v>1.18</v>
      </c>
      <c r="Z81" s="264">
        <v>1.28</v>
      </c>
      <c r="AA81" s="264">
        <v>1.2</v>
      </c>
      <c r="AB81" s="264">
        <v>1.53</v>
      </c>
      <c r="AC81" s="264">
        <v>1.2</v>
      </c>
      <c r="AD81" s="257">
        <f t="shared" si="49"/>
        <v>0</v>
      </c>
      <c r="AE81" s="258">
        <f t="shared" si="50"/>
        <v>0</v>
      </c>
      <c r="AF81" s="258">
        <f>V81*AA81</f>
        <v>0</v>
      </c>
      <c r="AG81" s="258">
        <f t="shared" si="52"/>
        <v>0</v>
      </c>
      <c r="AH81" s="259">
        <f t="shared" si="53"/>
        <v>0</v>
      </c>
      <c r="AI81" s="431">
        <v>266.77999999999997</v>
      </c>
      <c r="AJ81" s="195">
        <f t="shared" si="54"/>
        <v>0</v>
      </c>
      <c r="AK81" s="196">
        <f t="shared" si="55"/>
        <v>0</v>
      </c>
      <c r="AL81" s="196">
        <f t="shared" si="56"/>
        <v>0</v>
      </c>
      <c r="AM81" s="196">
        <f t="shared" si="57"/>
        <v>0</v>
      </c>
      <c r="AN81" s="197">
        <f t="shared" si="58"/>
        <v>0</v>
      </c>
      <c r="AO81" s="166">
        <f t="shared" si="67"/>
        <v>1550</v>
      </c>
      <c r="AP81" s="167">
        <f t="shared" si="68"/>
        <v>19160</v>
      </c>
      <c r="AQ81" s="167">
        <f t="shared" si="69"/>
        <v>36239</v>
      </c>
      <c r="AR81" s="167">
        <f t="shared" si="70"/>
        <v>1560</v>
      </c>
      <c r="AS81" s="168">
        <f t="shared" si="71"/>
        <v>3640</v>
      </c>
      <c r="AT81" s="166">
        <f t="shared" si="59"/>
        <v>0</v>
      </c>
      <c r="AU81" s="167">
        <f t="shared" si="72"/>
        <v>0</v>
      </c>
      <c r="AV81" s="167">
        <f>AQ81*(AF81*0.044)</f>
        <v>0</v>
      </c>
      <c r="AW81" s="167">
        <f t="shared" si="60"/>
        <v>0</v>
      </c>
      <c r="AX81" s="168">
        <f t="shared" si="61"/>
        <v>0</v>
      </c>
      <c r="AY81" s="166">
        <f t="shared" si="38"/>
        <v>0</v>
      </c>
      <c r="AZ81" s="167">
        <v>1000</v>
      </c>
      <c r="BA81" s="167">
        <f>AY81/AI81</f>
        <v>0</v>
      </c>
      <c r="BB81" s="161"/>
      <c r="BC81" s="162"/>
    </row>
    <row r="82" spans="1:55" ht="14.95" thickBot="1" x14ac:dyDescent="0.3">
      <c r="A82" s="221">
        <f>+A81</f>
        <v>46108</v>
      </c>
      <c r="B82" s="280">
        <f>DAY(Tabla2[[#This Row],[FECHA]])</f>
        <v>27</v>
      </c>
      <c r="C82" s="204" t="s">
        <v>30</v>
      </c>
      <c r="D82" s="205"/>
      <c r="E82" s="206"/>
      <c r="F82" s="207"/>
      <c r="G82" s="208"/>
      <c r="H82" s="209"/>
      <c r="I82" s="408">
        <f>((Tabla2[[#This Row],[VOLUMEN ENVIADO A RO (m3)]]/80)/3)*60</f>
        <v>56.869250000000008</v>
      </c>
      <c r="J82" s="400">
        <v>0</v>
      </c>
      <c r="K82" s="398">
        <v>70</v>
      </c>
      <c r="L82" s="402">
        <v>12</v>
      </c>
      <c r="M82" s="401">
        <v>0</v>
      </c>
      <c r="N82" s="402">
        <v>0</v>
      </c>
      <c r="O82" s="261">
        <f t="shared" si="45"/>
        <v>0</v>
      </c>
      <c r="P82" s="266">
        <f t="shared" si="46"/>
        <v>614.0350877192983</v>
      </c>
      <c r="Q82" s="266">
        <f t="shared" si="46"/>
        <v>105.26315789473685</v>
      </c>
      <c r="R82" s="266">
        <f t="shared" si="47"/>
        <v>0</v>
      </c>
      <c r="S82" s="266">
        <f t="shared" si="48"/>
        <v>0</v>
      </c>
      <c r="T82" s="257">
        <f t="shared" si="62"/>
        <v>0</v>
      </c>
      <c r="U82" s="258">
        <f t="shared" si="63"/>
        <v>166.66666666666669</v>
      </c>
      <c r="V82" s="258">
        <f t="shared" si="64"/>
        <v>0</v>
      </c>
      <c r="W82" s="258">
        <f t="shared" si="65"/>
        <v>0</v>
      </c>
      <c r="X82" s="259">
        <f t="shared" si="66"/>
        <v>0</v>
      </c>
      <c r="Y82" s="264">
        <v>1.18</v>
      </c>
      <c r="Z82" s="264">
        <v>1.28</v>
      </c>
      <c r="AA82" s="264">
        <v>1.2</v>
      </c>
      <c r="AB82" s="264">
        <v>1.53</v>
      </c>
      <c r="AC82" s="264">
        <v>1.2</v>
      </c>
      <c r="AD82" s="268">
        <f t="shared" si="49"/>
        <v>0</v>
      </c>
      <c r="AE82" s="269">
        <f t="shared" si="50"/>
        <v>213.33333333333337</v>
      </c>
      <c r="AF82" s="269">
        <f t="shared" si="51"/>
        <v>0</v>
      </c>
      <c r="AG82" s="269">
        <f t="shared" si="52"/>
        <v>0</v>
      </c>
      <c r="AH82" s="270">
        <f t="shared" si="53"/>
        <v>0</v>
      </c>
      <c r="AI82" s="432">
        <v>227.477</v>
      </c>
      <c r="AJ82" s="210">
        <f t="shared" si="54"/>
        <v>0</v>
      </c>
      <c r="AK82" s="211">
        <f t="shared" si="55"/>
        <v>937.82375067955604</v>
      </c>
      <c r="AL82" s="211">
        <f t="shared" si="56"/>
        <v>0</v>
      </c>
      <c r="AM82" s="211">
        <f t="shared" si="57"/>
        <v>0</v>
      </c>
      <c r="AN82" s="212">
        <f t="shared" si="58"/>
        <v>0</v>
      </c>
      <c r="AO82" s="166">
        <f t="shared" si="67"/>
        <v>1550</v>
      </c>
      <c r="AP82" s="167">
        <f t="shared" si="68"/>
        <v>19160</v>
      </c>
      <c r="AQ82" s="167">
        <f t="shared" si="69"/>
        <v>36239</v>
      </c>
      <c r="AR82" s="167">
        <f t="shared" si="70"/>
        <v>1560</v>
      </c>
      <c r="AS82" s="168">
        <f t="shared" si="71"/>
        <v>3640</v>
      </c>
      <c r="AT82" s="169">
        <f t="shared" si="59"/>
        <v>0</v>
      </c>
      <c r="AU82" s="170">
        <f t="shared" si="72"/>
        <v>49049.600000000013</v>
      </c>
      <c r="AV82" s="170">
        <f t="shared" si="73"/>
        <v>0</v>
      </c>
      <c r="AW82" s="170">
        <f t="shared" si="60"/>
        <v>0</v>
      </c>
      <c r="AX82" s="171">
        <f t="shared" si="61"/>
        <v>0</v>
      </c>
      <c r="AY82" s="169">
        <f t="shared" si="38"/>
        <v>49049.600000000013</v>
      </c>
      <c r="AZ82" s="170">
        <v>1000</v>
      </c>
      <c r="BA82" s="170">
        <f t="shared" si="74"/>
        <v>215.62443675624354</v>
      </c>
      <c r="BB82" s="160"/>
      <c r="BC82" s="163"/>
    </row>
    <row r="83" spans="1:55" ht="14.95" thickBot="1" x14ac:dyDescent="0.3">
      <c r="A83" s="213">
        <f>+A82+1</f>
        <v>46109</v>
      </c>
      <c r="B83" s="281">
        <f>DAY(Tabla2[[#This Row],[FECHA]])</f>
        <v>28</v>
      </c>
      <c r="C83" s="225" t="s">
        <v>28</v>
      </c>
      <c r="D83" s="214"/>
      <c r="E83" s="215"/>
      <c r="F83" s="216"/>
      <c r="G83" s="216"/>
      <c r="H83" s="215"/>
      <c r="I83" s="408">
        <f>((Tabla2[[#This Row],[VOLUMEN ENVIADO A RO (m3)]]/80)/3)*60</f>
        <v>73.777000000000001</v>
      </c>
      <c r="J83" s="394">
        <v>0</v>
      </c>
      <c r="K83" s="394">
        <v>51</v>
      </c>
      <c r="L83" s="396">
        <v>12</v>
      </c>
      <c r="M83" s="395">
        <v>0</v>
      </c>
      <c r="N83" s="396">
        <v>0</v>
      </c>
      <c r="O83" s="261">
        <f t="shared" si="45"/>
        <v>0</v>
      </c>
      <c r="P83" s="272">
        <f t="shared" si="46"/>
        <v>447.36842105263162</v>
      </c>
      <c r="Q83" s="255">
        <f t="shared" si="46"/>
        <v>105.26315789473685</v>
      </c>
      <c r="R83" s="272">
        <f t="shared" si="47"/>
        <v>0</v>
      </c>
      <c r="S83" s="272">
        <f t="shared" si="48"/>
        <v>0</v>
      </c>
      <c r="T83" s="257">
        <f t="shared" si="62"/>
        <v>0</v>
      </c>
      <c r="U83" s="258">
        <f t="shared" si="63"/>
        <v>8.7719298245614254</v>
      </c>
      <c r="V83" s="258">
        <f t="shared" si="64"/>
        <v>0</v>
      </c>
      <c r="W83" s="258">
        <f t="shared" si="65"/>
        <v>0</v>
      </c>
      <c r="X83" s="259">
        <f t="shared" si="66"/>
        <v>0</v>
      </c>
      <c r="Y83" s="264">
        <v>1.18</v>
      </c>
      <c r="Z83" s="264">
        <v>1.28</v>
      </c>
      <c r="AA83" s="264">
        <v>1.2</v>
      </c>
      <c r="AB83" s="264">
        <v>1.53</v>
      </c>
      <c r="AC83" s="264">
        <v>1.2</v>
      </c>
      <c r="AD83" s="273">
        <f t="shared" si="49"/>
        <v>0</v>
      </c>
      <c r="AE83" s="274">
        <f t="shared" si="50"/>
        <v>11.228070175438624</v>
      </c>
      <c r="AF83" s="274">
        <f t="shared" si="51"/>
        <v>0</v>
      </c>
      <c r="AG83" s="274">
        <f t="shared" si="52"/>
        <v>0</v>
      </c>
      <c r="AH83" s="275">
        <f t="shared" si="53"/>
        <v>0</v>
      </c>
      <c r="AI83" s="430">
        <v>295.108</v>
      </c>
      <c r="AJ83" s="217">
        <f t="shared" si="54"/>
        <v>0</v>
      </c>
      <c r="AK83" s="218">
        <f t="shared" si="55"/>
        <v>38.047325641590959</v>
      </c>
      <c r="AL83" s="218">
        <f t="shared" si="56"/>
        <v>0</v>
      </c>
      <c r="AM83" s="218">
        <f t="shared" si="57"/>
        <v>0</v>
      </c>
      <c r="AN83" s="219">
        <f t="shared" si="58"/>
        <v>0</v>
      </c>
      <c r="AO83" s="166">
        <f t="shared" si="67"/>
        <v>1550</v>
      </c>
      <c r="AP83" s="167">
        <f t="shared" si="68"/>
        <v>19160</v>
      </c>
      <c r="AQ83" s="167">
        <f t="shared" si="69"/>
        <v>36239</v>
      </c>
      <c r="AR83" s="167">
        <f t="shared" si="70"/>
        <v>1560</v>
      </c>
      <c r="AS83" s="168">
        <f t="shared" si="71"/>
        <v>3640</v>
      </c>
      <c r="AT83" s="166">
        <f t="shared" si="59"/>
        <v>0</v>
      </c>
      <c r="AU83" s="167">
        <f t="shared" si="72"/>
        <v>2581.5578947368485</v>
      </c>
      <c r="AV83" s="167">
        <f t="shared" si="73"/>
        <v>0</v>
      </c>
      <c r="AW83" s="167">
        <f t="shared" si="60"/>
        <v>0</v>
      </c>
      <c r="AX83" s="168">
        <f t="shared" si="61"/>
        <v>0</v>
      </c>
      <c r="AY83" s="166">
        <f t="shared" si="38"/>
        <v>2581.5578947368485</v>
      </c>
      <c r="AZ83" s="167">
        <v>1000</v>
      </c>
      <c r="BA83" s="167">
        <f t="shared" si="74"/>
        <v>8.7478411115145924</v>
      </c>
      <c r="BB83" s="161"/>
      <c r="BC83" s="162"/>
    </row>
    <row r="84" spans="1:55" ht="14.95" thickBot="1" x14ac:dyDescent="0.3">
      <c r="A84" s="220">
        <f>+A83</f>
        <v>46109</v>
      </c>
      <c r="B84" s="279">
        <f>DAY(Tabla2[[#This Row],[FECHA]])</f>
        <v>28</v>
      </c>
      <c r="C84" s="199" t="s">
        <v>29</v>
      </c>
      <c r="D84" s="200"/>
      <c r="E84" s="201"/>
      <c r="F84" s="202"/>
      <c r="G84" s="202"/>
      <c r="H84" s="201"/>
      <c r="I84" s="408">
        <f>((Tabla2[[#This Row],[VOLUMEN ENVIADO A RO (m3)]]/80)/3)*60</f>
        <v>0</v>
      </c>
      <c r="J84" s="397">
        <v>0</v>
      </c>
      <c r="K84" s="398">
        <v>50</v>
      </c>
      <c r="L84" s="399">
        <v>12</v>
      </c>
      <c r="M84" s="398">
        <v>0</v>
      </c>
      <c r="N84" s="399">
        <v>0</v>
      </c>
      <c r="O84" s="261">
        <f t="shared" si="45"/>
        <v>0</v>
      </c>
      <c r="P84" s="262">
        <f t="shared" si="46"/>
        <v>438.59649122807019</v>
      </c>
      <c r="Q84" s="262">
        <f t="shared" si="46"/>
        <v>105.26315789473685</v>
      </c>
      <c r="R84" s="262">
        <f t="shared" si="47"/>
        <v>0</v>
      </c>
      <c r="S84" s="262">
        <f t="shared" si="48"/>
        <v>0</v>
      </c>
      <c r="T84" s="257">
        <f t="shared" si="62"/>
        <v>0</v>
      </c>
      <c r="U84" s="258">
        <f t="shared" si="63"/>
        <v>61.403508771929808</v>
      </c>
      <c r="V84" s="258">
        <f>Q84-Q85</f>
        <v>0</v>
      </c>
      <c r="W84" s="258">
        <f t="shared" si="65"/>
        <v>0</v>
      </c>
      <c r="X84" s="259">
        <f t="shared" si="66"/>
        <v>0</v>
      </c>
      <c r="Y84" s="264">
        <v>1.18</v>
      </c>
      <c r="Z84" s="264">
        <v>1.28</v>
      </c>
      <c r="AA84" s="264">
        <v>1.2</v>
      </c>
      <c r="AB84" s="264">
        <v>1.53</v>
      </c>
      <c r="AC84" s="264">
        <v>1.2</v>
      </c>
      <c r="AD84" s="257">
        <f t="shared" si="49"/>
        <v>0</v>
      </c>
      <c r="AE84" s="258">
        <f t="shared" si="50"/>
        <v>78.59649122807015</v>
      </c>
      <c r="AF84" s="258">
        <f t="shared" si="51"/>
        <v>0</v>
      </c>
      <c r="AG84" s="258">
        <f t="shared" si="52"/>
        <v>0</v>
      </c>
      <c r="AH84" s="259">
        <f t="shared" si="53"/>
        <v>0</v>
      </c>
      <c r="AI84" s="431">
        <v>0</v>
      </c>
      <c r="AJ84" s="195" t="e">
        <f t="shared" si="54"/>
        <v>#DIV/0!</v>
      </c>
      <c r="AK84" s="196" t="e">
        <f t="shared" si="55"/>
        <v>#DIV/0!</v>
      </c>
      <c r="AL84" s="196" t="e">
        <f t="shared" si="56"/>
        <v>#DIV/0!</v>
      </c>
      <c r="AM84" s="196" t="e">
        <f t="shared" si="57"/>
        <v>#DIV/0!</v>
      </c>
      <c r="AN84" s="197" t="e">
        <f t="shared" si="58"/>
        <v>#DIV/0!</v>
      </c>
      <c r="AO84" s="166">
        <f t="shared" si="67"/>
        <v>1550</v>
      </c>
      <c r="AP84" s="167">
        <f t="shared" si="68"/>
        <v>19160</v>
      </c>
      <c r="AQ84" s="167">
        <f t="shared" si="69"/>
        <v>36239</v>
      </c>
      <c r="AR84" s="167">
        <f t="shared" si="70"/>
        <v>1560</v>
      </c>
      <c r="AS84" s="168">
        <f t="shared" si="71"/>
        <v>3640</v>
      </c>
      <c r="AT84" s="166">
        <f t="shared" si="59"/>
        <v>0</v>
      </c>
      <c r="AU84" s="167">
        <f t="shared" si="72"/>
        <v>18070.905263157889</v>
      </c>
      <c r="AV84" s="167">
        <f t="shared" si="73"/>
        <v>0</v>
      </c>
      <c r="AW84" s="167">
        <f t="shared" si="60"/>
        <v>0</v>
      </c>
      <c r="AX84" s="168">
        <f t="shared" si="61"/>
        <v>0</v>
      </c>
      <c r="AY84" s="166">
        <f t="shared" ref="AY84:AY95" si="75">AT84+AU84+AV84+AW84+AX84</f>
        <v>18070.905263157889</v>
      </c>
      <c r="AZ84" s="167">
        <v>1000</v>
      </c>
      <c r="BA84" s="167" t="e">
        <f t="shared" si="74"/>
        <v>#DIV/0!</v>
      </c>
      <c r="BB84" s="161"/>
      <c r="BC84" s="162"/>
    </row>
    <row r="85" spans="1:55" ht="14.95" thickBot="1" x14ac:dyDescent="0.3">
      <c r="A85" s="221">
        <f>+A84</f>
        <v>46109</v>
      </c>
      <c r="B85" s="280">
        <f>DAY(Tabla2[[#This Row],[FECHA]])</f>
        <v>28</v>
      </c>
      <c r="C85" s="204" t="s">
        <v>30</v>
      </c>
      <c r="D85" s="205"/>
      <c r="E85" s="206"/>
      <c r="F85" s="207"/>
      <c r="G85" s="208"/>
      <c r="H85" s="209"/>
      <c r="I85" s="408">
        <f>((Tabla2[[#This Row],[VOLUMEN ENVIADO A RO (m3)]]/80)/3)*60</f>
        <v>18.256249999999998</v>
      </c>
      <c r="J85" s="400">
        <v>0</v>
      </c>
      <c r="K85" s="401">
        <v>43</v>
      </c>
      <c r="L85" s="402">
        <v>12</v>
      </c>
      <c r="M85" s="401">
        <v>0</v>
      </c>
      <c r="N85" s="402">
        <v>0</v>
      </c>
      <c r="O85" s="261">
        <f t="shared" si="45"/>
        <v>0</v>
      </c>
      <c r="P85" s="266">
        <f t="shared" si="46"/>
        <v>377.19298245614038</v>
      </c>
      <c r="Q85" s="266">
        <f t="shared" si="46"/>
        <v>105.26315789473685</v>
      </c>
      <c r="R85" s="266">
        <f t="shared" si="47"/>
        <v>0</v>
      </c>
      <c r="S85" s="266">
        <f t="shared" si="48"/>
        <v>0</v>
      </c>
      <c r="T85" s="257">
        <f t="shared" si="62"/>
        <v>0</v>
      </c>
      <c r="U85" s="258">
        <f t="shared" si="63"/>
        <v>0</v>
      </c>
      <c r="V85" s="258">
        <f t="shared" si="64"/>
        <v>0</v>
      </c>
      <c r="W85" s="258">
        <f t="shared" si="65"/>
        <v>0</v>
      </c>
      <c r="X85" s="259">
        <f t="shared" si="66"/>
        <v>0</v>
      </c>
      <c r="Y85" s="264">
        <v>1.18</v>
      </c>
      <c r="Z85" s="264">
        <v>1.28</v>
      </c>
      <c r="AA85" s="264">
        <v>1.2</v>
      </c>
      <c r="AB85" s="264">
        <v>1.53</v>
      </c>
      <c r="AC85" s="264">
        <v>1.2</v>
      </c>
      <c r="AD85" s="268">
        <f t="shared" si="49"/>
        <v>0</v>
      </c>
      <c r="AE85" s="269">
        <f t="shared" si="50"/>
        <v>0</v>
      </c>
      <c r="AF85" s="269">
        <f t="shared" si="51"/>
        <v>0</v>
      </c>
      <c r="AG85" s="269">
        <f t="shared" si="52"/>
        <v>0</v>
      </c>
      <c r="AH85" s="270">
        <f t="shared" si="53"/>
        <v>0</v>
      </c>
      <c r="AI85" s="432">
        <v>73.025000000000006</v>
      </c>
      <c r="AJ85" s="210">
        <f t="shared" si="54"/>
        <v>0</v>
      </c>
      <c r="AK85" s="211">
        <f t="shared" si="55"/>
        <v>0</v>
      </c>
      <c r="AL85" s="211">
        <f t="shared" si="56"/>
        <v>0</v>
      </c>
      <c r="AM85" s="211">
        <f t="shared" si="57"/>
        <v>0</v>
      </c>
      <c r="AN85" s="212">
        <f t="shared" si="58"/>
        <v>0</v>
      </c>
      <c r="AO85" s="166">
        <f t="shared" si="67"/>
        <v>1550</v>
      </c>
      <c r="AP85" s="167">
        <f t="shared" si="68"/>
        <v>19160</v>
      </c>
      <c r="AQ85" s="167">
        <f t="shared" si="69"/>
        <v>36239</v>
      </c>
      <c r="AR85" s="167">
        <f t="shared" si="70"/>
        <v>1560</v>
      </c>
      <c r="AS85" s="168">
        <f t="shared" si="71"/>
        <v>3640</v>
      </c>
      <c r="AT85" s="169">
        <f t="shared" si="59"/>
        <v>0</v>
      </c>
      <c r="AU85" s="170">
        <f t="shared" si="72"/>
        <v>0</v>
      </c>
      <c r="AV85" s="170">
        <f t="shared" si="73"/>
        <v>0</v>
      </c>
      <c r="AW85" s="170">
        <f t="shared" si="60"/>
        <v>0</v>
      </c>
      <c r="AX85" s="171">
        <f t="shared" si="61"/>
        <v>0</v>
      </c>
      <c r="AY85" s="169">
        <f t="shared" si="75"/>
        <v>0</v>
      </c>
      <c r="AZ85" s="170">
        <v>1000</v>
      </c>
      <c r="BA85" s="170">
        <f t="shared" si="74"/>
        <v>0</v>
      </c>
      <c r="BB85" s="160"/>
      <c r="BC85" s="163"/>
    </row>
    <row r="86" spans="1:55" ht="14.95" thickBot="1" x14ac:dyDescent="0.3">
      <c r="A86" s="213">
        <f>+A85+1</f>
        <v>46110</v>
      </c>
      <c r="B86" s="281">
        <f>DAY(Tabla2[[#This Row],[FECHA]])</f>
        <v>29</v>
      </c>
      <c r="C86" s="225" t="s">
        <v>28</v>
      </c>
      <c r="D86" s="214"/>
      <c r="E86" s="215"/>
      <c r="F86" s="216"/>
      <c r="G86" s="216"/>
      <c r="H86" s="215"/>
      <c r="I86" s="408">
        <f>((Tabla2[[#This Row],[VOLUMEN ENVIADO A RO (m3)]]/80)/3)*60</f>
        <v>0</v>
      </c>
      <c r="J86" s="400">
        <v>0</v>
      </c>
      <c r="K86" s="394">
        <v>43</v>
      </c>
      <c r="L86" s="396">
        <v>12</v>
      </c>
      <c r="M86" s="401">
        <v>0</v>
      </c>
      <c r="N86" s="402">
        <v>0</v>
      </c>
      <c r="O86" s="261">
        <f t="shared" si="45"/>
        <v>0</v>
      </c>
      <c r="P86" s="272">
        <f t="shared" si="46"/>
        <v>377.19298245614038</v>
      </c>
      <c r="Q86" s="255">
        <f t="shared" si="46"/>
        <v>105.26315789473685</v>
      </c>
      <c r="R86" s="272">
        <f t="shared" si="47"/>
        <v>0</v>
      </c>
      <c r="S86" s="272">
        <f t="shared" si="48"/>
        <v>0</v>
      </c>
      <c r="T86" s="257">
        <f t="shared" si="62"/>
        <v>0</v>
      </c>
      <c r="U86" s="258">
        <f t="shared" si="63"/>
        <v>0</v>
      </c>
      <c r="V86" s="258">
        <f t="shared" si="64"/>
        <v>0</v>
      </c>
      <c r="W86" s="258">
        <f t="shared" si="65"/>
        <v>0</v>
      </c>
      <c r="X86" s="259">
        <f t="shared" si="66"/>
        <v>0</v>
      </c>
      <c r="Y86" s="264">
        <v>1.18</v>
      </c>
      <c r="Z86" s="264">
        <v>1.28</v>
      </c>
      <c r="AA86" s="264">
        <v>1.2</v>
      </c>
      <c r="AB86" s="264">
        <v>1.53</v>
      </c>
      <c r="AC86" s="264">
        <v>1.2</v>
      </c>
      <c r="AD86" s="273">
        <f t="shared" si="49"/>
        <v>0</v>
      </c>
      <c r="AE86" s="274">
        <f t="shared" si="50"/>
        <v>0</v>
      </c>
      <c r="AF86" s="274">
        <f t="shared" si="51"/>
        <v>0</v>
      </c>
      <c r="AG86" s="274">
        <f t="shared" si="52"/>
        <v>0</v>
      </c>
      <c r="AH86" s="275">
        <f t="shared" si="53"/>
        <v>0</v>
      </c>
      <c r="AI86" s="430">
        <v>0</v>
      </c>
      <c r="AJ86" s="217" t="e">
        <f t="shared" si="54"/>
        <v>#DIV/0!</v>
      </c>
      <c r="AK86" s="218" t="e">
        <f t="shared" si="55"/>
        <v>#DIV/0!</v>
      </c>
      <c r="AL86" s="218" t="e">
        <f t="shared" si="56"/>
        <v>#DIV/0!</v>
      </c>
      <c r="AM86" s="218" t="e">
        <f t="shared" si="57"/>
        <v>#DIV/0!</v>
      </c>
      <c r="AN86" s="219" t="e">
        <f t="shared" si="58"/>
        <v>#DIV/0!</v>
      </c>
      <c r="AO86" s="166">
        <f t="shared" si="67"/>
        <v>1550</v>
      </c>
      <c r="AP86" s="167">
        <f t="shared" si="68"/>
        <v>19160</v>
      </c>
      <c r="AQ86" s="167">
        <f t="shared" si="69"/>
        <v>36239</v>
      </c>
      <c r="AR86" s="167">
        <f t="shared" si="70"/>
        <v>1560</v>
      </c>
      <c r="AS86" s="168">
        <f t="shared" si="71"/>
        <v>3640</v>
      </c>
      <c r="AT86" s="166">
        <f t="shared" si="59"/>
        <v>0</v>
      </c>
      <c r="AU86" s="167">
        <f t="shared" si="72"/>
        <v>0</v>
      </c>
      <c r="AV86" s="167">
        <f t="shared" si="73"/>
        <v>0</v>
      </c>
      <c r="AW86" s="167">
        <f t="shared" si="60"/>
        <v>0</v>
      </c>
      <c r="AX86" s="168">
        <f t="shared" si="61"/>
        <v>0</v>
      </c>
      <c r="AY86" s="166">
        <f t="shared" si="75"/>
        <v>0</v>
      </c>
      <c r="AZ86" s="167">
        <v>1000</v>
      </c>
      <c r="BA86" s="167" t="e">
        <f t="shared" si="74"/>
        <v>#DIV/0!</v>
      </c>
      <c r="BB86" s="161"/>
      <c r="BC86" s="162"/>
    </row>
    <row r="87" spans="1:55" ht="14.95" thickBot="1" x14ac:dyDescent="0.3">
      <c r="A87" s="220">
        <f>+A86</f>
        <v>46110</v>
      </c>
      <c r="B87" s="279">
        <f>DAY(Tabla2[[#This Row],[FECHA]])</f>
        <v>29</v>
      </c>
      <c r="C87" s="199" t="s">
        <v>29</v>
      </c>
      <c r="D87" s="200"/>
      <c r="E87" s="201"/>
      <c r="F87" s="202"/>
      <c r="G87" s="202"/>
      <c r="H87" s="201"/>
      <c r="I87" s="408">
        <f>((Tabla2[[#This Row],[VOLUMEN ENVIADO A RO (m3)]]/80)/3)*60</f>
        <v>0</v>
      </c>
      <c r="J87" s="400">
        <v>0</v>
      </c>
      <c r="K87" s="398">
        <v>43</v>
      </c>
      <c r="L87" s="399">
        <v>12</v>
      </c>
      <c r="M87" s="401">
        <v>0</v>
      </c>
      <c r="N87" s="402">
        <v>0</v>
      </c>
      <c r="O87" s="261">
        <f t="shared" ref="O87:O95" si="76">J87*(1000/114)</f>
        <v>0</v>
      </c>
      <c r="P87" s="262">
        <f t="shared" si="46"/>
        <v>377.19298245614038</v>
      </c>
      <c r="Q87" s="262">
        <f t="shared" si="46"/>
        <v>105.26315789473685</v>
      </c>
      <c r="R87" s="262">
        <f t="shared" si="47"/>
        <v>0</v>
      </c>
      <c r="S87" s="262">
        <f t="shared" si="48"/>
        <v>0</v>
      </c>
      <c r="T87" s="257">
        <f t="shared" si="62"/>
        <v>0</v>
      </c>
      <c r="U87" s="258">
        <f t="shared" si="63"/>
        <v>0</v>
      </c>
      <c r="V87" s="258">
        <f t="shared" si="64"/>
        <v>0</v>
      </c>
      <c r="W87" s="258">
        <f t="shared" si="65"/>
        <v>0</v>
      </c>
      <c r="X87" s="259">
        <f t="shared" si="66"/>
        <v>0</v>
      </c>
      <c r="Y87" s="264">
        <v>1.18</v>
      </c>
      <c r="Z87" s="264">
        <v>1.28</v>
      </c>
      <c r="AA87" s="264">
        <v>1.2</v>
      </c>
      <c r="AB87" s="264">
        <v>1.53</v>
      </c>
      <c r="AC87" s="264">
        <v>1.2</v>
      </c>
      <c r="AD87" s="257">
        <f t="shared" si="49"/>
        <v>0</v>
      </c>
      <c r="AE87" s="258">
        <f t="shared" si="50"/>
        <v>0</v>
      </c>
      <c r="AF87" s="258">
        <f t="shared" si="51"/>
        <v>0</v>
      </c>
      <c r="AG87" s="258">
        <f t="shared" si="52"/>
        <v>0</v>
      </c>
      <c r="AH87" s="259">
        <f t="shared" si="53"/>
        <v>0</v>
      </c>
      <c r="AI87" s="431">
        <v>0</v>
      </c>
      <c r="AJ87" s="195" t="e">
        <f t="shared" si="54"/>
        <v>#DIV/0!</v>
      </c>
      <c r="AK87" s="196" t="e">
        <f t="shared" si="55"/>
        <v>#DIV/0!</v>
      </c>
      <c r="AL87" s="196" t="e">
        <f t="shared" si="56"/>
        <v>#DIV/0!</v>
      </c>
      <c r="AM87" s="196" t="e">
        <f t="shared" si="57"/>
        <v>#DIV/0!</v>
      </c>
      <c r="AN87" s="197" t="e">
        <f t="shared" si="58"/>
        <v>#DIV/0!</v>
      </c>
      <c r="AO87" s="166">
        <f t="shared" si="67"/>
        <v>1550</v>
      </c>
      <c r="AP87" s="167">
        <f t="shared" si="68"/>
        <v>19160</v>
      </c>
      <c r="AQ87" s="167">
        <f t="shared" si="69"/>
        <v>36239</v>
      </c>
      <c r="AR87" s="167">
        <f t="shared" si="70"/>
        <v>1560</v>
      </c>
      <c r="AS87" s="168">
        <f t="shared" si="71"/>
        <v>3640</v>
      </c>
      <c r="AT87" s="166">
        <f t="shared" si="59"/>
        <v>0</v>
      </c>
      <c r="AU87" s="167">
        <f t="shared" si="72"/>
        <v>0</v>
      </c>
      <c r="AV87" s="167">
        <f t="shared" si="73"/>
        <v>0</v>
      </c>
      <c r="AW87" s="167">
        <f t="shared" si="60"/>
        <v>0</v>
      </c>
      <c r="AX87" s="168">
        <f t="shared" si="61"/>
        <v>0</v>
      </c>
      <c r="AY87" s="166">
        <f t="shared" si="75"/>
        <v>0</v>
      </c>
      <c r="AZ87" s="167">
        <v>1000</v>
      </c>
      <c r="BA87" s="167" t="e">
        <f t="shared" si="74"/>
        <v>#DIV/0!</v>
      </c>
      <c r="BB87" s="161"/>
      <c r="BC87" s="162"/>
    </row>
    <row r="88" spans="1:55" ht="14.95" thickBot="1" x14ac:dyDescent="0.3">
      <c r="A88" s="221">
        <f>+A87</f>
        <v>46110</v>
      </c>
      <c r="B88" s="280">
        <f>DAY(Tabla2[[#This Row],[FECHA]])</f>
        <v>29</v>
      </c>
      <c r="C88" s="204" t="s">
        <v>30</v>
      </c>
      <c r="D88" s="205"/>
      <c r="E88" s="206"/>
      <c r="F88" s="207"/>
      <c r="G88" s="208"/>
      <c r="H88" s="209"/>
      <c r="I88" s="408">
        <f>((Tabla2[[#This Row],[VOLUMEN ENVIADO A RO (m3)]]/80)/3)*60</f>
        <v>0</v>
      </c>
      <c r="J88" s="400">
        <v>0</v>
      </c>
      <c r="K88" s="401">
        <v>43</v>
      </c>
      <c r="L88" s="402">
        <v>12</v>
      </c>
      <c r="M88" s="401">
        <v>0</v>
      </c>
      <c r="N88" s="402">
        <v>0</v>
      </c>
      <c r="O88" s="265">
        <f t="shared" si="76"/>
        <v>0</v>
      </c>
      <c r="P88" s="266">
        <f t="shared" si="46"/>
        <v>377.19298245614038</v>
      </c>
      <c r="Q88" s="266">
        <f t="shared" si="46"/>
        <v>105.26315789473685</v>
      </c>
      <c r="R88" s="266">
        <f t="shared" si="47"/>
        <v>0</v>
      </c>
      <c r="S88" s="266">
        <f t="shared" si="48"/>
        <v>0</v>
      </c>
      <c r="T88" s="257">
        <f t="shared" si="62"/>
        <v>0</v>
      </c>
      <c r="U88" s="258">
        <f t="shared" si="63"/>
        <v>0</v>
      </c>
      <c r="V88" s="258">
        <f t="shared" si="64"/>
        <v>0</v>
      </c>
      <c r="W88" s="258">
        <f t="shared" si="65"/>
        <v>0</v>
      </c>
      <c r="X88" s="259">
        <f t="shared" si="66"/>
        <v>0</v>
      </c>
      <c r="Y88" s="264">
        <v>1.18</v>
      </c>
      <c r="Z88" s="264">
        <v>1.28</v>
      </c>
      <c r="AA88" s="264">
        <v>1.2</v>
      </c>
      <c r="AB88" s="264">
        <v>1.53</v>
      </c>
      <c r="AC88" s="264">
        <v>1.2</v>
      </c>
      <c r="AD88" s="268">
        <f t="shared" si="49"/>
        <v>0</v>
      </c>
      <c r="AE88" s="269">
        <f t="shared" si="50"/>
        <v>0</v>
      </c>
      <c r="AF88" s="269">
        <f t="shared" si="51"/>
        <v>0</v>
      </c>
      <c r="AG88" s="269">
        <f t="shared" si="52"/>
        <v>0</v>
      </c>
      <c r="AH88" s="270">
        <f t="shared" si="53"/>
        <v>0</v>
      </c>
      <c r="AI88" s="432">
        <v>0</v>
      </c>
      <c r="AJ88" s="210" t="e">
        <f t="shared" si="54"/>
        <v>#DIV/0!</v>
      </c>
      <c r="AK88" s="211" t="e">
        <f t="shared" si="55"/>
        <v>#DIV/0!</v>
      </c>
      <c r="AL88" s="211" t="e">
        <f t="shared" si="56"/>
        <v>#DIV/0!</v>
      </c>
      <c r="AM88" s="211" t="e">
        <f t="shared" si="57"/>
        <v>#DIV/0!</v>
      </c>
      <c r="AN88" s="212" t="e">
        <f t="shared" si="58"/>
        <v>#DIV/0!</v>
      </c>
      <c r="AO88" s="166">
        <f t="shared" si="67"/>
        <v>1550</v>
      </c>
      <c r="AP88" s="167">
        <f t="shared" si="68"/>
        <v>19160</v>
      </c>
      <c r="AQ88" s="167">
        <f t="shared" si="69"/>
        <v>36239</v>
      </c>
      <c r="AR88" s="167">
        <f t="shared" si="70"/>
        <v>1560</v>
      </c>
      <c r="AS88" s="168">
        <f t="shared" si="71"/>
        <v>3640</v>
      </c>
      <c r="AT88" s="169">
        <f t="shared" si="59"/>
        <v>0</v>
      </c>
      <c r="AU88" s="170">
        <f t="shared" si="72"/>
        <v>0</v>
      </c>
      <c r="AV88" s="170">
        <f t="shared" si="73"/>
        <v>0</v>
      </c>
      <c r="AW88" s="170">
        <f t="shared" si="60"/>
        <v>0</v>
      </c>
      <c r="AX88" s="171">
        <f t="shared" si="61"/>
        <v>0</v>
      </c>
      <c r="AY88" s="169">
        <f t="shared" si="75"/>
        <v>0</v>
      </c>
      <c r="AZ88" s="170">
        <v>1000</v>
      </c>
      <c r="BA88" s="170" t="e">
        <f t="shared" si="74"/>
        <v>#DIV/0!</v>
      </c>
      <c r="BB88" s="160"/>
      <c r="BC88" s="163"/>
    </row>
    <row r="89" spans="1:55" ht="14.95" thickBot="1" x14ac:dyDescent="0.3">
      <c r="A89" s="213">
        <f>+A88+1</f>
        <v>46111</v>
      </c>
      <c r="B89" s="281">
        <f>DAY(Tabla2[[#This Row],[FECHA]])</f>
        <v>30</v>
      </c>
      <c r="C89" s="225" t="s">
        <v>28</v>
      </c>
      <c r="D89" s="214"/>
      <c r="E89" s="215"/>
      <c r="F89" s="216"/>
      <c r="G89" s="216"/>
      <c r="H89" s="215"/>
      <c r="I89" s="408">
        <f>((Tabla2[[#This Row],[VOLUMEN ENVIADO A RO (m3)]]/80)/3)*60</f>
        <v>0</v>
      </c>
      <c r="J89" s="400">
        <v>0</v>
      </c>
      <c r="K89" s="394">
        <v>43</v>
      </c>
      <c r="L89" s="396">
        <v>12</v>
      </c>
      <c r="M89" s="401">
        <v>0</v>
      </c>
      <c r="N89" s="402">
        <v>0</v>
      </c>
      <c r="O89" s="271">
        <f t="shared" si="76"/>
        <v>0</v>
      </c>
      <c r="P89" s="272">
        <f t="shared" si="46"/>
        <v>377.19298245614038</v>
      </c>
      <c r="Q89" s="255">
        <f t="shared" si="46"/>
        <v>105.26315789473685</v>
      </c>
      <c r="R89" s="272">
        <f t="shared" si="47"/>
        <v>0</v>
      </c>
      <c r="S89" s="272">
        <f t="shared" si="48"/>
        <v>0</v>
      </c>
      <c r="T89" s="257">
        <f t="shared" si="62"/>
        <v>0</v>
      </c>
      <c r="U89" s="258">
        <f t="shared" si="63"/>
        <v>0</v>
      </c>
      <c r="V89" s="258">
        <f t="shared" si="64"/>
        <v>0</v>
      </c>
      <c r="W89" s="258">
        <f t="shared" si="65"/>
        <v>0</v>
      </c>
      <c r="X89" s="259">
        <f t="shared" si="66"/>
        <v>0</v>
      </c>
      <c r="Y89" s="264">
        <v>1.18</v>
      </c>
      <c r="Z89" s="264">
        <v>1.28</v>
      </c>
      <c r="AA89" s="264">
        <v>1.2</v>
      </c>
      <c r="AB89" s="264">
        <v>1.53</v>
      </c>
      <c r="AC89" s="264">
        <v>1.2</v>
      </c>
      <c r="AD89" s="273">
        <f t="shared" si="49"/>
        <v>0</v>
      </c>
      <c r="AE89" s="274">
        <f t="shared" si="50"/>
        <v>0</v>
      </c>
      <c r="AF89" s="274">
        <f t="shared" si="51"/>
        <v>0</v>
      </c>
      <c r="AG89" s="274">
        <f t="shared" si="52"/>
        <v>0</v>
      </c>
      <c r="AH89" s="275">
        <f t="shared" si="53"/>
        <v>0</v>
      </c>
      <c r="AI89" s="430">
        <v>0</v>
      </c>
      <c r="AJ89" s="217" t="e">
        <f t="shared" si="54"/>
        <v>#DIV/0!</v>
      </c>
      <c r="AK89" s="218" t="e">
        <f t="shared" si="55"/>
        <v>#DIV/0!</v>
      </c>
      <c r="AL89" s="218" t="e">
        <f t="shared" si="56"/>
        <v>#DIV/0!</v>
      </c>
      <c r="AM89" s="218" t="e">
        <f t="shared" si="57"/>
        <v>#DIV/0!</v>
      </c>
      <c r="AN89" s="219" t="e">
        <f t="shared" si="58"/>
        <v>#DIV/0!</v>
      </c>
      <c r="AO89" s="166">
        <f t="shared" si="67"/>
        <v>1550</v>
      </c>
      <c r="AP89" s="167">
        <f t="shared" si="68"/>
        <v>19160</v>
      </c>
      <c r="AQ89" s="167">
        <f t="shared" si="69"/>
        <v>36239</v>
      </c>
      <c r="AR89" s="167">
        <f t="shared" si="70"/>
        <v>1560</v>
      </c>
      <c r="AS89" s="168">
        <f t="shared" si="71"/>
        <v>3640</v>
      </c>
      <c r="AT89" s="166">
        <f t="shared" si="59"/>
        <v>0</v>
      </c>
      <c r="AU89" s="167">
        <f t="shared" si="72"/>
        <v>0</v>
      </c>
      <c r="AV89" s="167">
        <f t="shared" si="73"/>
        <v>0</v>
      </c>
      <c r="AW89" s="167">
        <f t="shared" si="60"/>
        <v>0</v>
      </c>
      <c r="AX89" s="168">
        <f t="shared" si="61"/>
        <v>0</v>
      </c>
      <c r="AY89" s="166">
        <f t="shared" si="75"/>
        <v>0</v>
      </c>
      <c r="AZ89" s="167">
        <v>1000</v>
      </c>
      <c r="BA89" s="167" t="e">
        <f t="shared" si="74"/>
        <v>#DIV/0!</v>
      </c>
      <c r="BB89" s="161"/>
      <c r="BC89" s="162"/>
    </row>
    <row r="90" spans="1:55" ht="14.95" thickBot="1" x14ac:dyDescent="0.3">
      <c r="A90" s="220">
        <f>+A89</f>
        <v>46111</v>
      </c>
      <c r="B90" s="279">
        <f>DAY(Tabla2[[#This Row],[FECHA]])</f>
        <v>30</v>
      </c>
      <c r="C90" s="199" t="s">
        <v>29</v>
      </c>
      <c r="D90" s="200"/>
      <c r="E90" s="201"/>
      <c r="F90" s="202"/>
      <c r="G90" s="202"/>
      <c r="H90" s="201"/>
      <c r="I90" s="408">
        <f>((Tabla2[[#This Row],[VOLUMEN ENVIADO A RO (m3)]]/80)/3)*60</f>
        <v>0</v>
      </c>
      <c r="J90" s="400">
        <v>0</v>
      </c>
      <c r="K90" s="398">
        <v>43</v>
      </c>
      <c r="L90" s="399">
        <v>12</v>
      </c>
      <c r="M90" s="401">
        <v>0</v>
      </c>
      <c r="N90" s="402">
        <v>0</v>
      </c>
      <c r="O90" s="261">
        <f t="shared" si="76"/>
        <v>0</v>
      </c>
      <c r="P90" s="262">
        <f t="shared" si="46"/>
        <v>377.19298245614038</v>
      </c>
      <c r="Q90" s="262">
        <f t="shared" si="46"/>
        <v>105.26315789473685</v>
      </c>
      <c r="R90" s="262">
        <f t="shared" si="47"/>
        <v>0</v>
      </c>
      <c r="S90" s="262">
        <f t="shared" si="48"/>
        <v>0</v>
      </c>
      <c r="T90" s="257">
        <f t="shared" si="62"/>
        <v>0</v>
      </c>
      <c r="U90" s="258">
        <f t="shared" si="63"/>
        <v>0</v>
      </c>
      <c r="V90" s="258">
        <f t="shared" si="64"/>
        <v>0</v>
      </c>
      <c r="W90" s="258">
        <f t="shared" si="65"/>
        <v>0</v>
      </c>
      <c r="X90" s="259">
        <f t="shared" si="66"/>
        <v>0</v>
      </c>
      <c r="Y90" s="264">
        <v>1.18</v>
      </c>
      <c r="Z90" s="264">
        <v>1.28</v>
      </c>
      <c r="AA90" s="264">
        <v>1.2</v>
      </c>
      <c r="AB90" s="264">
        <v>1.53</v>
      </c>
      <c r="AC90" s="264">
        <v>1.2</v>
      </c>
      <c r="AD90" s="257">
        <f t="shared" si="49"/>
        <v>0</v>
      </c>
      <c r="AE90" s="258">
        <f t="shared" si="50"/>
        <v>0</v>
      </c>
      <c r="AF90" s="258">
        <f t="shared" si="51"/>
        <v>0</v>
      </c>
      <c r="AG90" s="258">
        <f t="shared" si="52"/>
        <v>0</v>
      </c>
      <c r="AH90" s="259">
        <f t="shared" si="53"/>
        <v>0</v>
      </c>
      <c r="AI90" s="431">
        <v>0</v>
      </c>
      <c r="AJ90" s="195" t="e">
        <f t="shared" si="54"/>
        <v>#DIV/0!</v>
      </c>
      <c r="AK90" s="196" t="e">
        <f t="shared" si="55"/>
        <v>#DIV/0!</v>
      </c>
      <c r="AL90" s="196" t="e">
        <f t="shared" si="56"/>
        <v>#DIV/0!</v>
      </c>
      <c r="AM90" s="196" t="e">
        <f t="shared" si="57"/>
        <v>#DIV/0!</v>
      </c>
      <c r="AN90" s="197" t="e">
        <f t="shared" si="58"/>
        <v>#DIV/0!</v>
      </c>
      <c r="AO90" s="166">
        <f t="shared" si="67"/>
        <v>1550</v>
      </c>
      <c r="AP90" s="167">
        <f t="shared" si="68"/>
        <v>19160</v>
      </c>
      <c r="AQ90" s="167">
        <f t="shared" si="69"/>
        <v>36239</v>
      </c>
      <c r="AR90" s="167">
        <f t="shared" si="70"/>
        <v>1560</v>
      </c>
      <c r="AS90" s="168">
        <f t="shared" si="71"/>
        <v>3640</v>
      </c>
      <c r="AT90" s="166">
        <f t="shared" si="59"/>
        <v>0</v>
      </c>
      <c r="AU90" s="167">
        <f t="shared" si="72"/>
        <v>0</v>
      </c>
      <c r="AV90" s="167">
        <f t="shared" si="73"/>
        <v>0</v>
      </c>
      <c r="AW90" s="167">
        <f t="shared" si="60"/>
        <v>0</v>
      </c>
      <c r="AX90" s="168">
        <f t="shared" si="61"/>
        <v>0</v>
      </c>
      <c r="AY90" s="166">
        <f t="shared" si="75"/>
        <v>0</v>
      </c>
      <c r="AZ90" s="167">
        <v>1000</v>
      </c>
      <c r="BA90" s="167" t="e">
        <f t="shared" si="74"/>
        <v>#DIV/0!</v>
      </c>
      <c r="BB90" s="161"/>
      <c r="BC90" s="162"/>
    </row>
    <row r="91" spans="1:55" ht="14.95" thickBot="1" x14ac:dyDescent="0.3">
      <c r="A91" s="221">
        <f>+A90</f>
        <v>46111</v>
      </c>
      <c r="B91" s="280">
        <f>DAY(Tabla2[[#This Row],[FECHA]])</f>
        <v>30</v>
      </c>
      <c r="C91" s="204" t="s">
        <v>30</v>
      </c>
      <c r="D91" s="205"/>
      <c r="E91" s="206"/>
      <c r="F91" s="207"/>
      <c r="G91" s="208"/>
      <c r="H91" s="209"/>
      <c r="I91" s="408">
        <f>((Tabla2[[#This Row],[VOLUMEN ENVIADO A RO (m3)]]/80)/3)*60</f>
        <v>0</v>
      </c>
      <c r="J91" s="400">
        <v>0</v>
      </c>
      <c r="K91" s="401">
        <v>43</v>
      </c>
      <c r="L91" s="402">
        <v>12</v>
      </c>
      <c r="M91" s="401">
        <v>0</v>
      </c>
      <c r="N91" s="402">
        <v>0</v>
      </c>
      <c r="O91" s="265">
        <f t="shared" si="76"/>
        <v>0</v>
      </c>
      <c r="P91" s="266">
        <f t="shared" si="46"/>
        <v>377.19298245614038</v>
      </c>
      <c r="Q91" s="266">
        <f t="shared" si="46"/>
        <v>105.26315789473685</v>
      </c>
      <c r="R91" s="266">
        <f t="shared" si="47"/>
        <v>0</v>
      </c>
      <c r="S91" s="266">
        <f t="shared" si="48"/>
        <v>0</v>
      </c>
      <c r="T91" s="257">
        <f t="shared" si="62"/>
        <v>0</v>
      </c>
      <c r="U91" s="258">
        <f t="shared" si="63"/>
        <v>0</v>
      </c>
      <c r="V91" s="258">
        <f t="shared" si="64"/>
        <v>0</v>
      </c>
      <c r="W91" s="258">
        <f t="shared" si="65"/>
        <v>0</v>
      </c>
      <c r="X91" s="259">
        <f t="shared" si="66"/>
        <v>0</v>
      </c>
      <c r="Y91" s="264">
        <v>1.18</v>
      </c>
      <c r="Z91" s="264">
        <v>1.28</v>
      </c>
      <c r="AA91" s="264">
        <v>1.2</v>
      </c>
      <c r="AB91" s="264">
        <v>1.53</v>
      </c>
      <c r="AC91" s="264">
        <v>1.2</v>
      </c>
      <c r="AD91" s="268">
        <f t="shared" si="49"/>
        <v>0</v>
      </c>
      <c r="AE91" s="269">
        <f t="shared" si="50"/>
        <v>0</v>
      </c>
      <c r="AF91" s="269">
        <f t="shared" si="51"/>
        <v>0</v>
      </c>
      <c r="AG91" s="269">
        <f t="shared" si="52"/>
        <v>0</v>
      </c>
      <c r="AH91" s="270">
        <f t="shared" si="53"/>
        <v>0</v>
      </c>
      <c r="AI91" s="432">
        <v>0</v>
      </c>
      <c r="AJ91" s="210" t="e">
        <f t="shared" si="54"/>
        <v>#DIV/0!</v>
      </c>
      <c r="AK91" s="211" t="e">
        <f t="shared" si="55"/>
        <v>#DIV/0!</v>
      </c>
      <c r="AL91" s="211" t="e">
        <f t="shared" si="56"/>
        <v>#DIV/0!</v>
      </c>
      <c r="AM91" s="211" t="e">
        <f t="shared" si="57"/>
        <v>#DIV/0!</v>
      </c>
      <c r="AN91" s="212" t="e">
        <f t="shared" si="58"/>
        <v>#DIV/0!</v>
      </c>
      <c r="AO91" s="166">
        <f t="shared" si="67"/>
        <v>1550</v>
      </c>
      <c r="AP91" s="167">
        <f t="shared" si="68"/>
        <v>19160</v>
      </c>
      <c r="AQ91" s="167">
        <f t="shared" si="69"/>
        <v>36239</v>
      </c>
      <c r="AR91" s="167">
        <f t="shared" si="70"/>
        <v>1560</v>
      </c>
      <c r="AS91" s="168">
        <f t="shared" si="71"/>
        <v>3640</v>
      </c>
      <c r="AT91" s="169">
        <f t="shared" si="59"/>
        <v>0</v>
      </c>
      <c r="AU91" s="170">
        <f t="shared" si="72"/>
        <v>0</v>
      </c>
      <c r="AV91" s="170">
        <f t="shared" si="73"/>
        <v>0</v>
      </c>
      <c r="AW91" s="170">
        <f t="shared" si="60"/>
        <v>0</v>
      </c>
      <c r="AX91" s="171">
        <f t="shared" si="61"/>
        <v>0</v>
      </c>
      <c r="AY91" s="169">
        <f t="shared" si="75"/>
        <v>0</v>
      </c>
      <c r="AZ91" s="170">
        <v>1000</v>
      </c>
      <c r="BA91" s="170" t="e">
        <f t="shared" si="74"/>
        <v>#DIV/0!</v>
      </c>
      <c r="BB91" s="160"/>
      <c r="BC91" s="163"/>
    </row>
    <row r="92" spans="1:55" ht="14.95" thickBot="1" x14ac:dyDescent="0.3">
      <c r="A92" s="213">
        <f>+A91+1</f>
        <v>46112</v>
      </c>
      <c r="B92" s="281">
        <f>DAY(Tabla2[[#This Row],[FECHA]])</f>
        <v>31</v>
      </c>
      <c r="C92" s="225" t="s">
        <v>28</v>
      </c>
      <c r="D92" s="214"/>
      <c r="E92" s="215"/>
      <c r="F92" s="216"/>
      <c r="G92" s="216"/>
      <c r="H92" s="215"/>
      <c r="I92" s="408">
        <f>((Tabla2[[#This Row],[VOLUMEN ENVIADO A RO (m3)]]/80)/3)*60</f>
        <v>0</v>
      </c>
      <c r="J92" s="400">
        <v>0</v>
      </c>
      <c r="K92" s="394">
        <v>43</v>
      </c>
      <c r="L92" s="396">
        <v>12</v>
      </c>
      <c r="M92" s="401">
        <v>0</v>
      </c>
      <c r="N92" s="402">
        <v>0</v>
      </c>
      <c r="O92" s="271">
        <f t="shared" si="76"/>
        <v>0</v>
      </c>
      <c r="P92" s="272">
        <f t="shared" si="46"/>
        <v>377.19298245614038</v>
      </c>
      <c r="Q92" s="255">
        <f t="shared" si="46"/>
        <v>105.26315789473685</v>
      </c>
      <c r="R92" s="272">
        <f t="shared" si="47"/>
        <v>0</v>
      </c>
      <c r="S92" s="272">
        <f t="shared" si="48"/>
        <v>0</v>
      </c>
      <c r="T92" s="257">
        <f t="shared" si="62"/>
        <v>0</v>
      </c>
      <c r="U92" s="258">
        <f t="shared" si="63"/>
        <v>0</v>
      </c>
      <c r="V92" s="258">
        <f t="shared" si="64"/>
        <v>0</v>
      </c>
      <c r="W92" s="258">
        <f t="shared" si="65"/>
        <v>0</v>
      </c>
      <c r="X92" s="259">
        <f t="shared" si="66"/>
        <v>0</v>
      </c>
      <c r="Y92" s="264">
        <v>1.18</v>
      </c>
      <c r="Z92" s="264">
        <v>1.28</v>
      </c>
      <c r="AA92" s="264">
        <v>1.2</v>
      </c>
      <c r="AB92" s="264">
        <v>1.53</v>
      </c>
      <c r="AC92" s="264">
        <v>1.2</v>
      </c>
      <c r="AD92" s="273">
        <f t="shared" si="49"/>
        <v>0</v>
      </c>
      <c r="AE92" s="274">
        <f t="shared" si="50"/>
        <v>0</v>
      </c>
      <c r="AF92" s="274">
        <f t="shared" si="51"/>
        <v>0</v>
      </c>
      <c r="AG92" s="274">
        <f t="shared" si="52"/>
        <v>0</v>
      </c>
      <c r="AH92" s="275">
        <f t="shared" si="53"/>
        <v>0</v>
      </c>
      <c r="AI92" s="430">
        <v>0</v>
      </c>
      <c r="AJ92" s="217" t="e">
        <f t="shared" si="54"/>
        <v>#DIV/0!</v>
      </c>
      <c r="AK92" s="218" t="e">
        <f t="shared" si="55"/>
        <v>#DIV/0!</v>
      </c>
      <c r="AL92" s="218" t="e">
        <f t="shared" si="56"/>
        <v>#DIV/0!</v>
      </c>
      <c r="AM92" s="218" t="e">
        <f t="shared" si="57"/>
        <v>#DIV/0!</v>
      </c>
      <c r="AN92" s="219" t="e">
        <f t="shared" si="58"/>
        <v>#DIV/0!</v>
      </c>
      <c r="AO92" s="166">
        <f t="shared" si="67"/>
        <v>1550</v>
      </c>
      <c r="AP92" s="167">
        <f t="shared" si="68"/>
        <v>19160</v>
      </c>
      <c r="AQ92" s="167">
        <f t="shared" si="69"/>
        <v>36239</v>
      </c>
      <c r="AR92" s="167">
        <f t="shared" si="70"/>
        <v>1560</v>
      </c>
      <c r="AS92" s="168">
        <f t="shared" si="71"/>
        <v>3640</v>
      </c>
      <c r="AT92" s="166">
        <f t="shared" si="59"/>
        <v>0</v>
      </c>
      <c r="AU92" s="167">
        <f t="shared" si="72"/>
        <v>0</v>
      </c>
      <c r="AV92" s="167">
        <f t="shared" si="73"/>
        <v>0</v>
      </c>
      <c r="AW92" s="167">
        <f t="shared" si="60"/>
        <v>0</v>
      </c>
      <c r="AX92" s="168">
        <f t="shared" si="61"/>
        <v>0</v>
      </c>
      <c r="AY92" s="166">
        <f t="shared" si="75"/>
        <v>0</v>
      </c>
      <c r="AZ92" s="167">
        <v>1000</v>
      </c>
      <c r="BA92" s="167" t="e">
        <f t="shared" si="74"/>
        <v>#DIV/0!</v>
      </c>
      <c r="BB92" s="161"/>
      <c r="BC92" s="162"/>
    </row>
    <row r="93" spans="1:55" ht="14.95" thickBot="1" x14ac:dyDescent="0.3">
      <c r="A93" s="220">
        <f>+A92</f>
        <v>46112</v>
      </c>
      <c r="B93" s="279">
        <f>DAY(Tabla2[[#This Row],[FECHA]])</f>
        <v>31</v>
      </c>
      <c r="C93" s="199" t="s">
        <v>29</v>
      </c>
      <c r="D93" s="200"/>
      <c r="E93" s="201"/>
      <c r="F93" s="202"/>
      <c r="G93" s="202"/>
      <c r="H93" s="201"/>
      <c r="I93" s="408">
        <f>((Tabla2[[#This Row],[VOLUMEN ENVIADO A RO (m3)]]/80)/3)*60</f>
        <v>0</v>
      </c>
      <c r="J93" s="400">
        <v>0</v>
      </c>
      <c r="K93" s="398">
        <v>43</v>
      </c>
      <c r="L93" s="399">
        <v>12</v>
      </c>
      <c r="M93" s="401">
        <v>0</v>
      </c>
      <c r="N93" s="402">
        <v>0</v>
      </c>
      <c r="O93" s="261">
        <f t="shared" si="76"/>
        <v>0</v>
      </c>
      <c r="P93" s="262">
        <f t="shared" si="46"/>
        <v>377.19298245614038</v>
      </c>
      <c r="Q93" s="262">
        <f t="shared" si="46"/>
        <v>105.26315789473685</v>
      </c>
      <c r="R93" s="262">
        <f t="shared" si="47"/>
        <v>0</v>
      </c>
      <c r="S93" s="262">
        <f t="shared" si="48"/>
        <v>0</v>
      </c>
      <c r="T93" s="257">
        <f t="shared" si="62"/>
        <v>0</v>
      </c>
      <c r="U93" s="258">
        <f t="shared" si="63"/>
        <v>0</v>
      </c>
      <c r="V93" s="258">
        <f t="shared" si="64"/>
        <v>0</v>
      </c>
      <c r="W93" s="258">
        <f t="shared" si="65"/>
        <v>0</v>
      </c>
      <c r="X93" s="259">
        <f t="shared" si="66"/>
        <v>0</v>
      </c>
      <c r="Y93" s="264">
        <v>1.18</v>
      </c>
      <c r="Z93" s="264">
        <v>1.28</v>
      </c>
      <c r="AA93" s="264">
        <v>1.2</v>
      </c>
      <c r="AB93" s="264">
        <v>1.53</v>
      </c>
      <c r="AC93" s="264">
        <v>1.2</v>
      </c>
      <c r="AD93" s="257">
        <f t="shared" si="49"/>
        <v>0</v>
      </c>
      <c r="AE93" s="258">
        <f t="shared" si="50"/>
        <v>0</v>
      </c>
      <c r="AF93" s="258">
        <f t="shared" si="51"/>
        <v>0</v>
      </c>
      <c r="AG93" s="258">
        <f t="shared" si="52"/>
        <v>0</v>
      </c>
      <c r="AH93" s="259">
        <f t="shared" si="53"/>
        <v>0</v>
      </c>
      <c r="AI93" s="431">
        <v>0</v>
      </c>
      <c r="AJ93" s="195" t="e">
        <f t="shared" si="54"/>
        <v>#DIV/0!</v>
      </c>
      <c r="AK93" s="196" t="e">
        <f t="shared" si="55"/>
        <v>#DIV/0!</v>
      </c>
      <c r="AL93" s="196" t="e">
        <f t="shared" si="56"/>
        <v>#DIV/0!</v>
      </c>
      <c r="AM93" s="196" t="e">
        <f t="shared" si="57"/>
        <v>#DIV/0!</v>
      </c>
      <c r="AN93" s="197" t="e">
        <f t="shared" si="58"/>
        <v>#DIV/0!</v>
      </c>
      <c r="AO93" s="166">
        <f t="shared" si="67"/>
        <v>1550</v>
      </c>
      <c r="AP93" s="167">
        <f t="shared" si="68"/>
        <v>19160</v>
      </c>
      <c r="AQ93" s="167">
        <f t="shared" si="69"/>
        <v>36239</v>
      </c>
      <c r="AR93" s="167">
        <f t="shared" si="70"/>
        <v>1560</v>
      </c>
      <c r="AS93" s="168">
        <f t="shared" si="71"/>
        <v>3640</v>
      </c>
      <c r="AT93" s="166">
        <f t="shared" si="59"/>
        <v>0</v>
      </c>
      <c r="AU93" s="167">
        <f t="shared" si="72"/>
        <v>0</v>
      </c>
      <c r="AV93" s="167">
        <f t="shared" si="73"/>
        <v>0</v>
      </c>
      <c r="AW93" s="167">
        <f t="shared" si="60"/>
        <v>0</v>
      </c>
      <c r="AX93" s="168">
        <f t="shared" si="61"/>
        <v>0</v>
      </c>
      <c r="AY93" s="166">
        <f t="shared" si="75"/>
        <v>0</v>
      </c>
      <c r="AZ93" s="167">
        <v>1000</v>
      </c>
      <c r="BA93" s="167" t="e">
        <f t="shared" si="74"/>
        <v>#DIV/0!</v>
      </c>
      <c r="BB93" s="161"/>
      <c r="BC93" s="162"/>
    </row>
    <row r="94" spans="1:55" ht="14.95" thickBot="1" x14ac:dyDescent="0.3">
      <c r="A94" s="221">
        <f>+A93</f>
        <v>46112</v>
      </c>
      <c r="B94" s="280">
        <f>DAY(Tabla2[[#This Row],[FECHA]])</f>
        <v>31</v>
      </c>
      <c r="C94" s="204" t="s">
        <v>30</v>
      </c>
      <c r="D94" s="205"/>
      <c r="E94" s="206"/>
      <c r="F94" s="207"/>
      <c r="G94" s="208"/>
      <c r="H94" s="209"/>
      <c r="I94" s="408">
        <f>((Tabla2[[#This Row],[VOLUMEN ENVIADO A RO (m3)]]/80)/3)*60</f>
        <v>0</v>
      </c>
      <c r="J94" s="400">
        <v>0</v>
      </c>
      <c r="K94" s="401">
        <v>43</v>
      </c>
      <c r="L94" s="402">
        <v>12</v>
      </c>
      <c r="M94" s="401">
        <v>0</v>
      </c>
      <c r="N94" s="402">
        <v>0</v>
      </c>
      <c r="O94" s="265">
        <f t="shared" si="76"/>
        <v>0</v>
      </c>
      <c r="P94" s="266">
        <f t="shared" si="46"/>
        <v>377.19298245614038</v>
      </c>
      <c r="Q94" s="266">
        <f t="shared" si="46"/>
        <v>105.26315789473685</v>
      </c>
      <c r="R94" s="266">
        <f t="shared" si="47"/>
        <v>0</v>
      </c>
      <c r="S94" s="266">
        <f t="shared" si="48"/>
        <v>0</v>
      </c>
      <c r="T94" s="257">
        <f t="shared" si="62"/>
        <v>0</v>
      </c>
      <c r="U94" s="258">
        <f t="shared" si="63"/>
        <v>0</v>
      </c>
      <c r="V94" s="258">
        <f t="shared" si="64"/>
        <v>0</v>
      </c>
      <c r="W94" s="258">
        <f t="shared" si="65"/>
        <v>0</v>
      </c>
      <c r="X94" s="259">
        <f t="shared" si="66"/>
        <v>0</v>
      </c>
      <c r="Y94" s="264">
        <v>1.18</v>
      </c>
      <c r="Z94" s="264">
        <v>1.28</v>
      </c>
      <c r="AA94" s="264">
        <v>1.2</v>
      </c>
      <c r="AB94" s="264">
        <v>1.53</v>
      </c>
      <c r="AC94" s="264">
        <v>1.2</v>
      </c>
      <c r="AD94" s="268">
        <f t="shared" si="49"/>
        <v>0</v>
      </c>
      <c r="AE94" s="269">
        <f t="shared" si="50"/>
        <v>0</v>
      </c>
      <c r="AF94" s="269">
        <f t="shared" si="51"/>
        <v>0</v>
      </c>
      <c r="AG94" s="269">
        <f t="shared" si="52"/>
        <v>0</v>
      </c>
      <c r="AH94" s="270">
        <f t="shared" si="53"/>
        <v>0</v>
      </c>
      <c r="AI94" s="432">
        <v>0</v>
      </c>
      <c r="AJ94" s="210" t="e">
        <f t="shared" si="54"/>
        <v>#DIV/0!</v>
      </c>
      <c r="AK94" s="211" t="e">
        <f t="shared" si="55"/>
        <v>#DIV/0!</v>
      </c>
      <c r="AL94" s="211" t="e">
        <f t="shared" si="56"/>
        <v>#DIV/0!</v>
      </c>
      <c r="AM94" s="211" t="e">
        <f t="shared" si="57"/>
        <v>#DIV/0!</v>
      </c>
      <c r="AN94" s="212" t="e">
        <f t="shared" si="58"/>
        <v>#DIV/0!</v>
      </c>
      <c r="AO94" s="166">
        <f t="shared" si="67"/>
        <v>1550</v>
      </c>
      <c r="AP94" s="167">
        <f t="shared" si="68"/>
        <v>19160</v>
      </c>
      <c r="AQ94" s="167">
        <f t="shared" si="69"/>
        <v>36239</v>
      </c>
      <c r="AR94" s="167">
        <f t="shared" si="70"/>
        <v>1560</v>
      </c>
      <c r="AS94" s="168">
        <f t="shared" si="71"/>
        <v>3640</v>
      </c>
      <c r="AT94" s="169">
        <f t="shared" si="59"/>
        <v>0</v>
      </c>
      <c r="AU94" s="170">
        <f t="shared" si="72"/>
        <v>0</v>
      </c>
      <c r="AV94" s="170">
        <f t="shared" si="73"/>
        <v>0</v>
      </c>
      <c r="AW94" s="170">
        <f t="shared" si="60"/>
        <v>0</v>
      </c>
      <c r="AX94" s="171">
        <f t="shared" si="61"/>
        <v>0</v>
      </c>
      <c r="AY94" s="169">
        <f t="shared" si="75"/>
        <v>0</v>
      </c>
      <c r="AZ94" s="170">
        <v>1000</v>
      </c>
      <c r="BA94" s="170" t="e">
        <f t="shared" si="74"/>
        <v>#DIV/0!</v>
      </c>
      <c r="BB94" s="160"/>
      <c r="BC94" s="163"/>
    </row>
    <row r="95" spans="1:55" ht="14.95" thickBot="1" x14ac:dyDescent="0.3">
      <c r="A95" s="220"/>
      <c r="B95" s="279">
        <f>DAY(Tabla2[[#This Row],[FECHA]])</f>
        <v>0</v>
      </c>
      <c r="D95" s="200"/>
      <c r="E95" s="201"/>
      <c r="F95" s="202"/>
      <c r="I95" s="408">
        <f>((Tabla2[[#This Row],[VOLUMEN ENVIADO A RO (m3)]]/80)/3)*60</f>
        <v>0</v>
      </c>
      <c r="J95" s="400">
        <v>0</v>
      </c>
      <c r="K95" s="394">
        <v>43</v>
      </c>
      <c r="L95" s="396">
        <v>12</v>
      </c>
      <c r="M95" s="401">
        <v>0</v>
      </c>
      <c r="N95" s="402">
        <v>0</v>
      </c>
      <c r="O95" s="261">
        <f t="shared" si="76"/>
        <v>0</v>
      </c>
      <c r="P95" s="262">
        <f t="shared" si="46"/>
        <v>377.19298245614038</v>
      </c>
      <c r="Q95" s="262">
        <f>L95*(1000/114)</f>
        <v>105.26315789473685</v>
      </c>
      <c r="R95" s="262">
        <f t="shared" si="47"/>
        <v>0</v>
      </c>
      <c r="S95" s="262">
        <f t="shared" si="48"/>
        <v>0</v>
      </c>
      <c r="T95" s="257">
        <f>O95-O96</f>
        <v>0</v>
      </c>
      <c r="U95" s="258">
        <f>P95-P96</f>
        <v>377.19298245614038</v>
      </c>
      <c r="V95" s="258">
        <f>Q95-Q96</f>
        <v>105.26315789473685</v>
      </c>
      <c r="W95" s="258">
        <f>R95-R96</f>
        <v>0</v>
      </c>
      <c r="X95" s="259">
        <f>S95-S96</f>
        <v>0</v>
      </c>
      <c r="Y95" s="264"/>
      <c r="Z95" s="264"/>
      <c r="AA95" s="264"/>
      <c r="AB95" s="264"/>
      <c r="AC95" s="264"/>
      <c r="AD95" s="257">
        <f t="shared" si="49"/>
        <v>0</v>
      </c>
      <c r="AE95" s="258">
        <f t="shared" si="50"/>
        <v>0</v>
      </c>
      <c r="AF95" s="258">
        <f t="shared" si="51"/>
        <v>0</v>
      </c>
      <c r="AG95" s="258">
        <f t="shared" si="52"/>
        <v>0</v>
      </c>
      <c r="AH95" s="259">
        <f t="shared" si="53"/>
        <v>0</v>
      </c>
      <c r="AI95" s="257"/>
      <c r="AJ95" s="195" t="e">
        <f t="shared" si="54"/>
        <v>#DIV/0!</v>
      </c>
      <c r="AK95" s="196" t="e">
        <f t="shared" si="55"/>
        <v>#DIV/0!</v>
      </c>
      <c r="AL95" s="196" t="e">
        <f t="shared" si="56"/>
        <v>#DIV/0!</v>
      </c>
      <c r="AM95" s="196" t="e">
        <f t="shared" si="57"/>
        <v>#DIV/0!</v>
      </c>
      <c r="AN95" s="197" t="e">
        <f t="shared" si="58"/>
        <v>#DIV/0!</v>
      </c>
      <c r="AO95" s="166">
        <f t="shared" si="67"/>
        <v>1550</v>
      </c>
      <c r="AP95" s="407">
        <f t="shared" si="68"/>
        <v>19160</v>
      </c>
      <c r="AQ95" s="407">
        <f t="shared" si="69"/>
        <v>36239</v>
      </c>
      <c r="AR95" s="407">
        <f t="shared" si="70"/>
        <v>1560</v>
      </c>
      <c r="AS95" s="168">
        <f t="shared" si="71"/>
        <v>3640</v>
      </c>
      <c r="AT95" s="166">
        <f t="shared" si="59"/>
        <v>0</v>
      </c>
      <c r="AU95" s="407">
        <f t="shared" si="72"/>
        <v>0</v>
      </c>
      <c r="AV95" s="407">
        <f t="shared" si="73"/>
        <v>0</v>
      </c>
      <c r="AW95" s="407">
        <f t="shared" si="60"/>
        <v>0</v>
      </c>
      <c r="AX95" s="168">
        <f t="shared" si="61"/>
        <v>0</v>
      </c>
      <c r="AY95" s="166">
        <f t="shared" si="75"/>
        <v>0</v>
      </c>
      <c r="AZ95" s="407"/>
      <c r="BA95" s="407" t="e">
        <f t="shared" si="74"/>
        <v>#DIV/0!</v>
      </c>
    </row>
    <row r="96" spans="1:55" ht="14.95" thickBot="1" x14ac:dyDescent="0.3">
      <c r="A96" s="362"/>
      <c r="B96" s="363"/>
      <c r="D96" s="364"/>
      <c r="E96" s="365"/>
      <c r="F96" s="489"/>
      <c r="I96" s="366"/>
      <c r="J96" s="403"/>
      <c r="K96" s="404"/>
      <c r="L96" s="404"/>
      <c r="M96" s="404"/>
      <c r="N96" s="405"/>
      <c r="O96" s="265">
        <f>J96*(1000/114)</f>
        <v>0</v>
      </c>
      <c r="P96" s="266">
        <f>K96*(1000/114)</f>
        <v>0</v>
      </c>
      <c r="Q96" s="266">
        <f>L96*(1000/114)</f>
        <v>0</v>
      </c>
      <c r="R96" s="266">
        <f>M96*(1000/114)</f>
        <v>0</v>
      </c>
      <c r="S96" s="266">
        <f>N96*(1000/114)</f>
        <v>0</v>
      </c>
      <c r="T96" s="257"/>
      <c r="U96" s="258"/>
      <c r="V96" s="258"/>
      <c r="W96" s="258"/>
      <c r="X96" s="259"/>
      <c r="Y96" s="367"/>
      <c r="Z96" s="367"/>
      <c r="AA96" s="367"/>
      <c r="AB96" s="367"/>
      <c r="AC96" s="367"/>
      <c r="AD96" s="257"/>
      <c r="AE96" s="258"/>
      <c r="AF96" s="258"/>
      <c r="AG96" s="258"/>
      <c r="AH96" s="259"/>
      <c r="AI96" s="257"/>
      <c r="AJ96" s="195"/>
      <c r="AK96" s="196"/>
      <c r="AL96" s="196"/>
      <c r="AM96" s="196"/>
      <c r="AN96" s="197"/>
      <c r="AO96" s="384"/>
      <c r="AP96" s="385"/>
      <c r="AQ96" s="385"/>
      <c r="AR96" s="385"/>
      <c r="AS96" s="386"/>
      <c r="AT96" s="384"/>
      <c r="AU96" s="385"/>
      <c r="AV96" s="385"/>
      <c r="AW96" s="385"/>
      <c r="AX96" s="386"/>
      <c r="AY96" s="384">
        <f>SUM(AY2:AY94)</f>
        <v>9582735.9326315764</v>
      </c>
      <c r="AZ96" s="385"/>
      <c r="BA96" s="385"/>
    </row>
    <row r="97" spans="35:35" x14ac:dyDescent="0.25">
      <c r="AI97" s="70">
        <f>+SUM(AI2:AI94)</f>
        <v>18998.489999999998</v>
      </c>
    </row>
  </sheetData>
  <conditionalFormatting sqref="J2:N95">
    <cfRule type="containsBlanks" dxfId="53" priority="2">
      <formula>LEN(TRIM(J2))=0</formula>
    </cfRule>
  </conditionalFormatting>
  <conditionalFormatting sqref="T1:X1048576">
    <cfRule type="cellIs" dxfId="52" priority="1" operator="less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51314-E97E-4D5D-B336-413EE729D8EB}">
  <dimension ref="A1:AH35"/>
  <sheetViews>
    <sheetView topLeftCell="A27" workbookViewId="0">
      <selection activeCell="A28" sqref="A24:A28"/>
      <pivotSelection pane="bottomRight" showHeader="1" axis="axisRow" activeRow="27" previousRow="27" click="1" r:id="rId2">
        <pivotArea dataOnly="0" labelOnly="1" fieldPosition="0">
          <references count="1">
            <reference field="4294967294" count="0"/>
          </references>
        </pivotArea>
      </pivotSelection>
    </sheetView>
  </sheetViews>
  <sheetFormatPr baseColWidth="10" defaultRowHeight="14.3" x14ac:dyDescent="0.25"/>
  <cols>
    <col min="1" max="1" width="41" bestFit="1" customWidth="1"/>
    <col min="2" max="2" width="8.375" bestFit="1" customWidth="1"/>
    <col min="3" max="7" width="5.625" customWidth="1"/>
    <col min="8" max="12" width="8.375" bestFit="1" customWidth="1"/>
    <col min="13" max="30" width="5.625" customWidth="1"/>
    <col min="31" max="31" width="8.75" bestFit="1" customWidth="1"/>
    <col min="32" max="32" width="12.625" bestFit="1" customWidth="1"/>
    <col min="33" max="150" width="41.125" bestFit="1" customWidth="1"/>
    <col min="151" max="151" width="29" bestFit="1" customWidth="1"/>
    <col min="152" max="153" width="46.125" bestFit="1" customWidth="1"/>
    <col min="154" max="154" width="45" bestFit="1" customWidth="1"/>
    <col min="155" max="155" width="36.25" bestFit="1" customWidth="1"/>
    <col min="156" max="156" width="37.125" bestFit="1" customWidth="1"/>
    <col min="157" max="158" width="52.875" bestFit="1" customWidth="1"/>
    <col min="159" max="159" width="51.625" bestFit="1" customWidth="1"/>
    <col min="160" max="160" width="43" bestFit="1" customWidth="1"/>
  </cols>
  <sheetData>
    <row r="1" spans="1:34" ht="14.95" thickBot="1" x14ac:dyDescent="0.3">
      <c r="A1" s="577" t="s">
        <v>163</v>
      </c>
      <c r="B1" s="577"/>
      <c r="C1" s="577"/>
      <c r="D1" s="577"/>
      <c r="E1" s="577"/>
      <c r="F1" s="577"/>
      <c r="G1" s="577"/>
      <c r="H1" s="577"/>
      <c r="I1" s="577"/>
      <c r="J1" s="577"/>
      <c r="K1" s="577"/>
      <c r="L1" s="577"/>
      <c r="M1" s="577"/>
      <c r="N1" s="577"/>
      <c r="O1" s="577"/>
      <c r="P1" s="577"/>
      <c r="Q1" s="577"/>
      <c r="R1" s="577"/>
      <c r="S1" s="577"/>
      <c r="T1" s="577"/>
      <c r="U1" s="577"/>
      <c r="V1" s="577"/>
      <c r="W1" s="577"/>
      <c r="X1" s="577"/>
      <c r="Y1" s="577"/>
      <c r="Z1" s="577"/>
      <c r="AA1" s="577"/>
      <c r="AB1" s="577"/>
      <c r="AC1" s="577"/>
      <c r="AD1" s="577"/>
      <c r="AE1" s="577"/>
      <c r="AF1" s="577"/>
    </row>
    <row r="2" spans="1:34" ht="14.95" thickBot="1" x14ac:dyDescent="0.3">
      <c r="A2" s="571" t="s">
        <v>5</v>
      </c>
      <c r="B2" s="572"/>
      <c r="C2" s="573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</row>
    <row r="3" spans="1:34" ht="14.95" thickBot="1" x14ac:dyDescent="0.3">
      <c r="A3" s="287"/>
      <c r="B3" s="287" t="s">
        <v>79</v>
      </c>
      <c r="C3" s="282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4"/>
    </row>
    <row r="4" spans="1:34" ht="14.95" thickBot="1" x14ac:dyDescent="0.3">
      <c r="A4" s="287" t="s">
        <v>157</v>
      </c>
      <c r="B4" s="301">
        <v>1</v>
      </c>
      <c r="C4" s="302">
        <v>2</v>
      </c>
      <c r="D4" s="302">
        <v>3</v>
      </c>
      <c r="E4" s="302">
        <v>4</v>
      </c>
      <c r="F4" s="302">
        <v>5</v>
      </c>
      <c r="G4" s="302">
        <v>6</v>
      </c>
      <c r="H4" s="302">
        <v>7</v>
      </c>
      <c r="I4" s="302">
        <v>8</v>
      </c>
      <c r="J4" s="302">
        <v>9</v>
      </c>
      <c r="K4" s="302">
        <v>10</v>
      </c>
      <c r="L4" s="302">
        <v>11</v>
      </c>
      <c r="M4" s="302">
        <v>12</v>
      </c>
      <c r="N4" s="302">
        <v>13</v>
      </c>
      <c r="O4" s="302">
        <v>14</v>
      </c>
      <c r="P4" s="302">
        <v>15</v>
      </c>
      <c r="Q4" s="302">
        <v>16</v>
      </c>
      <c r="R4" s="302">
        <v>17</v>
      </c>
      <c r="S4" s="302">
        <v>18</v>
      </c>
      <c r="T4" s="302">
        <v>19</v>
      </c>
      <c r="U4" s="302">
        <v>20</v>
      </c>
      <c r="V4" s="302">
        <v>21</v>
      </c>
      <c r="W4" s="302">
        <v>22</v>
      </c>
      <c r="X4" s="302">
        <v>23</v>
      </c>
      <c r="Y4" s="302">
        <v>24</v>
      </c>
      <c r="Z4" s="302">
        <v>25</v>
      </c>
      <c r="AA4" s="302">
        <v>26</v>
      </c>
      <c r="AB4" s="302">
        <v>27</v>
      </c>
      <c r="AC4" s="302">
        <v>28</v>
      </c>
      <c r="AD4" s="302">
        <v>29</v>
      </c>
      <c r="AE4" s="302">
        <v>30</v>
      </c>
      <c r="AF4" s="302">
        <v>31</v>
      </c>
      <c r="AG4" s="303">
        <v>0</v>
      </c>
      <c r="AH4" s="304" t="s">
        <v>72</v>
      </c>
    </row>
    <row r="5" spans="1:34" x14ac:dyDescent="0.25">
      <c r="A5" s="298" t="s">
        <v>152</v>
      </c>
      <c r="B5" s="108">
        <v>0</v>
      </c>
      <c r="C5" s="103">
        <v>0</v>
      </c>
      <c r="D5" s="491">
        <v>0</v>
      </c>
      <c r="E5" s="491">
        <v>0</v>
      </c>
      <c r="F5" s="491">
        <v>0</v>
      </c>
      <c r="G5" s="491">
        <v>0</v>
      </c>
      <c r="H5" s="491">
        <v>0</v>
      </c>
      <c r="I5" s="491">
        <v>0</v>
      </c>
      <c r="J5" s="491">
        <v>0</v>
      </c>
      <c r="K5" s="491">
        <v>0</v>
      </c>
      <c r="L5" s="491">
        <v>0</v>
      </c>
      <c r="M5" s="491">
        <v>0</v>
      </c>
      <c r="N5" s="491">
        <v>0</v>
      </c>
      <c r="O5" s="491">
        <v>0</v>
      </c>
      <c r="P5" s="491">
        <v>0</v>
      </c>
      <c r="Q5" s="491">
        <v>0</v>
      </c>
      <c r="R5" s="491">
        <v>0</v>
      </c>
      <c r="S5" s="491">
        <v>0</v>
      </c>
      <c r="T5" s="491">
        <v>0</v>
      </c>
      <c r="U5" s="491">
        <v>0</v>
      </c>
      <c r="V5" s="491">
        <v>0</v>
      </c>
      <c r="W5" s="491">
        <v>0</v>
      </c>
      <c r="X5" s="491">
        <v>0</v>
      </c>
      <c r="Y5" s="491">
        <v>0</v>
      </c>
      <c r="Z5" s="491">
        <v>0</v>
      </c>
      <c r="AA5" s="491">
        <v>0</v>
      </c>
      <c r="AB5" s="491">
        <v>0</v>
      </c>
      <c r="AC5" s="491">
        <v>0</v>
      </c>
      <c r="AD5" s="491">
        <v>0</v>
      </c>
      <c r="AE5" s="491">
        <v>0</v>
      </c>
      <c r="AF5" s="103">
        <v>0</v>
      </c>
      <c r="AG5" s="103">
        <v>0</v>
      </c>
      <c r="AH5" s="285">
        <v>0</v>
      </c>
    </row>
    <row r="6" spans="1:34" x14ac:dyDescent="0.25">
      <c r="A6" s="299" t="s">
        <v>153</v>
      </c>
      <c r="B6" s="124">
        <v>0</v>
      </c>
      <c r="C6" s="94">
        <v>0</v>
      </c>
      <c r="D6" s="493">
        <v>0</v>
      </c>
      <c r="E6" s="493">
        <v>535.08771929824559</v>
      </c>
      <c r="F6" s="493">
        <v>271.92982456140362</v>
      </c>
      <c r="G6" s="493">
        <v>289.4736842105263</v>
      </c>
      <c r="H6" s="493">
        <v>0</v>
      </c>
      <c r="I6" s="493">
        <v>201.75438596491227</v>
      </c>
      <c r="J6" s="493">
        <v>87.719298245614056</v>
      </c>
      <c r="K6" s="493">
        <v>192.98245614035079</v>
      </c>
      <c r="L6" s="493">
        <v>254.38596491228077</v>
      </c>
      <c r="M6" s="493">
        <v>359.64912280701759</v>
      </c>
      <c r="N6" s="493">
        <v>157.89473684210526</v>
      </c>
      <c r="O6" s="493">
        <v>0</v>
      </c>
      <c r="P6" s="493">
        <v>43.859649122807014</v>
      </c>
      <c r="Q6" s="493">
        <v>210.52631578947364</v>
      </c>
      <c r="R6" s="493">
        <v>52.631578947368439</v>
      </c>
      <c r="S6" s="493">
        <v>385.96491228070175</v>
      </c>
      <c r="T6" s="493">
        <v>414.03508771929825</v>
      </c>
      <c r="U6" s="493">
        <v>333.33333333333337</v>
      </c>
      <c r="V6" s="493">
        <v>35.087719298245588</v>
      </c>
      <c r="W6" s="493">
        <v>0</v>
      </c>
      <c r="X6" s="493">
        <v>254.38596491228071</v>
      </c>
      <c r="Y6" s="493">
        <v>271.92982456140339</v>
      </c>
      <c r="Z6" s="493">
        <v>87.719298245614027</v>
      </c>
      <c r="AA6" s="493">
        <v>263.1578947368422</v>
      </c>
      <c r="AB6" s="493">
        <v>184.21052631578942</v>
      </c>
      <c r="AC6" s="493">
        <v>70.175438596491233</v>
      </c>
      <c r="AD6" s="493">
        <v>0</v>
      </c>
      <c r="AE6" s="493">
        <v>0</v>
      </c>
      <c r="AF6" s="94">
        <v>0</v>
      </c>
      <c r="AG6" s="94">
        <v>377.19298245614038</v>
      </c>
      <c r="AH6" s="286">
        <v>5335.0877192982462</v>
      </c>
    </row>
    <row r="7" spans="1:34" x14ac:dyDescent="0.25">
      <c r="A7" s="299" t="s">
        <v>154</v>
      </c>
      <c r="B7" s="124">
        <v>0</v>
      </c>
      <c r="C7" s="94">
        <v>0</v>
      </c>
      <c r="D7" s="493">
        <v>0</v>
      </c>
      <c r="E7" s="493">
        <v>228.07017543859649</v>
      </c>
      <c r="F7" s="493">
        <v>517.54385964912274</v>
      </c>
      <c r="G7" s="493">
        <v>307.01754385964915</v>
      </c>
      <c r="H7" s="493">
        <v>0</v>
      </c>
      <c r="I7" s="493">
        <v>228.07017543859649</v>
      </c>
      <c r="J7" s="493">
        <v>26.315789473684212</v>
      </c>
      <c r="K7" s="493">
        <v>219.29824561403507</v>
      </c>
      <c r="L7" s="493">
        <v>307.01754385964909</v>
      </c>
      <c r="M7" s="493">
        <v>271.92982456140351</v>
      </c>
      <c r="N7" s="493">
        <v>184.21052631578948</v>
      </c>
      <c r="O7" s="493">
        <v>0</v>
      </c>
      <c r="P7" s="493">
        <v>96.491228070175453</v>
      </c>
      <c r="Q7" s="493">
        <v>105.26315789473676</v>
      </c>
      <c r="R7" s="493">
        <v>228.07017543859661</v>
      </c>
      <c r="S7" s="493">
        <v>324.56140350877189</v>
      </c>
      <c r="T7" s="493">
        <v>473.68421052631572</v>
      </c>
      <c r="U7" s="493">
        <v>219.29824561403507</v>
      </c>
      <c r="V7" s="493">
        <v>157.89473684210532</v>
      </c>
      <c r="W7" s="493">
        <v>0</v>
      </c>
      <c r="X7" s="493">
        <v>219.29824561403507</v>
      </c>
      <c r="Y7" s="493">
        <v>131.57894736842107</v>
      </c>
      <c r="Z7" s="493">
        <v>0</v>
      </c>
      <c r="AA7" s="493">
        <v>0</v>
      </c>
      <c r="AB7" s="493">
        <v>0</v>
      </c>
      <c r="AC7" s="493">
        <v>0</v>
      </c>
      <c r="AD7" s="493">
        <v>0</v>
      </c>
      <c r="AE7" s="493">
        <v>0</v>
      </c>
      <c r="AF7" s="94">
        <v>0</v>
      </c>
      <c r="AG7" s="94">
        <v>105.26315789473685</v>
      </c>
      <c r="AH7" s="286">
        <v>4350.8771929824561</v>
      </c>
    </row>
    <row r="8" spans="1:34" x14ac:dyDescent="0.25">
      <c r="A8" s="299" t="s">
        <v>155</v>
      </c>
      <c r="B8" s="124">
        <v>0</v>
      </c>
      <c r="C8" s="94">
        <v>0</v>
      </c>
      <c r="D8" s="493">
        <v>0</v>
      </c>
      <c r="E8" s="493">
        <v>0</v>
      </c>
      <c r="F8" s="493">
        <v>0</v>
      </c>
      <c r="G8" s="493">
        <v>0</v>
      </c>
      <c r="H8" s="493">
        <v>0</v>
      </c>
      <c r="I8" s="493">
        <v>0</v>
      </c>
      <c r="J8" s="493">
        <v>0</v>
      </c>
      <c r="K8" s="493">
        <v>0</v>
      </c>
      <c r="L8" s="493">
        <v>0</v>
      </c>
      <c r="M8" s="493">
        <v>0</v>
      </c>
      <c r="N8" s="493">
        <v>0</v>
      </c>
      <c r="O8" s="493">
        <v>0</v>
      </c>
      <c r="P8" s="493">
        <v>0</v>
      </c>
      <c r="Q8" s="493">
        <v>0</v>
      </c>
      <c r="R8" s="493">
        <v>0</v>
      </c>
      <c r="S8" s="493">
        <v>0</v>
      </c>
      <c r="T8" s="493">
        <v>0</v>
      </c>
      <c r="U8" s="493">
        <v>0</v>
      </c>
      <c r="V8" s="493">
        <v>0</v>
      </c>
      <c r="W8" s="493">
        <v>0</v>
      </c>
      <c r="X8" s="493">
        <v>0</v>
      </c>
      <c r="Y8" s="493">
        <v>0</v>
      </c>
      <c r="Z8" s="493">
        <v>0</v>
      </c>
      <c r="AA8" s="493">
        <v>0</v>
      </c>
      <c r="AB8" s="493">
        <v>0</v>
      </c>
      <c r="AC8" s="493">
        <v>0</v>
      </c>
      <c r="AD8" s="493">
        <v>0</v>
      </c>
      <c r="AE8" s="493">
        <v>0</v>
      </c>
      <c r="AF8" s="94">
        <v>0</v>
      </c>
      <c r="AG8" s="94">
        <v>0</v>
      </c>
      <c r="AH8" s="286">
        <v>0</v>
      </c>
    </row>
    <row r="9" spans="1:34" ht="14.95" thickBot="1" x14ac:dyDescent="0.3">
      <c r="A9" s="300" t="s">
        <v>156</v>
      </c>
      <c r="B9" s="107">
        <v>0</v>
      </c>
      <c r="C9" s="105">
        <v>0</v>
      </c>
      <c r="D9" s="494">
        <v>0</v>
      </c>
      <c r="E9" s="494">
        <v>0</v>
      </c>
      <c r="F9" s="494">
        <v>0</v>
      </c>
      <c r="G9" s="494">
        <v>0</v>
      </c>
      <c r="H9" s="494">
        <v>0</v>
      </c>
      <c r="I9" s="494">
        <v>0</v>
      </c>
      <c r="J9" s="494">
        <v>0</v>
      </c>
      <c r="K9" s="494">
        <v>0</v>
      </c>
      <c r="L9" s="494">
        <v>0</v>
      </c>
      <c r="M9" s="494">
        <v>0</v>
      </c>
      <c r="N9" s="494">
        <v>0</v>
      </c>
      <c r="O9" s="494">
        <v>0</v>
      </c>
      <c r="P9" s="494">
        <v>0</v>
      </c>
      <c r="Q9" s="494">
        <v>0</v>
      </c>
      <c r="R9" s="494">
        <v>0</v>
      </c>
      <c r="S9" s="494">
        <v>0</v>
      </c>
      <c r="T9" s="494">
        <v>0</v>
      </c>
      <c r="U9" s="494">
        <v>0</v>
      </c>
      <c r="V9" s="494">
        <v>0</v>
      </c>
      <c r="W9" s="494">
        <v>0</v>
      </c>
      <c r="X9" s="494">
        <v>0</v>
      </c>
      <c r="Y9" s="494">
        <v>0</v>
      </c>
      <c r="Z9" s="494">
        <v>0</v>
      </c>
      <c r="AA9" s="494">
        <v>0</v>
      </c>
      <c r="AB9" s="494">
        <v>0</v>
      </c>
      <c r="AC9" s="494">
        <v>0</v>
      </c>
      <c r="AD9" s="494">
        <v>0</v>
      </c>
      <c r="AE9" s="494">
        <v>0</v>
      </c>
      <c r="AF9" s="105">
        <v>0</v>
      </c>
      <c r="AG9" s="105">
        <v>0</v>
      </c>
      <c r="AH9" s="495">
        <v>0</v>
      </c>
    </row>
    <row r="10" spans="1:34" ht="14.95" thickBot="1" x14ac:dyDescent="0.3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</row>
    <row r="11" spans="1:34" ht="14.95" thickBot="1" x14ac:dyDescent="0.3">
      <c r="A11" s="574" t="s">
        <v>4</v>
      </c>
      <c r="B11" s="575"/>
      <c r="C11" s="576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</row>
    <row r="12" spans="1:34" ht="14.95" thickBot="1" x14ac:dyDescent="0.3">
      <c r="A12" s="159"/>
      <c r="B12" s="159" t="s">
        <v>79</v>
      </c>
      <c r="C12" s="292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6"/>
      <c r="AH12" s="293"/>
    </row>
    <row r="13" spans="1:34" ht="14.95" thickBot="1" x14ac:dyDescent="0.3">
      <c r="A13" s="159" t="s">
        <v>157</v>
      </c>
      <c r="B13" s="297">
        <v>1</v>
      </c>
      <c r="C13" s="297">
        <v>2</v>
      </c>
      <c r="D13" s="297">
        <v>3</v>
      </c>
      <c r="E13" s="297">
        <v>4</v>
      </c>
      <c r="F13" s="297">
        <v>5</v>
      </c>
      <c r="G13" s="297">
        <v>6</v>
      </c>
      <c r="H13" s="297">
        <v>7</v>
      </c>
      <c r="I13" s="297">
        <v>8</v>
      </c>
      <c r="J13" s="297">
        <v>9</v>
      </c>
      <c r="K13" s="297">
        <v>10</v>
      </c>
      <c r="L13" s="297">
        <v>11</v>
      </c>
      <c r="M13" s="297">
        <v>12</v>
      </c>
      <c r="N13" s="297">
        <v>13</v>
      </c>
      <c r="O13" s="297">
        <v>14</v>
      </c>
      <c r="P13" s="297">
        <v>15</v>
      </c>
      <c r="Q13" s="297">
        <v>16</v>
      </c>
      <c r="R13" s="297">
        <v>17</v>
      </c>
      <c r="S13" s="297">
        <v>18</v>
      </c>
      <c r="T13" s="297">
        <v>19</v>
      </c>
      <c r="U13" s="297">
        <v>20</v>
      </c>
      <c r="V13" s="297">
        <v>21</v>
      </c>
      <c r="W13" s="297">
        <v>22</v>
      </c>
      <c r="X13" s="297">
        <v>23</v>
      </c>
      <c r="Y13" s="297">
        <v>24</v>
      </c>
      <c r="Z13" s="297">
        <v>25</v>
      </c>
      <c r="AA13" s="297">
        <v>26</v>
      </c>
      <c r="AB13" s="297">
        <v>27</v>
      </c>
      <c r="AC13" s="297">
        <v>28</v>
      </c>
      <c r="AD13" s="297">
        <v>29</v>
      </c>
      <c r="AE13" s="297">
        <v>30</v>
      </c>
      <c r="AF13" s="297">
        <v>31</v>
      </c>
      <c r="AG13" s="297">
        <v>0</v>
      </c>
      <c r="AH13" s="297" t="s">
        <v>72</v>
      </c>
    </row>
    <row r="14" spans="1:34" x14ac:dyDescent="0.25">
      <c r="A14" s="294" t="s">
        <v>158</v>
      </c>
      <c r="B14" s="95">
        <v>0</v>
      </c>
      <c r="C14" s="96">
        <v>0</v>
      </c>
      <c r="D14" s="288">
        <v>0</v>
      </c>
      <c r="E14" s="288">
        <v>0</v>
      </c>
      <c r="F14" s="288">
        <v>0</v>
      </c>
      <c r="G14" s="288">
        <v>0</v>
      </c>
      <c r="H14" s="288">
        <v>0</v>
      </c>
      <c r="I14" s="288">
        <v>0</v>
      </c>
      <c r="J14" s="288">
        <v>0</v>
      </c>
      <c r="K14" s="288">
        <v>0</v>
      </c>
      <c r="L14" s="288">
        <v>0</v>
      </c>
      <c r="M14" s="288">
        <v>0</v>
      </c>
      <c r="N14" s="288">
        <v>0</v>
      </c>
      <c r="O14" s="288">
        <v>0</v>
      </c>
      <c r="P14" s="288">
        <v>0</v>
      </c>
      <c r="Q14" s="288">
        <v>0</v>
      </c>
      <c r="R14" s="288">
        <v>0</v>
      </c>
      <c r="S14" s="288">
        <v>0</v>
      </c>
      <c r="T14" s="288">
        <v>0</v>
      </c>
      <c r="U14" s="288">
        <v>0</v>
      </c>
      <c r="V14" s="288">
        <v>0</v>
      </c>
      <c r="W14" s="288">
        <v>0</v>
      </c>
      <c r="X14" s="288">
        <v>0</v>
      </c>
      <c r="Y14" s="288">
        <v>0</v>
      </c>
      <c r="Z14" s="288">
        <v>0</v>
      </c>
      <c r="AA14" s="288">
        <v>0</v>
      </c>
      <c r="AB14" s="288">
        <v>0</v>
      </c>
      <c r="AC14" s="288">
        <v>0</v>
      </c>
      <c r="AD14" s="288">
        <v>0</v>
      </c>
      <c r="AE14" s="288">
        <v>0</v>
      </c>
      <c r="AF14" s="96">
        <v>0</v>
      </c>
      <c r="AG14" s="96">
        <v>0</v>
      </c>
      <c r="AH14" s="289">
        <v>0</v>
      </c>
    </row>
    <row r="15" spans="1:34" x14ac:dyDescent="0.25">
      <c r="A15" s="295" t="s">
        <v>159</v>
      </c>
      <c r="B15" s="113">
        <v>0</v>
      </c>
      <c r="C15" s="630">
        <v>0</v>
      </c>
      <c r="D15" s="637">
        <v>0</v>
      </c>
      <c r="E15" s="637">
        <v>684.9122807017543</v>
      </c>
      <c r="F15" s="637">
        <v>348.07017543859661</v>
      </c>
      <c r="G15" s="637">
        <v>370.52631578947364</v>
      </c>
      <c r="H15" s="637">
        <v>0</v>
      </c>
      <c r="I15" s="637">
        <v>258.24561403508773</v>
      </c>
      <c r="J15" s="637">
        <v>112.280701754386</v>
      </c>
      <c r="K15" s="637">
        <v>247.01754385964901</v>
      </c>
      <c r="L15" s="637">
        <v>325.6140350877194</v>
      </c>
      <c r="M15" s="637">
        <v>460.35087719298247</v>
      </c>
      <c r="N15" s="637">
        <v>202.10526315789474</v>
      </c>
      <c r="O15" s="637">
        <v>0</v>
      </c>
      <c r="P15" s="637">
        <v>56.140350877192979</v>
      </c>
      <c r="Q15" s="637">
        <v>269.47368421052624</v>
      </c>
      <c r="R15" s="637">
        <v>67.368421052631604</v>
      </c>
      <c r="S15" s="637">
        <v>494.03508771929825</v>
      </c>
      <c r="T15" s="637">
        <v>529.96491228070181</v>
      </c>
      <c r="U15" s="637">
        <v>426.66666666666674</v>
      </c>
      <c r="V15" s="637">
        <v>44.912280701754355</v>
      </c>
      <c r="W15" s="637">
        <v>0</v>
      </c>
      <c r="X15" s="637">
        <v>325.61403508771934</v>
      </c>
      <c r="Y15" s="637">
        <v>348.07017543859638</v>
      </c>
      <c r="Z15" s="637">
        <v>112.28070175438596</v>
      </c>
      <c r="AA15" s="637">
        <v>336.84210526315803</v>
      </c>
      <c r="AB15" s="637">
        <v>235.78947368421046</v>
      </c>
      <c r="AC15" s="637">
        <v>89.824561403508767</v>
      </c>
      <c r="AD15" s="637">
        <v>0</v>
      </c>
      <c r="AE15" s="637">
        <v>0</v>
      </c>
      <c r="AF15" s="630">
        <v>0</v>
      </c>
      <c r="AG15" s="630">
        <v>0</v>
      </c>
      <c r="AH15" s="290">
        <v>6346.105263157895</v>
      </c>
    </row>
    <row r="16" spans="1:34" x14ac:dyDescent="0.25">
      <c r="A16" s="295" t="s">
        <v>160</v>
      </c>
      <c r="B16" s="113">
        <v>0</v>
      </c>
      <c r="C16" s="630">
        <v>0</v>
      </c>
      <c r="D16" s="637">
        <v>0</v>
      </c>
      <c r="E16" s="637">
        <v>273.68421052631584</v>
      </c>
      <c r="F16" s="637">
        <v>621.05263157894728</v>
      </c>
      <c r="G16" s="637">
        <v>368.42105263157896</v>
      </c>
      <c r="H16" s="637">
        <v>0</v>
      </c>
      <c r="I16" s="637">
        <v>273.68421052631578</v>
      </c>
      <c r="J16" s="637">
        <v>31.578947368421055</v>
      </c>
      <c r="K16" s="637">
        <v>263.15789473684208</v>
      </c>
      <c r="L16" s="637">
        <v>368.4210526315789</v>
      </c>
      <c r="M16" s="637">
        <v>326.31578947368422</v>
      </c>
      <c r="N16" s="637">
        <v>221.0526315789474</v>
      </c>
      <c r="O16" s="637">
        <v>0</v>
      </c>
      <c r="P16" s="637">
        <v>115.78947368421053</v>
      </c>
      <c r="Q16" s="637">
        <v>126.31578947368412</v>
      </c>
      <c r="R16" s="637">
        <v>273.68421052631595</v>
      </c>
      <c r="S16" s="637">
        <v>389.47368421052624</v>
      </c>
      <c r="T16" s="637">
        <v>568.42105263157896</v>
      </c>
      <c r="U16" s="637">
        <v>263.15789473684208</v>
      </c>
      <c r="V16" s="637">
        <v>189.47368421052639</v>
      </c>
      <c r="W16" s="637">
        <v>0</v>
      </c>
      <c r="X16" s="637">
        <v>263.15789473684208</v>
      </c>
      <c r="Y16" s="637">
        <v>157.89473684210529</v>
      </c>
      <c r="Z16" s="637">
        <v>0</v>
      </c>
      <c r="AA16" s="637">
        <v>0</v>
      </c>
      <c r="AB16" s="637">
        <v>0</v>
      </c>
      <c r="AC16" s="637">
        <v>0</v>
      </c>
      <c r="AD16" s="637">
        <v>0</v>
      </c>
      <c r="AE16" s="637">
        <v>0</v>
      </c>
      <c r="AF16" s="630">
        <v>0</v>
      </c>
      <c r="AG16" s="630">
        <v>0</v>
      </c>
      <c r="AH16" s="290">
        <v>5094.7368421052633</v>
      </c>
    </row>
    <row r="17" spans="1:34" x14ac:dyDescent="0.25">
      <c r="A17" s="295" t="s">
        <v>161</v>
      </c>
      <c r="B17" s="113">
        <v>0</v>
      </c>
      <c r="C17" s="630">
        <v>0</v>
      </c>
      <c r="D17" s="637">
        <v>0</v>
      </c>
      <c r="E17" s="637">
        <v>0</v>
      </c>
      <c r="F17" s="637">
        <v>0</v>
      </c>
      <c r="G17" s="637">
        <v>0</v>
      </c>
      <c r="H17" s="637">
        <v>0</v>
      </c>
      <c r="I17" s="637">
        <v>0</v>
      </c>
      <c r="J17" s="637">
        <v>0</v>
      </c>
      <c r="K17" s="637">
        <v>0</v>
      </c>
      <c r="L17" s="637">
        <v>0</v>
      </c>
      <c r="M17" s="637">
        <v>0</v>
      </c>
      <c r="N17" s="637">
        <v>0</v>
      </c>
      <c r="O17" s="637">
        <v>0</v>
      </c>
      <c r="P17" s="637">
        <v>0</v>
      </c>
      <c r="Q17" s="637">
        <v>0</v>
      </c>
      <c r="R17" s="637">
        <v>0</v>
      </c>
      <c r="S17" s="637">
        <v>0</v>
      </c>
      <c r="T17" s="637">
        <v>0</v>
      </c>
      <c r="U17" s="637">
        <v>0</v>
      </c>
      <c r="V17" s="637">
        <v>0</v>
      </c>
      <c r="W17" s="637">
        <v>0</v>
      </c>
      <c r="X17" s="637">
        <v>0</v>
      </c>
      <c r="Y17" s="637">
        <v>0</v>
      </c>
      <c r="Z17" s="637">
        <v>0</v>
      </c>
      <c r="AA17" s="637">
        <v>0</v>
      </c>
      <c r="AB17" s="637">
        <v>0</v>
      </c>
      <c r="AC17" s="637">
        <v>0</v>
      </c>
      <c r="AD17" s="637">
        <v>0</v>
      </c>
      <c r="AE17" s="637">
        <v>0</v>
      </c>
      <c r="AF17" s="630">
        <v>0</v>
      </c>
      <c r="AG17" s="630">
        <v>0</v>
      </c>
      <c r="AH17" s="290">
        <v>0</v>
      </c>
    </row>
    <row r="18" spans="1:34" ht="14.95" thickBot="1" x14ac:dyDescent="0.3">
      <c r="A18" s="296" t="s">
        <v>162</v>
      </c>
      <c r="B18" s="98">
        <v>0</v>
      </c>
      <c r="C18" s="99">
        <v>0</v>
      </c>
      <c r="D18" s="184">
        <v>0</v>
      </c>
      <c r="E18" s="184">
        <v>0</v>
      </c>
      <c r="F18" s="184">
        <v>0</v>
      </c>
      <c r="G18" s="184">
        <v>0</v>
      </c>
      <c r="H18" s="184">
        <v>0</v>
      </c>
      <c r="I18" s="184">
        <v>0</v>
      </c>
      <c r="J18" s="184">
        <v>0</v>
      </c>
      <c r="K18" s="184">
        <v>0</v>
      </c>
      <c r="L18" s="184">
        <v>0</v>
      </c>
      <c r="M18" s="184">
        <v>0</v>
      </c>
      <c r="N18" s="184">
        <v>0</v>
      </c>
      <c r="O18" s="184">
        <v>0</v>
      </c>
      <c r="P18" s="184">
        <v>0</v>
      </c>
      <c r="Q18" s="184">
        <v>0</v>
      </c>
      <c r="R18" s="184">
        <v>0</v>
      </c>
      <c r="S18" s="184">
        <v>0</v>
      </c>
      <c r="T18" s="184">
        <v>0</v>
      </c>
      <c r="U18" s="184">
        <v>0</v>
      </c>
      <c r="V18" s="184">
        <v>0</v>
      </c>
      <c r="W18" s="184">
        <v>0</v>
      </c>
      <c r="X18" s="184">
        <v>0</v>
      </c>
      <c r="Y18" s="184">
        <v>0</v>
      </c>
      <c r="Z18" s="184">
        <v>0</v>
      </c>
      <c r="AA18" s="184">
        <v>0</v>
      </c>
      <c r="AB18" s="184">
        <v>0</v>
      </c>
      <c r="AC18" s="184">
        <v>0</v>
      </c>
      <c r="AD18" s="184">
        <v>0</v>
      </c>
      <c r="AE18" s="184">
        <v>0</v>
      </c>
      <c r="AF18" s="99">
        <v>0</v>
      </c>
      <c r="AG18" s="99">
        <v>0</v>
      </c>
      <c r="AH18" s="291">
        <v>0</v>
      </c>
    </row>
    <row r="19" spans="1:34" x14ac:dyDescent="0.25">
      <c r="A19" s="38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 spans="1:34" ht="14.95" thickBot="1" x14ac:dyDescent="0.3"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 spans="1:34" ht="14.95" thickBot="1" x14ac:dyDescent="0.3">
      <c r="A21" s="579" t="s">
        <v>190</v>
      </c>
      <c r="B21" s="580"/>
      <c r="C21" s="581"/>
    </row>
    <row r="22" spans="1:34" ht="14.95" thickBot="1" x14ac:dyDescent="0.3">
      <c r="A22" s="368"/>
      <c r="B22" s="368" t="s">
        <v>79</v>
      </c>
      <c r="C22" s="369"/>
      <c r="D22" s="370"/>
      <c r="E22" s="370"/>
      <c r="F22" s="370"/>
      <c r="G22" s="370"/>
      <c r="H22" s="370"/>
      <c r="I22" s="370"/>
      <c r="J22" s="370"/>
      <c r="K22" s="370"/>
      <c r="L22" s="370"/>
      <c r="M22" s="370"/>
      <c r="N22" s="370"/>
      <c r="O22" s="370"/>
      <c r="P22" s="370"/>
      <c r="Q22" s="370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1"/>
    </row>
    <row r="23" spans="1:34" ht="14.95" thickBot="1" x14ac:dyDescent="0.3">
      <c r="A23" s="368" t="s">
        <v>157</v>
      </c>
      <c r="B23" s="372">
        <v>1</v>
      </c>
      <c r="C23" s="372">
        <v>2</v>
      </c>
      <c r="D23" s="372">
        <v>3</v>
      </c>
      <c r="E23" s="372">
        <v>4</v>
      </c>
      <c r="F23" s="372">
        <v>5</v>
      </c>
      <c r="G23" s="372">
        <v>6</v>
      </c>
      <c r="H23" s="372">
        <v>7</v>
      </c>
      <c r="I23" s="372">
        <v>8</v>
      </c>
      <c r="J23" s="372">
        <v>9</v>
      </c>
      <c r="K23" s="372">
        <v>10</v>
      </c>
      <c r="L23" s="372">
        <v>11</v>
      </c>
      <c r="M23" s="372">
        <v>12</v>
      </c>
      <c r="N23" s="372">
        <v>13</v>
      </c>
      <c r="O23" s="372">
        <v>14</v>
      </c>
      <c r="P23" s="372">
        <v>15</v>
      </c>
      <c r="Q23" s="372">
        <v>16</v>
      </c>
      <c r="R23" s="372">
        <v>17</v>
      </c>
      <c r="S23" s="372">
        <v>18</v>
      </c>
      <c r="T23" s="372">
        <v>19</v>
      </c>
      <c r="U23" s="372">
        <v>20</v>
      </c>
      <c r="V23" s="372">
        <v>21</v>
      </c>
      <c r="W23" s="372">
        <v>22</v>
      </c>
      <c r="X23" s="372">
        <v>23</v>
      </c>
      <c r="Y23" s="372">
        <v>24</v>
      </c>
      <c r="Z23" s="372">
        <v>25</v>
      </c>
      <c r="AA23" s="372">
        <v>26</v>
      </c>
      <c r="AB23" s="372">
        <v>27</v>
      </c>
      <c r="AC23" s="372">
        <v>28</v>
      </c>
      <c r="AD23" s="372">
        <v>29</v>
      </c>
      <c r="AE23" s="372">
        <v>30</v>
      </c>
      <c r="AF23" s="372">
        <v>31</v>
      </c>
      <c r="AG23" s="372">
        <v>0</v>
      </c>
      <c r="AH23" s="372" t="s">
        <v>72</v>
      </c>
    </row>
    <row r="24" spans="1:34" x14ac:dyDescent="0.25">
      <c r="A24" s="333" t="s">
        <v>191</v>
      </c>
      <c r="B24" s="95" t="e">
        <v>#DIV/0!</v>
      </c>
      <c r="C24" s="96">
        <v>0</v>
      </c>
      <c r="D24" s="288">
        <v>0</v>
      </c>
      <c r="E24" s="288">
        <v>0</v>
      </c>
      <c r="F24" s="288">
        <v>0</v>
      </c>
      <c r="G24" s="288">
        <v>0</v>
      </c>
      <c r="H24" s="288">
        <v>0</v>
      </c>
      <c r="I24" s="288" t="e">
        <v>#DIV/0!</v>
      </c>
      <c r="J24" s="288">
        <v>0</v>
      </c>
      <c r="K24" s="288">
        <v>0</v>
      </c>
      <c r="L24" s="288">
        <v>0</v>
      </c>
      <c r="M24" s="288">
        <v>0</v>
      </c>
      <c r="N24" s="288">
        <v>0</v>
      </c>
      <c r="O24" s="288">
        <v>0</v>
      </c>
      <c r="P24" s="288" t="e">
        <v>#DIV/0!</v>
      </c>
      <c r="Q24" s="288">
        <v>0</v>
      </c>
      <c r="R24" s="288">
        <v>0</v>
      </c>
      <c r="S24" s="288">
        <v>0</v>
      </c>
      <c r="T24" s="288">
        <v>0</v>
      </c>
      <c r="U24" s="288">
        <v>0</v>
      </c>
      <c r="V24" s="288">
        <v>0</v>
      </c>
      <c r="W24" s="288" t="e">
        <v>#DIV/0!</v>
      </c>
      <c r="X24" s="288">
        <v>0</v>
      </c>
      <c r="Y24" s="288">
        <v>0</v>
      </c>
      <c r="Z24" s="288">
        <v>0</v>
      </c>
      <c r="AA24" s="288">
        <v>0</v>
      </c>
      <c r="AB24" s="288">
        <v>0</v>
      </c>
      <c r="AC24" s="288">
        <v>0</v>
      </c>
      <c r="AD24" s="288" t="e">
        <v>#DIV/0!</v>
      </c>
      <c r="AE24" s="288" t="e">
        <v>#DIV/0!</v>
      </c>
      <c r="AF24" s="96" t="e">
        <v>#DIV/0!</v>
      </c>
      <c r="AG24" s="96" t="e">
        <v>#DIV/0!</v>
      </c>
      <c r="AH24" s="289">
        <v>0</v>
      </c>
    </row>
    <row r="25" spans="1:34" x14ac:dyDescent="0.25">
      <c r="A25" s="333" t="s">
        <v>193</v>
      </c>
      <c r="B25" s="113" t="e">
        <v>#DIV/0!</v>
      </c>
      <c r="C25" s="630">
        <v>0</v>
      </c>
      <c r="D25" s="637">
        <v>0</v>
      </c>
      <c r="E25" s="637">
        <v>704.38862621664452</v>
      </c>
      <c r="F25" s="637">
        <v>378.22203616138199</v>
      </c>
      <c r="G25" s="637">
        <v>380.97845983504817</v>
      </c>
      <c r="H25" s="637">
        <v>0</v>
      </c>
      <c r="I25" s="637" t="e">
        <v>#DIV/0!</v>
      </c>
      <c r="J25" s="637">
        <v>123.65620722569979</v>
      </c>
      <c r="K25" s="637">
        <v>281.4447044409834</v>
      </c>
      <c r="L25" s="637">
        <v>395.68944953137782</v>
      </c>
      <c r="M25" s="637">
        <v>581.78440994267783</v>
      </c>
      <c r="N25" s="637">
        <v>282.90646014691538</v>
      </c>
      <c r="O25" s="637">
        <v>0</v>
      </c>
      <c r="P25" s="637" t="e">
        <v>#DIV/0!</v>
      </c>
      <c r="Q25" s="637">
        <v>314.38151117420563</v>
      </c>
      <c r="R25" s="637">
        <v>71.190345966171492</v>
      </c>
      <c r="S25" s="637">
        <v>554.7434355934696</v>
      </c>
      <c r="T25" s="637">
        <v>564.23184041264233</v>
      </c>
      <c r="U25" s="637">
        <v>462.66074750072841</v>
      </c>
      <c r="V25" s="637">
        <v>64.17066830943574</v>
      </c>
      <c r="W25" s="637" t="e">
        <v>#DIV/0!</v>
      </c>
      <c r="X25" s="637">
        <v>697.5181657256561</v>
      </c>
      <c r="Y25" s="637">
        <v>351.8728654960118</v>
      </c>
      <c r="Z25" s="637">
        <v>119.9039554328988</v>
      </c>
      <c r="AA25" s="637">
        <v>385.53564243882391</v>
      </c>
      <c r="AB25" s="637">
        <v>280.13448205979381</v>
      </c>
      <c r="AC25" s="637">
        <v>244.00029718473692</v>
      </c>
      <c r="AD25" s="637" t="e">
        <v>#DIV/0!</v>
      </c>
      <c r="AE25" s="637" t="e">
        <v>#DIV/0!</v>
      </c>
      <c r="AF25" s="630" t="e">
        <v>#DIV/0!</v>
      </c>
      <c r="AG25" s="630" t="e">
        <v>#DIV/0!</v>
      </c>
      <c r="AH25" s="290">
        <v>334.0320869267976</v>
      </c>
    </row>
    <row r="26" spans="1:34" x14ac:dyDescent="0.25">
      <c r="A26" s="333" t="s">
        <v>194</v>
      </c>
      <c r="B26" s="113" t="e">
        <v>#DIV/0!</v>
      </c>
      <c r="C26" s="630">
        <v>0</v>
      </c>
      <c r="D26" s="637">
        <v>0</v>
      </c>
      <c r="E26" s="637">
        <v>281.46676662345436</v>
      </c>
      <c r="F26" s="637">
        <v>674.85181855407836</v>
      </c>
      <c r="G26" s="637">
        <v>378.81380949507633</v>
      </c>
      <c r="H26" s="637">
        <v>0</v>
      </c>
      <c r="I26" s="637" t="e">
        <v>#DIV/0!</v>
      </c>
      <c r="J26" s="637">
        <v>34.778308282228053</v>
      </c>
      <c r="K26" s="637">
        <v>299.83455728797958</v>
      </c>
      <c r="L26" s="637">
        <v>447.7089676809768</v>
      </c>
      <c r="M26" s="637">
        <v>412.39291253558719</v>
      </c>
      <c r="N26" s="637">
        <v>309.42894078568872</v>
      </c>
      <c r="O26" s="637">
        <v>0</v>
      </c>
      <c r="P26" s="637" t="e">
        <v>#DIV/0!</v>
      </c>
      <c r="Q26" s="637">
        <v>147.36633336290885</v>
      </c>
      <c r="R26" s="637">
        <v>289.21078048757175</v>
      </c>
      <c r="S26" s="637">
        <v>437.33324823064709</v>
      </c>
      <c r="T26" s="637">
        <v>605.17451103580549</v>
      </c>
      <c r="U26" s="637">
        <v>285.35819130390314</v>
      </c>
      <c r="V26" s="637">
        <v>270.72000693043231</v>
      </c>
      <c r="W26" s="637" t="e">
        <v>#DIV/0!</v>
      </c>
      <c r="X26" s="637">
        <v>563.72696583431252</v>
      </c>
      <c r="Y26" s="637">
        <v>159.61974745282799</v>
      </c>
      <c r="Z26" s="637">
        <v>0</v>
      </c>
      <c r="AA26" s="637">
        <v>0</v>
      </c>
      <c r="AB26" s="637">
        <v>0</v>
      </c>
      <c r="AC26" s="637">
        <v>0</v>
      </c>
      <c r="AD26" s="637" t="e">
        <v>#DIV/0!</v>
      </c>
      <c r="AE26" s="637" t="e">
        <v>#DIV/0!</v>
      </c>
      <c r="AF26" s="630" t="e">
        <v>#DIV/0!</v>
      </c>
      <c r="AG26" s="630" t="e">
        <v>#DIV/0!</v>
      </c>
      <c r="AH26" s="290">
        <v>268.16535641018118</v>
      </c>
    </row>
    <row r="27" spans="1:34" x14ac:dyDescent="0.25">
      <c r="A27" s="333" t="s">
        <v>195</v>
      </c>
      <c r="B27" s="113" t="e">
        <v>#NAME?</v>
      </c>
      <c r="C27" s="630" t="e">
        <v>#NAME?</v>
      </c>
      <c r="D27" s="637" t="e">
        <v>#NAME?</v>
      </c>
      <c r="E27" s="637" t="e">
        <v>#NAME?</v>
      </c>
      <c r="F27" s="637" t="e">
        <v>#NAME?</v>
      </c>
      <c r="G27" s="637" t="e">
        <v>#NAME?</v>
      </c>
      <c r="H27" s="637" t="e">
        <v>#NAME?</v>
      </c>
      <c r="I27" s="637" t="e">
        <v>#NAME?</v>
      </c>
      <c r="J27" s="637" t="e">
        <v>#NAME?</v>
      </c>
      <c r="K27" s="637" t="e">
        <v>#NAME?</v>
      </c>
      <c r="L27" s="637" t="e">
        <v>#NAME?</v>
      </c>
      <c r="M27" s="637" t="e">
        <v>#NAME?</v>
      </c>
      <c r="N27" s="637" t="e">
        <v>#NAME?</v>
      </c>
      <c r="O27" s="637" t="e">
        <v>#NAME?</v>
      </c>
      <c r="P27" s="637" t="e">
        <v>#NAME?</v>
      </c>
      <c r="Q27" s="637" t="e">
        <v>#NAME?</v>
      </c>
      <c r="R27" s="637" t="e">
        <v>#NAME?</v>
      </c>
      <c r="S27" s="637" t="e">
        <v>#NAME?</v>
      </c>
      <c r="T27" s="637" t="e">
        <v>#NAME?</v>
      </c>
      <c r="U27" s="637" t="e">
        <v>#NAME?</v>
      </c>
      <c r="V27" s="637" t="e">
        <v>#NAME?</v>
      </c>
      <c r="W27" s="637" t="e">
        <v>#NAME?</v>
      </c>
      <c r="X27" s="637" t="e">
        <v>#NAME?</v>
      </c>
      <c r="Y27" s="637" t="e">
        <v>#NAME?</v>
      </c>
      <c r="Z27" s="637" t="e">
        <v>#NAME?</v>
      </c>
      <c r="AA27" s="637" t="e">
        <v>#NAME?</v>
      </c>
      <c r="AB27" s="637" t="e">
        <v>#NAME?</v>
      </c>
      <c r="AC27" s="637" t="e">
        <v>#NAME?</v>
      </c>
      <c r="AD27" s="637" t="e">
        <v>#NAME?</v>
      </c>
      <c r="AE27" s="637" t="e">
        <v>#NAME?</v>
      </c>
      <c r="AF27" s="630" t="e">
        <v>#NAME?</v>
      </c>
      <c r="AG27" s="630" t="e">
        <v>#NAME?</v>
      </c>
      <c r="AH27" s="290" t="e">
        <v>#NAME?</v>
      </c>
    </row>
    <row r="28" spans="1:34" ht="14.95" thickBot="1" x14ac:dyDescent="0.3">
      <c r="A28" s="334" t="s">
        <v>196</v>
      </c>
      <c r="B28" s="98" t="e">
        <v>#DIV/0!</v>
      </c>
      <c r="C28" s="99">
        <v>0</v>
      </c>
      <c r="D28" s="184">
        <v>0</v>
      </c>
      <c r="E28" s="184">
        <v>0</v>
      </c>
      <c r="F28" s="184">
        <v>0</v>
      </c>
      <c r="G28" s="184">
        <v>0</v>
      </c>
      <c r="H28" s="184">
        <v>0</v>
      </c>
      <c r="I28" s="184" t="e">
        <v>#DIV/0!</v>
      </c>
      <c r="J28" s="184">
        <v>0</v>
      </c>
      <c r="K28" s="184">
        <v>0</v>
      </c>
      <c r="L28" s="184">
        <v>0</v>
      </c>
      <c r="M28" s="184">
        <v>0</v>
      </c>
      <c r="N28" s="184">
        <v>0</v>
      </c>
      <c r="O28" s="184">
        <v>0</v>
      </c>
      <c r="P28" s="184" t="e">
        <v>#DIV/0!</v>
      </c>
      <c r="Q28" s="184">
        <v>0</v>
      </c>
      <c r="R28" s="184">
        <v>0</v>
      </c>
      <c r="S28" s="184">
        <v>0</v>
      </c>
      <c r="T28" s="184">
        <v>0</v>
      </c>
      <c r="U28" s="184">
        <v>0</v>
      </c>
      <c r="V28" s="184">
        <v>0</v>
      </c>
      <c r="W28" s="184" t="e">
        <v>#DIV/0!</v>
      </c>
      <c r="X28" s="184">
        <v>0</v>
      </c>
      <c r="Y28" s="184">
        <v>0</v>
      </c>
      <c r="Z28" s="184">
        <v>0</v>
      </c>
      <c r="AA28" s="184">
        <v>0</v>
      </c>
      <c r="AB28" s="184">
        <v>0</v>
      </c>
      <c r="AC28" s="184">
        <v>0</v>
      </c>
      <c r="AD28" s="184" t="e">
        <v>#DIV/0!</v>
      </c>
      <c r="AE28" s="184" t="e">
        <v>#DIV/0!</v>
      </c>
      <c r="AF28" s="99" t="e">
        <v>#DIV/0!</v>
      </c>
      <c r="AG28" s="99" t="e">
        <v>#DIV/0!</v>
      </c>
      <c r="AH28" s="291">
        <v>0</v>
      </c>
    </row>
    <row r="30" spans="1:34" ht="14.95" thickBot="1" x14ac:dyDescent="0.3"/>
    <row r="31" spans="1:34" ht="14.95" thickBot="1" x14ac:dyDescent="0.3">
      <c r="A31" s="578" t="s">
        <v>31</v>
      </c>
      <c r="B31" s="529"/>
      <c r="C31" s="530"/>
    </row>
    <row r="32" spans="1:34" ht="14.95" thickBot="1" x14ac:dyDescent="0.3">
      <c r="A32" s="305"/>
      <c r="B32" s="306" t="s">
        <v>79</v>
      </c>
      <c r="C32" s="307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  <c r="U32" s="308"/>
      <c r="V32" s="308"/>
      <c r="W32" s="308"/>
      <c r="X32" s="308"/>
      <c r="Y32" s="308"/>
      <c r="Z32" s="308"/>
      <c r="AA32" s="308"/>
      <c r="AB32" s="308"/>
      <c r="AC32" s="308"/>
      <c r="AD32" s="308"/>
      <c r="AE32" s="308"/>
      <c r="AF32" s="308"/>
      <c r="AG32" s="308"/>
      <c r="AH32" s="309"/>
    </row>
    <row r="33" spans="1:34" ht="14.95" thickBot="1" x14ac:dyDescent="0.3">
      <c r="A33" s="305"/>
      <c r="B33" s="311">
        <v>1</v>
      </c>
      <c r="C33" s="312">
        <v>2</v>
      </c>
      <c r="D33" s="312">
        <v>3</v>
      </c>
      <c r="E33" s="312">
        <v>4</v>
      </c>
      <c r="F33" s="312">
        <v>5</v>
      </c>
      <c r="G33" s="312">
        <v>6</v>
      </c>
      <c r="H33" s="312">
        <v>7</v>
      </c>
      <c r="I33" s="312">
        <v>8</v>
      </c>
      <c r="J33" s="312">
        <v>9</v>
      </c>
      <c r="K33" s="312">
        <v>10</v>
      </c>
      <c r="L33" s="312">
        <v>11</v>
      </c>
      <c r="M33" s="312">
        <v>12</v>
      </c>
      <c r="N33" s="312">
        <v>13</v>
      </c>
      <c r="O33" s="312">
        <v>14</v>
      </c>
      <c r="P33" s="312">
        <v>15</v>
      </c>
      <c r="Q33" s="312">
        <v>16</v>
      </c>
      <c r="R33" s="312">
        <v>17</v>
      </c>
      <c r="S33" s="312">
        <v>18</v>
      </c>
      <c r="T33" s="312">
        <v>19</v>
      </c>
      <c r="U33" s="312">
        <v>20</v>
      </c>
      <c r="V33" s="312">
        <v>21</v>
      </c>
      <c r="W33" s="312">
        <v>22</v>
      </c>
      <c r="X33" s="312">
        <v>23</v>
      </c>
      <c r="Y33" s="312">
        <v>24</v>
      </c>
      <c r="Z33" s="312">
        <v>25</v>
      </c>
      <c r="AA33" s="312">
        <v>26</v>
      </c>
      <c r="AB33" s="312">
        <v>27</v>
      </c>
      <c r="AC33" s="312">
        <v>28</v>
      </c>
      <c r="AD33" s="312">
        <v>29</v>
      </c>
      <c r="AE33" s="312">
        <v>30</v>
      </c>
      <c r="AF33" s="312">
        <v>31</v>
      </c>
      <c r="AG33" s="313">
        <v>0</v>
      </c>
      <c r="AH33" s="310" t="s">
        <v>72</v>
      </c>
    </row>
    <row r="34" spans="1:34" s="202" customFormat="1" ht="14.95" thickBot="1" x14ac:dyDescent="0.3">
      <c r="A34" s="636" t="s">
        <v>192</v>
      </c>
      <c r="B34" s="633">
        <v>0</v>
      </c>
      <c r="C34" s="634">
        <v>115.9375</v>
      </c>
      <c r="D34" s="634">
        <v>272.67349999999999</v>
      </c>
      <c r="E34" s="634">
        <v>243.08749999999998</v>
      </c>
      <c r="F34" s="634">
        <v>230.07000000000002</v>
      </c>
      <c r="G34" s="634">
        <v>243.14124999999996</v>
      </c>
      <c r="H34" s="634">
        <v>136.13400000000001</v>
      </c>
      <c r="I34" s="634">
        <v>0</v>
      </c>
      <c r="J34" s="634">
        <v>227.00175000000002</v>
      </c>
      <c r="K34" s="634">
        <v>219.41925000000003</v>
      </c>
      <c r="L34" s="634">
        <v>205.72575000000001</v>
      </c>
      <c r="M34" s="634">
        <v>197.8185</v>
      </c>
      <c r="N34" s="634">
        <v>178.59725000000003</v>
      </c>
      <c r="O34" s="634">
        <v>47.176749999999998</v>
      </c>
      <c r="P34" s="634">
        <v>0</v>
      </c>
      <c r="Q34" s="634">
        <v>214.28874999999999</v>
      </c>
      <c r="R34" s="634">
        <v>236.57849999999996</v>
      </c>
      <c r="S34" s="634">
        <v>222.64125000000001</v>
      </c>
      <c r="T34" s="634">
        <v>234.81700000000001</v>
      </c>
      <c r="U34" s="634">
        <v>230.55050000000006</v>
      </c>
      <c r="V34" s="634">
        <v>174.97200000000001</v>
      </c>
      <c r="W34" s="634">
        <v>0</v>
      </c>
      <c r="X34" s="634">
        <v>116.7045</v>
      </c>
      <c r="Y34" s="634">
        <v>247.29825</v>
      </c>
      <c r="Z34" s="634">
        <v>234.10549999999995</v>
      </c>
      <c r="AA34" s="634">
        <v>218.42475000000002</v>
      </c>
      <c r="AB34" s="634">
        <v>210.42525000000001</v>
      </c>
      <c r="AC34" s="634">
        <v>92.033249999999995</v>
      </c>
      <c r="AD34" s="634">
        <v>0</v>
      </c>
      <c r="AE34" s="634">
        <v>0</v>
      </c>
      <c r="AF34" s="634">
        <v>0</v>
      </c>
      <c r="AG34" s="634">
        <v>0</v>
      </c>
      <c r="AH34" s="635">
        <v>4749.6225000000013</v>
      </c>
    </row>
    <row r="35" spans="1:34" s="373" customFormat="1" ht="14.95" thickBot="1" x14ac:dyDescent="0.3">
      <c r="A35" s="375" t="s">
        <v>197</v>
      </c>
      <c r="B35" s="376">
        <f>B34/60</f>
        <v>0</v>
      </c>
      <c r="C35" s="376">
        <f t="shared" ref="C35:AE35" si="0">C34/60</f>
        <v>1.9322916666666667</v>
      </c>
      <c r="D35" s="376">
        <f t="shared" si="0"/>
        <v>4.5445583333333328</v>
      </c>
      <c r="E35" s="376">
        <f t="shared" si="0"/>
        <v>4.0514583333333327</v>
      </c>
      <c r="F35" s="376">
        <f t="shared" si="0"/>
        <v>3.8345000000000002</v>
      </c>
      <c r="G35" s="376">
        <f t="shared" si="0"/>
        <v>4.0523541666666656</v>
      </c>
      <c r="H35" s="376">
        <f t="shared" si="0"/>
        <v>2.2689000000000004</v>
      </c>
      <c r="I35" s="376">
        <f t="shared" si="0"/>
        <v>0</v>
      </c>
      <c r="J35" s="376">
        <f t="shared" si="0"/>
        <v>3.7833625000000004</v>
      </c>
      <c r="K35" s="376">
        <f t="shared" si="0"/>
        <v>3.6569875000000005</v>
      </c>
      <c r="L35" s="376">
        <f t="shared" si="0"/>
        <v>3.4287624999999999</v>
      </c>
      <c r="M35" s="376">
        <f t="shared" si="0"/>
        <v>3.2969750000000002</v>
      </c>
      <c r="N35" s="376">
        <f t="shared" si="0"/>
        <v>2.9766208333333339</v>
      </c>
      <c r="O35" s="376">
        <f t="shared" si="0"/>
        <v>0.78627916666666664</v>
      </c>
      <c r="P35" s="376">
        <f t="shared" si="0"/>
        <v>0</v>
      </c>
      <c r="Q35" s="376">
        <f t="shared" si="0"/>
        <v>3.5714791666666668</v>
      </c>
      <c r="R35" s="376">
        <f t="shared" si="0"/>
        <v>3.9429749999999992</v>
      </c>
      <c r="S35" s="376">
        <f t="shared" si="0"/>
        <v>3.7106875000000001</v>
      </c>
      <c r="T35" s="376">
        <f t="shared" si="0"/>
        <v>3.913616666666667</v>
      </c>
      <c r="U35" s="376">
        <f t="shared" si="0"/>
        <v>3.8425083333333343</v>
      </c>
      <c r="V35" s="376">
        <f t="shared" si="0"/>
        <v>2.9162000000000003</v>
      </c>
      <c r="W35" s="376">
        <f t="shared" si="0"/>
        <v>0</v>
      </c>
      <c r="X35" s="376">
        <f t="shared" si="0"/>
        <v>1.9450749999999999</v>
      </c>
      <c r="Y35" s="376">
        <f t="shared" si="0"/>
        <v>4.1216375000000003</v>
      </c>
      <c r="Z35" s="376">
        <f t="shared" si="0"/>
        <v>3.9017583333333326</v>
      </c>
      <c r="AA35" s="376">
        <f t="shared" si="0"/>
        <v>3.6404125000000005</v>
      </c>
      <c r="AB35" s="376">
        <f t="shared" si="0"/>
        <v>3.5070874999999999</v>
      </c>
      <c r="AC35" s="376">
        <f t="shared" si="0"/>
        <v>1.5338874999999998</v>
      </c>
      <c r="AD35" s="376">
        <f t="shared" si="0"/>
        <v>0</v>
      </c>
      <c r="AE35" s="376">
        <f t="shared" si="0"/>
        <v>0</v>
      </c>
      <c r="AF35" s="377"/>
      <c r="AG35" s="374"/>
    </row>
  </sheetData>
  <mergeCells count="5">
    <mergeCell ref="A2:C2"/>
    <mergeCell ref="A11:C11"/>
    <mergeCell ref="A1:AF1"/>
    <mergeCell ref="A31:C31"/>
    <mergeCell ref="A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6088-94CD-4552-AB88-E0CCB77757AF}">
  <sheetPr codeName="Hoja6"/>
  <dimension ref="A1:CX412"/>
  <sheetViews>
    <sheetView topLeftCell="B1" zoomScaleNormal="100" workbookViewId="0">
      <selection activeCell="G12" sqref="G12"/>
    </sheetView>
  </sheetViews>
  <sheetFormatPr baseColWidth="10" defaultRowHeight="14.3" x14ac:dyDescent="0.25"/>
  <cols>
    <col min="1" max="1" width="0.375" customWidth="1"/>
    <col min="2" max="2" width="35.75" bestFit="1" customWidth="1"/>
    <col min="3" max="3" width="12.25" style="70" customWidth="1"/>
    <col min="4" max="4" width="18" customWidth="1"/>
    <col min="5" max="5" width="18.125" bestFit="1" customWidth="1"/>
    <col min="6" max="6" width="16.25" bestFit="1" customWidth="1"/>
    <col min="7" max="7" width="12.25" customWidth="1"/>
    <col min="8" max="8" width="4.75" customWidth="1"/>
    <col min="9" max="9" width="35.75" bestFit="1" customWidth="1"/>
    <col min="11" max="12" width="8.625" customWidth="1"/>
    <col min="13" max="14" width="9.375" customWidth="1"/>
    <col min="15" max="16" width="9.125" customWidth="1"/>
    <col min="17" max="18" width="8.625" customWidth="1"/>
    <col min="19" max="19" width="9.875" customWidth="1"/>
    <col min="20" max="20" width="9.375" customWidth="1"/>
  </cols>
  <sheetData>
    <row r="1" spans="2:19" ht="18" customHeight="1" thickBot="1" x14ac:dyDescent="0.4">
      <c r="I1" s="582" t="s">
        <v>165</v>
      </c>
      <c r="J1" s="582"/>
      <c r="K1" s="582"/>
      <c r="L1" s="582"/>
      <c r="M1" s="582"/>
      <c r="N1" s="582"/>
      <c r="O1" s="582"/>
      <c r="P1" s="582"/>
      <c r="Q1" s="582"/>
      <c r="R1" s="582"/>
    </row>
    <row r="2" spans="2:19" ht="43.5" customHeight="1" thickBot="1" x14ac:dyDescent="0.3">
      <c r="B2" s="594" t="s">
        <v>33</v>
      </c>
      <c r="C2" s="355" t="s">
        <v>12</v>
      </c>
      <c r="D2" s="330" t="s">
        <v>14</v>
      </c>
      <c r="E2" s="331" t="s">
        <v>35</v>
      </c>
      <c r="F2" s="328" t="s">
        <v>18</v>
      </c>
      <c r="G2" s="326" t="s">
        <v>13</v>
      </c>
      <c r="H2" s="30"/>
      <c r="I2" s="594" t="s">
        <v>32</v>
      </c>
      <c r="J2" s="596" t="s">
        <v>12</v>
      </c>
      <c r="K2" s="598" t="s">
        <v>14</v>
      </c>
      <c r="L2" s="599"/>
      <c r="M2" s="600" t="s">
        <v>34</v>
      </c>
      <c r="N2" s="601"/>
      <c r="O2" s="602" t="s">
        <v>36</v>
      </c>
      <c r="P2" s="603"/>
      <c r="Q2" s="592" t="s">
        <v>13</v>
      </c>
      <c r="R2" s="593"/>
    </row>
    <row r="3" spans="2:19" ht="14.95" thickBot="1" x14ac:dyDescent="0.3">
      <c r="B3" s="595"/>
      <c r="C3" s="327"/>
      <c r="D3" s="342" t="s">
        <v>11</v>
      </c>
      <c r="E3" s="343" t="s">
        <v>11</v>
      </c>
      <c r="F3" s="48" t="s">
        <v>11</v>
      </c>
      <c r="G3" s="49" t="s">
        <v>11</v>
      </c>
      <c r="H3" s="30"/>
      <c r="I3" s="595"/>
      <c r="J3" s="597"/>
      <c r="K3" s="317" t="s">
        <v>10</v>
      </c>
      <c r="L3" s="318" t="s">
        <v>11</v>
      </c>
      <c r="M3" s="319" t="s">
        <v>10</v>
      </c>
      <c r="N3" s="320" t="s">
        <v>11</v>
      </c>
      <c r="O3" s="321" t="s">
        <v>10</v>
      </c>
      <c r="P3" s="322" t="s">
        <v>11</v>
      </c>
      <c r="Q3" s="323" t="s">
        <v>10</v>
      </c>
      <c r="R3" s="324" t="s">
        <v>11</v>
      </c>
    </row>
    <row r="4" spans="2:19" ht="14.95" thickBot="1" x14ac:dyDescent="0.3">
      <c r="B4" s="3" t="s">
        <v>152</v>
      </c>
      <c r="C4" s="2">
        <v>1.24</v>
      </c>
      <c r="D4" s="46">
        <v>440</v>
      </c>
      <c r="E4" s="344">
        <f>C23+D23+E23+F23</f>
        <v>0</v>
      </c>
      <c r="F4" s="346">
        <f>+C14+D14+E14+F14</f>
        <v>0</v>
      </c>
      <c r="G4" s="346">
        <f>(D4+F4)-E4</f>
        <v>440</v>
      </c>
      <c r="H4" s="30"/>
      <c r="I4" s="3" t="s">
        <v>152</v>
      </c>
      <c r="J4" s="2">
        <v>1.24</v>
      </c>
      <c r="K4" s="46">
        <v>184.21052631578948</v>
      </c>
      <c r="L4" s="46">
        <f>K4*J4</f>
        <v>228.42105263157896</v>
      </c>
      <c r="M4" s="108">
        <f>GETPIVOTDATA(" CONSUMO (L) HCL (10%)",'CONSUMO QUÍMICA - CAUDALES RO'!$A3)</f>
        <v>0</v>
      </c>
      <c r="N4" s="314" t="e">
        <f>SUM(#REF!)</f>
        <v>#REF!</v>
      </c>
      <c r="O4" s="108">
        <f>J14+L14+N14</f>
        <v>360</v>
      </c>
      <c r="P4" s="314"/>
      <c r="Q4" s="50">
        <f>(K4+O4)-M4</f>
        <v>544.21052631578948</v>
      </c>
      <c r="R4" s="51">
        <f>Q4*J4</f>
        <v>674.82105263157894</v>
      </c>
    </row>
    <row r="5" spans="2:19" ht="15.8" customHeight="1" thickBot="1" x14ac:dyDescent="0.3">
      <c r="B5" s="5" t="s">
        <v>153</v>
      </c>
      <c r="C5" s="2">
        <v>1.29</v>
      </c>
      <c r="D5" s="46">
        <v>170</v>
      </c>
      <c r="E5" s="344">
        <f>C24+D24+E24+F24</f>
        <v>0</v>
      </c>
      <c r="F5" s="344">
        <f>+C15+D15+E15+F15</f>
        <v>700</v>
      </c>
      <c r="G5" s="344">
        <f>(D5+F5)-E5</f>
        <v>870</v>
      </c>
      <c r="H5" s="30"/>
      <c r="I5" s="5" t="s">
        <v>153</v>
      </c>
      <c r="J5" s="2">
        <v>1.29</v>
      </c>
      <c r="K5" s="46">
        <v>561.40350877192986</v>
      </c>
      <c r="L5" s="46">
        <f>K5*J5</f>
        <v>724.21052631578959</v>
      </c>
      <c r="M5" s="108">
        <f>GETPIVOTDATA(" CONSUMO (L) KURIVERTER IK-220 (Biocida)",'CONSUMO QUÍMICA - CAUDALES RO'!$A$3)</f>
        <v>5335.0877192982462</v>
      </c>
      <c r="N5" s="315" t="e">
        <f>SUM(#REF!)</f>
        <v>#REF!</v>
      </c>
      <c r="O5" s="124">
        <f>J15+L15+N15</f>
        <v>0</v>
      </c>
      <c r="P5" s="315"/>
      <c r="Q5" s="20">
        <f>(K5+O5)-M5</f>
        <v>-4773.6842105263167</v>
      </c>
      <c r="R5" s="4">
        <f>Q5*J5</f>
        <v>-6158.0526315789484</v>
      </c>
    </row>
    <row r="6" spans="2:19" ht="14.95" thickBot="1" x14ac:dyDescent="0.3">
      <c r="B6" s="5" t="s">
        <v>154</v>
      </c>
      <c r="C6" s="2">
        <v>1.2</v>
      </c>
      <c r="D6" s="46">
        <v>83</v>
      </c>
      <c r="E6" s="344">
        <f>C25+D25+E25+F25</f>
        <v>0</v>
      </c>
      <c r="F6" s="344">
        <f>+C16+D16+E16+F16</f>
        <v>0</v>
      </c>
      <c r="G6" s="344">
        <f>(D6+F6)-E6</f>
        <v>83</v>
      </c>
      <c r="H6" s="30"/>
      <c r="I6" s="5" t="s">
        <v>154</v>
      </c>
      <c r="J6" s="2">
        <v>1.2</v>
      </c>
      <c r="K6" s="46">
        <v>929.82456140350882</v>
      </c>
      <c r="L6" s="46">
        <f>K6*J6</f>
        <v>1115.7894736842106</v>
      </c>
      <c r="M6" s="108">
        <f>GETPIVOTDATA("CONSUMO (L) VITEC 7000 (Antiincrustante) ",'CONSUMO QUÍMICA - CAUDALES RO'!$A$3)</f>
        <v>4350.8771929824561</v>
      </c>
      <c r="N6" s="315" t="e">
        <f>SUM(#REF!)</f>
        <v>#REF!</v>
      </c>
      <c r="O6" s="124">
        <f>J16+L16+N16</f>
        <v>580</v>
      </c>
      <c r="P6" s="315"/>
      <c r="Q6" s="20">
        <f>(K6+O6)-M6</f>
        <v>-2841.0526315789475</v>
      </c>
      <c r="R6" s="4">
        <f>Q6*J6</f>
        <v>-3409.2631578947371</v>
      </c>
    </row>
    <row r="7" spans="2:19" ht="14.95" thickBot="1" x14ac:dyDescent="0.3">
      <c r="B7" s="5" t="s">
        <v>155</v>
      </c>
      <c r="C7" s="2">
        <v>1.2</v>
      </c>
      <c r="D7" s="46">
        <v>50</v>
      </c>
      <c r="E7" s="344">
        <f>C26+D26+E26+F26</f>
        <v>0</v>
      </c>
      <c r="F7" s="344">
        <f>+C17+D17+E17+F17</f>
        <v>0</v>
      </c>
      <c r="G7" s="344">
        <f>(D7+F7)-E7</f>
        <v>50</v>
      </c>
      <c r="H7" s="30"/>
      <c r="I7" s="5" t="s">
        <v>155</v>
      </c>
      <c r="J7" s="2">
        <v>1.2</v>
      </c>
      <c r="K7" s="46">
        <v>0</v>
      </c>
      <c r="L7" s="46">
        <f>K7*J7</f>
        <v>0</v>
      </c>
      <c r="M7" s="108">
        <f>GETPIVOTDATA("CONSUMO (L) Hidróxido de Sodio (NaOH) ",'CONSUMO QUÍMICA - CAUDALES RO'!$A$3)</f>
        <v>0</v>
      </c>
      <c r="N7" s="315" t="e">
        <f>SUM(#REF!)</f>
        <v>#REF!</v>
      </c>
      <c r="O7" s="124">
        <f>J17+L17+N17</f>
        <v>0</v>
      </c>
      <c r="P7" s="315"/>
      <c r="Q7" s="20">
        <f>(K7+O7)-M7</f>
        <v>0</v>
      </c>
      <c r="R7" s="4">
        <f>Q7*J7</f>
        <v>0</v>
      </c>
    </row>
    <row r="8" spans="2:19" ht="14.95" thickBot="1" x14ac:dyDescent="0.3">
      <c r="B8" s="7" t="s">
        <v>156</v>
      </c>
      <c r="C8" s="29">
        <v>1.48</v>
      </c>
      <c r="D8" s="47">
        <v>60</v>
      </c>
      <c r="E8" s="345">
        <f>C27+D27+E27+F27</f>
        <v>25</v>
      </c>
      <c r="F8" s="345">
        <f>+C18+D18+E18+F18</f>
        <v>0</v>
      </c>
      <c r="G8" s="345">
        <f>(D8+F8)-E8</f>
        <v>35</v>
      </c>
      <c r="H8" s="30"/>
      <c r="I8" s="7" t="s">
        <v>156</v>
      </c>
      <c r="J8" s="29">
        <v>2.5000000000000001E-3</v>
      </c>
      <c r="K8" s="47">
        <v>245.61403508771932</v>
      </c>
      <c r="L8" s="47">
        <f>K8*J8</f>
        <v>0.61403508771929827</v>
      </c>
      <c r="M8" s="108">
        <f>GETPIVOTDATA("CONSUMO (L) Bisulfito de sodio ",'CONSUMO QUÍMICA - CAUDALES RO'!$A$3)</f>
        <v>0</v>
      </c>
      <c r="N8" s="316" t="e">
        <f>SUM(#REF!)</f>
        <v>#REF!</v>
      </c>
      <c r="O8" s="107">
        <f>J18+L18+N18</f>
        <v>0</v>
      </c>
      <c r="P8" s="316"/>
      <c r="Q8" s="21">
        <f>(K8+O8)-M8</f>
        <v>245.61403508771932</v>
      </c>
      <c r="R8" s="22">
        <f>Q8*J8</f>
        <v>0.61403508771929827</v>
      </c>
    </row>
    <row r="9" spans="2:19" ht="3.75" customHeight="1" x14ac:dyDescent="0.25">
      <c r="B9" s="9"/>
      <c r="C9" s="354">
        <v>2.5000000000000001E-3</v>
      </c>
      <c r="D9" s="9"/>
    </row>
    <row r="10" spans="2:19" ht="16.5" customHeight="1" thickBot="1" x14ac:dyDescent="0.3"/>
    <row r="11" spans="2:19" ht="15.8" customHeight="1" thickBot="1" x14ac:dyDescent="0.3">
      <c r="B11" s="583" t="s">
        <v>178</v>
      </c>
      <c r="C11" s="568" t="s">
        <v>24</v>
      </c>
      <c r="D11" s="569"/>
      <c r="E11" s="569"/>
      <c r="F11" s="570"/>
      <c r="I11" s="583" t="s">
        <v>7</v>
      </c>
      <c r="J11" s="586" t="s">
        <v>164</v>
      </c>
      <c r="K11" s="587"/>
      <c r="L11" s="587"/>
      <c r="M11" s="587"/>
      <c r="N11" s="587"/>
      <c r="O11" s="587"/>
      <c r="P11" s="587"/>
      <c r="Q11" s="587"/>
      <c r="R11" s="587"/>
      <c r="S11" s="588"/>
    </row>
    <row r="12" spans="2:19" ht="18" customHeight="1" x14ac:dyDescent="0.25">
      <c r="B12" s="584"/>
      <c r="C12" s="329">
        <v>45677</v>
      </c>
      <c r="D12" s="339"/>
      <c r="E12" s="339"/>
      <c r="F12" s="347"/>
      <c r="I12" s="584"/>
      <c r="J12" s="589">
        <v>45550</v>
      </c>
      <c r="K12" s="590"/>
      <c r="L12" s="589">
        <v>45559</v>
      </c>
      <c r="M12" s="590"/>
      <c r="N12" s="589"/>
      <c r="O12" s="590"/>
      <c r="P12" s="589"/>
      <c r="Q12" s="590"/>
      <c r="R12" s="591"/>
      <c r="S12" s="590"/>
    </row>
    <row r="13" spans="2:19" ht="14.95" thickBot="1" x14ac:dyDescent="0.3">
      <c r="B13" s="585"/>
      <c r="C13" s="40" t="s">
        <v>176</v>
      </c>
      <c r="D13" s="40" t="s">
        <v>176</v>
      </c>
      <c r="E13" s="40" t="s">
        <v>176</v>
      </c>
      <c r="F13" s="348" t="s">
        <v>176</v>
      </c>
      <c r="I13" s="585"/>
      <c r="J13" s="40" t="s">
        <v>10</v>
      </c>
      <c r="K13" s="41" t="s">
        <v>11</v>
      </c>
      <c r="L13" s="40" t="s">
        <v>10</v>
      </c>
      <c r="M13" s="41" t="s">
        <v>11</v>
      </c>
      <c r="N13" s="40" t="s">
        <v>10</v>
      </c>
      <c r="O13" s="41" t="s">
        <v>11</v>
      </c>
      <c r="P13" s="40" t="s">
        <v>10</v>
      </c>
      <c r="Q13" s="41" t="s">
        <v>11</v>
      </c>
      <c r="R13" s="45" t="s">
        <v>10</v>
      </c>
      <c r="S13" s="41" t="s">
        <v>11</v>
      </c>
    </row>
    <row r="14" spans="2:19" x14ac:dyDescent="0.25">
      <c r="B14" s="42" t="str">
        <f>B4</f>
        <v xml:space="preserve"> CONSUMO (L) HCL (10%)</v>
      </c>
      <c r="C14" s="20">
        <v>0</v>
      </c>
      <c r="D14" s="20">
        <v>0</v>
      </c>
      <c r="E14" s="20">
        <v>0</v>
      </c>
      <c r="F14" s="349">
        <v>0</v>
      </c>
      <c r="I14" s="42" t="str">
        <f>I4</f>
        <v xml:space="preserve"> CONSUMO (L) HCL (10%)</v>
      </c>
      <c r="J14" s="20">
        <v>360</v>
      </c>
      <c r="K14" s="4"/>
      <c r="L14" s="20"/>
      <c r="M14" s="4"/>
      <c r="N14" s="20">
        <v>0</v>
      </c>
      <c r="O14" s="4" t="e">
        <f>N14*N4</f>
        <v>#REF!</v>
      </c>
      <c r="P14" s="20">
        <v>0</v>
      </c>
      <c r="Q14" s="4">
        <f>P14*P4</f>
        <v>0</v>
      </c>
      <c r="R14" s="20">
        <v>0</v>
      </c>
      <c r="S14" s="4">
        <f>R14*J4</f>
        <v>0</v>
      </c>
    </row>
    <row r="15" spans="2:19" x14ac:dyDescent="0.25">
      <c r="B15" s="43" t="str">
        <f>B5</f>
        <v xml:space="preserve"> CONSUMO (L) KURIVERTER IK-220 (Biocida)</v>
      </c>
      <c r="C15" s="27">
        <v>700</v>
      </c>
      <c r="D15" s="27">
        <v>0</v>
      </c>
      <c r="E15" s="27">
        <v>0</v>
      </c>
      <c r="F15" s="350">
        <v>0</v>
      </c>
      <c r="I15" s="43" t="str">
        <f>I5</f>
        <v xml:space="preserve"> CONSUMO (L) KURIVERTER IK-220 (Biocida)</v>
      </c>
      <c r="J15" s="27"/>
      <c r="K15" s="6"/>
      <c r="L15" s="27"/>
      <c r="M15" s="6"/>
      <c r="N15" s="27">
        <v>0</v>
      </c>
      <c r="O15" s="6">
        <f>N15*$C$5</f>
        <v>0</v>
      </c>
      <c r="P15" s="27">
        <v>0</v>
      </c>
      <c r="Q15" s="6">
        <f>P15*$C$5</f>
        <v>0</v>
      </c>
      <c r="R15" s="27">
        <v>0</v>
      </c>
      <c r="S15" s="6">
        <f>R15*$C$5</f>
        <v>0</v>
      </c>
    </row>
    <row r="16" spans="2:19" x14ac:dyDescent="0.25">
      <c r="B16" s="43" t="str">
        <f>B6</f>
        <v xml:space="preserve">CONSUMO (L) VITEC 7000 (Antiincrustante) </v>
      </c>
      <c r="C16" s="27">
        <v>0</v>
      </c>
      <c r="D16" s="27">
        <v>0</v>
      </c>
      <c r="E16" s="27">
        <v>0</v>
      </c>
      <c r="F16" s="350">
        <v>0</v>
      </c>
      <c r="I16" s="43" t="str">
        <f>I6</f>
        <v xml:space="preserve">CONSUMO (L) VITEC 7000 (Antiincrustante) </v>
      </c>
      <c r="J16" s="27"/>
      <c r="K16" s="6"/>
      <c r="L16" s="27">
        <v>580</v>
      </c>
      <c r="M16" s="6"/>
      <c r="N16" s="27">
        <v>0</v>
      </c>
      <c r="O16" s="6">
        <f>N16*$C$6</f>
        <v>0</v>
      </c>
      <c r="P16" s="27">
        <v>0</v>
      </c>
      <c r="Q16" s="6">
        <f>P16*$C$6</f>
        <v>0</v>
      </c>
      <c r="R16" s="27">
        <v>0</v>
      </c>
      <c r="S16" s="6">
        <f>R16*$C$6</f>
        <v>0</v>
      </c>
    </row>
    <row r="17" spans="1:102" ht="14.95" customHeight="1" x14ac:dyDescent="0.25">
      <c r="B17" s="43" t="str">
        <f>B7</f>
        <v xml:space="preserve">CONSUMO (L) Hidróxido de Sodio (NaOH) </v>
      </c>
      <c r="C17" s="27">
        <v>0</v>
      </c>
      <c r="D17" s="27">
        <v>0</v>
      </c>
      <c r="E17" s="27">
        <v>0</v>
      </c>
      <c r="F17" s="350">
        <v>0</v>
      </c>
      <c r="I17" s="43" t="str">
        <f>I7</f>
        <v xml:space="preserve">CONSUMO (L) Hidróxido de Sodio (NaOH) </v>
      </c>
      <c r="J17" s="27"/>
      <c r="K17" s="6"/>
      <c r="L17" s="27"/>
      <c r="M17" s="6"/>
      <c r="N17" s="27">
        <v>0</v>
      </c>
      <c r="O17" s="6">
        <f>N17*$C$7</f>
        <v>0</v>
      </c>
      <c r="P17" s="27">
        <v>0</v>
      </c>
      <c r="Q17" s="6">
        <f>P17*$C$7</f>
        <v>0</v>
      </c>
      <c r="R17" s="27">
        <v>0</v>
      </c>
      <c r="S17" s="6">
        <f>R17*$C$7</f>
        <v>0</v>
      </c>
    </row>
    <row r="18" spans="1:102" ht="17.5" customHeight="1" thickBot="1" x14ac:dyDescent="0.3">
      <c r="B18" s="44" t="str">
        <f>B8</f>
        <v xml:space="preserve">CONSUMO (L) Bisulfito de sodio </v>
      </c>
      <c r="C18" s="28">
        <v>0</v>
      </c>
      <c r="D18" s="28">
        <v>0</v>
      </c>
      <c r="E18" s="28">
        <v>0</v>
      </c>
      <c r="F18" s="351">
        <v>0</v>
      </c>
      <c r="I18" s="44" t="str">
        <f>I8</f>
        <v xml:space="preserve">CONSUMO (L) Bisulfito de sodio </v>
      </c>
      <c r="J18" s="28"/>
      <c r="K18" s="8"/>
      <c r="L18" s="28"/>
      <c r="M18" s="8"/>
      <c r="N18" s="28">
        <v>0</v>
      </c>
      <c r="O18" s="8">
        <f>N18*$C$8</f>
        <v>0</v>
      </c>
      <c r="P18" s="28">
        <v>0</v>
      </c>
      <c r="Q18" s="8">
        <f>P18*$C$8</f>
        <v>0</v>
      </c>
      <c r="R18" s="28">
        <v>0</v>
      </c>
      <c r="S18" s="8">
        <f>R18*$C$8</f>
        <v>0</v>
      </c>
    </row>
    <row r="19" spans="1:102" ht="14.95" thickBot="1" x14ac:dyDescent="0.3">
      <c r="E19" s="9"/>
      <c r="F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</row>
    <row r="20" spans="1:102" ht="15.8" customHeight="1" thickBot="1" x14ac:dyDescent="0.3">
      <c r="B20" s="607" t="s">
        <v>179</v>
      </c>
      <c r="C20" s="604" t="s">
        <v>177</v>
      </c>
      <c r="D20" s="605"/>
      <c r="E20" s="605"/>
      <c r="F20" s="606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</row>
    <row r="21" spans="1:102" x14ac:dyDescent="0.25">
      <c r="B21" s="608"/>
      <c r="C21" s="340">
        <v>45568</v>
      </c>
      <c r="D21" s="341"/>
      <c r="E21" s="341"/>
      <c r="F21" s="35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</row>
    <row r="22" spans="1:102" ht="14.95" thickBot="1" x14ac:dyDescent="0.3">
      <c r="B22" s="609"/>
      <c r="C22" s="338" t="s">
        <v>10</v>
      </c>
      <c r="D22" s="338" t="s">
        <v>10</v>
      </c>
      <c r="E22" s="338" t="s">
        <v>10</v>
      </c>
      <c r="F22" s="353" t="s">
        <v>10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</row>
    <row r="23" spans="1:102" x14ac:dyDescent="0.25">
      <c r="B23" s="3" t="s">
        <v>152</v>
      </c>
      <c r="C23" s="20">
        <v>0</v>
      </c>
      <c r="D23" s="20">
        <v>0</v>
      </c>
      <c r="E23" s="20">
        <v>0</v>
      </c>
      <c r="F23" s="349">
        <v>0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</row>
    <row r="24" spans="1:102" x14ac:dyDescent="0.25">
      <c r="B24" s="5" t="s">
        <v>153</v>
      </c>
      <c r="C24" s="27">
        <v>0</v>
      </c>
      <c r="D24" s="27">
        <v>0</v>
      </c>
      <c r="E24" s="27">
        <v>0</v>
      </c>
      <c r="F24" s="350">
        <v>0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</row>
    <row r="25" spans="1:102" x14ac:dyDescent="0.25">
      <c r="A25" s="9"/>
      <c r="B25" s="5" t="s">
        <v>154</v>
      </c>
      <c r="C25" s="27">
        <v>0</v>
      </c>
      <c r="D25" s="27">
        <v>0</v>
      </c>
      <c r="E25" s="27">
        <v>0</v>
      </c>
      <c r="F25" s="350">
        <v>0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</row>
    <row r="26" spans="1:102" x14ac:dyDescent="0.25">
      <c r="B26" s="5" t="s">
        <v>155</v>
      </c>
      <c r="C26" s="27">
        <v>0</v>
      </c>
      <c r="D26" s="27">
        <v>0</v>
      </c>
      <c r="E26" s="27">
        <v>0</v>
      </c>
      <c r="F26" s="350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</row>
    <row r="27" spans="1:102" ht="14.95" thickBot="1" x14ac:dyDescent="0.3">
      <c r="B27" s="7" t="s">
        <v>156</v>
      </c>
      <c r="C27" s="28">
        <v>25</v>
      </c>
      <c r="D27" s="28">
        <v>0</v>
      </c>
      <c r="E27" s="28">
        <v>0</v>
      </c>
      <c r="F27" s="351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</row>
    <row r="28" spans="1:102" x14ac:dyDescent="0.25">
      <c r="B28" s="9" t="s">
        <v>175</v>
      </c>
      <c r="C28" s="354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</row>
    <row r="29" spans="1:102" x14ac:dyDescent="0.25">
      <c r="B29" s="9"/>
      <c r="C29" s="354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</row>
    <row r="30" spans="1:102" x14ac:dyDescent="0.25">
      <c r="B30" s="9"/>
      <c r="C30" s="354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</row>
    <row r="31" spans="1:102" x14ac:dyDescent="0.25">
      <c r="B31" s="9"/>
      <c r="C31" s="35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</row>
    <row r="32" spans="1:102" x14ac:dyDescent="0.25">
      <c r="B32" s="9"/>
      <c r="C32" s="354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</row>
    <row r="33" spans="2:102" x14ac:dyDescent="0.25">
      <c r="B33" s="9"/>
      <c r="C33" s="354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</row>
    <row r="34" spans="2:102" x14ac:dyDescent="0.25">
      <c r="B34" s="9"/>
      <c r="C34" s="354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</row>
    <row r="35" spans="2:102" x14ac:dyDescent="0.25">
      <c r="B35" s="9"/>
      <c r="C35" s="354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</row>
    <row r="36" spans="2:102" x14ac:dyDescent="0.25">
      <c r="B36" s="9"/>
      <c r="C36" s="354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</row>
    <row r="37" spans="2:102" x14ac:dyDescent="0.25">
      <c r="B37" s="9"/>
      <c r="C37" s="354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</row>
    <row r="38" spans="2:102" x14ac:dyDescent="0.25">
      <c r="B38" s="9"/>
      <c r="C38" s="354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</row>
    <row r="39" spans="2:102" x14ac:dyDescent="0.25">
      <c r="B39" s="9"/>
      <c r="C39" s="354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</row>
    <row r="40" spans="2:102" x14ac:dyDescent="0.25">
      <c r="B40" s="9"/>
      <c r="C40" s="354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</row>
    <row r="41" spans="2:102" x14ac:dyDescent="0.25">
      <c r="B41" s="9"/>
      <c r="C41" s="354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</row>
    <row r="42" spans="2:102" x14ac:dyDescent="0.25">
      <c r="B42" s="9"/>
      <c r="C42" s="354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</row>
    <row r="43" spans="2:102" x14ac:dyDescent="0.25">
      <c r="B43" s="9"/>
      <c r="C43" s="354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</row>
    <row r="44" spans="2:102" x14ac:dyDescent="0.25">
      <c r="B44" s="9"/>
      <c r="C44" s="354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</row>
    <row r="45" spans="2:102" x14ac:dyDescent="0.25">
      <c r="B45" s="9"/>
      <c r="C45" s="354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</row>
    <row r="46" spans="2:102" x14ac:dyDescent="0.25">
      <c r="B46" s="9"/>
      <c r="C46" s="354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</row>
    <row r="47" spans="2:102" x14ac:dyDescent="0.25">
      <c r="B47" s="9"/>
      <c r="C47" s="354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</row>
    <row r="48" spans="2:102" x14ac:dyDescent="0.25">
      <c r="B48" s="9"/>
      <c r="C48" s="354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</row>
    <row r="49" spans="2:102" x14ac:dyDescent="0.25">
      <c r="B49" s="9"/>
      <c r="C49" s="354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</row>
    <row r="50" spans="2:102" x14ac:dyDescent="0.25">
      <c r="B50" s="9"/>
      <c r="C50" s="354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</row>
    <row r="51" spans="2:102" x14ac:dyDescent="0.25">
      <c r="B51" s="9"/>
      <c r="C51" s="354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</row>
    <row r="52" spans="2:102" x14ac:dyDescent="0.25">
      <c r="B52" s="9"/>
      <c r="C52" s="354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</row>
    <row r="53" spans="2:102" x14ac:dyDescent="0.25">
      <c r="B53" s="9"/>
      <c r="C53" s="354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</row>
    <row r="54" spans="2:102" x14ac:dyDescent="0.25">
      <c r="B54" s="9"/>
      <c r="C54" s="354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</row>
    <row r="55" spans="2:102" x14ac:dyDescent="0.25">
      <c r="B55" s="9"/>
      <c r="C55" s="354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</row>
    <row r="56" spans="2:102" x14ac:dyDescent="0.25">
      <c r="B56" s="9"/>
      <c r="C56" s="354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</row>
    <row r="57" spans="2:102" x14ac:dyDescent="0.25">
      <c r="B57" s="9"/>
      <c r="C57" s="354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</row>
    <row r="58" spans="2:102" x14ac:dyDescent="0.25">
      <c r="B58" s="9"/>
      <c r="C58" s="354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</row>
    <row r="59" spans="2:102" x14ac:dyDescent="0.25">
      <c r="B59" s="9"/>
      <c r="C59" s="354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</row>
    <row r="60" spans="2:102" x14ac:dyDescent="0.25">
      <c r="B60" s="9"/>
      <c r="C60" s="354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</row>
    <row r="61" spans="2:102" x14ac:dyDescent="0.25">
      <c r="B61" s="9"/>
      <c r="C61" s="354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</row>
    <row r="62" spans="2:102" x14ac:dyDescent="0.25">
      <c r="B62" s="9"/>
      <c r="C62" s="354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</row>
    <row r="63" spans="2:102" x14ac:dyDescent="0.25">
      <c r="B63" s="9"/>
      <c r="C63" s="354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</row>
    <row r="64" spans="2:102" x14ac:dyDescent="0.25">
      <c r="B64" s="9"/>
      <c r="C64" s="354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</row>
    <row r="65" spans="2:102" x14ac:dyDescent="0.25">
      <c r="B65" s="9"/>
      <c r="C65" s="354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</row>
    <row r="66" spans="2:102" x14ac:dyDescent="0.25">
      <c r="B66" s="9"/>
      <c r="C66" s="354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</row>
    <row r="67" spans="2:102" x14ac:dyDescent="0.25">
      <c r="B67" s="9"/>
      <c r="C67" s="354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</row>
    <row r="68" spans="2:102" x14ac:dyDescent="0.25">
      <c r="B68" s="9"/>
      <c r="C68" s="354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</row>
    <row r="69" spans="2:102" x14ac:dyDescent="0.25">
      <c r="B69" s="9"/>
      <c r="C69" s="354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</row>
    <row r="70" spans="2:102" x14ac:dyDescent="0.25">
      <c r="B70" s="9"/>
      <c r="C70" s="354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</row>
    <row r="71" spans="2:102" x14ac:dyDescent="0.25">
      <c r="B71" s="9"/>
      <c r="C71" s="354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</row>
    <row r="72" spans="2:102" x14ac:dyDescent="0.25">
      <c r="B72" s="9"/>
      <c r="C72" s="354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</row>
    <row r="73" spans="2:102" x14ac:dyDescent="0.25">
      <c r="B73" s="9"/>
      <c r="C73" s="354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</row>
    <row r="74" spans="2:102" x14ac:dyDescent="0.25">
      <c r="B74" s="9"/>
      <c r="C74" s="354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</row>
    <row r="75" spans="2:102" x14ac:dyDescent="0.25">
      <c r="B75" s="9"/>
      <c r="C75" s="354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</row>
    <row r="76" spans="2:102" x14ac:dyDescent="0.25">
      <c r="B76" s="9"/>
      <c r="C76" s="354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</row>
    <row r="77" spans="2:102" x14ac:dyDescent="0.25">
      <c r="B77" s="9"/>
      <c r="C77" s="354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</row>
    <row r="78" spans="2:102" x14ac:dyDescent="0.25">
      <c r="B78" s="9"/>
      <c r="C78" s="354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</row>
    <row r="79" spans="2:102" x14ac:dyDescent="0.25">
      <c r="B79" s="9"/>
      <c r="C79" s="354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</row>
    <row r="80" spans="2:102" x14ac:dyDescent="0.25">
      <c r="B80" s="9"/>
      <c r="C80" s="354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</row>
    <row r="81" spans="2:102" x14ac:dyDescent="0.25">
      <c r="B81" s="9"/>
      <c r="C81" s="354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</row>
    <row r="82" spans="2:102" x14ac:dyDescent="0.25">
      <c r="B82" s="9"/>
      <c r="C82" s="354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</row>
    <row r="83" spans="2:102" x14ac:dyDescent="0.25">
      <c r="B83" s="9"/>
      <c r="C83" s="354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</row>
    <row r="84" spans="2:102" x14ac:dyDescent="0.25">
      <c r="B84" s="9"/>
      <c r="C84" s="354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</row>
    <row r="85" spans="2:102" x14ac:dyDescent="0.25">
      <c r="B85" s="9"/>
      <c r="C85" s="354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</row>
    <row r="86" spans="2:102" x14ac:dyDescent="0.25">
      <c r="B86" s="9"/>
      <c r="C86" s="354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</row>
    <row r="87" spans="2:102" x14ac:dyDescent="0.25">
      <c r="B87" s="9"/>
      <c r="C87" s="354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</row>
    <row r="88" spans="2:102" x14ac:dyDescent="0.25">
      <c r="B88" s="9"/>
      <c r="C88" s="354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</row>
    <row r="89" spans="2:102" x14ac:dyDescent="0.25">
      <c r="B89" s="9"/>
      <c r="C89" s="354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</row>
    <row r="90" spans="2:102" x14ac:dyDescent="0.25">
      <c r="B90" s="9"/>
      <c r="C90" s="354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</row>
    <row r="91" spans="2:102" x14ac:dyDescent="0.25">
      <c r="B91" s="9"/>
      <c r="C91" s="354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</row>
    <row r="92" spans="2:102" x14ac:dyDescent="0.25">
      <c r="B92" s="9"/>
      <c r="C92" s="354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</row>
    <row r="93" spans="2:102" x14ac:dyDescent="0.25">
      <c r="B93" s="9"/>
      <c r="C93" s="354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</row>
    <row r="94" spans="2:102" x14ac:dyDescent="0.25">
      <c r="B94" s="9"/>
      <c r="C94" s="354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</row>
    <row r="95" spans="2:102" x14ac:dyDescent="0.25">
      <c r="B95" s="9"/>
      <c r="C95" s="354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</row>
    <row r="96" spans="2:102" x14ac:dyDescent="0.25">
      <c r="B96" s="9"/>
      <c r="C96" s="354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</row>
    <row r="97" spans="2:102" x14ac:dyDescent="0.25">
      <c r="B97" s="9"/>
      <c r="C97" s="354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</row>
    <row r="98" spans="2:102" x14ac:dyDescent="0.25">
      <c r="B98" s="9"/>
      <c r="C98" s="354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</row>
    <row r="99" spans="2:102" x14ac:dyDescent="0.25">
      <c r="B99" s="9"/>
      <c r="C99" s="354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</row>
    <row r="100" spans="2:102" x14ac:dyDescent="0.25">
      <c r="B100" s="9"/>
      <c r="C100" s="354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</row>
    <row r="101" spans="2:102" x14ac:dyDescent="0.25">
      <c r="B101" s="9"/>
      <c r="C101" s="354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</row>
    <row r="102" spans="2:102" x14ac:dyDescent="0.25">
      <c r="B102" s="9"/>
      <c r="C102" s="354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</row>
    <row r="103" spans="2:102" x14ac:dyDescent="0.25">
      <c r="B103" s="9"/>
      <c r="C103" s="354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</row>
    <row r="104" spans="2:102" x14ac:dyDescent="0.25">
      <c r="B104" s="9"/>
      <c r="C104" s="354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</row>
    <row r="105" spans="2:102" x14ac:dyDescent="0.25">
      <c r="B105" s="9"/>
      <c r="C105" s="354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</row>
    <row r="106" spans="2:102" x14ac:dyDescent="0.25">
      <c r="B106" s="9"/>
      <c r="C106" s="354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</row>
    <row r="107" spans="2:102" x14ac:dyDescent="0.25">
      <c r="B107" s="9"/>
      <c r="C107" s="354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</row>
    <row r="108" spans="2:102" x14ac:dyDescent="0.25">
      <c r="B108" s="9"/>
      <c r="C108" s="354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</row>
    <row r="109" spans="2:102" x14ac:dyDescent="0.25">
      <c r="B109" s="9"/>
      <c r="C109" s="354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</row>
    <row r="110" spans="2:102" x14ac:dyDescent="0.25">
      <c r="B110" s="9"/>
      <c r="C110" s="354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</row>
    <row r="111" spans="2:102" x14ac:dyDescent="0.25">
      <c r="B111" s="9"/>
      <c r="C111" s="354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</row>
    <row r="112" spans="2:102" x14ac:dyDescent="0.25">
      <c r="B112" s="9"/>
      <c r="C112" s="354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</row>
    <row r="113" spans="2:102" x14ac:dyDescent="0.25">
      <c r="B113" s="9"/>
      <c r="C113" s="354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</row>
    <row r="114" spans="2:102" x14ac:dyDescent="0.25">
      <c r="B114" s="9"/>
      <c r="C114" s="354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</row>
    <row r="115" spans="2:102" x14ac:dyDescent="0.25">
      <c r="B115" s="9"/>
      <c r="C115" s="354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</row>
    <row r="116" spans="2:102" x14ac:dyDescent="0.25">
      <c r="B116" s="9"/>
      <c r="C116" s="354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</row>
    <row r="117" spans="2:102" x14ac:dyDescent="0.25">
      <c r="B117" s="9"/>
      <c r="C117" s="354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</row>
    <row r="118" spans="2:102" x14ac:dyDescent="0.25">
      <c r="B118" s="9"/>
      <c r="C118" s="354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</row>
    <row r="119" spans="2:102" x14ac:dyDescent="0.25">
      <c r="B119" s="9"/>
      <c r="C119" s="354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</row>
    <row r="120" spans="2:102" x14ac:dyDescent="0.25">
      <c r="B120" s="9"/>
      <c r="C120" s="354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</row>
    <row r="121" spans="2:102" x14ac:dyDescent="0.25">
      <c r="B121" s="9"/>
      <c r="C121" s="354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</row>
    <row r="122" spans="2:102" x14ac:dyDescent="0.25">
      <c r="B122" s="9"/>
      <c r="C122" s="354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</row>
    <row r="123" spans="2:102" x14ac:dyDescent="0.25">
      <c r="B123" s="9"/>
      <c r="C123" s="354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</row>
    <row r="124" spans="2:102" x14ac:dyDescent="0.25">
      <c r="B124" s="9"/>
      <c r="C124" s="354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</row>
    <row r="125" spans="2:102" x14ac:dyDescent="0.25">
      <c r="B125" s="9"/>
      <c r="C125" s="354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</row>
    <row r="126" spans="2:102" x14ac:dyDescent="0.25">
      <c r="B126" s="9"/>
      <c r="C126" s="354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</row>
    <row r="127" spans="2:102" x14ac:dyDescent="0.25">
      <c r="B127" s="9"/>
      <c r="C127" s="354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</row>
    <row r="128" spans="2:102" x14ac:dyDescent="0.25">
      <c r="B128" s="9"/>
      <c r="C128" s="354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</row>
    <row r="129" spans="2:102" x14ac:dyDescent="0.25">
      <c r="B129" s="9"/>
      <c r="C129" s="354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</row>
    <row r="130" spans="2:102" x14ac:dyDescent="0.25">
      <c r="B130" s="9"/>
      <c r="C130" s="35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</row>
    <row r="131" spans="2:102" x14ac:dyDescent="0.25">
      <c r="B131" s="9"/>
      <c r="C131" s="354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</row>
    <row r="132" spans="2:102" x14ac:dyDescent="0.25">
      <c r="B132" s="9"/>
      <c r="C132" s="354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</row>
    <row r="133" spans="2:102" x14ac:dyDescent="0.25">
      <c r="B133" s="9"/>
      <c r="C133" s="354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</row>
    <row r="134" spans="2:102" x14ac:dyDescent="0.25">
      <c r="B134" s="9"/>
      <c r="C134" s="354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</row>
    <row r="135" spans="2:102" x14ac:dyDescent="0.25">
      <c r="B135" s="9"/>
      <c r="C135" s="354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</row>
    <row r="136" spans="2:102" x14ac:dyDescent="0.25">
      <c r="B136" s="9"/>
      <c r="C136" s="354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</row>
    <row r="137" spans="2:102" x14ac:dyDescent="0.25">
      <c r="B137" s="9"/>
      <c r="C137" s="354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</row>
    <row r="138" spans="2:102" x14ac:dyDescent="0.25">
      <c r="B138" s="9"/>
      <c r="C138" s="354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</row>
    <row r="139" spans="2:102" x14ac:dyDescent="0.25">
      <c r="B139" s="9"/>
      <c r="C139" s="354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</row>
    <row r="140" spans="2:102" x14ac:dyDescent="0.25">
      <c r="B140" s="9"/>
      <c r="C140" s="354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</row>
    <row r="141" spans="2:102" x14ac:dyDescent="0.25">
      <c r="B141" s="9"/>
      <c r="C141" s="354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</row>
    <row r="142" spans="2:102" x14ac:dyDescent="0.25">
      <c r="B142" s="9"/>
      <c r="C142" s="354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</row>
    <row r="143" spans="2:102" x14ac:dyDescent="0.25">
      <c r="B143" s="9"/>
      <c r="C143" s="354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</row>
    <row r="144" spans="2:102" x14ac:dyDescent="0.25">
      <c r="B144" s="9"/>
      <c r="C144" s="354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</row>
    <row r="145" spans="2:102" x14ac:dyDescent="0.25">
      <c r="B145" s="9"/>
      <c r="C145" s="354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</row>
    <row r="146" spans="2:102" x14ac:dyDescent="0.25">
      <c r="B146" s="9"/>
      <c r="C146" s="354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</row>
    <row r="147" spans="2:102" x14ac:dyDescent="0.25">
      <c r="B147" s="9"/>
      <c r="C147" s="354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</row>
    <row r="148" spans="2:102" x14ac:dyDescent="0.25">
      <c r="B148" s="9"/>
      <c r="C148" s="354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</row>
    <row r="149" spans="2:102" x14ac:dyDescent="0.25">
      <c r="B149" s="9"/>
      <c r="C149" s="354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9"/>
      <c r="CX149" s="9"/>
    </row>
    <row r="150" spans="2:102" x14ac:dyDescent="0.25">
      <c r="B150" s="9"/>
      <c r="C150" s="354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</row>
    <row r="151" spans="2:102" x14ac:dyDescent="0.25">
      <c r="B151" s="9"/>
      <c r="C151" s="354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</row>
    <row r="152" spans="2:102" x14ac:dyDescent="0.25">
      <c r="B152" s="9"/>
      <c r="C152" s="354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</row>
    <row r="153" spans="2:102" x14ac:dyDescent="0.25">
      <c r="B153" s="9"/>
      <c r="C153" s="354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</row>
    <row r="154" spans="2:102" x14ac:dyDescent="0.25">
      <c r="B154" s="9"/>
      <c r="C154" s="354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</row>
    <row r="155" spans="2:102" x14ac:dyDescent="0.25">
      <c r="B155" s="9"/>
      <c r="C155" s="354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</row>
    <row r="156" spans="2:102" x14ac:dyDescent="0.25">
      <c r="B156" s="9"/>
      <c r="C156" s="354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</row>
    <row r="157" spans="2:102" x14ac:dyDescent="0.25">
      <c r="B157" s="9"/>
      <c r="C157" s="354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</row>
    <row r="158" spans="2:102" x14ac:dyDescent="0.25">
      <c r="B158" s="9"/>
      <c r="C158" s="354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</row>
    <row r="159" spans="2:102" x14ac:dyDescent="0.25">
      <c r="B159" s="9"/>
      <c r="C159" s="354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</row>
    <row r="160" spans="2:102" x14ac:dyDescent="0.25">
      <c r="B160" s="9"/>
      <c r="C160" s="354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</row>
    <row r="161" spans="2:102" x14ac:dyDescent="0.25">
      <c r="B161" s="9"/>
      <c r="C161" s="354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</row>
    <row r="162" spans="2:102" x14ac:dyDescent="0.25">
      <c r="B162" s="9"/>
      <c r="C162" s="354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</row>
    <row r="163" spans="2:102" x14ac:dyDescent="0.25">
      <c r="B163" s="9"/>
      <c r="C163" s="354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</row>
    <row r="164" spans="2:102" x14ac:dyDescent="0.25">
      <c r="B164" s="9"/>
      <c r="C164" s="354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</row>
    <row r="165" spans="2:102" x14ac:dyDescent="0.25">
      <c r="B165" s="9"/>
      <c r="C165" s="354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</row>
    <row r="166" spans="2:102" x14ac:dyDescent="0.25">
      <c r="B166" s="9"/>
      <c r="C166" s="354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</row>
    <row r="167" spans="2:102" x14ac:dyDescent="0.25">
      <c r="B167" s="9"/>
      <c r="C167" s="354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</row>
    <row r="168" spans="2:102" x14ac:dyDescent="0.25">
      <c r="B168" s="9"/>
      <c r="C168" s="354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</row>
    <row r="169" spans="2:102" x14ac:dyDescent="0.25">
      <c r="B169" s="9"/>
      <c r="C169" s="354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</row>
    <row r="170" spans="2:102" x14ac:dyDescent="0.25">
      <c r="B170" s="9"/>
      <c r="C170" s="354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</row>
    <row r="171" spans="2:102" x14ac:dyDescent="0.25">
      <c r="B171" s="9"/>
      <c r="C171" s="354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</row>
    <row r="172" spans="2:102" x14ac:dyDescent="0.25">
      <c r="B172" s="9"/>
      <c r="C172" s="354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</row>
    <row r="173" spans="2:102" x14ac:dyDescent="0.25">
      <c r="B173" s="9"/>
      <c r="C173" s="354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</row>
    <row r="174" spans="2:102" x14ac:dyDescent="0.25">
      <c r="B174" s="9"/>
      <c r="C174" s="354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</row>
    <row r="175" spans="2:102" x14ac:dyDescent="0.25">
      <c r="B175" s="9"/>
      <c r="C175" s="354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</row>
    <row r="176" spans="2:102" x14ac:dyDescent="0.25">
      <c r="B176" s="9"/>
      <c r="C176" s="354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</row>
    <row r="177" spans="2:102" x14ac:dyDescent="0.25">
      <c r="B177" s="9"/>
      <c r="C177" s="354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</row>
    <row r="178" spans="2:102" x14ac:dyDescent="0.25">
      <c r="B178" s="9"/>
      <c r="C178" s="354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</row>
    <row r="179" spans="2:102" x14ac:dyDescent="0.25">
      <c r="B179" s="9"/>
      <c r="C179" s="354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</row>
    <row r="180" spans="2:102" x14ac:dyDescent="0.25">
      <c r="B180" s="9"/>
      <c r="C180" s="354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</row>
    <row r="181" spans="2:102" x14ac:dyDescent="0.25">
      <c r="B181" s="9"/>
      <c r="C181" s="354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</row>
    <row r="182" spans="2:102" x14ac:dyDescent="0.25">
      <c r="B182" s="9"/>
      <c r="C182" s="354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</row>
    <row r="183" spans="2:102" x14ac:dyDescent="0.25">
      <c r="B183" s="9"/>
      <c r="C183" s="354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</row>
    <row r="184" spans="2:102" x14ac:dyDescent="0.25">
      <c r="B184" s="9"/>
      <c r="C184" s="354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</row>
    <row r="185" spans="2:102" x14ac:dyDescent="0.25">
      <c r="B185" s="9"/>
      <c r="C185" s="354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</row>
    <row r="186" spans="2:102" x14ac:dyDescent="0.25">
      <c r="B186" s="9"/>
      <c r="C186" s="354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</row>
    <row r="187" spans="2:102" x14ac:dyDescent="0.25">
      <c r="B187" s="9"/>
      <c r="C187" s="354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</row>
    <row r="188" spans="2:102" x14ac:dyDescent="0.25">
      <c r="B188" s="9"/>
      <c r="C188" s="354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</row>
    <row r="189" spans="2:102" x14ac:dyDescent="0.25">
      <c r="B189" s="9"/>
      <c r="C189" s="354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</row>
    <row r="190" spans="2:102" x14ac:dyDescent="0.25">
      <c r="B190" s="9"/>
      <c r="C190" s="354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</row>
    <row r="191" spans="2:102" x14ac:dyDescent="0.25">
      <c r="B191" s="9"/>
      <c r="C191" s="354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</row>
    <row r="192" spans="2:102" x14ac:dyDescent="0.25">
      <c r="B192" s="9"/>
      <c r="C192" s="354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</row>
    <row r="193" spans="2:102" x14ac:dyDescent="0.25">
      <c r="B193" s="9"/>
      <c r="C193" s="354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</row>
    <row r="194" spans="2:102" x14ac:dyDescent="0.25">
      <c r="B194" s="9"/>
      <c r="C194" s="354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</row>
    <row r="195" spans="2:102" x14ac:dyDescent="0.25">
      <c r="B195" s="9"/>
      <c r="C195" s="354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</row>
    <row r="196" spans="2:102" x14ac:dyDescent="0.25">
      <c r="B196" s="9"/>
      <c r="C196" s="354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</row>
    <row r="197" spans="2:102" x14ac:dyDescent="0.25">
      <c r="B197" s="9"/>
      <c r="C197" s="354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</row>
    <row r="198" spans="2:102" x14ac:dyDescent="0.25">
      <c r="B198" s="9"/>
      <c r="C198" s="354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</row>
    <row r="199" spans="2:102" x14ac:dyDescent="0.25">
      <c r="B199" s="9"/>
      <c r="C199" s="354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</row>
    <row r="200" spans="2:102" x14ac:dyDescent="0.25">
      <c r="B200" s="9"/>
      <c r="C200" s="354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</row>
    <row r="201" spans="2:102" x14ac:dyDescent="0.25">
      <c r="B201" s="9"/>
      <c r="C201" s="354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</row>
    <row r="202" spans="2:102" x14ac:dyDescent="0.25">
      <c r="B202" s="9"/>
      <c r="C202" s="354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</row>
    <row r="203" spans="2:102" x14ac:dyDescent="0.25">
      <c r="B203" s="9"/>
      <c r="C203" s="354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</row>
    <row r="204" spans="2:102" x14ac:dyDescent="0.25">
      <c r="B204" s="9"/>
      <c r="C204" s="354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</row>
    <row r="205" spans="2:102" x14ac:dyDescent="0.25">
      <c r="B205" s="9"/>
      <c r="C205" s="354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</row>
    <row r="206" spans="2:102" x14ac:dyDescent="0.25">
      <c r="B206" s="9"/>
      <c r="C206" s="354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</row>
    <row r="207" spans="2:102" x14ac:dyDescent="0.25">
      <c r="B207" s="9"/>
      <c r="C207" s="354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</row>
    <row r="208" spans="2:102" x14ac:dyDescent="0.25">
      <c r="B208" s="9"/>
      <c r="C208" s="354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</row>
    <row r="209" spans="2:102" x14ac:dyDescent="0.25">
      <c r="B209" s="9"/>
      <c r="C209" s="354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</row>
    <row r="210" spans="2:102" x14ac:dyDescent="0.25">
      <c r="B210" s="9"/>
      <c r="C210" s="354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</row>
    <row r="211" spans="2:102" x14ac:dyDescent="0.25">
      <c r="B211" s="9"/>
      <c r="C211" s="354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</row>
    <row r="212" spans="2:102" x14ac:dyDescent="0.25">
      <c r="B212" s="9"/>
      <c r="C212" s="354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</row>
    <row r="213" spans="2:102" x14ac:dyDescent="0.25">
      <c r="B213" s="9"/>
      <c r="C213" s="354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</row>
    <row r="214" spans="2:102" x14ac:dyDescent="0.25">
      <c r="B214" s="9"/>
      <c r="C214" s="354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</row>
    <row r="215" spans="2:102" x14ac:dyDescent="0.25">
      <c r="B215" s="9"/>
      <c r="C215" s="354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</row>
    <row r="216" spans="2:102" x14ac:dyDescent="0.25">
      <c r="B216" s="9"/>
      <c r="C216" s="354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</row>
    <row r="217" spans="2:102" x14ac:dyDescent="0.25">
      <c r="B217" s="9"/>
      <c r="C217" s="354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</row>
    <row r="218" spans="2:102" x14ac:dyDescent="0.25">
      <c r="B218" s="9"/>
      <c r="C218" s="354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</row>
    <row r="219" spans="2:102" x14ac:dyDescent="0.25">
      <c r="B219" s="9"/>
      <c r="C219" s="354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</row>
    <row r="220" spans="2:102" x14ac:dyDescent="0.25">
      <c r="B220" s="9"/>
      <c r="C220" s="354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</row>
    <row r="221" spans="2:102" x14ac:dyDescent="0.25">
      <c r="B221" s="9"/>
      <c r="C221" s="354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</row>
    <row r="222" spans="2:102" x14ac:dyDescent="0.25">
      <c r="B222" s="9"/>
      <c r="C222" s="354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</row>
    <row r="223" spans="2:102" x14ac:dyDescent="0.25">
      <c r="B223" s="9"/>
      <c r="C223" s="354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</row>
    <row r="224" spans="2:102" x14ac:dyDescent="0.25">
      <c r="B224" s="9"/>
      <c r="C224" s="354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</row>
    <row r="225" spans="2:102" x14ac:dyDescent="0.25">
      <c r="B225" s="9"/>
      <c r="C225" s="354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</row>
    <row r="226" spans="2:102" x14ac:dyDescent="0.25">
      <c r="B226" s="9"/>
      <c r="C226" s="354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</row>
    <row r="227" spans="2:102" x14ac:dyDescent="0.25">
      <c r="B227" s="9"/>
      <c r="C227" s="354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</row>
    <row r="228" spans="2:102" x14ac:dyDescent="0.25">
      <c r="B228" s="9"/>
      <c r="C228" s="354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</row>
    <row r="229" spans="2:102" x14ac:dyDescent="0.25">
      <c r="B229" s="9"/>
      <c r="C229" s="354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</row>
    <row r="230" spans="2:102" x14ac:dyDescent="0.25">
      <c r="B230" s="9"/>
      <c r="C230" s="354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</row>
    <row r="231" spans="2:102" x14ac:dyDescent="0.25">
      <c r="B231" s="9"/>
      <c r="C231" s="354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</row>
    <row r="232" spans="2:102" x14ac:dyDescent="0.25">
      <c r="B232" s="9"/>
      <c r="C232" s="354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</row>
    <row r="233" spans="2:102" x14ac:dyDescent="0.25">
      <c r="B233" s="9"/>
      <c r="C233" s="354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</row>
    <row r="234" spans="2:102" x14ac:dyDescent="0.25">
      <c r="B234" s="9"/>
      <c r="C234" s="354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</row>
    <row r="235" spans="2:102" x14ac:dyDescent="0.25">
      <c r="B235" s="9"/>
      <c r="C235" s="354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</row>
    <row r="236" spans="2:102" x14ac:dyDescent="0.25">
      <c r="B236" s="9"/>
      <c r="C236" s="354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</row>
    <row r="237" spans="2:102" x14ac:dyDescent="0.25">
      <c r="B237" s="9"/>
      <c r="C237" s="354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</row>
    <row r="238" spans="2:102" x14ac:dyDescent="0.25">
      <c r="B238" s="9"/>
      <c r="C238" s="354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</row>
    <row r="239" spans="2:102" x14ac:dyDescent="0.25">
      <c r="B239" s="9"/>
      <c r="C239" s="354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</row>
    <row r="240" spans="2:102" x14ac:dyDescent="0.25">
      <c r="B240" s="9"/>
      <c r="C240" s="354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</row>
    <row r="241" spans="2:102" x14ac:dyDescent="0.25">
      <c r="B241" s="9"/>
      <c r="C241" s="354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</row>
    <row r="242" spans="2:102" x14ac:dyDescent="0.25">
      <c r="B242" s="9"/>
      <c r="C242" s="354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</row>
    <row r="243" spans="2:102" x14ac:dyDescent="0.25">
      <c r="B243" s="9"/>
      <c r="C243" s="354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</row>
    <row r="244" spans="2:102" x14ac:dyDescent="0.25">
      <c r="B244" s="9"/>
      <c r="C244" s="354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</row>
    <row r="245" spans="2:102" x14ac:dyDescent="0.25">
      <c r="B245" s="9"/>
      <c r="C245" s="354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</row>
    <row r="246" spans="2:102" x14ac:dyDescent="0.25">
      <c r="B246" s="9"/>
      <c r="C246" s="354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</row>
    <row r="247" spans="2:102" x14ac:dyDescent="0.25">
      <c r="B247" s="9"/>
      <c r="C247" s="354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</row>
    <row r="248" spans="2:102" x14ac:dyDescent="0.25">
      <c r="B248" s="9"/>
      <c r="C248" s="354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</row>
    <row r="249" spans="2:102" x14ac:dyDescent="0.25">
      <c r="B249" s="9"/>
      <c r="C249" s="354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</row>
    <row r="250" spans="2:102" x14ac:dyDescent="0.25">
      <c r="B250" s="9"/>
      <c r="C250" s="354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</row>
    <row r="251" spans="2:102" x14ac:dyDescent="0.25">
      <c r="B251" s="9"/>
      <c r="C251" s="354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</row>
    <row r="252" spans="2:102" x14ac:dyDescent="0.25">
      <c r="B252" s="9"/>
      <c r="C252" s="354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</row>
    <row r="253" spans="2:102" x14ac:dyDescent="0.25">
      <c r="B253" s="9"/>
      <c r="C253" s="354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</row>
    <row r="254" spans="2:102" x14ac:dyDescent="0.25">
      <c r="B254" s="9"/>
      <c r="C254" s="354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</row>
    <row r="255" spans="2:102" x14ac:dyDescent="0.25">
      <c r="B255" s="9"/>
      <c r="C255" s="354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</row>
    <row r="256" spans="2:102" x14ac:dyDescent="0.25">
      <c r="B256" s="9"/>
      <c r="C256" s="354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</row>
    <row r="257" spans="2:102" x14ac:dyDescent="0.25">
      <c r="B257" s="9"/>
      <c r="C257" s="354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</row>
    <row r="258" spans="2:102" x14ac:dyDescent="0.25">
      <c r="B258" s="9"/>
      <c r="C258" s="354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</row>
    <row r="259" spans="2:102" x14ac:dyDescent="0.25">
      <c r="B259" s="9"/>
      <c r="C259" s="354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</row>
    <row r="260" spans="2:102" x14ac:dyDescent="0.25">
      <c r="B260" s="9"/>
      <c r="C260" s="354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</row>
    <row r="261" spans="2:102" x14ac:dyDescent="0.25">
      <c r="B261" s="9"/>
      <c r="C261" s="354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</row>
    <row r="262" spans="2:102" x14ac:dyDescent="0.25">
      <c r="B262" s="9"/>
      <c r="C262" s="354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</row>
    <row r="263" spans="2:102" x14ac:dyDescent="0.25">
      <c r="B263" s="9"/>
      <c r="C263" s="354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</row>
    <row r="264" spans="2:102" x14ac:dyDescent="0.25">
      <c r="B264" s="9"/>
      <c r="C264" s="354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</row>
    <row r="265" spans="2:102" x14ac:dyDescent="0.25">
      <c r="B265" s="9"/>
      <c r="C265" s="354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</row>
    <row r="266" spans="2:102" x14ac:dyDescent="0.25">
      <c r="B266" s="9"/>
      <c r="C266" s="354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</row>
    <row r="267" spans="2:102" x14ac:dyDescent="0.25">
      <c r="B267" s="9"/>
      <c r="C267" s="354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</row>
    <row r="268" spans="2:102" x14ac:dyDescent="0.25">
      <c r="B268" s="9"/>
      <c r="C268" s="354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</row>
    <row r="269" spans="2:102" x14ac:dyDescent="0.25">
      <c r="B269" s="9"/>
      <c r="C269" s="354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</row>
    <row r="270" spans="2:102" x14ac:dyDescent="0.25">
      <c r="B270" s="9"/>
      <c r="C270" s="354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</row>
    <row r="271" spans="2:102" x14ac:dyDescent="0.25">
      <c r="B271" s="9"/>
      <c r="C271" s="354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</row>
    <row r="272" spans="2:102" x14ac:dyDescent="0.25">
      <c r="B272" s="9"/>
      <c r="C272" s="354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</row>
    <row r="273" spans="2:102" x14ac:dyDescent="0.25">
      <c r="B273" s="9"/>
      <c r="C273" s="354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</row>
    <row r="274" spans="2:102" x14ac:dyDescent="0.25">
      <c r="B274" s="9"/>
      <c r="C274" s="354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</row>
    <row r="275" spans="2:102" x14ac:dyDescent="0.25">
      <c r="B275" s="9"/>
      <c r="C275" s="354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</row>
    <row r="276" spans="2:102" x14ac:dyDescent="0.25">
      <c r="B276" s="9"/>
      <c r="C276" s="354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</row>
    <row r="277" spans="2:102" x14ac:dyDescent="0.25">
      <c r="B277" s="9"/>
      <c r="C277" s="354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</row>
    <row r="278" spans="2:102" x14ac:dyDescent="0.25">
      <c r="B278" s="9"/>
      <c r="C278" s="354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</row>
    <row r="279" spans="2:102" x14ac:dyDescent="0.25">
      <c r="B279" s="9"/>
      <c r="C279" s="354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</row>
    <row r="280" spans="2:102" x14ac:dyDescent="0.25">
      <c r="B280" s="9"/>
      <c r="C280" s="354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</row>
    <row r="281" spans="2:102" x14ac:dyDescent="0.25">
      <c r="B281" s="9"/>
      <c r="C281" s="354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</row>
    <row r="282" spans="2:102" x14ac:dyDescent="0.25">
      <c r="B282" s="9"/>
      <c r="C282" s="354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</row>
    <row r="283" spans="2:102" x14ac:dyDescent="0.25">
      <c r="B283" s="9"/>
      <c r="C283" s="354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</row>
    <row r="284" spans="2:102" x14ac:dyDescent="0.25">
      <c r="B284" s="9"/>
      <c r="C284" s="354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</row>
    <row r="285" spans="2:102" x14ac:dyDescent="0.25">
      <c r="B285" s="9"/>
      <c r="C285" s="354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</row>
    <row r="286" spans="2:102" x14ac:dyDescent="0.25">
      <c r="B286" s="9"/>
      <c r="C286" s="354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</row>
    <row r="287" spans="2:102" x14ac:dyDescent="0.25">
      <c r="B287" s="9"/>
      <c r="C287" s="354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</row>
    <row r="288" spans="2:102" x14ac:dyDescent="0.25">
      <c r="B288" s="9"/>
      <c r="C288" s="354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</row>
    <row r="289" spans="2:102" x14ac:dyDescent="0.25">
      <c r="B289" s="9"/>
      <c r="C289" s="354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</row>
    <row r="290" spans="2:102" x14ac:dyDescent="0.25">
      <c r="B290" s="9"/>
      <c r="C290" s="354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</row>
    <row r="291" spans="2:102" x14ac:dyDescent="0.25">
      <c r="B291" s="9"/>
      <c r="C291" s="354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</row>
    <row r="292" spans="2:102" x14ac:dyDescent="0.25">
      <c r="B292" s="9"/>
      <c r="C292" s="354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</row>
    <row r="293" spans="2:102" x14ac:dyDescent="0.25">
      <c r="B293" s="9"/>
      <c r="C293" s="354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</row>
    <row r="294" spans="2:102" x14ac:dyDescent="0.25">
      <c r="B294" s="9"/>
      <c r="C294" s="354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</row>
    <row r="295" spans="2:102" x14ac:dyDescent="0.25">
      <c r="B295" s="9"/>
      <c r="C295" s="354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</row>
    <row r="296" spans="2:102" x14ac:dyDescent="0.25">
      <c r="B296" s="9"/>
      <c r="C296" s="354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</row>
    <row r="297" spans="2:102" x14ac:dyDescent="0.25">
      <c r="B297" s="9"/>
      <c r="C297" s="354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</row>
    <row r="298" spans="2:102" x14ac:dyDescent="0.25">
      <c r="B298" s="9"/>
      <c r="C298" s="354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</row>
    <row r="299" spans="2:102" x14ac:dyDescent="0.25">
      <c r="B299" s="9"/>
      <c r="C299" s="354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</row>
    <row r="300" spans="2:102" x14ac:dyDescent="0.25">
      <c r="B300" s="9"/>
      <c r="C300" s="354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</row>
    <row r="301" spans="2:102" x14ac:dyDescent="0.25">
      <c r="B301" s="9"/>
      <c r="C301" s="354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</row>
    <row r="302" spans="2:102" x14ac:dyDescent="0.25">
      <c r="B302" s="9"/>
      <c r="C302" s="354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</row>
    <row r="303" spans="2:102" x14ac:dyDescent="0.25">
      <c r="B303" s="9"/>
      <c r="C303" s="354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</row>
    <row r="304" spans="2:102" x14ac:dyDescent="0.25">
      <c r="B304" s="9"/>
      <c r="C304" s="354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</row>
    <row r="305" spans="2:102" x14ac:dyDescent="0.25">
      <c r="B305" s="9"/>
      <c r="C305" s="354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</row>
    <row r="306" spans="2:102" x14ac:dyDescent="0.25">
      <c r="B306" s="9"/>
      <c r="C306" s="354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</row>
    <row r="307" spans="2:102" x14ac:dyDescent="0.25">
      <c r="B307" s="9"/>
      <c r="C307" s="354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</row>
    <row r="308" spans="2:102" x14ac:dyDescent="0.25">
      <c r="B308" s="9"/>
      <c r="C308" s="354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</row>
    <row r="309" spans="2:102" x14ac:dyDescent="0.25">
      <c r="B309" s="9"/>
      <c r="C309" s="354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</row>
    <row r="310" spans="2:102" x14ac:dyDescent="0.25">
      <c r="B310" s="9"/>
      <c r="C310" s="354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</row>
    <row r="311" spans="2:102" x14ac:dyDescent="0.25">
      <c r="B311" s="9"/>
      <c r="C311" s="354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</row>
    <row r="312" spans="2:102" x14ac:dyDescent="0.25">
      <c r="B312" s="9"/>
      <c r="C312" s="354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</row>
    <row r="313" spans="2:102" x14ac:dyDescent="0.25">
      <c r="B313" s="9"/>
      <c r="C313" s="354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</row>
    <row r="314" spans="2:102" x14ac:dyDescent="0.25">
      <c r="B314" s="9"/>
      <c r="C314" s="354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</row>
    <row r="315" spans="2:102" x14ac:dyDescent="0.25">
      <c r="B315" s="9"/>
      <c r="C315" s="354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</row>
    <row r="316" spans="2:102" x14ac:dyDescent="0.25">
      <c r="B316" s="9"/>
      <c r="C316" s="354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</row>
    <row r="317" spans="2:102" x14ac:dyDescent="0.25">
      <c r="B317" s="9"/>
      <c r="C317" s="354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</row>
    <row r="318" spans="2:102" x14ac:dyDescent="0.25">
      <c r="B318" s="9"/>
      <c r="C318" s="354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</row>
    <row r="319" spans="2:102" x14ac:dyDescent="0.25">
      <c r="B319" s="9"/>
      <c r="C319" s="354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</row>
    <row r="320" spans="2:102" x14ac:dyDescent="0.25">
      <c r="B320" s="9"/>
      <c r="C320" s="354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</row>
    <row r="321" spans="2:102" x14ac:dyDescent="0.25">
      <c r="B321" s="9"/>
      <c r="C321" s="354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</row>
    <row r="322" spans="2:102" x14ac:dyDescent="0.25">
      <c r="B322" s="9"/>
      <c r="C322" s="354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</row>
    <row r="323" spans="2:102" x14ac:dyDescent="0.25">
      <c r="B323" s="9"/>
      <c r="C323" s="354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</row>
    <row r="324" spans="2:102" x14ac:dyDescent="0.25">
      <c r="B324" s="9"/>
      <c r="C324" s="354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</row>
    <row r="325" spans="2:102" x14ac:dyDescent="0.25">
      <c r="B325" s="9"/>
      <c r="C325" s="354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</row>
    <row r="326" spans="2:102" x14ac:dyDescent="0.25">
      <c r="B326" s="9"/>
      <c r="C326" s="354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</row>
    <row r="327" spans="2:102" x14ac:dyDescent="0.25">
      <c r="B327" s="9"/>
      <c r="C327" s="354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</row>
    <row r="328" spans="2:102" x14ac:dyDescent="0.25">
      <c r="B328" s="9"/>
      <c r="C328" s="354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</row>
    <row r="329" spans="2:102" x14ac:dyDescent="0.25">
      <c r="B329" s="9"/>
      <c r="C329" s="354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</row>
    <row r="330" spans="2:102" x14ac:dyDescent="0.25">
      <c r="B330" s="9"/>
      <c r="C330" s="354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</row>
    <row r="331" spans="2:102" x14ac:dyDescent="0.25">
      <c r="B331" s="9"/>
      <c r="C331" s="354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</row>
    <row r="332" spans="2:102" x14ac:dyDescent="0.25">
      <c r="B332" s="9"/>
      <c r="C332" s="354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</row>
    <row r="333" spans="2:102" x14ac:dyDescent="0.25">
      <c r="B333" s="9"/>
      <c r="C333" s="354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</row>
    <row r="334" spans="2:102" x14ac:dyDescent="0.25">
      <c r="B334" s="9"/>
      <c r="C334" s="354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</row>
    <row r="335" spans="2:102" x14ac:dyDescent="0.25">
      <c r="B335" s="9"/>
      <c r="C335" s="354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</row>
    <row r="336" spans="2:102" x14ac:dyDescent="0.25">
      <c r="B336" s="9"/>
      <c r="C336" s="354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</row>
    <row r="337" spans="2:102" x14ac:dyDescent="0.25">
      <c r="B337" s="9"/>
      <c r="C337" s="354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</row>
    <row r="338" spans="2:102" x14ac:dyDescent="0.25">
      <c r="B338" s="9"/>
      <c r="C338" s="354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</row>
    <row r="339" spans="2:102" x14ac:dyDescent="0.25">
      <c r="B339" s="9"/>
      <c r="C339" s="354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</row>
    <row r="340" spans="2:102" x14ac:dyDescent="0.25">
      <c r="B340" s="9"/>
      <c r="C340" s="354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</row>
    <row r="341" spans="2:102" x14ac:dyDescent="0.25">
      <c r="B341" s="9"/>
      <c r="C341" s="354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</row>
    <row r="342" spans="2:102" x14ac:dyDescent="0.25">
      <c r="B342" s="9"/>
      <c r="C342" s="354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</row>
    <row r="343" spans="2:102" x14ac:dyDescent="0.25">
      <c r="B343" s="9"/>
      <c r="C343" s="354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</row>
    <row r="344" spans="2:102" x14ac:dyDescent="0.25">
      <c r="B344" s="9"/>
      <c r="C344" s="354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</row>
    <row r="345" spans="2:102" x14ac:dyDescent="0.25">
      <c r="B345" s="9"/>
      <c r="C345" s="354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</row>
    <row r="346" spans="2:102" x14ac:dyDescent="0.25">
      <c r="B346" s="9"/>
      <c r="C346" s="354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</row>
    <row r="347" spans="2:102" x14ac:dyDescent="0.25">
      <c r="B347" s="9"/>
      <c r="C347" s="354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</row>
    <row r="348" spans="2:102" x14ac:dyDescent="0.25">
      <c r="B348" s="9"/>
      <c r="C348" s="354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</row>
    <row r="349" spans="2:102" x14ac:dyDescent="0.25">
      <c r="B349" s="9"/>
      <c r="C349" s="354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</row>
    <row r="350" spans="2:102" x14ac:dyDescent="0.25">
      <c r="B350" s="9"/>
      <c r="C350" s="354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</row>
    <row r="351" spans="2:102" x14ac:dyDescent="0.25">
      <c r="B351" s="9"/>
      <c r="C351" s="354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</row>
    <row r="352" spans="2:102" x14ac:dyDescent="0.25">
      <c r="B352" s="9"/>
      <c r="C352" s="354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</row>
    <row r="353" spans="2:102" x14ac:dyDescent="0.25">
      <c r="B353" s="9"/>
      <c r="C353" s="354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</row>
    <row r="354" spans="2:102" x14ac:dyDescent="0.25">
      <c r="B354" s="9"/>
      <c r="C354" s="354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</row>
    <row r="355" spans="2:102" x14ac:dyDescent="0.25">
      <c r="B355" s="9"/>
      <c r="C355" s="354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</row>
    <row r="356" spans="2:102" x14ac:dyDescent="0.25">
      <c r="B356" s="9"/>
      <c r="C356" s="354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</row>
    <row r="357" spans="2:102" x14ac:dyDescent="0.25">
      <c r="B357" s="9"/>
      <c r="C357" s="354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</row>
    <row r="358" spans="2:102" x14ac:dyDescent="0.25">
      <c r="B358" s="9"/>
      <c r="C358" s="354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</row>
    <row r="359" spans="2:102" x14ac:dyDescent="0.25">
      <c r="B359" s="9"/>
      <c r="C359" s="354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</row>
    <row r="360" spans="2:102" x14ac:dyDescent="0.25">
      <c r="B360" s="9"/>
      <c r="C360" s="354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</row>
    <row r="361" spans="2:102" x14ac:dyDescent="0.25">
      <c r="B361" s="9"/>
      <c r="C361" s="354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</row>
    <row r="362" spans="2:102" x14ac:dyDescent="0.25">
      <c r="B362" s="9"/>
      <c r="C362" s="354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</row>
    <row r="363" spans="2:102" x14ac:dyDescent="0.25">
      <c r="B363" s="9"/>
      <c r="C363" s="354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</row>
    <row r="364" spans="2:102" x14ac:dyDescent="0.25">
      <c r="B364" s="9"/>
      <c r="C364" s="354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</row>
    <row r="365" spans="2:102" x14ac:dyDescent="0.25">
      <c r="B365" s="9"/>
      <c r="C365" s="354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</row>
    <row r="366" spans="2:102" x14ac:dyDescent="0.25">
      <c r="B366" s="9"/>
      <c r="C366" s="354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</row>
    <row r="367" spans="2:102" x14ac:dyDescent="0.25">
      <c r="B367" s="9"/>
      <c r="C367" s="354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</row>
    <row r="368" spans="2:102" x14ac:dyDescent="0.25">
      <c r="B368" s="9"/>
      <c r="C368" s="354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</row>
    <row r="369" spans="2:102" x14ac:dyDescent="0.25">
      <c r="B369" s="9"/>
      <c r="C369" s="354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</row>
    <row r="370" spans="2:102" x14ac:dyDescent="0.25">
      <c r="B370" s="9"/>
      <c r="C370" s="354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</row>
    <row r="371" spans="2:102" x14ac:dyDescent="0.25">
      <c r="B371" s="9"/>
      <c r="C371" s="354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</row>
    <row r="372" spans="2:102" x14ac:dyDescent="0.25">
      <c r="B372" s="9"/>
      <c r="C372" s="354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</row>
    <row r="373" spans="2:102" x14ac:dyDescent="0.25">
      <c r="B373" s="9"/>
      <c r="C373" s="354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</row>
    <row r="374" spans="2:102" x14ac:dyDescent="0.25">
      <c r="B374" s="9"/>
      <c r="C374" s="354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</row>
    <row r="375" spans="2:102" x14ac:dyDescent="0.25">
      <c r="B375" s="9"/>
      <c r="C375" s="354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</row>
    <row r="376" spans="2:102" x14ac:dyDescent="0.25">
      <c r="B376" s="9"/>
      <c r="C376" s="354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</row>
    <row r="377" spans="2:102" x14ac:dyDescent="0.25">
      <c r="B377" s="9"/>
      <c r="C377" s="354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</row>
    <row r="378" spans="2:102" x14ac:dyDescent="0.25">
      <c r="B378" s="9"/>
      <c r="C378" s="354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</row>
    <row r="379" spans="2:102" x14ac:dyDescent="0.25">
      <c r="B379" s="9"/>
      <c r="C379" s="354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</row>
    <row r="380" spans="2:102" x14ac:dyDescent="0.25">
      <c r="B380" s="9"/>
      <c r="C380" s="354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</row>
    <row r="381" spans="2:102" x14ac:dyDescent="0.25">
      <c r="B381" s="9"/>
      <c r="C381" s="354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</row>
    <row r="382" spans="2:102" x14ac:dyDescent="0.25">
      <c r="B382" s="9"/>
      <c r="C382" s="354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</row>
    <row r="383" spans="2:102" x14ac:dyDescent="0.25">
      <c r="B383" s="9"/>
      <c r="C383" s="354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</row>
    <row r="384" spans="2:102" x14ac:dyDescent="0.25">
      <c r="B384" s="9"/>
      <c r="C384" s="354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</row>
    <row r="385" spans="2:102" x14ac:dyDescent="0.25">
      <c r="B385" s="9"/>
      <c r="C385" s="354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</row>
    <row r="386" spans="2:102" x14ac:dyDescent="0.25">
      <c r="B386" s="9"/>
      <c r="C386" s="354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</row>
    <row r="387" spans="2:102" x14ac:dyDescent="0.25">
      <c r="B387" s="9"/>
      <c r="C387" s="354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</row>
    <row r="388" spans="2:102" x14ac:dyDescent="0.25">
      <c r="B388" s="9"/>
      <c r="C388" s="354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</row>
    <row r="389" spans="2:102" x14ac:dyDescent="0.25">
      <c r="B389" s="9"/>
      <c r="C389" s="354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</row>
    <row r="390" spans="2:102" x14ac:dyDescent="0.25">
      <c r="B390" s="9"/>
      <c r="C390" s="354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</row>
    <row r="391" spans="2:102" x14ac:dyDescent="0.25">
      <c r="B391" s="9"/>
      <c r="C391" s="354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</row>
    <row r="392" spans="2:102" x14ac:dyDescent="0.25">
      <c r="B392" s="9"/>
      <c r="C392" s="354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</row>
    <row r="393" spans="2:102" x14ac:dyDescent="0.25">
      <c r="B393" s="9"/>
      <c r="C393" s="354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</row>
    <row r="394" spans="2:102" x14ac:dyDescent="0.25">
      <c r="B394" s="9"/>
      <c r="C394" s="354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</row>
    <row r="395" spans="2:102" x14ac:dyDescent="0.25">
      <c r="B395" s="9"/>
      <c r="C395" s="354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</row>
    <row r="396" spans="2:102" x14ac:dyDescent="0.25">
      <c r="B396" s="9"/>
      <c r="C396" s="354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</row>
    <row r="397" spans="2:102" x14ac:dyDescent="0.25">
      <c r="B397" s="9"/>
      <c r="C397" s="354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</row>
    <row r="398" spans="2:102" x14ac:dyDescent="0.25">
      <c r="B398" s="9"/>
      <c r="C398" s="354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</row>
    <row r="399" spans="2:102" x14ac:dyDescent="0.25">
      <c r="B399" s="9"/>
      <c r="C399" s="354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</row>
    <row r="400" spans="2:102" x14ac:dyDescent="0.25">
      <c r="B400" s="9"/>
      <c r="C400" s="354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</row>
    <row r="401" spans="2:102" x14ac:dyDescent="0.25">
      <c r="B401" s="9"/>
      <c r="C401" s="354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</row>
    <row r="402" spans="2:102" x14ac:dyDescent="0.25">
      <c r="B402" s="9"/>
      <c r="C402" s="354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</row>
    <row r="403" spans="2:102" x14ac:dyDescent="0.25">
      <c r="B403" s="9"/>
      <c r="C403" s="354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</row>
    <row r="404" spans="2:102" x14ac:dyDescent="0.25">
      <c r="B404" s="9"/>
      <c r="C404" s="354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</row>
    <row r="405" spans="2:102" x14ac:dyDescent="0.25">
      <c r="B405" s="9"/>
      <c r="C405" s="354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</row>
    <row r="406" spans="2:102" x14ac:dyDescent="0.25">
      <c r="B406" s="9"/>
      <c r="C406" s="354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</row>
    <row r="407" spans="2:102" x14ac:dyDescent="0.25">
      <c r="B407" s="9"/>
      <c r="C407" s="354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</row>
    <row r="408" spans="2:102" x14ac:dyDescent="0.25">
      <c r="B408" s="9"/>
      <c r="C408" s="354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</row>
    <row r="409" spans="2:102" x14ac:dyDescent="0.25">
      <c r="B409" s="9"/>
      <c r="C409" s="354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</row>
    <row r="410" spans="2:102" x14ac:dyDescent="0.25">
      <c r="B410" s="9"/>
      <c r="C410" s="354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</row>
    <row r="411" spans="2:102" x14ac:dyDescent="0.25">
      <c r="B411" s="9"/>
      <c r="C411" s="354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</row>
    <row r="412" spans="2:102" x14ac:dyDescent="0.25">
      <c r="B412" s="9"/>
      <c r="C412" s="354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</row>
  </sheetData>
  <mergeCells count="19">
    <mergeCell ref="C20:F20"/>
    <mergeCell ref="B20:B22"/>
    <mergeCell ref="B2:B3"/>
    <mergeCell ref="B11:B13"/>
    <mergeCell ref="C11:F11"/>
    <mergeCell ref="I1:R1"/>
    <mergeCell ref="I11:I13"/>
    <mergeCell ref="J11:S11"/>
    <mergeCell ref="J12:K12"/>
    <mergeCell ref="L12:M12"/>
    <mergeCell ref="R12:S12"/>
    <mergeCell ref="N12:O12"/>
    <mergeCell ref="P12:Q12"/>
    <mergeCell ref="Q2:R2"/>
    <mergeCell ref="I2:I3"/>
    <mergeCell ref="J2:J3"/>
    <mergeCell ref="K2:L2"/>
    <mergeCell ref="M2:N2"/>
    <mergeCell ref="O2:P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8036-2AF3-42B3-AEFF-8FEA59CB8BB0}">
  <dimension ref="A1:F21"/>
  <sheetViews>
    <sheetView topLeftCell="A30" workbookViewId="0">
      <selection sqref="A1:F1"/>
    </sheetView>
  </sheetViews>
  <sheetFormatPr baseColWidth="10" defaultRowHeight="14.3" x14ac:dyDescent="0.25"/>
  <cols>
    <col min="1" max="1" width="37.375" bestFit="1" customWidth="1"/>
    <col min="2" max="3" width="20.875" customWidth="1"/>
    <col min="4" max="4" width="15.125" bestFit="1" customWidth="1"/>
    <col min="5" max="5" width="18" customWidth="1"/>
    <col min="6" max="6" width="20.375" customWidth="1"/>
  </cols>
  <sheetData>
    <row r="1" spans="1:6" x14ac:dyDescent="0.25">
      <c r="A1" s="611" t="s">
        <v>230</v>
      </c>
      <c r="B1" s="611"/>
      <c r="C1" s="611"/>
      <c r="D1" s="611"/>
      <c r="E1" s="611"/>
      <c r="F1" s="611"/>
    </row>
    <row r="2" spans="1:6" ht="28.2" customHeight="1" x14ac:dyDescent="0.25">
      <c r="A2" s="437" t="s">
        <v>157</v>
      </c>
      <c r="B2" s="437" t="s">
        <v>221</v>
      </c>
      <c r="C2" s="437" t="s">
        <v>225</v>
      </c>
      <c r="D2" s="437" t="s">
        <v>222</v>
      </c>
      <c r="E2" s="437" t="s">
        <v>226</v>
      </c>
      <c r="F2" s="439" t="s">
        <v>239</v>
      </c>
    </row>
    <row r="3" spans="1:6" x14ac:dyDescent="0.25">
      <c r="A3" s="435" t="s">
        <v>220</v>
      </c>
      <c r="B3" s="94">
        <f>+'INVENTARIO Y CONSUMO GEM  '!S97</f>
        <v>12480</v>
      </c>
      <c r="C3" s="94">
        <f>+B3/23</f>
        <v>542.60869565217388</v>
      </c>
      <c r="D3" s="436">
        <f>+'INVENTARIO Y CONSUMO GEM  '!AM97</f>
        <v>10358400</v>
      </c>
      <c r="E3" s="436">
        <f>+D3/23</f>
        <v>450365.21739130432</v>
      </c>
      <c r="F3" s="440">
        <f>+D3/$B$9</f>
        <v>256.88564838925674</v>
      </c>
    </row>
    <row r="4" spans="1:6" x14ac:dyDescent="0.25">
      <c r="A4" s="435" t="s">
        <v>218</v>
      </c>
      <c r="B4" s="94">
        <f>+'INVENTARIO Y CONSUMO GEM  '!T97</f>
        <v>15714.5</v>
      </c>
      <c r="C4" s="94">
        <f>+B4/23</f>
        <v>683.23913043478262</v>
      </c>
      <c r="D4" s="436">
        <f>+'INVENTARIO Y CONSUMO GEM  '!AN97</f>
        <v>44283461</v>
      </c>
      <c r="E4" s="436">
        <f>+D4/23</f>
        <v>1925367.8695652173</v>
      </c>
      <c r="F4" s="440">
        <f>+D4/$B$9</f>
        <v>1098.2184113285223</v>
      </c>
    </row>
    <row r="5" spans="1:6" x14ac:dyDescent="0.25">
      <c r="A5" s="435" t="s">
        <v>219</v>
      </c>
      <c r="B5" s="94">
        <f>+'INVENTARIO Y CONSUMO GEM  '!U97</f>
        <v>5887.5</v>
      </c>
      <c r="C5" s="94">
        <f>+B5/23</f>
        <v>255.97826086956522</v>
      </c>
      <c r="D5" s="436">
        <f>+'INVENTARIO Y CONSUMO GEM  '!AO97</f>
        <v>37061812.5</v>
      </c>
      <c r="E5" s="436">
        <f>+D5/23</f>
        <v>1611383.1521739131</v>
      </c>
      <c r="F5" s="440">
        <f>+D5/$B$9</f>
        <v>919.12339111673236</v>
      </c>
    </row>
    <row r="6" spans="1:6" x14ac:dyDescent="0.25">
      <c r="A6" s="435" t="s">
        <v>223</v>
      </c>
      <c r="B6" s="94">
        <f>+'INVENTARIO Y CONSUMO GEM  '!V97</f>
        <v>168</v>
      </c>
      <c r="C6" s="94">
        <f>+B6/23</f>
        <v>7.3043478260869561</v>
      </c>
      <c r="D6" s="436">
        <f>+'INVENTARIO Y CONSUMO GEM  '!AP97</f>
        <v>3200400</v>
      </c>
      <c r="E6" s="436">
        <f>+D6/23</f>
        <v>139147.82608695651</v>
      </c>
      <c r="F6" s="440">
        <f>+D6/$B$9</f>
        <v>79.36909456141656</v>
      </c>
    </row>
    <row r="7" spans="1:6" x14ac:dyDescent="0.25">
      <c r="A7" s="435" t="s">
        <v>224</v>
      </c>
      <c r="B7" s="94">
        <f>+'INVENTARIO Y CONSUMO GEM  '!W97</f>
        <v>340</v>
      </c>
      <c r="C7" s="94">
        <f>+B7/23</f>
        <v>14.782608695652174</v>
      </c>
      <c r="D7" s="436">
        <f>+'INVENTARIO Y CONSUMO GEM  '!AQ97</f>
        <v>7497000</v>
      </c>
      <c r="E7" s="436">
        <f>+D7/23</f>
        <v>325956.52173913043</v>
      </c>
      <c r="F7" s="440">
        <f>+D7/$B$9</f>
        <v>185.9236663938695</v>
      </c>
    </row>
    <row r="8" spans="1:6" x14ac:dyDescent="0.25">
      <c r="A8" s="434" t="s">
        <v>232</v>
      </c>
      <c r="B8" s="610">
        <f>+SUM(D3:D7)</f>
        <v>102401073.5</v>
      </c>
      <c r="C8" s="610"/>
      <c r="D8" s="610"/>
      <c r="E8" s="438"/>
      <c r="F8" s="441">
        <f>SUM(F3:F7)</f>
        <v>2539.5202117897975</v>
      </c>
    </row>
    <row r="9" spans="1:6" x14ac:dyDescent="0.25">
      <c r="A9" s="434" t="s">
        <v>233</v>
      </c>
      <c r="B9" s="612">
        <v>40323</v>
      </c>
      <c r="C9" s="613"/>
      <c r="D9" s="613"/>
      <c r="E9" s="613"/>
      <c r="F9" s="614"/>
    </row>
    <row r="10" spans="1:6" x14ac:dyDescent="0.25">
      <c r="A10" s="617" t="s">
        <v>231</v>
      </c>
      <c r="B10" s="617"/>
      <c r="C10" s="617"/>
      <c r="D10" s="617"/>
      <c r="E10" s="617"/>
    </row>
    <row r="11" spans="1:6" x14ac:dyDescent="0.25">
      <c r="A11" s="437" t="s">
        <v>157</v>
      </c>
      <c r="B11" s="437" t="s">
        <v>221</v>
      </c>
      <c r="C11" s="437" t="s">
        <v>225</v>
      </c>
      <c r="D11" s="437" t="s">
        <v>222</v>
      </c>
      <c r="E11" s="437" t="s">
        <v>226</v>
      </c>
    </row>
    <row r="12" spans="1:6" x14ac:dyDescent="0.25">
      <c r="A12" s="435" t="s">
        <v>227</v>
      </c>
      <c r="B12" s="94">
        <f>240*2</f>
        <v>480</v>
      </c>
      <c r="C12" s="94">
        <f>+B12/23</f>
        <v>20.869565217391305</v>
      </c>
      <c r="D12" s="436">
        <f>1780*B12</f>
        <v>854400</v>
      </c>
      <c r="E12" s="436">
        <f>+D12/23</f>
        <v>37147.82608695652</v>
      </c>
    </row>
    <row r="13" spans="1:6" x14ac:dyDescent="0.25">
      <c r="A13" s="435" t="s">
        <v>228</v>
      </c>
      <c r="B13" s="94">
        <v>200</v>
      </c>
      <c r="C13" s="94">
        <f>+B13/23</f>
        <v>8.695652173913043</v>
      </c>
      <c r="D13" s="436">
        <f>2100*B13</f>
        <v>420000</v>
      </c>
      <c r="E13" s="436">
        <f>+D13/23</f>
        <v>18260.869565217392</v>
      </c>
    </row>
    <row r="14" spans="1:6" x14ac:dyDescent="0.25">
      <c r="A14" s="435" t="s">
        <v>229</v>
      </c>
      <c r="B14" s="94">
        <v>160</v>
      </c>
      <c r="C14" s="94">
        <f>+B14/23</f>
        <v>6.9565217391304346</v>
      </c>
      <c r="D14" s="436">
        <f>3880*B14</f>
        <v>620800</v>
      </c>
      <c r="E14" s="436">
        <f>+D14/23</f>
        <v>26991.304347826088</v>
      </c>
    </row>
    <row r="15" spans="1:6" x14ac:dyDescent="0.25">
      <c r="A15" s="434" t="s">
        <v>232</v>
      </c>
      <c r="B15" s="615">
        <f>+SUM(D12:D14)</f>
        <v>1895200</v>
      </c>
      <c r="C15" s="616"/>
      <c r="D15" s="616"/>
      <c r="E15" s="616"/>
    </row>
    <row r="16" spans="1:6" x14ac:dyDescent="0.25">
      <c r="A16" s="434" t="s">
        <v>233</v>
      </c>
      <c r="B16" s="610">
        <v>12660</v>
      </c>
      <c r="C16" s="610"/>
      <c r="D16" s="610"/>
      <c r="E16" s="610"/>
    </row>
    <row r="17" spans="1:5" x14ac:dyDescent="0.25">
      <c r="A17" s="434" t="s">
        <v>234</v>
      </c>
      <c r="B17" s="612">
        <v>9612</v>
      </c>
      <c r="C17" s="613"/>
      <c r="D17" s="613"/>
      <c r="E17" s="614"/>
    </row>
    <row r="18" spans="1:5" x14ac:dyDescent="0.25">
      <c r="A18" s="434" t="s">
        <v>235</v>
      </c>
      <c r="B18" s="610">
        <f>+B15/B16</f>
        <v>149.69984202211691</v>
      </c>
      <c r="C18" s="610"/>
      <c r="D18" s="610"/>
      <c r="E18" s="610"/>
    </row>
    <row r="19" spans="1:5" x14ac:dyDescent="0.25">
      <c r="A19" s="434" t="s">
        <v>236</v>
      </c>
      <c r="B19" s="615">
        <f>+B15/B17</f>
        <v>197.17020391177695</v>
      </c>
      <c r="C19" s="616"/>
      <c r="D19" s="616"/>
      <c r="E19" s="616"/>
    </row>
    <row r="20" spans="1:5" x14ac:dyDescent="0.25">
      <c r="A20" s="434" t="s">
        <v>237</v>
      </c>
      <c r="B20" s="615">
        <f>F8+B18</f>
        <v>2689.2200538119146</v>
      </c>
      <c r="C20" s="616"/>
      <c r="D20" s="616"/>
      <c r="E20" s="616"/>
    </row>
    <row r="21" spans="1:5" x14ac:dyDescent="0.25">
      <c r="A21" s="434" t="s">
        <v>238</v>
      </c>
      <c r="B21" s="615">
        <f>F8+B19</f>
        <v>2736.6904157015742</v>
      </c>
      <c r="C21" s="616"/>
      <c r="D21" s="616"/>
      <c r="E21" s="616"/>
    </row>
  </sheetData>
  <mergeCells count="11">
    <mergeCell ref="B8:D8"/>
    <mergeCell ref="A1:F1"/>
    <mergeCell ref="B9:F9"/>
    <mergeCell ref="B21:E21"/>
    <mergeCell ref="A10:E10"/>
    <mergeCell ref="B15:E15"/>
    <mergeCell ref="B16:E16"/>
    <mergeCell ref="B18:E18"/>
    <mergeCell ref="B17:E17"/>
    <mergeCell ref="B19:E19"/>
    <mergeCell ref="B20:E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21A2351E4B0489A6BEC6BD44036EF" ma:contentTypeVersion="5" ma:contentTypeDescription="Create a new document." ma:contentTypeScope="" ma:versionID="9aac6bc7b7c8b17924f142e611c7a16f">
  <xsd:schema xmlns:xsd="http://www.w3.org/2001/XMLSchema" xmlns:xs="http://www.w3.org/2001/XMLSchema" xmlns:p="http://schemas.microsoft.com/office/2006/metadata/properties" xmlns:ns3="881a961d-4b2a-4b28-b591-0805074e351c" xmlns:ns4="7bf68ac6-a195-4bce-95d5-932ed8654a66" targetNamespace="http://schemas.microsoft.com/office/2006/metadata/properties" ma:root="true" ma:fieldsID="bbfb999c87a6525f92adb6b4a97c6717" ns3:_="" ns4:_="">
    <xsd:import namespace="881a961d-4b2a-4b28-b591-0805074e351c"/>
    <xsd:import namespace="7bf68ac6-a195-4bce-95d5-932ed8654a6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1d-4b2a-4b28-b591-0805074e3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68ac6-a195-4bce-95d5-932ed8654a6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451816-1E9D-4C0D-A00F-4D17E2B59F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1a961d-4b2a-4b28-b591-0805074e351c"/>
    <ds:schemaRef ds:uri="7bf68ac6-a195-4bce-95d5-932ed8654a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2C5629-0230-4743-A671-A54FB0B74E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6B1567-E9CD-4F2D-8A8C-0BEFF53E6E40}">
  <ds:schemaRefs>
    <ds:schemaRef ds:uri="881a961d-4b2a-4b28-b591-0805074e351c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7bf68ac6-a195-4bce-95d5-932ed8654a66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INVENTARIO Y CONSUMO GEM  </vt:lpstr>
      <vt:lpstr>DB QUIMICA</vt:lpstr>
      <vt:lpstr>CONSUMO QUÍMICA-CAUDALES GEM  </vt:lpstr>
      <vt:lpstr>INVENTARIO INSUMOS QUÍMICOS GEM</vt:lpstr>
      <vt:lpstr>REGISTRO RO</vt:lpstr>
      <vt:lpstr>CONSUMO QUÍMICA - CAUDALES RO</vt:lpstr>
      <vt:lpstr>INVENTARIO INSUMOS QUÍMICOS RO</vt:lpstr>
      <vt:lpstr>Consumos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Rodriguez</dc:creator>
  <cp:lastModifiedBy>Andrea Milena Landinez Ramirez</cp:lastModifiedBy>
  <dcterms:created xsi:type="dcterms:W3CDTF">2022-11-30T20:17:52Z</dcterms:created>
  <dcterms:modified xsi:type="dcterms:W3CDTF">2026-04-10T13:36:23Z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0x01010078621A2351E4B0489A6BEC6BD44036EF</vt:lpwstr>
  </property>
</Properties>
</file>