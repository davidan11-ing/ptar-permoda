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2026\BALANCES 2026\BALANCE ECONÓMICO\Química GEM RO\"/>
    </mc:Choice>
  </mc:AlternateContent>
  <xr:revisionPtr revIDLastSave="0" documentId="13_ncr:1_{4C2C1A2B-F3F3-417F-BDDC-041843806AF6}" xr6:coauthVersionLast="47" xr6:coauthVersionMax="47" xr10:uidLastSave="{00000000-0000-0000-0000-000000000000}"/>
  <bookViews>
    <workbookView xWindow="-109" yWindow="-109" windowWidth="26301" windowHeight="14169" tabRatio="766" firstSheet="1" activeTab="4" xr2:uid="{E6F4B368-D079-49CA-BD04-88FCAF32A55F}"/>
  </bookViews>
  <sheets>
    <sheet name="INVENTARIO Y CONSUMO GEM  " sheetId="13" r:id="rId1"/>
    <sheet name="DB QUIMICA" sheetId="14" r:id="rId2"/>
    <sheet name="CONSUMO QUÍMICA-CAUDALES GEM  " sheetId="16" r:id="rId3"/>
    <sheet name="INVENTARIO INSUMOS QUÍMICOS GEM" sheetId="6" r:id="rId4"/>
    <sheet name="REGISTRO RO" sheetId="20" r:id="rId5"/>
    <sheet name="CONSUMO QUÍMICA - CAUDALES RO" sheetId="24" r:id="rId6"/>
    <sheet name="INVENTARIO INSUMOS QUÍMICOS RO" sheetId="9" r:id="rId7"/>
    <sheet name="Consumos" sheetId="25" r:id="rId8"/>
  </sheets>
  <definedNames>
    <definedName name="SegmentaciónDeDatos_FECHA">#N/A</definedName>
    <definedName name="SegmentaciónDeDatos_FECHA1">#N/A</definedName>
    <definedName name="SegmentaciónDeDatos_FECHA2">#N/A</definedName>
  </definedNames>
  <calcPr calcId="191029"/>
  <pivotCaches>
    <pivotCache cacheId="28" r:id="rId9"/>
    <pivotCache cacheId="3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96" i="20" l="1"/>
  <c r="L97" i="13"/>
  <c r="U97" i="13" l="1"/>
  <c r="V97" i="13"/>
  <c r="W97" i="13"/>
  <c r="X97" i="13"/>
  <c r="T97" i="13"/>
  <c r="L95" i="13" l="1"/>
  <c r="N23" i="13"/>
  <c r="N35" i="13"/>
  <c r="N41" i="13"/>
  <c r="N45" i="13"/>
  <c r="N46" i="13"/>
  <c r="N49" i="13"/>
  <c r="N51" i="13"/>
  <c r="N55" i="13"/>
  <c r="N57" i="13"/>
  <c r="N59" i="13"/>
  <c r="N62" i="13"/>
  <c r="N66" i="13"/>
  <c r="N67" i="13"/>
  <c r="N70" i="13"/>
  <c r="N73" i="13"/>
  <c r="N77" i="13"/>
  <c r="N78" i="13"/>
  <c r="N81" i="13"/>
  <c r="N83" i="13"/>
  <c r="N87" i="13"/>
  <c r="N89" i="13"/>
  <c r="N91" i="13"/>
  <c r="N94" i="13"/>
  <c r="K101" i="13"/>
  <c r="M102" i="13" s="1"/>
  <c r="N4" i="13" s="1"/>
  <c r="B55" i="14"/>
  <c r="N38" i="13" l="1"/>
  <c r="N26" i="13"/>
  <c r="N14" i="13"/>
  <c r="N90" i="13"/>
  <c r="N79" i="13"/>
  <c r="N69" i="13"/>
  <c r="N58" i="13"/>
  <c r="N47" i="13"/>
  <c r="N37" i="13"/>
  <c r="N25" i="13"/>
  <c r="N11" i="13"/>
  <c r="N10" i="13"/>
  <c r="N86" i="13"/>
  <c r="N75" i="13"/>
  <c r="N65" i="13"/>
  <c r="N54" i="13"/>
  <c r="N43" i="13"/>
  <c r="N33" i="13"/>
  <c r="N19" i="13"/>
  <c r="N7" i="13"/>
  <c r="N34" i="13"/>
  <c r="N22" i="13"/>
  <c r="N9" i="13"/>
  <c r="N95" i="13"/>
  <c r="N85" i="13"/>
  <c r="N74" i="13"/>
  <c r="N63" i="13"/>
  <c r="N53" i="13"/>
  <c r="N42" i="13"/>
  <c r="N31" i="13"/>
  <c r="N18" i="13"/>
  <c r="N6" i="13"/>
  <c r="N30" i="13"/>
  <c r="N17" i="13"/>
  <c r="N3" i="13"/>
  <c r="N93" i="13"/>
  <c r="N82" i="13"/>
  <c r="N71" i="13"/>
  <c r="N61" i="13"/>
  <c r="N50" i="13"/>
  <c r="N39" i="13"/>
  <c r="N27" i="13"/>
  <c r="N15" i="13"/>
  <c r="N2" i="13"/>
  <c r="N88" i="13"/>
  <c r="N80" i="13"/>
  <c r="N72" i="13"/>
  <c r="N64" i="13"/>
  <c r="N56" i="13"/>
  <c r="N48" i="13"/>
  <c r="N40" i="13"/>
  <c r="N32" i="13"/>
  <c r="N24" i="13"/>
  <c r="N16" i="13"/>
  <c r="N8" i="13"/>
  <c r="N29" i="13"/>
  <c r="N21" i="13"/>
  <c r="N13" i="13"/>
  <c r="N5" i="13"/>
  <c r="N92" i="13"/>
  <c r="N84" i="13"/>
  <c r="N76" i="13"/>
  <c r="N68" i="13"/>
  <c r="N60" i="13"/>
  <c r="N52" i="13"/>
  <c r="N44" i="13"/>
  <c r="N36" i="13"/>
  <c r="N28" i="13"/>
  <c r="N20" i="13"/>
  <c r="N12" i="13"/>
  <c r="O83" i="13"/>
  <c r="P86" i="13"/>
  <c r="P94" i="13"/>
  <c r="Q94" i="13"/>
  <c r="R94" i="13"/>
  <c r="S94" i="13"/>
  <c r="O94" i="13"/>
  <c r="P91" i="13"/>
  <c r="O91" i="13"/>
  <c r="O95" i="13"/>
  <c r="T95" i="13" s="1"/>
  <c r="P95" i="13"/>
  <c r="U95" i="13" s="1"/>
  <c r="Q95" i="13"/>
  <c r="V95" i="13" s="1"/>
  <c r="R95" i="13"/>
  <c r="W95" i="13" s="1"/>
  <c r="S95" i="13"/>
  <c r="X95" i="13" s="1"/>
  <c r="Y95" i="13" l="1"/>
  <c r="AN95" i="13"/>
  <c r="Z95" i="13"/>
  <c r="AO95" i="13"/>
  <c r="AC95" i="13"/>
  <c r="AR95" i="13"/>
  <c r="AB95" i="13"/>
  <c r="AQ95" i="13"/>
  <c r="AP95" i="13"/>
  <c r="AA95" i="13"/>
  <c r="O65" i="13"/>
  <c r="O47" i="13"/>
  <c r="O40" i="13"/>
  <c r="S79" i="13"/>
  <c r="Q79" i="13"/>
  <c r="P79" i="13"/>
  <c r="O79" i="13"/>
  <c r="P59" i="13"/>
  <c r="P57" i="13"/>
  <c r="P77" i="13"/>
  <c r="P64" i="13"/>
  <c r="O60" i="13"/>
  <c r="P60" i="13"/>
  <c r="Q60" i="13"/>
  <c r="Q64" i="13"/>
  <c r="O64" i="13"/>
  <c r="O71" i="13"/>
  <c r="U49" i="20"/>
  <c r="P51" i="13"/>
  <c r="P42" i="13"/>
  <c r="S19" i="13"/>
  <c r="AS95" i="13" l="1"/>
  <c r="AU95" i="13" s="1"/>
  <c r="R52" i="13"/>
  <c r="R54" i="13"/>
  <c r="O46" i="13"/>
  <c r="O45" i="13"/>
  <c r="P52" i="13"/>
  <c r="S52" i="13"/>
  <c r="Q52" i="13"/>
  <c r="O52" i="13"/>
  <c r="Q2" i="13"/>
  <c r="Q3" i="13"/>
  <c r="Q4" i="13"/>
  <c r="Q5" i="13"/>
  <c r="Q6" i="13"/>
  <c r="Q7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3" i="13"/>
  <c r="Q54" i="13"/>
  <c r="Q55" i="13"/>
  <c r="Q56" i="13"/>
  <c r="Q57" i="13"/>
  <c r="Q58" i="13"/>
  <c r="Q59" i="13"/>
  <c r="Q61" i="13"/>
  <c r="Q62" i="13"/>
  <c r="Q63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80" i="20"/>
  <c r="Q81" i="20"/>
  <c r="V81" i="20" s="1"/>
  <c r="Q82" i="20"/>
  <c r="Q83" i="20"/>
  <c r="Q84" i="20"/>
  <c r="V84" i="20" s="1"/>
  <c r="Q85" i="20"/>
  <c r="Q86" i="20"/>
  <c r="Q87" i="20"/>
  <c r="Q88" i="20"/>
  <c r="Q89" i="20"/>
  <c r="U33" i="20"/>
  <c r="V26" i="20"/>
  <c r="U26" i="20"/>
  <c r="V13" i="20"/>
  <c r="U13" i="20"/>
  <c r="V33" i="20"/>
  <c r="V40" i="20"/>
  <c r="U40" i="20"/>
  <c r="V22" i="20"/>
  <c r="O29" i="13" l="1"/>
  <c r="O16" i="13"/>
  <c r="P38" i="13"/>
  <c r="P25" i="13"/>
  <c r="P21" i="13"/>
  <c r="U21" i="13" s="1"/>
  <c r="P17" i="13"/>
  <c r="P19" i="13"/>
  <c r="P14" i="13"/>
  <c r="P7" i="13"/>
  <c r="S26" i="13"/>
  <c r="R6" i="13"/>
  <c r="R8" i="13"/>
  <c r="P22" i="13"/>
  <c r="S5" i="13"/>
  <c r="S6" i="13"/>
  <c r="S7" i="13"/>
  <c r="S15" i="13"/>
  <c r="S16" i="13"/>
  <c r="S17" i="13"/>
  <c r="S18" i="13"/>
  <c r="S20" i="13"/>
  <c r="S21" i="13"/>
  <c r="S22" i="13"/>
  <c r="S23" i="13"/>
  <c r="S24" i="13"/>
  <c r="S25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P2" i="13"/>
  <c r="P3" i="13"/>
  <c r="P4" i="13"/>
  <c r="P5" i="13"/>
  <c r="P6" i="13"/>
  <c r="P10" i="13"/>
  <c r="P11" i="13"/>
  <c r="P12" i="13"/>
  <c r="P13" i="13"/>
  <c r="P15" i="13"/>
  <c r="P16" i="13"/>
  <c r="P18" i="13"/>
  <c r="P20" i="13"/>
  <c r="P23" i="13"/>
  <c r="P24" i="13"/>
  <c r="P26" i="13"/>
  <c r="P29" i="13"/>
  <c r="P30" i="13"/>
  <c r="P31" i="13"/>
  <c r="P32" i="13"/>
  <c r="P33" i="13"/>
  <c r="P34" i="13"/>
  <c r="P35" i="13"/>
  <c r="P36" i="13"/>
  <c r="P37" i="13"/>
  <c r="P39" i="13"/>
  <c r="P40" i="13"/>
  <c r="P41" i="13"/>
  <c r="P43" i="13"/>
  <c r="P44" i="13"/>
  <c r="P45" i="13"/>
  <c r="P46" i="13"/>
  <c r="P47" i="13"/>
  <c r="P48" i="13"/>
  <c r="P49" i="13"/>
  <c r="P50" i="13"/>
  <c r="P53" i="13"/>
  <c r="P54" i="13"/>
  <c r="P55" i="13"/>
  <c r="P56" i="13"/>
  <c r="P58" i="13"/>
  <c r="P61" i="13"/>
  <c r="P62" i="13"/>
  <c r="P63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8" i="13"/>
  <c r="P80" i="13"/>
  <c r="P81" i="13"/>
  <c r="P82" i="13"/>
  <c r="P83" i="13"/>
  <c r="P84" i="13"/>
  <c r="P85" i="13"/>
  <c r="P87" i="13"/>
  <c r="P88" i="13"/>
  <c r="P89" i="13"/>
  <c r="P90" i="13"/>
  <c r="P92" i="13"/>
  <c r="P93" i="13"/>
  <c r="O2" i="13"/>
  <c r="O3" i="13"/>
  <c r="O4" i="13"/>
  <c r="O5" i="13"/>
  <c r="O6" i="13"/>
  <c r="O7" i="13"/>
  <c r="O10" i="13"/>
  <c r="O11" i="13"/>
  <c r="O12" i="13"/>
  <c r="O13" i="13"/>
  <c r="O14" i="13"/>
  <c r="O15" i="13"/>
  <c r="O17" i="13"/>
  <c r="O18" i="13"/>
  <c r="O19" i="13"/>
  <c r="O20" i="13"/>
  <c r="O21" i="13"/>
  <c r="O22" i="13"/>
  <c r="O23" i="13"/>
  <c r="O24" i="13"/>
  <c r="O25" i="13"/>
  <c r="O26" i="13"/>
  <c r="O30" i="13"/>
  <c r="O31" i="13"/>
  <c r="O32" i="13"/>
  <c r="O33" i="13"/>
  <c r="O34" i="13"/>
  <c r="O35" i="13"/>
  <c r="O36" i="13"/>
  <c r="O37" i="13"/>
  <c r="O38" i="13"/>
  <c r="O39" i="13"/>
  <c r="O41" i="13"/>
  <c r="O42" i="13"/>
  <c r="O43" i="13"/>
  <c r="O44" i="13"/>
  <c r="O48" i="13"/>
  <c r="O49" i="13"/>
  <c r="O50" i="13"/>
  <c r="O51" i="13"/>
  <c r="O53" i="13"/>
  <c r="O54" i="13"/>
  <c r="O55" i="13"/>
  <c r="O56" i="13"/>
  <c r="O57" i="13"/>
  <c r="O58" i="13"/>
  <c r="O59" i="13"/>
  <c r="O61" i="13"/>
  <c r="O62" i="13"/>
  <c r="O63" i="13"/>
  <c r="O66" i="13"/>
  <c r="O67" i="13"/>
  <c r="O68" i="13"/>
  <c r="O69" i="13"/>
  <c r="O70" i="13"/>
  <c r="O72" i="13"/>
  <c r="O73" i="13"/>
  <c r="O74" i="13"/>
  <c r="O75" i="13"/>
  <c r="O76" i="13"/>
  <c r="O77" i="13"/>
  <c r="O78" i="13"/>
  <c r="O80" i="13"/>
  <c r="O81" i="13"/>
  <c r="O82" i="13"/>
  <c r="O84" i="13"/>
  <c r="O85" i="13"/>
  <c r="O86" i="13"/>
  <c r="O87" i="13"/>
  <c r="O88" i="13"/>
  <c r="O89" i="13"/>
  <c r="O90" i="13"/>
  <c r="O92" i="13"/>
  <c r="O93" i="13"/>
  <c r="S8" i="13"/>
  <c r="H9" i="13"/>
  <c r="G9" i="13"/>
  <c r="P8" i="13" s="1"/>
  <c r="F9" i="13"/>
  <c r="O8" i="13" s="1"/>
  <c r="R2" i="13"/>
  <c r="R3" i="13"/>
  <c r="R4" i="13"/>
  <c r="R5" i="13"/>
  <c r="R7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3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S28" i="13"/>
  <c r="R27" i="13"/>
  <c r="H28" i="13"/>
  <c r="G28" i="13"/>
  <c r="P27" i="13" s="1"/>
  <c r="F28" i="13"/>
  <c r="O27" i="13" s="1"/>
  <c r="Q9" i="13" l="1"/>
  <c r="V9" i="13" s="1"/>
  <c r="AP9" i="13" s="1"/>
  <c r="Q8" i="13"/>
  <c r="O28" i="13"/>
  <c r="P28" i="13"/>
  <c r="Q27" i="13"/>
  <c r="Q28" i="13"/>
  <c r="V28" i="13" s="1"/>
  <c r="AP28" i="13" s="1"/>
  <c r="O9" i="13"/>
  <c r="T9" i="13" s="1"/>
  <c r="P9" i="13"/>
  <c r="U9" i="13" s="1"/>
  <c r="S27" i="13"/>
  <c r="S9" i="13"/>
  <c r="R28" i="13"/>
  <c r="R9" i="13"/>
  <c r="B5" i="13"/>
  <c r="T5" i="13"/>
  <c r="V5" i="13"/>
  <c r="W5" i="13"/>
  <c r="AQ5" i="13" s="1"/>
  <c r="X5" i="13"/>
  <c r="U5" i="13"/>
  <c r="Z5" i="13" s="1"/>
  <c r="A6" i="13"/>
  <c r="A7" i="13" s="1"/>
  <c r="B7" i="13" s="1"/>
  <c r="T6" i="13"/>
  <c r="U6" i="13"/>
  <c r="W6" i="13"/>
  <c r="AQ6" i="13" s="1"/>
  <c r="X6" i="13"/>
  <c r="V6" i="13"/>
  <c r="AP6" i="13" s="1"/>
  <c r="T7" i="13"/>
  <c r="U7" i="13"/>
  <c r="W7" i="13"/>
  <c r="AQ7" i="13" s="1"/>
  <c r="X7" i="13"/>
  <c r="V7" i="13"/>
  <c r="AP7" i="13" s="1"/>
  <c r="B8" i="13"/>
  <c r="U8" i="13"/>
  <c r="X8" i="13"/>
  <c r="AR8" i="13" s="1"/>
  <c r="T8" i="13"/>
  <c r="V8" i="13"/>
  <c r="AP8" i="13" s="1"/>
  <c r="W8" i="13"/>
  <c r="AQ8" i="13" s="1"/>
  <c r="A9" i="13"/>
  <c r="T10" i="13"/>
  <c r="U10" i="13"/>
  <c r="V10" i="13"/>
  <c r="AP10" i="13" s="1"/>
  <c r="W10" i="13"/>
  <c r="AQ10" i="13" s="1"/>
  <c r="X10" i="13"/>
  <c r="AR10" i="13" s="1"/>
  <c r="B11" i="13"/>
  <c r="T11" i="13"/>
  <c r="Y11" i="13" s="1"/>
  <c r="U11" i="13"/>
  <c r="V11" i="13"/>
  <c r="W11" i="13"/>
  <c r="X11" i="13"/>
  <c r="A12" i="13"/>
  <c r="A13" i="13" s="1"/>
  <c r="B13" i="13" s="1"/>
  <c r="T12" i="13"/>
  <c r="Y12" i="13" s="1"/>
  <c r="U12" i="13"/>
  <c r="V12" i="13"/>
  <c r="W12" i="13"/>
  <c r="AQ12" i="13" s="1"/>
  <c r="X12" i="13"/>
  <c r="T13" i="13"/>
  <c r="U13" i="13"/>
  <c r="V13" i="13"/>
  <c r="W13" i="13"/>
  <c r="X13" i="13"/>
  <c r="B14" i="13"/>
  <c r="T14" i="13"/>
  <c r="Y14" i="13" s="1"/>
  <c r="U14" i="13"/>
  <c r="V14" i="13"/>
  <c r="W14" i="13"/>
  <c r="X14" i="13"/>
  <c r="A15" i="13"/>
  <c r="A16" i="13" s="1"/>
  <c r="B16" i="13" s="1"/>
  <c r="T15" i="13"/>
  <c r="Y15" i="13" s="1"/>
  <c r="U15" i="13"/>
  <c r="Z15" i="13" s="1"/>
  <c r="V15" i="13"/>
  <c r="W15" i="13"/>
  <c r="X15" i="13"/>
  <c r="AR15" i="13" s="1"/>
  <c r="T16" i="13"/>
  <c r="Y16" i="13" s="1"/>
  <c r="U16" i="13"/>
  <c r="V16" i="13"/>
  <c r="W16" i="13"/>
  <c r="X16" i="13"/>
  <c r="B17" i="13"/>
  <c r="T17" i="13"/>
  <c r="Y17" i="13" s="1"/>
  <c r="U17" i="13"/>
  <c r="Z17" i="13" s="1"/>
  <c r="V17" i="13"/>
  <c r="AA17" i="13" s="1"/>
  <c r="X17" i="13"/>
  <c r="W17" i="13"/>
  <c r="A18" i="13"/>
  <c r="A19" i="13" s="1"/>
  <c r="B19" i="13" s="1"/>
  <c r="T18" i="13"/>
  <c r="Y18" i="13" s="1"/>
  <c r="U18" i="13"/>
  <c r="Z18" i="13" s="1"/>
  <c r="V18" i="13"/>
  <c r="AA18" i="13" s="1"/>
  <c r="W18" i="13"/>
  <c r="X18" i="13"/>
  <c r="T19" i="13"/>
  <c r="U19" i="13"/>
  <c r="AO19" i="13" s="1"/>
  <c r="V19" i="13"/>
  <c r="W19" i="13"/>
  <c r="X19" i="13"/>
  <c r="AC19" i="13" s="1"/>
  <c r="B20" i="13"/>
  <c r="T20" i="13"/>
  <c r="AN20" i="13" s="1"/>
  <c r="U20" i="13"/>
  <c r="Z20" i="13" s="1"/>
  <c r="V20" i="13"/>
  <c r="AA20" i="13" s="1"/>
  <c r="W20" i="13"/>
  <c r="AB20" i="13" s="1"/>
  <c r="X20" i="13"/>
  <c r="A21" i="13"/>
  <c r="B21" i="13" s="1"/>
  <c r="T21" i="13"/>
  <c r="AN21" i="13" s="1"/>
  <c r="Z21" i="13"/>
  <c r="V21" i="13"/>
  <c r="AA21" i="13" s="1"/>
  <c r="W21" i="13"/>
  <c r="X21" i="13"/>
  <c r="T22" i="13"/>
  <c r="AN22" i="13" s="1"/>
  <c r="U22" i="13"/>
  <c r="Z22" i="13" s="1"/>
  <c r="V22" i="13"/>
  <c r="AA22" i="13" s="1"/>
  <c r="W22" i="13"/>
  <c r="AB22" i="13" s="1"/>
  <c r="X22" i="13"/>
  <c r="B23" i="13"/>
  <c r="T23" i="13"/>
  <c r="AN23" i="13" s="1"/>
  <c r="U23" i="13"/>
  <c r="AO23" i="13" s="1"/>
  <c r="V23" i="13"/>
  <c r="AA23" i="13" s="1"/>
  <c r="W23" i="13"/>
  <c r="AB23" i="13" s="1"/>
  <c r="X23" i="13"/>
  <c r="A24" i="13"/>
  <c r="A25" i="13" s="1"/>
  <c r="B25" i="13" s="1"/>
  <c r="T24" i="13"/>
  <c r="AN24" i="13" s="1"/>
  <c r="U24" i="13"/>
  <c r="AO24" i="13" s="1"/>
  <c r="V24" i="13"/>
  <c r="AA24" i="13" s="1"/>
  <c r="W24" i="13"/>
  <c r="AB24" i="13" s="1"/>
  <c r="X24" i="13"/>
  <c r="T25" i="13"/>
  <c r="AN25" i="13" s="1"/>
  <c r="U25" i="13"/>
  <c r="AO25" i="13" s="1"/>
  <c r="V25" i="13"/>
  <c r="AA25" i="13" s="1"/>
  <c r="W25" i="13"/>
  <c r="AB25" i="13" s="1"/>
  <c r="X25" i="13"/>
  <c r="B26" i="13"/>
  <c r="T26" i="13"/>
  <c r="AN26" i="13" s="1"/>
  <c r="U26" i="13"/>
  <c r="V26" i="13"/>
  <c r="AP26" i="13" s="1"/>
  <c r="W26" i="13"/>
  <c r="AB26" i="13" s="1"/>
  <c r="X26" i="13"/>
  <c r="AC26" i="13" s="1"/>
  <c r="A27" i="13"/>
  <c r="B27" i="13" s="1"/>
  <c r="T27" i="13"/>
  <c r="AN27" i="13" s="1"/>
  <c r="U27" i="13"/>
  <c r="V27" i="13"/>
  <c r="AP27" i="13" s="1"/>
  <c r="W27" i="13"/>
  <c r="AB27" i="13" s="1"/>
  <c r="T28" i="13"/>
  <c r="AN28" i="13" s="1"/>
  <c r="U28" i="13"/>
  <c r="X28" i="13"/>
  <c r="AR28" i="13" s="1"/>
  <c r="B29" i="13"/>
  <c r="U29" i="13"/>
  <c r="AO29" i="13" s="1"/>
  <c r="V29" i="13"/>
  <c r="W29" i="13"/>
  <c r="AQ29" i="13" s="1"/>
  <c r="X29" i="13"/>
  <c r="AC29" i="13" s="1"/>
  <c r="T29" i="13"/>
  <c r="A30" i="13"/>
  <c r="A31" i="13" s="1"/>
  <c r="B31" i="13" s="1"/>
  <c r="T30" i="13"/>
  <c r="U30" i="13"/>
  <c r="AO30" i="13" s="1"/>
  <c r="V30" i="13"/>
  <c r="W30" i="13"/>
  <c r="AQ30" i="13" s="1"/>
  <c r="X30" i="13"/>
  <c r="AC30" i="13" s="1"/>
  <c r="T31" i="13"/>
  <c r="U31" i="13"/>
  <c r="AO31" i="13" s="1"/>
  <c r="V31" i="13"/>
  <c r="W31" i="13"/>
  <c r="AQ31" i="13" s="1"/>
  <c r="X31" i="13"/>
  <c r="AC31" i="13" s="1"/>
  <c r="B32" i="13"/>
  <c r="T32" i="13"/>
  <c r="U32" i="13"/>
  <c r="V32" i="13"/>
  <c r="AP32" i="13" s="1"/>
  <c r="W32" i="13"/>
  <c r="X32" i="13"/>
  <c r="AR32" i="13" s="1"/>
  <c r="A33" i="13"/>
  <c r="U33" i="13"/>
  <c r="Z33" i="13" s="1"/>
  <c r="V33" i="13"/>
  <c r="AP33" i="13" s="1"/>
  <c r="W33" i="13"/>
  <c r="X33" i="13"/>
  <c r="AR33" i="13" s="1"/>
  <c r="T33" i="13"/>
  <c r="T34" i="13"/>
  <c r="U34" i="13"/>
  <c r="Z34" i="13" s="1"/>
  <c r="V34" i="13"/>
  <c r="AP34" i="13" s="1"/>
  <c r="X34" i="13"/>
  <c r="AR34" i="13" s="1"/>
  <c r="W34" i="13"/>
  <c r="AQ34" i="13" s="1"/>
  <c r="B35" i="13"/>
  <c r="T35" i="13"/>
  <c r="Y35" i="13" s="1"/>
  <c r="U35" i="13"/>
  <c r="V35" i="13"/>
  <c r="AA35" i="13" s="1"/>
  <c r="W35" i="13"/>
  <c r="AQ35" i="13" s="1"/>
  <c r="X35" i="13"/>
  <c r="AR35" i="13" s="1"/>
  <c r="A36" i="13"/>
  <c r="A37" i="13" s="1"/>
  <c r="B37" i="13" s="1"/>
  <c r="T36" i="13"/>
  <c r="U36" i="13"/>
  <c r="W36" i="13"/>
  <c r="V36" i="13"/>
  <c r="AA36" i="13" s="1"/>
  <c r="X36" i="13"/>
  <c r="T37" i="13"/>
  <c r="Y37" i="13" s="1"/>
  <c r="U37" i="13"/>
  <c r="W37" i="13"/>
  <c r="X37" i="13"/>
  <c r="V37" i="13"/>
  <c r="B38" i="13"/>
  <c r="T38" i="13"/>
  <c r="Y38" i="13" s="1"/>
  <c r="U38" i="13"/>
  <c r="Z38" i="13" s="1"/>
  <c r="W38" i="13"/>
  <c r="AB38" i="13" s="1"/>
  <c r="X38" i="13"/>
  <c r="V38" i="13"/>
  <c r="A39" i="13"/>
  <c r="B39" i="13" s="1"/>
  <c r="T39" i="13"/>
  <c r="Y39" i="13" s="1"/>
  <c r="U39" i="13"/>
  <c r="V39" i="13"/>
  <c r="X39" i="13"/>
  <c r="W39" i="13"/>
  <c r="AQ39" i="13" s="1"/>
  <c r="T40" i="13"/>
  <c r="V40" i="13"/>
  <c r="X40" i="13"/>
  <c r="AR40" i="13" s="1"/>
  <c r="U40" i="13"/>
  <c r="Z40" i="13" s="1"/>
  <c r="W40" i="13"/>
  <c r="AQ40" i="13" s="1"/>
  <c r="B41" i="13"/>
  <c r="T41" i="13"/>
  <c r="Y41" i="13" s="1"/>
  <c r="U41" i="13"/>
  <c r="AO41" i="13" s="1"/>
  <c r="V41" i="13"/>
  <c r="W41" i="13"/>
  <c r="X41" i="13"/>
  <c r="AC41" i="13" s="1"/>
  <c r="A42" i="13"/>
  <c r="A43" i="13" s="1"/>
  <c r="B43" i="13" s="1"/>
  <c r="T42" i="13"/>
  <c r="V42" i="13"/>
  <c r="AA42" i="13" s="1"/>
  <c r="U42" i="13"/>
  <c r="Z42" i="13" s="1"/>
  <c r="W42" i="13"/>
  <c r="X42" i="13"/>
  <c r="T43" i="13"/>
  <c r="Y43" i="13" s="1"/>
  <c r="V43" i="13"/>
  <c r="AA43" i="13" s="1"/>
  <c r="U43" i="13"/>
  <c r="Z43" i="13" s="1"/>
  <c r="W43" i="13"/>
  <c r="X43" i="13"/>
  <c r="AC43" i="13" s="1"/>
  <c r="B44" i="13"/>
  <c r="T44" i="13"/>
  <c r="Y44" i="13" s="1"/>
  <c r="U44" i="13"/>
  <c r="Z44" i="13" s="1"/>
  <c r="V44" i="13"/>
  <c r="AA44" i="13" s="1"/>
  <c r="W44" i="13"/>
  <c r="AB44" i="13" s="1"/>
  <c r="X44" i="13"/>
  <c r="A45" i="13"/>
  <c r="B45" i="13" s="1"/>
  <c r="T45" i="13"/>
  <c r="Y45" i="13" s="1"/>
  <c r="V45" i="13"/>
  <c r="X45" i="13"/>
  <c r="U45" i="13"/>
  <c r="W45" i="13"/>
  <c r="AB45" i="13" s="1"/>
  <c r="V46" i="13"/>
  <c r="W46" i="13"/>
  <c r="X46" i="13"/>
  <c r="T46" i="13"/>
  <c r="Y46" i="13" s="1"/>
  <c r="U46" i="13"/>
  <c r="AO46" i="13" s="1"/>
  <c r="B47" i="13"/>
  <c r="T47" i="13"/>
  <c r="V47" i="13"/>
  <c r="AP47" i="13" s="1"/>
  <c r="X47" i="13"/>
  <c r="U47" i="13"/>
  <c r="Z47" i="13" s="1"/>
  <c r="W47" i="13"/>
  <c r="A48" i="13"/>
  <c r="A49" i="13" s="1"/>
  <c r="B49" i="13" s="1"/>
  <c r="T48" i="13"/>
  <c r="V48" i="13"/>
  <c r="AP48" i="13" s="1"/>
  <c r="X48" i="13"/>
  <c r="U48" i="13"/>
  <c r="Z48" i="13" s="1"/>
  <c r="W48" i="13"/>
  <c r="T49" i="13"/>
  <c r="V49" i="13"/>
  <c r="AP49" i="13" s="1"/>
  <c r="X49" i="13"/>
  <c r="U49" i="13"/>
  <c r="Z49" i="13" s="1"/>
  <c r="W49" i="13"/>
  <c r="B50" i="13"/>
  <c r="T50" i="13"/>
  <c r="U50" i="13"/>
  <c r="V50" i="13"/>
  <c r="AA50" i="13" s="1"/>
  <c r="W50" i="13"/>
  <c r="AQ50" i="13" s="1"/>
  <c r="X50" i="13"/>
  <c r="A51" i="13"/>
  <c r="A52" i="13" s="1"/>
  <c r="B52" i="13" s="1"/>
  <c r="T51" i="13"/>
  <c r="U51" i="13"/>
  <c r="V51" i="13"/>
  <c r="W51" i="13"/>
  <c r="AQ51" i="13" s="1"/>
  <c r="X51" i="13"/>
  <c r="T52" i="13"/>
  <c r="U52" i="13"/>
  <c r="V52" i="13"/>
  <c r="W52" i="13"/>
  <c r="AQ52" i="13" s="1"/>
  <c r="X52" i="13"/>
  <c r="B53" i="13"/>
  <c r="T53" i="13"/>
  <c r="AN53" i="13" s="1"/>
  <c r="U53" i="13"/>
  <c r="V53" i="13"/>
  <c r="W53" i="13"/>
  <c r="AB53" i="13" s="1"/>
  <c r="X53" i="13"/>
  <c r="AR53" i="13" s="1"/>
  <c r="A54" i="13"/>
  <c r="B54" i="13" s="1"/>
  <c r="T54" i="13"/>
  <c r="AN54" i="13" s="1"/>
  <c r="U54" i="13"/>
  <c r="V54" i="13"/>
  <c r="W54" i="13"/>
  <c r="AB54" i="13" s="1"/>
  <c r="X54" i="13"/>
  <c r="AR54" i="13" s="1"/>
  <c r="T55" i="13"/>
  <c r="AN55" i="13" s="1"/>
  <c r="U55" i="13"/>
  <c r="V55" i="13"/>
  <c r="W55" i="13"/>
  <c r="AB55" i="13" s="1"/>
  <c r="X55" i="13"/>
  <c r="AR55" i="13" s="1"/>
  <c r="B56" i="13"/>
  <c r="U56" i="13"/>
  <c r="AO56" i="13" s="1"/>
  <c r="V56" i="13"/>
  <c r="W56" i="13"/>
  <c r="T56" i="13"/>
  <c r="Y56" i="13" s="1"/>
  <c r="X56" i="13"/>
  <c r="AC56" i="13" s="1"/>
  <c r="A57" i="13"/>
  <c r="B57" i="13" s="1"/>
  <c r="U57" i="13"/>
  <c r="AO57" i="13" s="1"/>
  <c r="V57" i="13"/>
  <c r="W57" i="13"/>
  <c r="T57" i="13"/>
  <c r="Y57" i="13" s="1"/>
  <c r="X57" i="13"/>
  <c r="AC57" i="13" s="1"/>
  <c r="U58" i="13"/>
  <c r="AO58" i="13" s="1"/>
  <c r="V58" i="13"/>
  <c r="W58" i="13"/>
  <c r="T58" i="13"/>
  <c r="AN58" i="13" s="1"/>
  <c r="X58" i="13"/>
  <c r="AC58" i="13" s="1"/>
  <c r="B59" i="13"/>
  <c r="T59" i="13"/>
  <c r="V59" i="13"/>
  <c r="AP59" i="13" s="1"/>
  <c r="W59" i="13"/>
  <c r="X59" i="13"/>
  <c r="AC59" i="13" s="1"/>
  <c r="U59" i="13"/>
  <c r="Z59" i="13" s="1"/>
  <c r="A60" i="13"/>
  <c r="A61" i="13" s="1"/>
  <c r="B61" i="13" s="1"/>
  <c r="T60" i="13"/>
  <c r="V60" i="13"/>
  <c r="AP60" i="13" s="1"/>
  <c r="W60" i="13"/>
  <c r="X60" i="13"/>
  <c r="AC60" i="13" s="1"/>
  <c r="U60" i="13"/>
  <c r="AO60" i="13" s="1"/>
  <c r="T61" i="13"/>
  <c r="V61" i="13"/>
  <c r="AP61" i="13" s="1"/>
  <c r="W61" i="13"/>
  <c r="X61" i="13"/>
  <c r="AC61" i="13" s="1"/>
  <c r="U61" i="13"/>
  <c r="Z61" i="13" s="1"/>
  <c r="B62" i="13"/>
  <c r="U62" i="13"/>
  <c r="W62" i="13"/>
  <c r="AQ62" i="13" s="1"/>
  <c r="X62" i="13"/>
  <c r="T62" i="13"/>
  <c r="V62" i="13"/>
  <c r="AA62" i="13" s="1"/>
  <c r="A63" i="13"/>
  <c r="A64" i="13" s="1"/>
  <c r="B64" i="13" s="1"/>
  <c r="U63" i="13"/>
  <c r="W63" i="13"/>
  <c r="AQ63" i="13" s="1"/>
  <c r="X63" i="13"/>
  <c r="T63" i="13"/>
  <c r="V63" i="13"/>
  <c r="AA63" i="13" s="1"/>
  <c r="U64" i="13"/>
  <c r="AO64" i="13" s="1"/>
  <c r="W64" i="13"/>
  <c r="AQ64" i="13" s="1"/>
  <c r="X64" i="13"/>
  <c r="AC64" i="13" s="1"/>
  <c r="T64" i="13"/>
  <c r="V64" i="13"/>
  <c r="AA64" i="13" s="1"/>
  <c r="B65" i="13"/>
  <c r="V65" i="13"/>
  <c r="AP65" i="13" s="1"/>
  <c r="X65" i="13"/>
  <c r="AR65" i="13" s="1"/>
  <c r="T65" i="13"/>
  <c r="U65" i="13"/>
  <c r="W65" i="13"/>
  <c r="AQ65" i="13" s="1"/>
  <c r="A66" i="13"/>
  <c r="B66" i="13" s="1"/>
  <c r="V66" i="13"/>
  <c r="AP66" i="13" s="1"/>
  <c r="X66" i="13"/>
  <c r="AR66" i="13" s="1"/>
  <c r="T66" i="13"/>
  <c r="U66" i="13"/>
  <c r="W66" i="13"/>
  <c r="AB66" i="13" s="1"/>
  <c r="V67" i="13"/>
  <c r="AP67" i="13" s="1"/>
  <c r="X67" i="13"/>
  <c r="AR67" i="13" s="1"/>
  <c r="T67" i="13"/>
  <c r="U67" i="13"/>
  <c r="W67" i="13"/>
  <c r="AB67" i="13" s="1"/>
  <c r="B68" i="13"/>
  <c r="W68" i="13"/>
  <c r="AQ68" i="13" s="1"/>
  <c r="T68" i="13"/>
  <c r="Y68" i="13" s="1"/>
  <c r="U68" i="13"/>
  <c r="V68" i="13"/>
  <c r="X68" i="13"/>
  <c r="AR68" i="13" s="1"/>
  <c r="A69" i="13"/>
  <c r="A70" i="13" s="1"/>
  <c r="B70" i="13" s="1"/>
  <c r="W69" i="13"/>
  <c r="AQ69" i="13" s="1"/>
  <c r="T69" i="13"/>
  <c r="Y69" i="13" s="1"/>
  <c r="U69" i="13"/>
  <c r="AO69" i="13" s="1"/>
  <c r="V69" i="13"/>
  <c r="X69" i="13"/>
  <c r="AC69" i="13" s="1"/>
  <c r="V70" i="13"/>
  <c r="W70" i="13"/>
  <c r="AQ70" i="13" s="1"/>
  <c r="T70" i="13"/>
  <c r="Y70" i="13" s="1"/>
  <c r="U70" i="13"/>
  <c r="AO70" i="13" s="1"/>
  <c r="X70" i="13"/>
  <c r="AC70" i="13" s="1"/>
  <c r="B71" i="13"/>
  <c r="T71" i="13"/>
  <c r="AN71" i="13" s="1"/>
  <c r="X71" i="13"/>
  <c r="AC71" i="13" s="1"/>
  <c r="U71" i="13"/>
  <c r="Z71" i="13" s="1"/>
  <c r="V71" i="13"/>
  <c r="AP71" i="13" s="1"/>
  <c r="W71" i="13"/>
  <c r="AB71" i="13" s="1"/>
  <c r="A72" i="13"/>
  <c r="B72" i="13" s="1"/>
  <c r="T72" i="13"/>
  <c r="V72" i="13"/>
  <c r="W72" i="13"/>
  <c r="X72" i="13"/>
  <c r="AC72" i="13" s="1"/>
  <c r="U72" i="13"/>
  <c r="AO72" i="13" s="1"/>
  <c r="V73" i="13"/>
  <c r="W73" i="13"/>
  <c r="X73" i="13"/>
  <c r="AR73" i="13" s="1"/>
  <c r="T73" i="13"/>
  <c r="Y73" i="13" s="1"/>
  <c r="U73" i="13"/>
  <c r="AO73" i="13" s="1"/>
  <c r="B74" i="13"/>
  <c r="T74" i="13"/>
  <c r="X74" i="13"/>
  <c r="U74" i="13"/>
  <c r="Z74" i="13" s="1"/>
  <c r="V74" i="13"/>
  <c r="AP74" i="13" s="1"/>
  <c r="W74" i="13"/>
  <c r="A75" i="13"/>
  <c r="A76" i="13" s="1"/>
  <c r="B76" i="13" s="1"/>
  <c r="T75" i="13"/>
  <c r="X75" i="13"/>
  <c r="U75" i="13"/>
  <c r="Z75" i="13" s="1"/>
  <c r="V75" i="13"/>
  <c r="AP75" i="13" s="1"/>
  <c r="W75" i="13"/>
  <c r="T76" i="13"/>
  <c r="X76" i="13"/>
  <c r="U76" i="13"/>
  <c r="Z76" i="13" s="1"/>
  <c r="V76" i="13"/>
  <c r="AP76" i="13" s="1"/>
  <c r="W76" i="13"/>
  <c r="B77" i="13"/>
  <c r="T77" i="13"/>
  <c r="U77" i="13"/>
  <c r="V77" i="13"/>
  <c r="AA77" i="13" s="1"/>
  <c r="W77" i="13"/>
  <c r="AQ77" i="13" s="1"/>
  <c r="X77" i="13"/>
  <c r="A78" i="13"/>
  <c r="B78" i="13" s="1"/>
  <c r="T78" i="13"/>
  <c r="U78" i="13"/>
  <c r="V78" i="13"/>
  <c r="AA78" i="13" s="1"/>
  <c r="W78" i="13"/>
  <c r="AQ78" i="13" s="1"/>
  <c r="X78" i="13"/>
  <c r="T79" i="13"/>
  <c r="U79" i="13"/>
  <c r="V79" i="13"/>
  <c r="AA79" i="13" s="1"/>
  <c r="W79" i="13"/>
  <c r="AQ79" i="13" s="1"/>
  <c r="X79" i="13"/>
  <c r="B80" i="13"/>
  <c r="T80" i="13"/>
  <c r="AN80" i="13" s="1"/>
  <c r="U80" i="13"/>
  <c r="V80" i="13"/>
  <c r="W80" i="13"/>
  <c r="AB80" i="13" s="1"/>
  <c r="X80" i="13"/>
  <c r="AR80" i="13" s="1"/>
  <c r="A81" i="13"/>
  <c r="A82" i="13" s="1"/>
  <c r="B82" i="13" s="1"/>
  <c r="T81" i="13"/>
  <c r="AN81" i="13" s="1"/>
  <c r="U81" i="13"/>
  <c r="V81" i="13"/>
  <c r="W81" i="13"/>
  <c r="AB81" i="13" s="1"/>
  <c r="X81" i="13"/>
  <c r="AR81" i="13" s="1"/>
  <c r="T82" i="13"/>
  <c r="AN82" i="13" s="1"/>
  <c r="U82" i="13"/>
  <c r="V82" i="13"/>
  <c r="W82" i="13"/>
  <c r="AB82" i="13" s="1"/>
  <c r="X82" i="13"/>
  <c r="AR82" i="13" s="1"/>
  <c r="B83" i="13"/>
  <c r="T83" i="13"/>
  <c r="U83" i="13"/>
  <c r="AO83" i="13" s="1"/>
  <c r="V83" i="13"/>
  <c r="W83" i="13"/>
  <c r="X83" i="13"/>
  <c r="AC83" i="13" s="1"/>
  <c r="A84" i="13"/>
  <c r="A85" i="13" s="1"/>
  <c r="B85" i="13" s="1"/>
  <c r="T84" i="13"/>
  <c r="U84" i="13"/>
  <c r="AO84" i="13" s="1"/>
  <c r="V84" i="13"/>
  <c r="W84" i="13"/>
  <c r="X84" i="13"/>
  <c r="AC84" i="13" s="1"/>
  <c r="T85" i="13"/>
  <c r="U85" i="13"/>
  <c r="AO85" i="13" s="1"/>
  <c r="V85" i="13"/>
  <c r="W85" i="13"/>
  <c r="X85" i="13"/>
  <c r="AC85" i="13" s="1"/>
  <c r="B86" i="13"/>
  <c r="T86" i="13"/>
  <c r="U86" i="13"/>
  <c r="V86" i="13"/>
  <c r="AP86" i="13" s="1"/>
  <c r="W86" i="13"/>
  <c r="X86" i="13"/>
  <c r="A87" i="13"/>
  <c r="B87" i="13" s="1"/>
  <c r="T87" i="13"/>
  <c r="U87" i="13"/>
  <c r="V87" i="13"/>
  <c r="AP87" i="13" s="1"/>
  <c r="W87" i="13"/>
  <c r="X87" i="13"/>
  <c r="T88" i="13"/>
  <c r="U88" i="13"/>
  <c r="V88" i="13"/>
  <c r="AP88" i="13" s="1"/>
  <c r="W88" i="13"/>
  <c r="X88" i="13"/>
  <c r="B89" i="13"/>
  <c r="U89" i="13"/>
  <c r="V89" i="13"/>
  <c r="W89" i="13"/>
  <c r="AQ89" i="13" s="1"/>
  <c r="X89" i="13"/>
  <c r="T89" i="13"/>
  <c r="A90" i="13"/>
  <c r="A91" i="13" s="1"/>
  <c r="B91" i="13" s="1"/>
  <c r="U90" i="13"/>
  <c r="V90" i="13"/>
  <c r="W90" i="13"/>
  <c r="AQ90" i="13" s="1"/>
  <c r="X90" i="13"/>
  <c r="T90" i="13"/>
  <c r="U91" i="13"/>
  <c r="V91" i="13"/>
  <c r="W91" i="13"/>
  <c r="AQ91" i="13" s="1"/>
  <c r="X91" i="13"/>
  <c r="T91" i="13"/>
  <c r="AN91" i="13" s="1"/>
  <c r="B92" i="13"/>
  <c r="V92" i="13"/>
  <c r="W92" i="13"/>
  <c r="X92" i="13"/>
  <c r="AC92" i="13" s="1"/>
  <c r="T92" i="13"/>
  <c r="AN92" i="13" s="1"/>
  <c r="U92" i="13"/>
  <c r="AO92" i="13" s="1"/>
  <c r="A93" i="13"/>
  <c r="B93" i="13" s="1"/>
  <c r="V93" i="13"/>
  <c r="W93" i="13"/>
  <c r="X93" i="13"/>
  <c r="AC93" i="13" s="1"/>
  <c r="T93" i="13"/>
  <c r="AN93" i="13" s="1"/>
  <c r="U93" i="13"/>
  <c r="AO93" i="13" s="1"/>
  <c r="V94" i="13"/>
  <c r="W94" i="13"/>
  <c r="X94" i="13"/>
  <c r="AC94" i="13" s="1"/>
  <c r="T94" i="13"/>
  <c r="AN94" i="13" s="1"/>
  <c r="U94" i="13"/>
  <c r="AO94" i="13" s="1"/>
  <c r="V82" i="20"/>
  <c r="AI97" i="20"/>
  <c r="A94" i="13" l="1"/>
  <c r="B94" i="13" s="1"/>
  <c r="A55" i="13"/>
  <c r="B55" i="13" s="1"/>
  <c r="AR43" i="13"/>
  <c r="B81" i="13"/>
  <c r="B90" i="13"/>
  <c r="B30" i="13"/>
  <c r="W9" i="13"/>
  <c r="AQ9" i="13" s="1"/>
  <c r="W28" i="13"/>
  <c r="AB28" i="13" s="1"/>
  <c r="X9" i="13"/>
  <c r="AR9" i="13" s="1"/>
  <c r="X27" i="13"/>
  <c r="AR27" i="13" s="1"/>
  <c r="A67" i="13"/>
  <c r="B67" i="13" s="1"/>
  <c r="B36" i="13"/>
  <c r="B12" i="13"/>
  <c r="B69" i="13"/>
  <c r="B75" i="13"/>
  <c r="B63" i="13"/>
  <c r="B51" i="13"/>
  <c r="B6" i="13"/>
  <c r="B84" i="13"/>
  <c r="B60" i="13"/>
  <c r="B24" i="13"/>
  <c r="B15" i="13"/>
  <c r="A88" i="13"/>
  <c r="B88" i="13" s="1"/>
  <c r="AB89" i="13"/>
  <c r="AR94" i="13"/>
  <c r="AB65" i="13"/>
  <c r="B18" i="13"/>
  <c r="A73" i="13"/>
  <c r="B73" i="13" s="1"/>
  <c r="A40" i="13"/>
  <c r="B40" i="13" s="1"/>
  <c r="A46" i="13"/>
  <c r="B46" i="13" s="1"/>
  <c r="A22" i="13"/>
  <c r="B22" i="13" s="1"/>
  <c r="AC68" i="13"/>
  <c r="B48" i="13"/>
  <c r="B42" i="13"/>
  <c r="A79" i="13"/>
  <c r="B79" i="13" s="1"/>
  <c r="A58" i="13"/>
  <c r="B58" i="13" s="1"/>
  <c r="AB64" i="13"/>
  <c r="AB91" i="13"/>
  <c r="AR61" i="13"/>
  <c r="AB70" i="13"/>
  <c r="AA88" i="13"/>
  <c r="AP64" i="13"/>
  <c r="AP62" i="13"/>
  <c r="Z72" i="13"/>
  <c r="AC40" i="13"/>
  <c r="AQ44" i="13"/>
  <c r="AQ53" i="13"/>
  <c r="AA86" i="13"/>
  <c r="AA66" i="13"/>
  <c r="AP63" i="13"/>
  <c r="AP77" i="13"/>
  <c r="AA61" i="13"/>
  <c r="AP78" i="13"/>
  <c r="AP79" i="13"/>
  <c r="AA34" i="13"/>
  <c r="AA7" i="13"/>
  <c r="AR58" i="13"/>
  <c r="AR57" i="13"/>
  <c r="AA52" i="13"/>
  <c r="AP52" i="13"/>
  <c r="AA51" i="13"/>
  <c r="AP51" i="13"/>
  <c r="AP50" i="13"/>
  <c r="AP45" i="13"/>
  <c r="AA45" i="13"/>
  <c r="AP44" i="13"/>
  <c r="AA41" i="13"/>
  <c r="AP41" i="13"/>
  <c r="AO40" i="13"/>
  <c r="AO18" i="13"/>
  <c r="AQ23" i="13"/>
  <c r="AR92" i="13"/>
  <c r="AR56" i="13"/>
  <c r="AR93" i="13"/>
  <c r="AR71" i="13"/>
  <c r="AR59" i="13"/>
  <c r="AC73" i="13"/>
  <c r="AR70" i="13"/>
  <c r="AR69" i="13"/>
  <c r="AC66" i="13"/>
  <c r="AC65" i="13"/>
  <c r="AR85" i="13"/>
  <c r="AR84" i="13"/>
  <c r="AR83" i="13"/>
  <c r="Z84" i="13"/>
  <c r="Z70" i="13"/>
  <c r="AO47" i="13"/>
  <c r="AO21" i="13"/>
  <c r="Z94" i="13"/>
  <c r="AO76" i="13"/>
  <c r="Z69" i="13"/>
  <c r="AO75" i="13"/>
  <c r="AO74" i="13"/>
  <c r="Z60" i="13"/>
  <c r="AO59" i="13"/>
  <c r="AO44" i="13"/>
  <c r="AO71" i="13"/>
  <c r="AO61" i="13"/>
  <c r="AO49" i="13"/>
  <c r="AO42" i="13"/>
  <c r="Z56" i="13"/>
  <c r="Z83" i="13"/>
  <c r="AO48" i="13"/>
  <c r="AN73" i="13"/>
  <c r="AN44" i="13"/>
  <c r="AN57" i="13"/>
  <c r="AA9" i="13"/>
  <c r="Y58" i="13"/>
  <c r="Y91" i="13"/>
  <c r="Y82" i="13"/>
  <c r="AN46" i="13"/>
  <c r="AN43" i="13"/>
  <c r="AN70" i="13"/>
  <c r="Y81" i="13"/>
  <c r="AN38" i="13"/>
  <c r="AN16" i="13"/>
  <c r="AN56" i="13"/>
  <c r="AN45" i="13"/>
  <c r="AN39" i="13"/>
  <c r="AN17" i="13"/>
  <c r="Y55" i="13"/>
  <c r="AB39" i="13"/>
  <c r="AQ80" i="13"/>
  <c r="AQ67" i="13"/>
  <c r="AB40" i="13"/>
  <c r="AQ82" i="13"/>
  <c r="AQ66" i="13"/>
  <c r="AQ81" i="13"/>
  <c r="AQ45" i="13"/>
  <c r="AQ55" i="13"/>
  <c r="AB69" i="13"/>
  <c r="AQ54" i="13"/>
  <c r="AB7" i="13"/>
  <c r="AO5" i="13"/>
  <c r="AA6" i="13"/>
  <c r="AP5" i="13"/>
  <c r="AA5" i="13"/>
  <c r="AC8" i="13"/>
  <c r="AB8" i="13"/>
  <c r="AA8" i="13"/>
  <c r="Y13" i="13"/>
  <c r="AN13" i="13"/>
  <c r="AN14" i="13"/>
  <c r="AR13" i="13"/>
  <c r="AC13" i="13"/>
  <c r="AQ13" i="13"/>
  <c r="AB13" i="13"/>
  <c r="AR12" i="13"/>
  <c r="AC12" i="13"/>
  <c r="AB12" i="13"/>
  <c r="AN12" i="13"/>
  <c r="AR11" i="13"/>
  <c r="AC11" i="13"/>
  <c r="AQ11" i="13"/>
  <c r="AB11" i="13"/>
  <c r="AN11" i="13"/>
  <c r="AB37" i="13"/>
  <c r="AQ37" i="13"/>
  <c r="AR37" i="13"/>
  <c r="AC37" i="13"/>
  <c r="Y36" i="13"/>
  <c r="AN36" i="13"/>
  <c r="AQ36" i="13"/>
  <c r="AB36" i="13"/>
  <c r="AB35" i="13"/>
  <c r="AC33" i="13"/>
  <c r="AQ32" i="13"/>
  <c r="AB32" i="13"/>
  <c r="AP31" i="13"/>
  <c r="AA31" i="13"/>
  <c r="AR26" i="13"/>
  <c r="Y26" i="13"/>
  <c r="AC28" i="13"/>
  <c r="AA27" i="13"/>
  <c r="Y28" i="13"/>
  <c r="AC38" i="13"/>
  <c r="AR38" i="13"/>
  <c r="AR39" i="13"/>
  <c r="AC39" i="13"/>
  <c r="AQ38" i="13"/>
  <c r="Z39" i="13"/>
  <c r="AO39" i="13"/>
  <c r="AP30" i="13"/>
  <c r="AA30" i="13"/>
  <c r="AP29" i="13"/>
  <c r="AA29" i="13"/>
  <c r="AO28" i="13"/>
  <c r="Z28" i="13"/>
  <c r="AQ27" i="13"/>
  <c r="AO27" i="13"/>
  <c r="Z27" i="13"/>
  <c r="AQ26" i="13"/>
  <c r="AQ25" i="13"/>
  <c r="AO26" i="13"/>
  <c r="Z26" i="13"/>
  <c r="AP25" i="13"/>
  <c r="AQ24" i="13"/>
  <c r="AP24" i="13"/>
  <c r="AP23" i="13"/>
  <c r="Y22" i="13"/>
  <c r="AQ22" i="13"/>
  <c r="AP22" i="13"/>
  <c r="AO22" i="13"/>
  <c r="AB21" i="13"/>
  <c r="AQ21" i="13"/>
  <c r="AP21" i="13"/>
  <c r="AP20" i="13"/>
  <c r="AO20" i="13"/>
  <c r="AA19" i="13"/>
  <c r="AP19" i="13"/>
  <c r="Z19" i="13"/>
  <c r="AC17" i="13"/>
  <c r="AR17" i="13"/>
  <c r="AR16" i="13"/>
  <c r="AC16" i="13"/>
  <c r="Z16" i="13"/>
  <c r="AO16" i="13"/>
  <c r="AR14" i="13"/>
  <c r="AC14" i="13"/>
  <c r="AC15" i="13"/>
  <c r="Z14" i="13"/>
  <c r="AO14" i="13"/>
  <c r="AB10" i="13"/>
  <c r="AB9" i="13"/>
  <c r="AA10" i="13"/>
  <c r="AC91" i="13"/>
  <c r="AR91" i="13"/>
  <c r="AO89" i="13"/>
  <c r="Z89" i="13"/>
  <c r="AB86" i="13"/>
  <c r="AQ86" i="13"/>
  <c r="AA82" i="13"/>
  <c r="AP82" i="13"/>
  <c r="Y76" i="13"/>
  <c r="AN76" i="13"/>
  <c r="AB90" i="13"/>
  <c r="AN88" i="13"/>
  <c r="Y88" i="13"/>
  <c r="AO87" i="13"/>
  <c r="Z87" i="13"/>
  <c r="AB85" i="13"/>
  <c r="AQ85" i="13"/>
  <c r="Z82" i="13"/>
  <c r="AO82" i="13"/>
  <c r="Y80" i="13"/>
  <c r="Z79" i="13"/>
  <c r="AO79" i="13"/>
  <c r="AQ76" i="13"/>
  <c r="AB76" i="13"/>
  <c r="Y72" i="13"/>
  <c r="AN72" i="13"/>
  <c r="AO91" i="13"/>
  <c r="Z91" i="13"/>
  <c r="Z78" i="13"/>
  <c r="AO78" i="13"/>
  <c r="AP93" i="13"/>
  <c r="AA93" i="13"/>
  <c r="AQ94" i="13"/>
  <c r="AB94" i="13"/>
  <c r="AO88" i="13"/>
  <c r="Z88" i="13"/>
  <c r="AN83" i="13"/>
  <c r="Y83" i="13"/>
  <c r="AP94" i="13"/>
  <c r="AA94" i="13"/>
  <c r="Z92" i="13"/>
  <c r="AP91" i="13"/>
  <c r="AA91" i="13"/>
  <c r="AN90" i="13"/>
  <c r="Y90" i="13"/>
  <c r="AN87" i="13"/>
  <c r="Y87" i="13"/>
  <c r="AO86" i="13"/>
  <c r="Z86" i="13"/>
  <c r="AA85" i="13"/>
  <c r="AP85" i="13"/>
  <c r="Y79" i="13"/>
  <c r="AN79" i="13"/>
  <c r="AR74" i="13"/>
  <c r="AC74" i="13"/>
  <c r="AQ93" i="13"/>
  <c r="AB93" i="13"/>
  <c r="AC90" i="13"/>
  <c r="AR90" i="13"/>
  <c r="AN86" i="13"/>
  <c r="Y86" i="13"/>
  <c r="AA81" i="13"/>
  <c r="AP81" i="13"/>
  <c r="AR79" i="13"/>
  <c r="AC79" i="13"/>
  <c r="AN89" i="13"/>
  <c r="Y89" i="13"/>
  <c r="AN85" i="13"/>
  <c r="Y85" i="13"/>
  <c r="AA84" i="13"/>
  <c r="AP84" i="13"/>
  <c r="Z81" i="13"/>
  <c r="AO81" i="13"/>
  <c r="Y78" i="13"/>
  <c r="AN78" i="13"/>
  <c r="AQ75" i="13"/>
  <c r="AB75" i="13"/>
  <c r="AP70" i="13"/>
  <c r="AA70" i="13"/>
  <c r="AP90" i="13"/>
  <c r="AA90" i="13"/>
  <c r="AC89" i="13"/>
  <c r="AR89" i="13"/>
  <c r="AC88" i="13"/>
  <c r="AR88" i="13"/>
  <c r="AA87" i="13"/>
  <c r="AB83" i="13"/>
  <c r="AQ83" i="13"/>
  <c r="AR78" i="13"/>
  <c r="AC78" i="13"/>
  <c r="Z77" i="13"/>
  <c r="AO77" i="13"/>
  <c r="AQ73" i="13"/>
  <c r="AB73" i="13"/>
  <c r="AB84" i="13"/>
  <c r="AQ84" i="13"/>
  <c r="Y75" i="13"/>
  <c r="AN75" i="13"/>
  <c r="AR76" i="13"/>
  <c r="AC76" i="13"/>
  <c r="AQ92" i="13"/>
  <c r="AB92" i="13"/>
  <c r="AO90" i="13"/>
  <c r="Z90" i="13"/>
  <c r="AB88" i="13"/>
  <c r="AQ88" i="13"/>
  <c r="AC87" i="13"/>
  <c r="AR87" i="13"/>
  <c r="Z85" i="13"/>
  <c r="AN84" i="13"/>
  <c r="Y84" i="13"/>
  <c r="AA83" i="13"/>
  <c r="AP83" i="13"/>
  <c r="AA80" i="13"/>
  <c r="AP80" i="13"/>
  <c r="Y77" i="13"/>
  <c r="AN77" i="13"/>
  <c r="Y74" i="13"/>
  <c r="AN74" i="13"/>
  <c r="AP73" i="13"/>
  <c r="AA73" i="13"/>
  <c r="AQ72" i="13"/>
  <c r="AB72" i="13"/>
  <c r="Z93" i="13"/>
  <c r="AP92" i="13"/>
  <c r="AA92" i="13"/>
  <c r="AP89" i="13"/>
  <c r="AA89" i="13"/>
  <c r="AB87" i="13"/>
  <c r="AQ87" i="13"/>
  <c r="AC86" i="13"/>
  <c r="AR86" i="13"/>
  <c r="Z80" i="13"/>
  <c r="AO80" i="13"/>
  <c r="AR77" i="13"/>
  <c r="AC77" i="13"/>
  <c r="AR75" i="13"/>
  <c r="AC75" i="13"/>
  <c r="AQ74" i="13"/>
  <c r="AB74" i="13"/>
  <c r="AP72" i="13"/>
  <c r="AA72" i="13"/>
  <c r="Y71" i="13"/>
  <c r="AA55" i="13"/>
  <c r="AP55" i="13"/>
  <c r="Z32" i="13"/>
  <c r="AO32" i="13"/>
  <c r="B9" i="13"/>
  <c r="A10" i="13"/>
  <c r="B10" i="13" s="1"/>
  <c r="AC62" i="13"/>
  <c r="AR62" i="13"/>
  <c r="AN61" i="13"/>
  <c r="Y61" i="13"/>
  <c r="AB57" i="13"/>
  <c r="AQ57" i="13"/>
  <c r="Z55" i="13"/>
  <c r="AO55" i="13"/>
  <c r="AR52" i="13"/>
  <c r="AC52" i="13"/>
  <c r="AQ49" i="13"/>
  <c r="AB49" i="13"/>
  <c r="AP46" i="13"/>
  <c r="AA46" i="13"/>
  <c r="AR45" i="13"/>
  <c r="AC45" i="13"/>
  <c r="Z41" i="13"/>
  <c r="AA39" i="13"/>
  <c r="AP39" i="13"/>
  <c r="Z35" i="13"/>
  <c r="AO35" i="13"/>
  <c r="Y29" i="13"/>
  <c r="AN29" i="13"/>
  <c r="AC22" i="13"/>
  <c r="AR22" i="13"/>
  <c r="AB17" i="13"/>
  <c r="AQ17" i="13"/>
  <c r="AN69" i="13"/>
  <c r="AN62" i="13"/>
  <c r="Y62" i="13"/>
  <c r="AB59" i="13"/>
  <c r="AQ59" i="13"/>
  <c r="Y52" i="13"/>
  <c r="AN52" i="13"/>
  <c r="Y49" i="13"/>
  <c r="AN49" i="13"/>
  <c r="AO45" i="13"/>
  <c r="Z45" i="13"/>
  <c r="AQ71" i="13"/>
  <c r="AN68" i="13"/>
  <c r="AC67" i="13"/>
  <c r="AA65" i="13"/>
  <c r="Z64" i="13"/>
  <c r="AN63" i="13"/>
  <c r="Y63" i="13"/>
  <c r="AA57" i="13"/>
  <c r="AP57" i="13"/>
  <c r="AA54" i="13"/>
  <c r="AP54" i="13"/>
  <c r="Z51" i="13"/>
  <c r="AO51" i="13"/>
  <c r="AR47" i="13"/>
  <c r="AC47" i="13"/>
  <c r="AB43" i="13"/>
  <c r="AQ43" i="13"/>
  <c r="AA40" i="13"/>
  <c r="AP40" i="13"/>
  <c r="AA37" i="13"/>
  <c r="AP37" i="13"/>
  <c r="Z54" i="13"/>
  <c r="AO54" i="13"/>
  <c r="Y51" i="13"/>
  <c r="AN51" i="13"/>
  <c r="Y94" i="13"/>
  <c r="Y93" i="13"/>
  <c r="Y92" i="13"/>
  <c r="AC82" i="13"/>
  <c r="AC81" i="13"/>
  <c r="AC80" i="13"/>
  <c r="AB79" i="13"/>
  <c r="AB78" i="13"/>
  <c r="AB77" i="13"/>
  <c r="AA76" i="13"/>
  <c r="AA75" i="13"/>
  <c r="AA74" i="13"/>
  <c r="Z73" i="13"/>
  <c r="AB68" i="13"/>
  <c r="AA67" i="13"/>
  <c r="AO65" i="13"/>
  <c r="Z65" i="13"/>
  <c r="AN64" i="13"/>
  <c r="Y64" i="13"/>
  <c r="AO62" i="13"/>
  <c r="Z62" i="13"/>
  <c r="AA59" i="13"/>
  <c r="AB58" i="13"/>
  <c r="AQ58" i="13"/>
  <c r="Z57" i="13"/>
  <c r="AA53" i="13"/>
  <c r="AP53" i="13"/>
  <c r="AR51" i="13"/>
  <c r="AC51" i="13"/>
  <c r="AR49" i="13"/>
  <c r="AC49" i="13"/>
  <c r="AQ48" i="13"/>
  <c r="AB48" i="13"/>
  <c r="AR46" i="13"/>
  <c r="AC46" i="13"/>
  <c r="AN40" i="13"/>
  <c r="Y40" i="13"/>
  <c r="AA38" i="13"/>
  <c r="AP38" i="13"/>
  <c r="AC18" i="13"/>
  <c r="AR18" i="13"/>
  <c r="Y48" i="13"/>
  <c r="AN48" i="13"/>
  <c r="Y31" i="13"/>
  <c r="AN31" i="13"/>
  <c r="AC25" i="13"/>
  <c r="AR25" i="13"/>
  <c r="AO66" i="13"/>
  <c r="Z66" i="13"/>
  <c r="AN65" i="13"/>
  <c r="Y65" i="13"/>
  <c r="AB62" i="13"/>
  <c r="AR60" i="13"/>
  <c r="AA58" i="13"/>
  <c r="AP58" i="13"/>
  <c r="AB56" i="13"/>
  <c r="AQ56" i="13"/>
  <c r="Y54" i="13"/>
  <c r="Z53" i="13"/>
  <c r="AO53" i="13"/>
  <c r="Z50" i="13"/>
  <c r="AO50" i="13"/>
  <c r="AQ46" i="13"/>
  <c r="AB46" i="13"/>
  <c r="AR44" i="13"/>
  <c r="AC44" i="13"/>
  <c r="AC42" i="13"/>
  <c r="AR42" i="13"/>
  <c r="Y42" i="13"/>
  <c r="AN42" i="13"/>
  <c r="AQ33" i="13"/>
  <c r="AB33" i="13"/>
  <c r="B33" i="13"/>
  <c r="A34" i="13"/>
  <c r="B34" i="13" s="1"/>
  <c r="AR72" i="13"/>
  <c r="AB60" i="13"/>
  <c r="AQ60" i="13"/>
  <c r="AA71" i="13"/>
  <c r="AP69" i="13"/>
  <c r="AA69" i="13"/>
  <c r="AP68" i="13"/>
  <c r="AA68" i="13"/>
  <c r="AO67" i="13"/>
  <c r="Z67" i="13"/>
  <c r="AN66" i="13"/>
  <c r="Y66" i="13"/>
  <c r="AR64" i="13"/>
  <c r="AO63" i="13"/>
  <c r="Z63" i="13"/>
  <c r="AB61" i="13"/>
  <c r="AQ61" i="13"/>
  <c r="AN60" i="13"/>
  <c r="Y60" i="13"/>
  <c r="AA56" i="13"/>
  <c r="AP56" i="13"/>
  <c r="Y50" i="13"/>
  <c r="AN50" i="13"/>
  <c r="Y47" i="13"/>
  <c r="AN47" i="13"/>
  <c r="Z36" i="13"/>
  <c r="AO36" i="13"/>
  <c r="Y30" i="13"/>
  <c r="AN30" i="13"/>
  <c r="AQ14" i="13"/>
  <c r="AB14" i="13"/>
  <c r="AO7" i="13"/>
  <c r="Z7" i="13"/>
  <c r="AC63" i="13"/>
  <c r="AR63" i="13"/>
  <c r="AN59" i="13"/>
  <c r="Y59" i="13"/>
  <c r="Y34" i="13"/>
  <c r="AN34" i="13"/>
  <c r="AC23" i="13"/>
  <c r="AR23" i="13"/>
  <c r="AO68" i="13"/>
  <c r="Z68" i="13"/>
  <c r="AN67" i="13"/>
  <c r="Y67" i="13"/>
  <c r="AB63" i="13"/>
  <c r="AA60" i="13"/>
  <c r="Z58" i="13"/>
  <c r="Y53" i="13"/>
  <c r="Z52" i="13"/>
  <c r="AO52" i="13"/>
  <c r="AR50" i="13"/>
  <c r="AC50" i="13"/>
  <c r="AR48" i="13"/>
  <c r="AC48" i="13"/>
  <c r="AQ47" i="13"/>
  <c r="AB47" i="13"/>
  <c r="AR36" i="13"/>
  <c r="AC36" i="13"/>
  <c r="AC24" i="13"/>
  <c r="AR24" i="13"/>
  <c r="Y19" i="13"/>
  <c r="AN19" i="13"/>
  <c r="Y8" i="13"/>
  <c r="AN8" i="13"/>
  <c r="AB42" i="13"/>
  <c r="AQ42" i="13"/>
  <c r="Z37" i="13"/>
  <c r="AO37" i="13"/>
  <c r="Y32" i="13"/>
  <c r="AN32" i="13"/>
  <c r="AB18" i="13"/>
  <c r="AQ18" i="13"/>
  <c r="AA14" i="13"/>
  <c r="AP14" i="13"/>
  <c r="AO9" i="13"/>
  <c r="Z9" i="13"/>
  <c r="AN6" i="13"/>
  <c r="Y6" i="13"/>
  <c r="AN5" i="13"/>
  <c r="Y5" i="13"/>
  <c r="AP43" i="13"/>
  <c r="AB41" i="13"/>
  <c r="AQ41" i="13"/>
  <c r="AO38" i="13"/>
  <c r="Y33" i="13"/>
  <c r="AN33" i="13"/>
  <c r="AR31" i="13"/>
  <c r="AR30" i="13"/>
  <c r="AR29" i="13"/>
  <c r="AB19" i="13"/>
  <c r="AQ19" i="13"/>
  <c r="AQ15" i="13"/>
  <c r="AB15" i="13"/>
  <c r="Y9" i="13"/>
  <c r="AN9" i="13"/>
  <c r="AR6" i="13"/>
  <c r="AC6" i="13"/>
  <c r="AR5" i="13"/>
  <c r="AC5" i="13"/>
  <c r="AO43" i="13"/>
  <c r="AP42" i="13"/>
  <c r="AR41" i="13"/>
  <c r="AN37" i="13"/>
  <c r="AA28" i="13"/>
  <c r="Y27" i="13"/>
  <c r="Y20" i="13"/>
  <c r="AP17" i="13"/>
  <c r="AA15" i="13"/>
  <c r="AP15" i="13"/>
  <c r="AO10" i="13"/>
  <c r="Z10" i="13"/>
  <c r="AC55" i="13"/>
  <c r="AC54" i="13"/>
  <c r="AC53" i="13"/>
  <c r="AB52" i="13"/>
  <c r="AB51" i="13"/>
  <c r="AB50" i="13"/>
  <c r="AA49" i="13"/>
  <c r="AA48" i="13"/>
  <c r="AA47" i="13"/>
  <c r="Z46" i="13"/>
  <c r="AP36" i="13"/>
  <c r="AO33" i="13"/>
  <c r="AC32" i="13"/>
  <c r="AB31" i="13"/>
  <c r="AB30" i="13"/>
  <c r="AB29" i="13"/>
  <c r="A28" i="13"/>
  <c r="B28" i="13" s="1"/>
  <c r="Y21" i="13"/>
  <c r="AC20" i="13"/>
  <c r="AR20" i="13"/>
  <c r="AR19" i="13"/>
  <c r="AP18" i="13"/>
  <c r="AO17" i="13"/>
  <c r="AQ16" i="13"/>
  <c r="AB16" i="13"/>
  <c r="AP11" i="13"/>
  <c r="AA11" i="13"/>
  <c r="Y10" i="13"/>
  <c r="AN10" i="13"/>
  <c r="AN7" i="13"/>
  <c r="Y7" i="13"/>
  <c r="AB5" i="13"/>
  <c r="AP35" i="13"/>
  <c r="AO34" i="13"/>
  <c r="AC21" i="13"/>
  <c r="AR21" i="13"/>
  <c r="AA16" i="13"/>
  <c r="AP16" i="13"/>
  <c r="AP12" i="13"/>
  <c r="AA12" i="13"/>
  <c r="Z11" i="13"/>
  <c r="AO11" i="13"/>
  <c r="AR7" i="13"/>
  <c r="AC7" i="13"/>
  <c r="AO6" i="13"/>
  <c r="Z6" i="13"/>
  <c r="AN41" i="13"/>
  <c r="AN35" i="13"/>
  <c r="AC34" i="13"/>
  <c r="AA32" i="13"/>
  <c r="Z31" i="13"/>
  <c r="Z30" i="13"/>
  <c r="Z29" i="13"/>
  <c r="Z25" i="13"/>
  <c r="Z24" i="13"/>
  <c r="Z23" i="13"/>
  <c r="AN18" i="13"/>
  <c r="AO15" i="13"/>
  <c r="AP13" i="13"/>
  <c r="AA13" i="13"/>
  <c r="Z12" i="13"/>
  <c r="AO12" i="13"/>
  <c r="AC10" i="13"/>
  <c r="AB6" i="13"/>
  <c r="AC35" i="13"/>
  <c r="AB34" i="13"/>
  <c r="AA33" i="13"/>
  <c r="AA26" i="13"/>
  <c r="Y25" i="13"/>
  <c r="Y24" i="13"/>
  <c r="Y23" i="13"/>
  <c r="AQ20" i="13"/>
  <c r="AN15" i="13"/>
  <c r="Z13" i="13"/>
  <c r="AO13" i="13"/>
  <c r="AO8" i="13"/>
  <c r="Z8" i="13"/>
  <c r="AQ28" i="13" l="1"/>
  <c r="AC9" i="13"/>
  <c r="AC27" i="13"/>
  <c r="AS91" i="13"/>
  <c r="AU91" i="13" s="1"/>
  <c r="AS66" i="13"/>
  <c r="AU66" i="13" s="1"/>
  <c r="AS94" i="13"/>
  <c r="AU94" i="13" s="1"/>
  <c r="AS73" i="13"/>
  <c r="AU73" i="13" s="1"/>
  <c r="AS71" i="13"/>
  <c r="AU71" i="13" s="1"/>
  <c r="AS55" i="13"/>
  <c r="AU55" i="13" s="1"/>
  <c r="AS44" i="13"/>
  <c r="AU44" i="13" s="1"/>
  <c r="AS92" i="13"/>
  <c r="AU92" i="13" s="1"/>
  <c r="AS85" i="13"/>
  <c r="AU85" i="13" s="1"/>
  <c r="AS82" i="13"/>
  <c r="AU82" i="13" s="1"/>
  <c r="AS80" i="13"/>
  <c r="AU80" i="13" s="1"/>
  <c r="AS84" i="13"/>
  <c r="AU84" i="13" s="1"/>
  <c r="AS70" i="13"/>
  <c r="AU70" i="13" s="1"/>
  <c r="AS23" i="13"/>
  <c r="AU23" i="13" s="1"/>
  <c r="AS40" i="13"/>
  <c r="AS93" i="13"/>
  <c r="AU93" i="13" s="1"/>
  <c r="AS58" i="13"/>
  <c r="AU58" i="13" s="1"/>
  <c r="AS54" i="13"/>
  <c r="AU54" i="13" s="1"/>
  <c r="AS57" i="13"/>
  <c r="AU57" i="13" s="1"/>
  <c r="AS53" i="13"/>
  <c r="AU53" i="13" s="1"/>
  <c r="AS43" i="13"/>
  <c r="AU43" i="13" s="1"/>
  <c r="AS21" i="13"/>
  <c r="AU21" i="13" s="1"/>
  <c r="AS81" i="13"/>
  <c r="AU81" i="13" s="1"/>
  <c r="AS39" i="13"/>
  <c r="AU39" i="13" s="1"/>
  <c r="AS35" i="13"/>
  <c r="AU35" i="13" s="1"/>
  <c r="AS86" i="13"/>
  <c r="AU86" i="13" s="1"/>
  <c r="AS28" i="13"/>
  <c r="AU28" i="13" s="1"/>
  <c r="AS65" i="13"/>
  <c r="AU65" i="13" s="1"/>
  <c r="AS36" i="13"/>
  <c r="AU36" i="13" s="1"/>
  <c r="AS14" i="13"/>
  <c r="AU14" i="13" s="1"/>
  <c r="AS45" i="13"/>
  <c r="AU45" i="13" s="1"/>
  <c r="AS46" i="13"/>
  <c r="AU46" i="13" s="1"/>
  <c r="AS27" i="13"/>
  <c r="AU27" i="13" s="1"/>
  <c r="AS11" i="13"/>
  <c r="AU11" i="13" s="1"/>
  <c r="AS48" i="13"/>
  <c r="AU48" i="13" s="1"/>
  <c r="AS56" i="13"/>
  <c r="AU56" i="13" s="1"/>
  <c r="AS22" i="13"/>
  <c r="AU22" i="13" s="1"/>
  <c r="AS38" i="13"/>
  <c r="AU38" i="13" s="1"/>
  <c r="AS13" i="13"/>
  <c r="AU13" i="13" s="1"/>
  <c r="AS12" i="13"/>
  <c r="AU12" i="13" s="1"/>
  <c r="AS37" i="13"/>
  <c r="AU37" i="13" s="1"/>
  <c r="AS25" i="13"/>
  <c r="AU25" i="13" s="1"/>
  <c r="AS30" i="13"/>
  <c r="AU30" i="13" s="1"/>
  <c r="AS26" i="13"/>
  <c r="AU26" i="13" s="1"/>
  <c r="AS24" i="13"/>
  <c r="AU24" i="13" s="1"/>
  <c r="AS20" i="13"/>
  <c r="AU20" i="13" s="1"/>
  <c r="AS17" i="13"/>
  <c r="AU17" i="13" s="1"/>
  <c r="AS16" i="13"/>
  <c r="AU16" i="13" s="1"/>
  <c r="AS68" i="13"/>
  <c r="AU68" i="13" s="1"/>
  <c r="AS8" i="13"/>
  <c r="AU8" i="13" s="1"/>
  <c r="AS75" i="13"/>
  <c r="AU75" i="13" s="1"/>
  <c r="AS78" i="13"/>
  <c r="AU78" i="13" s="1"/>
  <c r="AS90" i="13"/>
  <c r="AU90" i="13" s="1"/>
  <c r="AS83" i="13"/>
  <c r="AU83" i="13" s="1"/>
  <c r="AS32" i="13"/>
  <c r="AU32" i="13" s="1"/>
  <c r="AS29" i="13"/>
  <c r="AU29" i="13" s="1"/>
  <c r="AS74" i="13"/>
  <c r="AU74" i="13" s="1"/>
  <c r="AS89" i="13"/>
  <c r="AU89" i="13" s="1"/>
  <c r="AS88" i="13"/>
  <c r="AU88" i="13" s="1"/>
  <c r="AS7" i="13"/>
  <c r="AS9" i="13"/>
  <c r="AU9" i="13" s="1"/>
  <c r="AS5" i="13"/>
  <c r="AU5" i="13" s="1"/>
  <c r="AS34" i="13"/>
  <c r="AU34" i="13" s="1"/>
  <c r="AS47" i="13"/>
  <c r="AU47" i="13" s="1"/>
  <c r="AS42" i="13"/>
  <c r="AU42" i="13" s="1"/>
  <c r="AS63" i="13"/>
  <c r="AU63" i="13" s="1"/>
  <c r="AS49" i="13"/>
  <c r="AU49" i="13" s="1"/>
  <c r="AS69" i="13"/>
  <c r="AU69" i="13" s="1"/>
  <c r="AS77" i="13"/>
  <c r="AU77" i="13" s="1"/>
  <c r="AS72" i="13"/>
  <c r="AU72" i="13" s="1"/>
  <c r="AS19" i="13"/>
  <c r="AU19" i="13" s="1"/>
  <c r="AS10" i="13"/>
  <c r="AU10" i="13" s="1"/>
  <c r="AS33" i="13"/>
  <c r="AU33" i="13" s="1"/>
  <c r="AS60" i="13"/>
  <c r="AU60" i="13" s="1"/>
  <c r="AS64" i="13"/>
  <c r="AU64" i="13" s="1"/>
  <c r="AS62" i="13"/>
  <c r="AU62" i="13" s="1"/>
  <c r="AS15" i="13"/>
  <c r="AU15" i="13" s="1"/>
  <c r="AS6" i="13"/>
  <c r="AU6" i="13" s="1"/>
  <c r="AS50" i="13"/>
  <c r="AU50" i="13" s="1"/>
  <c r="AS31" i="13"/>
  <c r="AU31" i="13" s="1"/>
  <c r="AS52" i="13"/>
  <c r="AU52" i="13" s="1"/>
  <c r="AS61" i="13"/>
  <c r="AU61" i="13" s="1"/>
  <c r="AS76" i="13"/>
  <c r="AU76" i="13" s="1"/>
  <c r="AS18" i="13"/>
  <c r="AU18" i="13" s="1"/>
  <c r="AS41" i="13"/>
  <c r="AU41" i="13" s="1"/>
  <c r="AS67" i="13"/>
  <c r="AU67" i="13" s="1"/>
  <c r="AS59" i="13"/>
  <c r="AU59" i="13" s="1"/>
  <c r="AS51" i="13"/>
  <c r="AU51" i="13" s="1"/>
  <c r="AS79" i="13"/>
  <c r="AU79" i="13" s="1"/>
  <c r="AS87" i="13"/>
  <c r="AU87" i="13" s="1"/>
  <c r="AU40" i="13" l="1"/>
  <c r="AU7" i="13"/>
  <c r="X4" i="13"/>
  <c r="W3" i="13"/>
  <c r="V3" i="13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S96" i="20"/>
  <c r="R96" i="20"/>
  <c r="Q96" i="20"/>
  <c r="P96" i="20"/>
  <c r="O96" i="20"/>
  <c r="AS95" i="20"/>
  <c r="AR95" i="20"/>
  <c r="AO95" i="20"/>
  <c r="S95" i="20"/>
  <c r="X95" i="20" s="1"/>
  <c r="AH95" i="20" s="1"/>
  <c r="R95" i="20"/>
  <c r="W95" i="20" s="1"/>
  <c r="AG95" i="20" s="1"/>
  <c r="Q95" i="20"/>
  <c r="V95" i="20" s="1"/>
  <c r="AF95" i="20" s="1"/>
  <c r="P95" i="20"/>
  <c r="U95" i="20" s="1"/>
  <c r="AE95" i="20" s="1"/>
  <c r="O95" i="20"/>
  <c r="T95" i="20" s="1"/>
  <c r="AD95" i="20" s="1"/>
  <c r="I95" i="20"/>
  <c r="B95" i="20"/>
  <c r="AS94" i="20"/>
  <c r="AR94" i="20"/>
  <c r="AO94" i="20"/>
  <c r="S94" i="20"/>
  <c r="R94" i="20"/>
  <c r="Q94" i="20"/>
  <c r="P94" i="20"/>
  <c r="U94" i="20" s="1"/>
  <c r="AE94" i="20" s="1"/>
  <c r="O94" i="20"/>
  <c r="I94" i="20"/>
  <c r="AX93" i="20"/>
  <c r="AW93" i="20"/>
  <c r="AT93" i="20"/>
  <c r="AS93" i="20"/>
  <c r="AR93" i="20"/>
  <c r="AO93" i="20"/>
  <c r="AN93" i="20"/>
  <c r="AM93" i="20"/>
  <c r="AJ93" i="20"/>
  <c r="AH93" i="20"/>
  <c r="AG93" i="20"/>
  <c r="AD93" i="20"/>
  <c r="X93" i="20"/>
  <c r="W93" i="20"/>
  <c r="T93" i="20"/>
  <c r="S93" i="20"/>
  <c r="R93" i="20"/>
  <c r="Q93" i="20"/>
  <c r="P93" i="20"/>
  <c r="O93" i="20"/>
  <c r="I93" i="20"/>
  <c r="AX92" i="20"/>
  <c r="AW92" i="20"/>
  <c r="AT92" i="20"/>
  <c r="AS92" i="20"/>
  <c r="AR92" i="20"/>
  <c r="AO92" i="20"/>
  <c r="AN92" i="20"/>
  <c r="AM92" i="20"/>
  <c r="AJ92" i="20"/>
  <c r="AH92" i="20"/>
  <c r="AG92" i="20"/>
  <c r="AD92" i="20"/>
  <c r="X92" i="20"/>
  <c r="W92" i="20"/>
  <c r="T92" i="20"/>
  <c r="S92" i="20"/>
  <c r="R92" i="20"/>
  <c r="Q92" i="20"/>
  <c r="P92" i="20"/>
  <c r="O92" i="20"/>
  <c r="I92" i="20"/>
  <c r="AX91" i="20"/>
  <c r="AW91" i="20"/>
  <c r="AT91" i="20"/>
  <c r="AS91" i="20"/>
  <c r="AR91" i="20"/>
  <c r="AO91" i="20"/>
  <c r="AN91" i="20"/>
  <c r="AM91" i="20"/>
  <c r="AJ91" i="20"/>
  <c r="AH91" i="20"/>
  <c r="AG91" i="20"/>
  <c r="AD91" i="20"/>
  <c r="X91" i="20"/>
  <c r="W91" i="20"/>
  <c r="T91" i="20"/>
  <c r="S91" i="20"/>
  <c r="R91" i="20"/>
  <c r="Q91" i="20"/>
  <c r="V91" i="20" s="1"/>
  <c r="P91" i="20"/>
  <c r="O91" i="20"/>
  <c r="I91" i="20"/>
  <c r="AX90" i="20"/>
  <c r="AW90" i="20"/>
  <c r="AT90" i="20"/>
  <c r="AS90" i="20"/>
  <c r="AR90" i="20"/>
  <c r="AO90" i="20"/>
  <c r="AN90" i="20"/>
  <c r="AM90" i="20"/>
  <c r="AJ90" i="20"/>
  <c r="AH90" i="20"/>
  <c r="AG90" i="20"/>
  <c r="AD90" i="20"/>
  <c r="X90" i="20"/>
  <c r="W90" i="20"/>
  <c r="T90" i="20"/>
  <c r="S90" i="20"/>
  <c r="R90" i="20"/>
  <c r="Q90" i="20"/>
  <c r="V89" i="20" s="1"/>
  <c r="P90" i="20"/>
  <c r="U90" i="20" s="1"/>
  <c r="AE90" i="20" s="1"/>
  <c r="O90" i="20"/>
  <c r="I90" i="20"/>
  <c r="AX89" i="20"/>
  <c r="AW89" i="20"/>
  <c r="AT89" i="20"/>
  <c r="AS89" i="20"/>
  <c r="AR89" i="20"/>
  <c r="AO89" i="20"/>
  <c r="AN89" i="20"/>
  <c r="AM89" i="20"/>
  <c r="AJ89" i="20"/>
  <c r="AH89" i="20"/>
  <c r="AG89" i="20"/>
  <c r="AD89" i="20"/>
  <c r="X89" i="20"/>
  <c r="W89" i="20"/>
  <c r="T89" i="20"/>
  <c r="S89" i="20"/>
  <c r="R89" i="20"/>
  <c r="P89" i="20"/>
  <c r="O89" i="20"/>
  <c r="I89" i="20"/>
  <c r="AX88" i="20"/>
  <c r="AW88" i="20"/>
  <c r="AT88" i="20"/>
  <c r="AS88" i="20"/>
  <c r="AR88" i="20"/>
  <c r="AO88" i="20"/>
  <c r="AN88" i="20"/>
  <c r="AM88" i="20"/>
  <c r="AJ88" i="20"/>
  <c r="AH88" i="20"/>
  <c r="AG88" i="20"/>
  <c r="AD88" i="20"/>
  <c r="X88" i="20"/>
  <c r="W88" i="20"/>
  <c r="T88" i="20"/>
  <c r="S88" i="20"/>
  <c r="R88" i="20"/>
  <c r="V88" i="20"/>
  <c r="P88" i="20"/>
  <c r="O88" i="20"/>
  <c r="I88" i="20"/>
  <c r="AX87" i="20"/>
  <c r="AW87" i="20"/>
  <c r="AT87" i="20"/>
  <c r="AS87" i="20"/>
  <c r="AR87" i="20"/>
  <c r="AO87" i="20"/>
  <c r="AN87" i="20"/>
  <c r="AM87" i="20"/>
  <c r="AJ87" i="20"/>
  <c r="AH87" i="20"/>
  <c r="AG87" i="20"/>
  <c r="AD87" i="20"/>
  <c r="X87" i="20"/>
  <c r="W87" i="20"/>
  <c r="T87" i="20"/>
  <c r="S87" i="20"/>
  <c r="R87" i="20"/>
  <c r="P87" i="20"/>
  <c r="U87" i="20" s="1"/>
  <c r="AE87" i="20" s="1"/>
  <c r="AK87" i="20" s="1"/>
  <c r="O87" i="20"/>
  <c r="I87" i="20"/>
  <c r="AX86" i="20"/>
  <c r="AW86" i="20"/>
  <c r="AT86" i="20"/>
  <c r="AS86" i="20"/>
  <c r="AR86" i="20"/>
  <c r="AO86" i="20"/>
  <c r="AN86" i="20"/>
  <c r="AM86" i="20"/>
  <c r="AJ86" i="20"/>
  <c r="AH86" i="20"/>
  <c r="AG86" i="20"/>
  <c r="AD86" i="20"/>
  <c r="X86" i="20"/>
  <c r="W86" i="20"/>
  <c r="T86" i="20"/>
  <c r="S86" i="20"/>
  <c r="R86" i="20"/>
  <c r="P86" i="20"/>
  <c r="O86" i="20"/>
  <c r="I86" i="20"/>
  <c r="AX85" i="20"/>
  <c r="AW85" i="20"/>
  <c r="AT85" i="20"/>
  <c r="AS85" i="20"/>
  <c r="AR85" i="20"/>
  <c r="AO85" i="20"/>
  <c r="AN85" i="20"/>
  <c r="AM85" i="20"/>
  <c r="AJ85" i="20"/>
  <c r="AH85" i="20"/>
  <c r="AG85" i="20"/>
  <c r="AD85" i="20"/>
  <c r="X85" i="20"/>
  <c r="W85" i="20"/>
  <c r="T85" i="20"/>
  <c r="S85" i="20"/>
  <c r="R85" i="20"/>
  <c r="V85" i="20"/>
  <c r="P85" i="20"/>
  <c r="U85" i="20" s="1"/>
  <c r="AE85" i="20" s="1"/>
  <c r="O85" i="20"/>
  <c r="I85" i="20"/>
  <c r="AX84" i="20"/>
  <c r="AW84" i="20"/>
  <c r="AT84" i="20"/>
  <c r="AS84" i="20"/>
  <c r="AR84" i="20"/>
  <c r="AO84" i="20"/>
  <c r="AN84" i="20"/>
  <c r="AM84" i="20"/>
  <c r="AJ84" i="20"/>
  <c r="AH84" i="20"/>
  <c r="AG84" i="20"/>
  <c r="AD84" i="20"/>
  <c r="X84" i="20"/>
  <c r="W84" i="20"/>
  <c r="T84" i="20"/>
  <c r="S84" i="20"/>
  <c r="R84" i="20"/>
  <c r="P84" i="20"/>
  <c r="U84" i="20" s="1"/>
  <c r="AE84" i="20" s="1"/>
  <c r="O84" i="20"/>
  <c r="I84" i="20"/>
  <c r="AX83" i="20"/>
  <c r="AW83" i="20"/>
  <c r="AT83" i="20"/>
  <c r="AS83" i="20"/>
  <c r="AR83" i="20"/>
  <c r="AO83" i="20"/>
  <c r="AN83" i="20"/>
  <c r="AM83" i="20"/>
  <c r="AJ83" i="20"/>
  <c r="AH83" i="20"/>
  <c r="AG83" i="20"/>
  <c r="AD83" i="20"/>
  <c r="X83" i="20"/>
  <c r="W83" i="20"/>
  <c r="T83" i="20"/>
  <c r="S83" i="20"/>
  <c r="R83" i="20"/>
  <c r="AF82" i="20"/>
  <c r="P83" i="20"/>
  <c r="O83" i="20"/>
  <c r="I83" i="20"/>
  <c r="AX82" i="20"/>
  <c r="AW82" i="20"/>
  <c r="AT82" i="20"/>
  <c r="AS82" i="20"/>
  <c r="AR82" i="20"/>
  <c r="AO82" i="20"/>
  <c r="AN82" i="20"/>
  <c r="AM82" i="20"/>
  <c r="AJ82" i="20"/>
  <c r="AH82" i="20"/>
  <c r="AG82" i="20"/>
  <c r="AD82" i="20"/>
  <c r="X82" i="20"/>
  <c r="W82" i="20"/>
  <c r="T82" i="20"/>
  <c r="S82" i="20"/>
  <c r="R82" i="20"/>
  <c r="P82" i="20"/>
  <c r="O82" i="20"/>
  <c r="I82" i="20"/>
  <c r="AX81" i="20"/>
  <c r="AW81" i="20"/>
  <c r="AT81" i="20"/>
  <c r="AS81" i="20"/>
  <c r="AR81" i="20"/>
  <c r="AO81" i="20"/>
  <c r="AN81" i="20"/>
  <c r="AM81" i="20"/>
  <c r="AJ81" i="20"/>
  <c r="AH81" i="20"/>
  <c r="AG81" i="20"/>
  <c r="AD81" i="20"/>
  <c r="X81" i="20"/>
  <c r="W81" i="20"/>
  <c r="T81" i="20"/>
  <c r="S81" i="20"/>
  <c r="R81" i="20"/>
  <c r="AF81" i="20"/>
  <c r="P81" i="20"/>
  <c r="O81" i="20"/>
  <c r="I81" i="20"/>
  <c r="AX80" i="20"/>
  <c r="AW80" i="20"/>
  <c r="AT80" i="20"/>
  <c r="AS80" i="20"/>
  <c r="AR80" i="20"/>
  <c r="AO80" i="20"/>
  <c r="AN80" i="20"/>
  <c r="AM80" i="20"/>
  <c r="AJ80" i="20"/>
  <c r="AH80" i="20"/>
  <c r="AG80" i="20"/>
  <c r="AD80" i="20"/>
  <c r="X80" i="20"/>
  <c r="W80" i="20"/>
  <c r="T80" i="20"/>
  <c r="S80" i="20"/>
  <c r="R80" i="20"/>
  <c r="V80" i="20"/>
  <c r="P80" i="20"/>
  <c r="O80" i="20"/>
  <c r="I80" i="20"/>
  <c r="AX79" i="20"/>
  <c r="AW79" i="20"/>
  <c r="AT79" i="20"/>
  <c r="AS79" i="20"/>
  <c r="AR79" i="20"/>
  <c r="AO79" i="20"/>
  <c r="AN79" i="20"/>
  <c r="AM79" i="20"/>
  <c r="AJ79" i="20"/>
  <c r="AH79" i="20"/>
  <c r="AG79" i="20"/>
  <c r="AD79" i="20"/>
  <c r="X79" i="20"/>
  <c r="W79" i="20"/>
  <c r="T79" i="20"/>
  <c r="S79" i="20"/>
  <c r="R79" i="20"/>
  <c r="Q79" i="20"/>
  <c r="P79" i="20"/>
  <c r="O79" i="20"/>
  <c r="I79" i="20"/>
  <c r="AX78" i="20"/>
  <c r="AW78" i="20"/>
  <c r="AT78" i="20"/>
  <c r="AS78" i="20"/>
  <c r="AR78" i="20"/>
  <c r="AO78" i="20"/>
  <c r="AN78" i="20"/>
  <c r="AM78" i="20"/>
  <c r="AJ78" i="20"/>
  <c r="AH78" i="20"/>
  <c r="AG78" i="20"/>
  <c r="AD78" i="20"/>
  <c r="X78" i="20"/>
  <c r="W78" i="20"/>
  <c r="T78" i="20"/>
  <c r="S78" i="20"/>
  <c r="R78" i="20"/>
  <c r="Q78" i="20"/>
  <c r="P78" i="20"/>
  <c r="O78" i="20"/>
  <c r="I78" i="20"/>
  <c r="AX77" i="20"/>
  <c r="AW77" i="20"/>
  <c r="AT77" i="20"/>
  <c r="AS77" i="20"/>
  <c r="AR77" i="20"/>
  <c r="AO77" i="20"/>
  <c r="AN77" i="20"/>
  <c r="AM77" i="20"/>
  <c r="AJ77" i="20"/>
  <c r="AH77" i="20"/>
  <c r="AG77" i="20"/>
  <c r="AD77" i="20"/>
  <c r="X77" i="20"/>
  <c r="W77" i="20"/>
  <c r="AE77" i="20"/>
  <c r="T77" i="20"/>
  <c r="S77" i="20"/>
  <c r="R77" i="20"/>
  <c r="Q77" i="20"/>
  <c r="P77" i="20"/>
  <c r="U77" i="20" s="1"/>
  <c r="O77" i="20"/>
  <c r="I77" i="20"/>
  <c r="AX76" i="20"/>
  <c r="AW76" i="20"/>
  <c r="AT76" i="20"/>
  <c r="AS76" i="20"/>
  <c r="AR76" i="20"/>
  <c r="AO76" i="20"/>
  <c r="AN76" i="20"/>
  <c r="AM76" i="20"/>
  <c r="AJ76" i="20"/>
  <c r="AH76" i="20"/>
  <c r="AG76" i="20"/>
  <c r="AD76" i="20"/>
  <c r="X76" i="20"/>
  <c r="W76" i="20"/>
  <c r="T76" i="20"/>
  <c r="S76" i="20"/>
  <c r="R76" i="20"/>
  <c r="Q76" i="20"/>
  <c r="P76" i="20"/>
  <c r="O76" i="20"/>
  <c r="I76" i="20"/>
  <c r="AX75" i="20"/>
  <c r="AW75" i="20"/>
  <c r="AT75" i="20"/>
  <c r="AS75" i="20"/>
  <c r="AR75" i="20"/>
  <c r="AO75" i="20"/>
  <c r="AN75" i="20"/>
  <c r="AM75" i="20"/>
  <c r="AJ75" i="20"/>
  <c r="AH75" i="20"/>
  <c r="AG75" i="20"/>
  <c r="AD75" i="20"/>
  <c r="X75" i="20"/>
  <c r="W75" i="20"/>
  <c r="AE75" i="20"/>
  <c r="T75" i="20"/>
  <c r="S75" i="20"/>
  <c r="R75" i="20"/>
  <c r="Q75" i="20"/>
  <c r="V75" i="20" s="1"/>
  <c r="P75" i="20"/>
  <c r="U75" i="20" s="1"/>
  <c r="O75" i="20"/>
  <c r="I75" i="20"/>
  <c r="AX74" i="20"/>
  <c r="AW74" i="20"/>
  <c r="AT74" i="20"/>
  <c r="AS74" i="20"/>
  <c r="AR74" i="20"/>
  <c r="AO74" i="20"/>
  <c r="AN74" i="20"/>
  <c r="AM74" i="20"/>
  <c r="AJ74" i="20"/>
  <c r="AH74" i="20"/>
  <c r="AG74" i="20"/>
  <c r="AD74" i="20"/>
  <c r="X74" i="20"/>
  <c r="W74" i="20"/>
  <c r="T74" i="20"/>
  <c r="S74" i="20"/>
  <c r="R74" i="20"/>
  <c r="Q74" i="20"/>
  <c r="P74" i="20"/>
  <c r="O74" i="20"/>
  <c r="I74" i="20"/>
  <c r="AX73" i="20"/>
  <c r="AW73" i="20"/>
  <c r="AT73" i="20"/>
  <c r="AS73" i="20"/>
  <c r="AR73" i="20"/>
  <c r="AO73" i="20"/>
  <c r="AN73" i="20"/>
  <c r="AM73" i="20"/>
  <c r="AJ73" i="20"/>
  <c r="AH73" i="20"/>
  <c r="AG73" i="20"/>
  <c r="AD73" i="20"/>
  <c r="X73" i="20"/>
  <c r="W73" i="20"/>
  <c r="T73" i="20"/>
  <c r="S73" i="20"/>
  <c r="R73" i="20"/>
  <c r="Q73" i="20"/>
  <c r="V73" i="20" s="1"/>
  <c r="P73" i="20"/>
  <c r="O73" i="20"/>
  <c r="I73" i="20"/>
  <c r="AX72" i="20"/>
  <c r="AW72" i="20"/>
  <c r="AT72" i="20"/>
  <c r="AS72" i="20"/>
  <c r="AR72" i="20"/>
  <c r="AO72" i="20"/>
  <c r="AN72" i="20"/>
  <c r="AM72" i="20"/>
  <c r="AJ72" i="20"/>
  <c r="AH72" i="20"/>
  <c r="AG72" i="20"/>
  <c r="AD72" i="20"/>
  <c r="X72" i="20"/>
  <c r="W72" i="20"/>
  <c r="T72" i="20"/>
  <c r="S72" i="20"/>
  <c r="R72" i="20"/>
  <c r="Q72" i="20"/>
  <c r="V72" i="20" s="1"/>
  <c r="P72" i="20"/>
  <c r="O72" i="20"/>
  <c r="I72" i="20"/>
  <c r="AX71" i="20"/>
  <c r="AW71" i="20"/>
  <c r="AT71" i="20"/>
  <c r="AS71" i="20"/>
  <c r="AR71" i="20"/>
  <c r="AO71" i="20"/>
  <c r="AN71" i="20"/>
  <c r="AM71" i="20"/>
  <c r="AJ71" i="20"/>
  <c r="AH71" i="20"/>
  <c r="AG71" i="20"/>
  <c r="AD71" i="20"/>
  <c r="X71" i="20"/>
  <c r="W71" i="20"/>
  <c r="T71" i="20"/>
  <c r="S71" i="20"/>
  <c r="R71" i="20"/>
  <c r="Q71" i="20"/>
  <c r="P71" i="20"/>
  <c r="O71" i="20"/>
  <c r="I71" i="20"/>
  <c r="AX70" i="20"/>
  <c r="AW70" i="20"/>
  <c r="AT70" i="20"/>
  <c r="AS70" i="20"/>
  <c r="AR70" i="20"/>
  <c r="AO70" i="20"/>
  <c r="AN70" i="20"/>
  <c r="AM70" i="20"/>
  <c r="AJ70" i="20"/>
  <c r="AH70" i="20"/>
  <c r="AG70" i="20"/>
  <c r="AD70" i="20"/>
  <c r="X70" i="20"/>
  <c r="W70" i="20"/>
  <c r="T70" i="20"/>
  <c r="S70" i="20"/>
  <c r="R70" i="20"/>
  <c r="Q70" i="20"/>
  <c r="P70" i="20"/>
  <c r="U70" i="20" s="1"/>
  <c r="AE70" i="20" s="1"/>
  <c r="O70" i="20"/>
  <c r="I70" i="20"/>
  <c r="AX69" i="20"/>
  <c r="AW69" i="20"/>
  <c r="AT69" i="20"/>
  <c r="AS69" i="20"/>
  <c r="AR69" i="20"/>
  <c r="AO69" i="20"/>
  <c r="AN69" i="20"/>
  <c r="AM69" i="20"/>
  <c r="AJ69" i="20"/>
  <c r="AH69" i="20"/>
  <c r="AG69" i="20"/>
  <c r="AD69" i="20"/>
  <c r="X69" i="20"/>
  <c r="W69" i="20"/>
  <c r="T69" i="20"/>
  <c r="S69" i="20"/>
  <c r="R69" i="20"/>
  <c r="Q69" i="20"/>
  <c r="P69" i="20"/>
  <c r="O69" i="20"/>
  <c r="I69" i="20"/>
  <c r="AX68" i="20"/>
  <c r="AW68" i="20"/>
  <c r="AT68" i="20"/>
  <c r="AS68" i="20"/>
  <c r="AR68" i="20"/>
  <c r="AO68" i="20"/>
  <c r="AN68" i="20"/>
  <c r="AM68" i="20"/>
  <c r="AJ68" i="20"/>
  <c r="AH68" i="20"/>
  <c r="AG68" i="20"/>
  <c r="AD68" i="20"/>
  <c r="X68" i="20"/>
  <c r="W68" i="20"/>
  <c r="T68" i="20"/>
  <c r="S68" i="20"/>
  <c r="R68" i="20"/>
  <c r="Q68" i="20"/>
  <c r="P68" i="20"/>
  <c r="O68" i="20"/>
  <c r="I68" i="20"/>
  <c r="AX67" i="20"/>
  <c r="AW67" i="20"/>
  <c r="AT67" i="20"/>
  <c r="AS67" i="20"/>
  <c r="AR67" i="20"/>
  <c r="AO67" i="20"/>
  <c r="AN67" i="20"/>
  <c r="AM67" i="20"/>
  <c r="AJ67" i="20"/>
  <c r="AH67" i="20"/>
  <c r="AG67" i="20"/>
  <c r="AD67" i="20"/>
  <c r="X67" i="20"/>
  <c r="W67" i="20"/>
  <c r="T67" i="20"/>
  <c r="S67" i="20"/>
  <c r="R67" i="20"/>
  <c r="Q67" i="20"/>
  <c r="V67" i="20" s="1"/>
  <c r="P67" i="20"/>
  <c r="O67" i="20"/>
  <c r="I67" i="20"/>
  <c r="AX66" i="20"/>
  <c r="AW66" i="20"/>
  <c r="AT66" i="20"/>
  <c r="AS66" i="20"/>
  <c r="AR66" i="20"/>
  <c r="AO66" i="20"/>
  <c r="AN66" i="20"/>
  <c r="AM66" i="20"/>
  <c r="AJ66" i="20"/>
  <c r="AH66" i="20"/>
  <c r="AG66" i="20"/>
  <c r="AD66" i="20"/>
  <c r="X66" i="20"/>
  <c r="W66" i="20"/>
  <c r="T66" i="20"/>
  <c r="S66" i="20"/>
  <c r="R66" i="20"/>
  <c r="Q66" i="20"/>
  <c r="P66" i="20"/>
  <c r="O66" i="20"/>
  <c r="I66" i="20"/>
  <c r="AX65" i="20"/>
  <c r="AW65" i="20"/>
  <c r="AT65" i="20"/>
  <c r="AS65" i="20"/>
  <c r="AR65" i="20"/>
  <c r="AO65" i="20"/>
  <c r="AN65" i="20"/>
  <c r="AM65" i="20"/>
  <c r="AJ65" i="20"/>
  <c r="AH65" i="20"/>
  <c r="AG65" i="20"/>
  <c r="AD65" i="20"/>
  <c r="X65" i="20"/>
  <c r="W65" i="20"/>
  <c r="T65" i="20"/>
  <c r="S65" i="20"/>
  <c r="R65" i="20"/>
  <c r="Q65" i="20"/>
  <c r="P65" i="20"/>
  <c r="O65" i="20"/>
  <c r="I65" i="20"/>
  <c r="AX64" i="20"/>
  <c r="AW64" i="20"/>
  <c r="AT64" i="20"/>
  <c r="AS64" i="20"/>
  <c r="AR64" i="20"/>
  <c r="AO64" i="20"/>
  <c r="AN64" i="20"/>
  <c r="AM64" i="20"/>
  <c r="AJ64" i="20"/>
  <c r="AH64" i="20"/>
  <c r="AG64" i="20"/>
  <c r="AD64" i="20"/>
  <c r="X64" i="20"/>
  <c r="W64" i="20"/>
  <c r="T64" i="20"/>
  <c r="S64" i="20"/>
  <c r="R64" i="20"/>
  <c r="Q64" i="20"/>
  <c r="V64" i="20" s="1"/>
  <c r="P64" i="20"/>
  <c r="O64" i="20"/>
  <c r="I64" i="20"/>
  <c r="AX63" i="20"/>
  <c r="AW63" i="20"/>
  <c r="AT63" i="20"/>
  <c r="AS63" i="20"/>
  <c r="AR63" i="20"/>
  <c r="AO63" i="20"/>
  <c r="AN63" i="20"/>
  <c r="AM63" i="20"/>
  <c r="AJ63" i="20"/>
  <c r="AH63" i="20"/>
  <c r="AG63" i="20"/>
  <c r="AD63" i="20"/>
  <c r="X63" i="20"/>
  <c r="W63" i="20"/>
  <c r="T63" i="20"/>
  <c r="S63" i="20"/>
  <c r="R63" i="20"/>
  <c r="Q63" i="20"/>
  <c r="P63" i="20"/>
  <c r="O63" i="20"/>
  <c r="I63" i="20"/>
  <c r="AX62" i="20"/>
  <c r="AW62" i="20"/>
  <c r="AT62" i="20"/>
  <c r="AS62" i="20"/>
  <c r="AR62" i="20"/>
  <c r="AO62" i="20"/>
  <c r="AN62" i="20"/>
  <c r="AM62" i="20"/>
  <c r="AJ62" i="20"/>
  <c r="AH62" i="20"/>
  <c r="AG62" i="20"/>
  <c r="AD62" i="20"/>
  <c r="X62" i="20"/>
  <c r="W62" i="20"/>
  <c r="T62" i="20"/>
  <c r="S62" i="20"/>
  <c r="R62" i="20"/>
  <c r="Q62" i="20"/>
  <c r="P62" i="20"/>
  <c r="O62" i="20"/>
  <c r="I62" i="20"/>
  <c r="AX61" i="20"/>
  <c r="AW61" i="20"/>
  <c r="AT61" i="20"/>
  <c r="AS61" i="20"/>
  <c r="AR61" i="20"/>
  <c r="AO61" i="20"/>
  <c r="AN61" i="20"/>
  <c r="AM61" i="20"/>
  <c r="AJ61" i="20"/>
  <c r="AH61" i="20"/>
  <c r="AG61" i="20"/>
  <c r="AD61" i="20"/>
  <c r="X61" i="20"/>
  <c r="W61" i="20"/>
  <c r="T61" i="20"/>
  <c r="S61" i="20"/>
  <c r="R61" i="20"/>
  <c r="Q61" i="20"/>
  <c r="V61" i="20" s="1"/>
  <c r="P61" i="20"/>
  <c r="O61" i="20"/>
  <c r="I61" i="20"/>
  <c r="AX60" i="20"/>
  <c r="AW60" i="20"/>
  <c r="AT60" i="20"/>
  <c r="AS60" i="20"/>
  <c r="AR60" i="20"/>
  <c r="AO60" i="20"/>
  <c r="AN60" i="20"/>
  <c r="AM60" i="20"/>
  <c r="AJ60" i="20"/>
  <c r="AH60" i="20"/>
  <c r="AG60" i="20"/>
  <c r="AD60" i="20"/>
  <c r="X60" i="20"/>
  <c r="W60" i="20"/>
  <c r="T60" i="20"/>
  <c r="S60" i="20"/>
  <c r="R60" i="20"/>
  <c r="Q60" i="20"/>
  <c r="P60" i="20"/>
  <c r="O60" i="20"/>
  <c r="I60" i="20"/>
  <c r="AX59" i="20"/>
  <c r="AW59" i="20"/>
  <c r="AT59" i="20"/>
  <c r="AS59" i="20"/>
  <c r="AR59" i="20"/>
  <c r="AO59" i="20"/>
  <c r="AN59" i="20"/>
  <c r="AM59" i="20"/>
  <c r="AJ59" i="20"/>
  <c r="AH59" i="20"/>
  <c r="AG59" i="20"/>
  <c r="AD59" i="20"/>
  <c r="X59" i="20"/>
  <c r="W59" i="20"/>
  <c r="T59" i="20"/>
  <c r="S59" i="20"/>
  <c r="R59" i="20"/>
  <c r="Q59" i="20"/>
  <c r="P59" i="20"/>
  <c r="O59" i="20"/>
  <c r="I59" i="20"/>
  <c r="AX58" i="20"/>
  <c r="AW58" i="20"/>
  <c r="AT58" i="20"/>
  <c r="AS58" i="20"/>
  <c r="AR58" i="20"/>
  <c r="AO58" i="20"/>
  <c r="AN58" i="20"/>
  <c r="AM58" i="20"/>
  <c r="AJ58" i="20"/>
  <c r="AH58" i="20"/>
  <c r="AG58" i="20"/>
  <c r="AD58" i="20"/>
  <c r="X58" i="20"/>
  <c r="W58" i="20"/>
  <c r="T58" i="20"/>
  <c r="S58" i="20"/>
  <c r="R58" i="20"/>
  <c r="Q58" i="20"/>
  <c r="P58" i="20"/>
  <c r="U58" i="20" s="1"/>
  <c r="AE58" i="20" s="1"/>
  <c r="O58" i="20"/>
  <c r="I58" i="20"/>
  <c r="AX57" i="20"/>
  <c r="AW57" i="20"/>
  <c r="AT57" i="20"/>
  <c r="AS57" i="20"/>
  <c r="AR57" i="20"/>
  <c r="AO57" i="20"/>
  <c r="AN57" i="20"/>
  <c r="AM57" i="20"/>
  <c r="AJ57" i="20"/>
  <c r="AH57" i="20"/>
  <c r="AG57" i="20"/>
  <c r="AD57" i="20"/>
  <c r="X57" i="20"/>
  <c r="W57" i="20"/>
  <c r="T57" i="20"/>
  <c r="S57" i="20"/>
  <c r="R57" i="20"/>
  <c r="Q57" i="20"/>
  <c r="P57" i="20"/>
  <c r="O57" i="20"/>
  <c r="I57" i="20"/>
  <c r="AX56" i="20"/>
  <c r="AW56" i="20"/>
  <c r="AT56" i="20"/>
  <c r="AS56" i="20"/>
  <c r="AR56" i="20"/>
  <c r="AO56" i="20"/>
  <c r="AN56" i="20"/>
  <c r="AM56" i="20"/>
  <c r="AJ56" i="20"/>
  <c r="AH56" i="20"/>
  <c r="AG56" i="20"/>
  <c r="AD56" i="20"/>
  <c r="X56" i="20"/>
  <c r="W56" i="20"/>
  <c r="T56" i="20"/>
  <c r="S56" i="20"/>
  <c r="R56" i="20"/>
  <c r="Q56" i="20"/>
  <c r="V56" i="20" s="1"/>
  <c r="P56" i="20"/>
  <c r="O56" i="20"/>
  <c r="I56" i="20"/>
  <c r="AX55" i="20"/>
  <c r="AW55" i="20"/>
  <c r="AT55" i="20"/>
  <c r="AS55" i="20"/>
  <c r="AR55" i="20"/>
  <c r="AO55" i="20"/>
  <c r="AN55" i="20"/>
  <c r="AM55" i="20"/>
  <c r="AJ55" i="20"/>
  <c r="AH55" i="20"/>
  <c r="AG55" i="20"/>
  <c r="AD55" i="20"/>
  <c r="X55" i="20"/>
  <c r="W55" i="20"/>
  <c r="T55" i="20"/>
  <c r="S55" i="20"/>
  <c r="R55" i="20"/>
  <c r="Q55" i="20"/>
  <c r="P55" i="20"/>
  <c r="O55" i="20"/>
  <c r="I55" i="20"/>
  <c r="AX54" i="20"/>
  <c r="AW54" i="20"/>
  <c r="AT54" i="20"/>
  <c r="AS54" i="20"/>
  <c r="AR54" i="20"/>
  <c r="AO54" i="20"/>
  <c r="AN54" i="20"/>
  <c r="AM54" i="20"/>
  <c r="AJ54" i="20"/>
  <c r="AH54" i="20"/>
  <c r="AG54" i="20"/>
  <c r="AD54" i="20"/>
  <c r="X54" i="20"/>
  <c r="W54" i="20"/>
  <c r="T54" i="20"/>
  <c r="S54" i="20"/>
  <c r="R54" i="20"/>
  <c r="Q54" i="20"/>
  <c r="P54" i="20"/>
  <c r="O54" i="20"/>
  <c r="I54" i="20"/>
  <c r="AX53" i="20"/>
  <c r="AW53" i="20"/>
  <c r="AT53" i="20"/>
  <c r="AS53" i="20"/>
  <c r="AR53" i="20"/>
  <c r="AO53" i="20"/>
  <c r="AN53" i="20"/>
  <c r="AM53" i="20"/>
  <c r="AJ53" i="20"/>
  <c r="AH53" i="20"/>
  <c r="AG53" i="20"/>
  <c r="AD53" i="20"/>
  <c r="X53" i="20"/>
  <c r="W53" i="20"/>
  <c r="T53" i="20"/>
  <c r="S53" i="20"/>
  <c r="R53" i="20"/>
  <c r="Q53" i="20"/>
  <c r="P53" i="20"/>
  <c r="O53" i="20"/>
  <c r="I53" i="20"/>
  <c r="AX52" i="20"/>
  <c r="AW52" i="20"/>
  <c r="AT52" i="20"/>
  <c r="AS52" i="20"/>
  <c r="AR52" i="20"/>
  <c r="AO52" i="20"/>
  <c r="AN52" i="20"/>
  <c r="AM52" i="20"/>
  <c r="AJ52" i="20"/>
  <c r="AH52" i="20"/>
  <c r="AG52" i="20"/>
  <c r="AD52" i="20"/>
  <c r="X52" i="20"/>
  <c r="W52" i="20"/>
  <c r="T52" i="20"/>
  <c r="S52" i="20"/>
  <c r="R52" i="20"/>
  <c r="Q52" i="20"/>
  <c r="P52" i="20"/>
  <c r="O52" i="20"/>
  <c r="I52" i="20"/>
  <c r="AX51" i="20"/>
  <c r="AW51" i="20"/>
  <c r="AT51" i="20"/>
  <c r="AS51" i="20"/>
  <c r="AR51" i="20"/>
  <c r="AO51" i="20"/>
  <c r="AN51" i="20"/>
  <c r="AM51" i="20"/>
  <c r="AJ51" i="20"/>
  <c r="AH51" i="20"/>
  <c r="AG51" i="20"/>
  <c r="AD51" i="20"/>
  <c r="X51" i="20"/>
  <c r="W51" i="20"/>
  <c r="T51" i="20"/>
  <c r="S51" i="20"/>
  <c r="R51" i="20"/>
  <c r="Q51" i="20"/>
  <c r="P51" i="20"/>
  <c r="O51" i="20"/>
  <c r="I51" i="20"/>
  <c r="AX50" i="20"/>
  <c r="AW50" i="20"/>
  <c r="AT50" i="20"/>
  <c r="AS50" i="20"/>
  <c r="AR50" i="20"/>
  <c r="AO50" i="20"/>
  <c r="AN50" i="20"/>
  <c r="AM50" i="20"/>
  <c r="AJ50" i="20"/>
  <c r="AH50" i="20"/>
  <c r="AG50" i="20"/>
  <c r="AD50" i="20"/>
  <c r="X50" i="20"/>
  <c r="W50" i="20"/>
  <c r="T50" i="20"/>
  <c r="S50" i="20"/>
  <c r="R50" i="20"/>
  <c r="Q50" i="20"/>
  <c r="P50" i="20"/>
  <c r="O50" i="20"/>
  <c r="I50" i="20"/>
  <c r="AX49" i="20"/>
  <c r="AW49" i="20"/>
  <c r="AT49" i="20"/>
  <c r="AS49" i="20"/>
  <c r="AR49" i="20"/>
  <c r="AO49" i="20"/>
  <c r="AN49" i="20"/>
  <c r="AM49" i="20"/>
  <c r="AJ49" i="20"/>
  <c r="AH49" i="20"/>
  <c r="AG49" i="20"/>
  <c r="AD49" i="20"/>
  <c r="X49" i="20"/>
  <c r="W49" i="20"/>
  <c r="T49" i="20"/>
  <c r="S49" i="20"/>
  <c r="R49" i="20"/>
  <c r="Q49" i="20"/>
  <c r="P49" i="20"/>
  <c r="O49" i="20"/>
  <c r="I49" i="20"/>
  <c r="AX48" i="20"/>
  <c r="AW48" i="20"/>
  <c r="AT48" i="20"/>
  <c r="AS48" i="20"/>
  <c r="AR48" i="20"/>
  <c r="AO48" i="20"/>
  <c r="AN48" i="20"/>
  <c r="AM48" i="20"/>
  <c r="AJ48" i="20"/>
  <c r="AH48" i="20"/>
  <c r="AG48" i="20"/>
  <c r="AD48" i="20"/>
  <c r="X48" i="20"/>
  <c r="W48" i="20"/>
  <c r="T48" i="20"/>
  <c r="S48" i="20"/>
  <c r="R48" i="20"/>
  <c r="Q48" i="20"/>
  <c r="V48" i="20" s="1"/>
  <c r="P48" i="20"/>
  <c r="O48" i="20"/>
  <c r="I48" i="20"/>
  <c r="AX47" i="20"/>
  <c r="AW47" i="20"/>
  <c r="AT47" i="20"/>
  <c r="AS47" i="20"/>
  <c r="AR47" i="20"/>
  <c r="AO47" i="20"/>
  <c r="AN47" i="20"/>
  <c r="AM47" i="20"/>
  <c r="AJ47" i="20"/>
  <c r="AH47" i="20"/>
  <c r="AG47" i="20"/>
  <c r="AD47" i="20"/>
  <c r="X47" i="20"/>
  <c r="W47" i="20"/>
  <c r="T47" i="20"/>
  <c r="S47" i="20"/>
  <c r="R47" i="20"/>
  <c r="Q47" i="20"/>
  <c r="V47" i="20" s="1"/>
  <c r="P47" i="20"/>
  <c r="O47" i="20"/>
  <c r="I47" i="20"/>
  <c r="AX46" i="20"/>
  <c r="AW46" i="20"/>
  <c r="AT46" i="20"/>
  <c r="AS46" i="20"/>
  <c r="AR46" i="20"/>
  <c r="AO46" i="20"/>
  <c r="AN46" i="20"/>
  <c r="AM46" i="20"/>
  <c r="AJ46" i="20"/>
  <c r="AH46" i="20"/>
  <c r="AG46" i="20"/>
  <c r="AD46" i="20"/>
  <c r="X46" i="20"/>
  <c r="W46" i="20"/>
  <c r="T46" i="20"/>
  <c r="S46" i="20"/>
  <c r="R46" i="20"/>
  <c r="Q46" i="20"/>
  <c r="P46" i="20"/>
  <c r="O46" i="20"/>
  <c r="I46" i="20"/>
  <c r="AX45" i="20"/>
  <c r="AW45" i="20"/>
  <c r="AT45" i="20"/>
  <c r="AS45" i="20"/>
  <c r="AR45" i="20"/>
  <c r="AO45" i="20"/>
  <c r="AN45" i="20"/>
  <c r="AM45" i="20"/>
  <c r="AJ45" i="20"/>
  <c r="AH45" i="20"/>
  <c r="AG45" i="20"/>
  <c r="AD45" i="20"/>
  <c r="X45" i="20"/>
  <c r="W45" i="20"/>
  <c r="T45" i="20"/>
  <c r="S45" i="20"/>
  <c r="R45" i="20"/>
  <c r="Q45" i="20"/>
  <c r="P45" i="20"/>
  <c r="O45" i="20"/>
  <c r="I45" i="20"/>
  <c r="AX44" i="20"/>
  <c r="AW44" i="20"/>
  <c r="AT44" i="20"/>
  <c r="AS44" i="20"/>
  <c r="AR44" i="20"/>
  <c r="AO44" i="20"/>
  <c r="AN44" i="20"/>
  <c r="AM44" i="20"/>
  <c r="AJ44" i="20"/>
  <c r="AH44" i="20"/>
  <c r="AG44" i="20"/>
  <c r="AD44" i="20"/>
  <c r="X44" i="20"/>
  <c r="W44" i="20"/>
  <c r="T44" i="20"/>
  <c r="S44" i="20"/>
  <c r="R44" i="20"/>
  <c r="Q44" i="20"/>
  <c r="P44" i="20"/>
  <c r="O44" i="20"/>
  <c r="I44" i="20"/>
  <c r="AX43" i="20"/>
  <c r="AW43" i="20"/>
  <c r="AT43" i="20"/>
  <c r="AS43" i="20"/>
  <c r="AR43" i="20"/>
  <c r="AO43" i="20"/>
  <c r="AN43" i="20"/>
  <c r="AM43" i="20"/>
  <c r="AJ43" i="20"/>
  <c r="AH43" i="20"/>
  <c r="AG43" i="20"/>
  <c r="AD43" i="20"/>
  <c r="X43" i="20"/>
  <c r="W43" i="20"/>
  <c r="T43" i="20"/>
  <c r="S43" i="20"/>
  <c r="R43" i="20"/>
  <c r="Q43" i="20"/>
  <c r="P43" i="20"/>
  <c r="O43" i="20"/>
  <c r="I43" i="20"/>
  <c r="AX42" i="20"/>
  <c r="AW42" i="20"/>
  <c r="AT42" i="20"/>
  <c r="AS42" i="20"/>
  <c r="AR42" i="20"/>
  <c r="AO42" i="20"/>
  <c r="AN42" i="20"/>
  <c r="AM42" i="20"/>
  <c r="AJ42" i="20"/>
  <c r="AH42" i="20"/>
  <c r="AG42" i="20"/>
  <c r="AD42" i="20"/>
  <c r="X42" i="20"/>
  <c r="W42" i="20"/>
  <c r="T42" i="20"/>
  <c r="S42" i="20"/>
  <c r="R42" i="20"/>
  <c r="Q42" i="20"/>
  <c r="P42" i="20"/>
  <c r="O42" i="20"/>
  <c r="I42" i="20"/>
  <c r="AX41" i="20"/>
  <c r="AW41" i="20"/>
  <c r="AT41" i="20"/>
  <c r="AS41" i="20"/>
  <c r="AR41" i="20"/>
  <c r="AO41" i="20"/>
  <c r="AN41" i="20"/>
  <c r="AM41" i="20"/>
  <c r="AJ41" i="20"/>
  <c r="AH41" i="20"/>
  <c r="AG41" i="20"/>
  <c r="AD41" i="20"/>
  <c r="X41" i="20"/>
  <c r="W41" i="20"/>
  <c r="T41" i="20"/>
  <c r="S41" i="20"/>
  <c r="R41" i="20"/>
  <c r="Q41" i="20"/>
  <c r="P41" i="20"/>
  <c r="O41" i="20"/>
  <c r="I41" i="20"/>
  <c r="AX40" i="20"/>
  <c r="AW40" i="20"/>
  <c r="AT40" i="20"/>
  <c r="AS40" i="20"/>
  <c r="AR40" i="20"/>
  <c r="AO40" i="20"/>
  <c r="AN40" i="20"/>
  <c r="AM40" i="20"/>
  <c r="AJ40" i="20"/>
  <c r="AH40" i="20"/>
  <c r="AG40" i="20"/>
  <c r="AD40" i="20"/>
  <c r="X40" i="20"/>
  <c r="W40" i="20"/>
  <c r="T40" i="20"/>
  <c r="S40" i="20"/>
  <c r="R40" i="20"/>
  <c r="Q40" i="20"/>
  <c r="P40" i="20"/>
  <c r="O40" i="20"/>
  <c r="I40" i="20"/>
  <c r="AX39" i="20"/>
  <c r="AW39" i="20"/>
  <c r="AT39" i="20"/>
  <c r="AS39" i="20"/>
  <c r="AR39" i="20"/>
  <c r="AO39" i="20"/>
  <c r="AN39" i="20"/>
  <c r="AM39" i="20"/>
  <c r="AJ39" i="20"/>
  <c r="AH39" i="20"/>
  <c r="AG39" i="20"/>
  <c r="AD39" i="20"/>
  <c r="X39" i="20"/>
  <c r="W39" i="20"/>
  <c r="T39" i="20"/>
  <c r="S39" i="20"/>
  <c r="R39" i="20"/>
  <c r="Q39" i="20"/>
  <c r="P39" i="20"/>
  <c r="O39" i="20"/>
  <c r="I39" i="20"/>
  <c r="AX38" i="20"/>
  <c r="AW38" i="20"/>
  <c r="AT38" i="20"/>
  <c r="AS38" i="20"/>
  <c r="AR38" i="20"/>
  <c r="AO38" i="20"/>
  <c r="AN38" i="20"/>
  <c r="AM38" i="20"/>
  <c r="AJ38" i="20"/>
  <c r="AH38" i="20"/>
  <c r="AG38" i="20"/>
  <c r="AD38" i="20"/>
  <c r="X38" i="20"/>
  <c r="W38" i="20"/>
  <c r="T38" i="20"/>
  <c r="S38" i="20"/>
  <c r="R38" i="20"/>
  <c r="Q38" i="20"/>
  <c r="V38" i="20" s="1"/>
  <c r="P38" i="20"/>
  <c r="O38" i="20"/>
  <c r="I38" i="20"/>
  <c r="AX37" i="20"/>
  <c r="AW37" i="20"/>
  <c r="AT37" i="20"/>
  <c r="AS37" i="20"/>
  <c r="AR37" i="20"/>
  <c r="AO37" i="20"/>
  <c r="AN37" i="20"/>
  <c r="AM37" i="20"/>
  <c r="AJ37" i="20"/>
  <c r="AH37" i="20"/>
  <c r="AG37" i="20"/>
  <c r="AD37" i="20"/>
  <c r="X37" i="20"/>
  <c r="W37" i="20"/>
  <c r="T37" i="20"/>
  <c r="S37" i="20"/>
  <c r="R37" i="20"/>
  <c r="Q37" i="20"/>
  <c r="P37" i="20"/>
  <c r="O37" i="20"/>
  <c r="I37" i="20"/>
  <c r="AX36" i="20"/>
  <c r="AW36" i="20"/>
  <c r="AT36" i="20"/>
  <c r="AS36" i="20"/>
  <c r="AR36" i="20"/>
  <c r="AO36" i="20"/>
  <c r="AN36" i="20"/>
  <c r="AM36" i="20"/>
  <c r="AJ36" i="20"/>
  <c r="AH36" i="20"/>
  <c r="AG36" i="20"/>
  <c r="AD36" i="20"/>
  <c r="X36" i="20"/>
  <c r="W36" i="20"/>
  <c r="T36" i="20"/>
  <c r="S36" i="20"/>
  <c r="R36" i="20"/>
  <c r="Q36" i="20"/>
  <c r="P36" i="20"/>
  <c r="O36" i="20"/>
  <c r="I36" i="20"/>
  <c r="AX35" i="20"/>
  <c r="AW35" i="20"/>
  <c r="AT35" i="20"/>
  <c r="AS35" i="20"/>
  <c r="AR35" i="20"/>
  <c r="AO35" i="20"/>
  <c r="AN35" i="20"/>
  <c r="AM35" i="20"/>
  <c r="AJ35" i="20"/>
  <c r="AH35" i="20"/>
  <c r="AG35" i="20"/>
  <c r="AD35" i="20"/>
  <c r="X35" i="20"/>
  <c r="W35" i="20"/>
  <c r="T35" i="20"/>
  <c r="S35" i="20"/>
  <c r="R35" i="20"/>
  <c r="Q35" i="20"/>
  <c r="P35" i="20"/>
  <c r="O35" i="20"/>
  <c r="I35" i="20"/>
  <c r="AX34" i="20"/>
  <c r="AW34" i="20"/>
  <c r="AT34" i="20"/>
  <c r="AS34" i="20"/>
  <c r="AR34" i="20"/>
  <c r="AO34" i="20"/>
  <c r="AN34" i="20"/>
  <c r="AM34" i="20"/>
  <c r="AJ34" i="20"/>
  <c r="AH34" i="20"/>
  <c r="AG34" i="20"/>
  <c r="AD34" i="20"/>
  <c r="X34" i="20"/>
  <c r="W34" i="20"/>
  <c r="T34" i="20"/>
  <c r="S34" i="20"/>
  <c r="R34" i="20"/>
  <c r="Q34" i="20"/>
  <c r="V34" i="20" s="1"/>
  <c r="P34" i="20"/>
  <c r="O34" i="20"/>
  <c r="I34" i="20"/>
  <c r="AX33" i="20"/>
  <c r="AW33" i="20"/>
  <c r="AT33" i="20"/>
  <c r="AS33" i="20"/>
  <c r="AR33" i="20"/>
  <c r="AO33" i="20"/>
  <c r="AN33" i="20"/>
  <c r="AM33" i="20"/>
  <c r="AJ33" i="20"/>
  <c r="AH33" i="20"/>
  <c r="AG33" i="20"/>
  <c r="AD33" i="20"/>
  <c r="X33" i="20"/>
  <c r="W33" i="20"/>
  <c r="T33" i="20"/>
  <c r="S33" i="20"/>
  <c r="R33" i="20"/>
  <c r="Q33" i="20"/>
  <c r="P33" i="20"/>
  <c r="AE33" i="20" s="1"/>
  <c r="O33" i="20"/>
  <c r="I33" i="20"/>
  <c r="AX32" i="20"/>
  <c r="AW32" i="20"/>
  <c r="AT32" i="20"/>
  <c r="AS32" i="20"/>
  <c r="AR32" i="20"/>
  <c r="AO32" i="20"/>
  <c r="AN32" i="20"/>
  <c r="AM32" i="20"/>
  <c r="AJ32" i="20"/>
  <c r="AH32" i="20"/>
  <c r="AG32" i="20"/>
  <c r="AD32" i="20"/>
  <c r="X32" i="20"/>
  <c r="W32" i="20"/>
  <c r="T32" i="20"/>
  <c r="S32" i="20"/>
  <c r="R32" i="20"/>
  <c r="Q32" i="20"/>
  <c r="P32" i="20"/>
  <c r="O32" i="20"/>
  <c r="I32" i="20"/>
  <c r="AX31" i="20"/>
  <c r="AW31" i="20"/>
  <c r="AT31" i="20"/>
  <c r="AS31" i="20"/>
  <c r="AR31" i="20"/>
  <c r="AO31" i="20"/>
  <c r="AN31" i="20"/>
  <c r="AM31" i="20"/>
  <c r="AJ31" i="20"/>
  <c r="AH31" i="20"/>
  <c r="AG31" i="20"/>
  <c r="AD31" i="20"/>
  <c r="X31" i="20"/>
  <c r="W31" i="20"/>
  <c r="T31" i="20"/>
  <c r="S31" i="20"/>
  <c r="R31" i="20"/>
  <c r="Q31" i="20"/>
  <c r="P31" i="20"/>
  <c r="O31" i="20"/>
  <c r="I31" i="20"/>
  <c r="AX30" i="20"/>
  <c r="AW30" i="20"/>
  <c r="AT30" i="20"/>
  <c r="AS30" i="20"/>
  <c r="AR30" i="20"/>
  <c r="AO30" i="20"/>
  <c r="AN30" i="20"/>
  <c r="AM30" i="20"/>
  <c r="AJ30" i="20"/>
  <c r="AH30" i="20"/>
  <c r="AG30" i="20"/>
  <c r="AD30" i="20"/>
  <c r="X30" i="20"/>
  <c r="W30" i="20"/>
  <c r="T30" i="20"/>
  <c r="S30" i="20"/>
  <c r="R30" i="20"/>
  <c r="Q30" i="20"/>
  <c r="P30" i="20"/>
  <c r="O30" i="20"/>
  <c r="I30" i="20"/>
  <c r="AX29" i="20"/>
  <c r="AW29" i="20"/>
  <c r="AT29" i="20"/>
  <c r="AS29" i="20"/>
  <c r="AR29" i="20"/>
  <c r="AO29" i="20"/>
  <c r="AN29" i="20"/>
  <c r="AM29" i="20"/>
  <c r="AJ29" i="20"/>
  <c r="AH29" i="20"/>
  <c r="AG29" i="20"/>
  <c r="AD29" i="20"/>
  <c r="X29" i="20"/>
  <c r="W29" i="20"/>
  <c r="T29" i="20"/>
  <c r="S29" i="20"/>
  <c r="R29" i="20"/>
  <c r="Q29" i="20"/>
  <c r="P29" i="20"/>
  <c r="O29" i="20"/>
  <c r="I29" i="20"/>
  <c r="AX28" i="20"/>
  <c r="AW28" i="20"/>
  <c r="AT28" i="20"/>
  <c r="AS28" i="20"/>
  <c r="AR28" i="20"/>
  <c r="AO28" i="20"/>
  <c r="AN28" i="20"/>
  <c r="AM28" i="20"/>
  <c r="AJ28" i="20"/>
  <c r="AH28" i="20"/>
  <c r="AG28" i="20"/>
  <c r="AD28" i="20"/>
  <c r="X28" i="20"/>
  <c r="W28" i="20"/>
  <c r="T28" i="20"/>
  <c r="S28" i="20"/>
  <c r="R28" i="20"/>
  <c r="Q28" i="20"/>
  <c r="P28" i="20"/>
  <c r="O28" i="20"/>
  <c r="I28" i="20"/>
  <c r="AX27" i="20"/>
  <c r="AW27" i="20"/>
  <c r="AT27" i="20"/>
  <c r="AS27" i="20"/>
  <c r="AR27" i="20"/>
  <c r="AO27" i="20"/>
  <c r="AN27" i="20"/>
  <c r="AM27" i="20"/>
  <c r="AJ27" i="20"/>
  <c r="AH27" i="20"/>
  <c r="AG27" i="20"/>
  <c r="AD27" i="20"/>
  <c r="X27" i="20"/>
  <c r="W27" i="20"/>
  <c r="T27" i="20"/>
  <c r="S27" i="20"/>
  <c r="R27" i="20"/>
  <c r="Q27" i="20"/>
  <c r="P27" i="20"/>
  <c r="O27" i="20"/>
  <c r="I27" i="20"/>
  <c r="AX26" i="20"/>
  <c r="AW26" i="20"/>
  <c r="AT26" i="20"/>
  <c r="AS26" i="20"/>
  <c r="AR26" i="20"/>
  <c r="AO26" i="20"/>
  <c r="AN26" i="20"/>
  <c r="AM26" i="20"/>
  <c r="AJ26" i="20"/>
  <c r="AH26" i="20"/>
  <c r="AG26" i="20"/>
  <c r="AD26" i="20"/>
  <c r="X26" i="20"/>
  <c r="W26" i="20"/>
  <c r="T26" i="20"/>
  <c r="S26" i="20"/>
  <c r="R26" i="20"/>
  <c r="Q26" i="20"/>
  <c r="P26" i="20"/>
  <c r="O26" i="20"/>
  <c r="I26" i="20"/>
  <c r="AX25" i="20"/>
  <c r="AW25" i="20"/>
  <c r="AT25" i="20"/>
  <c r="AS25" i="20"/>
  <c r="AR25" i="20"/>
  <c r="AO25" i="20"/>
  <c r="AN25" i="20"/>
  <c r="AM25" i="20"/>
  <c r="AJ25" i="20"/>
  <c r="AH25" i="20"/>
  <c r="AG25" i="20"/>
  <c r="AD25" i="20"/>
  <c r="X25" i="20"/>
  <c r="W25" i="20"/>
  <c r="T25" i="20"/>
  <c r="S25" i="20"/>
  <c r="R25" i="20"/>
  <c r="Q25" i="20"/>
  <c r="P25" i="20"/>
  <c r="O25" i="20"/>
  <c r="I25" i="20"/>
  <c r="AX24" i="20"/>
  <c r="AW24" i="20"/>
  <c r="AT24" i="20"/>
  <c r="AS24" i="20"/>
  <c r="AR24" i="20"/>
  <c r="AO24" i="20"/>
  <c r="AN24" i="20"/>
  <c r="AM24" i="20"/>
  <c r="AJ24" i="20"/>
  <c r="AH24" i="20"/>
  <c r="AG24" i="20"/>
  <c r="AD24" i="20"/>
  <c r="X24" i="20"/>
  <c r="W24" i="20"/>
  <c r="T24" i="20"/>
  <c r="S24" i="20"/>
  <c r="R24" i="20"/>
  <c r="Q24" i="20"/>
  <c r="P24" i="20"/>
  <c r="O24" i="20"/>
  <c r="I24" i="20"/>
  <c r="AX23" i="20"/>
  <c r="AW23" i="20"/>
  <c r="AT23" i="20"/>
  <c r="AS23" i="20"/>
  <c r="AR23" i="20"/>
  <c r="AO23" i="20"/>
  <c r="AN23" i="20"/>
  <c r="AM23" i="20"/>
  <c r="AJ23" i="20"/>
  <c r="AH23" i="20"/>
  <c r="AG23" i="20"/>
  <c r="AD23" i="20"/>
  <c r="X23" i="20"/>
  <c r="W23" i="20"/>
  <c r="T23" i="20"/>
  <c r="S23" i="20"/>
  <c r="R23" i="20"/>
  <c r="Q23" i="20"/>
  <c r="P23" i="20"/>
  <c r="O23" i="20"/>
  <c r="I23" i="20"/>
  <c r="AX22" i="20"/>
  <c r="AW22" i="20"/>
  <c r="AT22" i="20"/>
  <c r="AS22" i="20"/>
  <c r="AR22" i="20"/>
  <c r="AO22" i="20"/>
  <c r="AN22" i="20"/>
  <c r="AM22" i="20"/>
  <c r="AJ22" i="20"/>
  <c r="AH22" i="20"/>
  <c r="AG22" i="20"/>
  <c r="AD22" i="20"/>
  <c r="X22" i="20"/>
  <c r="W22" i="20"/>
  <c r="T22" i="20"/>
  <c r="S22" i="20"/>
  <c r="R22" i="20"/>
  <c r="Q22" i="20"/>
  <c r="P22" i="20"/>
  <c r="O22" i="20"/>
  <c r="I22" i="20"/>
  <c r="AX21" i="20"/>
  <c r="AW21" i="20"/>
  <c r="AT21" i="20"/>
  <c r="AS21" i="20"/>
  <c r="AR21" i="20"/>
  <c r="AO21" i="20"/>
  <c r="AN21" i="20"/>
  <c r="AM21" i="20"/>
  <c r="AJ21" i="20"/>
  <c r="AH21" i="20"/>
  <c r="AG21" i="20"/>
  <c r="AD21" i="20"/>
  <c r="X21" i="20"/>
  <c r="W21" i="20"/>
  <c r="T21" i="20"/>
  <c r="S21" i="20"/>
  <c r="R21" i="20"/>
  <c r="Q21" i="20"/>
  <c r="P21" i="20"/>
  <c r="U21" i="20" s="1"/>
  <c r="AE21" i="20" s="1"/>
  <c r="O21" i="20"/>
  <c r="I21" i="20"/>
  <c r="AX20" i="20"/>
  <c r="AW20" i="20"/>
  <c r="AT20" i="20"/>
  <c r="AS20" i="20"/>
  <c r="AR20" i="20"/>
  <c r="AO20" i="20"/>
  <c r="AN20" i="20"/>
  <c r="AM20" i="20"/>
  <c r="AJ20" i="20"/>
  <c r="AH20" i="20"/>
  <c r="AG20" i="20"/>
  <c r="AD20" i="20"/>
  <c r="X20" i="20"/>
  <c r="W20" i="20"/>
  <c r="T20" i="20"/>
  <c r="S20" i="20"/>
  <c r="R20" i="20"/>
  <c r="Q20" i="20"/>
  <c r="P20" i="20"/>
  <c r="O20" i="20"/>
  <c r="I20" i="20"/>
  <c r="AX19" i="20"/>
  <c r="AW19" i="20"/>
  <c r="AT19" i="20"/>
  <c r="AS19" i="20"/>
  <c r="AR19" i="20"/>
  <c r="AO19" i="20"/>
  <c r="AN19" i="20"/>
  <c r="AM19" i="20"/>
  <c r="AJ19" i="20"/>
  <c r="AH19" i="20"/>
  <c r="AG19" i="20"/>
  <c r="AD19" i="20"/>
  <c r="X19" i="20"/>
  <c r="W19" i="20"/>
  <c r="T19" i="20"/>
  <c r="S19" i="20"/>
  <c r="R19" i="20"/>
  <c r="Q19" i="20"/>
  <c r="P19" i="20"/>
  <c r="O19" i="20"/>
  <c r="I19" i="20"/>
  <c r="AX18" i="20"/>
  <c r="AW18" i="20"/>
  <c r="AT18" i="20"/>
  <c r="AS18" i="20"/>
  <c r="AR18" i="20"/>
  <c r="AO18" i="20"/>
  <c r="AN18" i="20"/>
  <c r="AM18" i="20"/>
  <c r="AJ18" i="20"/>
  <c r="AH18" i="20"/>
  <c r="AG18" i="20"/>
  <c r="AD18" i="20"/>
  <c r="X18" i="20"/>
  <c r="W18" i="20"/>
  <c r="T18" i="20"/>
  <c r="S18" i="20"/>
  <c r="R18" i="20"/>
  <c r="Q18" i="20"/>
  <c r="P18" i="20"/>
  <c r="O18" i="20"/>
  <c r="I18" i="20"/>
  <c r="AX17" i="20"/>
  <c r="AW17" i="20"/>
  <c r="AT17" i="20"/>
  <c r="AS17" i="20"/>
  <c r="AR17" i="20"/>
  <c r="AO17" i="20"/>
  <c r="AN17" i="20"/>
  <c r="AM17" i="20"/>
  <c r="AJ17" i="20"/>
  <c r="AH17" i="20"/>
  <c r="AG17" i="20"/>
  <c r="AD17" i="20"/>
  <c r="X17" i="20"/>
  <c r="W17" i="20"/>
  <c r="T17" i="20"/>
  <c r="S17" i="20"/>
  <c r="R17" i="20"/>
  <c r="Q17" i="20"/>
  <c r="P17" i="20"/>
  <c r="O17" i="20"/>
  <c r="I17" i="20"/>
  <c r="AX16" i="20"/>
  <c r="AW16" i="20"/>
  <c r="AT16" i="20"/>
  <c r="AS16" i="20"/>
  <c r="AR16" i="20"/>
  <c r="AO16" i="20"/>
  <c r="AN16" i="20"/>
  <c r="AM16" i="20"/>
  <c r="AJ16" i="20"/>
  <c r="AH16" i="20"/>
  <c r="AG16" i="20"/>
  <c r="AD16" i="20"/>
  <c r="X16" i="20"/>
  <c r="W16" i="20"/>
  <c r="T16" i="20"/>
  <c r="S16" i="20"/>
  <c r="R16" i="20"/>
  <c r="Q16" i="20"/>
  <c r="P16" i="20"/>
  <c r="O16" i="20"/>
  <c r="I16" i="20"/>
  <c r="AX15" i="20"/>
  <c r="AW15" i="20"/>
  <c r="AT15" i="20"/>
  <c r="AS15" i="20"/>
  <c r="AR15" i="20"/>
  <c r="AO15" i="20"/>
  <c r="AN15" i="20"/>
  <c r="AM15" i="20"/>
  <c r="AJ15" i="20"/>
  <c r="AH15" i="20"/>
  <c r="AG15" i="20"/>
  <c r="AD15" i="20"/>
  <c r="X15" i="20"/>
  <c r="W15" i="20"/>
  <c r="T15" i="20"/>
  <c r="S15" i="20"/>
  <c r="R15" i="20"/>
  <c r="Q15" i="20"/>
  <c r="P15" i="20"/>
  <c r="U15" i="20" s="1"/>
  <c r="O15" i="20"/>
  <c r="I15" i="20"/>
  <c r="AX14" i="20"/>
  <c r="AW14" i="20"/>
  <c r="AT14" i="20"/>
  <c r="AS14" i="20"/>
  <c r="AR14" i="20"/>
  <c r="AO14" i="20"/>
  <c r="AN14" i="20"/>
  <c r="AM14" i="20"/>
  <c r="AJ14" i="20"/>
  <c r="AH14" i="20"/>
  <c r="AG14" i="20"/>
  <c r="AD14" i="20"/>
  <c r="X14" i="20"/>
  <c r="W14" i="20"/>
  <c r="T14" i="20"/>
  <c r="S14" i="20"/>
  <c r="R14" i="20"/>
  <c r="Q14" i="20"/>
  <c r="P14" i="20"/>
  <c r="O14" i="20"/>
  <c r="I14" i="20"/>
  <c r="AX13" i="20"/>
  <c r="AW13" i="20"/>
  <c r="AT13" i="20"/>
  <c r="AS13" i="20"/>
  <c r="AR13" i="20"/>
  <c r="AO13" i="20"/>
  <c r="AN13" i="20"/>
  <c r="AM13" i="20"/>
  <c r="AJ13" i="20"/>
  <c r="AH13" i="20"/>
  <c r="AG13" i="20"/>
  <c r="AD13" i="20"/>
  <c r="X13" i="20"/>
  <c r="W13" i="20"/>
  <c r="T13" i="20"/>
  <c r="S13" i="20"/>
  <c r="R13" i="20"/>
  <c r="Q13" i="20"/>
  <c r="P13" i="20"/>
  <c r="O13" i="20"/>
  <c r="I13" i="20"/>
  <c r="AX12" i="20"/>
  <c r="AW12" i="20"/>
  <c r="AT12" i="20"/>
  <c r="AS12" i="20"/>
  <c r="AR12" i="20"/>
  <c r="AO12" i="20"/>
  <c r="AN12" i="20"/>
  <c r="AM12" i="20"/>
  <c r="AJ12" i="20"/>
  <c r="AH12" i="20"/>
  <c r="AG12" i="20"/>
  <c r="AD12" i="20"/>
  <c r="X12" i="20"/>
  <c r="W12" i="20"/>
  <c r="T12" i="20"/>
  <c r="S12" i="20"/>
  <c r="R12" i="20"/>
  <c r="Q12" i="20"/>
  <c r="P12" i="20"/>
  <c r="O12" i="20"/>
  <c r="I12" i="20"/>
  <c r="AX11" i="20"/>
  <c r="AW11" i="20"/>
  <c r="AT11" i="20"/>
  <c r="AS11" i="20"/>
  <c r="AR11" i="20"/>
  <c r="AO11" i="20"/>
  <c r="AN11" i="20"/>
  <c r="AM11" i="20"/>
  <c r="AJ11" i="20"/>
  <c r="AH11" i="20"/>
  <c r="AG11" i="20"/>
  <c r="AD11" i="20"/>
  <c r="X11" i="20"/>
  <c r="W11" i="20"/>
  <c r="T11" i="20"/>
  <c r="S11" i="20"/>
  <c r="R11" i="20"/>
  <c r="Q11" i="20"/>
  <c r="P11" i="20"/>
  <c r="O11" i="20"/>
  <c r="I11" i="20"/>
  <c r="AX10" i="20"/>
  <c r="AW10" i="20"/>
  <c r="AT10" i="20"/>
  <c r="AS10" i="20"/>
  <c r="AR10" i="20"/>
  <c r="AO10" i="20"/>
  <c r="AN10" i="20"/>
  <c r="AM10" i="20"/>
  <c r="AJ10" i="20"/>
  <c r="AH10" i="20"/>
  <c r="AG10" i="20"/>
  <c r="AD10" i="20"/>
  <c r="X10" i="20"/>
  <c r="W10" i="20"/>
  <c r="T10" i="20"/>
  <c r="S10" i="20"/>
  <c r="R10" i="20"/>
  <c r="Q10" i="20"/>
  <c r="P10" i="20"/>
  <c r="O10" i="20"/>
  <c r="I10" i="20"/>
  <c r="AX9" i="20"/>
  <c r="AW9" i="20"/>
  <c r="AT9" i="20"/>
  <c r="AS9" i="20"/>
  <c r="AR9" i="20"/>
  <c r="AO9" i="20"/>
  <c r="AN9" i="20"/>
  <c r="AM9" i="20"/>
  <c r="AJ9" i="20"/>
  <c r="AH9" i="20"/>
  <c r="AG9" i="20"/>
  <c r="AD9" i="20"/>
  <c r="X9" i="20"/>
  <c r="W9" i="20"/>
  <c r="T9" i="20"/>
  <c r="S9" i="20"/>
  <c r="R9" i="20"/>
  <c r="Q9" i="20"/>
  <c r="P9" i="20"/>
  <c r="O9" i="20"/>
  <c r="I9" i="20"/>
  <c r="AX8" i="20"/>
  <c r="AW8" i="20"/>
  <c r="AT8" i="20"/>
  <c r="AS8" i="20"/>
  <c r="AR8" i="20"/>
  <c r="AO8" i="20"/>
  <c r="AN8" i="20"/>
  <c r="AM8" i="20"/>
  <c r="AJ8" i="20"/>
  <c r="AH8" i="20"/>
  <c r="AG8" i="20"/>
  <c r="AD8" i="20"/>
  <c r="X8" i="20"/>
  <c r="W8" i="20"/>
  <c r="T8" i="20"/>
  <c r="S8" i="20"/>
  <c r="R8" i="20"/>
  <c r="Q8" i="20"/>
  <c r="P8" i="20"/>
  <c r="O8" i="20"/>
  <c r="I8" i="20"/>
  <c r="AX7" i="20"/>
  <c r="AW7" i="20"/>
  <c r="AT7" i="20"/>
  <c r="AS7" i="20"/>
  <c r="AR7" i="20"/>
  <c r="AO7" i="20"/>
  <c r="AN7" i="20"/>
  <c r="AM7" i="20"/>
  <c r="AJ7" i="20"/>
  <c r="AH7" i="20"/>
  <c r="AG7" i="20"/>
  <c r="AD7" i="20"/>
  <c r="X7" i="20"/>
  <c r="W7" i="20"/>
  <c r="T7" i="20"/>
  <c r="S7" i="20"/>
  <c r="R7" i="20"/>
  <c r="Q7" i="20"/>
  <c r="P7" i="20"/>
  <c r="O7" i="20"/>
  <c r="I7" i="20"/>
  <c r="AX6" i="20"/>
  <c r="AW6" i="20"/>
  <c r="AT6" i="20"/>
  <c r="AS6" i="20"/>
  <c r="AR6" i="20"/>
  <c r="AO6" i="20"/>
  <c r="AN6" i="20"/>
  <c r="AM6" i="20"/>
  <c r="AJ6" i="20"/>
  <c r="AH6" i="20"/>
  <c r="AG6" i="20"/>
  <c r="AD6" i="20"/>
  <c r="X6" i="20"/>
  <c r="W6" i="20"/>
  <c r="T6" i="20"/>
  <c r="S6" i="20"/>
  <c r="R6" i="20"/>
  <c r="Q6" i="20"/>
  <c r="V6" i="20" s="1"/>
  <c r="AF6" i="20" s="1"/>
  <c r="P6" i="20"/>
  <c r="U6" i="20" s="1"/>
  <c r="AE6" i="20" s="1"/>
  <c r="O6" i="20"/>
  <c r="I6" i="20"/>
  <c r="AX5" i="20"/>
  <c r="AW5" i="20"/>
  <c r="AT5" i="20"/>
  <c r="AS5" i="20"/>
  <c r="AR5" i="20"/>
  <c r="AQ5" i="20"/>
  <c r="AQ6" i="20" s="1"/>
  <c r="AQ7" i="20" s="1"/>
  <c r="AQ8" i="20" s="1"/>
  <c r="AQ9" i="20" s="1"/>
  <c r="AQ10" i="20" s="1"/>
  <c r="AQ11" i="20" s="1"/>
  <c r="AQ12" i="20" s="1"/>
  <c r="AQ13" i="20" s="1"/>
  <c r="AQ14" i="20" s="1"/>
  <c r="AQ15" i="20" s="1"/>
  <c r="AQ16" i="20" s="1"/>
  <c r="AQ17" i="20" s="1"/>
  <c r="AQ18" i="20" s="1"/>
  <c r="AQ19" i="20" s="1"/>
  <c r="AQ20" i="20" s="1"/>
  <c r="AQ21" i="20" s="1"/>
  <c r="AQ22" i="20" s="1"/>
  <c r="AQ23" i="20" s="1"/>
  <c r="AQ24" i="20" s="1"/>
  <c r="AQ25" i="20" s="1"/>
  <c r="AQ26" i="20" s="1"/>
  <c r="AQ27" i="20" s="1"/>
  <c r="AQ28" i="20" s="1"/>
  <c r="AQ29" i="20" s="1"/>
  <c r="AQ30" i="20" s="1"/>
  <c r="AQ31" i="20" s="1"/>
  <c r="AQ32" i="20" s="1"/>
  <c r="AQ33" i="20" s="1"/>
  <c r="AQ34" i="20" s="1"/>
  <c r="AQ35" i="20" s="1"/>
  <c r="AQ36" i="20" s="1"/>
  <c r="AQ37" i="20" s="1"/>
  <c r="AQ38" i="20" s="1"/>
  <c r="AQ39" i="20" s="1"/>
  <c r="AQ40" i="20" s="1"/>
  <c r="AQ41" i="20" s="1"/>
  <c r="AQ42" i="20" s="1"/>
  <c r="AQ43" i="20" s="1"/>
  <c r="AQ44" i="20" s="1"/>
  <c r="AQ45" i="20" s="1"/>
  <c r="AQ46" i="20" s="1"/>
  <c r="AQ47" i="20" s="1"/>
  <c r="AQ48" i="20" s="1"/>
  <c r="AQ49" i="20" s="1"/>
  <c r="AQ50" i="20" s="1"/>
  <c r="AQ51" i="20" s="1"/>
  <c r="AQ52" i="20" s="1"/>
  <c r="AQ53" i="20" s="1"/>
  <c r="AQ54" i="20" s="1"/>
  <c r="AQ55" i="20" s="1"/>
  <c r="AQ56" i="20" s="1"/>
  <c r="AQ57" i="20" s="1"/>
  <c r="AQ58" i="20" s="1"/>
  <c r="AQ59" i="20" s="1"/>
  <c r="AQ60" i="20" s="1"/>
  <c r="AQ61" i="20" s="1"/>
  <c r="AQ62" i="20" s="1"/>
  <c r="AQ63" i="20" s="1"/>
  <c r="AQ64" i="20" s="1"/>
  <c r="AQ65" i="20" s="1"/>
  <c r="AQ66" i="20" s="1"/>
  <c r="AQ67" i="20" s="1"/>
  <c r="AQ68" i="20" s="1"/>
  <c r="AQ69" i="20" s="1"/>
  <c r="AQ70" i="20" s="1"/>
  <c r="AQ71" i="20" s="1"/>
  <c r="AQ72" i="20" s="1"/>
  <c r="AQ73" i="20" s="1"/>
  <c r="AQ74" i="20" s="1"/>
  <c r="AQ75" i="20" s="1"/>
  <c r="AQ76" i="20" s="1"/>
  <c r="AQ77" i="20" s="1"/>
  <c r="AQ78" i="20" s="1"/>
  <c r="AQ79" i="20" s="1"/>
  <c r="AQ80" i="20" s="1"/>
  <c r="AQ81" i="20" s="1"/>
  <c r="AQ82" i="20" s="1"/>
  <c r="AQ83" i="20" s="1"/>
  <c r="AQ84" i="20" s="1"/>
  <c r="AQ85" i="20" s="1"/>
  <c r="AQ86" i="20" s="1"/>
  <c r="AQ87" i="20" s="1"/>
  <c r="AQ88" i="20" s="1"/>
  <c r="AQ89" i="20" s="1"/>
  <c r="AQ90" i="20" s="1"/>
  <c r="AQ91" i="20" s="1"/>
  <c r="AQ92" i="20" s="1"/>
  <c r="AQ93" i="20" s="1"/>
  <c r="AQ94" i="20" s="1"/>
  <c r="AQ95" i="20" s="1"/>
  <c r="AO5" i="20"/>
  <c r="AN5" i="20"/>
  <c r="AM5" i="20"/>
  <c r="AJ5" i="20"/>
  <c r="AH5" i="20"/>
  <c r="AG5" i="20"/>
  <c r="AD5" i="20"/>
  <c r="X5" i="20"/>
  <c r="W5" i="20"/>
  <c r="T5" i="20"/>
  <c r="S5" i="20"/>
  <c r="R5" i="20"/>
  <c r="Q5" i="20"/>
  <c r="P5" i="20"/>
  <c r="U5" i="20" s="1"/>
  <c r="AE5" i="20" s="1"/>
  <c r="O5" i="20"/>
  <c r="I5" i="20"/>
  <c r="AX4" i="20"/>
  <c r="AW4" i="20"/>
  <c r="AT4" i="20"/>
  <c r="AS4" i="20"/>
  <c r="AR4" i="20"/>
  <c r="AQ4" i="20"/>
  <c r="AO4" i="20"/>
  <c r="AN4" i="20"/>
  <c r="AM4" i="20"/>
  <c r="AJ4" i="20"/>
  <c r="AH4" i="20"/>
  <c r="AG4" i="20"/>
  <c r="AD4" i="20"/>
  <c r="X4" i="20"/>
  <c r="W4" i="20"/>
  <c r="T4" i="20"/>
  <c r="S4" i="20"/>
  <c r="R4" i="20"/>
  <c r="Q4" i="20"/>
  <c r="P4" i="20"/>
  <c r="O4" i="20"/>
  <c r="I4" i="20"/>
  <c r="AX3" i="20"/>
  <c r="AW3" i="20"/>
  <c r="AT3" i="20"/>
  <c r="AS3" i="20"/>
  <c r="AR3" i="20"/>
  <c r="AQ3" i="20"/>
  <c r="AP3" i="20"/>
  <c r="AP4" i="20" s="1"/>
  <c r="AP5" i="20" s="1"/>
  <c r="AP6" i="20" s="1"/>
  <c r="AP7" i="20" s="1"/>
  <c r="AP8" i="20" s="1"/>
  <c r="AP9" i="20" s="1"/>
  <c r="AP10" i="20" s="1"/>
  <c r="AP11" i="20" s="1"/>
  <c r="AP12" i="20" s="1"/>
  <c r="AP13" i="20" s="1"/>
  <c r="AP14" i="20" s="1"/>
  <c r="AP15" i="20" s="1"/>
  <c r="AP16" i="20" s="1"/>
  <c r="AP17" i="20" s="1"/>
  <c r="AP18" i="20" s="1"/>
  <c r="AP19" i="20" s="1"/>
  <c r="AP20" i="20" s="1"/>
  <c r="AP21" i="20" s="1"/>
  <c r="AP22" i="20" s="1"/>
  <c r="AP23" i="20" s="1"/>
  <c r="AP24" i="20" s="1"/>
  <c r="AP25" i="20" s="1"/>
  <c r="AP26" i="20" s="1"/>
  <c r="AP27" i="20" s="1"/>
  <c r="AP28" i="20" s="1"/>
  <c r="AP29" i="20" s="1"/>
  <c r="AP30" i="20" s="1"/>
  <c r="AP31" i="20" s="1"/>
  <c r="AP32" i="20" s="1"/>
  <c r="AP33" i="20" s="1"/>
  <c r="AP34" i="20" s="1"/>
  <c r="AP35" i="20" s="1"/>
  <c r="AP36" i="20" s="1"/>
  <c r="AP37" i="20" s="1"/>
  <c r="AP38" i="20" s="1"/>
  <c r="AP39" i="20" s="1"/>
  <c r="AP40" i="20" s="1"/>
  <c r="AP41" i="20" s="1"/>
  <c r="AP42" i="20" s="1"/>
  <c r="AP43" i="20" s="1"/>
  <c r="AP44" i="20" s="1"/>
  <c r="AP45" i="20" s="1"/>
  <c r="AP46" i="20" s="1"/>
  <c r="AP47" i="20" s="1"/>
  <c r="AP48" i="20" s="1"/>
  <c r="AP49" i="20" s="1"/>
  <c r="AP50" i="20" s="1"/>
  <c r="AP51" i="20" s="1"/>
  <c r="AP52" i="20" s="1"/>
  <c r="AP53" i="20" s="1"/>
  <c r="AP54" i="20" s="1"/>
  <c r="AP55" i="20" s="1"/>
  <c r="AP56" i="20" s="1"/>
  <c r="AP57" i="20" s="1"/>
  <c r="AP58" i="20" s="1"/>
  <c r="AP59" i="20" s="1"/>
  <c r="AP60" i="20" s="1"/>
  <c r="AP61" i="20" s="1"/>
  <c r="AP62" i="20" s="1"/>
  <c r="AP63" i="20" s="1"/>
  <c r="AP64" i="20" s="1"/>
  <c r="AP65" i="20" s="1"/>
  <c r="AP66" i="20" s="1"/>
  <c r="AP67" i="20" s="1"/>
  <c r="AP68" i="20" s="1"/>
  <c r="AP69" i="20" s="1"/>
  <c r="AP70" i="20" s="1"/>
  <c r="AP71" i="20" s="1"/>
  <c r="AP72" i="20" s="1"/>
  <c r="AP73" i="20" s="1"/>
  <c r="AP74" i="20" s="1"/>
  <c r="AP75" i="20" s="1"/>
  <c r="AP76" i="20" s="1"/>
  <c r="AP77" i="20" s="1"/>
  <c r="AP78" i="20" s="1"/>
  <c r="AP79" i="20" s="1"/>
  <c r="AP80" i="20" s="1"/>
  <c r="AP81" i="20" s="1"/>
  <c r="AP82" i="20" s="1"/>
  <c r="AP83" i="20" s="1"/>
  <c r="AP84" i="20" s="1"/>
  <c r="AP85" i="20" s="1"/>
  <c r="AP86" i="20" s="1"/>
  <c r="AP87" i="20" s="1"/>
  <c r="AP88" i="20" s="1"/>
  <c r="AP89" i="20" s="1"/>
  <c r="AP90" i="20" s="1"/>
  <c r="AP91" i="20" s="1"/>
  <c r="AP92" i="20" s="1"/>
  <c r="AP93" i="20" s="1"/>
  <c r="AP94" i="20" s="1"/>
  <c r="AP95" i="20" s="1"/>
  <c r="AO3" i="20"/>
  <c r="AN3" i="20"/>
  <c r="AM3" i="20"/>
  <c r="AJ3" i="20"/>
  <c r="AH3" i="20"/>
  <c r="AG3" i="20"/>
  <c r="AD3" i="20"/>
  <c r="X3" i="20"/>
  <c r="W3" i="20"/>
  <c r="T3" i="20"/>
  <c r="S3" i="20"/>
  <c r="R3" i="20"/>
  <c r="Q3" i="20"/>
  <c r="P3" i="20"/>
  <c r="U3" i="20" s="1"/>
  <c r="O3" i="20"/>
  <c r="I3" i="20"/>
  <c r="A3" i="20"/>
  <c r="A4" i="20" s="1"/>
  <c r="AX2" i="20"/>
  <c r="AW2" i="20"/>
  <c r="AT2" i="20"/>
  <c r="AN2" i="20"/>
  <c r="AM2" i="20"/>
  <c r="AJ2" i="20"/>
  <c r="AH2" i="20"/>
  <c r="AG2" i="20"/>
  <c r="AD2" i="20"/>
  <c r="X2" i="20"/>
  <c r="W2" i="20"/>
  <c r="T2" i="20"/>
  <c r="S2" i="20"/>
  <c r="R2" i="20"/>
  <c r="Q2" i="20"/>
  <c r="P2" i="20"/>
  <c r="U2" i="20" s="1"/>
  <c r="O2" i="20"/>
  <c r="I2" i="20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Q106" i="13"/>
  <c r="T3" i="13"/>
  <c r="AN3" i="13" s="1"/>
  <c r="X3" i="13"/>
  <c r="U3" i="13"/>
  <c r="A3" i="13"/>
  <c r="B3" i="13" s="1"/>
  <c r="W2" i="13"/>
  <c r="AQ2" i="13" s="1"/>
  <c r="U2" i="13"/>
  <c r="AO2" i="13" s="1"/>
  <c r="T2" i="13"/>
  <c r="AN2" i="13" s="1"/>
  <c r="B2" i="13"/>
  <c r="G8" i="6"/>
  <c r="G4" i="6"/>
  <c r="F4" i="6"/>
  <c r="G7" i="6"/>
  <c r="F5" i="6"/>
  <c r="M7" i="9"/>
  <c r="G5" i="6"/>
  <c r="M6" i="9"/>
  <c r="M8" i="9"/>
  <c r="M5" i="9"/>
  <c r="G6" i="6"/>
  <c r="M4" i="9"/>
  <c r="F6" i="6"/>
  <c r="F7" i="6"/>
  <c r="F55" i="14"/>
  <c r="AU6" i="20" l="1"/>
  <c r="AU70" i="20"/>
  <c r="AU94" i="20"/>
  <c r="AU5" i="20"/>
  <c r="AV81" i="20"/>
  <c r="AY81" i="20" s="1"/>
  <c r="AV6" i="20"/>
  <c r="AJ95" i="20"/>
  <c r="AT95" i="20"/>
  <c r="AW95" i="20"/>
  <c r="AM95" i="20"/>
  <c r="AX95" i="20"/>
  <c r="AN95" i="20"/>
  <c r="T94" i="20"/>
  <c r="AD94" i="20" s="1"/>
  <c r="W94" i="20"/>
  <c r="AG94" i="20" s="1"/>
  <c r="X94" i="20"/>
  <c r="AH94" i="20" s="1"/>
  <c r="U86" i="20"/>
  <c r="AE86" i="20" s="1"/>
  <c r="U92" i="20"/>
  <c r="AE92" i="20" s="1"/>
  <c r="V93" i="20"/>
  <c r="U93" i="20"/>
  <c r="AE93" i="20" s="1"/>
  <c r="U91" i="20"/>
  <c r="AE91" i="20" s="1"/>
  <c r="AU91" i="20" s="1"/>
  <c r="U88" i="20"/>
  <c r="V63" i="20"/>
  <c r="U83" i="20"/>
  <c r="AE83" i="20" s="1"/>
  <c r="AK83" i="20" s="1"/>
  <c r="U80" i="20"/>
  <c r="U78" i="20"/>
  <c r="AE78" i="20" s="1"/>
  <c r="U76" i="20"/>
  <c r="AE76" i="20" s="1"/>
  <c r="U72" i="20"/>
  <c r="AE72" i="20" s="1"/>
  <c r="AU72" i="20" s="1"/>
  <c r="U71" i="20"/>
  <c r="AE71" i="20" s="1"/>
  <c r="AK71" i="20" s="1"/>
  <c r="U69" i="20"/>
  <c r="AE69" i="20" s="1"/>
  <c r="AU69" i="20" s="1"/>
  <c r="U68" i="20"/>
  <c r="AE68" i="20" s="1"/>
  <c r="AK68" i="20" s="1"/>
  <c r="U67" i="20"/>
  <c r="AE67" i="20" s="1"/>
  <c r="AU67" i="20" s="1"/>
  <c r="U63" i="20"/>
  <c r="U60" i="20"/>
  <c r="AE60" i="20" s="1"/>
  <c r="U59" i="20"/>
  <c r="AE59" i="20" s="1"/>
  <c r="G55" i="14"/>
  <c r="H55" i="14" s="1"/>
  <c r="U54" i="20"/>
  <c r="AE54" i="20" s="1"/>
  <c r="AU54" i="20" s="1"/>
  <c r="U52" i="20"/>
  <c r="AE52" i="20" s="1"/>
  <c r="AU52" i="20" s="1"/>
  <c r="V57" i="20"/>
  <c r="AF57" i="20" s="1"/>
  <c r="V50" i="20"/>
  <c r="AF50" i="20" s="1"/>
  <c r="V44" i="20"/>
  <c r="U55" i="20"/>
  <c r="AE55" i="20" s="1"/>
  <c r="U51" i="20"/>
  <c r="AE51" i="20" s="1"/>
  <c r="U47" i="20"/>
  <c r="U46" i="20"/>
  <c r="AE46" i="20" s="1"/>
  <c r="U45" i="20"/>
  <c r="AE45" i="20" s="1"/>
  <c r="U44" i="20"/>
  <c r="AE44" i="20" s="1"/>
  <c r="V42" i="20"/>
  <c r="AF42" i="20" s="1"/>
  <c r="AV42" i="20" s="1"/>
  <c r="V41" i="20"/>
  <c r="V36" i="20"/>
  <c r="V32" i="20"/>
  <c r="V31" i="20"/>
  <c r="V30" i="20"/>
  <c r="AF30" i="20" s="1"/>
  <c r="AV30" i="20" s="1"/>
  <c r="V29" i="20"/>
  <c r="AF29" i="20" s="1"/>
  <c r="AV29" i="20" s="1"/>
  <c r="V28" i="20"/>
  <c r="V24" i="20"/>
  <c r="AF24" i="20" s="1"/>
  <c r="AV24" i="20" s="1"/>
  <c r="V21" i="20"/>
  <c r="AF21" i="20" s="1"/>
  <c r="AV21" i="20" s="1"/>
  <c r="V19" i="20"/>
  <c r="V16" i="20"/>
  <c r="AF16" i="20" s="1"/>
  <c r="AL16" i="20" s="1"/>
  <c r="V12" i="20"/>
  <c r="AF12" i="20" s="1"/>
  <c r="AV12" i="20" s="1"/>
  <c r="V9" i="20"/>
  <c r="AF9" i="20" s="1"/>
  <c r="AL9" i="20" s="1"/>
  <c r="V8" i="20"/>
  <c r="AF8" i="20" s="1"/>
  <c r="AV8" i="20" s="1"/>
  <c r="V5" i="20"/>
  <c r="AF5" i="20" s="1"/>
  <c r="AV5" i="20" s="1"/>
  <c r="AY5" i="20" s="1"/>
  <c r="BA5" i="20" s="1"/>
  <c r="V4" i="20"/>
  <c r="AF4" i="20" s="1"/>
  <c r="AV4" i="20" s="1"/>
  <c r="V3" i="20"/>
  <c r="AF3" i="20" s="1"/>
  <c r="AV3" i="20" s="1"/>
  <c r="U39" i="20"/>
  <c r="U38" i="20"/>
  <c r="AE38" i="20" s="1"/>
  <c r="AU38" i="20" s="1"/>
  <c r="U36" i="20"/>
  <c r="AE36" i="20" s="1"/>
  <c r="U31" i="20"/>
  <c r="AE31" i="20" s="1"/>
  <c r="AU31" i="20" s="1"/>
  <c r="U30" i="20"/>
  <c r="U25" i="20"/>
  <c r="AE25" i="20" s="1"/>
  <c r="AK25" i="20" s="1"/>
  <c r="U24" i="20"/>
  <c r="AE24" i="20" s="1"/>
  <c r="U22" i="20"/>
  <c r="AE22" i="20" s="1"/>
  <c r="AU22" i="20" s="1"/>
  <c r="U18" i="20"/>
  <c r="AE18" i="20" s="1"/>
  <c r="U17" i="20"/>
  <c r="AE17" i="20" s="1"/>
  <c r="AK17" i="20" s="1"/>
  <c r="U16" i="20"/>
  <c r="AE16" i="20" s="1"/>
  <c r="U11" i="20"/>
  <c r="AE11" i="20" s="1"/>
  <c r="AU11" i="20" s="1"/>
  <c r="U10" i="20"/>
  <c r="AE10" i="20" s="1"/>
  <c r="AU10" i="20" s="1"/>
  <c r="U9" i="20"/>
  <c r="AE9" i="20" s="1"/>
  <c r="AU9" i="20" s="1"/>
  <c r="U8" i="20"/>
  <c r="AE8" i="20" s="1"/>
  <c r="AU8" i="20" s="1"/>
  <c r="U7" i="20"/>
  <c r="AE7" i="20" s="1"/>
  <c r="AU7" i="20" s="1"/>
  <c r="U4" i="20"/>
  <c r="AE4" i="20" s="1"/>
  <c r="V11" i="20"/>
  <c r="AF11" i="20" s="1"/>
  <c r="AV11" i="20" s="1"/>
  <c r="U12" i="20"/>
  <c r="AE12" i="20" s="1"/>
  <c r="AU12" i="20" s="1"/>
  <c r="V7" i="20"/>
  <c r="AF7" i="20" s="1"/>
  <c r="AV7" i="20" s="1"/>
  <c r="V2" i="20"/>
  <c r="AF2" i="20" s="1"/>
  <c r="AV2" i="20" s="1"/>
  <c r="V10" i="20"/>
  <c r="AF10" i="20" s="1"/>
  <c r="AV10" i="20" s="1"/>
  <c r="V70" i="20"/>
  <c r="AF70" i="20" s="1"/>
  <c r="V39" i="20"/>
  <c r="AF39" i="20" s="1"/>
  <c r="AV39" i="20" s="1"/>
  <c r="V54" i="20"/>
  <c r="AF54" i="20" s="1"/>
  <c r="V66" i="20"/>
  <c r="AF66" i="20" s="1"/>
  <c r="AE19" i="20"/>
  <c r="AK19" i="20" s="1"/>
  <c r="U20" i="20"/>
  <c r="AE20" i="20" s="1"/>
  <c r="V23" i="20"/>
  <c r="AF23" i="20" s="1"/>
  <c r="AF26" i="20"/>
  <c r="U34" i="20"/>
  <c r="AE34" i="20" s="1"/>
  <c r="V35" i="20"/>
  <c r="AF35" i="20" s="1"/>
  <c r="V37" i="20"/>
  <c r="AF37" i="20" s="1"/>
  <c r="AE47" i="20"/>
  <c r="AK47" i="20" s="1"/>
  <c r="U48" i="20"/>
  <c r="V49" i="20"/>
  <c r="AF49" i="20" s="1"/>
  <c r="U64" i="20"/>
  <c r="AE64" i="20" s="1"/>
  <c r="V65" i="20"/>
  <c r="U81" i="20"/>
  <c r="AE81" i="20" s="1"/>
  <c r="AU81" i="20" s="1"/>
  <c r="U27" i="20"/>
  <c r="AE27" i="20" s="1"/>
  <c r="U66" i="20"/>
  <c r="AE66" i="20" s="1"/>
  <c r="V83" i="20"/>
  <c r="AF83" i="20" s="1"/>
  <c r="AV83" i="20" s="1"/>
  <c r="AF84" i="20"/>
  <c r="U19" i="20"/>
  <c r="V20" i="20"/>
  <c r="AF20" i="20" s="1"/>
  <c r="AL20" i="20" s="1"/>
  <c r="U32" i="20"/>
  <c r="AE32" i="20" s="1"/>
  <c r="AF33" i="20"/>
  <c r="U50" i="20"/>
  <c r="AE50" i="20" s="1"/>
  <c r="AK50" i="20" s="1"/>
  <c r="U53" i="20"/>
  <c r="AE53" i="20" s="1"/>
  <c r="AK53" i="20" s="1"/>
  <c r="V71" i="20"/>
  <c r="AF71" i="20" s="1"/>
  <c r="V87" i="20"/>
  <c r="AF87" i="20" s="1"/>
  <c r="V27" i="20"/>
  <c r="AF27" i="20" s="1"/>
  <c r="V52" i="20"/>
  <c r="AF52" i="20" s="1"/>
  <c r="AL52" i="20" s="1"/>
  <c r="U82" i="20"/>
  <c r="AE82" i="20" s="1"/>
  <c r="V17" i="20"/>
  <c r="AF17" i="20" s="1"/>
  <c r="AV17" i="20" s="1"/>
  <c r="V18" i="20"/>
  <c r="AF18" i="20" s="1"/>
  <c r="AV18" i="20" s="1"/>
  <c r="U43" i="20"/>
  <c r="AE43" i="20" s="1"/>
  <c r="V45" i="20"/>
  <c r="AF45" i="20" s="1"/>
  <c r="V46" i="20"/>
  <c r="AF46" i="20" s="1"/>
  <c r="U62" i="20"/>
  <c r="AE62" i="20" s="1"/>
  <c r="U79" i="20"/>
  <c r="AE79" i="20" s="1"/>
  <c r="AF56" i="20"/>
  <c r="U23" i="20"/>
  <c r="AE23" i="20" s="1"/>
  <c r="AK23" i="20" s="1"/>
  <c r="AE26" i="20"/>
  <c r="U37" i="20"/>
  <c r="AE37" i="20" s="1"/>
  <c r="AK37" i="20" s="1"/>
  <c r="V51" i="20"/>
  <c r="AF51" i="20" s="1"/>
  <c r="AE13" i="20"/>
  <c r="AK13" i="20" s="1"/>
  <c r="U14" i="20"/>
  <c r="V15" i="20"/>
  <c r="AF15" i="20" s="1"/>
  <c r="U42" i="20"/>
  <c r="AE42" i="20" s="1"/>
  <c r="AU42" i="20" s="1"/>
  <c r="V43" i="20"/>
  <c r="AF43" i="20" s="1"/>
  <c r="U61" i="20"/>
  <c r="AE61" i="20" s="1"/>
  <c r="AK61" i="20" s="1"/>
  <c r="V62" i="20"/>
  <c r="U74" i="20"/>
  <c r="AE74" i="20" s="1"/>
  <c r="AF75" i="20"/>
  <c r="AL75" i="20" s="1"/>
  <c r="V76" i="20"/>
  <c r="AF76" i="20" s="1"/>
  <c r="V77" i="20"/>
  <c r="AF77" i="20"/>
  <c r="V78" i="20"/>
  <c r="V79" i="20"/>
  <c r="AF79" i="20" s="1"/>
  <c r="V69" i="20"/>
  <c r="AF69" i="20" s="1"/>
  <c r="AV69" i="20" s="1"/>
  <c r="V55" i="20"/>
  <c r="AF55" i="20" s="1"/>
  <c r="AV55" i="20" s="1"/>
  <c r="V14" i="20"/>
  <c r="AF14" i="20" s="1"/>
  <c r="AV14" i="20" s="1"/>
  <c r="U29" i="20"/>
  <c r="AE29" i="20" s="1"/>
  <c r="U41" i="20"/>
  <c r="AE41" i="20" s="1"/>
  <c r="U57" i="20"/>
  <c r="AE57" i="20" s="1"/>
  <c r="AK57" i="20" s="1"/>
  <c r="V58" i="20"/>
  <c r="AF58" i="20" s="1"/>
  <c r="AV58" i="20" s="1"/>
  <c r="V59" i="20"/>
  <c r="AF59" i="20" s="1"/>
  <c r="AV59" i="20" s="1"/>
  <c r="AY59" i="20" s="1"/>
  <c r="V60" i="20"/>
  <c r="AF60" i="20" s="1"/>
  <c r="U73" i="20"/>
  <c r="AE73" i="20" s="1"/>
  <c r="AU73" i="20" s="1"/>
  <c r="V74" i="20"/>
  <c r="AF74" i="20" s="1"/>
  <c r="U89" i="20"/>
  <c r="AE89" i="20" s="1"/>
  <c r="V90" i="20"/>
  <c r="AF90" i="20" s="1"/>
  <c r="V92" i="20"/>
  <c r="AF92" i="20" s="1"/>
  <c r="AV92" i="20" s="1"/>
  <c r="V94" i="20"/>
  <c r="AF67" i="20"/>
  <c r="AV67" i="20" s="1"/>
  <c r="AY67" i="20" s="1"/>
  <c r="V68" i="20"/>
  <c r="AF68" i="20" s="1"/>
  <c r="AL68" i="20" s="1"/>
  <c r="AF85" i="20"/>
  <c r="AV85" i="20" s="1"/>
  <c r="V86" i="20"/>
  <c r="AF86" i="20" s="1"/>
  <c r="V25" i="20"/>
  <c r="AF25" i="20" s="1"/>
  <c r="AV25" i="20" s="1"/>
  <c r="U35" i="20"/>
  <c r="AE35" i="20" s="1"/>
  <c r="AK35" i="20" s="1"/>
  <c r="AE49" i="20"/>
  <c r="V53" i="20"/>
  <c r="AF53" i="20" s="1"/>
  <c r="U65" i="20"/>
  <c r="AE65" i="20" s="1"/>
  <c r="AK65" i="20" s="1"/>
  <c r="U28" i="20"/>
  <c r="AE28" i="20" s="1"/>
  <c r="U56" i="20"/>
  <c r="AL5" i="20"/>
  <c r="AY6" i="20"/>
  <c r="BA6" i="20" s="1"/>
  <c r="AL8" i="20"/>
  <c r="AL6" i="20"/>
  <c r="AY8" i="20"/>
  <c r="BA8" i="20" s="1"/>
  <c r="AV95" i="20"/>
  <c r="AL95" i="20"/>
  <c r="AF94" i="20"/>
  <c r="AV94" i="20" s="1"/>
  <c r="AF93" i="20"/>
  <c r="AV93" i="20" s="1"/>
  <c r="AF91" i="20"/>
  <c r="AV91" i="20"/>
  <c r="AL91" i="20"/>
  <c r="AF89" i="20"/>
  <c r="AL89" i="20" s="1"/>
  <c r="AF88" i="20"/>
  <c r="AV88" i="20" s="1"/>
  <c r="AL88" i="20"/>
  <c r="AV82" i="20"/>
  <c r="AL82" i="20"/>
  <c r="AL81" i="20"/>
  <c r="AF80" i="20"/>
  <c r="AV80" i="20" s="1"/>
  <c r="AF78" i="20"/>
  <c r="AV78" i="20" s="1"/>
  <c r="AY78" i="20" s="1"/>
  <c r="AL77" i="20"/>
  <c r="AV77" i="20"/>
  <c r="AY77" i="20" s="1"/>
  <c r="AV75" i="20"/>
  <c r="AF73" i="20"/>
  <c r="AV73" i="20" s="1"/>
  <c r="AY73" i="20" s="1"/>
  <c r="AF72" i="20"/>
  <c r="AV72" i="20" s="1"/>
  <c r="AY72" i="20" s="1"/>
  <c r="AF65" i="20"/>
  <c r="AV65" i="20" s="1"/>
  <c r="AF64" i="20"/>
  <c r="AL64" i="20" s="1"/>
  <c r="AV64" i="20"/>
  <c r="AF63" i="20"/>
  <c r="AV63" i="20" s="1"/>
  <c r="AF62" i="20"/>
  <c r="AL62" i="20" s="1"/>
  <c r="AF61" i="20"/>
  <c r="AL61" i="20" s="1"/>
  <c r="AF48" i="20"/>
  <c r="AL48" i="20" s="1"/>
  <c r="AF47" i="20"/>
  <c r="AV47" i="20" s="1"/>
  <c r="AF44" i="20"/>
  <c r="AL44" i="20" s="1"/>
  <c r="AF41" i="20"/>
  <c r="AL41" i="20" s="1"/>
  <c r="AF40" i="20"/>
  <c r="AV40" i="20" s="1"/>
  <c r="AF38" i="20"/>
  <c r="AL38" i="20" s="1"/>
  <c r="AF36" i="20"/>
  <c r="AV36" i="20" s="1"/>
  <c r="AF34" i="20"/>
  <c r="AL34" i="20" s="1"/>
  <c r="AV34" i="20"/>
  <c r="AF32" i="20"/>
  <c r="AV32" i="20" s="1"/>
  <c r="AF31" i="20"/>
  <c r="AV31" i="20" s="1"/>
  <c r="AL31" i="20"/>
  <c r="AF28" i="20"/>
  <c r="AV28" i="20" s="1"/>
  <c r="AF22" i="20"/>
  <c r="AV22" i="20" s="1"/>
  <c r="AF19" i="20"/>
  <c r="AL19" i="20" s="1"/>
  <c r="AF13" i="20"/>
  <c r="AK5" i="20"/>
  <c r="AK6" i="20"/>
  <c r="AK7" i="20"/>
  <c r="AK8" i="20"/>
  <c r="AK9" i="20"/>
  <c r="AK11" i="20"/>
  <c r="AK12" i="20"/>
  <c r="AK95" i="20"/>
  <c r="AU95" i="20"/>
  <c r="AK94" i="20"/>
  <c r="AU93" i="20"/>
  <c r="AK93" i="20"/>
  <c r="AU92" i="20"/>
  <c r="AK92" i="20"/>
  <c r="AK90" i="20"/>
  <c r="AU90" i="20"/>
  <c r="AE88" i="20"/>
  <c r="AK88" i="20" s="1"/>
  <c r="AU87" i="20"/>
  <c r="AU86" i="20"/>
  <c r="AK86" i="20"/>
  <c r="AU85" i="20"/>
  <c r="AK85" i="20"/>
  <c r="AU84" i="20"/>
  <c r="AK84" i="20"/>
  <c r="AE80" i="20"/>
  <c r="AU78" i="20"/>
  <c r="AK78" i="20"/>
  <c r="AU77" i="20"/>
  <c r="AK77" i="20"/>
  <c r="AU76" i="20"/>
  <c r="AK76" i="20"/>
  <c r="AU75" i="20"/>
  <c r="AK75" i="20"/>
  <c r="AU71" i="20"/>
  <c r="AK70" i="20"/>
  <c r="AK67" i="20"/>
  <c r="AE63" i="20"/>
  <c r="AK63" i="20" s="1"/>
  <c r="AU60" i="20"/>
  <c r="AK60" i="20"/>
  <c r="AU59" i="20"/>
  <c r="AK59" i="20"/>
  <c r="AU58" i="20"/>
  <c r="AK58" i="20"/>
  <c r="AE56" i="20"/>
  <c r="AK54" i="20"/>
  <c r="AK52" i="20"/>
  <c r="AU51" i="20"/>
  <c r="AK51" i="20"/>
  <c r="AE48" i="20"/>
  <c r="AU45" i="20"/>
  <c r="AK45" i="20"/>
  <c r="AU44" i="20"/>
  <c r="AK44" i="20"/>
  <c r="AE40" i="20"/>
  <c r="AK40" i="20" s="1"/>
  <c r="AE39" i="20"/>
  <c r="AK39" i="20" s="1"/>
  <c r="AK38" i="20"/>
  <c r="AU36" i="20"/>
  <c r="AK36" i="20"/>
  <c r="A5" i="20"/>
  <c r="B4" i="20"/>
  <c r="B3" i="20"/>
  <c r="AK33" i="20"/>
  <c r="AU33" i="20"/>
  <c r="AE30" i="20"/>
  <c r="AU30" i="20" s="1"/>
  <c r="AU25" i="20"/>
  <c r="AU24" i="20"/>
  <c r="AK24" i="20"/>
  <c r="AU21" i="20"/>
  <c r="AK21" i="20"/>
  <c r="AU19" i="20"/>
  <c r="AU18" i="20"/>
  <c r="AK18" i="20"/>
  <c r="AU17" i="20"/>
  <c r="AU16" i="20"/>
  <c r="AK16" i="20"/>
  <c r="AE15" i="20"/>
  <c r="AU15" i="20" s="1"/>
  <c r="AE14" i="20"/>
  <c r="AK14" i="20" s="1"/>
  <c r="AE2" i="20"/>
  <c r="AK2" i="20" s="1"/>
  <c r="AE3" i="20"/>
  <c r="AU3" i="20" s="1"/>
  <c r="V4" i="13"/>
  <c r="A4" i="13"/>
  <c r="B4" i="13" s="1"/>
  <c r="L98" i="13"/>
  <c r="L102" i="13" s="1"/>
  <c r="L104" i="13" s="1"/>
  <c r="U4" i="13"/>
  <c r="W4" i="13"/>
  <c r="AB2" i="13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S97" i="13"/>
  <c r="Q98" i="13"/>
  <c r="Z3" i="13"/>
  <c r="AO3" i="13"/>
  <c r="AP3" i="13"/>
  <c r="AA3" i="13"/>
  <c r="AC3" i="13"/>
  <c r="AR3" i="13"/>
  <c r="AC4" i="13"/>
  <c r="AR4" i="13"/>
  <c r="AQ3" i="13"/>
  <c r="AB3" i="13"/>
  <c r="X2" i="13"/>
  <c r="Y2" i="13"/>
  <c r="Z2" i="13"/>
  <c r="Y3" i="13"/>
  <c r="V2" i="13"/>
  <c r="AY58" i="20" l="1"/>
  <c r="BA81" i="20"/>
  <c r="AY64" i="20"/>
  <c r="AY80" i="20"/>
  <c r="AY75" i="20"/>
  <c r="AY69" i="20"/>
  <c r="AW94" i="20"/>
  <c r="AM94" i="20"/>
  <c r="AJ94" i="20"/>
  <c r="AT94" i="20"/>
  <c r="AY94" i="20" s="1"/>
  <c r="BA94" i="20" s="1"/>
  <c r="AX94" i="20"/>
  <c r="AN94" i="20"/>
  <c r="AK91" i="20"/>
  <c r="AV76" i="20"/>
  <c r="AY76" i="20" s="1"/>
  <c r="BA76" i="20" s="1"/>
  <c r="AL76" i="20"/>
  <c r="AL67" i="20"/>
  <c r="AU83" i="20"/>
  <c r="AK69" i="20"/>
  <c r="AU68" i="20"/>
  <c r="AU64" i="20"/>
  <c r="AK64" i="20"/>
  <c r="AK55" i="20"/>
  <c r="AU55" i="20"/>
  <c r="AY55" i="20" s="1"/>
  <c r="AU53" i="20"/>
  <c r="AV57" i="20"/>
  <c r="AY57" i="20" s="1"/>
  <c r="AL57" i="20"/>
  <c r="BA58" i="20"/>
  <c r="AL50" i="20"/>
  <c r="AV50" i="20"/>
  <c r="AY50" i="20" s="1"/>
  <c r="AU50" i="20"/>
  <c r="AU47" i="20"/>
  <c r="AU46" i="20"/>
  <c r="AK46" i="20"/>
  <c r="AV86" i="20"/>
  <c r="AY86" i="20" s="1"/>
  <c r="BA86" i="20" s="1"/>
  <c r="AL86" i="20"/>
  <c r="AU13" i="20"/>
  <c r="AV41" i="20"/>
  <c r="AV38" i="20"/>
  <c r="AY38" i="20" s="1"/>
  <c r="BA38" i="20" s="1"/>
  <c r="AL35" i="20"/>
  <c r="AV35" i="20"/>
  <c r="AV16" i="20"/>
  <c r="AY16" i="20" s="1"/>
  <c r="BA16" i="20" s="1"/>
  <c r="AY12" i="20"/>
  <c r="BA12" i="20" s="1"/>
  <c r="AL12" i="20"/>
  <c r="AL11" i="20"/>
  <c r="AY11" i="20"/>
  <c r="BA11" i="20" s="1"/>
  <c r="AV9" i="20"/>
  <c r="AY9" i="20" s="1"/>
  <c r="BA9" i="20" s="1"/>
  <c r="AY7" i="20"/>
  <c r="BA7" i="20" s="1"/>
  <c r="AL4" i="20"/>
  <c r="AL3" i="20"/>
  <c r="AY3" i="20"/>
  <c r="BC3" i="20" s="1"/>
  <c r="AU35" i="20"/>
  <c r="AK22" i="20"/>
  <c r="AK10" i="20"/>
  <c r="AY10" i="20"/>
  <c r="BA10" i="20" s="1"/>
  <c r="AL7" i="20"/>
  <c r="AL10" i="20"/>
  <c r="AL2" i="20"/>
  <c r="AV87" i="20"/>
  <c r="AY87" i="20" s="1"/>
  <c r="BA87" i="20" s="1"/>
  <c r="AL87" i="20"/>
  <c r="AK89" i="20"/>
  <c r="AU89" i="20"/>
  <c r="AL56" i="20"/>
  <c r="AV56" i="20"/>
  <c r="AY56" i="20" s="1"/>
  <c r="AU43" i="20"/>
  <c r="AK43" i="20"/>
  <c r="AV90" i="20"/>
  <c r="AY90" i="20" s="1"/>
  <c r="BA90" i="20" s="1"/>
  <c r="AL90" i="20"/>
  <c r="AK28" i="20"/>
  <c r="AU28" i="20"/>
  <c r="AY28" i="20" s="1"/>
  <c r="BA28" i="20" s="1"/>
  <c r="AU74" i="20"/>
  <c r="AK74" i="20"/>
  <c r="AU79" i="20"/>
  <c r="AK79" i="20"/>
  <c r="AU66" i="20"/>
  <c r="AK66" i="20"/>
  <c r="AV26" i="20"/>
  <c r="AL26" i="20"/>
  <c r="AL49" i="20"/>
  <c r="AV49" i="20"/>
  <c r="AV74" i="20"/>
  <c r="AL74" i="20"/>
  <c r="AL79" i="20"/>
  <c r="AV79" i="20"/>
  <c r="AY79" i="20" s="1"/>
  <c r="AV51" i="20"/>
  <c r="AL51" i="20"/>
  <c r="AV33" i="20"/>
  <c r="AY33" i="20" s="1"/>
  <c r="BA33" i="20" s="1"/>
  <c r="AL33" i="20"/>
  <c r="AU27" i="20"/>
  <c r="AK27" i="20"/>
  <c r="AV37" i="20"/>
  <c r="AL37" i="20"/>
  <c r="AL66" i="20"/>
  <c r="AV66" i="20"/>
  <c r="AV23" i="20"/>
  <c r="AL23" i="20"/>
  <c r="AV53" i="20"/>
  <c r="AY53" i="20" s="1"/>
  <c r="AL53" i="20"/>
  <c r="AU41" i="20"/>
  <c r="AK41" i="20"/>
  <c r="AK82" i="20"/>
  <c r="AU82" i="20"/>
  <c r="AU32" i="20"/>
  <c r="AK32" i="20"/>
  <c r="AV54" i="20"/>
  <c r="AL54" i="20"/>
  <c r="AV71" i="20"/>
  <c r="AY71" i="20" s="1"/>
  <c r="BA71" i="20" s="1"/>
  <c r="AL71" i="20"/>
  <c r="AK49" i="20"/>
  <c r="AU49" i="20"/>
  <c r="AV60" i="20"/>
  <c r="AL60" i="20"/>
  <c r="AU29" i="20"/>
  <c r="AY29" i="20" s="1"/>
  <c r="BA29" i="20" s="1"/>
  <c r="AK29" i="20"/>
  <c r="AL43" i="20"/>
  <c r="AV43" i="20"/>
  <c r="AV46" i="20"/>
  <c r="AY46" i="20" s="1"/>
  <c r="BA46" i="20" s="1"/>
  <c r="AL46" i="20"/>
  <c r="AU26" i="20"/>
  <c r="AK26" i="20"/>
  <c r="AL15" i="20"/>
  <c r="AV15" i="20"/>
  <c r="AY15" i="20" s="1"/>
  <c r="BA15" i="20" s="1"/>
  <c r="AL45" i="20"/>
  <c r="AV45" i="20"/>
  <c r="AY45" i="20" s="1"/>
  <c r="BA45" i="20" s="1"/>
  <c r="AV27" i="20"/>
  <c r="AL27" i="20"/>
  <c r="AK34" i="20"/>
  <c r="AU34" i="20"/>
  <c r="AY34" i="20" s="1"/>
  <c r="BA34" i="20" s="1"/>
  <c r="AV70" i="20"/>
  <c r="AL70" i="20"/>
  <c r="AK42" i="20"/>
  <c r="AU37" i="20"/>
  <c r="AL83" i="20"/>
  <c r="AY17" i="20"/>
  <c r="BA17" i="20" s="1"/>
  <c r="AU61" i="20"/>
  <c r="AL17" i="20"/>
  <c r="AV68" i="20"/>
  <c r="AY68" i="20" s="1"/>
  <c r="AL92" i="20"/>
  <c r="AK73" i="20"/>
  <c r="AL24" i="20"/>
  <c r="AL85" i="20"/>
  <c r="BA75" i="20"/>
  <c r="AU57" i="20"/>
  <c r="AY91" i="20"/>
  <c r="BA91" i="20" s="1"/>
  <c r="AL39" i="20"/>
  <c r="AL58" i="20"/>
  <c r="AL93" i="20"/>
  <c r="AY25" i="20"/>
  <c r="BA25" i="20" s="1"/>
  <c r="AL25" i="20"/>
  <c r="Q97" i="13"/>
  <c r="Q99" i="13" s="1"/>
  <c r="AV20" i="20"/>
  <c r="AV62" i="20"/>
  <c r="AY62" i="20" s="1"/>
  <c r="AL21" i="20"/>
  <c r="AL73" i="20"/>
  <c r="AY32" i="20"/>
  <c r="BA32" i="20" s="1"/>
  <c r="BA67" i="20"/>
  <c r="AL28" i="20"/>
  <c r="AL32" i="20"/>
  <c r="AV48" i="20"/>
  <c r="AV52" i="20"/>
  <c r="AL80" i="20"/>
  <c r="AY24" i="20"/>
  <c r="BA24" i="20" s="1"/>
  <c r="AL36" i="20"/>
  <c r="AY36" i="20"/>
  <c r="BA36" i="20" s="1"/>
  <c r="AY92" i="20"/>
  <c r="BA92" i="20" s="1"/>
  <c r="AV44" i="20"/>
  <c r="AY44" i="20" s="1"/>
  <c r="BA44" i="20" s="1"/>
  <c r="AV89" i="20"/>
  <c r="AY31" i="20"/>
  <c r="BA31" i="20" s="1"/>
  <c r="AY85" i="20"/>
  <c r="BA85" i="20" s="1"/>
  <c r="AY95" i="20"/>
  <c r="BA95" i="20" s="1"/>
  <c r="BA77" i="20"/>
  <c r="AL22" i="20"/>
  <c r="AL29" i="20"/>
  <c r="AL59" i="20"/>
  <c r="AL94" i="20"/>
  <c r="BA64" i="20"/>
  <c r="AL14" i="20"/>
  <c r="AL40" i="20"/>
  <c r="AL47" i="20"/>
  <c r="AL63" i="20"/>
  <c r="AL72" i="20"/>
  <c r="AY93" i="20"/>
  <c r="BA93" i="20" s="1"/>
  <c r="AV84" i="20"/>
  <c r="AY84" i="20" s="1"/>
  <c r="BA84" i="20" s="1"/>
  <c r="AL84" i="20"/>
  <c r="AL78" i="20"/>
  <c r="BA78" i="20"/>
  <c r="BA73" i="20"/>
  <c r="BA72" i="20"/>
  <c r="BA69" i="20"/>
  <c r="AL69" i="20"/>
  <c r="AL65" i="20"/>
  <c r="AV61" i="20"/>
  <c r="AY61" i="20" s="1"/>
  <c r="BA59" i="20"/>
  <c r="AL55" i="20"/>
  <c r="AY47" i="20"/>
  <c r="BA47" i="20" s="1"/>
  <c r="AY42" i="20"/>
  <c r="BA42" i="20" s="1"/>
  <c r="AL42" i="20"/>
  <c r="AY30" i="20"/>
  <c r="BA30" i="20" s="1"/>
  <c r="AL30" i="20"/>
  <c r="AY22" i="20"/>
  <c r="BA22" i="20" s="1"/>
  <c r="AY21" i="20"/>
  <c r="BA21" i="20" s="1"/>
  <c r="AV19" i="20"/>
  <c r="AY19" i="20" s="1"/>
  <c r="BA19" i="20" s="1"/>
  <c r="AY18" i="20"/>
  <c r="BA18" i="20" s="1"/>
  <c r="AL18" i="20"/>
  <c r="AV13" i="20"/>
  <c r="AY13" i="20" s="1"/>
  <c r="AL13" i="20"/>
  <c r="AU65" i="20"/>
  <c r="AY65" i="20" s="1"/>
  <c r="AU23" i="20"/>
  <c r="AY23" i="20" s="1"/>
  <c r="BA23" i="20" s="1"/>
  <c r="AU39" i="20"/>
  <c r="AY39" i="20" s="1"/>
  <c r="BA39" i="20" s="1"/>
  <c r="AU14" i="20"/>
  <c r="AY14" i="20" s="1"/>
  <c r="BA14" i="20" s="1"/>
  <c r="AU2" i="20"/>
  <c r="AY2" i="20" s="1"/>
  <c r="AK3" i="20"/>
  <c r="AK15" i="20"/>
  <c r="AK72" i="20"/>
  <c r="AU88" i="20"/>
  <c r="AY88" i="20" s="1"/>
  <c r="BA88" i="20" s="1"/>
  <c r="AK81" i="20"/>
  <c r="AK80" i="20"/>
  <c r="AU80" i="20"/>
  <c r="AU63" i="20"/>
  <c r="AY63" i="20" s="1"/>
  <c r="AU62" i="20"/>
  <c r="AK62" i="20"/>
  <c r="AK56" i="20"/>
  <c r="AU56" i="20"/>
  <c r="AK48" i="20"/>
  <c r="AU48" i="20"/>
  <c r="AU40" i="20"/>
  <c r="AY40" i="20" s="1"/>
  <c r="BA40" i="20" s="1"/>
  <c r="A6" i="20"/>
  <c r="B5" i="20"/>
  <c r="AK31" i="20"/>
  <c r="AK30" i="20"/>
  <c r="AK20" i="20"/>
  <c r="AU20" i="20"/>
  <c r="AK4" i="20"/>
  <c r="AU4" i="20"/>
  <c r="AY4" i="20" s="1"/>
  <c r="BA4" i="20" s="1"/>
  <c r="BA3" i="20"/>
  <c r="AP4" i="13"/>
  <c r="AA4" i="13"/>
  <c r="Z4" i="13"/>
  <c r="AO4" i="13"/>
  <c r="AO97" i="13" s="1"/>
  <c r="B6" i="25"/>
  <c r="C6" i="25" s="1"/>
  <c r="R97" i="13"/>
  <c r="W100" i="13"/>
  <c r="AB4" i="13"/>
  <c r="AQ4" i="13"/>
  <c r="AQ97" i="13" s="1"/>
  <c r="N5" i="6"/>
  <c r="O5" i="6" s="1"/>
  <c r="K5" i="6"/>
  <c r="K7" i="6"/>
  <c r="N7" i="6"/>
  <c r="O7" i="6" s="1"/>
  <c r="N6" i="6"/>
  <c r="O6" i="6" s="1"/>
  <c r="K6" i="6"/>
  <c r="K4" i="6"/>
  <c r="N4" i="6"/>
  <c r="O4" i="6" s="1"/>
  <c r="AS3" i="13"/>
  <c r="V100" i="13"/>
  <c r="AA2" i="13"/>
  <c r="AP2" i="13"/>
  <c r="B5" i="25"/>
  <c r="C5" i="25" s="1"/>
  <c r="X100" i="13"/>
  <c r="B7" i="25"/>
  <c r="C7" i="25" s="1"/>
  <c r="AR2" i="13"/>
  <c r="AC2" i="13"/>
  <c r="AY66" i="20" l="1"/>
  <c r="BB3" i="20"/>
  <c r="AY82" i="20"/>
  <c r="BA82" i="20" s="1"/>
  <c r="BA63" i="20"/>
  <c r="BA80" i="20"/>
  <c r="AY74" i="20"/>
  <c r="BA74" i="20" s="1"/>
  <c r="AY35" i="20"/>
  <c r="BA35" i="20" s="1"/>
  <c r="BA55" i="20"/>
  <c r="BA65" i="20"/>
  <c r="AY89" i="20"/>
  <c r="BA89" i="20" s="1"/>
  <c r="AY51" i="20"/>
  <c r="BA51" i="20" s="1"/>
  <c r="BA68" i="20"/>
  <c r="AY52" i="20"/>
  <c r="BA52" i="20" s="1"/>
  <c r="AY70" i="20"/>
  <c r="BA70" i="20" s="1"/>
  <c r="AY54" i="20"/>
  <c r="BA54" i="20" s="1"/>
  <c r="BA62" i="20"/>
  <c r="AY60" i="20"/>
  <c r="BA60" i="20" s="1"/>
  <c r="AY83" i="20"/>
  <c r="BA83" i="20" s="1"/>
  <c r="AR97" i="13"/>
  <c r="D7" i="25" s="1"/>
  <c r="AP97" i="13"/>
  <c r="D5" i="25" s="1"/>
  <c r="BA79" i="20"/>
  <c r="BA53" i="20"/>
  <c r="BA57" i="20"/>
  <c r="BA50" i="20"/>
  <c r="AY49" i="20"/>
  <c r="BA49" i="20" s="1"/>
  <c r="AY48" i="20"/>
  <c r="BA48" i="20" s="1"/>
  <c r="AY43" i="20"/>
  <c r="BA43" i="20" s="1"/>
  <c r="AY41" i="20"/>
  <c r="BA41" i="20" s="1"/>
  <c r="AY37" i="20"/>
  <c r="BA37" i="20" s="1"/>
  <c r="AY26" i="20"/>
  <c r="BA26" i="20" s="1"/>
  <c r="AY27" i="20"/>
  <c r="BA27" i="20" s="1"/>
  <c r="AY20" i="20"/>
  <c r="BA20" i="20" s="1"/>
  <c r="BA61" i="20"/>
  <c r="BA56" i="20"/>
  <c r="BA66" i="20"/>
  <c r="BA13" i="20"/>
  <c r="BA2" i="20"/>
  <c r="BB2" i="20"/>
  <c r="BC2" i="20"/>
  <c r="A7" i="20"/>
  <c r="B6" i="20"/>
  <c r="B4" i="25"/>
  <c r="C4" i="25" s="1"/>
  <c r="P97" i="13"/>
  <c r="P99" i="13" s="1"/>
  <c r="D6" i="25"/>
  <c r="F6" i="25" s="1"/>
  <c r="AU3" i="13"/>
  <c r="AS2" i="13"/>
  <c r="E7" i="25" l="1"/>
  <c r="F7" i="25"/>
  <c r="A8" i="20"/>
  <c r="B7" i="20"/>
  <c r="U100" i="13"/>
  <c r="U103" i="13" s="1"/>
  <c r="D4" i="25"/>
  <c r="F4" i="25" s="1"/>
  <c r="E6" i="25"/>
  <c r="AU2" i="13"/>
  <c r="F5" i="25"/>
  <c r="E5" i="25"/>
  <c r="T4" i="13"/>
  <c r="Y4" i="13" s="1"/>
  <c r="B8" i="20" l="1"/>
  <c r="A9" i="20"/>
  <c r="E4" i="25"/>
  <c r="AN4" i="13"/>
  <c r="AS4" i="13" l="1"/>
  <c r="AN97" i="13"/>
  <c r="A10" i="20"/>
  <c r="B9" i="20"/>
  <c r="O97" i="13"/>
  <c r="O99" i="13" s="1"/>
  <c r="AS98" i="13" l="1"/>
  <c r="AS96" i="13"/>
  <c r="D53" i="14" s="1"/>
  <c r="AU4" i="13"/>
  <c r="A11" i="20"/>
  <c r="B10" i="20"/>
  <c r="T100" i="13"/>
  <c r="B3" i="25"/>
  <c r="C3" i="25" s="1"/>
  <c r="C56" i="14" l="1"/>
  <c r="C55" i="14"/>
  <c r="B11" i="20"/>
  <c r="A12" i="20"/>
  <c r="D3" i="25"/>
  <c r="A13" i="20" l="1"/>
  <c r="B12" i="20"/>
  <c r="B8" i="25"/>
  <c r="E3" i="25"/>
  <c r="F3" i="25"/>
  <c r="F8" i="25" s="1"/>
  <c r="B13" i="20" l="1"/>
  <c r="A14" i="20"/>
  <c r="B21" i="25"/>
  <c r="B20" i="25"/>
  <c r="A15" i="20" l="1"/>
  <c r="B14" i="20"/>
  <c r="A16" i="20" l="1"/>
  <c r="B15" i="20"/>
  <c r="B16" i="20" l="1"/>
  <c r="A17" i="20"/>
  <c r="B17" i="20" l="1"/>
  <c r="A18" i="20"/>
  <c r="A19" i="20" l="1"/>
  <c r="B18" i="20"/>
  <c r="B19" i="20" l="1"/>
  <c r="A20" i="20"/>
  <c r="A21" i="20" l="1"/>
  <c r="B20" i="20"/>
  <c r="A22" i="20" l="1"/>
  <c r="B21" i="20"/>
  <c r="B22" i="20" l="1"/>
  <c r="A23" i="20"/>
  <c r="B23" i="20" l="1"/>
  <c r="A24" i="20"/>
  <c r="A25" i="20" l="1"/>
  <c r="B24" i="20"/>
  <c r="A26" i="20" l="1"/>
  <c r="B25" i="20"/>
  <c r="B26" i="20" l="1"/>
  <c r="A27" i="20"/>
  <c r="A28" i="20" l="1"/>
  <c r="B27" i="20"/>
  <c r="A29" i="20" l="1"/>
  <c r="B28" i="20"/>
  <c r="B29" i="20" l="1"/>
  <c r="A30" i="20"/>
  <c r="A31" i="20" l="1"/>
  <c r="B30" i="20"/>
  <c r="B31" i="20" l="1"/>
  <c r="A32" i="20"/>
  <c r="B32" i="20" l="1"/>
  <c r="A33" i="20"/>
  <c r="A34" i="20" l="1"/>
  <c r="B33" i="20"/>
  <c r="B34" i="20" l="1"/>
  <c r="A35" i="20"/>
  <c r="B35" i="20" l="1"/>
  <c r="A36" i="20"/>
  <c r="A37" i="20" l="1"/>
  <c r="B36" i="20"/>
  <c r="A38" i="20" l="1"/>
  <c r="B37" i="20"/>
  <c r="A39" i="20" l="1"/>
  <c r="B38" i="20"/>
  <c r="B39" i="20" l="1"/>
  <c r="A40" i="20"/>
  <c r="A41" i="20" l="1"/>
  <c r="B40" i="20"/>
  <c r="A42" i="20" l="1"/>
  <c r="B41" i="20"/>
  <c r="B42" i="20" l="1"/>
  <c r="A43" i="20"/>
  <c r="B43" i="20" l="1"/>
  <c r="A44" i="20"/>
  <c r="A45" i="20" l="1"/>
  <c r="B44" i="20"/>
  <c r="A46" i="20" l="1"/>
  <c r="B45" i="20"/>
  <c r="A47" i="20" l="1"/>
  <c r="B46" i="20"/>
  <c r="B47" i="20" l="1"/>
  <c r="A48" i="20"/>
  <c r="A49" i="20" l="1"/>
  <c r="B48" i="20"/>
  <c r="A50" i="20" l="1"/>
  <c r="B49" i="20"/>
  <c r="B50" i="20" l="1"/>
  <c r="A51" i="20"/>
  <c r="B51" i="20" l="1"/>
  <c r="A52" i="20"/>
  <c r="A53" i="20" l="1"/>
  <c r="B52" i="20"/>
  <c r="A54" i="20" l="1"/>
  <c r="B53" i="20"/>
  <c r="A55" i="20" l="1"/>
  <c r="B54" i="20"/>
  <c r="B55" i="20" l="1"/>
  <c r="A56" i="20"/>
  <c r="A57" i="20" l="1"/>
  <c r="B56" i="20"/>
  <c r="A58" i="20" l="1"/>
  <c r="B57" i="20"/>
  <c r="B58" i="20" l="1"/>
  <c r="A59" i="20"/>
  <c r="A60" i="20" l="1"/>
  <c r="B59" i="20"/>
  <c r="A61" i="20" l="1"/>
  <c r="B60" i="20"/>
  <c r="A62" i="20" l="1"/>
  <c r="B61" i="20"/>
  <c r="A63" i="20" l="1"/>
  <c r="B62" i="20"/>
  <c r="B63" i="20" l="1"/>
  <c r="A64" i="20"/>
  <c r="A65" i="20" l="1"/>
  <c r="B64" i="20"/>
  <c r="A66" i="20" l="1"/>
  <c r="B65" i="20"/>
  <c r="B66" i="20" l="1"/>
  <c r="A67" i="20"/>
  <c r="A68" i="20" l="1"/>
  <c r="B67" i="20"/>
  <c r="A69" i="20" l="1"/>
  <c r="B68" i="20"/>
  <c r="A70" i="20" l="1"/>
  <c r="B69" i="20"/>
  <c r="A71" i="20" l="1"/>
  <c r="B70" i="20"/>
  <c r="B71" i="20" l="1"/>
  <c r="A72" i="20"/>
  <c r="A73" i="20" l="1"/>
  <c r="B72" i="20"/>
  <c r="A74" i="20" l="1"/>
  <c r="B73" i="20"/>
  <c r="B74" i="20" l="1"/>
  <c r="A75" i="20"/>
  <c r="A76" i="20" l="1"/>
  <c r="B75" i="20"/>
  <c r="A77" i="20" l="1"/>
  <c r="B76" i="20"/>
  <c r="A78" i="20" l="1"/>
  <c r="B77" i="20"/>
  <c r="A79" i="20" l="1"/>
  <c r="B78" i="20"/>
  <c r="B79" i="20" l="1"/>
  <c r="A80" i="20"/>
  <c r="A81" i="20" l="1"/>
  <c r="B80" i="20"/>
  <c r="A82" i="20" l="1"/>
  <c r="B81" i="20"/>
  <c r="B82" i="20" l="1"/>
  <c r="A83" i="20"/>
  <c r="A84" i="20" l="1"/>
  <c r="B83" i="20"/>
  <c r="A85" i="20" l="1"/>
  <c r="B84" i="20"/>
  <c r="A86" i="20" l="1"/>
  <c r="B85" i="20"/>
  <c r="A87" i="20" l="1"/>
  <c r="B86" i="20"/>
  <c r="B87" i="20" l="1"/>
  <c r="A88" i="20"/>
  <c r="A89" i="20" l="1"/>
  <c r="B88" i="20"/>
  <c r="A90" i="20" l="1"/>
  <c r="B89" i="20"/>
  <c r="B90" i="20" l="1"/>
  <c r="A91" i="20"/>
  <c r="A92" i="20" l="1"/>
  <c r="B91" i="20"/>
  <c r="A93" i="20" l="1"/>
  <c r="B92" i="20"/>
  <c r="A94" i="20" l="1"/>
  <c r="B94" i="20" s="1"/>
  <c r="B9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tc={9764B4BE-0BF7-4407-A4AD-DF903FF26D4D}</author>
    <author>tc={CED1552D-68A5-48E4-98C9-1E8AD082FA7C}</author>
  </authors>
  <commentList>
    <comment ref="Y9" authorId="0" shapeId="0" xr:uid="{9764B4BE-0BF7-4407-A4AD-DF903FF26D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AA9" authorId="1" shapeId="0" xr:uid="{CED1552D-68A5-48E4-98C9-1E8AD082FA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Y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<sst xmlns="http://schemas.openxmlformats.org/spreadsheetml/2006/main" count="699" uniqueCount="303">
  <si>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</si>
  <si>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</si>
  <si>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</si>
  <si>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</si>
  <si>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</si>
  <si>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</si>
  <si>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</si>
  <si>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</si>
  <si>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</si>
  <si>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</si>
  <si>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</si>
  <si>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</si>
  <si>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</si>
  <si>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</si>
  <si>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</si>
  <si>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</si>
  <si>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</si>
  <si>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</si>
  <si>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</si>
  <si>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</si>
  <si>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</si>
  <si>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</si>
  <si>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</si>
  <si>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</si>
  <si>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</si>
  <si>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</si>
  <si>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</si>
  <si>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</si>
  <si>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</si>
  <si>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</si>
  <si>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</si>
  <si>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</si>
  <si>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</si>
  <si>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</si>
  <si>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</si>
  <si>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</si>
  <si>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</si>
  <si>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</si>
  <si>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</si>
  <si>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</si>
  <si>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</si>
  <si>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</si>
  <si>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</si>
  <si>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</si>
  <si>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</si>
  <si>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</si>
  <si>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</si>
  <si>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</si>
  <si>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</si>
  <si>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</si>
  <si>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</si>
  <si>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</si>
  <si>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</si>
  <si>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</si>
  <si>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</si>
  <si>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</si>
  <si>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</si>
  <si>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</si>
  <si>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</si>
  <si>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</si>
  <si>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</si>
  <si>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</si>
  <si>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</si>
  <si>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</si>
  <si>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</si>
  <si>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</si>
  <si>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</si>
  <si>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</si>
  <si>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</si>
  <si>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</si>
  <si>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</si>
  <si>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</si>
  <si>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</si>
  <si>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</si>
  <si>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</si>
  <si>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</si>
  <si>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</si>
  <si>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</si>
  <si>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</si>
  <si>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</si>
  <si>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</si>
  <si>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</si>
  <si>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</si>
  <si>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</si>
  <si>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</si>
  <si>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</si>
  <si>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</si>
  <si>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</si>
  <si>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</si>
  <si>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</si>
  <si>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</si>
  <si>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</si>
  <si>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</si>
  <si>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</si>
  <si>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</si>
  <si>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</si>
  <si>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</si>
  <si>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</si>
  <si>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</si>
  <si>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</si>
  <si>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</si>
  <si>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</si>
  <si>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</si>
  <si>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</si>
  <si>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</si>
  <si>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</si>
  <si>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</si>
  <si>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</si>
  <si>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</si>
  <si>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</si>
  <si>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</si>
  <si>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</si>
  <si>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</si>
  <si>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RECHAZO (m3)</t>
  </si>
  <si>
    <t>$m3 PERMEADO RO (m3)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</si>
  <si>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</si>
  <si>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</si>
  <si>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</si>
  <si>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</si>
  <si>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</si>
  <si>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</si>
  <si>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ACUMULADO CAUDAL TRATADO GEM</t>
  </si>
  <si>
    <t>TOTAL CAUDAL TRATADO GEM</t>
  </si>
  <si>
    <t>$m3</t>
  </si>
  <si>
    <t># TURNO</t>
  </si>
  <si>
    <t>GEM</t>
  </si>
  <si>
    <t>TABLA GRAFICA 1 Y 2 . CONSUMO QUIMICO DETALLADO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</si>
  <si>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</si>
  <si>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</si>
  <si>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</si>
  <si>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</si>
  <si>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</si>
  <si>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</si>
  <si>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</si>
  <si>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         Vitec 7000</t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</si>
  <si>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</si>
  <si>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</si>
  <si>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</si>
  <si>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</si>
  <si>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</si>
  <si>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</si>
  <si>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</si>
  <si>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</si>
  <si>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</si>
  <si>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</si>
  <si>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</si>
  <si>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</si>
  <si>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</si>
  <si>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</si>
  <si>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</si>
  <si>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</si>
  <si>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</si>
  <si>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</si>
  <si>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</si>
  <si>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</si>
  <si>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</si>
  <si>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</si>
  <si>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</si>
  <si>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</si>
  <si>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</si>
  <si>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</si>
  <si>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</si>
  <si>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</si>
  <si>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</si>
  <si>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</si>
  <si>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</si>
  <si>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</si>
  <si>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</si>
  <si>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</si>
  <si>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 xml:space="preserve"> COF 235 - PPM COAGULANTE </t>
  </si>
  <si>
    <t xml:space="preserve"> COF 255 - PPM DECOLORANTE</t>
  </si>
  <si>
    <t>COF 280 - PPM ACIDO</t>
  </si>
  <si>
    <t xml:space="preserve"> COF 440 - PPM POL ANIONICO</t>
  </si>
  <si>
    <t xml:space="preserve"> COF 494 - PPM POL CATIONICO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</si>
  <si>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</si>
  <si>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</si>
  <si>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</si>
  <si>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</si>
  <si>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</si>
  <si>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</si>
  <si>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</si>
  <si>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</si>
  <si>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</si>
  <si>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</si>
  <si>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</si>
  <si>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</si>
  <si>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</si>
  <si>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</si>
  <si>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</si>
  <si>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</si>
  <si>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</si>
  <si>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</si>
  <si>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</si>
  <si>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</si>
  <si>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</si>
  <si>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</si>
  <si>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</si>
  <si>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</si>
  <si>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 xml:space="preserve"> PPM HCL</t>
  </si>
  <si>
    <t xml:space="preserve"> PPM KURIVERTER</t>
  </si>
  <si>
    <t xml:space="preserve"> PPM VITEC</t>
  </si>
  <si>
    <t xml:space="preserve"> PPM BISULFITO</t>
  </si>
  <si>
    <t xml:space="preserve">TABLA GRAFICA 4. RO PPM CONSUMO QUIMICO </t>
  </si>
  <si>
    <t>CONSUMO QUIMICO PPM</t>
  </si>
  <si>
    <t>FINAL ACIDO (L)</t>
  </si>
  <si>
    <t>FINAL COAGULANTE (L)</t>
  </si>
  <si>
    <t>FINAL DECOLORANTE (L)</t>
  </si>
  <si>
    <t>FINAL POL ANIONICO (KG)</t>
  </si>
  <si>
    <t>FINAL POL CATIONICO (KG)</t>
  </si>
  <si>
    <t>ACUMULADO CAUDAL TRATADO RO</t>
  </si>
  <si>
    <t>1.500</t>
  </si>
  <si>
    <t>420</t>
  </si>
  <si>
    <t>140</t>
  </si>
  <si>
    <t>155</t>
  </si>
  <si>
    <t>3/01/2025 - 4/01/2025</t>
  </si>
  <si>
    <t xml:space="preserve">  2024 $m3 GEM</t>
  </si>
  <si>
    <t xml:space="preserve">  2024-2 $m3 GEM 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</si>
  <si>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</si>
  <si>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</si>
  <si>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</si>
  <si>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</si>
  <si>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</si>
  <si>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</si>
  <si>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</si>
  <si>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</si>
  <si>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</si>
  <si>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</si>
  <si>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</si>
  <si>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</si>
  <si>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</si>
  <si>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</si>
  <si>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</si>
  <si>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</si>
  <si>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</si>
  <si>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</si>
  <si>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</si>
  <si>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</si>
  <si>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</si>
  <si>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</si>
  <si>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</si>
  <si>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</si>
  <si>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</si>
  <si>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</si>
  <si>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</si>
  <si>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</si>
  <si>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</si>
  <si>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</si>
  <si>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</si>
  <si>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</si>
  <si>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</si>
  <si>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</si>
  <si>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</si>
  <si>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</si>
  <si>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</si>
  <si>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</si>
  <si>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</si>
  <si>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</si>
  <si>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</si>
  <si>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</si>
  <si>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</si>
  <si>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</si>
  <si>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</si>
  <si>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</si>
  <si>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</si>
  <si>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</si>
  <si>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</si>
  <si>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</si>
  <si>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</si>
  <si>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</si>
  <si>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</si>
  <si>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</si>
  <si>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</si>
  <si>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</si>
  <si>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</si>
  <si>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</si>
  <si>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</si>
  <si>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</si>
  <si>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</si>
  <si>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</si>
  <si>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</si>
  <si>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</si>
  <si>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</si>
  <si>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</si>
  <si>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</si>
  <si>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</si>
  <si>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</si>
  <si>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</si>
  <si>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</si>
  <si>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</si>
  <si>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</si>
  <si>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</si>
  <si>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</si>
  <si>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</si>
  <si>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</si>
  <si>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</si>
  <si>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</si>
  <si>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</si>
  <si>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</si>
  <si>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</si>
  <si>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</si>
  <si>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</si>
  <si>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(en blanco)</t>
  </si>
  <si>
    <t>CAUDAL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</si>
</sst>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9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2" fillId="0" borderId="0"/>
    <xf numFmtId="0" fontId="22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38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90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92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0" fontId="12" fillId="21" borderId="91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49" fontId="12" fillId="21" borderId="92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44" fontId="0" fillId="0" borderId="5" xfId="2" applyFont="1" applyBorder="1"/>
    <xf numFmtId="44" fontId="0" fillId="0" borderId="0" xfId="2" applyFont="1" applyBorder="1"/>
    <xf numFmtId="44" fontId="0" fillId="0" borderId="64" xfId="2" applyFont="1" applyBorder="1"/>
    <xf numFmtId="44" fontId="0" fillId="0" borderId="16" xfId="2" applyFont="1" applyBorder="1"/>
    <xf numFmtId="0" fontId="0" fillId="0" borderId="0" xfId="2" applyNumberFormat="1" applyFont="1" applyBorder="1"/>
    <xf numFmtId="0" fontId="0" fillId="0" borderId="64" xfId="2" applyNumberFormat="1" applyFont="1" applyBorder="1"/>
    <xf numFmtId="42" fontId="0" fillId="0" borderId="8" xfId="2" applyNumberFormat="1" applyFont="1" applyBorder="1"/>
    <xf numFmtId="42" fontId="0" fillId="0" borderId="0" xfId="2" applyNumberFormat="1" applyFont="1" applyBorder="1"/>
    <xf numFmtId="42" fontId="0" fillId="0" borderId="64" xfId="2" applyNumberFormat="1" applyFont="1" applyBorder="1"/>
    <xf numFmtId="42" fontId="0" fillId="0" borderId="9" xfId="2" applyNumberFormat="1" applyFont="1" applyBorder="1"/>
    <xf numFmtId="42" fontId="0" fillId="0" borderId="5" xfId="2" applyNumberFormat="1" applyFont="1" applyBorder="1"/>
    <xf numFmtId="42" fontId="0" fillId="0" borderId="16" xfId="2" applyNumberFormat="1" applyFont="1" applyBorder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8" fillId="6" borderId="0" xfId="0" applyFont="1" applyFill="1" applyAlignment="1">
      <alignment vertical="center"/>
    </xf>
    <xf numFmtId="3" fontId="20" fillId="8" borderId="10" xfId="0" applyNumberFormat="1" applyFont="1" applyFill="1" applyBorder="1" applyAlignment="1">
      <alignment horizontal="center"/>
    </xf>
    <xf numFmtId="0" fontId="19" fillId="8" borderId="10" xfId="0" applyFont="1" applyFill="1" applyBorder="1" applyAlignment="1">
      <alignment horizontal="center"/>
    </xf>
    <xf numFmtId="165" fontId="20" fillId="8" borderId="10" xfId="0" applyNumberFormat="1" applyFont="1" applyFill="1" applyBorder="1" applyAlignment="1">
      <alignment horizontal="right"/>
    </xf>
    <xf numFmtId="14" fontId="0" fillId="0" borderId="62" xfId="0" applyNumberFormat="1" applyBorder="1" applyAlignment="1">
      <alignment horizontal="left"/>
    </xf>
    <xf numFmtId="0" fontId="0" fillId="18" borderId="29" xfId="0" applyFill="1" applyBorder="1"/>
    <xf numFmtId="0" fontId="0" fillId="0" borderId="29" xfId="0" applyBorder="1"/>
    <xf numFmtId="0" fontId="0" fillId="0" borderId="62" xfId="0" applyBorder="1"/>
    <xf numFmtId="0" fontId="0" fillId="0" borderId="51" xfId="0" applyBorder="1"/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14" fontId="0" fillId="0" borderId="26" xfId="0" applyNumberFormat="1" applyBorder="1" applyAlignment="1">
      <alignment horizontal="left"/>
    </xf>
    <xf numFmtId="0" fontId="0" fillId="21" borderId="27" xfId="0" applyFill="1" applyBorder="1"/>
    <xf numFmtId="0" fontId="0" fillId="0" borderId="27" xfId="0" applyBorder="1"/>
    <xf numFmtId="0" fontId="0" fillId="0" borderId="26" xfId="0" applyBorder="1"/>
    <xf numFmtId="0" fontId="0" fillId="0" borderId="10" xfId="0" applyBorder="1"/>
    <xf numFmtId="14" fontId="0" fillId="0" borderId="54" xfId="0" applyNumberFormat="1" applyBorder="1" applyAlignment="1">
      <alignment horizontal="left"/>
    </xf>
    <xf numFmtId="0" fontId="0" fillId="7" borderId="28" xfId="0" applyFill="1" applyBorder="1"/>
    <xf numFmtId="0" fontId="0" fillId="0" borderId="28" xfId="0" applyBorder="1"/>
    <xf numFmtId="0" fontId="0" fillId="0" borderId="54" xfId="0" applyBorder="1"/>
    <xf numFmtId="0" fontId="0" fillId="0" borderId="15" xfId="0" applyBorder="1"/>
    <xf numFmtId="0" fontId="0" fillId="0" borderId="21" xfId="0" applyBorder="1"/>
    <xf numFmtId="0" fontId="0" fillId="0" borderId="35" xfId="0" applyBorder="1"/>
    <xf numFmtId="1" fontId="0" fillId="0" borderId="9" xfId="0" applyNumberFormat="1" applyBorder="1"/>
    <xf numFmtId="1" fontId="0" fillId="0" borderId="5" xfId="0" applyNumberFormat="1" applyBorder="1"/>
    <xf numFmtId="1" fontId="0" fillId="0" borderId="16" xfId="0" applyNumberFormat="1" applyBorder="1"/>
    <xf numFmtId="14" fontId="0" fillId="0" borderId="22" xfId="0" applyNumberFormat="1" applyBorder="1" applyAlignment="1">
      <alignment horizontal="left"/>
    </xf>
    <xf numFmtId="0" fontId="0" fillId="0" borderId="49" xfId="0" applyBorder="1"/>
    <xf numFmtId="0" fontId="0" fillId="0" borderId="75" xfId="0" applyBorder="1"/>
    <xf numFmtId="0" fontId="0" fillId="0" borderId="12" xfId="0" applyBorder="1"/>
    <xf numFmtId="1" fontId="0" fillId="0" borderId="52" xfId="0" applyNumberFormat="1" applyBorder="1"/>
    <xf numFmtId="1" fontId="0" fillId="0" borderId="4" xfId="0" applyNumberFormat="1" applyBorder="1"/>
    <xf numFmtId="1" fontId="0" fillId="0" borderId="48" xfId="0" applyNumberFormat="1" applyBorder="1"/>
    <xf numFmtId="14" fontId="0" fillId="0" borderId="23" xfId="0" applyNumberFormat="1" applyBorder="1" applyAlignment="1">
      <alignment horizontal="left"/>
    </xf>
    <xf numFmtId="14" fontId="0" fillId="0" borderId="24" xfId="0" applyNumberFormat="1" applyBorder="1" applyAlignment="1">
      <alignment horizontal="left"/>
    </xf>
    <xf numFmtId="0" fontId="0" fillId="0" borderId="9" xfId="0" applyBorder="1"/>
    <xf numFmtId="0" fontId="0" fillId="0" borderId="59" xfId="0" applyBorder="1"/>
    <xf numFmtId="0" fontId="0" fillId="0" borderId="77" xfId="0" applyBorder="1"/>
    <xf numFmtId="0" fontId="0" fillId="18" borderId="49" xfId="0" applyFill="1" applyBorder="1"/>
    <xf numFmtId="49" fontId="18" fillId="25" borderId="60" xfId="0" applyNumberFormat="1" applyFont="1" applyFill="1" applyBorder="1" applyAlignment="1">
      <alignment horizontal="center" vertical="center" wrapText="1"/>
    </xf>
    <xf numFmtId="49" fontId="18" fillId="25" borderId="77" xfId="0" applyNumberFormat="1" applyFont="1" applyFill="1" applyBorder="1" applyAlignment="1">
      <alignment horizontal="center" vertical="center" wrapText="1"/>
    </xf>
    <xf numFmtId="49" fontId="18" fillId="25" borderId="25" xfId="0" applyNumberFormat="1" applyFont="1" applyFill="1" applyBorder="1" applyAlignment="1">
      <alignment horizontal="center" vertical="center" wrapText="1"/>
    </xf>
    <xf numFmtId="0" fontId="18" fillId="4" borderId="83" xfId="0" applyFont="1" applyFill="1" applyBorder="1" applyAlignment="1">
      <alignment horizontal="center" vertical="center" wrapText="1"/>
    </xf>
    <xf numFmtId="0" fontId="18" fillId="4" borderId="90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 wrapText="1"/>
    </xf>
    <xf numFmtId="0" fontId="18" fillId="23" borderId="59" xfId="0" applyFont="1" applyFill="1" applyBorder="1" applyAlignment="1">
      <alignment horizontal="center" vertical="center" wrapText="1"/>
    </xf>
    <xf numFmtId="0" fontId="18" fillId="23" borderId="77" xfId="0" applyFont="1" applyFill="1" applyBorder="1" applyAlignment="1">
      <alignment horizontal="center" vertical="center" wrapText="1"/>
    </xf>
    <xf numFmtId="0" fontId="18" fillId="24" borderId="84" xfId="0" applyFont="1" applyFill="1" applyBorder="1" applyAlignment="1">
      <alignment horizontal="center" vertical="center" wrapText="1"/>
    </xf>
    <xf numFmtId="0" fontId="18" fillId="24" borderId="85" xfId="0" applyFont="1" applyFill="1" applyBorder="1" applyAlignment="1">
      <alignment horizontal="center" vertical="center" wrapText="1"/>
    </xf>
    <xf numFmtId="0" fontId="18" fillId="20" borderId="87" xfId="0" applyFont="1" applyFill="1" applyBorder="1" applyAlignment="1">
      <alignment horizontal="center" vertical="center" wrapText="1"/>
    </xf>
    <xf numFmtId="0" fontId="18" fillId="20" borderId="77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center" vertical="center" wrapText="1"/>
    </xf>
    <xf numFmtId="0" fontId="18" fillId="21" borderId="5" xfId="0" applyFont="1" applyFill="1" applyBorder="1" applyAlignment="1">
      <alignment horizontal="center" vertical="center" wrapText="1"/>
    </xf>
    <xf numFmtId="0" fontId="18" fillId="21" borderId="59" xfId="0" applyFont="1" applyFill="1" applyBorder="1" applyAlignment="1">
      <alignment horizontal="center" vertical="center" wrapText="1"/>
    </xf>
    <xf numFmtId="0" fontId="18" fillId="21" borderId="77" xfId="0" applyFont="1" applyFill="1" applyBorder="1" applyAlignment="1">
      <alignment horizontal="center" vertical="center" wrapText="1"/>
    </xf>
    <xf numFmtId="0" fontId="18" fillId="21" borderId="2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59" xfId="0" applyFont="1" applyFill="1" applyBorder="1" applyAlignment="1">
      <alignment horizontal="center" vertical="center" wrapText="1"/>
    </xf>
    <xf numFmtId="0" fontId="18" fillId="5" borderId="77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21" borderId="9" xfId="0" applyFont="1" applyFill="1" applyBorder="1" applyAlignment="1">
      <alignment horizontal="center" vertical="center" wrapText="1"/>
    </xf>
    <xf numFmtId="0" fontId="18" fillId="0" borderId="0" xfId="0" applyFont="1"/>
    <xf numFmtId="1" fontId="0" fillId="0" borderId="63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0" fontId="0" fillId="21" borderId="5" xfId="0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21" borderId="1" xfId="0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" fontId="0" fillId="0" borderId="34" xfId="0" applyNumberFormat="1" applyBorder="1" applyAlignment="1">
      <alignment horizontal="left"/>
    </xf>
    <xf numFmtId="1" fontId="0" fillId="0" borderId="31" xfId="0" applyNumberFormat="1" applyBorder="1" applyAlignment="1">
      <alignment horizontal="left"/>
    </xf>
    <xf numFmtId="1" fontId="0" fillId="0" borderId="35" xfId="0" applyNumberFormat="1" applyBorder="1" applyAlignment="1">
      <alignment horizontal="left"/>
    </xf>
    <xf numFmtId="1" fontId="0" fillId="0" borderId="27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1" fontId="0" fillId="0" borderId="49" xfId="0" applyNumberFormat="1" applyBorder="1" applyAlignment="1">
      <alignment horizontal="left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18" fillId="24" borderId="74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90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89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14" fontId="0" fillId="0" borderId="94" xfId="0" applyNumberFormat="1" applyBorder="1" applyAlignment="1">
      <alignment horizontal="left"/>
    </xf>
    <xf numFmtId="1" fontId="0" fillId="0" borderId="86" xfId="0" applyNumberFormat="1" applyBorder="1" applyAlignment="1">
      <alignment horizontal="left"/>
    </xf>
    <xf numFmtId="0" fontId="0" fillId="0" borderId="86" xfId="0" applyBorder="1"/>
    <xf numFmtId="0" fontId="0" fillId="0" borderId="95" xfId="0" applyBorder="1"/>
    <xf numFmtId="1" fontId="0" fillId="0" borderId="94" xfId="0" applyNumberFormat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20" fillId="8" borderId="10" xfId="0" applyNumberFormat="1" applyFont="1" applyFill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71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42" fontId="0" fillId="0" borderId="0" xfId="2" applyNumberFormat="1" applyFont="1"/>
    <xf numFmtId="2" fontId="0" fillId="0" borderId="69" xfId="0" applyNumberFormat="1" applyBorder="1" applyAlignment="1">
      <alignment horizontal="center"/>
    </xf>
    <xf numFmtId="49" fontId="12" fillId="7" borderId="61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0" fontId="18" fillId="29" borderId="83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/>
    </xf>
    <xf numFmtId="0" fontId="13" fillId="4" borderId="48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1" xfId="0" applyNumberFormat="1" applyFill="1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11" fillId="31" borderId="31" xfId="0" applyNumberFormat="1" applyFont="1" applyFill="1" applyBorder="1" applyAlignment="1">
      <alignment horizontal="center"/>
    </xf>
    <xf numFmtId="3" fontId="11" fillId="31" borderId="35" xfId="0" applyNumberFormat="1" applyFont="1" applyFill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14" fontId="0" fillId="0" borderId="69" xfId="0" applyNumberFormat="1" applyBorder="1" applyAlignment="1">
      <alignment horizontal="left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14" fontId="0" fillId="0" borderId="67" xfId="0" applyNumberFormat="1" applyBorder="1" applyAlignment="1">
      <alignment horizontal="left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10" xfId="0" applyNumberFormat="1" applyFont="1" applyFill="1" applyBorder="1" applyAlignment="1">
      <alignment horizontal="center" vertical="center"/>
    </xf>
    <xf numFmtId="3" fontId="11" fillId="18" borderId="89" xfId="0" applyNumberFormat="1" applyFont="1" applyFill="1" applyBorder="1" applyAlignment="1">
      <alignment horizontal="center" vertical="center"/>
    </xf>
    <xf numFmtId="3" fontId="11" fillId="18" borderId="11" xfId="0" applyNumberFormat="1" applyFont="1" applyFill="1" applyBorder="1" applyAlignment="1">
      <alignment horizontal="right"/>
    </xf>
    <xf numFmtId="3" fontId="11" fillId="18" borderId="12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18" borderId="15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3" fontId="11" fillId="31" borderId="72" xfId="0" applyNumberFormat="1" applyFont="1" applyFill="1" applyBorder="1" applyAlignment="1">
      <alignment horizontal="center"/>
    </xf>
    <xf numFmtId="0" fontId="0" fillId="29" borderId="0" xfId="0" applyFill="1"/>
    <xf numFmtId="3" fontId="11" fillId="14" borderId="24" xfId="0" applyNumberFormat="1" applyFont="1" applyFill="1" applyBorder="1" applyAlignment="1">
      <alignment horizontal="center"/>
    </xf>
    <xf numFmtId="3" fontId="11" fillId="14" borderId="35" xfId="0" applyNumberFormat="1" applyFont="1" applyFill="1" applyBorder="1" applyAlignment="1">
      <alignment horizontal="center"/>
    </xf>
    <xf numFmtId="3" fontId="11" fillId="14" borderId="19" xfId="0" applyNumberFormat="1" applyFont="1" applyFill="1" applyBorder="1"/>
    <xf numFmtId="0" fontId="0" fillId="32" borderId="0" xfId="0" applyFill="1"/>
    <xf numFmtId="0" fontId="0" fillId="0" borderId="96" xfId="0" applyBorder="1"/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3" fontId="11" fillId="31" borderId="24" xfId="0" applyNumberFormat="1" applyFont="1" applyFill="1" applyBorder="1" applyAlignment="1">
      <alignment horizontal="center"/>
    </xf>
    <xf numFmtId="3" fontId="11" fillId="31" borderId="22" xfId="0" applyNumberFormat="1" applyFont="1" applyFill="1" applyBorder="1" applyAlignment="1">
      <alignment horizontal="center"/>
    </xf>
    <xf numFmtId="14" fontId="0" fillId="0" borderId="31" xfId="0" applyNumberFormat="1" applyBorder="1" applyAlignment="1">
      <alignment horizontal="left"/>
    </xf>
    <xf numFmtId="3" fontId="0" fillId="18" borderId="97" xfId="0" applyNumberFormat="1" applyFill="1" applyBorder="1" applyAlignment="1">
      <alignment horizontal="center" vertical="center"/>
    </xf>
    <xf numFmtId="3" fontId="11" fillId="18" borderId="31" xfId="0" applyNumberFormat="1" applyFont="1" applyFill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/>
    </xf>
    <xf numFmtId="3" fontId="11" fillId="0" borderId="98" xfId="0" applyNumberFormat="1" applyFont="1" applyBorder="1"/>
    <xf numFmtId="165" fontId="11" fillId="0" borderId="98" xfId="0" applyNumberFormat="1" applyFont="1" applyBorder="1"/>
    <xf numFmtId="3" fontId="11" fillId="14" borderId="22" xfId="0" applyNumberFormat="1" applyFont="1" applyFill="1" applyBorder="1" applyAlignment="1">
      <alignment horizontal="center"/>
    </xf>
    <xf numFmtId="3" fontId="11" fillId="14" borderId="72" xfId="0" applyNumberFormat="1" applyFont="1" applyFill="1" applyBorder="1" applyAlignment="1">
      <alignment horizontal="center"/>
    </xf>
    <xf numFmtId="3" fontId="20" fillId="31" borderId="10" xfId="0" applyNumberFormat="1" applyFont="1" applyFill="1" applyBorder="1" applyAlignment="1">
      <alignment horizontal="center"/>
    </xf>
    <xf numFmtId="165" fontId="20" fillId="31" borderId="10" xfId="0" applyNumberFormat="1" applyFont="1" applyFill="1" applyBorder="1" applyAlignment="1">
      <alignment horizontal="right"/>
    </xf>
    <xf numFmtId="0" fontId="0" fillId="11" borderId="0" xfId="0" applyFill="1" applyAlignment="1">
      <alignment horizontal="center"/>
    </xf>
    <xf numFmtId="3" fontId="0" fillId="0" borderId="0" xfId="0" applyNumberFormat="1" applyAlignment="1">
      <alignment vertical="center"/>
    </xf>
    <xf numFmtId="3" fontId="11" fillId="18" borderId="0" xfId="0" applyNumberFormat="1" applyFont="1" applyFill="1" applyAlignment="1">
      <alignment horizontal="center" vertical="center"/>
    </xf>
    <xf numFmtId="3" fontId="0" fillId="11" borderId="10" xfId="0" applyNumberFormat="1" applyFill="1" applyBorder="1" applyAlignment="1">
      <alignment horizontal="center" vertical="center" wrapText="1"/>
    </xf>
    <xf numFmtId="0" fontId="0" fillId="21" borderId="90" xfId="0" applyFill="1" applyBorder="1"/>
    <xf numFmtId="165" fontId="0" fillId="21" borderId="0" xfId="0" applyNumberFormat="1" applyFill="1"/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90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0" fontId="0" fillId="18" borderId="90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90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90" xfId="0" applyFill="1" applyBorder="1" applyAlignment="1">
      <alignment horizontal="center"/>
    </xf>
    <xf numFmtId="0" fontId="0" fillId="21" borderId="90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0" fontId="0" fillId="11" borderId="10" xfId="0" applyFill="1" applyBorder="1" applyAlignment="1">
      <alignment horizont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3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3" xfId="0" applyNumberFormat="1" applyFont="1" applyFill="1" applyBorder="1"/>
    <xf numFmtId="3" fontId="0" fillId="8" borderId="5" xfId="0" applyNumberFormat="1" applyFill="1" applyBorder="1" applyAlignment="1">
      <alignment horizontal="center"/>
    </xf>
    <xf numFmtId="14" fontId="0" fillId="8" borderId="10" xfId="0" applyNumberForma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90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90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11" borderId="10" xfId="0" applyFill="1" applyBorder="1" applyAlignment="1">
      <alignment horizontal="center" wrapText="1"/>
    </xf>
    <xf numFmtId="0" fontId="0" fillId="20" borderId="10" xfId="0" applyFill="1" applyBorder="1" applyAlignment="1">
      <alignment horizontal="center" wrapText="1"/>
    </xf>
    <xf numFmtId="0" fontId="0" fillId="5" borderId="90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0" fontId="0" fillId="11" borderId="10" xfId="0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0" fontId="0" fillId="28" borderId="10" xfId="0" applyFill="1" applyBorder="1" applyAlignment="1">
      <alignment horizontal="center" wrapText="1"/>
    </xf>
    <xf numFmtId="3" fontId="11" fillId="8" borderId="0" xfId="0" applyNumberFormat="1" applyFont="1" applyFill="1" applyAlignment="1">
      <alignment horizontal="right"/>
    </xf>
    <xf numFmtId="166" fontId="0" fillId="8" borderId="10" xfId="0" applyNumberFormat="1" applyFill="1" applyBorder="1" applyAlignment="1">
      <alignment horizontal="center"/>
    </xf>
    <xf numFmtId="166" fontId="17" fillId="30" borderId="10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20" fillId="27" borderId="10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15" fillId="22" borderId="0" xfId="0" applyFont="1" applyFill="1" applyAlignment="1">
      <alignment horizontal="center" vertical="top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0" fontId="0" fillId="0" borderId="0" xfId="0" applyNumberFormat="1"/>
    <xf numFmtId="3" fontId="0" fillId="0" borderId="0" xfId="0" applyNumberFormat="1" applyBorder="1" applyAlignment="1">
      <alignment horizontal="center"/>
    </xf>
    <xf numFmtId="3" fontId="0" fillId="8" borderId="0" xfId="0" applyNumberFormat="1" applyFill="1" applyBorder="1" applyAlignment="1">
      <alignment horizontal="center"/>
    </xf>
    <xf numFmtId="0" fontId="0" fillId="8" borderId="6" xfId="0" applyNumberFormat="1" applyFont="1" applyFill="1" applyBorder="1" applyAlignment="1">
      <alignment horizontal="center"/>
    </xf>
    <xf numFmtId="0" fontId="0" fillId="8" borderId="1" xfId="0" applyNumberFormat="1" applyFont="1" applyFill="1" applyBorder="1" applyAlignment="1">
      <alignment horizontal="center"/>
    </xf>
    <xf numFmtId="0" fontId="0" fillId="8" borderId="7" xfId="0" applyNumberFormat="1" applyFont="1" applyFill="1" applyBorder="1"/>
    <xf numFmtId="0" fontId="0" fillId="8" borderId="90" xfId="0" applyFont="1" applyFill="1" applyBorder="1"/>
    <xf numFmtId="3" fontId="0" fillId="11" borderId="10" xfId="0" applyNumberFormat="1" applyFont="1" applyFill="1" applyBorder="1" applyAlignment="1">
      <alignment horizontal="center" vertical="center" wrapText="1"/>
    </xf>
    <xf numFmtId="0" fontId="0" fillId="0" borderId="5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8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64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0" fontId="0" fillId="21" borderId="90" xfId="0" applyFill="1" applyBorder="1" applyAlignment="1"/>
    <xf numFmtId="0" fontId="0" fillId="15" borderId="22" xfId="0" applyFill="1" applyBorder="1" applyAlignment="1"/>
  </cellXfs>
  <cellStyles count="10">
    <cellStyle name="Millares 2" xfId="5" xr:uid="{2C68F984-66DD-4E9A-9396-C2F9F3FE6657}"/>
    <cellStyle name="Millares 2 2" xfId="8" xr:uid="{5C4E6260-3C4B-48D6-869C-9EEB6A24DE57}"/>
    <cellStyle name="Moneda" xfId="2" builtinId="4"/>
    <cellStyle name="Moneda 2" xfId="6" xr:uid="{2D6706FF-A95C-4230-993C-F7065A8E9301}"/>
    <cellStyle name="Moneda 2 2" xfId="9" xr:uid="{38DE91AA-B5B9-4ABC-87E6-171D728F1004}"/>
    <cellStyle name="Moneda 3" xfId="7" xr:uid="{DADF0C24-D6F3-4558-BFED-4FD4DCF85602}"/>
    <cellStyle name="Normal" xfId="0" builtinId="0"/>
    <cellStyle name="Normal 2" xfId="3" xr:uid="{9A1E587F-2BA3-4FF7-B696-67E326A2487C}"/>
    <cellStyle name="Normal 3" xfId="4" xr:uid="{F3EA175A-61D6-4DB8-A9C2-FE2C6568079F}"/>
    <cellStyle name="Porcentaje 2" xfId="1" xr:uid="{9BABFD08-0A55-4FCC-BE37-D74FD39BB202}"/>
  </cellStyles>
  <dxfs count="599"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0" formatCode="General"/>
      <alignment horizontal="center" textRotation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>
        <left style="thin">
          <color indexed="64"/>
        </left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wrapText="1"/>
    </dxf>
    <dxf>
      <numFmt numFmtId="3" formatCode="#,##0"/>
    </dxf>
    <dxf>
      <fill>
        <patternFill patternType="solid">
          <fgColor indexed="64"/>
          <bgColor theme="8" tint="0.79998168889431442"/>
        </patternFill>
      </fill>
    </dxf>
    <dxf>
      <alignment horizontal="center"/>
    </dxf>
    <dxf>
      <alignment wrapText="1"/>
    </dxf>
    <dxf>
      <alignment wrapText="1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4" tint="0.79998168889431442"/>
        </patternFill>
      </fill>
    </dxf>
    <dxf>
      <fill>
        <patternFill>
          <bgColor theme="8" tint="0.79998168889431442"/>
        </patternFill>
      </fill>
    </dxf>
    <dxf>
      <alignment wrapText="1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>
          <fgColor indexed="64"/>
          <bgColor theme="8" tint="0.79998168889431442"/>
        </patternFill>
      </fill>
      <alignment wrapText="1"/>
    </dxf>
    <dxf>
      <numFmt numFmtId="166" formatCode="&quot;$&quot;\ #,##0"/>
    </dxf>
    <dxf>
      <font>
        <b/>
        <sz val="18"/>
      </font>
      <fill>
        <patternFill>
          <fgColor theme="0" tint="-0.14999847407452621"/>
        </patternFill>
      </fill>
      <alignment horizontal="center" vertical="center"/>
    </dxf>
    <dxf>
      <font>
        <b/>
        <sz val="18"/>
      </font>
      <fill>
        <patternFill>
          <fgColor theme="0" tint="-0.14999847407452621"/>
        </patternFill>
      </fill>
      <alignment horizontal="center" vertical="center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ENERO 2026.xlsx]DB QUIMICA!TablaDinámica2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QUIMÍCA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QUIMICA'!$N$4</c:f>
              <c:strCache>
                <c:ptCount val="1"/>
                <c:pt idx="0">
                  <c:v> COF 235 - PPM COAGULANTE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  <c:pt idx="31">
                  <c:v>(en blanco)</c:v>
                </c:pt>
              </c:strCache>
            </c:strRef>
          </c:cat>
          <c:val>
            <c:numRef>
              <c:f>'DB QUIMICA'!$N$5:$N$37</c:f>
              <c:numCache>
                <c:formatCode>#,##0</c:formatCode>
                <c:ptCount val="32"/>
                <c:pt idx="0">
                  <c:v>0</c:v>
                </c:pt>
                <c:pt idx="1">
                  <c:v>325.0878863336751</c:v>
                </c:pt>
                <c:pt idx="2">
                  <c:v>789.90101212323418</c:v>
                </c:pt>
                <c:pt idx="3">
                  <c:v>0</c:v>
                </c:pt>
                <c:pt idx="4">
                  <c:v>289.82525172686348</c:v>
                </c:pt>
                <c:pt idx="5">
                  <c:v>611.97970522948799</c:v>
                </c:pt>
                <c:pt idx="6">
                  <c:v>1059.2411406753372</c:v>
                </c:pt>
                <c:pt idx="7">
                  <c:v>760.68752239550054</c:v>
                </c:pt>
                <c:pt idx="8">
                  <c:v>734.18332184700205</c:v>
                </c:pt>
                <c:pt idx="9">
                  <c:v>356.75892901994268</c:v>
                </c:pt>
                <c:pt idx="10">
                  <c:v>0</c:v>
                </c:pt>
                <c:pt idx="11">
                  <c:v>0</c:v>
                </c:pt>
                <c:pt idx="12">
                  <c:v>581.97849744329346</c:v>
                </c:pt>
                <c:pt idx="13">
                  <c:v>509.25426016534499</c:v>
                </c:pt>
                <c:pt idx="14">
                  <c:v>456.83102750126534</c:v>
                </c:pt>
                <c:pt idx="15">
                  <c:v>555.39914914914914</c:v>
                </c:pt>
                <c:pt idx="16">
                  <c:v>173.41830879300659</c:v>
                </c:pt>
                <c:pt idx="17">
                  <c:v>0</c:v>
                </c:pt>
                <c:pt idx="18">
                  <c:v>435.07716904882415</c:v>
                </c:pt>
                <c:pt idx="19">
                  <c:v>582.48036293421808</c:v>
                </c:pt>
                <c:pt idx="20">
                  <c:v>416.05740209587009</c:v>
                </c:pt>
                <c:pt idx="21">
                  <c:v>665.69184335339207</c:v>
                </c:pt>
                <c:pt idx="22">
                  <c:v>953.14968480144773</c:v>
                </c:pt>
                <c:pt idx="23">
                  <c:v>249.63444125752207</c:v>
                </c:pt>
                <c:pt idx="24">
                  <c:v>0</c:v>
                </c:pt>
                <c:pt idx="25">
                  <c:v>584.14459254260157</c:v>
                </c:pt>
                <c:pt idx="26">
                  <c:v>449.34199426353968</c:v>
                </c:pt>
                <c:pt idx="27">
                  <c:v>160.4792836655499</c:v>
                </c:pt>
                <c:pt idx="28">
                  <c:v>639.06416961925652</c:v>
                </c:pt>
                <c:pt idx="29">
                  <c:v>509.25426016534499</c:v>
                </c:pt>
                <c:pt idx="30">
                  <c:v>571.88981088086871</c:v>
                </c:pt>
                <c:pt idx="31">
                  <c:v>-5.7645584582125418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791-AEF5-6F0BB149EC90}"/>
            </c:ext>
          </c:extLst>
        </c:ser>
        <c:ser>
          <c:idx val="2"/>
          <c:order val="2"/>
          <c:tx>
            <c:strRef>
              <c:f>'DB QUIMICA'!$O$4</c:f>
              <c:strCache>
                <c:ptCount val="1"/>
                <c:pt idx="0">
                  <c:v> COF 255 - PPM DECOLORANTE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  <c:pt idx="31">
                  <c:v>(en blanco)</c:v>
                </c:pt>
              </c:strCache>
            </c:strRef>
          </c:cat>
          <c:val>
            <c:numRef>
              <c:f>'DB QUIMICA'!$O$5:$O$37</c:f>
              <c:numCache>
                <c:formatCode>#,##0</c:formatCode>
                <c:ptCount val="32"/>
                <c:pt idx="0">
                  <c:v>0</c:v>
                </c:pt>
                <c:pt idx="1">
                  <c:v>184.01201113226892</c:v>
                </c:pt>
                <c:pt idx="2">
                  <c:v>232.8717606495384</c:v>
                </c:pt>
                <c:pt idx="3">
                  <c:v>0</c:v>
                </c:pt>
                <c:pt idx="4">
                  <c:v>143.90528884154094</c:v>
                </c:pt>
                <c:pt idx="5">
                  <c:v>230.93573782244829</c:v>
                </c:pt>
                <c:pt idx="6">
                  <c:v>199.85681899534663</c:v>
                </c:pt>
                <c:pt idx="7">
                  <c:v>208.76501472260736</c:v>
                </c:pt>
                <c:pt idx="8">
                  <c:v>243.70166168925644</c:v>
                </c:pt>
                <c:pt idx="9">
                  <c:v>168.28251368865222</c:v>
                </c:pt>
                <c:pt idx="10">
                  <c:v>0</c:v>
                </c:pt>
                <c:pt idx="11">
                  <c:v>0</c:v>
                </c:pt>
                <c:pt idx="12">
                  <c:v>202.72110215731558</c:v>
                </c:pt>
                <c:pt idx="13">
                  <c:v>247.27939935886619</c:v>
                </c:pt>
                <c:pt idx="14">
                  <c:v>105.97688543951408</c:v>
                </c:pt>
                <c:pt idx="15">
                  <c:v>165.92112946279613</c:v>
                </c:pt>
                <c:pt idx="16">
                  <c:v>61.350816789978751</c:v>
                </c:pt>
                <c:pt idx="17">
                  <c:v>0</c:v>
                </c:pt>
                <c:pt idx="18">
                  <c:v>168.21727847541916</c:v>
                </c:pt>
                <c:pt idx="19">
                  <c:v>31.400558648744909</c:v>
                </c:pt>
                <c:pt idx="20">
                  <c:v>164.85293290591079</c:v>
                </c:pt>
                <c:pt idx="21">
                  <c:v>188.40335189246946</c:v>
                </c:pt>
                <c:pt idx="22">
                  <c:v>141.30251391935209</c:v>
                </c:pt>
                <c:pt idx="23">
                  <c:v>62.801117297489832</c:v>
                </c:pt>
                <c:pt idx="24">
                  <c:v>0</c:v>
                </c:pt>
                <c:pt idx="25">
                  <c:v>226.08402227096337</c:v>
                </c:pt>
                <c:pt idx="26">
                  <c:v>141.30251391935209</c:v>
                </c:pt>
                <c:pt idx="27">
                  <c:v>80.744293668201209</c:v>
                </c:pt>
                <c:pt idx="28">
                  <c:v>113.04201113548169</c:v>
                </c:pt>
                <c:pt idx="29">
                  <c:v>160.14284910859905</c:v>
                </c:pt>
                <c:pt idx="30">
                  <c:v>256.91366167154928</c:v>
                </c:pt>
                <c:pt idx="31">
                  <c:v>-1.2672494863587438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C-4791-AEF5-6F0BB149EC90}"/>
            </c:ext>
          </c:extLst>
        </c:ser>
        <c:ser>
          <c:idx val="3"/>
          <c:order val="3"/>
          <c:tx>
            <c:strRef>
              <c:f>'DB QUIMICA'!$P$4</c:f>
              <c:strCache>
                <c:ptCount val="1"/>
                <c:pt idx="0">
                  <c:v>COF 280 - PPM ACIDO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  <c:pt idx="31">
                  <c:v>(en blanco)</c:v>
                </c:pt>
              </c:strCache>
            </c:strRef>
          </c:cat>
          <c:val>
            <c:numRef>
              <c:f>'DB QUIMICA'!$P$5:$P$37</c:f>
              <c:numCache>
                <c:formatCode>#,##0</c:formatCode>
                <c:ptCount val="32"/>
                <c:pt idx="0">
                  <c:v>0</c:v>
                </c:pt>
                <c:pt idx="1">
                  <c:v>255.16332210341292</c:v>
                </c:pt>
                <c:pt idx="2">
                  <c:v>387.49860972083189</c:v>
                </c:pt>
                <c:pt idx="3">
                  <c:v>0</c:v>
                </c:pt>
                <c:pt idx="4">
                  <c:v>164.62765043472285</c:v>
                </c:pt>
                <c:pt idx="5">
                  <c:v>504.36365140422708</c:v>
                </c:pt>
                <c:pt idx="6">
                  <c:v>386.00917040244087</c:v>
                </c:pt>
                <c:pt idx="7">
                  <c:v>447.80095657999277</c:v>
                </c:pt>
                <c:pt idx="8">
                  <c:v>280.12864691017688</c:v>
                </c:pt>
                <c:pt idx="9">
                  <c:v>87.50690711809915</c:v>
                </c:pt>
                <c:pt idx="10">
                  <c:v>0</c:v>
                </c:pt>
                <c:pt idx="11">
                  <c:v>0</c:v>
                </c:pt>
                <c:pt idx="12">
                  <c:v>412.87531139373272</c:v>
                </c:pt>
                <c:pt idx="13">
                  <c:v>205.73646026657667</c:v>
                </c:pt>
                <c:pt idx="14">
                  <c:v>146.95461447612618</c:v>
                </c:pt>
                <c:pt idx="15">
                  <c:v>190.72197197197195</c:v>
                </c:pt>
                <c:pt idx="16">
                  <c:v>202.04868996166334</c:v>
                </c:pt>
                <c:pt idx="17">
                  <c:v>0</c:v>
                </c:pt>
                <c:pt idx="18">
                  <c:v>209.93516353732312</c:v>
                </c:pt>
                <c:pt idx="19">
                  <c:v>244.9243574602103</c:v>
                </c:pt>
                <c:pt idx="20">
                  <c:v>163.28290497347356</c:v>
                </c:pt>
                <c:pt idx="21">
                  <c:v>130.62632397877883</c:v>
                </c:pt>
                <c:pt idx="22">
                  <c:v>26.719020813841123</c:v>
                </c:pt>
                <c:pt idx="23">
                  <c:v>48.984871492042068</c:v>
                </c:pt>
                <c:pt idx="24">
                  <c:v>0</c:v>
                </c:pt>
                <c:pt idx="25">
                  <c:v>205.73646026657667</c:v>
                </c:pt>
                <c:pt idx="26">
                  <c:v>146.95461447612618</c:v>
                </c:pt>
                <c:pt idx="27">
                  <c:v>136.45785629926004</c:v>
                </c:pt>
                <c:pt idx="28">
                  <c:v>274.31528035543556</c:v>
                </c:pt>
                <c:pt idx="29">
                  <c:v>284.11225465384399</c:v>
                </c:pt>
                <c:pt idx="30">
                  <c:v>360.70678098685522</c:v>
                </c:pt>
                <c:pt idx="31">
                  <c:v>-3.8054411065861506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C-4791-AEF5-6F0BB149E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53677104"/>
        <c:axId val="753677464"/>
      </c:barChart>
      <c:lineChart>
        <c:grouping val="standard"/>
        <c:varyColors val="0"/>
        <c:ser>
          <c:idx val="0"/>
          <c:order val="0"/>
          <c:tx>
            <c:strRef>
              <c:f>'DB QUIMICA'!$M$4</c:f>
              <c:strCache>
                <c:ptCount val="1"/>
                <c:pt idx="0">
                  <c:v> CAUDAL TOTAL TRATADO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  <c:pt idx="31">
                  <c:v>(en blanco)</c:v>
                </c:pt>
              </c:strCache>
            </c:strRef>
          </c:cat>
          <c:val>
            <c:numRef>
              <c:f>'DB QUIMICA'!$M$5:$M$37</c:f>
              <c:numCache>
                <c:formatCode>#,##0</c:formatCode>
                <c:ptCount val="32"/>
                <c:pt idx="0">
                  <c:v>0</c:v>
                </c:pt>
                <c:pt idx="1">
                  <c:v>815.16417910447763</c:v>
                </c:pt>
                <c:pt idx="2">
                  <c:v>268.38805970149258</c:v>
                </c:pt>
                <c:pt idx="3">
                  <c:v>0</c:v>
                </c:pt>
                <c:pt idx="4">
                  <c:v>868.62686567164178</c:v>
                </c:pt>
                <c:pt idx="5">
                  <c:v>1082.5522388059703</c:v>
                </c:pt>
                <c:pt idx="6">
                  <c:v>875.62686567164178</c:v>
                </c:pt>
                <c:pt idx="7">
                  <c:v>958.01492537313447</c:v>
                </c:pt>
                <c:pt idx="8">
                  <c:v>974.55223880597021</c:v>
                </c:pt>
                <c:pt idx="9">
                  <c:v>594.23880597014931</c:v>
                </c:pt>
                <c:pt idx="10">
                  <c:v>0</c:v>
                </c:pt>
                <c:pt idx="11">
                  <c:v>0</c:v>
                </c:pt>
                <c:pt idx="12">
                  <c:v>1479.8656716417913</c:v>
                </c:pt>
                <c:pt idx="13">
                  <c:v>1769.2537313432838</c:v>
                </c:pt>
                <c:pt idx="14">
                  <c:v>1769.2537313432838</c:v>
                </c:pt>
                <c:pt idx="15">
                  <c:v>1431.4029850746269</c:v>
                </c:pt>
                <c:pt idx="16">
                  <c:v>1222.4776119402986</c:v>
                </c:pt>
                <c:pt idx="17">
                  <c:v>0</c:v>
                </c:pt>
                <c:pt idx="18">
                  <c:v>1857.7164179104479</c:v>
                </c:pt>
                <c:pt idx="19">
                  <c:v>1592.3283582089555</c:v>
                </c:pt>
                <c:pt idx="20">
                  <c:v>1592.3283582089553</c:v>
                </c:pt>
                <c:pt idx="21">
                  <c:v>1592.3283582089555</c:v>
                </c:pt>
                <c:pt idx="22">
                  <c:v>973.08955223880616</c:v>
                </c:pt>
                <c:pt idx="23">
                  <c:v>796.16417910447763</c:v>
                </c:pt>
                <c:pt idx="24">
                  <c:v>0</c:v>
                </c:pt>
                <c:pt idx="25">
                  <c:v>884.62686567164189</c:v>
                </c:pt>
                <c:pt idx="26">
                  <c:v>1061.5522388059703</c:v>
                </c:pt>
                <c:pt idx="27">
                  <c:v>1238.4776119402986</c:v>
                </c:pt>
                <c:pt idx="28">
                  <c:v>1326.9402985074628</c:v>
                </c:pt>
                <c:pt idx="29">
                  <c:v>1326.9402985074628</c:v>
                </c:pt>
                <c:pt idx="30">
                  <c:v>973.08955223880605</c:v>
                </c:pt>
                <c:pt idx="31">
                  <c:v>-1489446.2537313434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0-40B1-B9D8-80EFFDC4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677104"/>
        <c:axId val="753677464"/>
      </c:lineChart>
      <c:lineChart>
        <c:grouping val="standard"/>
        <c:varyColors val="0"/>
        <c:ser>
          <c:idx val="4"/>
          <c:order val="4"/>
          <c:tx>
            <c:strRef>
              <c:f>'DB QUIMICA'!$Q$4</c:f>
              <c:strCache>
                <c:ptCount val="1"/>
                <c:pt idx="0">
                  <c:v> COF 440 - PPM POL ANIONICO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  <c:pt idx="31">
                  <c:v>(en blanco)</c:v>
                </c:pt>
              </c:strCache>
            </c:strRef>
          </c:cat>
          <c:val>
            <c:numRef>
              <c:f>'DB QUIMICA'!$Q$5:$Q$37</c:f>
              <c:numCache>
                <c:formatCode>#,##0</c:formatCode>
                <c:ptCount val="32"/>
                <c:pt idx="0">
                  <c:v>0</c:v>
                </c:pt>
                <c:pt idx="1">
                  <c:v>12.267467408817929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4.6187147564489663</c:v>
                </c:pt>
                <c:pt idx="6">
                  <c:v>5.7101948284384747</c:v>
                </c:pt>
                <c:pt idx="7">
                  <c:v>5.2191253680651837</c:v>
                </c:pt>
                <c:pt idx="8">
                  <c:v>5.1305612987211884</c:v>
                </c:pt>
                <c:pt idx="9">
                  <c:v>8.4141256844326104</c:v>
                </c:pt>
                <c:pt idx="10">
                  <c:v>0</c:v>
                </c:pt>
                <c:pt idx="11">
                  <c:v>0</c:v>
                </c:pt>
                <c:pt idx="12">
                  <c:v>3.3786850359552596</c:v>
                </c:pt>
                <c:pt idx="13">
                  <c:v>2.8260502783870418</c:v>
                </c:pt>
                <c:pt idx="14">
                  <c:v>2.8260502783870418</c:v>
                </c:pt>
                <c:pt idx="15">
                  <c:v>3.4930764097430762</c:v>
                </c:pt>
                <c:pt idx="16">
                  <c:v>4.0900544526652496</c:v>
                </c:pt>
                <c:pt idx="17">
                  <c:v>0</c:v>
                </c:pt>
                <c:pt idx="18">
                  <c:v>2.6914764556067068</c:v>
                </c:pt>
                <c:pt idx="19">
                  <c:v>6.2801117297489819</c:v>
                </c:pt>
                <c:pt idx="20">
                  <c:v>6.2801117297489828</c:v>
                </c:pt>
                <c:pt idx="21">
                  <c:v>3.140055864874491</c:v>
                </c:pt>
                <c:pt idx="22">
                  <c:v>10.276546466861969</c:v>
                </c:pt>
                <c:pt idx="23">
                  <c:v>6.2801117297489828</c:v>
                </c:pt>
                <c:pt idx="24">
                  <c:v>0</c:v>
                </c:pt>
                <c:pt idx="25">
                  <c:v>5.6521005567740836</c:v>
                </c:pt>
                <c:pt idx="26">
                  <c:v>9.4201675946234733</c:v>
                </c:pt>
                <c:pt idx="27">
                  <c:v>4.0372146834100597</c:v>
                </c:pt>
                <c:pt idx="28">
                  <c:v>3.7680670378493897</c:v>
                </c:pt>
                <c:pt idx="29">
                  <c:v>7.5361340756987794</c:v>
                </c:pt>
                <c:pt idx="30">
                  <c:v>5.1382732334309855</c:v>
                </c:pt>
                <c:pt idx="31">
                  <c:v>-0.11077942529758554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0C-4791-AEF5-6F0BB149EC90}"/>
            </c:ext>
          </c:extLst>
        </c:ser>
        <c:ser>
          <c:idx val="5"/>
          <c:order val="5"/>
          <c:tx>
            <c:strRef>
              <c:f>'DB QUIMICA'!$R$4</c:f>
              <c:strCache>
                <c:ptCount val="1"/>
                <c:pt idx="0">
                  <c:v> COF 494 - PPM POL CATIONICO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1/01/2026</c:v>
                </c:pt>
                <c:pt idx="1">
                  <c:v>2/01/2026</c:v>
                </c:pt>
                <c:pt idx="2">
                  <c:v>3/01/2026</c:v>
                </c:pt>
                <c:pt idx="3">
                  <c:v>4/01/2026</c:v>
                </c:pt>
                <c:pt idx="4">
                  <c:v>5/01/2026</c:v>
                </c:pt>
                <c:pt idx="5">
                  <c:v>6/01/2026</c:v>
                </c:pt>
                <c:pt idx="6">
                  <c:v>7/01/2026</c:v>
                </c:pt>
                <c:pt idx="7">
                  <c:v>8/01/2026</c:v>
                </c:pt>
                <c:pt idx="8">
                  <c:v>9/01/2026</c:v>
                </c:pt>
                <c:pt idx="9">
                  <c:v>10/01/2026</c:v>
                </c:pt>
                <c:pt idx="10">
                  <c:v>11/01/2026</c:v>
                </c:pt>
                <c:pt idx="11">
                  <c:v>12/01/2026</c:v>
                </c:pt>
                <c:pt idx="12">
                  <c:v>13/01/2026</c:v>
                </c:pt>
                <c:pt idx="13">
                  <c:v>14/01/2026</c:v>
                </c:pt>
                <c:pt idx="14">
                  <c:v>15/01/2026</c:v>
                </c:pt>
                <c:pt idx="15">
                  <c:v>16/01/2026</c:v>
                </c:pt>
                <c:pt idx="16">
                  <c:v>17/01/2026</c:v>
                </c:pt>
                <c:pt idx="17">
                  <c:v>18/01/2026</c:v>
                </c:pt>
                <c:pt idx="18">
                  <c:v>19/01/2026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22/01/2026</c:v>
                </c:pt>
                <c:pt idx="22">
                  <c:v>23/01/2026</c:v>
                </c:pt>
                <c:pt idx="23">
                  <c:v>24/01/2026</c:v>
                </c:pt>
                <c:pt idx="24">
                  <c:v>25/01/2026</c:v>
                </c:pt>
                <c:pt idx="25">
                  <c:v>26/01/2026</c:v>
                </c:pt>
                <c:pt idx="26">
                  <c:v>27/01/2026</c:v>
                </c:pt>
                <c:pt idx="27">
                  <c:v>28/01/2026</c:v>
                </c:pt>
                <c:pt idx="28">
                  <c:v>29/01/2026</c:v>
                </c:pt>
                <c:pt idx="29">
                  <c:v>30/01/2026</c:v>
                </c:pt>
                <c:pt idx="30">
                  <c:v>31/01/2026</c:v>
                </c:pt>
                <c:pt idx="31">
                  <c:v>(en blanco)</c:v>
                </c:pt>
              </c:strCache>
            </c:strRef>
          </c:cat>
          <c:val>
            <c:numRef>
              <c:f>'DB QUIMICA'!$R$5:$R$37</c:f>
              <c:numCache>
                <c:formatCode>#,##0</c:formatCode>
                <c:ptCount val="32"/>
                <c:pt idx="0">
                  <c:v>0</c:v>
                </c:pt>
                <c:pt idx="1">
                  <c:v>12.267467408817929</c:v>
                </c:pt>
                <c:pt idx="2">
                  <c:v>0</c:v>
                </c:pt>
                <c:pt idx="3">
                  <c:v>0</c:v>
                </c:pt>
                <c:pt idx="4">
                  <c:v>11.512423107323276</c:v>
                </c:pt>
                <c:pt idx="5">
                  <c:v>9.2374295128979327</c:v>
                </c:pt>
                <c:pt idx="6">
                  <c:v>17.130584485315424</c:v>
                </c:pt>
                <c:pt idx="7">
                  <c:v>15.657376104195551</c:v>
                </c:pt>
                <c:pt idx="8">
                  <c:v>15.391683896163565</c:v>
                </c:pt>
                <c:pt idx="9">
                  <c:v>8.4141256844326104</c:v>
                </c:pt>
                <c:pt idx="10">
                  <c:v>0</c:v>
                </c:pt>
                <c:pt idx="11">
                  <c:v>0</c:v>
                </c:pt>
                <c:pt idx="12">
                  <c:v>6.7573700719105192</c:v>
                </c:pt>
                <c:pt idx="13">
                  <c:v>8.4781508351611254</c:v>
                </c:pt>
                <c:pt idx="14">
                  <c:v>8.4781508351611254</c:v>
                </c:pt>
                <c:pt idx="15">
                  <c:v>10.47922922922923</c:v>
                </c:pt>
                <c:pt idx="16">
                  <c:v>8.1801089053304992</c:v>
                </c:pt>
                <c:pt idx="17">
                  <c:v>0</c:v>
                </c:pt>
                <c:pt idx="18">
                  <c:v>8.0744293668201195</c:v>
                </c:pt>
                <c:pt idx="19">
                  <c:v>6.2801117297489819</c:v>
                </c:pt>
                <c:pt idx="20">
                  <c:v>9.4201675946234751</c:v>
                </c:pt>
                <c:pt idx="21">
                  <c:v>9.4201675946234733</c:v>
                </c:pt>
                <c:pt idx="22">
                  <c:v>15.414819700292956</c:v>
                </c:pt>
                <c:pt idx="23">
                  <c:v>6.2801117297489828</c:v>
                </c:pt>
                <c:pt idx="24">
                  <c:v>0</c:v>
                </c:pt>
                <c:pt idx="25">
                  <c:v>11.304201113548167</c:v>
                </c:pt>
                <c:pt idx="26">
                  <c:v>14.130251391935209</c:v>
                </c:pt>
                <c:pt idx="27">
                  <c:v>12.111644050230181</c:v>
                </c:pt>
                <c:pt idx="28">
                  <c:v>11.304201113548169</c:v>
                </c:pt>
                <c:pt idx="29">
                  <c:v>11.304201113548169</c:v>
                </c:pt>
                <c:pt idx="30">
                  <c:v>5.1382732334309855</c:v>
                </c:pt>
                <c:pt idx="31">
                  <c:v>-4.02834273809402E-2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0C-4791-AEF5-6F0BB1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91168"/>
        <c:axId val="699790808"/>
      </c:lineChart>
      <c:catAx>
        <c:axId val="75367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3677464"/>
        <c:crosses val="autoZero"/>
        <c:auto val="1"/>
        <c:lblAlgn val="ctr"/>
        <c:lblOffset val="100"/>
        <c:noMultiLvlLbl val="0"/>
      </c:catAx>
      <c:valAx>
        <c:axId val="753677464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3677104"/>
        <c:crosses val="autoZero"/>
        <c:crossBetween val="between"/>
      </c:valAx>
      <c:valAx>
        <c:axId val="699790808"/>
        <c:scaling>
          <c:orientation val="minMax"/>
          <c:max val="100"/>
          <c:min val="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9791168"/>
        <c:crosses val="max"/>
        <c:crossBetween val="between"/>
      </c:valAx>
      <c:catAx>
        <c:axId val="69979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7908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ENERO 2026.xlsx]DB QUIMICA!TablaDinámica1</c:name>
    <c:fmtId val="0"/>
  </c:pivotSource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03030747811463"/>
          <c:y val="3.6484138411389519E-2"/>
          <c:w val="0.80515957382474423"/>
          <c:h val="0.76939477151695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QUIMICA'!$V$4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QUIMICA'!$V$5:$V$36</c:f>
              <c:numCache>
                <c:formatCode>#,##0</c:formatCode>
                <c:ptCount val="31"/>
                <c:pt idx="0">
                  <c:v>0</c:v>
                </c:pt>
                <c:pt idx="1">
                  <c:v>815.16417910447763</c:v>
                </c:pt>
                <c:pt idx="2">
                  <c:v>268.38805970149258</c:v>
                </c:pt>
                <c:pt idx="3">
                  <c:v>0</c:v>
                </c:pt>
                <c:pt idx="4">
                  <c:v>868.62686567164178</c:v>
                </c:pt>
                <c:pt idx="5">
                  <c:v>1082.5522388059703</c:v>
                </c:pt>
                <c:pt idx="6">
                  <c:v>875.62686567164178</c:v>
                </c:pt>
                <c:pt idx="7">
                  <c:v>958.01492537313447</c:v>
                </c:pt>
                <c:pt idx="8">
                  <c:v>974.55223880597021</c:v>
                </c:pt>
                <c:pt idx="9">
                  <c:v>594.23880597014931</c:v>
                </c:pt>
                <c:pt idx="10">
                  <c:v>0</c:v>
                </c:pt>
                <c:pt idx="11">
                  <c:v>0</c:v>
                </c:pt>
                <c:pt idx="12">
                  <c:v>1479.8656716417913</c:v>
                </c:pt>
                <c:pt idx="13">
                  <c:v>1769.2537313432838</c:v>
                </c:pt>
                <c:pt idx="14">
                  <c:v>1769.2537313432838</c:v>
                </c:pt>
                <c:pt idx="15">
                  <c:v>1431.4029850746269</c:v>
                </c:pt>
                <c:pt idx="16">
                  <c:v>1222.4776119402986</c:v>
                </c:pt>
                <c:pt idx="17">
                  <c:v>0</c:v>
                </c:pt>
                <c:pt idx="18">
                  <c:v>1857.7164179104479</c:v>
                </c:pt>
                <c:pt idx="19">
                  <c:v>1592.3283582089555</c:v>
                </c:pt>
                <c:pt idx="20">
                  <c:v>1592.3283582089553</c:v>
                </c:pt>
                <c:pt idx="21">
                  <c:v>1592.3283582089555</c:v>
                </c:pt>
                <c:pt idx="22">
                  <c:v>973.08955223880616</c:v>
                </c:pt>
                <c:pt idx="23">
                  <c:v>796.16417910447763</c:v>
                </c:pt>
                <c:pt idx="24">
                  <c:v>0</c:v>
                </c:pt>
                <c:pt idx="25">
                  <c:v>884.62686567164189</c:v>
                </c:pt>
                <c:pt idx="26">
                  <c:v>1061.5522388059703</c:v>
                </c:pt>
                <c:pt idx="27">
                  <c:v>1238.4776119402986</c:v>
                </c:pt>
                <c:pt idx="28">
                  <c:v>1326.9402985074628</c:v>
                </c:pt>
                <c:pt idx="29">
                  <c:v>1326.9402985074628</c:v>
                </c:pt>
                <c:pt idx="30">
                  <c:v>973.08955223880605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QUIMICA'!$W$4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QUIMICA'!$W$5:$W$36</c:f>
              <c:numCache>
                <c:formatCode>#,##0</c:formatCode>
                <c:ptCount val="31"/>
                <c:pt idx="0">
                  <c:v>0</c:v>
                </c:pt>
                <c:pt idx="1">
                  <c:v>2817.0889482935404</c:v>
                </c:pt>
                <c:pt idx="2">
                  <c:v>4078.2645145145138</c:v>
                </c:pt>
                <c:pt idx="3">
                  <c:v>0</c:v>
                </c:pt>
                <c:pt idx="4">
                  <c:v>2136.8669026427024</c:v>
                </c:pt>
                <c:pt idx="5">
                  <c:v>3938.7752822930879</c:v>
                </c:pt>
                <c:pt idx="6">
                  <c:v>5136.7941943511687</c:v>
                </c:pt>
                <c:pt idx="7">
                  <c:v>4336.5138579463128</c:v>
                </c:pt>
                <c:pt idx="8">
                  <c:v>4332.8641932766668</c:v>
                </c:pt>
                <c:pt idx="9">
                  <c:v>2512.3906163661022</c:v>
                </c:pt>
                <c:pt idx="10">
                  <c:v>0</c:v>
                </c:pt>
                <c:pt idx="11">
                  <c:v>0</c:v>
                </c:pt>
                <c:pt idx="12">
                  <c:v>3519.9174491432254</c:v>
                </c:pt>
                <c:pt idx="13">
                  <c:v>3445.0019191833976</c:v>
                </c:pt>
                <c:pt idx="14">
                  <c:v>2354.6862873291711</c:v>
                </c:pt>
                <c:pt idx="15">
                  <c:v>3111.040389347681</c:v>
                </c:pt>
                <c:pt idx="16">
                  <c:v>1315.1038385466265</c:v>
                </c:pt>
                <c:pt idx="17">
                  <c:v>0</c:v>
                </c:pt>
                <c:pt idx="18">
                  <c:v>2724.2115379980232</c:v>
                </c:pt>
                <c:pt idx="19">
                  <c:v>2348.2593779877393</c:v>
                </c:pt>
                <c:pt idx="20">
                  <c:v>2707.1913137618808</c:v>
                </c:pt>
                <c:pt idx="21">
                  <c:v>3492.4580544776254</c:v>
                </c:pt>
                <c:pt idx="22">
                  <c:v>4211.4751829071884</c:v>
                </c:pt>
                <c:pt idx="23">
                  <c:v>1418.0429484655906</c:v>
                </c:pt>
                <c:pt idx="24">
                  <c:v>0</c:v>
                </c:pt>
                <c:pt idx="25">
                  <c:v>3644.9096507508011</c:v>
                </c:pt>
                <c:pt idx="26">
                  <c:v>2805.5896743715198</c:v>
                </c:pt>
                <c:pt idx="27">
                  <c:v>1430.9059630263441</c:v>
                </c:pt>
                <c:pt idx="28">
                  <c:v>3113.6065463134805</c:v>
                </c:pt>
                <c:pt idx="29">
                  <c:v>3113.5707496766208</c:v>
                </c:pt>
                <c:pt idx="30">
                  <c:v>3786.3216098900252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QUIMICA'!$X$4</c:f>
              <c:strCache>
                <c:ptCount val="1"/>
                <c:pt idx="0">
                  <c:v>  2024-2 $m3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QUIMICA'!$X$5:$X$36</c:f>
              <c:numCache>
                <c:formatCode>"$"\ #,##0</c:formatCode>
                <c:ptCount val="31"/>
                <c:pt idx="0">
                  <c:v>5250</c:v>
                </c:pt>
                <c:pt idx="1">
                  <c:v>5250</c:v>
                </c:pt>
                <c:pt idx="2">
                  <c:v>5250</c:v>
                </c:pt>
                <c:pt idx="3">
                  <c:v>5250</c:v>
                </c:pt>
                <c:pt idx="4">
                  <c:v>5250</c:v>
                </c:pt>
                <c:pt idx="5">
                  <c:v>5250</c:v>
                </c:pt>
                <c:pt idx="6">
                  <c:v>5250</c:v>
                </c:pt>
                <c:pt idx="7">
                  <c:v>5250</c:v>
                </c:pt>
                <c:pt idx="8">
                  <c:v>5250</c:v>
                </c:pt>
                <c:pt idx="9">
                  <c:v>5250</c:v>
                </c:pt>
                <c:pt idx="10">
                  <c:v>5250</c:v>
                </c:pt>
                <c:pt idx="11">
                  <c:v>5250</c:v>
                </c:pt>
                <c:pt idx="12">
                  <c:v>5250</c:v>
                </c:pt>
                <c:pt idx="13">
                  <c:v>5250</c:v>
                </c:pt>
                <c:pt idx="14">
                  <c:v>5250</c:v>
                </c:pt>
                <c:pt idx="15">
                  <c:v>5250</c:v>
                </c:pt>
                <c:pt idx="16">
                  <c:v>5250</c:v>
                </c:pt>
                <c:pt idx="17">
                  <c:v>5250</c:v>
                </c:pt>
                <c:pt idx="18">
                  <c:v>5250</c:v>
                </c:pt>
                <c:pt idx="19">
                  <c:v>5250</c:v>
                </c:pt>
                <c:pt idx="20">
                  <c:v>5250</c:v>
                </c:pt>
                <c:pt idx="21">
                  <c:v>5250</c:v>
                </c:pt>
                <c:pt idx="22">
                  <c:v>5250</c:v>
                </c:pt>
                <c:pt idx="23">
                  <c:v>5250</c:v>
                </c:pt>
                <c:pt idx="24">
                  <c:v>5250</c:v>
                </c:pt>
                <c:pt idx="25">
                  <c:v>5250</c:v>
                </c:pt>
                <c:pt idx="26">
                  <c:v>5250</c:v>
                </c:pt>
                <c:pt idx="27">
                  <c:v>5250</c:v>
                </c:pt>
                <c:pt idx="28">
                  <c:v>5250</c:v>
                </c:pt>
                <c:pt idx="29">
                  <c:v>5250</c:v>
                </c:pt>
                <c:pt idx="30">
                  <c:v>5250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ser>
          <c:idx val="3"/>
          <c:order val="3"/>
          <c:tx>
            <c:strRef>
              <c:f>'DB QUIMICA'!$Y$4</c:f>
              <c:strCache>
                <c:ptCount val="1"/>
                <c:pt idx="0">
                  <c:v>  2024 $m3 GEM</c:v>
                </c:pt>
              </c:strCache>
            </c:strRef>
          </c:tx>
          <c:spPr>
            <a:ln w="28575" cap="rnd">
              <a:solidFill>
                <a:srgbClr val="0070C0">
                  <a:alpha val="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QUIMICA'!$Y$5:$Y$36</c:f>
              <c:numCache>
                <c:formatCode>"$"\ #,##0</c:formatCode>
                <c:ptCount val="31"/>
                <c:pt idx="0">
                  <c:v>4909</c:v>
                </c:pt>
                <c:pt idx="1">
                  <c:v>4909</c:v>
                </c:pt>
                <c:pt idx="2">
                  <c:v>4909</c:v>
                </c:pt>
                <c:pt idx="3">
                  <c:v>4909</c:v>
                </c:pt>
                <c:pt idx="4">
                  <c:v>4909</c:v>
                </c:pt>
                <c:pt idx="5">
                  <c:v>4909</c:v>
                </c:pt>
                <c:pt idx="6">
                  <c:v>4909</c:v>
                </c:pt>
                <c:pt idx="7">
                  <c:v>4909</c:v>
                </c:pt>
                <c:pt idx="8">
                  <c:v>4909</c:v>
                </c:pt>
                <c:pt idx="9">
                  <c:v>4909</c:v>
                </c:pt>
                <c:pt idx="10">
                  <c:v>4909</c:v>
                </c:pt>
                <c:pt idx="11">
                  <c:v>4909</c:v>
                </c:pt>
                <c:pt idx="12">
                  <c:v>4909</c:v>
                </c:pt>
                <c:pt idx="13">
                  <c:v>4909</c:v>
                </c:pt>
                <c:pt idx="14">
                  <c:v>4909</c:v>
                </c:pt>
                <c:pt idx="15">
                  <c:v>4909</c:v>
                </c:pt>
                <c:pt idx="16">
                  <c:v>4909</c:v>
                </c:pt>
                <c:pt idx="17">
                  <c:v>4909</c:v>
                </c:pt>
                <c:pt idx="18">
                  <c:v>4909</c:v>
                </c:pt>
                <c:pt idx="19">
                  <c:v>4909</c:v>
                </c:pt>
                <c:pt idx="20">
                  <c:v>4909</c:v>
                </c:pt>
                <c:pt idx="21">
                  <c:v>4909</c:v>
                </c:pt>
                <c:pt idx="22">
                  <c:v>4909</c:v>
                </c:pt>
                <c:pt idx="23">
                  <c:v>4909</c:v>
                </c:pt>
                <c:pt idx="24">
                  <c:v>4909</c:v>
                </c:pt>
                <c:pt idx="25">
                  <c:v>4909</c:v>
                </c:pt>
                <c:pt idx="26">
                  <c:v>4909</c:v>
                </c:pt>
                <c:pt idx="27">
                  <c:v>4909</c:v>
                </c:pt>
                <c:pt idx="28">
                  <c:v>4909</c:v>
                </c:pt>
                <c:pt idx="29">
                  <c:v>4909</c:v>
                </c:pt>
                <c:pt idx="30">
                  <c:v>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53-4676-AD69-22D5128A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692992"/>
        <c:axId val="2004701152"/>
      </c:lineChart>
      <c:valAx>
        <c:axId val="531007184"/>
        <c:scaling>
          <c:orientation val="minMax"/>
          <c:max val="2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2004701152"/>
        <c:scaling>
          <c:orientation val="minMax"/>
          <c:max val="1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4692992"/>
        <c:crosses val="autoZero"/>
        <c:crossBetween val="between"/>
      </c:valAx>
      <c:catAx>
        <c:axId val="20046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470115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ENERO 2026.xlsx]DB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QUIMICA'!$AB$4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QUIMICA'!$AB$5:$AB$36</c:f>
              <c:numCache>
                <c:formatCode>General</c:formatCode>
                <c:ptCount val="31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  <c:pt idx="13">
                  <c:v>933.47800000000007</c:v>
                </c:pt>
                <c:pt idx="14">
                  <c:v>1344.463</c:v>
                </c:pt>
                <c:pt idx="15">
                  <c:v>841.25300000000004</c:v>
                </c:pt>
                <c:pt idx="16">
                  <c:v>463.25599999999997</c:v>
                </c:pt>
                <c:pt idx="17">
                  <c:v>0</c:v>
                </c:pt>
                <c:pt idx="18">
                  <c:v>257.33499999999998</c:v>
                </c:pt>
                <c:pt idx="19">
                  <c:v>596.75</c:v>
                </c:pt>
                <c:pt idx="20">
                  <c:v>907.61500000000001</c:v>
                </c:pt>
                <c:pt idx="21">
                  <c:v>878.96100000000001</c:v>
                </c:pt>
                <c:pt idx="22">
                  <c:v>576.23099999999999</c:v>
                </c:pt>
                <c:pt idx="23">
                  <c:v>0</c:v>
                </c:pt>
                <c:pt idx="24">
                  <c:v>0</c:v>
                </c:pt>
                <c:pt idx="25">
                  <c:v>442.12</c:v>
                </c:pt>
                <c:pt idx="26">
                  <c:v>640.01800000000003</c:v>
                </c:pt>
                <c:pt idx="27">
                  <c:v>1038.94</c:v>
                </c:pt>
                <c:pt idx="28">
                  <c:v>1064.713</c:v>
                </c:pt>
                <c:pt idx="29">
                  <c:v>1257.1569999999999</c:v>
                </c:pt>
                <c:pt idx="30">
                  <c:v>665.32299999999998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QUIMICA'!$AC$4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Pt>
            <c:idx val="18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46E-410A-937B-A73D3C28EAA3}"/>
              </c:ext>
            </c:extLst>
          </c:dPt>
          <c:dPt>
            <c:idx val="2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2D-436C-8922-C967781757AD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QUIMICA'!$AC$5:$AC$36</c:f>
              <c:numCache>
                <c:formatCode>_-"$"\ * #,##0_-;\-"$"\ * #,##0_-;_-"$"\ * "-"??_-;_-@_-</c:formatCode>
                <c:ptCount val="3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QUIMICA'!$AD$4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418-4A0F-BA35-BC5E8572085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418-4A0F-BA35-BC5E8572085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46E-410A-937B-A73D3C28EAA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46E-410A-937B-A73D3C28EAA3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46E-410A-937B-A73D3C28EAA3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46E-410A-937B-A73D3C28EAA3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46E-410A-937B-A73D3C28EAA3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762D-436C-8922-C967781757AD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4D3F-4C4A-8BE3-869376B5B208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4D3F-4C4A-8BE3-869376B5B208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4D3F-4C4A-8BE3-869376B5B208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QUIMICA'!$AD$5:$AD$36</c:f>
              <c:numCache>
                <c:formatCode>"$"\ 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8.9047026563008131</c:v>
                </c:pt>
                <c:pt idx="6">
                  <c:v>539.26447870943878</c:v>
                </c:pt>
                <c:pt idx="7">
                  <c:v>128.96594754172594</c:v>
                </c:pt>
                <c:pt idx="8">
                  <c:v>357.88154357024854</c:v>
                </c:pt>
                <c:pt idx="9">
                  <c:v>261.57439713509575</c:v>
                </c:pt>
                <c:pt idx="10">
                  <c:v>0</c:v>
                </c:pt>
                <c:pt idx="11">
                  <c:v>0</c:v>
                </c:pt>
                <c:pt idx="12">
                  <c:v>1009.944425345445</c:v>
                </c:pt>
                <c:pt idx="13">
                  <c:v>447.12444067410155</c:v>
                </c:pt>
                <c:pt idx="14">
                  <c:v>220.86676985532512</c:v>
                </c:pt>
                <c:pt idx="15">
                  <c:v>178.02537280386332</c:v>
                </c:pt>
                <c:pt idx="16">
                  <c:v>94.753202276245119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8.5329943689896375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ENERO 2026.xlsx]DB QUIMICA!TablaDinámica4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QUIMICO PPM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QUIMICA'!$AH$4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QUIMICA'!$AH$5:$AH$36</c:f>
              <c:numCache>
                <c:formatCode>#,##0</c:formatCode>
                <c:ptCount val="31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  <c:pt idx="13">
                  <c:v>933.47800000000007</c:v>
                </c:pt>
                <c:pt idx="14">
                  <c:v>1344.463</c:v>
                </c:pt>
                <c:pt idx="15">
                  <c:v>841.25300000000004</c:v>
                </c:pt>
                <c:pt idx="16">
                  <c:v>463.25599999999997</c:v>
                </c:pt>
                <c:pt idx="17">
                  <c:v>0</c:v>
                </c:pt>
                <c:pt idx="18">
                  <c:v>257.33499999999998</c:v>
                </c:pt>
                <c:pt idx="19">
                  <c:v>596.75</c:v>
                </c:pt>
                <c:pt idx="20">
                  <c:v>907.61500000000001</c:v>
                </c:pt>
                <c:pt idx="21">
                  <c:v>878.96100000000001</c:v>
                </c:pt>
                <c:pt idx="22">
                  <c:v>576.23099999999999</c:v>
                </c:pt>
                <c:pt idx="23">
                  <c:v>0</c:v>
                </c:pt>
                <c:pt idx="24">
                  <c:v>0</c:v>
                </c:pt>
                <c:pt idx="25">
                  <c:v>442.12</c:v>
                </c:pt>
                <c:pt idx="26">
                  <c:v>640.01800000000003</c:v>
                </c:pt>
                <c:pt idx="27">
                  <c:v>1038.94</c:v>
                </c:pt>
                <c:pt idx="28">
                  <c:v>1064.713</c:v>
                </c:pt>
                <c:pt idx="29">
                  <c:v>1257.1569999999999</c:v>
                </c:pt>
                <c:pt idx="30">
                  <c:v>665.32299999999998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88-4851-80FF-D51C3EA2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102208"/>
        <c:axId val="776103648"/>
      </c:barChart>
      <c:lineChart>
        <c:grouping val="standard"/>
        <c:varyColors val="0"/>
        <c:ser>
          <c:idx val="1"/>
          <c:order val="1"/>
          <c:tx>
            <c:strRef>
              <c:f>'DB QUIMICA'!$AI$4</c:f>
              <c:strCache>
                <c:ptCount val="1"/>
                <c:pt idx="0">
                  <c:v> PPM HCL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QUIMICA'!$AI$5:$AI$36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8-4851-80FF-D51C3EA2110D}"/>
            </c:ext>
          </c:extLst>
        </c:ser>
        <c:ser>
          <c:idx val="2"/>
          <c:order val="2"/>
          <c:tx>
            <c:strRef>
              <c:f>'DB QUIMICA'!$AJ$4</c:f>
              <c:strCache>
                <c:ptCount val="1"/>
                <c:pt idx="0">
                  <c:v> PPM KURIVERTER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QUIMICA'!$AJ$5:$AJ$36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38.729569660320166</c:v>
                </c:pt>
                <c:pt idx="6">
                  <c:v>306.02639489610135</c:v>
                </c:pt>
                <c:pt idx="7">
                  <c:v>40.056045918748907</c:v>
                </c:pt>
                <c:pt idx="8">
                  <c:v>1134.9051059735375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585.55013235491504</c:v>
                </c:pt>
                <c:pt idx="13">
                  <c:v>146.02247929766375</c:v>
                </c:pt>
                <c:pt idx="14">
                  <c:v>91.864760822592061</c:v>
                </c:pt>
                <c:pt idx="15">
                  <c:v>80.08104702465441</c:v>
                </c:pt>
                <c:pt idx="16">
                  <c:v>96.949161374605737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37.112884346684226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8-4851-80FF-D51C3EA2110D}"/>
            </c:ext>
          </c:extLst>
        </c:ser>
        <c:ser>
          <c:idx val="3"/>
          <c:order val="3"/>
          <c:tx>
            <c:strRef>
              <c:f>'DB QUIMICA'!$AK$4</c:f>
              <c:strCache>
                <c:ptCount val="1"/>
                <c:pt idx="0">
                  <c:v> PPM VITEC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QUIMICA'!$AK$5:$AK$36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294.07223884547233</c:v>
                </c:pt>
                <c:pt idx="7">
                  <c:v>75.105086097654194</c:v>
                </c:pt>
                <c:pt idx="8">
                  <c:v>60.79848782001109</c:v>
                </c:pt>
                <c:pt idx="9">
                  <c:v>164.04626678885364</c:v>
                </c:pt>
                <c:pt idx="10">
                  <c:v>0</c:v>
                </c:pt>
                <c:pt idx="11">
                  <c:v>0</c:v>
                </c:pt>
                <c:pt idx="12">
                  <c:v>548.9532490827329</c:v>
                </c:pt>
                <c:pt idx="13">
                  <c:v>259.35829570476733</c:v>
                </c:pt>
                <c:pt idx="14">
                  <c:v>125.27012839444369</c:v>
                </c:pt>
                <c:pt idx="15">
                  <c:v>100.10130878081799</c:v>
                </c:pt>
                <c:pt idx="16">
                  <c:v>45.444919394346478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8-4851-80FF-D51C3EA2110D}"/>
            </c:ext>
          </c:extLst>
        </c:ser>
        <c:ser>
          <c:idx val="4"/>
          <c:order val="4"/>
          <c:tx>
            <c:strRef>
              <c:f>'DB QUIMICA'!$AL$4</c:f>
              <c:strCache>
                <c:ptCount val="1"/>
                <c:pt idx="0">
                  <c:v> PPM BISULFITO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QUIMICA'!$AL$5:$AL$36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8-4851-80FF-D51C3EA2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298072"/>
        <c:axId val="771295912"/>
      </c:lineChart>
      <c:catAx>
        <c:axId val="77129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5912"/>
        <c:crosses val="autoZero"/>
        <c:auto val="1"/>
        <c:lblAlgn val="ctr"/>
        <c:lblOffset val="100"/>
        <c:noMultiLvlLbl val="0"/>
      </c:catAx>
      <c:valAx>
        <c:axId val="771295912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8072"/>
        <c:crosses val="autoZero"/>
        <c:crossBetween val="between"/>
      </c:valAx>
      <c:valAx>
        <c:axId val="77610364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6102208"/>
        <c:crosses val="max"/>
        <c:crossBetween val="between"/>
      </c:valAx>
      <c:catAx>
        <c:axId val="77610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6103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ENERO 2026.xlsx]DB QUIMICA!TablaDinámica4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QUIMICO PPM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QUIMICA'!$AI$4</c:f>
              <c:strCache>
                <c:ptCount val="1"/>
                <c:pt idx="0">
                  <c:v> PPM HCL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QUIMICA'!$AI$5:$AI$36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F-42C7-9085-A621291A285A}"/>
            </c:ext>
          </c:extLst>
        </c:ser>
        <c:ser>
          <c:idx val="2"/>
          <c:order val="2"/>
          <c:tx>
            <c:strRef>
              <c:f>'DB QUIMICA'!$AJ$4</c:f>
              <c:strCache>
                <c:ptCount val="1"/>
                <c:pt idx="0">
                  <c:v> PPM KURIVERTER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QUIMICA'!$AJ$5:$AJ$36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38.729569660320166</c:v>
                </c:pt>
                <c:pt idx="6">
                  <c:v>306.02639489610135</c:v>
                </c:pt>
                <c:pt idx="7">
                  <c:v>40.056045918748907</c:v>
                </c:pt>
                <c:pt idx="8">
                  <c:v>1134.9051059735375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585.55013235491504</c:v>
                </c:pt>
                <c:pt idx="13">
                  <c:v>146.02247929766375</c:v>
                </c:pt>
                <c:pt idx="14">
                  <c:v>91.864760822592061</c:v>
                </c:pt>
                <c:pt idx="15">
                  <c:v>80.08104702465441</c:v>
                </c:pt>
                <c:pt idx="16">
                  <c:v>96.949161374605737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37.112884346684226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F-42C7-9085-A621291A285A}"/>
            </c:ext>
          </c:extLst>
        </c:ser>
        <c:ser>
          <c:idx val="3"/>
          <c:order val="3"/>
          <c:tx>
            <c:strRef>
              <c:f>'DB QUIMICA'!$AK$4</c:f>
              <c:strCache>
                <c:ptCount val="1"/>
                <c:pt idx="0">
                  <c:v> PPM VITEC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QUIMICA'!$AK$5:$AK$36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294.07223884547233</c:v>
                </c:pt>
                <c:pt idx="7">
                  <c:v>75.105086097654194</c:v>
                </c:pt>
                <c:pt idx="8">
                  <c:v>60.79848782001109</c:v>
                </c:pt>
                <c:pt idx="9">
                  <c:v>164.04626678885364</c:v>
                </c:pt>
                <c:pt idx="10">
                  <c:v>0</c:v>
                </c:pt>
                <c:pt idx="11">
                  <c:v>0</c:v>
                </c:pt>
                <c:pt idx="12">
                  <c:v>548.9532490827329</c:v>
                </c:pt>
                <c:pt idx="13">
                  <c:v>259.35829570476733</c:v>
                </c:pt>
                <c:pt idx="14">
                  <c:v>125.27012839444369</c:v>
                </c:pt>
                <c:pt idx="15">
                  <c:v>100.10130878081799</c:v>
                </c:pt>
                <c:pt idx="16">
                  <c:v>45.444919394346478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F-42C7-9085-A621291A285A}"/>
            </c:ext>
          </c:extLst>
        </c:ser>
        <c:ser>
          <c:idx val="4"/>
          <c:order val="4"/>
          <c:tx>
            <c:strRef>
              <c:f>'DB QUIMICA'!$AL$4</c:f>
              <c:strCache>
                <c:ptCount val="1"/>
                <c:pt idx="0">
                  <c:v> PPM BISULFITO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QUIMICA'!$AL$5:$AL$36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F-42C7-9085-A621291A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1298072"/>
        <c:axId val="771295912"/>
      </c:barChart>
      <c:lineChart>
        <c:grouping val="standard"/>
        <c:varyColors val="0"/>
        <c:ser>
          <c:idx val="0"/>
          <c:order val="0"/>
          <c:tx>
            <c:strRef>
              <c:f>'DB QUIMICA'!$AH$4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QUIMICA'!$AH$5:$AH$36</c:f>
              <c:numCache>
                <c:formatCode>#,##0</c:formatCode>
                <c:ptCount val="31"/>
                <c:pt idx="0">
                  <c:v>0</c:v>
                </c:pt>
                <c:pt idx="1">
                  <c:v>257.44900000000001</c:v>
                </c:pt>
                <c:pt idx="2">
                  <c:v>0</c:v>
                </c:pt>
                <c:pt idx="3">
                  <c:v>0</c:v>
                </c:pt>
                <c:pt idx="4">
                  <c:v>278.22300000000001</c:v>
                </c:pt>
                <c:pt idx="5">
                  <c:v>579.81899999999996</c:v>
                </c:pt>
                <c:pt idx="6">
                  <c:v>293.51900000000001</c:v>
                </c:pt>
                <c:pt idx="7">
                  <c:v>560.61800000000005</c:v>
                </c:pt>
                <c:pt idx="8">
                  <c:v>346.26900000000001</c:v>
                </c:pt>
                <c:pt idx="9">
                  <c:v>256.66700000000003</c:v>
                </c:pt>
                <c:pt idx="10">
                  <c:v>0</c:v>
                </c:pt>
                <c:pt idx="11">
                  <c:v>0</c:v>
                </c:pt>
                <c:pt idx="12">
                  <c:v>153.40199999999999</c:v>
                </c:pt>
                <c:pt idx="13">
                  <c:v>933.47800000000007</c:v>
                </c:pt>
                <c:pt idx="14">
                  <c:v>1344.463</c:v>
                </c:pt>
                <c:pt idx="15">
                  <c:v>841.25300000000004</c:v>
                </c:pt>
                <c:pt idx="16">
                  <c:v>463.25599999999997</c:v>
                </c:pt>
                <c:pt idx="17">
                  <c:v>0</c:v>
                </c:pt>
                <c:pt idx="18">
                  <c:v>257.33499999999998</c:v>
                </c:pt>
                <c:pt idx="19">
                  <c:v>596.75</c:v>
                </c:pt>
                <c:pt idx="20">
                  <c:v>907.61500000000001</c:v>
                </c:pt>
                <c:pt idx="21">
                  <c:v>878.96100000000001</c:v>
                </c:pt>
                <c:pt idx="22">
                  <c:v>576.23099999999999</c:v>
                </c:pt>
                <c:pt idx="23">
                  <c:v>0</c:v>
                </c:pt>
                <c:pt idx="24">
                  <c:v>0</c:v>
                </c:pt>
                <c:pt idx="25">
                  <c:v>442.12</c:v>
                </c:pt>
                <c:pt idx="26">
                  <c:v>640.01800000000003</c:v>
                </c:pt>
                <c:pt idx="27">
                  <c:v>1038.94</c:v>
                </c:pt>
                <c:pt idx="28">
                  <c:v>1064.713</c:v>
                </c:pt>
                <c:pt idx="29">
                  <c:v>1257.1569999999999</c:v>
                </c:pt>
                <c:pt idx="30">
                  <c:v>665.32299999999998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DF-42C7-9085-A621291A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4832096"/>
        <c:axId val="594832456"/>
      </c:lineChart>
      <c:catAx>
        <c:axId val="77129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5912"/>
        <c:crosses val="autoZero"/>
        <c:auto val="1"/>
        <c:lblAlgn val="ctr"/>
        <c:lblOffset val="100"/>
        <c:noMultiLvlLbl val="0"/>
      </c:catAx>
      <c:valAx>
        <c:axId val="77129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8072"/>
        <c:crosses val="autoZero"/>
        <c:crossBetween val="between"/>
      </c:valAx>
      <c:valAx>
        <c:axId val="59483245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4832096"/>
        <c:crosses val="max"/>
        <c:crossBetween val="between"/>
      </c:valAx>
      <c:catAx>
        <c:axId val="59483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48324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321450</xdr:colOff>
      <xdr:row>3</xdr:row>
      <xdr:rowOff>102774</xdr:rowOff>
    </xdr:from>
    <xdr:to>
      <xdr:col>0</xdr:col>
      <xdr:colOff>2154060</xdr:colOff>
      <xdr:row>11</xdr:row>
      <xdr:rowOff>59634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453178C-B9C2-8171-C76E-F61D26E26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50" y="9328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2566308</xdr:colOff>
      <xdr:row>3</xdr:row>
      <xdr:rowOff>99572</xdr:rowOff>
    </xdr:from>
    <xdr:to>
      <xdr:col>9</xdr:col>
      <xdr:colOff>2561808</xdr:colOff>
      <xdr:row>26</xdr:row>
      <xdr:rowOff>27186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0EFCD5-48BA-4A32-81CA-120726568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2573348</xdr:colOff>
      <xdr:row>28</xdr:row>
      <xdr:rowOff>58692</xdr:rowOff>
    </xdr:from>
    <xdr:to>
      <xdr:col>5</xdr:col>
      <xdr:colOff>1170214</xdr:colOff>
      <xdr:row>49</xdr:row>
      <xdr:rowOff>109352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324411</xdr:colOff>
      <xdr:row>30</xdr:row>
      <xdr:rowOff>109097</xdr:rowOff>
    </xdr:from>
    <xdr:to>
      <xdr:col>0</xdr:col>
      <xdr:colOff>2149401</xdr:colOff>
      <xdr:row>41</xdr:row>
      <xdr:rowOff>168286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411" y="6708562"/>
              <a:ext cx="1832610" cy="252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2503714</xdr:colOff>
      <xdr:row>59</xdr:row>
      <xdr:rowOff>50426</xdr:rowOff>
    </xdr:from>
    <xdr:to>
      <xdr:col>5</xdr:col>
      <xdr:colOff>1527643</xdr:colOff>
      <xdr:row>80</xdr:row>
      <xdr:rowOff>163286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391886</xdr:colOff>
      <xdr:row>61</xdr:row>
      <xdr:rowOff>35379</xdr:rowOff>
    </xdr:from>
    <xdr:to>
      <xdr:col>0</xdr:col>
      <xdr:colOff>2226401</xdr:colOff>
      <xdr:row>74</xdr:row>
      <xdr:rowOff>92532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886" y="1305741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40823</xdr:colOff>
      <xdr:row>63</xdr:row>
      <xdr:rowOff>40822</xdr:rowOff>
    </xdr:from>
    <xdr:to>
      <xdr:col>1</xdr:col>
      <xdr:colOff>721180</xdr:colOff>
      <xdr:row>64</xdr:row>
      <xdr:rowOff>40822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4041323" y="16736786"/>
          <a:ext cx="680357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0</xdr:col>
      <xdr:colOff>2449286</xdr:colOff>
      <xdr:row>108</xdr:row>
      <xdr:rowOff>136071</xdr:rowOff>
    </xdr:from>
    <xdr:to>
      <xdr:col>6</xdr:col>
      <xdr:colOff>1072715</xdr:colOff>
      <xdr:row>127</xdr:row>
      <xdr:rowOff>116571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AD033D9-3B89-43FC-8890-CD37C7E4A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2462893</xdr:colOff>
      <xdr:row>81</xdr:row>
      <xdr:rowOff>136071</xdr:rowOff>
    </xdr:from>
    <xdr:to>
      <xdr:col>5</xdr:col>
      <xdr:colOff>1486822</xdr:colOff>
      <xdr:row>106</xdr:row>
      <xdr:rowOff>53571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4D1542-F434-4A5D-B99D-59D5EF09B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0.11727</cdr:x>
      <cdr:y>0.47424</cdr:y>
    </cdr:from>
    <cdr:to>
      <cdr:x>0.18076</cdr:x>
      <cdr:y>0.53217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638573" y="2120252"/>
          <a:ext cx="887141" cy="259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$5.250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21.60055289352" createdVersion="8" refreshedVersion="8" minRefreshableVersion="3" recordCount="94" xr:uid="{B88EE19A-5615-4F82-AE52-3176984C19D2}">
  <cacheSource type="worksheet">
    <worksheetSource name="Tabla2"/>
  </cacheSource>
  <cacheFields count="62">
    <cacheField name="FECHA" numFmtId="14">
      <sharedItems containsNonDate="0" containsDate="1" containsString="0" containsBlank="1" minDate="2024-09-01T00:00:00" maxDate="2026-02-01T00:00:00" count="40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m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1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SemiMixedTypes="0" containsString="0" containsNumber="1" minValue="0" maxValue="131.13274999999996"/>
    </cacheField>
    <cacheField name="cm HCL (10%)" numFmtId="0">
      <sharedItems containsSemiMixedTypes="0" containsString="0" containsNumber="1" containsInteger="1" minValue="0" maxValue="0"/>
    </cacheField>
    <cacheField name="cm IK-220 (Biocida)" numFmtId="0">
      <sharedItems containsSemiMixedTypes="0" containsString="0" containsNumber="1" containsInteger="1" minValue="4" maxValue="54"/>
    </cacheField>
    <cacheField name="cm          Vitec 7000" numFmtId="0">
      <sharedItems containsSemiMixedTypes="0" containsString="0" containsNumber="1" containsInteger="1" minValue="3" maxValue="58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emiMixedTypes="0" containsString="0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35.087719298245617" maxValue="473.68421052631584"/>
    </cacheField>
    <cacheField name="(INV -L) - VITEC 7000 (Antiincrustante)" numFmtId="1">
      <sharedItems containsSemiMixedTypes="0" containsString="0" containsNumber="1" minValue="26.315789473684212" maxValue="508.77192982456143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289.47368421052636"/>
    </cacheField>
    <cacheField name="CONSUMO (L) VITEC 7000 (Antiincrustante)" numFmtId="1">
      <sharedItems containsSemiMixedTypes="0" containsString="0" containsNumber="1" minValue="0" maxValue="377.19298245614038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370.52631578947376"/>
    </cacheField>
    <cacheField name="CONSUMO (Kg) VITEC 7000 (Antiincrustante)" numFmtId="1">
      <sharedItems containsSemiMixedTypes="0" containsString="0" containsNumber="1" minValue="0" maxValue="452.63157894736844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VOLUMEN ENVIADO A RO (m3)" numFmtId="0">
      <sharedItems containsString="0" containsBlank="1" containsNumber="1" minValue="0" maxValue="524.53099999999995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0" maxValue="299.70825274771602"/>
    </cacheField>
    <cacheField name="PPM  VITEC 7000 (Antiincrustante)" numFmtId="1">
      <sharedItems containsMixedTypes="1" containsNumber="1" minValue="0" maxValue="153.41632261458221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550" maxValue="15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560" maxValue="1560"/>
    </cacheField>
    <cacheField name="PRECIO Bisulfito de sodio " numFmtId="42">
      <sharedItems containsSemiMixedTypes="0" containsString="0" containsNumber="1" containsInteger="1" minValue="3640" maxValue="3640"/>
    </cacheField>
    <cacheField name="COSTO OPERATIVO HCL (10%)" numFmtId="42">
      <sharedItems containsSemiMixedTypes="0" containsString="0" containsNumber="1" containsInteger="1" minValue="0" maxValue="0"/>
    </cacheField>
    <cacheField name="COSTO OPERATIVO KURIVERTER IK-220 (Biocida)" numFmtId="42">
      <sharedItems containsSemiMixedTypes="0" containsString="0" containsNumber="1" minValue="0" maxValue="85191.410526315798"/>
    </cacheField>
    <cacheField name="COSTO OPERATIVO VITEC 7000 (Antiincrustante)" numFmtId="42">
      <sharedItems containsSemiMixedTypes="0" containsString="0" containsNumber="1" minValue="0" maxValue="721728.29473684204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containsInteger="1" minValue="0" maxValue="0"/>
    </cacheField>
    <cacheField name="COSTO QUIMICA " numFmtId="42">
      <sharedItems containsSemiMixedTypes="0" containsString="0" containsNumber="1" minValue="0" maxValue="721728.29473684204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0" maxValue="244.62478107011316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1-01T00:00:00" endDate="2026-02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2/2026"/>
        </groupItems>
      </fieldGroup>
    </cacheField>
    <cacheField name="Trimestres (FECHA)" numFmtId="0" databaseField="0">
      <fieldGroup base="0">
        <rangePr groupBy="quarters" startDate="2026-01-01T00:00:00" endDate="2026-02-01T00:00:00"/>
        <groupItems count="6">
          <s v="&lt;1/01/2026"/>
          <s v="Trim.1"/>
          <s v="Trim.2"/>
          <s v="Trim.3"/>
          <s v="Trim.4"/>
          <s v="&gt;1/02/2026"/>
        </groupItems>
      </fieldGroup>
    </cacheField>
    <cacheField name="Años (FECHA)" numFmtId="0" databaseField="0">
      <fieldGroup base="0">
        <rangePr groupBy="years" startDate="2026-01-01T00:00:00" endDate="2026-02-01T00:00:00"/>
        <groupItems count="3">
          <s v="&lt;1/01/2026"/>
          <s v="2026"/>
          <s v="&gt;1/02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21.600554861114" createdVersion="8" refreshedVersion="8" minRefreshableVersion="3" recordCount="94" xr:uid="{C3C8AE66-DB41-4ED1-9375-F4773019D99D}">
  <cacheSource type="worksheet">
    <worksheetSource name="Tabla1"/>
  </cacheSource>
  <cacheFields count="55">
    <cacheField name="FECHA" numFmtId="0">
      <sharedItems containsNonDate="0" containsDate="1" containsString="0" containsBlank="1" minDate="2024-09-01T00:00:00" maxDate="2026-02-01T00:00:00" count="458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m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0">
      <sharedItems containsString="0" containsBlank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3.6857142857142899" u="1"/>
      </sharedItems>
    </cacheField>
    <cacheField name="ANALISIS TURNO" numFmtId="0">
      <sharedItems containsBlank="1"/>
    </cacheField>
    <cacheField name="# TURNO" numFmtId="0">
      <sharedItems containsString="0" containsBlank="1" containsNumber="1" containsInteger="1" minValue="1" maxValue="93"/>
    </cacheField>
    <cacheField name="DILIGENCIAR BITACORA" numFmtId="0">
      <sharedItems containsBlank="1"/>
    </cacheField>
    <cacheField name="FINAL ACIDO (L)" numFmtId="0">
      <sharedItems containsSemiMixedTypes="0" containsString="0" containsNumber="1" containsInteger="1" minValue="1450" maxValue="4630"/>
    </cacheField>
    <cacheField name="FINAL COAGULANTE (L)" numFmtId="0">
      <sharedItems containsSemiMixedTypes="0" containsString="0" containsNumber="1" containsInteger="1" minValue="800" maxValue="6900"/>
    </cacheField>
    <cacheField name="FINAL DECOLORANTE (L)" numFmtId="0">
      <sharedItems containsSemiMixedTypes="0" containsString="0" containsNumber="1" containsInteger="1" minValue="270" maxValue="2200"/>
    </cacheField>
    <cacheField name="FINAL POL ANIONICO (KG)" numFmtId="3">
      <sharedItems containsSemiMixedTypes="0" containsString="0" containsNumber="1" containsInteger="1" minValue="165" maxValue="250"/>
    </cacheField>
    <cacheField name="FINAL POL CATIONICO (KG)" numFmtId="3">
      <sharedItems containsSemiMixedTypes="0" containsString="0" containsNumber="1" containsInteger="1" minValue="25" maxValue="185"/>
    </cacheField>
    <cacheField name="Lectura Horometro INICIAL (06:00)" numFmtId="3">
      <sharedItems containsSemiMixedTypes="0" containsString="0" containsNumber="1" containsInteger="1" minValue="16502" maxValue="16837"/>
    </cacheField>
    <cacheField name="CAUDAL TOTAL TRATADO GEM " numFmtId="3">
      <sharedItems containsSemiMixedTypes="0" containsString="0" containsNumber="1" minValue="-1489446.2537313434" maxValue="707.70149253731347"/>
    </cacheField>
    <cacheField name="CAUDAL DE TRATAMIENTO" numFmtId="3">
      <sharedItems containsSemiMixedTypes="0" containsString="0" containsNumber="1" containsInteger="1" minValue="0" maxValue="85"/>
    </cacheField>
    <cacheField name="CAUDAL 2" numFmtId="3">
      <sharedItems containsSemiMixedTypes="0" containsString="0" containsNumber="1" minValue="8.4626865671641784" maxValue="93.462686567164184"/>
    </cacheField>
    <cacheField name="CONSUMO LITROS ACIDO (L)" numFmtId="3">
      <sharedItems containsSemiMixedTypes="0" containsString="0" containsNumber="1" containsInteger="1" minValue="0" maxValue="4360"/>
    </cacheField>
    <cacheField name="CONSUMO LITROS COAGULANTE (L)" numFmtId="3">
      <sharedItems containsSemiMixedTypes="0" containsString="0" containsNumber="1" containsInteger="1" minValue="0" maxValue="6480"/>
    </cacheField>
    <cacheField name="CONSUMO LITROS DECOLORANTE (L)" numFmtId="3">
      <sharedItems containsSemiMixedTypes="0" containsString="0" containsNumber="1" containsInteger="1" minValue="0" maxValue="1510"/>
    </cacheField>
    <cacheField name="CONSUMO POL ANIONICO (KG)" numFmtId="3">
      <sharedItems containsSemiMixedTypes="0" containsString="0" containsNumber="1" containsInteger="1" minValue="0" maxValue="165"/>
    </cacheField>
    <cacheField name="CONSUMO POL CATIONICO (KG)" numFmtId="3">
      <sharedItems containsSemiMixedTypes="0" containsString="0" containsNumber="1" containsInteger="1" minValue="0" maxValue="60"/>
    </cacheField>
    <cacheField name="KG ACIDO" numFmtId="3">
      <sharedItems containsSemiMixedTypes="0" containsString="0" containsNumber="1" minValue="0" maxValue="5668"/>
    </cacheField>
    <cacheField name="KG COAGULANTE" numFmtId="3">
      <sharedItems containsSemiMixedTypes="0" containsString="0" containsNumber="1" minValue="0" maxValue="8586"/>
    </cacheField>
    <cacheField name="KG DECOLORANTE " numFmtId="3">
      <sharedItems containsSemiMixedTypes="0" containsString="0" containsNumber="1" minValue="0" maxValue="1887.5"/>
    </cacheField>
    <cacheField name="KG POL ANIONICO " numFmtId="3">
      <sharedItems containsSemiMixedTypes="0" containsString="0" containsNumber="1" containsInteger="1" minValue="0" maxValue="165"/>
    </cacheField>
    <cacheField name="KG POL CATIONICO " numFmtId="3">
      <sharedItems containsSemiMixedTypes="0" containsString="0" containsNumber="1" containsInteger="1" minValue="0" maxValue="60"/>
    </cacheField>
    <cacheField name="PPM ACIDO " numFmtId="3">
      <sharedItems containsMixedTypes="1" containsNumber="1" minValue="-3.8054411065861506" maxValue="969.39343350027821"/>
    </cacheField>
    <cacheField name="PPM COAGULANTE " numFmtId="3">
      <sharedItems containsMixedTypes="1" containsNumber="1" minValue="-5.7645584582125418" maxValue="1767.4203640500566"/>
    </cacheField>
    <cacheField name="PPM DECOLORANTE " numFmtId="3">
      <sharedItems containsMixedTypes="1" containsNumber="1" minValue="-1.2672494863587438" maxValue="414.27069807704197"/>
    </cacheField>
    <cacheField name="PPM POL ANIONICO " numFmtId="3">
      <sharedItems containsMixedTypes="1" containsNumber="1" minValue="-0.11077942529758554" maxValue="28.583617747440272"/>
    </cacheField>
    <cacheField name="PPM POL CATIONICO" numFmtId="3">
      <sharedItems containsMixedTypes="1" containsNumber="1" minValue="-4.02834273809402E-2" maxValue="28.583617747440272"/>
    </cacheField>
    <cacheField name="DENSIDAD ACIDO" numFmtId="0">
      <sharedItems containsString="0" containsBlank="1" containsNumber="1" minValue="1.3" maxValue="1.3"/>
    </cacheField>
    <cacheField name="DENSIDAD COAGULANTE" numFmtId="0">
      <sharedItems containsString="0" containsBlank="1" containsNumber="1" minValue="1.325" maxValue="1.325"/>
    </cacheField>
    <cacheField name="DENSIDAD DECOLORANTE" numFmtId="0">
      <sharedItems containsString="0" containsBlank="1" containsNumber="1" minValue="1.25" maxValue="1.25"/>
    </cacheField>
    <cacheField name="DENSIDAD ANIONICO" numFmtId="3">
      <sharedItems containsString="0" containsBlank="1" containsNumber="1" containsInteger="1" minValue="2500" maxValue="2500"/>
    </cacheField>
    <cacheField name="DENSIDAD CATIONICO" numFmtId="3">
      <sharedItems containsString="0" containsBlank="1" containsNumber="1" containsInteger="1" minValue="2500" maxValue="2500"/>
    </cacheField>
    <cacheField name="PRECIO (KG) ACIDO" numFmtId="165">
      <sharedItems containsString="0" containsBlank="1" containsNumber="1" containsInteger="1" minValue="830" maxValue="830"/>
    </cacheField>
    <cacheField name="PRECIO (KG) COAGULANTE" numFmtId="165">
      <sharedItems containsString="0" containsBlank="1" containsNumber="1" containsInteger="1" minValue="2900" maxValue="2900"/>
    </cacheField>
    <cacheField name="PRECIO (KG) DECOLORANTE" numFmtId="165">
      <sharedItems containsString="0" containsBlank="1" containsNumber="1" containsInteger="1" minValue="6295" maxValue="6295"/>
    </cacheField>
    <cacheField name="PRECIO (KG) ANIONICO" numFmtId="165">
      <sharedItems containsString="0" containsBlank="1" containsNumber="1" containsInteger="1" minValue="19050" maxValue="19050"/>
    </cacheField>
    <cacheField name="PRECIO (KG) CATIONICO" numFmtId="165">
      <sharedItems containsString="0" containsBlank="1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248170"/>
    </cacheField>
    <cacheField name="COSTO OPERATIVO COAGULANTE" numFmtId="165">
      <sharedItems containsSemiMixedTypes="0" containsString="0" containsNumber="1" minValue="0" maxValue="1613850"/>
    </cacheField>
    <cacheField name="COSTO OPERATIVO DECOLORANTE" numFmtId="165">
      <sharedItems containsSemiMixedTypes="0" containsString="0" containsNumber="1" minValue="0" maxValue="1259000"/>
    </cacheField>
    <cacheField name="COSTO OPERATIVO ANIONICO" numFmtId="165">
      <sharedItems containsSemiMixedTypes="0" containsString="0" containsNumber="1" containsInteger="1" minValue="0" maxValue="95250"/>
    </cacheField>
    <cacheField name="COSTO OPERATIVO CATIONICO" numFmtId="165">
      <sharedItems containsSemiMixedTypes="0" containsString="0" containsNumber="1" containsInteger="1" minValue="0" maxValue="110250"/>
    </cacheField>
    <cacheField name="COSTO QUIMICA " numFmtId="165">
      <sharedItems containsSemiMixedTypes="0" containsString="0" containsNumber="1" minValue="0" maxValue="2962295"/>
    </cacheField>
    <cacheField name="LIMITE INDICADOR M3" numFmtId="165">
      <sharedItems containsString="0" containsBlank="1" containsNumber="1" containsInteger="1" minValue="5250" maxValue="5250"/>
    </cacheField>
    <cacheField name="$ m3" numFmtId="165">
      <sharedItems containsMixedTypes="1" containsNumber="1" minValue="0" maxValue="7613.7706200227522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KG ACIDO'*1000)/'CAUDAL TOTAL TRATADO GEM '" databaseField="0"/>
    <cacheField name="COF 235 - PPM COAGULANTE " numFmtId="0" formula=" ('KG COAGULANTE'*1000)/'CAUDAL TOTAL TRATADO GEM '" databaseField="0"/>
    <cacheField name="COF 255 - PPM DECOLORANTE" numFmtId="0" formula="('KG DECOLORANTE '*1000)/'CAUDAL TOTAL TRATADO GEM '" databaseField="0"/>
    <cacheField name="COF 440 - PPM POL ANIONICO" numFmtId="0" formula="('KG POL ANIONICO '*1000)/'CAUDAL TOTAL TRATADO GEM '" databaseField="0"/>
    <cacheField name="COF 494 - PPM POL CATIONICO" numFmtId="0" formula="('KG POL CATIONICO '*1000)/'CAUDAL TOTAL TRATADO GEM '" databaseField="0"/>
    <cacheField name="2024 $m3 GEM" numFmtId="0" formula="('LIMITE INDICADOR M3'-'LIMITE INDICADOR M3')+4909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0"/>
    <x v="0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0"/>
    <x v="0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1"/>
    <x v="1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1"/>
    <x v="1"/>
    <s v="2 (MAÑANA)"/>
    <m/>
    <m/>
    <m/>
    <m/>
    <m/>
    <n v="64.362250000000003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449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1"/>
    <x v="1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"/>
    <x v="2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"/>
    <x v="2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"/>
    <x v="2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3"/>
    <x v="3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3"/>
    <x v="3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3"/>
    <x v="3"/>
    <s v="3(TARD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4"/>
    <x v="4"/>
    <s v="1 (NOCHE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4"/>
    <x v="4"/>
    <s v="2 (MAÑANA)"/>
    <m/>
    <m/>
    <m/>
    <m/>
    <m/>
    <n v="0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4"/>
    <x v="4"/>
    <s v="3(TARDE)"/>
    <m/>
    <m/>
    <m/>
    <m/>
    <m/>
    <n v="69.555750000000003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8.22300000000001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5"/>
    <x v="5"/>
    <s v="1 (NOCHE)"/>
    <m/>
    <m/>
    <m/>
    <m/>
    <m/>
    <n v="33.51"/>
    <n v="0"/>
    <n v="52"/>
    <n v="32"/>
    <n v="0"/>
    <n v="0"/>
    <n v="0"/>
    <n v="456.1403508771929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34.04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5"/>
    <x v="5"/>
    <s v="2 (MAÑANA)"/>
    <m/>
    <m/>
    <m/>
    <m/>
    <m/>
    <n v="45.02924999999999"/>
    <n v="0"/>
    <n v="52"/>
    <n v="32"/>
    <n v="0"/>
    <n v="0"/>
    <n v="0"/>
    <n v="456.14035087719299"/>
    <n v="280.7017543859649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180.11699999999999"/>
    <n v="0"/>
    <n v="96.851318244805867"/>
    <n v="0"/>
    <n v="0"/>
    <n v="0"/>
    <n v="1550"/>
    <n v="19160"/>
    <n v="36239"/>
    <n v="1560"/>
    <n v="3640"/>
    <n v="0"/>
    <n v="5163.1157894736807"/>
    <n v="0"/>
    <n v="0"/>
    <n v="0"/>
    <n v="5163.1157894736807"/>
    <n v="1000"/>
    <n v="22.268055090845767"/>
  </r>
  <r>
    <x v="5"/>
    <x v="5"/>
    <s v="3(TARDE)"/>
    <m/>
    <m/>
    <m/>
    <m/>
    <m/>
    <n v="66.415499999999994"/>
    <n v="0"/>
    <n v="50"/>
    <n v="32"/>
    <n v="0"/>
    <n v="0"/>
    <n v="0"/>
    <n v="438.59649122807019"/>
    <n v="280.7017543859649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5.66199999999998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6"/>
    <x v="6"/>
    <s v="1 (NOCHE)"/>
    <m/>
    <m/>
    <m/>
    <m/>
    <m/>
    <n v="18.344750000000001"/>
    <n v="0"/>
    <n v="50"/>
    <n v="32"/>
    <n v="0"/>
    <n v="0"/>
    <n v="0"/>
    <n v="438.59649122807019"/>
    <n v="280.70175438596493"/>
    <n v="0"/>
    <n v="0"/>
    <n v="0"/>
    <n v="43.859649122807014"/>
    <n v="0"/>
    <n v="0"/>
    <n v="0"/>
    <n v="1.18"/>
    <n v="1.28"/>
    <n v="1.2"/>
    <n v="1.53"/>
    <n v="1.2"/>
    <n v="0"/>
    <n v="56.140350877192979"/>
    <n v="0"/>
    <n v="0"/>
    <n v="0"/>
    <n v="73.379000000000005"/>
    <n v="0"/>
    <n v="214.89294033712403"/>
    <n v="0"/>
    <n v="0"/>
    <n v="0"/>
    <n v="1550"/>
    <n v="19160"/>
    <n v="36239"/>
    <n v="1560"/>
    <n v="3640"/>
    <n v="0"/>
    <n v="12907.78947368421"/>
    <n v="0"/>
    <n v="0"/>
    <n v="0"/>
    <n v="12907.78947368421"/>
    <n v="1000"/>
    <n v="49.408184842311563"/>
  </r>
  <r>
    <x v="6"/>
    <x v="6"/>
    <s v="2 (MAÑANA)"/>
    <m/>
    <m/>
    <m/>
    <m/>
    <m/>
    <n v="18.344750000000001"/>
    <n v="0"/>
    <n v="45"/>
    <n v="32"/>
    <n v="0"/>
    <n v="0"/>
    <n v="0"/>
    <n v="394.73684210526318"/>
    <n v="280.70175438596493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73.379000000000005"/>
    <n v="0"/>
    <n v="299.70825274771602"/>
    <n v="0"/>
    <n v="0"/>
    <n v="0"/>
    <n v="1550"/>
    <n v="19160"/>
    <n v="36239"/>
    <n v="1560"/>
    <n v="3640"/>
    <n v="0"/>
    <n v="7744.6736842105292"/>
    <n v="0"/>
    <n v="0"/>
    <n v="0"/>
    <n v="7744.6736842105292"/>
    <n v="1000"/>
    <n v="68.908921471754866"/>
  </r>
  <r>
    <x v="6"/>
    <x v="6"/>
    <s v="3(TARDE)"/>
    <m/>
    <m/>
    <m/>
    <m/>
    <m/>
    <n v="36.690249999999999"/>
    <n v="0"/>
    <n v="42"/>
    <n v="32"/>
    <n v="0"/>
    <n v="0"/>
    <n v="0"/>
    <n v="368.42105263157896"/>
    <n v="280.70175438596493"/>
    <n v="0"/>
    <n v="0"/>
    <n v="0"/>
    <n v="0"/>
    <n v="71.929824561403507"/>
    <n v="0"/>
    <n v="0"/>
    <n v="1.18"/>
    <n v="1.28"/>
    <n v="1.2"/>
    <n v="1.53"/>
    <n v="1.2"/>
    <n v="0"/>
    <n v="0"/>
    <n v="86.315789473684205"/>
    <n v="0"/>
    <n v="0"/>
    <n v="146.761"/>
    <e v="#DIV/0!"/>
    <e v="#DIV/0!"/>
    <e v="#DIV/0!"/>
    <e v="#DIV/0!"/>
    <e v="#DIV/0!"/>
    <n v="1550"/>
    <n v="19160"/>
    <n v="36239"/>
    <n v="1560"/>
    <n v="3640"/>
    <n v="0"/>
    <n v="0"/>
    <n v="137631.90736842103"/>
    <n v="0"/>
    <n v="0"/>
    <n v="137631.90736842103"/>
    <n v="1000"/>
    <e v="#DIV/0!"/>
  </r>
  <r>
    <x v="7"/>
    <x v="7"/>
    <s v="1 (NOCHE)"/>
    <m/>
    <m/>
    <m/>
    <m/>
    <m/>
    <n v="2.6255000000000002"/>
    <n v="0"/>
    <n v="42"/>
    <n v="58"/>
    <n v="0"/>
    <n v="0"/>
    <n v="0"/>
    <n v="368.42105263157896"/>
    <n v="508.7719298245614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.5020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7"/>
    <x v="7"/>
    <s v="2 (MAÑANA)"/>
    <m/>
    <m/>
    <m/>
    <m/>
    <m/>
    <n v="54.697499999999991"/>
    <n v="0"/>
    <n v="42"/>
    <n v="58"/>
    <n v="0"/>
    <n v="0"/>
    <n v="0"/>
    <n v="368.42105263157896"/>
    <n v="508.77192982456143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218.79"/>
    <n v="0"/>
    <n v="147.90708015015332"/>
    <n v="0"/>
    <n v="0"/>
    <n v="0"/>
    <n v="1550"/>
    <n v="19160"/>
    <n v="36239"/>
    <n v="1560"/>
    <n v="3640"/>
    <n v="0"/>
    <n v="5163.1157894736807"/>
    <n v="0"/>
    <n v="0"/>
    <n v="0"/>
    <n v="5163.1157894736807"/>
    <n v="1000"/>
    <n v="34.006795868123255"/>
  </r>
  <r>
    <x v="7"/>
    <x v="7"/>
    <s v="3(TARDE)"/>
    <m/>
    <m/>
    <m/>
    <m/>
    <m/>
    <n v="82.83150000000002"/>
    <n v="0"/>
    <n v="40"/>
    <n v="58"/>
    <n v="0"/>
    <n v="0"/>
    <n v="0"/>
    <n v="350.87719298245617"/>
    <n v="508.77192982456143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331.32600000000002"/>
    <n v="0"/>
    <n v="0"/>
    <n v="153.41632261458221"/>
    <n v="0"/>
    <n v="0"/>
    <n v="1550"/>
    <n v="19160"/>
    <n v="36239"/>
    <n v="1560"/>
    <n v="3640"/>
    <n v="0"/>
    <n v="0"/>
    <n v="67137.515789473633"/>
    <n v="0"/>
    <n v="0"/>
    <n v="67137.515789473633"/>
    <n v="1000"/>
    <n v="244.62478107011316"/>
  </r>
  <r>
    <x v="8"/>
    <x v="8"/>
    <s v="1 (NOCHE)"/>
    <m/>
    <m/>
    <m/>
    <m/>
    <m/>
    <n v="11.694875"/>
    <n v="0"/>
    <n v="40"/>
    <n v="54"/>
    <n v="0"/>
    <n v="0"/>
    <n v="0"/>
    <n v="350.87719298245617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6.779499999999999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8"/>
    <x v="8"/>
    <s v="2 (MAÑANA)"/>
    <m/>
    <m/>
    <m/>
    <m/>
    <m/>
    <n v="11.694875"/>
    <n v="0"/>
    <n v="40"/>
    <n v="54"/>
    <n v="0"/>
    <n v="0"/>
    <n v="0"/>
    <n v="350.87719298245617"/>
    <n v="473.68421052631584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46.779499999999999"/>
    <e v="#REF!"/>
    <e v="#REF!"/>
    <e v="#REF!"/>
    <e v="#REF!"/>
    <e v="#REF!"/>
    <n v="1550"/>
    <n v="19160"/>
    <n v="36239"/>
    <n v="1560"/>
    <n v="3640"/>
    <n v="0"/>
    <n v="5163.1157894736807"/>
    <n v="0"/>
    <n v="0"/>
    <n v="0"/>
    <n v="5163.1157894736807"/>
    <n v="1000"/>
    <e v="#REF!"/>
  </r>
  <r>
    <x v="8"/>
    <x v="8"/>
    <s v="3(TARDE)"/>
    <m/>
    <m/>
    <m/>
    <m/>
    <m/>
    <n v="63.177500000000009"/>
    <n v="0"/>
    <n v="38"/>
    <n v="54"/>
    <n v="0"/>
    <n v="0"/>
    <n v="0"/>
    <n v="333.33333333333337"/>
    <n v="473.68421052631584"/>
    <n v="0"/>
    <n v="0"/>
    <n v="0"/>
    <n v="289.47368421052636"/>
    <n v="17.543859649122851"/>
    <n v="0"/>
    <n v="0"/>
    <n v="1.18"/>
    <n v="1.28"/>
    <n v="1.2"/>
    <n v="1.53"/>
    <n v="1.2"/>
    <n v="0"/>
    <n v="370.52631578947376"/>
    <n v="21.05263157894742"/>
    <n v="0"/>
    <n v="0"/>
    <n v="252.71"/>
    <e v="#REF!"/>
    <e v="#REF!"/>
    <e v="#REF!"/>
    <e v="#REF!"/>
    <e v="#REF!"/>
    <n v="1550"/>
    <n v="19160"/>
    <n v="36239"/>
    <n v="1560"/>
    <n v="3640"/>
    <n v="0"/>
    <n v="85191.410526315798"/>
    <n v="33568.757894736926"/>
    <n v="0"/>
    <n v="0"/>
    <n v="118760.16842105272"/>
    <n v="1000"/>
    <e v="#REF!"/>
  </r>
  <r>
    <x v="9"/>
    <x v="9"/>
    <s v="1 (NOCHE)"/>
    <m/>
    <m/>
    <m/>
    <m/>
    <m/>
    <n v="36.378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45.512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9"/>
    <x v="9"/>
    <s v="2 (MAÑANA)"/>
    <m/>
    <m/>
    <m/>
    <m/>
    <m/>
    <n v="27.78875"/>
    <n v="0"/>
    <n v="5"/>
    <n v="52"/>
    <n v="0"/>
    <n v="0"/>
    <n v="0"/>
    <n v="43.859649122807021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11.155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9"/>
    <x v="9"/>
    <s v="3(TARDE)"/>
    <m/>
    <m/>
    <m/>
    <m/>
    <m/>
    <n v="0"/>
    <n v="0"/>
    <n v="5"/>
    <n v="52"/>
    <n v="0"/>
    <n v="0"/>
    <n v="0"/>
    <n v="43.859649122807021"/>
    <n v="456.14035087719299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0"/>
    <e v="#REF!"/>
    <e v="#REF!"/>
    <e v="#REF!"/>
    <e v="#REF!"/>
    <e v="#REF!"/>
    <n v="1550"/>
    <n v="19160"/>
    <n v="36239"/>
    <n v="1560"/>
    <n v="3640"/>
    <n v="0"/>
    <n v="0"/>
    <n v="67137.515789473633"/>
    <n v="0"/>
    <n v="0"/>
    <n v="67137.515789473633"/>
    <n v="1000"/>
    <e v="#REF!"/>
  </r>
  <r>
    <x v="10"/>
    <x v="10"/>
    <s v="1 (NOCHE)"/>
    <m/>
    <m/>
    <m/>
    <m/>
    <m/>
    <n v="0"/>
    <n v="0"/>
    <n v="5"/>
    <n v="48"/>
    <n v="0"/>
    <n v="0"/>
    <n v="0"/>
    <n v="43.859649122807021"/>
    <n v="421.0526315789474"/>
    <n v="0"/>
    <n v="0"/>
    <n v="0"/>
    <n v="0"/>
    <n v="377.19298245614038"/>
    <n v="0"/>
    <n v="0"/>
    <n v="1.18"/>
    <n v="1.28"/>
    <n v="1.2"/>
    <n v="1.53"/>
    <n v="1.2"/>
    <n v="0"/>
    <n v="0"/>
    <n v="452.63157894736844"/>
    <n v="0"/>
    <n v="0"/>
    <n v="0"/>
    <e v="#REF!"/>
    <e v="#REF!"/>
    <e v="#REF!"/>
    <e v="#REF!"/>
    <e v="#REF!"/>
    <n v="1550"/>
    <n v="19160"/>
    <n v="36239"/>
    <n v="1560"/>
    <n v="3640"/>
    <n v="0"/>
    <n v="0"/>
    <n v="721728.29473684204"/>
    <n v="0"/>
    <n v="0"/>
    <n v="721728.29473684204"/>
    <n v="1000"/>
    <e v="#REF!"/>
  </r>
  <r>
    <x v="10"/>
    <x v="10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0"/>
    <x v="10"/>
    <s v="3(TARD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1"/>
    <x v="11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1"/>
    <x v="11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1"/>
    <x v="11"/>
    <s v="3(TARDE)"/>
    <m/>
    <n v="0"/>
    <n v="0"/>
    <m/>
    <m/>
    <n v="0"/>
    <n v="0"/>
    <n v="5"/>
    <n v="5"/>
    <n v="0"/>
    <n v="0"/>
    <n v="0"/>
    <n v="43.859649122807021"/>
    <n v="43.859649122807021"/>
    <n v="0"/>
    <n v="0"/>
    <n v="0"/>
    <n v="20"/>
    <n v="30"/>
    <n v="0"/>
    <n v="0"/>
    <n v="1.18"/>
    <n v="1.28"/>
    <n v="1.2"/>
    <n v="1.53"/>
    <n v="1.2"/>
    <n v="0"/>
    <n v="25.6"/>
    <n v="36"/>
    <n v="0"/>
    <n v="0"/>
    <n v="0"/>
    <e v="#REF!"/>
    <e v="#REF!"/>
    <e v="#REF!"/>
    <e v="#REF!"/>
    <e v="#REF!"/>
    <n v="1550"/>
    <n v="19160"/>
    <n v="36239"/>
    <n v="1560"/>
    <n v="3640"/>
    <n v="0"/>
    <n v="5885.9520000000002"/>
    <n v="57402.575999999994"/>
    <n v="0"/>
    <n v="0"/>
    <n v="63288.527999999991"/>
    <n v="1000"/>
    <e v="#REF!"/>
  </r>
  <r>
    <x v="12"/>
    <x v="12"/>
    <s v="1 (NOCHE)"/>
    <m/>
    <m/>
    <m/>
    <m/>
    <m/>
    <n v="0"/>
    <n v="0"/>
    <n v="5"/>
    <n v="5"/>
    <n v="0"/>
    <n v="0"/>
    <n v="0"/>
    <n v="43.85964912280702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2"/>
    <x v="12"/>
    <s v="2 (MAÑANA)"/>
    <m/>
    <m/>
    <m/>
    <m/>
    <m/>
    <n v="0"/>
    <n v="0"/>
    <n v="5"/>
    <n v="5"/>
    <n v="0"/>
    <n v="0"/>
    <n v="0"/>
    <n v="43.859649122807021"/>
    <n v="43.859649122807021"/>
    <n v="0"/>
    <n v="0"/>
    <n v="0"/>
    <n v="8.7719298245614041"/>
    <n v="8.7719298245614041"/>
    <n v="0"/>
    <n v="0"/>
    <n v="1.18"/>
    <n v="1.28"/>
    <n v="1.2"/>
    <n v="1.53"/>
    <n v="1.2"/>
    <n v="0"/>
    <n v="11.228070175438598"/>
    <n v="10.526315789473685"/>
    <n v="0"/>
    <n v="0"/>
    <n v="0"/>
    <e v="#REF!"/>
    <e v="#REF!"/>
    <e v="#REF!"/>
    <e v="#REF!"/>
    <e v="#REF!"/>
    <n v="1550"/>
    <n v="19160"/>
    <n v="36239"/>
    <n v="1560"/>
    <n v="3640"/>
    <n v="0"/>
    <n v="2581.5578947368426"/>
    <n v="16784.378947368419"/>
    <n v="0"/>
    <n v="0"/>
    <n v="19365.93684210526"/>
    <n v="1000"/>
    <e v="#REF!"/>
  </r>
  <r>
    <x v="12"/>
    <x v="12"/>
    <s v="3(TARDE)"/>
    <m/>
    <m/>
    <m/>
    <m/>
    <m/>
    <n v="38.350499999999997"/>
    <n v="0"/>
    <n v="4"/>
    <n v="4"/>
    <n v="0"/>
    <n v="0"/>
    <n v="0"/>
    <n v="35.087719298245617"/>
    <n v="35.087719298245617"/>
    <n v="0"/>
    <n v="0"/>
    <n v="0"/>
    <n v="61.403508771929751"/>
    <n v="61.403508771929751"/>
    <n v="0"/>
    <n v="0"/>
    <n v="1.18"/>
    <n v="1.28"/>
    <n v="1.2"/>
    <n v="1.53"/>
    <n v="1.2"/>
    <n v="0"/>
    <n v="78.596491228070079"/>
    <n v="73.684210526315695"/>
    <n v="0"/>
    <n v="0"/>
    <n v="153.40199999999999"/>
    <e v="#REF!"/>
    <e v="#REF!"/>
    <e v="#REF!"/>
    <e v="#REF!"/>
    <e v="#REF!"/>
    <n v="1550"/>
    <n v="19160"/>
    <n v="36239"/>
    <n v="1560"/>
    <n v="3640"/>
    <n v="0"/>
    <n v="18070.905263157874"/>
    <n v="117490.65263157879"/>
    <n v="0"/>
    <n v="0"/>
    <n v="135561.55789473667"/>
    <n v="1000"/>
    <e v="#REF!"/>
  </r>
  <r>
    <x v="13"/>
    <x v="13"/>
    <s v="1 (NOCHE)"/>
    <m/>
    <m/>
    <m/>
    <m/>
    <m/>
    <n v="74.099500000000006"/>
    <n v="0"/>
    <n v="54"/>
    <n v="54"/>
    <n v="0"/>
    <n v="0"/>
    <n v="0"/>
    <n v="473.68421052631584"/>
    <n v="473.6842105263158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6.39800000000002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3"/>
    <x v="13"/>
    <s v="2 (MAÑANA)"/>
    <m/>
    <m/>
    <m/>
    <m/>
    <m/>
    <n v="57.965499999999999"/>
    <n v="0"/>
    <n v="54"/>
    <n v="54"/>
    <n v="0"/>
    <n v="0"/>
    <n v="0"/>
    <n v="473.68421052631584"/>
    <n v="473.68421052631584"/>
    <n v="0"/>
    <n v="0"/>
    <n v="0"/>
    <n v="35.087719298245645"/>
    <n v="140.35087719298247"/>
    <n v="0"/>
    <n v="0"/>
    <n v="1.18"/>
    <n v="1.28"/>
    <n v="1.2"/>
    <n v="1.53"/>
    <n v="1.2"/>
    <n v="0"/>
    <n v="44.912280701754426"/>
    <n v="168.42105263157896"/>
    <n v="0"/>
    <n v="0"/>
    <n v="231.86199999999999"/>
    <e v="#REF!"/>
    <e v="#REF!"/>
    <e v="#REF!"/>
    <e v="#REF!"/>
    <e v="#REF!"/>
    <n v="1550"/>
    <n v="19160"/>
    <n v="36239"/>
    <n v="1560"/>
    <n v="3640"/>
    <n v="0"/>
    <n v="10326.23157894738"/>
    <n v="268550.06315789471"/>
    <n v="0"/>
    <n v="0"/>
    <n v="278876.2947368421"/>
    <n v="1000"/>
    <e v="#REF!"/>
  </r>
  <r>
    <x v="13"/>
    <x v="13"/>
    <s v="3(TARDE)"/>
    <m/>
    <m/>
    <m/>
    <m/>
    <m/>
    <n v="101.30449999999999"/>
    <n v="0"/>
    <n v="50"/>
    <n v="38"/>
    <n v="0"/>
    <n v="0"/>
    <n v="0"/>
    <n v="438.59649122807019"/>
    <n v="333.33333333333337"/>
    <n v="0"/>
    <n v="0"/>
    <n v="0"/>
    <n v="71.403508771929808"/>
    <n v="61.403508771929864"/>
    <n v="0"/>
    <n v="0"/>
    <n v="1.18"/>
    <n v="1.28"/>
    <n v="1.2"/>
    <n v="1.53"/>
    <n v="1.2"/>
    <n v="0"/>
    <n v="91.396491228070161"/>
    <n v="73.684210526315837"/>
    <n v="0"/>
    <n v="0"/>
    <n v="405.21800000000002"/>
    <e v="#REF!"/>
    <e v="#REF!"/>
    <e v="#REF!"/>
    <e v="#REF!"/>
    <e v="#REF!"/>
    <n v="1550"/>
    <n v="19160"/>
    <n v="36239"/>
    <n v="1560"/>
    <n v="3640"/>
    <n v="0"/>
    <n v="21013.881263157891"/>
    <n v="117490.65263157903"/>
    <n v="0"/>
    <n v="0"/>
    <n v="138504.5338947369"/>
    <n v="1000"/>
    <e v="#REF!"/>
  </r>
  <r>
    <x v="14"/>
    <x v="14"/>
    <s v="1 (NOCHE)"/>
    <m/>
    <m/>
    <m/>
    <m/>
    <m/>
    <n v="114.5"/>
    <n v="0"/>
    <n v="43"/>
    <n v="31"/>
    <n v="0"/>
    <n v="0"/>
    <n v="0"/>
    <n v="377.19298245614038"/>
    <n v="271.92982456140351"/>
    <n v="0"/>
    <n v="0"/>
    <n v="0"/>
    <n v="26.31578947368422"/>
    <n v="17.543859649122794"/>
    <n v="0"/>
    <n v="0"/>
    <n v="1.18"/>
    <n v="1.28"/>
    <n v="1.2"/>
    <n v="1.53"/>
    <n v="1.2"/>
    <n v="0"/>
    <n v="33.684210526315802"/>
    <n v="21.052631578947352"/>
    <n v="0"/>
    <n v="0"/>
    <n v="458"/>
    <e v="#REF!"/>
    <e v="#REF!"/>
    <e v="#REF!"/>
    <e v="#REF!"/>
    <e v="#REF!"/>
    <n v="1550"/>
    <n v="19160"/>
    <n v="36239"/>
    <n v="1560"/>
    <n v="3640"/>
    <n v="0"/>
    <n v="7744.6736842105292"/>
    <n v="33568.757894736817"/>
    <n v="0"/>
    <n v="0"/>
    <n v="41313.431578947348"/>
    <n v="1000"/>
    <e v="#REF!"/>
  </r>
  <r>
    <x v="14"/>
    <x v="14"/>
    <s v="2 (MAÑANA)"/>
    <m/>
    <m/>
    <m/>
    <m/>
    <m/>
    <n v="109.5"/>
    <n v="0"/>
    <n v="40"/>
    <n v="29"/>
    <n v="0"/>
    <n v="0"/>
    <n v="0"/>
    <n v="350.87719298245617"/>
    <n v="254.38596491228071"/>
    <n v="0"/>
    <n v="0"/>
    <n v="0"/>
    <n v="35.087719298245645"/>
    <n v="78.94736842105263"/>
    <n v="0"/>
    <n v="0"/>
    <n v="1.18"/>
    <n v="1.28"/>
    <n v="1.2"/>
    <n v="1.53"/>
    <n v="1.2"/>
    <n v="0"/>
    <n v="44.912280701754426"/>
    <n v="94.73684210526315"/>
    <n v="0"/>
    <n v="0"/>
    <n v="438"/>
    <e v="#REF!"/>
    <e v="#REF!"/>
    <e v="#REF!"/>
    <e v="#REF!"/>
    <e v="#REF!"/>
    <n v="1550"/>
    <n v="19160"/>
    <n v="36239"/>
    <n v="1560"/>
    <n v="3640"/>
    <n v="0"/>
    <n v="10326.23157894738"/>
    <n v="151059.41052631577"/>
    <n v="0"/>
    <n v="0"/>
    <n v="161385.64210526313"/>
    <n v="1000"/>
    <e v="#REF!"/>
  </r>
  <r>
    <x v="14"/>
    <x v="14"/>
    <s v="3(TARDE)"/>
    <m/>
    <m/>
    <m/>
    <m/>
    <m/>
    <n v="112.11574999999999"/>
    <n v="0"/>
    <n v="36"/>
    <n v="20"/>
    <n v="0"/>
    <n v="0"/>
    <n v="0"/>
    <n v="315.78947368421052"/>
    <n v="175.43859649122808"/>
    <n v="0"/>
    <n v="0"/>
    <n v="0"/>
    <n v="35.087719298245588"/>
    <n v="43.859649122807014"/>
    <n v="0"/>
    <n v="0"/>
    <n v="1.18"/>
    <n v="1.28"/>
    <n v="1.2"/>
    <n v="1.53"/>
    <n v="1.2"/>
    <n v="0"/>
    <n v="44.912280701754355"/>
    <n v="52.631578947368418"/>
    <n v="0"/>
    <n v="0"/>
    <n v="448.46300000000002"/>
    <e v="#REF!"/>
    <e v="#REF!"/>
    <e v="#REF!"/>
    <e v="#REF!"/>
    <e v="#REF!"/>
    <n v="1550"/>
    <n v="19160"/>
    <n v="36239"/>
    <n v="1560"/>
    <n v="3640"/>
    <n v="0"/>
    <n v="10326.231578947361"/>
    <n v="83921.894736842092"/>
    <n v="0"/>
    <n v="0"/>
    <n v="94248.126315789457"/>
    <n v="1000"/>
    <e v="#REF!"/>
  </r>
  <r>
    <x v="15"/>
    <x v="15"/>
    <s v="1 (NOCHE)"/>
    <m/>
    <m/>
    <m/>
    <m/>
    <m/>
    <n v="91.487250000000017"/>
    <n v="0"/>
    <n v="32"/>
    <n v="15"/>
    <n v="0"/>
    <n v="0"/>
    <n v="0"/>
    <n v="280.70175438596493"/>
    <n v="131.57894736842107"/>
    <n v="0"/>
    <n v="0"/>
    <n v="0"/>
    <n v="17.543859649122794"/>
    <n v="35.087719298245617"/>
    <n v="0"/>
    <n v="0"/>
    <n v="1.18"/>
    <n v="1.28"/>
    <n v="1.2"/>
    <n v="1.53"/>
    <n v="1.2"/>
    <n v="0"/>
    <n v="22.456140350877178"/>
    <n v="42.10526315789474"/>
    <n v="0"/>
    <n v="0"/>
    <n v="365.94900000000001"/>
    <e v="#REF!"/>
    <e v="#REF!"/>
    <e v="#REF!"/>
    <e v="#REF!"/>
    <e v="#REF!"/>
    <n v="1550"/>
    <n v="19160"/>
    <n v="36239"/>
    <n v="1560"/>
    <n v="3640"/>
    <n v="0"/>
    <n v="5163.1157894736807"/>
    <n v="67137.515789473677"/>
    <n v="0"/>
    <n v="0"/>
    <n v="72300.631578947359"/>
    <n v="1000"/>
    <e v="#REF!"/>
  </r>
  <r>
    <x v="15"/>
    <x v="15"/>
    <s v="2 (MAÑANA)"/>
    <m/>
    <m/>
    <m/>
    <m/>
    <m/>
    <n v="65.311999999999998"/>
    <n v="0"/>
    <n v="30"/>
    <n v="11"/>
    <n v="0"/>
    <n v="0"/>
    <n v="0"/>
    <n v="263.15789473684214"/>
    <n v="96.491228070175453"/>
    <n v="0"/>
    <n v="0"/>
    <n v="0"/>
    <n v="26.31578947368422"/>
    <n v="17.543859649122822"/>
    <n v="0"/>
    <n v="0"/>
    <n v="1.18"/>
    <n v="1.28"/>
    <n v="1.2"/>
    <n v="1.53"/>
    <n v="1.2"/>
    <n v="0"/>
    <n v="33.684210526315802"/>
    <n v="21.052631578947388"/>
    <n v="0"/>
    <n v="0"/>
    <n v="261.24799999999999"/>
    <e v="#REF!"/>
    <e v="#REF!"/>
    <e v="#REF!"/>
    <e v="#REF!"/>
    <e v="#REF!"/>
    <n v="1550"/>
    <n v="19160"/>
    <n v="36239"/>
    <n v="1560"/>
    <n v="3640"/>
    <n v="0"/>
    <n v="7744.6736842105292"/>
    <n v="33568.757894736867"/>
    <n v="0"/>
    <n v="0"/>
    <n v="41313.431578947399"/>
    <n v="1000"/>
    <e v="#REF!"/>
  </r>
  <r>
    <x v="15"/>
    <x v="15"/>
    <s v="3(TARDE)"/>
    <m/>
    <m/>
    <m/>
    <m/>
    <m/>
    <n v="53.514000000000003"/>
    <n v="0"/>
    <n v="27"/>
    <n v="9"/>
    <n v="0"/>
    <n v="0"/>
    <n v="0"/>
    <n v="236.84210526315792"/>
    <n v="78.94736842105263"/>
    <n v="0"/>
    <n v="0"/>
    <n v="0"/>
    <n v="8.7719298245614254"/>
    <n v="17.543859649122801"/>
    <n v="0"/>
    <n v="0"/>
    <n v="1.18"/>
    <n v="1.28"/>
    <n v="1.2"/>
    <n v="1.53"/>
    <n v="1.2"/>
    <n v="0"/>
    <n v="11.228070175438624"/>
    <n v="21.052631578947359"/>
    <n v="0"/>
    <n v="0"/>
    <n v="214.05600000000001"/>
    <e v="#REF!"/>
    <e v="#REF!"/>
    <e v="#REF!"/>
    <e v="#REF!"/>
    <e v="#REF!"/>
    <n v="1550"/>
    <n v="19160"/>
    <n v="36239"/>
    <n v="1560"/>
    <n v="3640"/>
    <n v="0"/>
    <n v="2581.5578947368485"/>
    <n v="33568.757894736824"/>
    <n v="0"/>
    <n v="0"/>
    <n v="36150.315789473672"/>
    <n v="1000"/>
    <e v="#REF!"/>
  </r>
  <r>
    <x v="16"/>
    <x v="16"/>
    <s v="1 (NOCHE)"/>
    <m/>
    <m/>
    <m/>
    <m/>
    <m/>
    <n v="87.716499999999982"/>
    <n v="0"/>
    <n v="26"/>
    <n v="7"/>
    <n v="0"/>
    <n v="0"/>
    <n v="0"/>
    <n v="228.07017543859649"/>
    <n v="61.403508771929829"/>
    <n v="0"/>
    <n v="0"/>
    <n v="0"/>
    <n v="17.543859649122794"/>
    <n v="0"/>
    <n v="0"/>
    <n v="0"/>
    <n v="1.18"/>
    <n v="1.28"/>
    <n v="1.2"/>
    <n v="1.53"/>
    <n v="1.2"/>
    <n v="0"/>
    <n v="22.456140350877178"/>
    <n v="0"/>
    <n v="0"/>
    <n v="0"/>
    <n v="350.86599999999999"/>
    <e v="#REF!"/>
    <e v="#REF!"/>
    <e v="#REF!"/>
    <e v="#REF!"/>
    <e v="#REF!"/>
    <n v="1550"/>
    <n v="19160"/>
    <n v="36239"/>
    <n v="1560"/>
    <n v="3640"/>
    <n v="0"/>
    <n v="5163.1157894736807"/>
    <n v="0"/>
    <n v="0"/>
    <n v="0"/>
    <n v="5163.1157894736807"/>
    <n v="1000"/>
    <e v="#REF!"/>
  </r>
  <r>
    <x v="16"/>
    <x v="16"/>
    <s v="2 (MAÑANA)"/>
    <m/>
    <m/>
    <m/>
    <m/>
    <m/>
    <n v="28.097500000000004"/>
    <n v="0"/>
    <n v="24"/>
    <n v="7"/>
    <n v="0"/>
    <n v="0"/>
    <n v="0"/>
    <n v="210.5263157894737"/>
    <n v="61.403508771929829"/>
    <n v="0"/>
    <n v="0"/>
    <n v="0"/>
    <n v="17.543859649122794"/>
    <n v="17.543859649122808"/>
    <n v="0"/>
    <n v="0"/>
    <n v="1.18"/>
    <n v="1.28"/>
    <n v="1.2"/>
    <n v="1.53"/>
    <n v="1.2"/>
    <n v="0"/>
    <n v="22.456140350877178"/>
    <n v="21.05263157894737"/>
    <n v="0"/>
    <n v="0"/>
    <n v="112.39"/>
    <e v="#REF!"/>
    <e v="#REF!"/>
    <e v="#REF!"/>
    <e v="#REF!"/>
    <e v="#REF!"/>
    <n v="1550"/>
    <n v="19160"/>
    <n v="36239"/>
    <n v="1560"/>
    <n v="3640"/>
    <n v="0"/>
    <n v="5163.1157894736807"/>
    <n v="33568.757894736838"/>
    <n v="0"/>
    <n v="0"/>
    <n v="38731.873684210521"/>
    <n v="1000"/>
    <e v="#REF!"/>
  </r>
  <r>
    <x v="16"/>
    <x v="16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7"/>
    <x v="17"/>
    <s v="1 (NOCH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7"/>
    <x v="17"/>
    <s v="2 (MAÑANA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7"/>
    <x v="17"/>
    <s v="3(TARDE)"/>
    <m/>
    <m/>
    <m/>
    <m/>
    <m/>
    <n v="0"/>
    <n v="0"/>
    <n v="22"/>
    <n v="5"/>
    <n v="0"/>
    <n v="0"/>
    <n v="0"/>
    <n v="192.98245614035091"/>
    <n v="43.859649122807021"/>
    <n v="0"/>
    <n v="0"/>
    <n v="0"/>
    <n v="0"/>
    <n v="17.543859649122808"/>
    <n v="0"/>
    <n v="0"/>
    <n v="1.18"/>
    <n v="1.28"/>
    <n v="1.2"/>
    <n v="1.53"/>
    <n v="1.2"/>
    <n v="0"/>
    <n v="0"/>
    <n v="21.05263157894737"/>
    <n v="0"/>
    <n v="0"/>
    <n v="0"/>
    <e v="#REF!"/>
    <e v="#REF!"/>
    <e v="#REF!"/>
    <e v="#REF!"/>
    <e v="#REF!"/>
    <n v="1550"/>
    <n v="19160"/>
    <n v="36239"/>
    <n v="1560"/>
    <n v="3640"/>
    <n v="0"/>
    <n v="0"/>
    <n v="33568.757894736838"/>
    <n v="0"/>
    <n v="0"/>
    <n v="33568.757894736838"/>
    <n v="1000"/>
    <e v="#REF!"/>
  </r>
  <r>
    <x v="18"/>
    <x v="18"/>
    <s v="1 (NOCH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8"/>
    <x v="18"/>
    <s v="2 (MAÑANA)"/>
    <m/>
    <m/>
    <m/>
    <m/>
    <m/>
    <n v="64.333749999999995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7.33499999999998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8"/>
    <x v="18"/>
    <s v="3(TARDE)"/>
    <m/>
    <m/>
    <m/>
    <m/>
    <m/>
    <n v="0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9"/>
    <x v="19"/>
    <s v="1 (NOCHE)"/>
    <m/>
    <m/>
    <m/>
    <m/>
    <m/>
    <n v="37.956499999999998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9"/>
    <x v="19"/>
    <s v="2 (MAÑANA)"/>
    <m/>
    <m/>
    <m/>
    <m/>
    <m/>
    <n v="37.956499999999998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1.82599999999999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9"/>
    <x v="19"/>
    <s v="3(TARDE)"/>
    <m/>
    <m/>
    <m/>
    <m/>
    <m/>
    <n v="73.274500000000003"/>
    <n v="0"/>
    <n v="22"/>
    <n v="3"/>
    <n v="0"/>
    <n v="0"/>
    <n v="0"/>
    <n v="192.98245614035091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93.09800000000001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20"/>
    <x v="20"/>
    <s v="1 (NOCHE)"/>
    <m/>
    <m/>
    <m/>
    <m/>
    <m/>
    <n v="115.41774999999998"/>
    <n v="0"/>
    <n v="22"/>
    <n v="3"/>
    <n v="0"/>
    <n v="0"/>
    <n v="0"/>
    <n v="192.98245614035091"/>
    <n v="26.315789473684212"/>
    <n v="0"/>
    <n v="0"/>
    <n v="0"/>
    <n v="26.31578947368422"/>
    <n v="0"/>
    <n v="0"/>
    <n v="0"/>
    <n v="1.18"/>
    <n v="1.28"/>
    <n v="1.2"/>
    <n v="1.53"/>
    <n v="1.2"/>
    <n v="0"/>
    <n v="33.684210526315802"/>
    <n v="0"/>
    <n v="0"/>
    <n v="0"/>
    <n v="461.67099999999999"/>
    <n v="0"/>
    <n v="72.961504028444068"/>
    <n v="0"/>
    <n v="0"/>
    <n v="0"/>
    <n v="1550"/>
    <n v="19160"/>
    <n v="36239"/>
    <n v="1560"/>
    <n v="3640"/>
    <n v="0"/>
    <n v="7744.6736842105292"/>
    <n v="0"/>
    <n v="0"/>
    <n v="0"/>
    <n v="7744.6736842105292"/>
    <n v="1000"/>
    <n v="16.77530900621986"/>
  </r>
  <r>
    <x v="20"/>
    <x v="20"/>
    <s v="2 (MAÑANA)"/>
    <m/>
    <m/>
    <m/>
    <m/>
    <m/>
    <n v="68.612750000000005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4.45100000000002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20"/>
    <x v="20"/>
    <s v="3(TARDE)"/>
    <m/>
    <m/>
    <m/>
    <m/>
    <m/>
    <n v="42.873250000000006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71.492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1"/>
    <x v="21"/>
    <s v="1 (NOCHE)"/>
    <m/>
    <m/>
    <m/>
    <m/>
    <m/>
    <n v="62.89549999999999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1.581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1"/>
    <x v="21"/>
    <s v="2 (MAÑANA)"/>
    <m/>
    <m/>
    <m/>
    <m/>
    <m/>
    <n v="91.02949999999999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117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1"/>
    <x v="21"/>
    <s v="3(TARDE)"/>
    <m/>
    <m/>
    <m/>
    <m/>
    <m/>
    <n v="65.81525000000002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3.26100000000002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2"/>
    <x v="22"/>
    <s v="1 (NOCHE)"/>
    <m/>
    <m/>
    <m/>
    <m/>
    <m/>
    <n v="27.49524999999999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09.980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2"/>
    <x v="22"/>
    <s v="2 (MAÑANA)"/>
    <m/>
    <m/>
    <m/>
    <m/>
    <m/>
    <n v="15.65399999999999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62.616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2"/>
    <x v="22"/>
    <s v="3(TARDE)"/>
    <m/>
    <m/>
    <m/>
    <m/>
    <m/>
    <n v="100.9085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03.634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3"/>
    <x v="23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3"/>
    <x v="23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3"/>
    <x v="23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4"/>
    <x v="24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4"/>
    <x v="24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4"/>
    <x v="24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5"/>
    <x v="25"/>
    <s v="1 (NOCH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5"/>
    <x v="25"/>
    <s v="2 (MAÑANA)"/>
    <m/>
    <m/>
    <m/>
    <m/>
    <m/>
    <n v="91.007999999999996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03199999999998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5"/>
    <x v="25"/>
    <s v="3(TARDE)"/>
    <m/>
    <m/>
    <m/>
    <m/>
    <m/>
    <n v="19.521999999999998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78.087999999999994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6"/>
    <x v="26"/>
    <s v="1 (NOCHE)"/>
    <m/>
    <m/>
    <m/>
    <m/>
    <m/>
    <n v="45.281000000000006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1.124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6"/>
    <x v="26"/>
    <s v="2 (MAÑANA)"/>
    <m/>
    <m/>
    <m/>
    <m/>
    <m/>
    <n v="46.85575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7.423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6"/>
    <x v="26"/>
    <s v="3(TARDE)"/>
    <m/>
    <m/>
    <m/>
    <m/>
    <m/>
    <n v="67.86775000000000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71.47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7"/>
    <x v="27"/>
    <s v="1 (NOCHE)"/>
    <m/>
    <m/>
    <m/>
    <m/>
    <m/>
    <n v="128.60225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14.408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7"/>
    <x v="27"/>
    <s v="2 (MAÑANA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7"/>
    <x v="27"/>
    <s v="3(TARDE)"/>
    <m/>
    <m/>
    <m/>
    <m/>
    <m/>
    <n v="131.13274999999996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24.53099999999995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8"/>
    <x v="28"/>
    <s v="1 (NOCHE)"/>
    <m/>
    <m/>
    <m/>
    <m/>
    <m/>
    <n v="110.4582500000000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1.83300000000003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8"/>
    <x v="28"/>
    <s v="2 (MAÑANA)"/>
    <m/>
    <m/>
    <m/>
    <m/>
    <m/>
    <n v="79.22275000000001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16.89100000000002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8"/>
    <x v="28"/>
    <s v="3(TARDE)"/>
    <m/>
    <m/>
    <m/>
    <m/>
    <m/>
    <n v="76.497249999999994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5.98899999999998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9"/>
    <x v="29"/>
    <s v="1 (NOCHE)"/>
    <m/>
    <m/>
    <m/>
    <m/>
    <m/>
    <n v="126.10325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504.413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9"/>
    <x v="29"/>
    <s v="2 (MAÑANA)"/>
    <m/>
    <m/>
    <m/>
    <m/>
    <m/>
    <n v="76.626249999999999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6.505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9"/>
    <x v="29"/>
    <s v="3(TARDE)"/>
    <m/>
    <m/>
    <m/>
    <m/>
    <m/>
    <n v="111.55975000000001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6.23899999999998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30"/>
    <x v="30"/>
    <s v="1 (NOCHE)"/>
    <m/>
    <m/>
    <m/>
    <m/>
    <m/>
    <n v="11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44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30"/>
    <x v="30"/>
    <s v="2 (MAÑANA)"/>
    <m/>
    <m/>
    <m/>
    <m/>
    <m/>
    <n v="56.330749999999995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25.323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30"/>
    <x v="30"/>
    <s v="3(TARDE)"/>
    <m/>
    <m/>
    <m/>
    <m/>
    <m/>
    <n v="0"/>
    <n v="0"/>
    <n v="19"/>
    <n v="3"/>
    <n v="0"/>
    <n v="0"/>
    <n v="0"/>
    <n v="166.66666666666669"/>
    <n v="26.31578947368421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1"/>
    <x v="31"/>
    <m/>
    <m/>
    <m/>
    <m/>
    <m/>
    <m/>
    <n v="0"/>
    <n v="0"/>
    <n v="19"/>
    <n v="3"/>
    <n v="0"/>
    <n v="0"/>
    <n v="0"/>
    <n v="166.66666666666669"/>
    <n v="26.315789473684212"/>
    <n v="0"/>
    <n v="0"/>
    <n v="0"/>
    <n v="166.66666666666669"/>
    <n v="26.315789473684212"/>
    <n v="0"/>
    <n v="0"/>
    <m/>
    <m/>
    <m/>
    <m/>
    <m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m/>
    <e v="#DIV/0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n v="1"/>
    <s v="FINAL TURNO 3"/>
    <n v="2160"/>
    <n v="2100"/>
    <n v="1670"/>
    <n v="250"/>
    <n v="185"/>
    <n v="16502"/>
    <n v="0"/>
    <n v="80"/>
    <n v="88.4626865671641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0"/>
    <x v="0"/>
    <s v="2 (MAÑANA)"/>
    <n v="2"/>
    <s v="FINAL TURNO 1"/>
    <n v="2160"/>
    <n v="2100"/>
    <n v="1670"/>
    <n v="250"/>
    <n v="185"/>
    <n v="16502"/>
    <n v="0"/>
    <n v="80"/>
    <n v="88.4626865671641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0"/>
    <x v="0"/>
    <s v="3(TARDE)"/>
    <n v="3"/>
    <s v="FINAL TURNO 2"/>
    <n v="2160"/>
    <n v="2100"/>
    <n v="1670"/>
    <n v="250"/>
    <n v="185"/>
    <n v="16502"/>
    <n v="0"/>
    <n v="80"/>
    <n v="88.4626865671641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"/>
    <x v="1"/>
    <s v="2 (NOCHE)"/>
    <n v="4"/>
    <s v="FINAL TURNO 3"/>
    <n v="2160"/>
    <n v="2100"/>
    <n v="1670"/>
    <n v="250"/>
    <n v="185"/>
    <n v="16502"/>
    <n v="0"/>
    <n v="80"/>
    <n v="88.4626865671641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"/>
    <x v="1"/>
    <s v="3 (MAÑANA)"/>
    <n v="5"/>
    <s v="FINAL TURNO 1"/>
    <n v="2160"/>
    <n v="2100"/>
    <n v="1670"/>
    <n v="250"/>
    <n v="185"/>
    <n v="16502"/>
    <n v="640.23880597014931"/>
    <n v="83"/>
    <n v="91.462686567164184"/>
    <n v="80"/>
    <n v="150"/>
    <n v="70"/>
    <n v="5"/>
    <n v="5"/>
    <n v="104"/>
    <n v="198.75"/>
    <n v="87.5"/>
    <n v="5"/>
    <n v="5"/>
    <n v="162.43938828795226"/>
    <n v="310.43104252144718"/>
    <n v="136.66775456919058"/>
    <n v="7.8095859753823191"/>
    <n v="7.8095859753823191"/>
    <n v="1.3"/>
    <n v="1.325"/>
    <n v="1.25"/>
    <n v="2500"/>
    <n v="2500"/>
    <n v="830"/>
    <n v="2900"/>
    <n v="6295"/>
    <n v="19050"/>
    <n v="22050"/>
    <n v="86320"/>
    <n v="576375"/>
    <n v="550812.5"/>
    <n v="95250"/>
    <n v="110250"/>
    <n v="1419007.5"/>
    <n v="5250"/>
    <n v="2216.3722141924654"/>
  </r>
  <r>
    <x v="1"/>
    <x v="1"/>
    <s v="3(TARDE)"/>
    <n v="6"/>
    <s v="FINAL TURNO 2"/>
    <n v="2080"/>
    <n v="1950"/>
    <n v="1600"/>
    <n v="245"/>
    <n v="180"/>
    <n v="16509"/>
    <n v="174.92537313432837"/>
    <n v="79"/>
    <n v="87.462686567164184"/>
    <n v="80"/>
    <n v="50"/>
    <n v="50"/>
    <n v="5"/>
    <n v="5"/>
    <n v="104"/>
    <n v="66.25"/>
    <n v="62.5"/>
    <n v="5"/>
    <n v="5"/>
    <n v="594.5392491467577"/>
    <n v="378.73293515358358"/>
    <n v="357.29522184300339"/>
    <n v="28.583617747440272"/>
    <n v="28.583617747440272"/>
    <n v="1.3"/>
    <n v="1.325"/>
    <n v="1.25"/>
    <n v="2500"/>
    <n v="2500"/>
    <n v="830"/>
    <n v="2900"/>
    <n v="6295"/>
    <n v="19050"/>
    <n v="22050"/>
    <n v="86320"/>
    <n v="192125"/>
    <n v="393437.5"/>
    <n v="95250"/>
    <n v="110250"/>
    <n v="877382.5"/>
    <n v="5250"/>
    <n v="5015.7531996587031"/>
  </r>
  <r>
    <x v="2"/>
    <x v="2"/>
    <s v="3 (NOCHE)"/>
    <n v="7"/>
    <s v="FINAL TURNO 3"/>
    <n v="2000"/>
    <n v="1750"/>
    <n v="1550"/>
    <n v="240"/>
    <n v="175"/>
    <n v="16511"/>
    <n v="0"/>
    <n v="0"/>
    <n v="8.4626865671641784"/>
    <n v="40"/>
    <n v="80"/>
    <n v="25"/>
    <n v="0"/>
    <n v="0"/>
    <n v="52"/>
    <n v="106"/>
    <n v="31.25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43160"/>
    <n v="307400"/>
    <n v="196718.75"/>
    <n v="0"/>
    <n v="0"/>
    <n v="547278.75"/>
    <n v="5250"/>
    <e v="#DIV/0!"/>
  </r>
  <r>
    <x v="2"/>
    <x v="2"/>
    <s v="4 (MAÑANA)"/>
    <n v="8"/>
    <s v="FINAL TURNO 1"/>
    <n v="1960"/>
    <n v="1670"/>
    <n v="1525"/>
    <n v="240"/>
    <n v="175"/>
    <n v="16511"/>
    <n v="268.38805970149258"/>
    <n v="81"/>
    <n v="89.462686567164184"/>
    <n v="40"/>
    <n v="80"/>
    <n v="25"/>
    <n v="0"/>
    <n v="0"/>
    <n v="52"/>
    <n v="106"/>
    <n v="31.25"/>
    <n v="0"/>
    <n v="0"/>
    <n v="193.74930486041595"/>
    <n v="394.95050606161709"/>
    <n v="116.4358803247692"/>
    <n v="0"/>
    <n v="0"/>
    <n v="1.3"/>
    <n v="1.325"/>
    <n v="1.25"/>
    <n v="2500"/>
    <n v="2500"/>
    <n v="830"/>
    <n v="2900"/>
    <n v="6295"/>
    <n v="19050"/>
    <n v="22050"/>
    <n v="43160"/>
    <n v="307400"/>
    <n v="196718.75"/>
    <n v="0"/>
    <n v="0"/>
    <n v="547278.75"/>
    <n v="5250"/>
    <n v="2039.1322572572569"/>
  </r>
  <r>
    <x v="2"/>
    <x v="2"/>
    <s v="3(TARDE)"/>
    <n v="9"/>
    <s v="FINAL TURNO 2"/>
    <n v="1920"/>
    <n v="1590"/>
    <n v="1500"/>
    <n v="240"/>
    <n v="175"/>
    <n v="16514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"/>
    <x v="3"/>
    <s v="4 (NOCHE)"/>
    <n v="10"/>
    <s v="FINAL TURNO 3"/>
    <n v="1920"/>
    <n v="1590"/>
    <n v="1500"/>
    <n v="240"/>
    <n v="175"/>
    <n v="16514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"/>
    <x v="3"/>
    <s v="5 (MAÑANA)"/>
    <n v="11"/>
    <s v="FINAL TURNO 1"/>
    <n v="1920"/>
    <n v="1590"/>
    <n v="1500"/>
    <n v="240"/>
    <n v="175"/>
    <n v="16514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"/>
    <x v="3"/>
    <s v="3(TARDE)"/>
    <n v="12"/>
    <s v="FINAL TURNO 2"/>
    <n v="1920"/>
    <n v="1590"/>
    <n v="1500"/>
    <n v="240"/>
    <n v="175"/>
    <n v="16514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4"/>
    <x v="4"/>
    <s v="5 (NOCHE)"/>
    <n v="13"/>
    <s v="FINAL TURNO 3"/>
    <n v="1920"/>
    <n v="1590"/>
    <n v="1500"/>
    <n v="240"/>
    <n v="175"/>
    <n v="16514"/>
    <n v="89.462686567164184"/>
    <n v="81"/>
    <n v="89.462686567164184"/>
    <n v="0"/>
    <n v="50"/>
    <n v="0"/>
    <n v="0"/>
    <n v="0"/>
    <n v="0"/>
    <n v="66.25"/>
    <n v="0"/>
    <n v="0"/>
    <n v="0"/>
    <n v="0"/>
    <n v="740.53219886553211"/>
    <n v="0"/>
    <n v="0"/>
    <n v="0"/>
    <n v="1.3"/>
    <n v="1.325"/>
    <n v="1.25"/>
    <n v="2500"/>
    <n v="2500"/>
    <n v="830"/>
    <n v="2900"/>
    <n v="6295"/>
    <n v="19050"/>
    <n v="22050"/>
    <n v="0"/>
    <n v="192125"/>
    <n v="0"/>
    <n v="0"/>
    <n v="0"/>
    <n v="192125"/>
    <n v="5250"/>
    <n v="2147.543376710043"/>
  </r>
  <r>
    <x v="4"/>
    <x v="4"/>
    <s v="6 (MAÑANA)"/>
    <n v="14"/>
    <s v="FINAL TURNO 1"/>
    <n v="1920"/>
    <n v="1440"/>
    <n v="1500"/>
    <n v="250"/>
    <n v="170"/>
    <n v="16515"/>
    <n v="341.85074626865674"/>
    <n v="77"/>
    <n v="85.462686567164184"/>
    <n v="70"/>
    <n v="40"/>
    <n v="50"/>
    <n v="0"/>
    <n v="5"/>
    <n v="91"/>
    <n v="53"/>
    <n v="62.5"/>
    <n v="0"/>
    <n v="5"/>
    <n v="266.19804400977995"/>
    <n v="155.03842123646524"/>
    <n v="182.82832692979392"/>
    <n v="0"/>
    <n v="14.626266154383513"/>
    <n v="1.3"/>
    <n v="1.325"/>
    <n v="1.25"/>
    <n v="2500"/>
    <n v="2500"/>
    <n v="830"/>
    <n v="2900"/>
    <n v="6295"/>
    <n v="19050"/>
    <n v="22050"/>
    <n v="75530"/>
    <n v="153700"/>
    <n v="393437.5"/>
    <n v="0"/>
    <n v="110250"/>
    <n v="732917.5"/>
    <n v="5250"/>
    <n v="2143.9692848410755"/>
  </r>
  <r>
    <x v="4"/>
    <x v="4"/>
    <s v="3(TARDE)"/>
    <n v="15"/>
    <s v="FINAL TURNO 2"/>
    <n v="1850"/>
    <n v="1400"/>
    <n v="1450"/>
    <n v="250"/>
    <n v="165"/>
    <n v="16519"/>
    <n v="437.31343283582089"/>
    <n v="79"/>
    <n v="87.462686567164184"/>
    <n v="40"/>
    <n v="100"/>
    <n v="50"/>
    <n v="0"/>
    <n v="5"/>
    <n v="52"/>
    <n v="132.5"/>
    <n v="62.5"/>
    <n v="0"/>
    <n v="5"/>
    <n v="118.90784982935153"/>
    <n v="302.9863481228669"/>
    <n v="142.91808873720137"/>
    <n v="0"/>
    <n v="11.43344709897611"/>
    <n v="1.3"/>
    <n v="1.325"/>
    <n v="1.25"/>
    <n v="2500"/>
    <n v="2500"/>
    <n v="830"/>
    <n v="2900"/>
    <n v="6295"/>
    <n v="19050"/>
    <n v="22050"/>
    <n v="43160"/>
    <n v="384250"/>
    <n v="393437.5"/>
    <n v="0"/>
    <n v="110250"/>
    <n v="931097.5"/>
    <n v="5250"/>
    <n v="2129.1308020477818"/>
  </r>
  <r>
    <x v="5"/>
    <x v="5"/>
    <s v="6 (NOCHE)"/>
    <n v="16"/>
    <s v="FINAL TURNO 3"/>
    <n v="1710"/>
    <n v="1300"/>
    <n v="1400"/>
    <n v="250"/>
    <n v="160"/>
    <n v="16524"/>
    <n v="271.38805970149258"/>
    <n v="82"/>
    <n v="90.462686567164184"/>
    <n v="60"/>
    <n v="150"/>
    <n v="30"/>
    <n v="5"/>
    <n v="5"/>
    <n v="78"/>
    <n v="198.75"/>
    <n v="37.5"/>
    <n v="5"/>
    <n v="5"/>
    <n v="287.4113182643128"/>
    <n v="732.34614750041237"/>
    <n v="138.17851839630421"/>
    <n v="18.423802452840562"/>
    <n v="18.423802452840562"/>
    <n v="1.3"/>
    <n v="1.325"/>
    <n v="1.25"/>
    <n v="2500"/>
    <n v="2500"/>
    <n v="830"/>
    <n v="2900"/>
    <n v="6295"/>
    <n v="19050"/>
    <n v="22050"/>
    <n v="64740"/>
    <n v="576375"/>
    <n v="236062.5"/>
    <n v="95250"/>
    <n v="110250"/>
    <n v="1082677.5"/>
    <n v="5250"/>
    <n v="3989.4072760270578"/>
  </r>
  <r>
    <x v="5"/>
    <x v="5"/>
    <s v="7 (MAÑANA)"/>
    <n v="17"/>
    <s v="FINAL TURNO 1"/>
    <n v="1650"/>
    <n v="1000"/>
    <n v="1370"/>
    <n v="245"/>
    <n v="155"/>
    <n v="16527"/>
    <n v="280.38805970149258"/>
    <n v="85"/>
    <n v="93.462686567164184"/>
    <n v="200"/>
    <n v="200"/>
    <n v="90"/>
    <n v="0"/>
    <n v="0"/>
    <n v="260"/>
    <n v="265"/>
    <n v="112.5"/>
    <n v="0"/>
    <n v="0"/>
    <n v="927.28627701479809"/>
    <n v="945.11870541892881"/>
    <n v="401.22963909294151"/>
    <n v="0"/>
    <n v="0"/>
    <n v="1.3"/>
    <n v="1.325"/>
    <n v="1.25"/>
    <n v="2500"/>
    <n v="2500"/>
    <n v="830"/>
    <n v="2900"/>
    <n v="6295"/>
    <n v="19050"/>
    <n v="22050"/>
    <n v="215800"/>
    <n v="768500"/>
    <n v="708187.5"/>
    <n v="0"/>
    <n v="0"/>
    <n v="1692487.5"/>
    <n v="5250"/>
    <n v="6036.232433727243"/>
  </r>
  <r>
    <x v="5"/>
    <x v="5"/>
    <s v="3(TARDE)"/>
    <n v="18"/>
    <s v="FINAL TURNO 2"/>
    <n v="1450"/>
    <n v="800"/>
    <n v="1280"/>
    <n v="245"/>
    <n v="155"/>
    <n v="16530"/>
    <n v="530.77611940298516"/>
    <n v="80"/>
    <n v="88.462686567164184"/>
    <n v="160"/>
    <n v="150"/>
    <n v="80"/>
    <n v="0"/>
    <n v="5"/>
    <n v="208"/>
    <n v="198.75"/>
    <n v="100"/>
    <n v="0"/>
    <n v="5"/>
    <n v="391.87897193633648"/>
    <n v="374.45166188628303"/>
    <n v="188.40335189246946"/>
    <n v="0"/>
    <n v="9.4201675946234733"/>
    <n v="1.3"/>
    <n v="1.325"/>
    <n v="1.25"/>
    <n v="2500"/>
    <n v="2500"/>
    <n v="830"/>
    <n v="2900"/>
    <n v="6295"/>
    <n v="19050"/>
    <n v="22050"/>
    <n v="172640"/>
    <n v="576375"/>
    <n v="629500"/>
    <n v="0"/>
    <n v="110250"/>
    <n v="1488765"/>
    <n v="5250"/>
    <n v="2804.8831618019231"/>
  </r>
  <r>
    <x v="6"/>
    <x v="6"/>
    <s v="7 (NOCHE)"/>
    <n v="19"/>
    <s v="FINAL TURNO 3"/>
    <n v="4290"/>
    <n v="2650"/>
    <n v="1200"/>
    <n v="245"/>
    <n v="175"/>
    <n v="16536"/>
    <n v="262.38805970149258"/>
    <n v="79"/>
    <n v="87.462686567164184"/>
    <n v="50"/>
    <n v="350"/>
    <n v="50"/>
    <n v="5"/>
    <n v="5"/>
    <n v="65"/>
    <n v="463.75"/>
    <n v="62.5"/>
    <n v="5"/>
    <n v="5"/>
    <n v="247.72468714448232"/>
    <n v="1767.4203640500566"/>
    <n v="238.19681456200223"/>
    <n v="19.055745164960179"/>
    <n v="19.055745164960179"/>
    <n v="1.3"/>
    <n v="1.325"/>
    <n v="1.25"/>
    <n v="2500"/>
    <n v="2500"/>
    <n v="830"/>
    <n v="2900"/>
    <n v="6295"/>
    <n v="19050"/>
    <n v="22050"/>
    <n v="53950"/>
    <n v="1344875"/>
    <n v="393437.5"/>
    <n v="95250"/>
    <n v="110250"/>
    <n v="1997762.5"/>
    <n v="5250"/>
    <n v="7613.7706200227522"/>
  </r>
  <r>
    <x v="6"/>
    <x v="6"/>
    <s v="8 (MAÑANA)"/>
    <n v="20"/>
    <s v="FINAL TURNO 1"/>
    <n v="4240"/>
    <n v="2300"/>
    <n v="1150"/>
    <n v="240"/>
    <n v="170"/>
    <n v="16539"/>
    <n v="180.92537313432837"/>
    <n v="82"/>
    <n v="90.462686567164184"/>
    <n v="90"/>
    <n v="150"/>
    <n v="50"/>
    <n v="0"/>
    <n v="5"/>
    <n v="117"/>
    <n v="198.75"/>
    <n v="62.5"/>
    <n v="0"/>
    <n v="5"/>
    <n v="646.67546609470378"/>
    <n v="1098.5192212506186"/>
    <n v="345.44629599076058"/>
    <n v="0"/>
    <n v="27.635703679260846"/>
    <n v="1.3"/>
    <n v="1.325"/>
    <n v="1.25"/>
    <n v="2500"/>
    <n v="2500"/>
    <n v="830"/>
    <n v="2900"/>
    <n v="6295"/>
    <n v="19050"/>
    <n v="22050"/>
    <n v="97110"/>
    <n v="576375"/>
    <n v="393437.5"/>
    <n v="0"/>
    <n v="110250"/>
    <n v="1177172.5"/>
    <n v="5250"/>
    <n v="6506.3980778749374"/>
  </r>
  <r>
    <x v="6"/>
    <x v="6"/>
    <s v="3(TARDE)"/>
    <n v="21"/>
    <s v="FINAL TURNO 2"/>
    <n v="4150"/>
    <n v="2000"/>
    <n v="1100"/>
    <n v="240"/>
    <n v="165"/>
    <n v="16541"/>
    <n v="432.31343283582089"/>
    <n v="78"/>
    <n v="86.462686567164184"/>
    <n v="120"/>
    <n v="200"/>
    <n v="40"/>
    <n v="0"/>
    <n v="5"/>
    <n v="156"/>
    <n v="265"/>
    <n v="50"/>
    <n v="0"/>
    <n v="5"/>
    <n v="360.84930088037288"/>
    <n v="612.98118418781291"/>
    <n v="115.65682720524771"/>
    <n v="0"/>
    <n v="11.565682720524771"/>
    <n v="1.3"/>
    <n v="1.325"/>
    <n v="1.25"/>
    <n v="2500"/>
    <n v="2500"/>
    <n v="830"/>
    <n v="2900"/>
    <n v="6295"/>
    <n v="19050"/>
    <n v="22050"/>
    <n v="129480"/>
    <n v="768500"/>
    <n v="314750"/>
    <n v="0"/>
    <n v="110250"/>
    <n v="1322980"/>
    <n v="5250"/>
    <n v="3060.2333851199724"/>
  </r>
  <r>
    <x v="7"/>
    <x v="7"/>
    <s v="8 (NOCHE)"/>
    <n v="22"/>
    <s v="FINAL TURNO 3"/>
    <n v="4030"/>
    <n v="2800"/>
    <n v="1060"/>
    <n v="240"/>
    <n v="160"/>
    <n v="16546"/>
    <n v="217.38805970149255"/>
    <n v="64"/>
    <n v="72.462686567164184"/>
    <n v="80"/>
    <n v="260"/>
    <n v="20"/>
    <n v="5"/>
    <n v="5"/>
    <n v="104"/>
    <n v="344.5"/>
    <n v="25"/>
    <n v="5"/>
    <n v="5"/>
    <n v="478.40714040508067"/>
    <n v="1584.7236525918297"/>
    <n v="115.00171644352901"/>
    <n v="23.0003432887058"/>
    <n v="23.0003432887058"/>
    <n v="1.3"/>
    <n v="1.325"/>
    <n v="1.25"/>
    <n v="2500"/>
    <n v="2500"/>
    <n v="830"/>
    <n v="2900"/>
    <n v="6295"/>
    <n v="19050"/>
    <n v="22050"/>
    <n v="86320"/>
    <n v="999050"/>
    <n v="157375"/>
    <n v="95250"/>
    <n v="110250"/>
    <n v="1448245"/>
    <n v="5250"/>
    <n v="6662.0264332303459"/>
  </r>
  <r>
    <x v="7"/>
    <x v="7"/>
    <s v="9 (MAÑANA)"/>
    <n v="23"/>
    <s v="FINAL TURNO 1"/>
    <n v="3950"/>
    <n v="2540"/>
    <n v="1040"/>
    <n v="235"/>
    <n v="155"/>
    <n v="16549"/>
    <n v="305.85074626865674"/>
    <n v="68"/>
    <n v="76.462686567164184"/>
    <n v="220"/>
    <n v="100"/>
    <n v="70"/>
    <n v="0"/>
    <n v="5"/>
    <n v="286"/>
    <n v="132.5"/>
    <n v="87.5"/>
    <n v="0"/>
    <n v="5"/>
    <n v="935.09662307241842"/>
    <n v="433.21784110872534"/>
    <n v="286.08725356236579"/>
    <n v="0"/>
    <n v="16.347843060706616"/>
    <n v="1.3"/>
    <n v="1.325"/>
    <n v="1.25"/>
    <n v="2500"/>
    <n v="2500"/>
    <n v="830"/>
    <n v="2900"/>
    <n v="6295"/>
    <n v="19050"/>
    <n v="22050"/>
    <n v="237380"/>
    <n v="384250"/>
    <n v="550812.5"/>
    <n v="0"/>
    <n v="110250"/>
    <n v="1282692.5"/>
    <n v="5250"/>
    <n v="4193.8511370290844"/>
  </r>
  <r>
    <x v="7"/>
    <x v="7"/>
    <s v="3(TARDE)"/>
    <n v="24"/>
    <s v="FINAL TURNO 2"/>
    <n v="3730"/>
    <n v="2440"/>
    <n v="970"/>
    <n v="235"/>
    <n v="150"/>
    <n v="16553"/>
    <n v="434.7761194029851"/>
    <n v="64"/>
    <n v="72.462686567164184"/>
    <n v="30"/>
    <n v="190"/>
    <n v="70"/>
    <n v="0"/>
    <n v="5"/>
    <n v="39"/>
    <n v="251.75"/>
    <n v="87.5"/>
    <n v="0"/>
    <n v="5"/>
    <n v="89.701338825952618"/>
    <n v="579.03364229316855"/>
    <n v="201.25300377617575"/>
    <n v="0"/>
    <n v="11.5001716443529"/>
    <n v="1.3"/>
    <n v="1.325"/>
    <n v="1.25"/>
    <n v="2500"/>
    <n v="2500"/>
    <n v="830"/>
    <n v="2900"/>
    <n v="6295"/>
    <n v="19050"/>
    <n v="22050"/>
    <n v="32370"/>
    <n v="730075"/>
    <n v="550812.5"/>
    <n v="0"/>
    <n v="110250"/>
    <n v="1423507.5"/>
    <n v="5250"/>
    <n v="3274.116117404737"/>
  </r>
  <r>
    <x v="8"/>
    <x v="8"/>
    <s v="9 (NOCHE)"/>
    <n v="25"/>
    <s v="FINAL TURNO 3"/>
    <n v="3700"/>
    <n v="2100"/>
    <n v="900"/>
    <n v="235"/>
    <n v="145"/>
    <n v="16559"/>
    <n v="235.38805970149255"/>
    <n v="70"/>
    <n v="78.462686567164184"/>
    <n v="60"/>
    <n v="180"/>
    <n v="50"/>
    <n v="5"/>
    <n v="5"/>
    <n v="78"/>
    <n v="238.5"/>
    <n v="62.5"/>
    <n v="5"/>
    <n v="5"/>
    <n v="331.36770020924479"/>
    <n v="1013.2204679474985"/>
    <n v="265.51899055227949"/>
    <n v="21.24151924418236"/>
    <n v="21.24151924418236"/>
    <n v="1.3"/>
    <n v="1.325"/>
    <n v="1.25"/>
    <n v="2500"/>
    <n v="2500"/>
    <n v="830"/>
    <n v="2900"/>
    <n v="6295"/>
    <n v="19050"/>
    <n v="22050"/>
    <n v="64740"/>
    <n v="691650"/>
    <n v="393437.5"/>
    <n v="95250"/>
    <n v="110250"/>
    <n v="1355327.5"/>
    <n v="5250"/>
    <n v="5757.8430346839132"/>
  </r>
  <r>
    <x v="8"/>
    <x v="8"/>
    <s v="10 (MAÑANA)"/>
    <n v="26"/>
    <s v="FINAL TURNO 1"/>
    <n v="3640"/>
    <n v="1920"/>
    <n v="850"/>
    <n v="230"/>
    <n v="140"/>
    <n v="16562"/>
    <n v="250.38805970149255"/>
    <n v="75"/>
    <n v="83.462686567164184"/>
    <n v="75"/>
    <n v="105"/>
    <n v="70"/>
    <n v="0"/>
    <n v="5"/>
    <n v="97.5"/>
    <n v="139.125"/>
    <n v="87.5"/>
    <n v="0"/>
    <n v="5"/>
    <n v="389.39556509298995"/>
    <n v="555.63751788268951"/>
    <n v="349.45755841678584"/>
    <n v="0"/>
    <n v="19.969003338102048"/>
    <n v="1.3"/>
    <n v="1.325"/>
    <n v="1.25"/>
    <n v="2500"/>
    <n v="2500"/>
    <n v="830"/>
    <n v="2900"/>
    <n v="6295"/>
    <n v="19050"/>
    <n v="22050"/>
    <n v="80925"/>
    <n v="403462.5"/>
    <n v="550812.5"/>
    <n v="0"/>
    <n v="110250"/>
    <n v="1145450"/>
    <n v="5250"/>
    <n v="4574.6989747257985"/>
  </r>
  <r>
    <x v="8"/>
    <x v="8"/>
    <s v="3(TARDE)"/>
    <n v="27"/>
    <s v="FINAL TURNO 2"/>
    <n v="3565"/>
    <n v="1665"/>
    <n v="780"/>
    <n v="230"/>
    <n v="135"/>
    <n v="16565"/>
    <n v="488.7761194029851"/>
    <n v="73"/>
    <n v="81.462686567164184"/>
    <n v="75"/>
    <n v="255"/>
    <n v="70"/>
    <n v="0"/>
    <n v="5"/>
    <n v="97.5"/>
    <n v="337.875"/>
    <n v="87.5"/>
    <n v="0"/>
    <n v="5"/>
    <n v="199.47783070721874"/>
    <n v="691.26740564309262"/>
    <n v="179.01856601929887"/>
    <n v="0"/>
    <n v="10.229632343959937"/>
    <n v="1.3"/>
    <n v="1.325"/>
    <n v="1.25"/>
    <n v="2500"/>
    <n v="2500"/>
    <n v="830"/>
    <n v="2900"/>
    <n v="6295"/>
    <n v="19050"/>
    <n v="22050"/>
    <n v="80925"/>
    <n v="979837.5"/>
    <n v="550812.5"/>
    <n v="0"/>
    <n v="110250"/>
    <n v="1721825"/>
    <n v="5250"/>
    <n v="3522.7273421277632"/>
  </r>
  <r>
    <x v="9"/>
    <x v="9"/>
    <s v="10 (NOCHE)"/>
    <n v="28"/>
    <s v="FINAL TURNO 3"/>
    <n v="3490"/>
    <n v="1410"/>
    <n v="710"/>
    <n v="230"/>
    <n v="130"/>
    <n v="16571"/>
    <n v="417.31343283582089"/>
    <n v="75"/>
    <n v="83.462686567164184"/>
    <n v="40"/>
    <n v="160"/>
    <n v="80"/>
    <n v="5"/>
    <n v="5"/>
    <n v="52"/>
    <n v="212"/>
    <n v="100"/>
    <n v="5"/>
    <n v="5"/>
    <n v="124.60658082975679"/>
    <n v="508.01144492131618"/>
    <n v="239.62804005722461"/>
    <n v="11.98140200286123"/>
    <n v="11.98140200286123"/>
    <n v="1.3"/>
    <n v="1.325"/>
    <n v="1.25"/>
    <n v="2500"/>
    <n v="2500"/>
    <n v="830"/>
    <n v="2900"/>
    <n v="6295"/>
    <n v="19050"/>
    <n v="22050"/>
    <n v="43160"/>
    <n v="614800"/>
    <n v="629500"/>
    <n v="95250"/>
    <n v="110250"/>
    <n v="1492960"/>
    <n v="5250"/>
    <n v="3577.5507868383406"/>
  </r>
  <r>
    <x v="9"/>
    <x v="9"/>
    <s v="11 (MAÑANA)"/>
    <n v="29"/>
    <s v="FINAL TURNO 1"/>
    <n v="3350"/>
    <n v="1250"/>
    <n v="630"/>
    <n v="225"/>
    <n v="125"/>
    <n v="16576"/>
    <n v="176.92537313432837"/>
    <n v="80"/>
    <n v="88.462686567164184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</r>
  <r>
    <x v="9"/>
    <x v="9"/>
    <s v="3(TARDE)"/>
    <n v="30"/>
    <s v="FINAL TURNO 2"/>
    <n v="3350"/>
    <n v="1250"/>
    <n v="630"/>
    <n v="225"/>
    <n v="125"/>
    <n v="16578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0"/>
    <x v="10"/>
    <s v="11 (NOCHE)"/>
    <n v="31"/>
    <s v="FINAL TURNO 3"/>
    <n v="3350"/>
    <n v="1250"/>
    <n v="630"/>
    <n v="225"/>
    <n v="125"/>
    <n v="16578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0"/>
    <x v="10"/>
    <s v="12 (MAÑANA)"/>
    <n v="32"/>
    <s v="FINAL TURNO 1"/>
    <n v="3350"/>
    <n v="1250"/>
    <n v="630"/>
    <n v="225"/>
    <n v="125"/>
    <n v="16578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0"/>
    <x v="10"/>
    <s v="3(TARDE)"/>
    <n v="33"/>
    <s v="FINAL TURNO 2"/>
    <n v="3350"/>
    <n v="1250"/>
    <n v="630"/>
    <n v="225"/>
    <n v="125"/>
    <n v="16578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1"/>
    <x v="11"/>
    <s v="12 (NOCHE)"/>
    <n v="34"/>
    <s v="FINAL TURNO 3"/>
    <n v="3350"/>
    <n v="1250"/>
    <n v="630"/>
    <n v="225"/>
    <n v="125"/>
    <n v="16578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1"/>
    <x v="11"/>
    <s v="13 (MAÑANA)"/>
    <n v="35"/>
    <s v="FINAL TURNO 1"/>
    <n v="3350"/>
    <n v="1250"/>
    <n v="630"/>
    <n v="225"/>
    <n v="125"/>
    <n v="16578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1"/>
    <x v="11"/>
    <s v="3(TARDE)"/>
    <n v="36"/>
    <s v="FINAL TURNO 2"/>
    <n v="3350"/>
    <n v="1250"/>
    <n v="630"/>
    <n v="225"/>
    <n v="125"/>
    <n v="16578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2"/>
    <x v="12"/>
    <s v="13 (NOCHE)"/>
    <n v="37"/>
    <s v="FINAL TURNO 3"/>
    <n v="3350"/>
    <n v="1250"/>
    <n v="630"/>
    <n v="225"/>
    <n v="125"/>
    <n v="16578"/>
    <n v="241.38805970149255"/>
    <n v="72"/>
    <n v="80.462686567164184"/>
    <n v="180"/>
    <n v="160"/>
    <n v="80"/>
    <n v="0"/>
    <n v="0"/>
    <n v="234"/>
    <n v="212"/>
    <n v="100"/>
    <n v="0"/>
    <n v="0"/>
    <n v="969.39343350027821"/>
    <n v="878.25387992332901"/>
    <n v="414.27069807704197"/>
    <n v="0"/>
    <n v="0"/>
    <n v="1.3"/>
    <n v="1.325"/>
    <n v="1.25"/>
    <n v="2500"/>
    <n v="2500"/>
    <n v="830"/>
    <n v="2900"/>
    <n v="6295"/>
    <n v="19050"/>
    <n v="22050"/>
    <n v="194220"/>
    <n v="614800"/>
    <n v="629500"/>
    <n v="0"/>
    <n v="0"/>
    <n v="1438520"/>
    <n v="5250"/>
    <n v="5959.3668459778637"/>
  </r>
  <r>
    <x v="12"/>
    <x v="12"/>
    <s v="14 (MAÑANA)"/>
    <n v="38"/>
    <s v="FINAL TURNO 1"/>
    <n v="3170"/>
    <n v="3940"/>
    <n v="550"/>
    <n v="225"/>
    <n v="125"/>
    <n v="16581"/>
    <n v="530.77611940298516"/>
    <n v="80"/>
    <n v="88.462686567164184"/>
    <n v="100"/>
    <n v="170"/>
    <n v="50"/>
    <n v="0"/>
    <n v="5"/>
    <n v="130"/>
    <n v="225.25"/>
    <n v="62.5"/>
    <n v="0"/>
    <n v="5"/>
    <n v="244.9243574602103"/>
    <n v="424.37855013778744"/>
    <n v="117.75209493279341"/>
    <n v="0"/>
    <n v="9.4201675946234733"/>
    <n v="1.3"/>
    <n v="1.325"/>
    <n v="1.25"/>
    <n v="2500"/>
    <n v="2500"/>
    <n v="830"/>
    <n v="2900"/>
    <n v="6295"/>
    <n v="19050"/>
    <n v="22050"/>
    <n v="107900"/>
    <n v="653225"/>
    <n v="393437.5"/>
    <n v="0"/>
    <n v="110250"/>
    <n v="1264812.5"/>
    <n v="5250"/>
    <n v="2382.9491451549402"/>
  </r>
  <r>
    <x v="12"/>
    <x v="12"/>
    <s v="3(TARDE)"/>
    <n v="39"/>
    <s v="FINAL TURNO 2"/>
    <n v="3070"/>
    <n v="3770"/>
    <n v="500"/>
    <n v="225"/>
    <n v="120"/>
    <n v="16587"/>
    <n v="707.70149253731347"/>
    <n v="80"/>
    <n v="88.462686567164184"/>
    <n v="190"/>
    <n v="320"/>
    <n v="110"/>
    <n v="5"/>
    <n v="5"/>
    <n v="247"/>
    <n v="424"/>
    <n v="137.5"/>
    <n v="5"/>
    <n v="5"/>
    <n v="349.01720938079973"/>
    <n v="599.1226590180529"/>
    <n v="194.29095663910914"/>
    <n v="7.0651256959676054"/>
    <n v="7.0651256959676054"/>
    <n v="1.3"/>
    <n v="1.325"/>
    <n v="1.25"/>
    <n v="2500"/>
    <n v="2500"/>
    <n v="830"/>
    <n v="2900"/>
    <n v="6295"/>
    <n v="19050"/>
    <n v="22050"/>
    <n v="205010"/>
    <n v="1229600"/>
    <n v="865562.5"/>
    <n v="95250"/>
    <n v="110250"/>
    <n v="2505672.5"/>
    <n v="5250"/>
    <n v="3540.5782330858779"/>
  </r>
  <r>
    <x v="13"/>
    <x v="13"/>
    <s v="14 (NOCHE)"/>
    <n v="40"/>
    <s v="FINAL TURNO 3"/>
    <n v="2780"/>
    <n v="3450"/>
    <n v="1000"/>
    <n v="220"/>
    <n v="115"/>
    <n v="16595"/>
    <n v="530.77611940298516"/>
    <n v="80"/>
    <n v="88.462686567164184"/>
    <n v="40"/>
    <n v="220"/>
    <n v="120"/>
    <n v="0"/>
    <n v="5"/>
    <n v="52"/>
    <n v="291.5"/>
    <n v="150"/>
    <n v="0"/>
    <n v="5"/>
    <n v="97.969742984084121"/>
    <n v="549.19577076654843"/>
    <n v="282.60502783870419"/>
    <n v="0"/>
    <n v="9.4201675946234733"/>
    <n v="1.3"/>
    <n v="1.325"/>
    <n v="1.25"/>
    <n v="2500"/>
    <n v="2500"/>
    <n v="830"/>
    <n v="2900"/>
    <n v="6295"/>
    <n v="19050"/>
    <n v="22050"/>
    <n v="43160"/>
    <n v="845350"/>
    <n v="944250"/>
    <n v="0"/>
    <n v="110250"/>
    <n v="1943010"/>
    <n v="5250"/>
    <n v="3660.6959676058709"/>
  </r>
  <r>
    <x v="13"/>
    <x v="13"/>
    <s v="15 (MAÑANA)"/>
    <n v="41"/>
    <s v="FINAL TURNO 1"/>
    <n v="2740"/>
    <n v="3230"/>
    <n v="880"/>
    <n v="220"/>
    <n v="110"/>
    <n v="16601"/>
    <n v="530.77611940298516"/>
    <n v="80"/>
    <n v="88.462686567164184"/>
    <n v="230"/>
    <n v="350"/>
    <n v="160"/>
    <n v="0"/>
    <n v="5"/>
    <n v="299"/>
    <n v="463.75"/>
    <n v="200"/>
    <n v="0"/>
    <n v="5"/>
    <n v="563.32602215848374"/>
    <n v="873.72054440132717"/>
    <n v="376.80670378493892"/>
    <n v="0"/>
    <n v="9.4201675946234733"/>
    <n v="1.3"/>
    <n v="1.325"/>
    <n v="1.25"/>
    <n v="2500"/>
    <n v="2500"/>
    <n v="830"/>
    <n v="2900"/>
    <n v="6295"/>
    <n v="19050"/>
    <n v="22050"/>
    <n v="248170"/>
    <n v="1344875"/>
    <n v="1259000"/>
    <n v="0"/>
    <n v="110250"/>
    <n v="2962295"/>
    <n v="5250"/>
    <n v="5581.0630729430286"/>
  </r>
  <r>
    <x v="13"/>
    <x v="13"/>
    <s v="3(TARDE)"/>
    <n v="42"/>
    <s v="FINAL TURNO 2"/>
    <n v="2510"/>
    <n v="2720"/>
    <n v="720"/>
    <n v="220"/>
    <n v="105"/>
    <n v="16607"/>
    <n v="707.70149253731347"/>
    <n v="80"/>
    <n v="88.462686567164184"/>
    <n v="10"/>
    <n v="110"/>
    <n v="70"/>
    <n v="5"/>
    <n v="5"/>
    <n v="13"/>
    <n v="145.75"/>
    <n v="87.5"/>
    <n v="5"/>
    <n v="5"/>
    <n v="18.369326809515773"/>
    <n v="205.94841403745571"/>
    <n v="123.63969967943309"/>
    <n v="7.0651256959676054"/>
    <n v="7.0651256959676054"/>
    <n v="1.3"/>
    <n v="1.325"/>
    <n v="1.25"/>
    <n v="2500"/>
    <n v="2500"/>
    <n v="830"/>
    <n v="2900"/>
    <n v="6295"/>
    <n v="19050"/>
    <n v="22050"/>
    <n v="10790"/>
    <n v="422675"/>
    <n v="550812.5"/>
    <n v="95250"/>
    <n v="110250"/>
    <n v="1189777.5"/>
    <n v="5250"/>
    <n v="1681.1855175468195"/>
  </r>
  <r>
    <x v="14"/>
    <x v="14"/>
    <s v="15 (NOCHE)"/>
    <n v="43"/>
    <s v="FINAL TURNO 3"/>
    <n v="2500"/>
    <n v="2610"/>
    <n v="650"/>
    <n v="215"/>
    <n v="100"/>
    <n v="16615"/>
    <n v="619.23880597014931"/>
    <n v="80"/>
    <n v="88.462686567164184"/>
    <n v="50"/>
    <n v="270"/>
    <n v="50"/>
    <n v="0"/>
    <n v="5"/>
    <n v="65"/>
    <n v="357.75"/>
    <n v="62.5"/>
    <n v="0"/>
    <n v="5"/>
    <n v="104.96758176866156"/>
    <n v="577.72542119597961"/>
    <n v="100.9303670852515"/>
    <n v="0"/>
    <n v="8.0744293668201195"/>
    <n v="1.3"/>
    <n v="1.325"/>
    <n v="1.25"/>
    <n v="2500"/>
    <n v="2500"/>
    <n v="830"/>
    <n v="2900"/>
    <n v="6295"/>
    <n v="19050"/>
    <n v="22050"/>
    <n v="53950"/>
    <n v="1037475"/>
    <n v="393437.5"/>
    <n v="0"/>
    <n v="110250"/>
    <n v="1595112.5"/>
    <n v="5250"/>
    <n v="2575.9246426763716"/>
  </r>
  <r>
    <x v="14"/>
    <x v="14"/>
    <s v="16 (MAÑANA)"/>
    <n v="44"/>
    <s v="FINAL TURNO 1"/>
    <n v="2450"/>
    <n v="2340"/>
    <n v="600"/>
    <n v="215"/>
    <n v="95"/>
    <n v="16622"/>
    <n v="619.23880597014931"/>
    <n v="80"/>
    <n v="88.462686567164184"/>
    <n v="30"/>
    <n v="190"/>
    <n v="70"/>
    <n v="0"/>
    <n v="5"/>
    <n v="39"/>
    <n v="251.75"/>
    <n v="87.5"/>
    <n v="0"/>
    <n v="5"/>
    <n v="62.980549061196939"/>
    <n v="406.54751861939303"/>
    <n v="141.30251391935209"/>
    <n v="0"/>
    <n v="8.0744293668201195"/>
    <n v="1.3"/>
    <n v="1.325"/>
    <n v="1.25"/>
    <n v="2500"/>
    <n v="2500"/>
    <n v="830"/>
    <n v="2900"/>
    <n v="6295"/>
    <n v="19050"/>
    <n v="22050"/>
    <n v="32370"/>
    <n v="730075"/>
    <n v="550812.5"/>
    <n v="0"/>
    <n v="110250"/>
    <n v="1423507.5"/>
    <n v="5250"/>
    <n v="2298.8021523777384"/>
  </r>
  <r>
    <x v="14"/>
    <x v="14"/>
    <s v="3(TARDE)"/>
    <n v="45"/>
    <s v="FINAL TURNO 2"/>
    <n v="2420"/>
    <n v="2150"/>
    <n v="530"/>
    <n v="215"/>
    <n v="90"/>
    <n v="16629"/>
    <n v="530.77611940298516"/>
    <n v="80"/>
    <n v="88.462686567164184"/>
    <n v="120"/>
    <n v="150"/>
    <n v="30"/>
    <n v="5"/>
    <n v="5"/>
    <n v="156"/>
    <n v="198.75"/>
    <n v="37.5"/>
    <n v="5"/>
    <n v="5"/>
    <n v="293.90922895225236"/>
    <n v="374.45166188628303"/>
    <n v="70.651256959676047"/>
    <n v="9.4201675946234733"/>
    <n v="9.4201675946234733"/>
    <n v="1.3"/>
    <n v="1.325"/>
    <n v="1.25"/>
    <n v="2500"/>
    <n v="2500"/>
    <n v="830"/>
    <n v="2900"/>
    <n v="6295"/>
    <n v="19050"/>
    <n v="22050"/>
    <n v="129480"/>
    <n v="576375"/>
    <n v="236062.5"/>
    <n v="95250"/>
    <n v="110250"/>
    <n v="1147417.5"/>
    <n v="5250"/>
    <n v="2161.7730302007758"/>
  </r>
  <r>
    <x v="15"/>
    <x v="15"/>
    <s v="16 (NOCHE)"/>
    <n v="46"/>
    <s v="FINAL TURNO 3"/>
    <n v="2300"/>
    <n v="2000"/>
    <n v="500"/>
    <n v="210"/>
    <n v="85"/>
    <n v="16635"/>
    <n v="542.77611940298516"/>
    <n v="82"/>
    <n v="90.462686567164184"/>
    <n v="100"/>
    <n v="180"/>
    <n v="50"/>
    <n v="0"/>
    <n v="5"/>
    <n v="130"/>
    <n v="238.5"/>
    <n v="62.5"/>
    <n v="0"/>
    <n v="5"/>
    <n v="239.5094318869273"/>
    <n v="439.40768850024739"/>
    <n v="115.14876533025351"/>
    <n v="0"/>
    <n v="9.2119012264202809"/>
    <n v="1.3"/>
    <n v="1.325"/>
    <n v="1.25"/>
    <n v="2500"/>
    <n v="2500"/>
    <n v="830"/>
    <n v="2900"/>
    <n v="6295"/>
    <n v="19050"/>
    <n v="22050"/>
    <n v="107900"/>
    <n v="691650"/>
    <n v="393437.5"/>
    <n v="0"/>
    <n v="110250"/>
    <n v="1303237.5"/>
    <n v="5250"/>
    <n v="2401.0590249133802"/>
  </r>
  <r>
    <x v="15"/>
    <x v="15"/>
    <s v="17 (MAÑANA)"/>
    <n v="47"/>
    <s v="FINAL TURNO 1"/>
    <n v="2100"/>
    <n v="1820"/>
    <n v="450"/>
    <n v="210"/>
    <n v="80"/>
    <n v="16641"/>
    <n v="530.77611940298516"/>
    <n v="80"/>
    <n v="88.462686567164184"/>
    <n v="40"/>
    <n v="220"/>
    <n v="100"/>
    <n v="0"/>
    <n v="5"/>
    <n v="52"/>
    <n v="291.5"/>
    <n v="125"/>
    <n v="0"/>
    <n v="5"/>
    <n v="97.969742984084121"/>
    <n v="549.19577076654843"/>
    <n v="235.50418986558682"/>
    <n v="0"/>
    <n v="9.4201675946234733"/>
    <n v="1.3"/>
    <n v="1.325"/>
    <n v="1.25"/>
    <n v="2500"/>
    <n v="2500"/>
    <n v="830"/>
    <n v="2900"/>
    <n v="6295"/>
    <n v="19050"/>
    <n v="22050"/>
    <n v="43160"/>
    <n v="845350"/>
    <n v="786875"/>
    <n v="0"/>
    <n v="110250"/>
    <n v="1785635"/>
    <n v="5250"/>
    <n v="3364.1961925650971"/>
  </r>
  <r>
    <x v="15"/>
    <x v="15"/>
    <s v="3(TARDE)"/>
    <n v="48"/>
    <s v="FINAL TURNO 2"/>
    <n v="2060"/>
    <n v="1600"/>
    <n v="350"/>
    <n v="210"/>
    <n v="75"/>
    <n v="16647"/>
    <n v="357.85074626865674"/>
    <n v="81"/>
    <n v="89.462686567164184"/>
    <n v="70"/>
    <n v="200"/>
    <n v="40"/>
    <n v="5"/>
    <n v="5"/>
    <n v="91"/>
    <n v="265"/>
    <n v="50"/>
    <n v="5"/>
    <n v="5"/>
    <n v="254.29596262929596"/>
    <n v="740.53219886553211"/>
    <n v="139.72305638972304"/>
    <n v="13.972305638972305"/>
    <n v="13.972305638972305"/>
    <n v="1.3"/>
    <n v="1.325"/>
    <n v="1.25"/>
    <n v="2500"/>
    <n v="2500"/>
    <n v="830"/>
    <n v="2900"/>
    <n v="6295"/>
    <n v="19050"/>
    <n v="22050"/>
    <n v="75530"/>
    <n v="768500"/>
    <n v="314750"/>
    <n v="95250"/>
    <n v="110250"/>
    <n v="1364280"/>
    <n v="5250"/>
    <n v="3812.4274274274271"/>
  </r>
  <r>
    <x v="16"/>
    <x v="16"/>
    <s v="17 (NOCHE)"/>
    <n v="49"/>
    <s v="FINAL TURNO 3"/>
    <n v="1990"/>
    <n v="1400"/>
    <n v="310"/>
    <n v="205"/>
    <n v="70"/>
    <n v="16651"/>
    <n v="691.70149253731347"/>
    <n v="78"/>
    <n v="86.462686567164184"/>
    <n v="90"/>
    <n v="30"/>
    <n v="20"/>
    <n v="0"/>
    <n v="5"/>
    <n v="117"/>
    <n v="39.75"/>
    <n v="25"/>
    <n v="0"/>
    <n v="5"/>
    <n v="169.14810978767477"/>
    <n v="57.466986017607454"/>
    <n v="36.142758501639911"/>
    <n v="0"/>
    <n v="7.2285517003279818"/>
    <n v="1.3"/>
    <n v="1.325"/>
    <n v="1.25"/>
    <n v="2500"/>
    <n v="2500"/>
    <n v="830"/>
    <n v="2900"/>
    <n v="6295"/>
    <n v="19050"/>
    <n v="22050"/>
    <n v="97110"/>
    <n v="115275"/>
    <n v="157375"/>
    <n v="0"/>
    <n v="110250"/>
    <n v="480010"/>
    <n v="5250"/>
    <n v="693.95542033488687"/>
  </r>
  <r>
    <x v="16"/>
    <x v="16"/>
    <s v="18 (MAÑANA)"/>
    <n v="50"/>
    <s v="FINAL TURNO 1"/>
    <n v="1900"/>
    <n v="1370"/>
    <n v="290"/>
    <n v="205"/>
    <n v="65"/>
    <n v="16659"/>
    <n v="353.85074626865674"/>
    <n v="80"/>
    <n v="88.462686567164184"/>
    <n v="80"/>
    <n v="110"/>
    <n v="20"/>
    <n v="5"/>
    <n v="5"/>
    <n v="104"/>
    <n v="145.75"/>
    <n v="25"/>
    <n v="5"/>
    <n v="5"/>
    <n v="293.90922895225236"/>
    <n v="411.89682807491141"/>
    <n v="70.651256959676061"/>
    <n v="14.130251391935211"/>
    <n v="14.130251391935211"/>
    <n v="1.3"/>
    <n v="1.325"/>
    <n v="1.25"/>
    <n v="2500"/>
    <n v="2500"/>
    <n v="830"/>
    <n v="2900"/>
    <n v="6295"/>
    <n v="19050"/>
    <n v="22050"/>
    <n v="86320"/>
    <n v="422675"/>
    <n v="157375"/>
    <n v="95250"/>
    <n v="110250"/>
    <n v="871870"/>
    <n v="5250"/>
    <n v="2463.9484562173106"/>
  </r>
  <r>
    <x v="16"/>
    <x v="16"/>
    <s v="3(TARDE)"/>
    <n v="51"/>
    <s v="FINAL TURNO 2"/>
    <n v="1820"/>
    <n v="1080"/>
    <n v="270"/>
    <n v="200"/>
    <n v="60"/>
    <n v="16663"/>
    <n v="176.92537313432837"/>
    <n v="80"/>
    <n v="88.462686567164184"/>
    <n v="20"/>
    <n v="20"/>
    <n v="20"/>
    <n v="0"/>
    <n v="0"/>
    <n v="26"/>
    <n v="26.5"/>
    <n v="25"/>
    <n v="0"/>
    <n v="0"/>
    <n v="146.95461447612618"/>
    <n v="149.78066475451323"/>
    <n v="141.30251391935212"/>
    <n v="0"/>
    <n v="0"/>
    <n v="1.3"/>
    <n v="1.325"/>
    <n v="1.25"/>
    <n v="2500"/>
    <n v="2500"/>
    <n v="830"/>
    <n v="2900"/>
    <n v="6295"/>
    <n v="19050"/>
    <n v="22050"/>
    <n v="21580"/>
    <n v="76850"/>
    <n v="157375"/>
    <n v="0"/>
    <n v="0"/>
    <n v="255805"/>
    <n v="5250"/>
    <n v="1445.8355829255947"/>
  </r>
  <r>
    <x v="17"/>
    <x v="17"/>
    <s v="18 (NOCHE)"/>
    <n v="52"/>
    <s v="FINAL TURNO 3"/>
    <n v="2800"/>
    <n v="4060"/>
    <n v="1250"/>
    <n v="250"/>
    <n v="110"/>
    <n v="16665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7"/>
    <x v="17"/>
    <s v="19 (MAÑANA)"/>
    <n v="53"/>
    <s v="FINAL TURNO 1"/>
    <n v="2800"/>
    <n v="4060"/>
    <n v="1250"/>
    <n v="250"/>
    <n v="110"/>
    <n v="16665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7"/>
    <x v="17"/>
    <s v="3(TARDE)"/>
    <n v="54"/>
    <s v="FINAL TURNO 2"/>
    <n v="2800"/>
    <n v="4060"/>
    <n v="1250"/>
    <n v="250"/>
    <n v="110"/>
    <n v="16665"/>
    <n v="0"/>
    <n v="0"/>
    <n v="8.46268656716417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8"/>
    <x v="18"/>
    <s v="19 (NOCHE)"/>
    <n v="55"/>
    <s v="FINAL TURNO 3"/>
    <n v="2800"/>
    <n v="4060"/>
    <n v="1250"/>
    <n v="250"/>
    <n v="110"/>
    <n v="16665"/>
    <n v="530.77611940298516"/>
    <n v="80"/>
    <n v="88.462686567164184"/>
    <n v="90"/>
    <n v="220"/>
    <n v="150"/>
    <n v="0"/>
    <n v="5"/>
    <n v="117"/>
    <n v="291.5"/>
    <n v="187.5"/>
    <n v="0"/>
    <n v="5"/>
    <n v="220.43192171418926"/>
    <n v="549.19577076654843"/>
    <n v="353.25628479838025"/>
    <n v="0"/>
    <n v="9.4201675946234733"/>
    <n v="1.3"/>
    <n v="1.325"/>
    <n v="1.25"/>
    <n v="2500"/>
    <n v="2500"/>
    <n v="830"/>
    <n v="2900"/>
    <n v="6295"/>
    <n v="19050"/>
    <n v="22050"/>
    <n v="97110"/>
    <n v="845350"/>
    <n v="1180312.5"/>
    <n v="0"/>
    <n v="110250"/>
    <n v="2233022.5"/>
    <n v="5250"/>
    <n v="4207.0892385130192"/>
  </r>
  <r>
    <x v="18"/>
    <x v="18"/>
    <s v="20 (MAÑANA)"/>
    <n v="56"/>
    <s v="FINAL TURNO 1"/>
    <n v="2710"/>
    <n v="3840"/>
    <n v="1100"/>
    <n v="250"/>
    <n v="105"/>
    <n v="16671"/>
    <n v="619.23880597014931"/>
    <n v="80"/>
    <n v="88.462686567164184"/>
    <n v="100"/>
    <n v="240"/>
    <n v="10"/>
    <n v="0"/>
    <n v="5"/>
    <n v="130"/>
    <n v="318"/>
    <n v="12.5"/>
    <n v="0"/>
    <n v="5"/>
    <n v="209.93516353732312"/>
    <n v="513.53370772975961"/>
    <n v="20.186073417050302"/>
    <n v="0"/>
    <n v="8.0744293668201195"/>
    <n v="1.3"/>
    <n v="1.325"/>
    <n v="1.25"/>
    <n v="2500"/>
    <n v="2500"/>
    <n v="830"/>
    <n v="2900"/>
    <n v="6295"/>
    <n v="19050"/>
    <n v="22050"/>
    <n v="107900"/>
    <n v="922200"/>
    <n v="78687.5"/>
    <n v="0"/>
    <n v="110250"/>
    <n v="1219037.5"/>
    <n v="5250"/>
    <n v="1968.6064378509964"/>
  </r>
  <r>
    <x v="18"/>
    <x v="18"/>
    <s v="3(TARDE)"/>
    <n v="57"/>
    <s v="FINAL TURNO 2"/>
    <n v="2610"/>
    <n v="3600"/>
    <n v="1090"/>
    <n v="250"/>
    <n v="100"/>
    <n v="16678"/>
    <n v="707.70149253731347"/>
    <n v="80"/>
    <n v="88.462686567164184"/>
    <n v="110"/>
    <n v="150"/>
    <n v="90"/>
    <n v="5"/>
    <n v="5"/>
    <n v="143"/>
    <n v="198.75"/>
    <n v="112.5"/>
    <n v="5"/>
    <n v="5"/>
    <n v="202.06259490467352"/>
    <n v="280.83874641471232"/>
    <n v="158.96532815927111"/>
    <n v="7.0651256959676054"/>
    <n v="7.0651256959676054"/>
    <n v="1.3"/>
    <n v="1.325"/>
    <n v="1.25"/>
    <n v="2500"/>
    <n v="2500"/>
    <n v="830"/>
    <n v="2900"/>
    <n v="6295"/>
    <n v="19050"/>
    <n v="22050"/>
    <n v="118690"/>
    <n v="576375"/>
    <n v="708187.5"/>
    <n v="95250"/>
    <n v="110250"/>
    <n v="1608752.5"/>
    <n v="5250"/>
    <n v="2273.2077252404251"/>
  </r>
  <r>
    <x v="19"/>
    <x v="19"/>
    <s v="20 (NOCHE)"/>
    <n v="58"/>
    <s v="FINAL TURNO 3"/>
    <n v="2500"/>
    <n v="3450"/>
    <n v="1000"/>
    <n v="245"/>
    <n v="95"/>
    <n v="16686"/>
    <n v="707.70149253731347"/>
    <n v="80"/>
    <n v="88.462686567164184"/>
    <n v="100"/>
    <n v="250"/>
    <n v="0"/>
    <n v="5"/>
    <n v="0"/>
    <n v="130"/>
    <n v="331.25"/>
    <n v="0"/>
    <n v="5"/>
    <n v="0"/>
    <n v="183.69326809515775"/>
    <n v="468.06457735785386"/>
    <n v="0"/>
    <n v="7.0651256959676054"/>
    <n v="0"/>
    <n v="1.3"/>
    <n v="1.325"/>
    <n v="1.25"/>
    <n v="2500"/>
    <n v="2500"/>
    <n v="830"/>
    <n v="2900"/>
    <n v="6295"/>
    <n v="19050"/>
    <n v="22050"/>
    <n v="107900"/>
    <n v="960625"/>
    <n v="0"/>
    <n v="95250"/>
    <n v="0"/>
    <n v="1163775"/>
    <n v="5250"/>
    <n v="1644.4433313649399"/>
  </r>
  <r>
    <x v="19"/>
    <x v="19"/>
    <s v="21 (MAÑANA)"/>
    <n v="59"/>
    <s v="FINAL TURNO 1"/>
    <n v="2400"/>
    <n v="3000"/>
    <n v="1000"/>
    <n v="240"/>
    <n v="95"/>
    <n v="16694"/>
    <n v="353.85074626865674"/>
    <n v="80"/>
    <n v="88.462686567164184"/>
    <n v="100"/>
    <n v="300"/>
    <n v="10"/>
    <n v="5"/>
    <n v="5"/>
    <n v="130"/>
    <n v="397.5"/>
    <n v="12.5"/>
    <n v="5"/>
    <n v="5"/>
    <n v="367.3865361903155"/>
    <n v="1123.3549856588493"/>
    <n v="35.325628479838031"/>
    <n v="14.130251391935211"/>
    <n v="14.130251391935211"/>
    <n v="1.3"/>
    <n v="1.325"/>
    <n v="1.25"/>
    <n v="2500"/>
    <n v="2500"/>
    <n v="830"/>
    <n v="2900"/>
    <n v="6295"/>
    <n v="19050"/>
    <n v="22050"/>
    <n v="107900"/>
    <n v="1152750"/>
    <n v="78687.5"/>
    <n v="95250"/>
    <n v="110250"/>
    <n v="1544837.5"/>
    <n v="5250"/>
    <n v="4365.7884469377423"/>
  </r>
  <r>
    <x v="19"/>
    <x v="19"/>
    <s v="3(TARDE)"/>
    <n v="60"/>
    <s v="FINAL TURNO 2"/>
    <n v="2300"/>
    <n v="2700"/>
    <n v="990"/>
    <n v="235"/>
    <n v="90"/>
    <n v="16698"/>
    <n v="530.77611940298516"/>
    <n v="80"/>
    <n v="88.462686567164184"/>
    <n v="100"/>
    <n v="150"/>
    <n v="30"/>
    <n v="0"/>
    <n v="5"/>
    <n v="130"/>
    <n v="198.75"/>
    <n v="37.5"/>
    <n v="0"/>
    <n v="5"/>
    <n v="244.9243574602103"/>
    <n v="374.45166188628303"/>
    <n v="70.651256959676047"/>
    <n v="0"/>
    <n v="9.4201675946234733"/>
    <n v="1.3"/>
    <n v="1.325"/>
    <n v="1.25"/>
    <n v="2500"/>
    <n v="2500"/>
    <n v="830"/>
    <n v="2900"/>
    <n v="6295"/>
    <n v="19050"/>
    <n v="22050"/>
    <n v="107900"/>
    <n v="576375"/>
    <n v="236062.5"/>
    <n v="0"/>
    <n v="110250"/>
    <n v="1030587.5"/>
    <n v="5250"/>
    <n v="1941.6613941848036"/>
  </r>
  <r>
    <x v="20"/>
    <x v="20"/>
    <s v="21 (NOCHE)"/>
    <n v="61"/>
    <s v="FINAL TURNO 3"/>
    <n v="2200"/>
    <n v="2550"/>
    <n v="960"/>
    <n v="235"/>
    <n v="85"/>
    <n v="16704"/>
    <n v="619.23880597014931"/>
    <n v="80"/>
    <n v="88.462686567164184"/>
    <n v="100"/>
    <n v="160"/>
    <n v="110"/>
    <n v="5"/>
    <n v="5"/>
    <n v="130"/>
    <n v="212"/>
    <n v="137.5"/>
    <n v="5"/>
    <n v="5"/>
    <n v="209.93516353732312"/>
    <n v="342.35580515317309"/>
    <n v="222.0468075875533"/>
    <n v="8.0744293668201195"/>
    <n v="8.0744293668201195"/>
    <n v="1.3"/>
    <n v="1.325"/>
    <n v="1.25"/>
    <n v="2500"/>
    <n v="2500"/>
    <n v="830"/>
    <n v="2900"/>
    <n v="6295"/>
    <n v="19050"/>
    <n v="22050"/>
    <n v="107900"/>
    <n v="614800"/>
    <n v="865562.5"/>
    <n v="95250"/>
    <n v="110250"/>
    <n v="1793762.5"/>
    <n v="5250"/>
    <n v="2896.7217214201351"/>
  </r>
  <r>
    <x v="20"/>
    <x v="20"/>
    <s v="22 (MAÑANA)"/>
    <n v="62"/>
    <s v="FINAL TURNO 1"/>
    <n v="2100"/>
    <n v="2390"/>
    <n v="850"/>
    <n v="230"/>
    <n v="80"/>
    <n v="16711"/>
    <n v="530.77611940298516"/>
    <n v="80"/>
    <n v="88.462686567164184"/>
    <n v="20"/>
    <n v="190"/>
    <n v="50"/>
    <n v="0"/>
    <n v="5"/>
    <n v="26"/>
    <n v="251.75"/>
    <n v="62.5"/>
    <n v="0"/>
    <n v="5"/>
    <n v="48.98487149204206"/>
    <n v="474.30543838929185"/>
    <n v="117.75209493279341"/>
    <n v="0"/>
    <n v="9.4201675946234733"/>
    <n v="1.3"/>
    <n v="1.325"/>
    <n v="1.25"/>
    <n v="2500"/>
    <n v="2500"/>
    <n v="830"/>
    <n v="2900"/>
    <n v="6295"/>
    <n v="19050"/>
    <n v="22050"/>
    <n v="21580"/>
    <n v="730075"/>
    <n v="393437.5"/>
    <n v="0"/>
    <n v="110250"/>
    <n v="1255342.5"/>
    <n v="5250"/>
    <n v="2365.1073477307236"/>
  </r>
  <r>
    <x v="20"/>
    <x v="20"/>
    <s v="3(TARDE)"/>
    <n v="63"/>
    <s v="FINAL TURNO 2"/>
    <n v="2080"/>
    <n v="2200"/>
    <n v="800"/>
    <n v="230"/>
    <n v="75"/>
    <n v="16717"/>
    <n v="442.31343283582089"/>
    <n v="80"/>
    <n v="88.462686567164184"/>
    <n v="80"/>
    <n v="150"/>
    <n v="50"/>
    <n v="5"/>
    <n v="5"/>
    <n v="104"/>
    <n v="198.75"/>
    <n v="62.5"/>
    <n v="5"/>
    <n v="5"/>
    <n v="235.12738316180193"/>
    <n v="449.34199426353973"/>
    <n v="141.30251391935212"/>
    <n v="11.304201113548169"/>
    <n v="11.304201113548169"/>
    <n v="1.3"/>
    <n v="1.325"/>
    <n v="1.25"/>
    <n v="2500"/>
    <n v="2500"/>
    <n v="830"/>
    <n v="2900"/>
    <n v="6295"/>
    <n v="19050"/>
    <n v="22050"/>
    <n v="86320"/>
    <n v="576375"/>
    <n v="393437.5"/>
    <n v="95250"/>
    <n v="110250"/>
    <n v="1261632.5"/>
    <n v="5250"/>
    <n v="2852.3495022777124"/>
  </r>
  <r>
    <x v="21"/>
    <x v="21"/>
    <s v="22 (NOCHE)"/>
    <n v="64"/>
    <s v="FINAL TURNO 3"/>
    <n v="3000"/>
    <n v="4900"/>
    <n v="1750"/>
    <n v="225"/>
    <n v="70"/>
    <n v="16722"/>
    <n v="442.31343283582089"/>
    <n v="80"/>
    <n v="88.462686567164184"/>
    <n v="40"/>
    <n v="300"/>
    <n v="110"/>
    <n v="0"/>
    <n v="5"/>
    <n v="52"/>
    <n v="397.5"/>
    <n v="137.5"/>
    <n v="0"/>
    <n v="5"/>
    <n v="117.56369158090097"/>
    <n v="898.68398852707946"/>
    <n v="310.86553062257468"/>
    <n v="0"/>
    <n v="11.304201113548169"/>
    <n v="1.3"/>
    <n v="1.325"/>
    <n v="1.25"/>
    <n v="2500"/>
    <n v="2500"/>
    <n v="830"/>
    <n v="2900"/>
    <n v="6295"/>
    <n v="19050"/>
    <n v="22050"/>
    <n v="43160"/>
    <n v="1152750"/>
    <n v="865562.5"/>
    <n v="0"/>
    <n v="110250"/>
    <n v="2171722.5"/>
    <n v="5250"/>
    <n v="4909.9175805635232"/>
  </r>
  <r>
    <x v="21"/>
    <x v="21"/>
    <s v="23 (MAÑANA)"/>
    <n v="65"/>
    <s v="FINAL TURNO 1"/>
    <n v="2860"/>
    <n v="4600"/>
    <n v="1640"/>
    <n v="225"/>
    <n v="65"/>
    <n v="16727"/>
    <n v="619.23880597014931"/>
    <n v="80"/>
    <n v="88.462686567164184"/>
    <n v="100"/>
    <n v="220"/>
    <n v="70"/>
    <n v="5"/>
    <n v="5"/>
    <n v="130"/>
    <n v="291.5"/>
    <n v="87.5"/>
    <n v="5"/>
    <n v="5"/>
    <n v="209.93516353732312"/>
    <n v="470.73923208561303"/>
    <n v="141.30251391935209"/>
    <n v="8.0744293668201195"/>
    <n v="8.0744293668201195"/>
    <n v="1.3"/>
    <n v="1.325"/>
    <n v="1.25"/>
    <n v="2500"/>
    <n v="2500"/>
    <n v="830"/>
    <n v="2900"/>
    <n v="6295"/>
    <n v="19050"/>
    <n v="22050"/>
    <n v="107900"/>
    <n v="845350"/>
    <n v="550812.5"/>
    <n v="95250"/>
    <n v="110250"/>
    <n v="1709562.5"/>
    <n v="5250"/>
    <n v="2760.7483308828841"/>
  </r>
  <r>
    <x v="21"/>
    <x v="21"/>
    <s v="3(TARDE)"/>
    <n v="66"/>
    <s v="FINAL TURNO 2"/>
    <n v="2760"/>
    <n v="4380"/>
    <n v="1570"/>
    <n v="220"/>
    <n v="60"/>
    <n v="16734"/>
    <n v="530.77611940298516"/>
    <n v="80"/>
    <n v="88.462686567164184"/>
    <n v="20"/>
    <n v="280"/>
    <n v="60"/>
    <n v="0"/>
    <n v="5"/>
    <n v="26"/>
    <n v="371"/>
    <n v="75"/>
    <n v="0"/>
    <n v="5"/>
    <n v="48.98487149204206"/>
    <n v="698.97643552106172"/>
    <n v="141.30251391935209"/>
    <n v="0"/>
    <n v="9.4201675946234733"/>
    <n v="1.3"/>
    <n v="1.325"/>
    <n v="1.25"/>
    <n v="2500"/>
    <n v="2500"/>
    <n v="830"/>
    <n v="2900"/>
    <n v="6295"/>
    <n v="19050"/>
    <n v="22050"/>
    <n v="21580"/>
    <n v="1075900"/>
    <n v="472125"/>
    <n v="0"/>
    <n v="110250"/>
    <n v="1679855"/>
    <n v="5250"/>
    <n v="3164.9031269332427"/>
  </r>
  <r>
    <x v="22"/>
    <x v="22"/>
    <s v="23 (NOCHE)"/>
    <n v="67"/>
    <s v="FINAL TURNO 3"/>
    <n v="2740"/>
    <n v="4100"/>
    <n v="1510"/>
    <n v="220"/>
    <n v="55"/>
    <n v="16740"/>
    <n v="265.38805970149258"/>
    <n v="80"/>
    <n v="88.462686567164184"/>
    <n v="0"/>
    <n v="190"/>
    <n v="10"/>
    <n v="5"/>
    <n v="5"/>
    <n v="0"/>
    <n v="251.75"/>
    <n v="12.5"/>
    <n v="5"/>
    <n v="5"/>
    <n v="0"/>
    <n v="948.6108767785837"/>
    <n v="47.100837973117365"/>
    <n v="18.840335189246947"/>
    <n v="18.840335189246947"/>
    <n v="1.3"/>
    <n v="1.325"/>
    <n v="1.25"/>
    <n v="2500"/>
    <n v="2500"/>
    <n v="830"/>
    <n v="2900"/>
    <n v="6295"/>
    <n v="19050"/>
    <n v="22050"/>
    <n v="0"/>
    <n v="730075"/>
    <n v="78687.5"/>
    <n v="95250"/>
    <n v="110250"/>
    <n v="1014262.5"/>
    <n v="5250"/>
    <n v="3821.8090939767162"/>
  </r>
  <r>
    <x v="22"/>
    <x v="22"/>
    <s v="24 (MAÑANA)"/>
    <n v="68"/>
    <s v="FINAL TURNO 1"/>
    <n v="2740"/>
    <n v="3910"/>
    <n v="1500"/>
    <n v="215"/>
    <n v="50"/>
    <n v="16743"/>
    <n v="176.92537313432837"/>
    <n v="80"/>
    <n v="88.462686567164184"/>
    <n v="0"/>
    <n v="90"/>
    <n v="20"/>
    <n v="0"/>
    <n v="5"/>
    <n v="0"/>
    <n v="119.25"/>
    <n v="25"/>
    <n v="0"/>
    <n v="5"/>
    <n v="0"/>
    <n v="674.01299139530954"/>
    <n v="141.30251391935212"/>
    <n v="0"/>
    <n v="28.260502783870422"/>
    <n v="1.3"/>
    <n v="1.325"/>
    <n v="1.25"/>
    <n v="2500"/>
    <n v="2500"/>
    <n v="830"/>
    <n v="2900"/>
    <n v="6295"/>
    <n v="19050"/>
    <n v="22050"/>
    <n v="0"/>
    <n v="345825"/>
    <n v="157375"/>
    <n v="0"/>
    <n v="110250"/>
    <n v="613450"/>
    <n v="5250"/>
    <n v="3467.2810865530619"/>
  </r>
  <r>
    <x v="22"/>
    <x v="22"/>
    <s v="3(TARDE)"/>
    <n v="69"/>
    <s v="FINAL TURNO 2"/>
    <n v="2740"/>
    <n v="3820"/>
    <n v="1480"/>
    <n v="215"/>
    <n v="45"/>
    <n v="16745"/>
    <n v="530.77611940298516"/>
    <n v="80"/>
    <n v="88.462686567164184"/>
    <n v="20"/>
    <n v="420"/>
    <n v="80"/>
    <n v="5"/>
    <n v="5"/>
    <n v="26"/>
    <n v="556.5"/>
    <n v="100"/>
    <n v="5"/>
    <n v="5"/>
    <n v="48.98487149204206"/>
    <n v="1048.4646532815925"/>
    <n v="188.40335189246946"/>
    <n v="9.4201675946234733"/>
    <n v="9.4201675946234733"/>
    <n v="1.3"/>
    <n v="1.325"/>
    <n v="1.25"/>
    <n v="2500"/>
    <n v="2500"/>
    <n v="830"/>
    <n v="2900"/>
    <n v="6295"/>
    <n v="19050"/>
    <n v="22050"/>
    <n v="21580"/>
    <n v="1613850"/>
    <n v="629500"/>
    <n v="95250"/>
    <n v="110250"/>
    <n v="2470430"/>
    <n v="5250"/>
    <n v="4654.3729261571334"/>
  </r>
  <r>
    <x v="23"/>
    <x v="23"/>
    <s v="24 (NOCHE)"/>
    <n v="70"/>
    <s v="FINAL TURNO 3"/>
    <n v="2720"/>
    <n v="3400"/>
    <n v="1400"/>
    <n v="210"/>
    <n v="40"/>
    <n v="16751"/>
    <n v="442.31343283582089"/>
    <n v="80"/>
    <n v="88.462686567164184"/>
    <n v="20"/>
    <n v="120"/>
    <n v="30"/>
    <n v="0"/>
    <n v="5"/>
    <n v="26"/>
    <n v="159"/>
    <n v="37.5"/>
    <n v="0"/>
    <n v="5"/>
    <n v="58.781845790450483"/>
    <n v="359.47359541083176"/>
    <n v="84.781508351611265"/>
    <n v="0"/>
    <n v="11.304201113548169"/>
    <n v="1.3"/>
    <n v="1.325"/>
    <n v="1.25"/>
    <n v="2500"/>
    <n v="2500"/>
    <n v="830"/>
    <n v="2900"/>
    <n v="6295"/>
    <n v="19050"/>
    <n v="22050"/>
    <n v="21580"/>
    <n v="461100"/>
    <n v="236062.5"/>
    <n v="0"/>
    <n v="110250"/>
    <n v="828992.5"/>
    <n v="5250"/>
    <n v="1874.2195883246161"/>
  </r>
  <r>
    <x v="23"/>
    <x v="23"/>
    <s v="25 (MAÑANA)"/>
    <n v="71"/>
    <s v="FINAL TURNO 1"/>
    <n v="2700"/>
    <n v="3280"/>
    <n v="1370"/>
    <n v="210"/>
    <n v="35"/>
    <n v="16756"/>
    <n v="176.92537313432837"/>
    <n v="80"/>
    <n v="88.462686567164184"/>
    <n v="10"/>
    <n v="30"/>
    <n v="10"/>
    <n v="5"/>
    <n v="0"/>
    <n v="13"/>
    <n v="39.75"/>
    <n v="12.5"/>
    <n v="5"/>
    <n v="0"/>
    <n v="73.477307238063091"/>
    <n v="224.67099713176987"/>
    <n v="70.651256959676061"/>
    <n v="28.260502783870422"/>
    <n v="0"/>
    <n v="1.3"/>
    <n v="1.325"/>
    <n v="1.25"/>
    <n v="2500"/>
    <n v="2500"/>
    <n v="830"/>
    <n v="2900"/>
    <n v="6295"/>
    <n v="19050"/>
    <n v="22050"/>
    <n v="10790"/>
    <n v="115275"/>
    <n v="78687.5"/>
    <n v="95250"/>
    <n v="0"/>
    <n v="300002.5"/>
    <n v="5250"/>
    <n v="1695.6442972836173"/>
  </r>
  <r>
    <x v="23"/>
    <x v="23"/>
    <s v="3(TARDE)"/>
    <n v="72"/>
    <s v="FINAL TURNO 2"/>
    <n v="2690"/>
    <n v="3250"/>
    <n v="1360"/>
    <n v="205"/>
    <n v="35"/>
    <n v="16758"/>
    <n v="176.92537313432837"/>
    <n v="80"/>
    <n v="88.462686567164184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</r>
  <r>
    <x v="24"/>
    <x v="24"/>
    <s v="25 (NOCHE)"/>
    <n v="73"/>
    <s v="FINAL TURNO 3"/>
    <n v="2690"/>
    <n v="3250"/>
    <n v="1360"/>
    <n v="205"/>
    <n v="35"/>
    <n v="16760"/>
    <n v="0"/>
    <n v="80"/>
    <n v="88.4626865671641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4"/>
    <x v="24"/>
    <s v="26 (MAÑANA)"/>
    <n v="74"/>
    <s v="FINAL TURNO 1"/>
    <n v="2690"/>
    <n v="3250"/>
    <n v="1360"/>
    <n v="205"/>
    <n v="35"/>
    <n v="16760"/>
    <n v="0"/>
    <n v="80"/>
    <n v="88.4626865671641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4"/>
    <x v="24"/>
    <s v="3(TARDE)"/>
    <n v="75"/>
    <s v="FINAL TURNO 2"/>
    <n v="2690"/>
    <n v="3250"/>
    <n v="1360"/>
    <n v="205"/>
    <n v="35"/>
    <n v="16760"/>
    <n v="0"/>
    <n v="80"/>
    <n v="88.462686567164184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5"/>
    <x v="25"/>
    <s v="26 (NOCHE)"/>
    <n v="76"/>
    <s v="FINAL TURNO 3"/>
    <n v="2690"/>
    <n v="3250"/>
    <n v="1360"/>
    <n v="205"/>
    <n v="35"/>
    <n v="16760"/>
    <n v="176.92537313432837"/>
    <n v="80"/>
    <n v="88.462686567164184"/>
    <n v="70"/>
    <n v="100"/>
    <n v="40"/>
    <n v="5"/>
    <n v="5"/>
    <n v="91"/>
    <n v="132.5"/>
    <n v="50"/>
    <n v="5"/>
    <n v="5"/>
    <n v="514.34115066644165"/>
    <n v="748.90332377256618"/>
    <n v="282.60502783870425"/>
    <n v="28.260502783870422"/>
    <n v="28.260502783870422"/>
    <n v="1.3"/>
    <n v="1.325"/>
    <n v="1.25"/>
    <n v="2500"/>
    <n v="2500"/>
    <n v="830"/>
    <n v="2900"/>
    <n v="6295"/>
    <n v="19050"/>
    <n v="22050"/>
    <n v="75530"/>
    <n v="384250"/>
    <n v="314750"/>
    <n v="95250"/>
    <n v="110250"/>
    <n v="980030"/>
    <n v="5250"/>
    <n v="5539.2281086553057"/>
  </r>
  <r>
    <x v="25"/>
    <x v="25"/>
    <s v="27 (MAÑANA)"/>
    <n v="77"/>
    <s v="FINAL TURNO 1"/>
    <n v="2620"/>
    <n v="3000"/>
    <n v="1320"/>
    <n v="200"/>
    <n v="30"/>
    <n v="16762"/>
    <n v="442.31343283582089"/>
    <n v="80"/>
    <n v="88.462686567164184"/>
    <n v="70"/>
    <n v="150"/>
    <n v="70"/>
    <n v="0"/>
    <n v="5"/>
    <n v="91"/>
    <n v="198.75"/>
    <n v="87.5"/>
    <n v="0"/>
    <n v="5"/>
    <n v="205.7364602665767"/>
    <n v="449.34199426353973"/>
    <n v="197.82351948709297"/>
    <n v="0"/>
    <n v="11.304201113548169"/>
    <n v="1.3"/>
    <n v="1.325"/>
    <n v="1.25"/>
    <n v="2500"/>
    <n v="2500"/>
    <n v="830"/>
    <n v="2900"/>
    <n v="6295"/>
    <n v="19050"/>
    <n v="22050"/>
    <n v="75530"/>
    <n v="576375"/>
    <n v="550812.5"/>
    <n v="0"/>
    <n v="110250"/>
    <n v="1312967.5"/>
    <n v="5250"/>
    <n v="2968.4097351105111"/>
  </r>
  <r>
    <x v="25"/>
    <x v="25"/>
    <s v="3(TARDE)"/>
    <n v="78"/>
    <s v="FINAL TURNO 2"/>
    <n v="2550"/>
    <n v="2850"/>
    <n v="1250"/>
    <n v="200"/>
    <n v="25"/>
    <n v="16767"/>
    <n v="265.38805970149258"/>
    <n v="80"/>
    <n v="88.462686567164184"/>
    <n v="0"/>
    <n v="140"/>
    <n v="50"/>
    <n v="0"/>
    <n v="0"/>
    <n v="0"/>
    <n v="185.5"/>
    <n v="62.5"/>
    <n v="0"/>
    <n v="0"/>
    <n v="0"/>
    <n v="698.97643552106172"/>
    <n v="235.50418986558682"/>
    <n v="0"/>
    <n v="0"/>
    <n v="1.3"/>
    <n v="1.325"/>
    <n v="1.25"/>
    <n v="2500"/>
    <n v="2500"/>
    <n v="830"/>
    <n v="2900"/>
    <n v="6295"/>
    <n v="19050"/>
    <n v="22050"/>
    <n v="0"/>
    <n v="537950"/>
    <n v="393437.5"/>
    <n v="0"/>
    <n v="0"/>
    <n v="931387.5"/>
    <n v="5250"/>
    <n v="3509.5305382149481"/>
  </r>
  <r>
    <x v="26"/>
    <x v="26"/>
    <s v="27 (NOCHE)"/>
    <n v="79"/>
    <s v="FINAL TURNO 3"/>
    <n v="4550"/>
    <n v="4710"/>
    <n v="2200"/>
    <n v="200"/>
    <n v="125"/>
    <n v="16770"/>
    <n v="353.85074626865674"/>
    <n v="80"/>
    <n v="88.462686567164184"/>
    <n v="50"/>
    <n v="160"/>
    <n v="80"/>
    <n v="5"/>
    <n v="5"/>
    <n v="65"/>
    <n v="212"/>
    <n v="100"/>
    <n v="5"/>
    <n v="5"/>
    <n v="183.69326809515775"/>
    <n v="599.1226590180529"/>
    <n v="282.60502783870425"/>
    <n v="14.130251391935211"/>
    <n v="14.130251391935211"/>
    <n v="1.3"/>
    <n v="1.325"/>
    <n v="1.25"/>
    <n v="2500"/>
    <n v="2500"/>
    <n v="830"/>
    <n v="2900"/>
    <n v="6295"/>
    <n v="19050"/>
    <n v="22050"/>
    <n v="53950"/>
    <n v="614800"/>
    <n v="629500"/>
    <n v="95250"/>
    <n v="110250"/>
    <n v="1503750"/>
    <n v="5250"/>
    <n v="4249.6731061245146"/>
  </r>
  <r>
    <x v="26"/>
    <x v="26"/>
    <s v="28 (MAÑANA)"/>
    <n v="80"/>
    <s v="FINAL TURNO 1"/>
    <n v="4500"/>
    <n v="4550"/>
    <n v="2120"/>
    <n v="195"/>
    <n v="120"/>
    <n v="16774"/>
    <n v="353.85074626865674"/>
    <n v="80"/>
    <n v="88.462686567164184"/>
    <n v="40"/>
    <n v="50"/>
    <n v="20"/>
    <n v="0"/>
    <n v="5"/>
    <n v="52"/>
    <n v="66.25"/>
    <n v="25"/>
    <n v="0"/>
    <n v="5"/>
    <n v="146.95461447612618"/>
    <n v="187.22583094314155"/>
    <n v="70.651256959676061"/>
    <n v="0"/>
    <n v="14.130251391935211"/>
    <n v="1.3"/>
    <n v="1.325"/>
    <n v="1.25"/>
    <n v="2500"/>
    <n v="2500"/>
    <n v="830"/>
    <n v="2900"/>
    <n v="6295"/>
    <n v="19050"/>
    <n v="22050"/>
    <n v="43160"/>
    <n v="192125"/>
    <n v="157375"/>
    <n v="0"/>
    <n v="110250"/>
    <n v="502910"/>
    <n v="5250"/>
    <n v="1421.2489455036273"/>
  </r>
  <r>
    <x v="26"/>
    <x v="26"/>
    <s v="3(TARDE)"/>
    <n v="81"/>
    <s v="FINAL TURNO 2"/>
    <n v="4460"/>
    <n v="4500"/>
    <n v="2100"/>
    <n v="195"/>
    <n v="115"/>
    <n v="16778"/>
    <n v="353.85074626865674"/>
    <n v="80"/>
    <n v="88.462686567164184"/>
    <n v="30"/>
    <n v="150"/>
    <n v="20"/>
    <n v="5"/>
    <n v="5"/>
    <n v="39"/>
    <n v="198.75"/>
    <n v="25"/>
    <n v="5"/>
    <n v="5"/>
    <n v="110.21596085709464"/>
    <n v="561.67749282942464"/>
    <n v="70.651256959676061"/>
    <n v="14.130251391935211"/>
    <n v="14.130251391935211"/>
    <n v="1.3"/>
    <n v="1.325"/>
    <n v="1.25"/>
    <n v="2500"/>
    <n v="2500"/>
    <n v="830"/>
    <n v="2900"/>
    <n v="6295"/>
    <n v="19050"/>
    <n v="22050"/>
    <n v="32370"/>
    <n v="576375"/>
    <n v="157375"/>
    <n v="95250"/>
    <n v="110250"/>
    <n v="971620"/>
    <n v="5250"/>
    <n v="2745.8469714864177"/>
  </r>
  <r>
    <x v="27"/>
    <x v="27"/>
    <s v="28 (NOCHE)"/>
    <n v="82"/>
    <s v="FINAL TURNO 3"/>
    <n v="4430"/>
    <n v="4350"/>
    <n v="2080"/>
    <n v="190"/>
    <n v="110"/>
    <n v="16782"/>
    <n v="619.23880597014931"/>
    <n v="80"/>
    <n v="88.462686567164184"/>
    <n v="30"/>
    <n v="50"/>
    <n v="30"/>
    <n v="0"/>
    <n v="5"/>
    <n v="39"/>
    <n v="66.25"/>
    <n v="37.5"/>
    <n v="0"/>
    <n v="5"/>
    <n v="62.980549061196939"/>
    <n v="106.9861891103666"/>
    <n v="60.5582202511509"/>
    <n v="0"/>
    <n v="8.0744293668201195"/>
    <n v="1.3"/>
    <n v="1.325"/>
    <n v="1.25"/>
    <n v="2500"/>
    <n v="2500"/>
    <n v="830"/>
    <n v="2900"/>
    <n v="6295"/>
    <n v="19050"/>
    <n v="22050"/>
    <n v="32370"/>
    <n v="192125"/>
    <n v="236062.5"/>
    <n v="0"/>
    <n v="110250"/>
    <n v="570807.5"/>
    <n v="5250"/>
    <n v="921.78896816023519"/>
  </r>
  <r>
    <x v="27"/>
    <x v="27"/>
    <s v="29 (MAÑANA)"/>
    <n v="83"/>
    <s v="FINAL TURNO 1"/>
    <n v="4300"/>
    <n v="4300"/>
    <n v="2050"/>
    <n v="190"/>
    <n v="105"/>
    <n v="16789"/>
    <n v="176.92537313432837"/>
    <n v="80"/>
    <n v="88.462686567164184"/>
    <n v="50"/>
    <n v="50"/>
    <n v="30"/>
    <n v="0"/>
    <n v="5"/>
    <n v="65"/>
    <n v="66.25"/>
    <n v="37.5"/>
    <n v="0"/>
    <n v="5"/>
    <n v="367.3865361903155"/>
    <n v="374.45166188628309"/>
    <n v="211.95377087902816"/>
    <n v="0"/>
    <n v="28.260502783870422"/>
    <n v="1.3"/>
    <n v="1.325"/>
    <n v="1.25"/>
    <n v="2500"/>
    <n v="2500"/>
    <n v="830"/>
    <n v="2900"/>
    <n v="6295"/>
    <n v="19050"/>
    <n v="22050"/>
    <n v="53950"/>
    <n v="192125"/>
    <n v="236062.5"/>
    <n v="0"/>
    <n v="110250"/>
    <n v="592387.5"/>
    <n v="5250"/>
    <n v="3348.233718576008"/>
  </r>
  <r>
    <x v="27"/>
    <x v="27"/>
    <s v="3(TARDE)"/>
    <n v="84"/>
    <s v="FINAL TURNO 2"/>
    <n v="4250"/>
    <n v="4250"/>
    <n v="2020"/>
    <n v="190"/>
    <n v="100"/>
    <n v="16791"/>
    <n v="442.31343283582089"/>
    <n v="80"/>
    <n v="88.462686567164184"/>
    <n v="50"/>
    <n v="50"/>
    <n v="20"/>
    <n v="5"/>
    <n v="5"/>
    <n v="65"/>
    <n v="66.25"/>
    <n v="25"/>
    <n v="5"/>
    <n v="5"/>
    <n v="146.95461447612621"/>
    <n v="149.78066475451325"/>
    <n v="56.52100556774085"/>
    <n v="11.304201113548169"/>
    <n v="11.304201113548169"/>
    <n v="1.3"/>
    <n v="1.325"/>
    <n v="1.25"/>
    <n v="2500"/>
    <n v="2500"/>
    <n v="830"/>
    <n v="2900"/>
    <n v="6295"/>
    <n v="19050"/>
    <n v="22050"/>
    <n v="53950"/>
    <n v="192125"/>
    <n v="157375"/>
    <n v="95250"/>
    <n v="110250"/>
    <n v="608950"/>
    <n v="5250"/>
    <n v="1376.7386536190315"/>
  </r>
  <r>
    <x v="28"/>
    <x v="28"/>
    <s v="29 (NOCHE)"/>
    <n v="85"/>
    <s v="FINAL TURNO 3"/>
    <n v="4200"/>
    <n v="4200"/>
    <n v="2000"/>
    <n v="185"/>
    <n v="95"/>
    <n v="16796"/>
    <n v="530.77611940298516"/>
    <n v="80"/>
    <n v="88.462686567164184"/>
    <n v="80"/>
    <n v="200"/>
    <n v="20"/>
    <n v="0"/>
    <n v="5"/>
    <n v="104"/>
    <n v="265"/>
    <n v="25"/>
    <n v="0"/>
    <n v="5"/>
    <n v="195.93948596816824"/>
    <n v="499.26888251504408"/>
    <n v="47.100837973117365"/>
    <n v="0"/>
    <n v="9.4201675946234733"/>
    <n v="1.3"/>
    <n v="1.325"/>
    <n v="1.25"/>
    <n v="2500"/>
    <n v="2500"/>
    <n v="830"/>
    <n v="2900"/>
    <n v="6295"/>
    <n v="19050"/>
    <n v="22050"/>
    <n v="86320"/>
    <n v="768500"/>
    <n v="157375"/>
    <n v="0"/>
    <n v="110250"/>
    <n v="1122445"/>
    <n v="5250"/>
    <n v="2114.7240031494289"/>
  </r>
  <r>
    <x v="28"/>
    <x v="28"/>
    <s v="30 (MAÑANA)"/>
    <n v="86"/>
    <s v="FINAL TURNO 1"/>
    <n v="4120"/>
    <n v="3850"/>
    <n v="1980"/>
    <n v="185"/>
    <n v="90"/>
    <n v="16802"/>
    <n v="353.85074626865674"/>
    <n v="80"/>
    <n v="88.462686567164184"/>
    <n v="120"/>
    <n v="150"/>
    <n v="30"/>
    <n v="5"/>
    <n v="5"/>
    <n v="156"/>
    <n v="198.75"/>
    <n v="37.5"/>
    <n v="5"/>
    <n v="5"/>
    <n v="440.86384342837857"/>
    <n v="561.67749282942464"/>
    <n v="105.97688543951408"/>
    <n v="14.130251391935211"/>
    <n v="14.130251391935211"/>
    <n v="1.3"/>
    <n v="1.325"/>
    <n v="1.25"/>
    <n v="2500"/>
    <n v="2500"/>
    <n v="830"/>
    <n v="2900"/>
    <n v="6295"/>
    <n v="19050"/>
    <n v="22050"/>
    <n v="129480"/>
    <n v="576375"/>
    <n v="236062.5"/>
    <n v="95250"/>
    <n v="110250"/>
    <n v="1147417.5"/>
    <n v="5250"/>
    <n v="3242.6595453011641"/>
  </r>
  <r>
    <x v="28"/>
    <x v="28"/>
    <s v="3(TARDE)"/>
    <n v="87"/>
    <s v="FINAL TURNO 2"/>
    <n v="4000"/>
    <n v="3700"/>
    <n v="1950"/>
    <n v="180"/>
    <n v="85"/>
    <n v="16806"/>
    <n v="442.31343283582089"/>
    <n v="80"/>
    <n v="88.462686567164184"/>
    <n v="80"/>
    <n v="290"/>
    <n v="70"/>
    <n v="0"/>
    <n v="5"/>
    <n v="104"/>
    <n v="384.25"/>
    <n v="87.5"/>
    <n v="0"/>
    <n v="5"/>
    <n v="235.12738316180193"/>
    <n v="868.72785557617681"/>
    <n v="197.82351948709297"/>
    <n v="0"/>
    <n v="11.304201113548169"/>
    <n v="1.3"/>
    <n v="1.325"/>
    <n v="1.25"/>
    <n v="2500"/>
    <n v="2500"/>
    <n v="830"/>
    <n v="2900"/>
    <n v="6295"/>
    <n v="19050"/>
    <n v="22050"/>
    <n v="86320"/>
    <n v="1114325"/>
    <n v="550812.5"/>
    <n v="0"/>
    <n v="110250"/>
    <n v="1861707.5"/>
    <n v="5250"/>
    <n v="4209.0231989201957"/>
  </r>
  <r>
    <x v="29"/>
    <x v="29"/>
    <s v="30 (NOCHE)"/>
    <n v="88"/>
    <s v="FINAL TURNO 3"/>
    <n v="3920"/>
    <n v="3410"/>
    <n v="1880"/>
    <n v="180"/>
    <n v="80"/>
    <n v="16811"/>
    <n v="530.77611940298516"/>
    <n v="80"/>
    <n v="88.462686567164184"/>
    <n v="100"/>
    <n v="170"/>
    <n v="70"/>
    <n v="5"/>
    <n v="5"/>
    <n v="130"/>
    <n v="225.25"/>
    <n v="87.5"/>
    <n v="5"/>
    <n v="5"/>
    <n v="244.9243574602103"/>
    <n v="424.37855013778744"/>
    <n v="164.85293290591079"/>
    <n v="9.4201675946234733"/>
    <n v="9.4201675946234733"/>
    <n v="1.3"/>
    <n v="1.325"/>
    <n v="1.25"/>
    <n v="2500"/>
    <n v="2500"/>
    <n v="830"/>
    <n v="2900"/>
    <n v="6295"/>
    <n v="19050"/>
    <n v="22050"/>
    <n v="107900"/>
    <n v="653225"/>
    <n v="550812.5"/>
    <n v="95250"/>
    <n v="110250"/>
    <n v="1517437.5"/>
    <n v="5250"/>
    <n v="2858.9031128732913"/>
  </r>
  <r>
    <x v="29"/>
    <x v="29"/>
    <s v="31 (MAÑANA)"/>
    <n v="89"/>
    <s v="FINAL TURNO 1"/>
    <n v="3820"/>
    <n v="3240"/>
    <n v="1810"/>
    <n v="175"/>
    <n v="75"/>
    <n v="16817"/>
    <n v="353.85074626865674"/>
    <n v="80"/>
    <n v="88.462686567164184"/>
    <n v="40"/>
    <n v="140"/>
    <n v="20"/>
    <n v="0"/>
    <n v="5"/>
    <n v="52"/>
    <n v="185.5"/>
    <n v="25"/>
    <n v="0"/>
    <n v="5"/>
    <n v="146.95461447612618"/>
    <n v="524.23232664079637"/>
    <n v="70.651256959676061"/>
    <n v="0"/>
    <n v="14.130251391935211"/>
    <n v="1.3"/>
    <n v="1.325"/>
    <n v="1.25"/>
    <n v="2500"/>
    <n v="2500"/>
    <n v="830"/>
    <n v="2900"/>
    <n v="6295"/>
    <n v="19050"/>
    <n v="22050"/>
    <n v="43160"/>
    <n v="537950"/>
    <n v="157375"/>
    <n v="0"/>
    <n v="110250"/>
    <n v="848735"/>
    <n v="5250"/>
    <n v="2398.5677830268264"/>
  </r>
  <r>
    <x v="29"/>
    <x v="29"/>
    <s v="3(TARDE)"/>
    <n v="90"/>
    <s v="FINAL TURNO 2"/>
    <n v="3780"/>
    <n v="3100"/>
    <n v="1790"/>
    <n v="175"/>
    <n v="70"/>
    <n v="16821"/>
    <n v="442.31343283582089"/>
    <n v="80"/>
    <n v="88.462686567164184"/>
    <n v="150"/>
    <n v="200"/>
    <n v="80"/>
    <n v="5"/>
    <n v="5"/>
    <n v="195"/>
    <n v="265"/>
    <n v="100"/>
    <n v="5"/>
    <n v="5"/>
    <n v="440.86384342837863"/>
    <n v="599.12265901805301"/>
    <n v="226.0840222709634"/>
    <n v="11.304201113548169"/>
    <n v="11.304201113548169"/>
    <n v="1.3"/>
    <n v="1.325"/>
    <n v="1.25"/>
    <n v="2500"/>
    <n v="2500"/>
    <n v="830"/>
    <n v="2900"/>
    <n v="6295"/>
    <n v="19050"/>
    <n v="22050"/>
    <n v="161850"/>
    <n v="768500"/>
    <n v="629500"/>
    <n v="95250"/>
    <n v="110250"/>
    <n v="1765350"/>
    <n v="5250"/>
    <n v="3991.1742871604524"/>
  </r>
  <r>
    <x v="30"/>
    <x v="30"/>
    <s v="31 (NOCHE)"/>
    <n v="91"/>
    <s v="FINAL TURNO 3"/>
    <n v="4630"/>
    <n v="6900"/>
    <n v="1710"/>
    <n v="170"/>
    <n v="65"/>
    <n v="16826"/>
    <n v="619.23880597014931"/>
    <n v="80"/>
    <n v="88.462686567164184"/>
    <n v="30"/>
    <n v="280"/>
    <n v="110"/>
    <n v="0"/>
    <n v="5"/>
    <n v="39"/>
    <n v="371"/>
    <n v="137.5"/>
    <n v="0"/>
    <n v="5"/>
    <n v="62.980549061196939"/>
    <n v="599.1226590180529"/>
    <n v="222.0468075875533"/>
    <n v="0"/>
    <n v="8.0744293668201195"/>
    <n v="1.3"/>
    <n v="1.325"/>
    <n v="1.25"/>
    <n v="2500"/>
    <n v="2500"/>
    <n v="830"/>
    <n v="2900"/>
    <n v="6295"/>
    <n v="19050"/>
    <n v="22050"/>
    <n v="32370"/>
    <n v="1075900"/>
    <n v="865562.5"/>
    <n v="0"/>
    <n v="110250"/>
    <n v="2084082.5"/>
    <n v="5250"/>
    <n v="3365.5553881751785"/>
  </r>
  <r>
    <x v="30"/>
    <x v="30"/>
    <s v="32 (MAÑANA)"/>
    <n v="92"/>
    <s v="FINAL TURNO 1"/>
    <n v="4600"/>
    <n v="6620"/>
    <n v="1600"/>
    <n v="170"/>
    <n v="60"/>
    <n v="16833"/>
    <n v="353.85074626865674"/>
    <n v="80"/>
    <n v="88.462686567164184"/>
    <n v="230"/>
    <n v="130"/>
    <n v="80"/>
    <n v="5"/>
    <n v="0"/>
    <n v="299"/>
    <n v="172.25"/>
    <n v="100"/>
    <n v="5"/>
    <n v="0"/>
    <n v="844.98903323772561"/>
    <n v="486.787160452168"/>
    <n v="282.60502783870425"/>
    <n v="14.130251391935211"/>
    <n v="0"/>
    <n v="1.3"/>
    <n v="1.325"/>
    <n v="1.25"/>
    <n v="2500"/>
    <n v="2500"/>
    <n v="830"/>
    <n v="2900"/>
    <n v="6295"/>
    <n v="19050"/>
    <n v="22050"/>
    <n v="248170"/>
    <n v="499525"/>
    <n v="629500"/>
    <n v="95250"/>
    <n v="0"/>
    <n v="1472445"/>
    <n v="5250"/>
    <n v="4161.2036021596086"/>
  </r>
  <r>
    <x v="30"/>
    <x v="30"/>
    <s v="3(TARDE)"/>
    <n v="93"/>
    <s v="FINAL TURNO 2"/>
    <n v="4370"/>
    <n v="6490"/>
    <n v="1520"/>
    <n v="165"/>
    <n v="60"/>
    <n v="16837"/>
    <n v="0"/>
    <n v="0"/>
    <n v="8.4626865671641784"/>
    <n v="10"/>
    <n v="10"/>
    <n v="10"/>
    <n v="0"/>
    <n v="0"/>
    <n v="13"/>
    <n v="13.25"/>
    <n v="12.5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10790"/>
    <n v="38425"/>
    <n v="78687.5"/>
    <n v="0"/>
    <n v="0"/>
    <n v="127902.5"/>
    <n v="5250"/>
    <e v="#DIV/0!"/>
  </r>
  <r>
    <x v="31"/>
    <x v="31"/>
    <m/>
    <m/>
    <m/>
    <n v="4360"/>
    <n v="6480"/>
    <n v="1510"/>
    <n v="165"/>
    <n v="60"/>
    <n v="16837"/>
    <n v="-1489446.2537313434"/>
    <n v="80"/>
    <n v="88.462686567164184"/>
    <n v="4360"/>
    <n v="6480"/>
    <n v="1510"/>
    <n v="165"/>
    <n v="60"/>
    <n v="5668"/>
    <n v="8586"/>
    <n v="1887.5"/>
    <n v="165"/>
    <n v="60"/>
    <n v="-3.8054411065861506"/>
    <n v="-5.7645584582125418"/>
    <n v="-1.2672494863587438"/>
    <n v="-0.11077942529758554"/>
    <n v="-4.02834273809402E-2"/>
    <m/>
    <m/>
    <m/>
    <m/>
    <m/>
    <m/>
    <m/>
    <m/>
    <m/>
    <m/>
    <n v="0"/>
    <n v="0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2C15F-3728-46D5-B823-9AB3F851EDAE}" name="TablaDinámica4" cacheId="28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29" rowHeaderCaption="DÍA">
  <location ref="AG4:AL36" firstHeaderRow="0" firstDataRow="1" firstDataCol="1"/>
  <pivotFields count="62">
    <pivotField numFmtId="14"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x="31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OLUMEN ENVIADO A RO (m3)" fld="34" baseField="0" baseItem="0"/>
    <dataField name=" PPM HCL" fld="54" baseField="0" baseItem="0" numFmtId="1"/>
    <dataField name=" PPM KURIVERTER" fld="55" baseField="0" baseItem="0" numFmtId="1"/>
    <dataField name=" PPM VITEC" fld="56" baseField="0" baseItem="0" numFmtId="1"/>
    <dataField name=" PPM BISULFITO" fld="58" baseField="0" baseItem="0" numFmtId="1"/>
  </dataFields>
  <formats count="26">
    <format dxfId="529">
      <pivotArea field="1" type="button" dataOnly="0" labelOnly="1" outline="0" axis="axisRow" fieldPosition="0"/>
    </format>
    <format dxfId="5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7">
      <pivotArea field="1" type="button" dataOnly="0" labelOnly="1" outline="0" axis="axisRow" fieldPosition="0"/>
    </format>
    <format dxfId="526">
      <pivotArea field="1" type="button" dataOnly="0" labelOnly="1" outline="0" axis="axisRow" fieldPosition="0"/>
    </format>
    <format dxfId="525">
      <pivotArea outline="0" collapsedLevelsAreSubtotals="1" fieldPosition="0"/>
    </format>
    <format dxfId="52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5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21">
      <pivotArea type="all" dataOnly="0" outline="0" fieldPosition="0"/>
    </format>
    <format dxfId="520">
      <pivotArea outline="0" collapsedLevelsAreSubtotals="1" fieldPosition="0"/>
    </format>
    <format dxfId="519">
      <pivotArea field="1" type="button" dataOnly="0" labelOnly="1" outline="0" axis="axisRow" fieldPosition="0"/>
    </format>
    <format dxfId="518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17">
      <pivotArea dataOnly="0" labelOnly="1" grandRow="1" outline="0" fieldPosition="0"/>
    </format>
    <format dxfId="5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15">
      <pivotArea type="all" dataOnly="0" outline="0" fieldPosition="0"/>
    </format>
    <format dxfId="514">
      <pivotArea outline="0" collapsedLevelsAreSubtotals="1" fieldPosition="0"/>
    </format>
    <format dxfId="513">
      <pivotArea field="1" type="button" dataOnly="0" labelOnly="1" outline="0" axis="axisRow" fieldPosition="0"/>
    </format>
    <format dxfId="512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11">
      <pivotArea dataOnly="0" labelOnly="1" grandRow="1" outline="0" fieldPosition="0"/>
    </format>
    <format dxfId="51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09">
      <pivotArea type="all" dataOnly="0" outline="0" fieldPosition="0"/>
    </format>
    <format dxfId="508">
      <pivotArea outline="0" collapsedLevelsAreSubtotals="1" fieldPosition="0"/>
    </format>
    <format dxfId="507">
      <pivotArea field="1" type="button" dataOnly="0" labelOnly="1" outline="0" axis="axisRow" fieldPosition="0"/>
    </format>
    <format dxfId="506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505">
      <pivotArea dataOnly="0" labelOnly="1" grandRow="1" outline="0" fieldPosition="0"/>
    </format>
    <format dxfId="50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2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4"/>
          </reference>
          <reference field="1" count="1" selected="0">
            <x v="24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28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68" rowHeaderCaption="DÍA">
  <location ref="AA4:AD36" firstHeaderRow="0" firstDataRow="1" firstDataCol="1"/>
  <pivotFields count="62">
    <pivotField numFmtId="14"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x="31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34" baseField="0" baseItem="0"/>
    <dataField name=" LIMITE INDICADOR M3" fld="51" subtotal="min" baseField="0" baseItem="0" numFmtId="167"/>
    <dataField name=" INDICADOR $m3 RO" fld="53" baseField="0" baseItem="0" numFmtId="166"/>
  </dataFields>
  <formats count="3">
    <format dxfId="532">
      <pivotArea field="1" type="button" dataOnly="0" labelOnly="1" outline="0" axis="axisRow" fieldPosition="0"/>
    </format>
    <format dxfId="5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5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6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62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2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2" format="22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62" format="23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62" format="24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6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6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63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3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3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63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63" format="33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63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7628-6D93-4395-93AE-E4C27DB44B50}" name="TablaDinámica2" cacheId="33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44" rowHeaderCaption="FECHA">
  <location ref="L4:R37" firstHeaderRow="0" firstDataRow="1" firstDataCol="1"/>
  <pivotFields count="55">
    <pivotField axis="axisRow" showAll="0">
      <items count="459"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5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33"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CAUDAL TOTAL TRATADO GEM " fld="11" baseField="0" baseItem="0"/>
    <dataField name=" COF 235 - PPM COAGULANTE " fld="50" baseField="0" baseItem="0"/>
    <dataField name=" COF 255 - PPM DECOLORANTE" fld="51" baseField="0" baseItem="0"/>
    <dataField name="COF 280 - PPM ACIDO" fld="49" baseField="0" baseItem="0"/>
    <dataField name=" COF 440 - PPM POL ANIONICO" fld="52" baseField="0" baseItem="0"/>
    <dataField name=" COF 494 - PPM POL CATIONICO" fld="53" baseField="0" baseItem="0"/>
  </dataFields>
  <formats count="28">
    <format dxfId="560">
      <pivotArea type="all" dataOnly="0" outline="0" fieldPosition="0"/>
    </format>
    <format dxfId="559">
      <pivotArea outline="0" collapsedLevelsAreSubtotals="1" fieldPosition="0"/>
    </format>
    <format dxfId="558">
      <pivotArea field="0" type="button" dataOnly="0" labelOnly="1" outline="0" axis="axisRow" fieldPosition="0"/>
    </format>
    <format dxfId="557">
      <pivotArea dataOnly="0" labelOnly="1" fieldPosition="0">
        <references count="1">
          <reference field="0" count="0"/>
        </references>
      </pivotArea>
    </format>
    <format dxfId="556">
      <pivotArea dataOnly="0" labelOnly="1" grandRow="1" outline="0" fieldPosition="0"/>
    </format>
    <format dxfId="5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4">
      <pivotArea type="all" dataOnly="0" outline="0" fieldPosition="0"/>
    </format>
    <format dxfId="553">
      <pivotArea outline="0" collapsedLevelsAreSubtotals="1" fieldPosition="0"/>
    </format>
    <format dxfId="552">
      <pivotArea field="0" type="button" dataOnly="0" labelOnly="1" outline="0" axis="axisRow" fieldPosition="0"/>
    </format>
    <format dxfId="551">
      <pivotArea dataOnly="0" labelOnly="1" fieldPosition="0">
        <references count="1">
          <reference field="0" count="0"/>
        </references>
      </pivotArea>
    </format>
    <format dxfId="550">
      <pivotArea dataOnly="0" labelOnly="1" grandRow="1" outline="0" fieldPosition="0"/>
    </format>
    <format dxfId="5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8">
      <pivotArea type="all" dataOnly="0" outline="0" fieldPosition="0"/>
    </format>
    <format dxfId="547">
      <pivotArea outline="0" collapsedLevelsAreSubtotals="1" fieldPosition="0"/>
    </format>
    <format dxfId="546">
      <pivotArea field="0" type="button" dataOnly="0" labelOnly="1" outline="0" axis="axisRow" fieldPosition="0"/>
    </format>
    <format dxfId="545">
      <pivotArea dataOnly="0" labelOnly="1" fieldPosition="0">
        <references count="1">
          <reference field="0" count="0"/>
        </references>
      </pivotArea>
    </format>
    <format dxfId="544">
      <pivotArea dataOnly="0" labelOnly="1" grandRow="1" outline="0" fieldPosition="0"/>
    </format>
    <format dxfId="5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2">
      <pivotArea type="all" dataOnly="0" outline="0" fieldPosition="0"/>
    </format>
    <format dxfId="541">
      <pivotArea outline="0" collapsedLevelsAreSubtotals="1" fieldPosition="0"/>
    </format>
    <format dxfId="540">
      <pivotArea dataOnly="0" labelOnly="1" fieldPosition="0">
        <references count="1">
          <reference field="0" count="0"/>
        </references>
      </pivotArea>
    </format>
    <format dxfId="539">
      <pivotArea dataOnly="0" labelOnly="1" grandRow="1" outline="0" fieldPosition="0"/>
    </format>
    <format dxfId="538">
      <pivotArea field="0" type="button" dataOnly="0" labelOnly="1" outline="0" axis="axisRow" fieldPosition="0"/>
    </format>
    <format dxfId="5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6">
      <pivotArea outline="0" collapsedLevelsAreSubtotals="1" fieldPosition="0"/>
    </format>
    <format dxfId="5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4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533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</formats>
  <chartFormats count="9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5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33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itemPrintTitles="1" createdVersion="8" indent="0" outline="1" outlineData="1" multipleFieldFilters="0" chartFormat="119" rowHeaderCaption="DIA">
  <location ref="U4:Y36" firstHeaderRow="0" firstDataRow="1" firstDataCol="1"/>
  <pivotFields count="55">
    <pivotField showAll="0">
      <items count="459"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5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 CAUDAL TOTAL TRATADO GEM " fld="11" baseField="0" baseItem="0"/>
    <dataField name="  INDICADOR $m3" fld="48" baseField="0" baseItem="0" numFmtId="3"/>
    <dataField name="  2024-2 $m3 GEM " fld="45" subtotal="min" baseField="0" baseItem="0" numFmtId="166"/>
    <dataField name="  2024 $m3 GEM" fld="54" baseField="0" baseItem="0" numFmtId="166"/>
  </dataFields>
  <formats count="38">
    <format dxfId="598">
      <pivotArea outline="0" collapsedLevelsAreSubtotals="1" fieldPosition="0"/>
    </format>
    <format dxfId="5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6">
      <pivotArea outline="0" collapsedLevelsAreSubtotals="1" fieldPosition="0"/>
    </format>
    <format dxfId="5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9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93">
      <pivotArea type="all" dataOnly="0" outline="0" fieldPosition="0"/>
    </format>
    <format dxfId="592">
      <pivotArea outline="0" collapsedLevelsAreSubtotals="1" fieldPosition="0"/>
    </format>
    <format dxfId="591">
      <pivotArea field="1" type="button" dataOnly="0" labelOnly="1" outline="0" axis="axisRow" fieldPosition="0"/>
    </format>
    <format dxfId="59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89">
      <pivotArea dataOnly="0" labelOnly="1" grandRow="1" outline="0" fieldPosition="0"/>
    </format>
    <format dxfId="5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87">
      <pivotArea type="all" dataOnly="0" outline="0" fieldPosition="0"/>
    </format>
    <format dxfId="586">
      <pivotArea outline="0" collapsedLevelsAreSubtotals="1" fieldPosition="0"/>
    </format>
    <format dxfId="585">
      <pivotArea field="1" type="button" dataOnly="0" labelOnly="1" outline="0" axis="axisRow" fieldPosition="0"/>
    </format>
    <format dxfId="58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83">
      <pivotArea dataOnly="0" labelOnly="1" grandRow="1" outline="0" fieldPosition="0"/>
    </format>
    <format dxfId="5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81">
      <pivotArea type="all" dataOnly="0" outline="0" fieldPosition="0"/>
    </format>
    <format dxfId="580">
      <pivotArea outline="0" collapsedLevelsAreSubtotals="1" fieldPosition="0"/>
    </format>
    <format dxfId="57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8">
      <pivotArea dataOnly="0" labelOnly="1" grandRow="1" outline="0" fieldPosition="0"/>
    </format>
    <format dxfId="577">
      <pivotArea field="1" type="button" dataOnly="0" labelOnly="1" outline="0" axis="axisRow" fieldPosition="0"/>
    </format>
    <format dxfId="5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5">
      <pivotArea type="all" dataOnly="0" outline="0" fieldPosition="0"/>
    </format>
    <format dxfId="574">
      <pivotArea outline="0" collapsedLevelsAreSubtotals="1" fieldPosition="0"/>
    </format>
    <format dxfId="573">
      <pivotArea field="1" type="button" dataOnly="0" labelOnly="1" outline="0" axis="axisRow" fieldPosition="0"/>
    </format>
    <format dxfId="57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1">
      <pivotArea dataOnly="0" labelOnly="1" grandRow="1" outline="0" fieldPosition="0"/>
    </format>
    <format dxfId="5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7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56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2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561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33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H8" firstHeaderRow="1" firstDataRow="2" firstDataCol="1"/>
  <pivotFields count="55">
    <pivotField showAll="0"/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5">
    <dataField name="COF 280 ACIDO (L)" fld="14" baseField="0" baseItem="0"/>
    <dataField name="COF 235 COAGULANTE (L)" fld="15" baseField="0" baseItem="0"/>
    <dataField name="COF 255  DECOLORANTE (L)" fld="16" baseField="0" baseItem="0"/>
    <dataField name="COF 440 POL ANIONICO (KG)" fld="17" baseField="0" baseItem="0"/>
    <dataField name="COF 494 POL CATIONICO (KG)" fld="18" baseField="0" baseItem="0"/>
  </dataFields>
  <formats count="26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1" type="button" dataOnly="0" labelOnly="1" outline="0" axis="axisCol" fieldPosition="0"/>
    </format>
    <format dxfId="250">
      <pivotArea type="topRight" dataOnly="0" labelOnly="1" outline="0" fieldPosition="0"/>
    </format>
    <format dxfId="2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8">
      <pivotArea dataOnly="0" labelOnly="1" fieldPosition="0">
        <references count="1">
          <reference field="1" count="0"/>
        </references>
      </pivotArea>
    </format>
    <format dxfId="247">
      <pivotArea dataOnly="0" labelOnly="1" grandCol="1" outline="0" fieldPosition="0"/>
    </format>
    <format dxfId="246">
      <pivotArea outline="0" collapsedLevelsAreSubtotals="1" fieldPosition="0"/>
    </format>
    <format dxfId="2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4">
      <pivotArea dataOnly="0" labelOnly="1" fieldPosition="0">
        <references count="1">
          <reference field="1" count="0"/>
        </references>
      </pivotArea>
    </format>
    <format dxfId="243">
      <pivotArea dataOnly="0" labelOnly="1" grandCol="1" outline="0" fieldPosition="0"/>
    </format>
    <format dxfId="242">
      <pivotArea type="origin" dataOnly="0" labelOnly="1" outline="0" fieldPosition="0"/>
    </format>
    <format dxfId="241">
      <pivotArea field="-2" type="button" dataOnly="0" labelOnly="1" outline="0" axis="axisRow" fieldPosition="0"/>
    </format>
    <format dxfId="240">
      <pivotArea type="origin" dataOnly="0" labelOnly="1" outline="0" fieldPosition="0"/>
    </format>
    <format dxfId="239">
      <pivotArea field="-2" type="button" dataOnly="0" labelOnly="1" outline="0" axis="axisRow" fieldPosition="0"/>
    </format>
    <format dxfId="238">
      <pivotArea field="1" type="button" dataOnly="0" labelOnly="1" outline="0" axis="axisCol" fieldPosition="0"/>
    </format>
    <format dxfId="237">
      <pivotArea type="topRight" dataOnly="0" labelOnly="1" outline="0" fieldPosition="0"/>
    </format>
    <format dxfId="236">
      <pivotArea dataOnly="0" labelOnly="1" fieldPosition="0">
        <references count="1">
          <reference field="1" count="0"/>
        </references>
      </pivotArea>
    </format>
    <format dxfId="235">
      <pivotArea dataOnly="0" labelOnly="1" grandCol="1" outline="0" fieldPosition="0"/>
    </format>
    <format dxfId="234">
      <pivotArea outline="0" collapsedLevelsAreSubtotals="1" fieldPosition="0"/>
    </format>
    <format dxfId="233">
      <pivotArea dataOnly="0" labelOnly="1" fieldPosition="0">
        <references count="1">
          <reference field="1" count="0"/>
        </references>
      </pivotArea>
    </format>
    <format dxfId="232">
      <pivotArea dataOnly="0" labelOnly="1" grandCol="1" outline="0" fieldPosition="0"/>
    </format>
    <format dxfId="231">
      <pivotArea dataOnly="0" labelOnly="1" fieldPosition="0">
        <references count="1">
          <reference field="1" count="0"/>
        </references>
      </pivotArea>
    </format>
    <format dxfId="230">
      <pivotArea dataOnly="0" labelOnly="1" grandCol="1" outline="0" fieldPosition="0"/>
    </format>
    <format dxfId="22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8">
      <pivotArea field="-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33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1:AH17" firstHeaderRow="1" firstDataRow="2" firstDataCol="1"/>
  <pivotFields count="55">
    <pivotField showAll="0">
      <items count="459"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5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5">
    <dataField name="COF 280 - KG ACIDO" fld="19" baseField="0" baseItem="0" numFmtId="3"/>
    <dataField name="COF 235 - KG COAGULANTE" fld="20" baseField="0" baseItem="0"/>
    <dataField name="COF 255 - KG DECOLORANTE " fld="21" baseField="0" baseItem="0"/>
    <dataField name="COF 440 - KG POL ANIONICO " fld="22" baseField="0" baseItem="0"/>
    <dataField name="COF 494 - KG POL CATIONICO " fld="23" baseField="0" baseItem="0"/>
  </dataFields>
  <formats count="61">
    <format dxfId="314">
      <pivotArea field="0" type="button" dataOnly="0" labelOnly="1" outline="0"/>
    </format>
    <format dxfId="313">
      <pivotArea field="0" type="button" dataOnly="0" labelOnly="1" outline="0"/>
    </format>
    <format dxfId="312">
      <pivotArea field="0" type="button" dataOnly="0" labelOnly="1" outline="0"/>
    </format>
    <format dxfId="31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8">
      <pivotArea field="0" type="button" dataOnly="0" labelOnly="1" outline="0"/>
    </format>
    <format dxfId="30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6">
      <pivotArea type="all" dataOnly="0" outline="0" fieldPosition="0"/>
    </format>
    <format dxfId="305">
      <pivotArea outline="0" collapsedLevelsAreSubtotals="1" fieldPosition="0"/>
    </format>
    <format dxfId="304">
      <pivotArea field="0" type="button" dataOnly="0" labelOnly="1" outline="0"/>
    </format>
    <format dxfId="303">
      <pivotArea dataOnly="0" labelOnly="1" grandRow="1" outline="0" fieldPosition="0"/>
    </format>
    <format dxfId="30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1">
      <pivotArea field="0" type="button" dataOnly="0" labelOnly="1" outline="0"/>
    </format>
    <format dxfId="30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9">
      <pivotArea field="0" type="button" dataOnly="0" labelOnly="1" outline="0"/>
    </format>
    <format dxfId="29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7">
      <pivotArea outline="0" collapsedLevelsAreSubtotals="1" fieldPosition="0"/>
    </format>
    <format dxfId="296">
      <pivotArea dataOnly="0" labelOnly="1" grandRow="1" outline="0" fieldPosition="0"/>
    </format>
    <format dxfId="295">
      <pivotArea field="-2" type="button" dataOnly="0" labelOnly="1" outline="0" axis="axisRow" fieldPosition="0"/>
    </format>
    <format dxfId="294">
      <pivotArea type="origin" dataOnly="0" labelOnly="1" outline="0" fieldPosition="0"/>
    </format>
    <format dxfId="293">
      <pivotArea type="origin" dataOnly="0" labelOnly="1" outline="0" fieldPosition="0"/>
    </format>
    <format dxfId="292">
      <pivotArea field="-2" type="button" dataOnly="0" labelOnly="1" outline="0" axis="axisRow" fieldPosition="0"/>
    </format>
    <format dxfId="291">
      <pivotArea field="-2" type="button" dataOnly="0" labelOnly="1" outline="0" axis="axisRow" fieldPosition="0"/>
    </format>
    <format dxfId="290">
      <pivotArea outline="0" fieldPosition="0">
        <references count="1">
          <reference field="4294967294" count="1">
            <x v="0"/>
          </reference>
        </references>
      </pivotArea>
    </format>
    <format dxfId="289">
      <pivotArea field="1" type="button" dataOnly="0" labelOnly="1" outline="0" axis="axisCol" fieldPosition="0"/>
    </format>
    <format dxfId="2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7">
      <pivotArea field="1" type="button" dataOnly="0" labelOnly="1" outline="0" axis="axisCol" fieldPosition="0"/>
    </format>
    <format dxfId="286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285">
      <pivotArea outline="0" collapsedLevelsAreSubtotals="1" fieldPosition="0">
        <references count="1">
          <reference field="1" count="0" selected="0"/>
        </references>
      </pivotArea>
    </format>
    <format dxfId="284">
      <pivotArea field="1" type="button" dataOnly="0" labelOnly="1" outline="0" axis="axisCol" fieldPosition="0"/>
    </format>
    <format dxfId="283">
      <pivotArea type="topRight" dataOnly="0" labelOnly="1" outline="0" fieldPosition="0"/>
    </format>
    <format dxfId="282">
      <pivotArea dataOnly="0" labelOnly="1" fieldPosition="0">
        <references count="1">
          <reference field="1" count="0"/>
        </references>
      </pivotArea>
    </format>
    <format dxfId="281">
      <pivotArea type="origin" dataOnly="0" labelOnly="1" outline="0" fieldPosition="0"/>
    </format>
    <format dxfId="280">
      <pivotArea field="-2" type="button" dataOnly="0" labelOnly="1" outline="0" axis="axisRow" fieldPosition="0"/>
    </format>
    <format dxfId="27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4">
      <pivotArea type="origin" dataOnly="0" labelOnly="1" outline="0" fieldPosition="0"/>
    </format>
    <format dxfId="273">
      <pivotArea field="1" type="button" dataOnly="0" labelOnly="1" outline="0" axis="axisCol" fieldPosition="0"/>
    </format>
    <format dxfId="272">
      <pivotArea type="topRight" dataOnly="0" labelOnly="1" outline="0" fieldPosition="0"/>
    </format>
    <format dxfId="271">
      <pivotArea field="-2" type="button" dataOnly="0" labelOnly="1" outline="0" axis="axisRow" fieldPosition="0"/>
    </format>
    <format dxfId="270">
      <pivotArea dataOnly="0" labelOnly="1" fieldPosition="0">
        <references count="1">
          <reference field="1" count="0"/>
        </references>
      </pivotArea>
    </format>
    <format dxfId="269">
      <pivotArea dataOnly="0" labelOnly="1" grandCol="1" outline="0" fieldPosition="0"/>
    </format>
    <format dxfId="268">
      <pivotArea type="origin" dataOnly="0" labelOnly="1" outline="0" fieldPosition="0"/>
    </format>
    <format dxfId="267">
      <pivotArea field="1" type="button" dataOnly="0" labelOnly="1" outline="0" axis="axisCol" fieldPosition="0"/>
    </format>
    <format dxfId="266">
      <pivotArea type="topRight" dataOnly="0" labelOnly="1" outline="0" fieldPosition="0"/>
    </format>
    <format dxfId="265">
      <pivotArea field="-2" type="button" dataOnly="0" labelOnly="1" outline="0" axis="axisRow" fieldPosition="0"/>
    </format>
    <format dxfId="264">
      <pivotArea dataOnly="0" labelOnly="1" fieldPosition="0">
        <references count="1">
          <reference field="1" count="0"/>
        </references>
      </pivotArea>
    </format>
    <format dxfId="263">
      <pivotArea dataOnly="0" labelOnly="1" grandCol="1" outline="0" fieldPosition="0"/>
    </format>
    <format dxfId="262">
      <pivotArea dataOnly="0" labelOnly="1" fieldPosition="0">
        <references count="1">
          <reference field="1" count="0"/>
        </references>
      </pivotArea>
    </format>
    <format dxfId="261">
      <pivotArea dataOnly="0" labelOnly="1" grandCol="1" outline="0" fieldPosition="0"/>
    </format>
    <format dxfId="260">
      <pivotArea field="1" type="button" dataOnly="0" labelOnly="1" outline="0" axis="axisCol" fieldPosition="0"/>
    </format>
    <format dxfId="259">
      <pivotArea type="topRight" dataOnly="0" labelOnly="1" outline="0" fieldPosition="0"/>
    </format>
    <format dxfId="258">
      <pivotArea dataOnly="0" labelOnly="1" fieldPosition="0">
        <references count="1">
          <reference field="1" count="0"/>
        </references>
      </pivotArea>
    </format>
    <format dxfId="257">
      <pivotArea dataOnly="0" labelOnly="1" grandCol="1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-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33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0:AG26" firstHeaderRow="1" firstDataRow="2" firstDataCol="1"/>
  <pivotFields count="55">
    <pivotField showAll="0">
      <items count="459"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5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colItems>
  <dataFields count="5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" fld="52" baseField="0" baseItem="0"/>
    <dataField name="COF 494 - PPM POL CATIONICO " fld="53" baseField="0" baseItem="0"/>
  </dataFields>
  <formats count="52">
    <format dxfId="366">
      <pivotArea field="0" type="button" dataOnly="0" labelOnly="1" outline="0"/>
    </format>
    <format dxfId="365">
      <pivotArea field="0" type="button" dataOnly="0" labelOnly="1" outline="0"/>
    </format>
    <format dxfId="364">
      <pivotArea field="0" type="button" dataOnly="0" labelOnly="1" outline="0"/>
    </format>
    <format dxfId="363">
      <pivotArea field="0" type="button" dataOnly="0" labelOnly="1" outline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0" type="button" dataOnly="0" labelOnly="1" outline="0"/>
    </format>
    <format dxfId="359">
      <pivotArea dataOnly="0" labelOnly="1" grandRow="1" outline="0" fieldPosition="0"/>
    </format>
    <format dxfId="358">
      <pivotArea field="0" type="button" dataOnly="0" labelOnly="1" outline="0"/>
    </format>
    <format dxfId="357">
      <pivotArea field="0" type="button" dataOnly="0" labelOnly="1" outline="0"/>
    </format>
    <format dxfId="356">
      <pivotArea field="0" type="button" dataOnly="0" labelOnly="1" outline="0"/>
    </format>
    <format dxfId="355">
      <pivotArea field="0" type="button" dataOnly="0" labelOnly="1" outline="0"/>
    </format>
    <format dxfId="354">
      <pivotArea outline="0" collapsedLevelsAreSubtotals="1" fieldPosition="0"/>
    </format>
    <format dxfId="353">
      <pivotArea field="0" type="button" dataOnly="0" labelOnly="1" outline="0"/>
    </format>
    <format dxfId="352">
      <pivotArea type="all" dataOnly="0" outline="0" fieldPosition="0"/>
    </format>
    <format dxfId="351">
      <pivotArea field="0" type="button" dataOnly="0" labelOnly="1" outline="0"/>
    </format>
    <format dxfId="350">
      <pivotArea dataOnly="0" labelOnly="1" grandRow="1" outline="0" fieldPosition="0"/>
    </format>
    <format dxfId="349">
      <pivotArea type="origin" dataOnly="0" labelOnly="1" outline="0" fieldPosition="0"/>
    </format>
    <format dxfId="348">
      <pivotArea type="origin" dataOnly="0" labelOnly="1" outline="0" fieldPosition="0"/>
    </format>
    <format dxfId="347">
      <pivotArea field="1" type="button" dataOnly="0" labelOnly="1" outline="0" axis="axisCol" fieldPosition="0"/>
    </format>
    <format dxfId="3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5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44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343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42">
      <pivotArea outline="0" collapsedLevelsAreSubtotals="1" fieldPosition="0">
        <references count="1">
          <reference field="1" count="0" selected="0"/>
        </references>
      </pivotArea>
    </format>
    <format dxfId="341">
      <pivotArea field="1" type="button" dataOnly="0" labelOnly="1" outline="0" axis="axisCol" fieldPosition="0"/>
    </format>
    <format dxfId="340">
      <pivotArea type="topRight" dataOnly="0" labelOnly="1" outline="0" fieldPosition="0"/>
    </format>
    <format dxfId="339">
      <pivotArea dataOnly="0" labelOnly="1" fieldPosition="0">
        <references count="1">
          <reference field="1" count="0"/>
        </references>
      </pivotArea>
    </format>
    <format dxfId="3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5">
      <pivotArea type="all" dataOnly="0" outline="0" fieldPosition="0"/>
    </format>
    <format dxfId="334">
      <pivotArea type="origin" dataOnly="0" labelOnly="1" outline="0" fieldPosition="0"/>
    </format>
    <format dxfId="333">
      <pivotArea field="-2" type="button" dataOnly="0" labelOnly="1" outline="0" axis="axisRow" fieldPosition="0"/>
    </format>
    <format dxfId="332">
      <pivotArea dataOnly="0" labelOnly="1" fieldPosition="0">
        <references count="1">
          <reference field="1" count="0"/>
        </references>
      </pivotArea>
    </format>
    <format dxfId="331">
      <pivotArea dataOnly="0" labelOnly="1" grandCol="1" outline="0" fieldPosition="0"/>
    </format>
    <format dxfId="330">
      <pivotArea outline="0" collapsedLevelsAreSubtotals="1" fieldPosition="0"/>
    </format>
    <format dxfId="32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8">
      <pivotArea type="origin" dataOnly="0" labelOnly="1" outline="0" fieldPosition="0"/>
    </format>
    <format dxfId="327">
      <pivotArea field="-2" type="button" dataOnly="0" labelOnly="1" outline="0" axis="axisRow" fieldPosition="0"/>
    </format>
    <format dxfId="326">
      <pivotArea field="1" type="button" dataOnly="0" labelOnly="1" outline="0" axis="axisCol" fieldPosition="0"/>
    </format>
    <format dxfId="325">
      <pivotArea type="topRight" dataOnly="0" labelOnly="1" outline="0" fieldPosition="0"/>
    </format>
    <format dxfId="324">
      <pivotArea field="1" type="button" dataOnly="0" labelOnly="1" outline="0" axis="axisCol" fieldPosition="0"/>
    </format>
    <format dxfId="323">
      <pivotArea type="topRight" dataOnly="0" labelOnly="1" outline="0" fieldPosition="0"/>
    </format>
    <format dxfId="322">
      <pivotArea dataOnly="0" labelOnly="1" fieldPosition="0">
        <references count="1">
          <reference field="1" count="0"/>
        </references>
      </pivotArea>
    </format>
    <format dxfId="321">
      <pivotArea dataOnly="0" labelOnly="1" grandCol="1" outline="0" fieldPosition="0"/>
    </format>
    <format dxfId="320">
      <pivotArea field="1" type="button" dataOnly="0" labelOnly="1" outline="0" axis="axisCol" fieldPosition="0"/>
    </format>
    <format dxfId="319">
      <pivotArea type="topRight" dataOnly="0" labelOnly="1" outline="0" fieldPosition="0"/>
    </format>
    <format dxfId="318">
      <pivotArea dataOnly="0" labelOnly="1" fieldPosition="0">
        <references count="1">
          <reference field="1" count="0"/>
        </references>
      </pivotArea>
    </format>
    <format dxfId="317">
      <pivotArea dataOnly="0" labelOnly="1" grandCol="1" outline="0" fieldPosition="0"/>
    </format>
    <format dxfId="316">
      <pivotArea type="origin" dataOnly="0" labelOnly="1" outline="0" fieldPosition="0"/>
    </format>
    <format dxfId="315">
      <pivotArea field="-2" type="button" dataOnly="0" labelOnly="1" outline="0" axis="axisRow" fieldPosition="0"/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33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29:AH31" firstHeaderRow="1" firstDataRow="2" firstDataCol="1"/>
  <pivotFields count="55">
    <pivotField showAll="0">
      <items count="459"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5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 CAUDAL TOTAL TRATADO GEM " fld="11" baseField="0" baseItem="0"/>
  </dataFields>
  <formats count="37">
    <format dxfId="403">
      <pivotArea field="0" type="button" dataOnly="0" labelOnly="1" outline="0"/>
    </format>
    <format dxfId="402">
      <pivotArea field="0" type="button" dataOnly="0" labelOnly="1" outline="0"/>
    </format>
    <format dxfId="401">
      <pivotArea outline="0" collapsedLevelsAreSubtotals="1" fieldPosition="0"/>
    </format>
    <format dxfId="400">
      <pivotArea field="1" type="button" dataOnly="0" labelOnly="1" outline="0" axis="axisCol" fieldPosition="0"/>
    </format>
    <format dxfId="399">
      <pivotArea type="origin" dataOnly="0" labelOnly="1" outline="0" fieldPosition="0"/>
    </format>
    <format dxfId="398">
      <pivotArea outline="0" collapsedLevelsAreSubtotals="1" fieldPosition="0"/>
    </format>
    <format dxfId="397">
      <pivotArea outline="0" collapsedLevelsAreSubtotals="1" fieldPosition="0"/>
    </format>
    <format dxfId="396">
      <pivotArea type="origin" dataOnly="0" labelOnly="1" outline="0" fieldPosition="0"/>
    </format>
    <format dxfId="395">
      <pivotArea field="-2" type="button" dataOnly="0" labelOnly="1" outline="0" axis="axisRow" fieldPosition="0"/>
    </format>
    <format dxfId="394">
      <pivotArea type="origin" dataOnly="0" labelOnly="1" outline="0" fieldPosition="0"/>
    </format>
    <format dxfId="393">
      <pivotArea field="-2" type="button" dataOnly="0" labelOnly="1" outline="0" axis="axisRow" fieldPosition="0"/>
    </format>
    <format dxfId="392">
      <pivotArea outline="0" collapsedLevelsAreSubtotals="1" fieldPosition="0">
        <references count="1">
          <reference field="1" count="0" selected="0"/>
        </references>
      </pivotArea>
    </format>
    <format dxfId="391">
      <pivotArea field="1" type="button" dataOnly="0" labelOnly="1" outline="0" axis="axisCol" fieldPosition="0"/>
    </format>
    <format dxfId="390">
      <pivotArea type="topRight" dataOnly="0" labelOnly="1" outline="0" fieldPosition="0"/>
    </format>
    <format dxfId="389">
      <pivotArea dataOnly="0" labelOnly="1" fieldPosition="0">
        <references count="1">
          <reference field="1" count="0"/>
        </references>
      </pivotArea>
    </format>
    <format dxfId="388">
      <pivotArea outline="0" collapsedLevelsAreSubtotals="1" fieldPosition="0"/>
    </format>
    <format dxfId="387">
      <pivotArea dataOnly="0" labelOnly="1" fieldPosition="0">
        <references count="1">
          <reference field="1" count="0"/>
        </references>
      </pivotArea>
    </format>
    <format dxfId="386">
      <pivotArea dataOnly="0" labelOnly="1" grandCol="1" outline="0" fieldPosition="0"/>
    </format>
    <format dxfId="385">
      <pivotArea outline="0" collapsedLevelsAreSubtotals="1" fieldPosition="0"/>
    </format>
    <format dxfId="384">
      <pivotArea dataOnly="0" labelOnly="1" fieldPosition="0">
        <references count="1">
          <reference field="1" count="0"/>
        </references>
      </pivotArea>
    </format>
    <format dxfId="383">
      <pivotArea dataOnly="0" labelOnly="1" grandCol="1" outline="0" fieldPosition="0"/>
    </format>
    <format dxfId="382">
      <pivotArea outline="0" collapsedLevelsAreSubtotals="1" fieldPosition="0"/>
    </format>
    <format dxfId="3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0">
      <pivotArea field="1" type="button" dataOnly="0" labelOnly="1" outline="0" axis="axisCol" fieldPosition="0"/>
    </format>
    <format dxfId="379">
      <pivotArea type="topRight" dataOnly="0" labelOnly="1" outline="0" fieldPosition="0"/>
    </format>
    <format dxfId="378">
      <pivotArea dataOnly="0" labelOnly="1" fieldPosition="0">
        <references count="1">
          <reference field="1" count="0"/>
        </references>
      </pivotArea>
    </format>
    <format dxfId="377">
      <pivotArea dataOnly="0" labelOnly="1" grandCol="1" outline="0" fieldPosition="0"/>
    </format>
    <format dxfId="3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4">
      <pivotArea outline="0" collapsedLevelsAreSubtotals="1" fieldPosition="0"/>
    </format>
    <format dxfId="3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2">
      <pivotArea type="origin" dataOnly="0" labelOnly="1" outline="0" fieldPosition="0"/>
    </format>
    <format dxfId="371">
      <pivotArea field="-2" type="button" dataOnly="0" labelOnly="1" outline="0" axis="axisRow" fieldPosition="0"/>
    </format>
    <format dxfId="370">
      <pivotArea field="1" type="button" dataOnly="0" labelOnly="1" outline="0" axis="axisCol" fieldPosition="0"/>
    </format>
    <format dxfId="369">
      <pivotArea type="topRight" dataOnly="0" labelOnly="1" outline="0" fieldPosition="0"/>
    </format>
    <format dxfId="368">
      <pivotArea dataOnly="0" labelOnly="1" fieldPosition="0">
        <references count="1">
          <reference field="1" count="0"/>
        </references>
      </pivotArea>
    </format>
    <format dxfId="367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28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H18" firstHeaderRow="1" firstDataRow="2" firstDataCol="1"/>
  <pivotFields count="62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Kg) HCL (10%)22" fld="29" baseField="0" baseItem="0"/>
    <dataField name=" CONSUMO (Kg) KURIVERTER IK-220 (Biocida)" fld="30" baseField="0" baseItem="0"/>
    <dataField name=" CONSUMO (Kg) VITEC 7000 (Antiincrustante)" fld="31" baseField="0" baseItem="0"/>
    <dataField name=" CONSUMO (Kg) Hidróxido de Sodio (NaOH)" fld="32" baseField="0" baseItem="0"/>
    <dataField name=" CONSUMO (Kg) Bisulfito de sodio6" fld="33" baseField="0" baseItem="0"/>
  </dataFields>
  <formats count="25">
    <format dxfId="82">
      <pivotArea outline="0" collapsedLevelsAreSubtotals="1" fieldPosition="0"/>
    </format>
    <format dxfId="81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80">
      <pivotArea grandCol="1" outline="0" collapsedLevelsAreSubtotals="1" fieldPosition="0"/>
    </format>
    <format dxfId="79">
      <pivotArea type="topRight" dataOnly="0" labelOnly="1" outline="0" offset="B1:AD1" fieldPosition="0"/>
    </format>
    <format dxfId="78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7">
      <pivotArea dataOnly="0" labelOnly="1" grandCol="1" outline="0" fieldPosition="0"/>
    </format>
    <format dxfId="76">
      <pivotArea type="origin" dataOnly="0" labelOnly="1" outline="0" fieldPosition="0"/>
    </format>
    <format dxfId="75">
      <pivotArea field="1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-2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Col="1" outline="0" fieldPosition="0"/>
    </format>
    <format dxfId="70">
      <pivotArea type="origin" dataOnly="0" labelOnly="1" outline="0" fieldPosition="0"/>
    </format>
    <format dxfId="69">
      <pivotArea field="1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-2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Col="1" outline="0" fieldPosition="0"/>
    </format>
    <format dxfId="64">
      <pivotArea type="origin" dataOnly="0" labelOnly="1" outline="0" fieldPosition="0"/>
    </format>
    <format dxfId="63">
      <pivotArea field="-2" type="button" dataOnly="0" labelOnly="1" outline="0" axis="axisRow" fieldPosition="0"/>
    </format>
    <format dxfId="62">
      <pivotArea outline="0" collapsedLevelsAreSubtotals="1" fieldPosition="0"/>
    </format>
    <format dxfId="6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0">
      <pivotArea outline="0" collapsedLevelsAreSubtotals="1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28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H9" firstHeaderRow="1" firstDataRow="2" firstDataCol="1"/>
  <pivotFields count="62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L) HCL (10%)" fld="19" baseField="0" baseItem="0"/>
    <dataField name=" CONSUMO (L) KURIVERTER IK-220 (Biocida)" fld="20" baseField="0" baseItem="0"/>
    <dataField name="CONSUMO (L) VITEC 7000 (Antiincrustante) " fld="21" baseField="0" baseItem="0"/>
    <dataField name="CONSUMO (L) Hidróxido de Sodio (NaOH) " fld="22" baseField="0" baseItem="0"/>
    <dataField name="CONSUMO (L) Bisulfito de sodio " fld="23" baseField="0" baseItem="0"/>
  </dataFields>
  <formats count="35">
    <format dxfId="117">
      <pivotArea outline="0" collapsedLevelsAreSubtotals="1" fieldPosition="0"/>
    </format>
    <format dxfId="116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15">
      <pivotArea grandCol="1" outline="0" collapsedLevelsAreSubtotals="1" fieldPosition="0"/>
    </format>
    <format dxfId="114">
      <pivotArea type="topRight" dataOnly="0" labelOnly="1" outline="0" offset="B1:AD1" fieldPosition="0"/>
    </format>
    <format dxfId="113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12">
      <pivotArea dataOnly="0" labelOnly="1" grandCol="1" outline="0" fieldPosition="0"/>
    </format>
    <format dxfId="111">
      <pivotArea type="all" dataOnly="0" outline="0" fieldPosition="0"/>
    </format>
    <format dxfId="110">
      <pivotArea field="1" type="button" dataOnly="0" labelOnly="1" outline="0" axis="axisCol" fieldPosition="0"/>
    </format>
    <format dxfId="109">
      <pivotArea type="topRight" dataOnly="0" labelOnly="1" outline="0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dataOnly="0" labelOnly="1" grandCol="1" outline="0" fieldPosition="0"/>
    </format>
    <format dxfId="106">
      <pivotArea type="origin" dataOnly="0" labelOnly="1" outline="0" fieldPosition="0"/>
    </format>
    <format dxfId="105">
      <pivotArea field="-2" type="button" dataOnly="0" labelOnly="1" outline="0" axis="axisRow" fieldPosition="0"/>
    </format>
    <format dxfId="104">
      <pivotArea field="1" type="button" dataOnly="0" labelOnly="1" outline="0" axis="axisCol" fieldPosition="0"/>
    </format>
    <format dxfId="103">
      <pivotArea type="topRight" dataOnly="0" labelOnly="1" outline="0" fieldPosition="0"/>
    </format>
    <format dxfId="102">
      <pivotArea outline="0" collapsedLevelsAreSubtotals="1" fieldPosition="0"/>
    </format>
    <format dxfId="10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00">
      <pivotArea type="origin" dataOnly="0" labelOnly="1" outline="0" fieldPosition="0"/>
    </format>
    <format dxfId="99">
      <pivotArea field="1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-2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Col="1" outline="0" fieldPosition="0"/>
    </format>
    <format dxfId="94">
      <pivotArea type="origin" dataOnly="0" labelOnly="1" outline="0" fieldPosition="0"/>
    </format>
    <format dxfId="93">
      <pivotArea field="1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-2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Col="1" outline="0" fieldPosition="0"/>
    </format>
    <format dxfId="88">
      <pivotArea outline="0" collapsedLevelsAreSubtotals="1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Col="1" outline="0" fieldPosition="0"/>
    </format>
    <format dxfId="85">
      <pivotArea type="origin" dataOnly="0" labelOnly="1" outline="0" fieldPosition="0"/>
    </format>
    <format dxfId="84">
      <pivotArea field="-2" type="button" dataOnly="0" labelOnly="1" outline="0" axis="axisRow" fieldPosition="0"/>
    </format>
    <format dxfId="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2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H34" firstHeaderRow="1" firstDataRow="2" firstDataCol="1"/>
  <pivotFields count="62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TIEMPO DE OPERACIÓN (minutos)" fld="8" baseField="0" baseItem="0"/>
  </dataFields>
  <formats count="23">
    <format dxfId="140">
      <pivotArea outline="0" collapsedLevelsAreSubtotals="1" fieldPosition="0"/>
    </format>
    <format dxfId="139">
      <pivotArea dataOnly="0" labelOnly="1" outline="0" axis="axisValues" fieldPosition="0"/>
    </format>
    <format dxfId="138">
      <pivotArea field="1" type="button" dataOnly="0" labelOnly="1" outline="0" axis="axisCol" fieldPosition="0"/>
    </format>
    <format dxfId="137">
      <pivotArea type="topRight" dataOnly="0" labelOnly="1" outline="0" fieldPosition="0"/>
    </format>
    <format dxfId="136">
      <pivotArea dataOnly="0" labelOnly="1" fieldPosition="0">
        <references count="1">
          <reference field="1" count="0"/>
        </references>
      </pivotArea>
    </format>
    <format dxfId="135">
      <pivotArea dataOnly="0" labelOnly="1" grandCol="1" outline="0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offset="A1" fieldPosition="0"/>
    </format>
    <format dxfId="131">
      <pivotArea dataOnly="0" labelOnly="1" outline="0" axis="axisValues" fieldPosition="0"/>
    </format>
    <format dxfId="130">
      <pivotArea field="1" type="button" dataOnly="0" labelOnly="1" outline="0" axis="axisCol" fieldPosition="0"/>
    </format>
    <format dxfId="129">
      <pivotArea type="topRight" dataOnly="0" labelOnly="1" outline="0" fieldPosition="0"/>
    </format>
    <format dxfId="128">
      <pivotArea type="origin" dataOnly="0" labelOnly="1" outline="0" offset="A2" fieldPosition="0"/>
    </format>
    <format dxfId="127">
      <pivotArea dataOnly="0" labelOnly="1" fieldPosition="0">
        <references count="1">
          <reference field="1" count="0"/>
        </references>
      </pivotArea>
    </format>
    <format dxfId="126">
      <pivotArea dataOnly="0" labelOnly="1" grandCol="1" outline="0" fieldPosition="0"/>
    </format>
    <format dxfId="125">
      <pivotArea type="origin" dataOnly="0" labelOnly="1" outline="0" offset="A1" fieldPosition="0"/>
    </format>
    <format dxfId="124">
      <pivotArea type="origin" dataOnly="0" labelOnly="1" outline="0" offset="A2" fieldPosition="0"/>
    </format>
    <format dxfId="123">
      <pivotArea outline="0" collapsedLevelsAreSubtotals="1" fieldPosition="0">
        <references count="1">
          <reference field="1" count="0" selected="0"/>
        </references>
      </pivotArea>
    </format>
    <format dxfId="122">
      <pivotArea dataOnly="0" labelOnly="1" fieldPosition="0">
        <references count="1">
          <reference field="1" count="0"/>
        </references>
      </pivotArea>
    </format>
    <format dxfId="121">
      <pivotArea outline="0" collapsedLevelsAreSubtotals="1" fieldPosition="0"/>
    </format>
    <format dxfId="120">
      <pivotArea dataOnly="0" labelOnly="1" outline="0" axis="axisValues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28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H28" firstHeaderRow="1" firstDataRow="2" firstDataCol="1"/>
  <pivotFields count="62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Suma de PPM HCL" fld="54" baseField="0" baseItem="0" numFmtId="1"/>
    <dataField name="Suma de PPM KURIVERTER" fld="55" baseField="0" baseItem="0" numFmtId="1"/>
    <dataField name="Suma de PPM VITEC" fld="56" baseField="0" baseItem="0" numFmtId="1"/>
    <dataField name="Suma de PPM NaOH" fld="57" baseField="0" baseItem="0" numFmtId="1"/>
    <dataField name="Suma de PPM BISULFITO" fld="58" baseField="0" baseItem="0" numFmtId="1"/>
  </dataFields>
  <formats count="31">
    <format dxfId="171">
      <pivotArea outline="0" collapsedLevelsAreSubtotals="1" fieldPosition="0"/>
    </format>
    <format dxfId="170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69">
      <pivotArea grandCol="1" outline="0" collapsedLevelsAreSubtotals="1" fieldPosition="0"/>
    </format>
    <format dxfId="168">
      <pivotArea type="topRight" dataOnly="0" labelOnly="1" outline="0" offset="B1:AD1" fieldPosition="0"/>
    </format>
    <format dxfId="167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66">
      <pivotArea dataOnly="0" labelOnly="1" grandCol="1" outline="0" fieldPosition="0"/>
    </format>
    <format dxfId="165">
      <pivotArea type="origin" dataOnly="0" labelOnly="1" outline="0" fieldPosition="0"/>
    </format>
    <format dxfId="164">
      <pivotArea field="1" type="button" dataOnly="0" labelOnly="1" outline="0" axis="axisCol" fieldPosition="0"/>
    </format>
    <format dxfId="163">
      <pivotArea type="topRight" dataOnly="0" labelOnly="1" outline="0" fieldPosition="0"/>
    </format>
    <format dxfId="162">
      <pivotArea field="-2" type="button" dataOnly="0" labelOnly="1" outline="0" axis="axisRow" fieldPosition="0"/>
    </format>
    <format dxfId="161">
      <pivotArea dataOnly="0" labelOnly="1" fieldPosition="0">
        <references count="1">
          <reference field="1" count="0"/>
        </references>
      </pivotArea>
    </format>
    <format dxfId="160">
      <pivotArea dataOnly="0" labelOnly="1" grandCol="1" outline="0" fieldPosition="0"/>
    </format>
    <format dxfId="159">
      <pivotArea type="origin" dataOnly="0" labelOnly="1" outline="0" fieldPosition="0"/>
    </format>
    <format dxfId="158">
      <pivotArea field="1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-2" type="button" dataOnly="0" labelOnly="1" outline="0" axis="axisRow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Col="1" outline="0" fieldPosition="0"/>
    </format>
    <format dxfId="153">
      <pivotArea type="origin" dataOnly="0" labelOnly="1" outline="0" fieldPosition="0"/>
    </format>
    <format dxfId="152">
      <pivotArea field="-2" type="button" dataOnly="0" labelOnly="1" outline="0" axis="axisRow" fieldPosition="0"/>
    </format>
    <format dxfId="151">
      <pivotArea outline="0" collapsedLevelsAreSubtotals="1" fieldPosition="0"/>
    </format>
    <format dxfId="150">
      <pivotArea outline="0" collapsedLevelsAreSubtotals="1" fieldPosition="0"/>
    </format>
    <format dxfId="149">
      <pivotArea dataOnly="0" labelOnly="1" fieldPosition="0">
        <references count="1">
          <reference field="1" count="0"/>
        </references>
      </pivotArea>
    </format>
    <format dxfId="148">
      <pivotArea dataOnly="0" labelOnly="1" grandCol="1" outline="0" fieldPosition="0"/>
    </format>
    <format dxfId="1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6">
      <pivotArea type="origin" dataOnly="0" labelOnly="1" outline="0" fieldPosition="0"/>
    </format>
    <format dxfId="145">
      <pivotArea field="1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-2" type="button" dataOnly="0" labelOnly="1" outline="0" axis="axisRow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4ECC307-7C6D-4DFC-8B73-A2494E3A8353}" sourceName="FECHA">
  <pivotTables>
    <pivotTable tabId="14" name="TablaDinámica2"/>
  </pivotTables>
  <data>
    <tabular pivotCacheId="1515291395">
      <items count="45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457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427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66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84" s="1" nd="1"/>
        <i x="15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</pivotTables>
  <data>
    <tabular pivotCacheId="1515291395">
      <items count="45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5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4"/>
  </pivotTables>
  <data>
    <tabular pivotCacheId="140647070">
      <items count="4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69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04781B7-A5C5-4C20-AA9E-80CAE1D2177B}" cache="SegmentaciónDeDatos_FECHA" caption="FECHA" style="SlicerStyleOther1" rowHeight="241300"/>
  <slicer name="FECHA 1" xr10:uid="{C0CF515C-C34C-4638-A3ED-0E3BB739B0C2}" cache="SegmentaciónDeDatos_FECHA1" caption="FECHA" startItem="23" rowHeight="241300"/>
  <slicer name="FECHA 2" xr10:uid="{7CEFE6A9-8DD9-441D-9BF7-6AF4C8AF5212}" cache="SegmentaciónDeDatos_FECHA2" caption="FECHA" startItem="2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6" totalsRowCount="1" headerRowDxfId="503" dataDxfId="502">
  <autoFilter ref="A1:AU95" xr:uid="{106ED39B-8120-48D1-B96B-A8FB2CC5DC7B}"/>
  <tableColumns count="47">
    <tableColumn id="1" xr3:uid="{797BBFE9-7BD9-4895-8C65-B12AC56DBD23}" name="FECHA" dataDxfId="501" totalsRowDxfId="500"/>
    <tableColumn id="47" xr3:uid="{976FC6AF-EAA8-436A-9BA8-AC53AED0CB5E}" name="DIA" dataDxfId="499" totalsRowDxfId="498">
      <calculatedColumnFormula>DAY(Tabla1[[#This Row],[FECHA]])</calculatedColumnFormula>
    </tableColumn>
    <tableColumn id="2" xr3:uid="{ED62E89D-C3D6-46F0-9E1B-185F3DF1296E}" name="ANALISIS TURNO" dataDxfId="497" totalsRowDxfId="496"/>
    <tableColumn id="3" xr3:uid="{BBA60A93-0254-41C3-A7CA-2EDB720B1050}" name="# TURNO" dataDxfId="495" totalsRowDxfId="494"/>
    <tableColumn id="46" xr3:uid="{4F31C636-F8EB-4A95-8AED-141DEE9C8A6A}" name="DILIGENCIAR BITACORA" dataDxfId="493" totalsRowDxfId="492"/>
    <tableColumn id="4" xr3:uid="{B73C29EE-3B1E-409E-B889-754B9082C27C}" name="FINAL ACIDO (L)" dataDxfId="491" totalsRowDxfId="490"/>
    <tableColumn id="5" xr3:uid="{85CF7F79-52E3-4C53-9B93-560644AE36E3}" name="FINAL COAGULANTE (L)" dataDxfId="489" totalsRowDxfId="488"/>
    <tableColumn id="6" xr3:uid="{E77621B2-41A1-4E5F-BE6F-18DDA2810184}" name="FINAL DECOLORANTE (L)" dataDxfId="487" totalsRowDxfId="486"/>
    <tableColumn id="7" xr3:uid="{01D1223B-AFC9-473C-B53A-772ED6688370}" name="FINAL POL ANIONICO (KG)" dataDxfId="485" totalsRowDxfId="484"/>
    <tableColumn id="8" xr3:uid="{F3F3A222-444F-40CA-A3E4-91ADFB7EE17C}" name="FINAL POL CATIONICO (KG)" dataDxfId="483" totalsRowDxfId="482"/>
    <tableColumn id="11" xr3:uid="{6CA64394-760F-47F1-A458-077D466340EA}" name="Lectura Horometro INICIAL (06:00)" dataDxfId="481" totalsRowDxfId="480"/>
    <tableColumn id="12" xr3:uid="{F9E9DE99-0964-4A63-8AB7-0B4C558EB128}" name="CAUDAL TOTAL TRATADO GEM " dataDxfId="479" totalsRowDxfId="478">
      <calculatedColumnFormula>+(K3-Tabla1[[#This Row],[Lectura Horometro INICIAL (06:00)]])*Tabla1[[#This Row],[CAUDAL 2]]</calculatedColumnFormula>
    </tableColumn>
    <tableColumn id="50" xr3:uid="{836AB61D-51F9-4D81-8D56-EA763E8959D1}" name="CAUDAL DE TRATAMIENTO" dataDxfId="477" totalsRowDxfId="476"/>
    <tableColumn id="9" xr3:uid="{2033BF45-B203-4289-8507-B867E5682466}" name="CAUDAL 2" dataDxfId="475" totalsRowDxfId="474">
      <calculatedColumnFormula>+Tabla1[[#This Row],[CAUDAL DE TRATAMIENTO]]+$M$102</calculatedColumnFormula>
    </tableColumn>
    <tableColumn id="13" xr3:uid="{DC31669B-5880-4278-AAEF-DEE832958168}" name="CONSUMO LITROS ACIDO (L)" dataDxfId="473" totalsRowDxfId="472">
      <calculatedColumnFormula>F2-F3</calculatedColumnFormula>
    </tableColumn>
    <tableColumn id="14" xr3:uid="{3F519DC6-C28D-400E-9BAE-FB58AEEC8615}" name="CONSUMO LITROS COAGULANTE (L)" dataDxfId="471" totalsRowDxfId="470">
      <calculatedColumnFormula>G2-G3</calculatedColumnFormula>
    </tableColumn>
    <tableColumn id="15" xr3:uid="{0C5F056C-2132-4DCC-8DE0-5EAB91723784}" name="CONSUMO LITROS DECOLORANTE (L)" dataDxfId="469" totalsRowDxfId="468">
      <calculatedColumnFormula>H2-H3</calculatedColumnFormula>
    </tableColumn>
    <tableColumn id="16" xr3:uid="{C474DBB7-9EDF-4C8A-8999-41B9946BC586}" name="CONSUMO POL ANIONICO (KG)" dataDxfId="467" totalsRowDxfId="466">
      <calculatedColumnFormula>I2-I3</calculatedColumnFormula>
    </tableColumn>
    <tableColumn id="17" xr3:uid="{1537DA41-65B8-4D8C-9F11-D2F984E6D1B1}" name="CONSUMO POL CATIONICO (KG)" dataDxfId="465" totalsRowDxfId="464">
      <calculatedColumnFormula>J2-J3</calculatedColumnFormula>
    </tableColumn>
    <tableColumn id="18" xr3:uid="{2A63BD78-FAED-4C1C-8047-CB39F8AFDCAC}" name="KG ACIDO" dataDxfId="463" totalsRowDxfId="462">
      <calculatedColumnFormula>(O2*$AD$2)</calculatedColumnFormula>
    </tableColumn>
    <tableColumn id="19" xr3:uid="{3C33C774-6CF3-4B73-BF30-DBB9172996A9}" name="KG COAGULANTE" dataDxfId="461" totalsRowDxfId="460">
      <calculatedColumnFormula>(P2*$AE$2)</calculatedColumnFormula>
    </tableColumn>
    <tableColumn id="20" xr3:uid="{CAFA74FF-0418-441A-9326-66074AEC1610}" name="KG DECOLORANTE " dataDxfId="459" totalsRowDxfId="458">
      <calculatedColumnFormula>(Q2*$AF$2)</calculatedColumnFormula>
    </tableColumn>
    <tableColumn id="21" xr3:uid="{1458EF37-76ED-43B9-8AA8-9F80763A7696}" name="KG POL ANIONICO " dataDxfId="457" totalsRowDxfId="456">
      <calculatedColumnFormula>Tabla1[[#This Row],[CONSUMO POL ANIONICO (KG)]]</calculatedColumnFormula>
    </tableColumn>
    <tableColumn id="22" xr3:uid="{300A389A-14FF-4FB7-87C0-417DAACBFC6E}" name="KG POL CATIONICO " dataDxfId="455" totalsRowDxfId="454">
      <calculatedColumnFormula>Tabla1[[#This Row],[CONSUMO POL CATIONICO (KG)]]</calculatedColumnFormula>
    </tableColumn>
    <tableColumn id="23" xr3:uid="{0E4FFC5C-D7F2-468F-A1A3-EBC3233EC511}" name="PPM ACIDO " dataDxfId="453" totalsRowDxfId="452">
      <calculatedColumnFormula>(T2*1000)/L2</calculatedColumnFormula>
    </tableColumn>
    <tableColumn id="24" xr3:uid="{3F435E9F-2B10-453D-AA8A-0FC6772EB018}" name="PPM COAGULANTE " dataDxfId="451" totalsRowDxfId="450">
      <calculatedColumnFormula>(U2*1000)/L2</calculatedColumnFormula>
    </tableColumn>
    <tableColumn id="25" xr3:uid="{9FE8A120-667D-4F19-816A-5FFF232C1EE7}" name="PPM DECOLORANTE " dataDxfId="449" totalsRowDxfId="448">
      <calculatedColumnFormula>(V2*1000)/L2</calculatedColumnFormula>
    </tableColumn>
    <tableColumn id="26" xr3:uid="{39A5A5CD-B186-47FD-AE6C-D0DA41E39382}" name="PPM POL ANIONICO " dataDxfId="447" totalsRowDxfId="446">
      <calculatedColumnFormula>(W2*1000)/L2</calculatedColumnFormula>
    </tableColumn>
    <tableColumn id="27" xr3:uid="{F8AB9DCC-1003-4C35-9BE6-9E37DF927B08}" name="PPM POL CATIONICO" dataDxfId="445" totalsRowDxfId="444">
      <calculatedColumnFormula>(X2*1000)/L2</calculatedColumnFormula>
    </tableColumn>
    <tableColumn id="28" xr3:uid="{CE609211-2FE1-46A8-AF6B-F6AAFA38AC6C}" name="DENSIDAD ACIDO" dataDxfId="443" totalsRowDxfId="442"/>
    <tableColumn id="29" xr3:uid="{26E48531-C8F5-4079-8037-57ED96A4A976}" name="DENSIDAD COAGULANTE" dataDxfId="441" totalsRowDxfId="440"/>
    <tableColumn id="30" xr3:uid="{CA42BDD6-E35F-4650-A2AD-2B882E2985C0}" name="DENSIDAD DECOLORANTE" dataDxfId="439" totalsRowDxfId="438"/>
    <tableColumn id="31" xr3:uid="{213F817F-0E9B-47EF-9F76-E320E6B3052B}" name="DENSIDAD ANIONICO" dataDxfId="437" totalsRowDxfId="436"/>
    <tableColumn id="32" xr3:uid="{4BB0F123-E730-4842-BC86-E2064FC88FFF}" name="DENSIDAD CATIONICO" dataDxfId="435" totalsRowDxfId="434"/>
    <tableColumn id="33" xr3:uid="{B2BD1E5E-CBC5-493D-B4B1-9DA910A0C1F1}" name="PRECIO (KG) ACIDO" dataDxfId="433" totalsRowDxfId="432"/>
    <tableColumn id="34" xr3:uid="{4972F7E0-8FD1-4EF3-B1FB-369777963AB1}" name="PRECIO (KG) COAGULANTE" dataDxfId="431" totalsRowDxfId="430"/>
    <tableColumn id="35" xr3:uid="{A844FAF9-9CDA-4E3B-98E2-E766500E3FE0}" name="PRECIO (KG) DECOLORANTE" dataDxfId="429" totalsRowDxfId="428"/>
    <tableColumn id="36" xr3:uid="{ECBD8F2B-41C8-484E-B81D-4DA820DAB619}" name="PRECIO (KG) ANIONICO" dataDxfId="427" totalsRowDxfId="426"/>
    <tableColumn id="37" xr3:uid="{8EACD521-2BF4-44D1-B345-3B0CA4AB45E0}" name="PRECIO (KG) CATIONICO" dataDxfId="425" totalsRowDxfId="424"/>
    <tableColumn id="38" xr3:uid="{017EFE46-D96A-42E1-8707-878704C5E501}" name="COSTO OPERATIVO ACIDO" dataDxfId="423" totalsRowDxfId="422">
      <calculatedColumnFormula>T2*AI2</calculatedColumnFormula>
    </tableColumn>
    <tableColumn id="39" xr3:uid="{99F19967-E3ED-4C22-BFB3-6A96F4CA9289}" name="COSTO OPERATIVO COAGULANTE" dataDxfId="421" totalsRowDxfId="420">
      <calculatedColumnFormula>U2*AJ2</calculatedColumnFormula>
    </tableColumn>
    <tableColumn id="40" xr3:uid="{07CF8F42-BA08-4C48-A2E4-4DBB283A4E23}" name="COSTO OPERATIVO DECOLORANTE" dataDxfId="419" totalsRowDxfId="418">
      <calculatedColumnFormula>V2*AK2</calculatedColumnFormula>
    </tableColumn>
    <tableColumn id="41" xr3:uid="{FB818BA1-8137-4F90-8B4E-4979316FAB5A}" name="COSTO OPERATIVO ANIONICO" dataDxfId="417" totalsRowDxfId="416">
      <calculatedColumnFormula>W2*AL2</calculatedColumnFormula>
    </tableColumn>
    <tableColumn id="42" xr3:uid="{C925CA67-4C0E-4B28-8CD9-B1CD4B61FBAB}" name="COSTO OPERATIVO CATIONICO" dataDxfId="415" totalsRowDxfId="414">
      <calculatedColumnFormula>X2*AM2</calculatedColumnFormula>
    </tableColumn>
    <tableColumn id="43" xr3:uid="{AD7ED194-6217-4171-9A5E-722504A09916}" name="COSTO QUIMICA " totalsRowFunction="custom" dataDxfId="413" totalsRowDxfId="412">
      <calculatedColumnFormula>SUM(Tabla1[[#This Row],[COSTO OPERATIVO ACIDO]:[COSTO OPERATIVO CATIONICO]])</calculatedColumnFormula>
      <totalsRowFormula>SUM(Tabla1[[COSTO QUIMICA ]])</totalsRowFormula>
    </tableColumn>
    <tableColumn id="45" xr3:uid="{917AA0D6-1159-42C0-BFE1-D283A0204659}" name="LIMITE INDICADOR M3" dataDxfId="411" totalsRowDxfId="410"/>
    <tableColumn id="44" xr3:uid="{F07AB979-76E5-4241-8726-8BD66150419C}" name="$ m3" dataDxfId="409" totalsRowDxfId="408">
      <calculatedColumnFormula>AS2/L2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A96" totalsRowCount="1" headerRowDxfId="227" dataDxfId="225" headerRowBorderDxfId="226" dataCellStyle="Moneda">
  <autoFilter ref="A1:BA95" xr:uid="{1B6F41AC-77AF-4386-8D11-23242FAF90E8}"/>
  <sortState xmlns:xlrd2="http://schemas.microsoft.com/office/spreadsheetml/2017/richdata2" ref="A2:BA95">
    <sortCondition ref="A1:A95"/>
  </sortState>
  <tableColumns count="53">
    <tableColumn id="1" xr3:uid="{CC590991-2A1A-4D5C-B65D-9930977908D8}" name="FECHA" dataDxfId="224" totalsRowDxfId="49"/>
    <tableColumn id="54" xr3:uid="{9A818E5C-5192-4396-A7BC-405EB3227304}" name="DIA" dataDxfId="223" totalsRowDxfId="48">
      <calculatedColumnFormula>DAY(Tabla2[[#This Row],[FECHA]])</calculatedColumnFormula>
    </tableColumn>
    <tableColumn id="2" xr3:uid="{0DF8C586-856D-4C65-B4FB-1FC5DE6691B5}" name="TURNO" dataDxfId="222"/>
    <tableColumn id="3" xr3:uid="{C72CF01B-5D8E-4114-8039-5372DB2EFC73}" name="HCL (10%)" dataDxfId="221" totalsRowDxfId="47"/>
    <tableColumn id="4" xr3:uid="{2856B276-2C23-4389-801C-3F8DE875B88F}" name="KURIVERTER IK-220 (Biocida)" dataDxfId="220" totalsRowDxfId="46"/>
    <tableColumn id="5" xr3:uid="{8EBA9A5D-A07B-43C3-898E-67582DEA4511}" name="VITEC 7000 (Antiincrustante)" dataDxfId="219" totalsRowDxfId="45"/>
    <tableColumn id="6" xr3:uid="{DA0ECB86-EF9A-4745-A19C-F1F06CA6ECCF}" name="Hidróxido de Sodio (NaOH)" dataDxfId="218"/>
    <tableColumn id="7" xr3:uid="{0326820F-4E40-47C1-8F97-879B4E50F2F6}" name="Bisulfito de sodio " dataDxfId="217"/>
    <tableColumn id="55" xr3:uid="{7DF4B77E-F956-4875-A047-7C2F1A1C2B5E}" name="TIEMPO DE OPERACIÓN (minutos)" dataDxfId="216" totalsRowDxfId="44">
      <calculatedColumnFormula>((Tabla2[[#This Row],[VOLUMEN ENVIADO A RO (m3)]]/80)/3)*60</calculatedColumnFormula>
    </tableColumn>
    <tableColumn id="8" xr3:uid="{5062A74B-BC0E-4E63-BE12-3512AD9515F1}" name="cm HCL (10%)" dataDxfId="215" totalsRowDxfId="43"/>
    <tableColumn id="9" xr3:uid="{8529AFE4-E51B-4C9D-90FF-3CA6BA16A7D7}" name="cm IK-220 (Biocida)" dataDxfId="214" totalsRowDxfId="42"/>
    <tableColumn id="10" xr3:uid="{C27E6998-1AB7-40C5-9872-F136B97B99E8}" name="cm          Vitec 7000" dataDxfId="213" totalsRowDxfId="41"/>
    <tableColumn id="11" xr3:uid="{C8B09375-E483-4508-BC53-B6655E1C7B6A}" name="cm NaOH" dataDxfId="212" totalsRowDxfId="40"/>
    <tableColumn id="12" xr3:uid="{128C444D-DA78-4568-A422-F11D52858461}" name="cm Bisulfito de sodio" dataDxfId="211" totalsRowDxfId="39"/>
    <tableColumn id="13" xr3:uid="{7FBF2940-699F-4035-A510-31AFB65D6411}" name="(INV- L) - HCL (10%)" totalsRowFunction="custom" dataDxfId="210" totalsRowDxfId="38">
      <calculatedColumnFormula>J2*(1000/114)</calculatedColumnFormula>
      <totalsRowFormula>J96*(1000/114)</totalsRowFormula>
    </tableColumn>
    <tableColumn id="14" xr3:uid="{767F6605-A3F2-492F-945E-DDC0CAB2DB84}" name="(INV -L) - KURIVERTER IK-220 (Biocida)" totalsRowFunction="custom" dataDxfId="209" totalsRowDxfId="37">
      <calculatedColumnFormula>K2*(1000/114)</calculatedColumnFormula>
      <totalsRowFormula>K96*(1000/114)</totalsRowFormula>
    </tableColumn>
    <tableColumn id="15" xr3:uid="{96362BE9-7A65-46CD-A85D-EAE9FD4E4A3E}" name="(INV -L) - VITEC 7000 (Antiincrustante)" totalsRowFunction="custom" dataDxfId="208" totalsRowDxfId="36">
      <calculatedColumnFormula>L2*(1000/114)</calculatedColumnFormula>
      <totalsRowFormula>L96*(1000/114)</totalsRowFormula>
    </tableColumn>
    <tableColumn id="16" xr3:uid="{669C88A5-5B67-4E1A-848D-B906D749A1F4}" name="(INV -L) - Hidróxido de Sodio (NaOH)" totalsRowFunction="custom" dataDxfId="207" totalsRowDxfId="35">
      <calculatedColumnFormula>M2*(1000/114)</calculatedColumnFormula>
      <totalsRowFormula>M96*(1000/114)</totalsRowFormula>
    </tableColumn>
    <tableColumn id="17" xr3:uid="{9644B846-08DF-40FB-BA21-D462B2539F82}" name="(INV -L) Bisulfito de sodio " totalsRowFunction="custom" dataDxfId="206" totalsRowDxfId="34">
      <calculatedColumnFormula>N2*(1000/114)</calculatedColumnFormula>
      <totalsRowFormula>N96*(1000/114)</totalsRowFormula>
    </tableColumn>
    <tableColumn id="18" xr3:uid="{53BA0641-3357-40F8-A768-B0970273D359}" name="CONSUMO (L) HCL (10%)2" dataDxfId="205" totalsRowDxfId="33">
      <calculatedColumnFormula>O2-O3</calculatedColumnFormula>
    </tableColumn>
    <tableColumn id="19" xr3:uid="{2741AB60-1BD3-4EB2-97E3-C0905064841C}" name="CONSUMO (L) KURIVERTER IK-220 (Biocida)" dataDxfId="204" totalsRowDxfId="32">
      <calculatedColumnFormula>P2-P3</calculatedColumnFormula>
    </tableColumn>
    <tableColumn id="20" xr3:uid="{9E39C560-B3C5-42C5-A83B-32163ABBC3C2}" name="CONSUMO (L) VITEC 7000 (Antiincrustante)" dataDxfId="203" totalsRowDxfId="31">
      <calculatedColumnFormula>Q2-Q3</calculatedColumnFormula>
    </tableColumn>
    <tableColumn id="21" xr3:uid="{F636A971-349F-44EC-AA4A-D65B46EA4509}" name="CONSUMO (L) Hidróxido de Sodio (NaOH)" dataDxfId="202" totalsRowDxfId="30">
      <calculatedColumnFormula>R2-R3</calculatedColumnFormula>
    </tableColumn>
    <tableColumn id="22" xr3:uid="{7781554F-7B54-4EA7-9016-7A7B8EB508E9}" name="CONSUMO (L) Bisulfito de sodio" dataDxfId="201" totalsRowDxfId="29">
      <calculatedColumnFormula>S2-S3</calculatedColumnFormula>
    </tableColumn>
    <tableColumn id="23" xr3:uid="{F13E2BB3-287E-4571-8E69-9289518AA148}" name="DENSIDAD HCL (10%)" dataDxfId="200" totalsRowDxfId="28"/>
    <tableColumn id="24" xr3:uid="{48AD8845-7C14-4043-8230-B0183351ED07}" name="DENSIDAD KURIVERTER IK-220 (Biocida)" dataDxfId="199" totalsRowDxfId="27"/>
    <tableColumn id="25" xr3:uid="{CF20E6D5-D7BC-4306-8839-F79454AD170E}" name="DENSIDAD VITEC 7000 (Antiincrustante)" dataDxfId="198" totalsRowDxfId="26"/>
    <tableColumn id="26" xr3:uid="{98855FE0-4207-41E8-ADD5-911DF75A035E}" name="DENSIDAD Hidróxido de Sodio (NaOH)" dataDxfId="197" totalsRowDxfId="25"/>
    <tableColumn id="27" xr3:uid="{46CA938B-A3A3-4599-9D37-141EFFA96426}" name="DENSIDAD Bisulfito de sodio " dataDxfId="196" totalsRowDxfId="24"/>
    <tableColumn id="28" xr3:uid="{BB957096-4718-4076-8B2F-A9CEE034434C}" name="CONSUMO (Kg) HCL (10%)22" dataDxfId="195" totalsRowDxfId="23">
      <calculatedColumnFormula>T2*Y2</calculatedColumnFormula>
    </tableColumn>
    <tableColumn id="29" xr3:uid="{52C49479-4664-4FBE-98D2-F00B1BF76CEF}" name="CONSUMO (Kg) KURIVERTER IK-220 (Biocida)" dataDxfId="194" totalsRowDxfId="22">
      <calculatedColumnFormula>U2*Z2</calculatedColumnFormula>
    </tableColumn>
    <tableColumn id="30" xr3:uid="{6B19FE49-AB7C-43BE-9391-EA71817E3452}" name="CONSUMO (Kg) VITEC 7000 (Antiincrustante)" dataDxfId="193" totalsRowDxfId="21">
      <calculatedColumnFormula>V2*AA2</calculatedColumnFormula>
    </tableColumn>
    <tableColumn id="31" xr3:uid="{734CA6A9-E5CE-4779-AA1F-8FA5FC6C53BA}" name="CONSUMO (Kg) Hidróxido de Sodio (NaOH)" dataDxfId="192" totalsRowDxfId="20">
      <calculatedColumnFormula>W2*AB2</calculatedColumnFormula>
    </tableColumn>
    <tableColumn id="32" xr3:uid="{5D0EA3E3-830A-4420-B486-CA1E94B17A6C}" name="CONSUMO (Kg) Bisulfito de sodio6" dataDxfId="191" totalsRowDxfId="19">
      <calculatedColumnFormula>X2*AC2</calculatedColumnFormula>
    </tableColumn>
    <tableColumn id="33" xr3:uid="{E83D2B0F-D3A9-4DD1-9B93-643DDFF1148A}" name="VOLUMEN ENVIADO A RO (m3)" dataDxfId="190" totalsRowDxfId="18">
      <calculatedColumnFormula>#REF!-#REF!</calculatedColumnFormula>
    </tableColumn>
    <tableColumn id="36" xr3:uid="{05276D4B-845D-40F6-BAA9-617D98D8BD04}" name="PPM HCL (10%)" dataDxfId="189" totalsRowDxfId="17">
      <calculatedColumnFormula>(AD2*1000)/$AI2</calculatedColumnFormula>
    </tableColumn>
    <tableColumn id="37" xr3:uid="{75B2E292-4009-4477-A946-4D4298E6F844}" name="PPM  KURIVERTER IK-220 (Biocida)" dataDxfId="188" totalsRowDxfId="16">
      <calculatedColumnFormula>(AE2*1000)/$AI2</calculatedColumnFormula>
    </tableColumn>
    <tableColumn id="38" xr3:uid="{06E157F8-1F10-4C7E-9FC5-774A2972ADFD}" name="PPM  VITEC 7000 (Antiincrustante)" dataDxfId="187" totalsRowDxfId="15">
      <calculatedColumnFormula>(AF2*1000)/$AI2</calculatedColumnFormula>
    </tableColumn>
    <tableColumn id="39" xr3:uid="{8685D8D8-27CE-4650-9824-906C8595A541}" name="PPM  Hidróxido de Sodio (NaOH)" dataDxfId="186" totalsRowDxfId="14">
      <calculatedColumnFormula>(AG2*1000)/$AI2</calculatedColumnFormula>
    </tableColumn>
    <tableColumn id="40" xr3:uid="{D50B03E8-53AC-44DD-9B94-4A31095A3539}" name="PPM Bisulfito de sodio " dataDxfId="185" totalsRowDxfId="13">
      <calculatedColumnFormula>(AH2*1000)/$AI2</calculatedColumnFormula>
    </tableColumn>
    <tableColumn id="41" xr3:uid="{8ACA5EC2-DCCB-42D8-B7AA-9AD08580F95E}" name="PRECIO HCL (10%)" dataDxfId="184" totalsRowDxfId="12" dataCellStyle="Moneda">
      <calculatedColumnFormula>AO1</calculatedColumnFormula>
    </tableColumn>
    <tableColumn id="42" xr3:uid="{8FEBCB0C-D97F-473C-9CBB-5F23546078B2}" name="PRECIO KURIVERTER IK-220 (Biocida)" dataDxfId="183" totalsRowDxfId="11" dataCellStyle="Moneda">
      <calculatedColumnFormula>AP1</calculatedColumnFormula>
    </tableColumn>
    <tableColumn id="43" xr3:uid="{6EF000A7-EA79-49BA-9BF9-404574772CBB}" name="PRECIO VITEC 7000 (Antiincrustante)" dataDxfId="182" totalsRowDxfId="10" dataCellStyle="Moneda">
      <calculatedColumnFormula>AQ1</calculatedColumnFormula>
    </tableColumn>
    <tableColumn id="44" xr3:uid="{03B26517-4C1F-4C23-822C-014E2EA3E60C}" name="PRECIO Hidróxido de Sodio (NaOH)" dataDxfId="181" totalsRowDxfId="9" dataCellStyle="Moneda">
      <calculatedColumnFormula>AR1</calculatedColumnFormula>
    </tableColumn>
    <tableColumn id="45" xr3:uid="{2769F69A-BB42-49A8-82F3-638C6F0A80CA}" name="PRECIO Bisulfito de sodio " dataDxfId="180" totalsRowDxfId="8" dataCellStyle="Moneda">
      <calculatedColumnFormula>AS1</calculatedColumnFormula>
    </tableColumn>
    <tableColumn id="46" xr3:uid="{BAAEDBD9-EF26-4E02-81A9-B1D36D645F1E}" name="COSTO OPERATIVO HCL (10%)" dataDxfId="179" totalsRowDxfId="7" dataCellStyle="Moneda">
      <calculatedColumnFormula>AO2*(AD2*0.8)</calculatedColumnFormula>
    </tableColumn>
    <tableColumn id="47" xr3:uid="{B5977102-7103-4418-A127-AF580B742AE8}" name="COSTO OPERATIVO KURIVERTER IK-220 (Biocida)" dataDxfId="178" totalsRowDxfId="6" dataCellStyle="Moneda">
      <calculatedColumnFormula>AP2*(AE2*0.012)</calculatedColumnFormula>
    </tableColumn>
    <tableColumn id="48" xr3:uid="{9536BE99-8364-49D7-84C0-3FC4CBA7F3A7}" name="COSTO OPERATIVO VITEC 7000 (Antiincrustante)" dataDxfId="177" totalsRowDxfId="5" dataCellStyle="Moneda">
      <calculatedColumnFormula>AQ2*(AF2*0.044)</calculatedColumnFormula>
    </tableColumn>
    <tableColumn id="49" xr3:uid="{7386E060-0060-4586-B378-BFC4068453CB}" name="COSTO OPERATIVO Hidróxido de Sodio (NaOH)" dataDxfId="176" totalsRowDxfId="4" dataCellStyle="Moneda">
      <calculatedColumnFormula>AR2*AG2</calculatedColumnFormula>
    </tableColumn>
    <tableColumn id="50" xr3:uid="{8A7A5227-ECD0-4C68-977D-4B6AE2E15060}" name="COSTO OPERATIVO Bisulfito de sodio " dataDxfId="175" totalsRowDxfId="3" dataCellStyle="Moneda">
      <calculatedColumnFormula>AS2*(AH2*0.025)</calculatedColumnFormula>
    </tableColumn>
    <tableColumn id="51" xr3:uid="{EB2B1E33-86A6-442A-A8E9-3128FF18FE4D}" name="COSTO QUIMICA " totalsRowFunction="custom" dataDxfId="174" totalsRowDxfId="2" dataCellStyle="Moneda">
      <calculatedColumnFormula>AT2+AU2+AV2+AW2+AX2</calculatedColumnFormula>
      <totalsRowFormula>SUM(AY2:AY82)</totalsRowFormula>
    </tableColumn>
    <tableColumn id="52" xr3:uid="{3F7A5D66-3F1B-4B04-9E57-A68AEC7AB87A}" name="LIMITE INDICADOR M3" dataDxfId="173" totalsRowDxfId="1" dataCellStyle="Moneda"/>
    <tableColumn id="53" xr3:uid="{8E9239AA-01A3-456B-98A2-5FD0E2DF97E7}" name="$m3 ENVIADO A RO (m3)" dataDxfId="172" totalsRowDxfId="0" dataCellStyle="Moneda">
      <calculatedColumnFormula>AY2/AI2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9" dT="2024-10-04T17:24:30.85" personId="{EE5C7DE3-FA37-4B1A-A8D2-FF232E6C14FC}" id="{9764B4BE-0BF7-4407-A4AD-DF903FF26D4D}">
    <text>Se alimento a reactores y se requirió bajar ph</text>
  </threadedComment>
  <threadedComment ref="AA9" dT="2024-10-04T17:25:31.29" personId="{EE5C7DE3-FA37-4B1A-A8D2-FF232E6C14FC}" id="{CED1552D-68A5-48E4-98C9-1E8AD082FA7C}">
    <text>Por alimentacion a reactores, ara reducir color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U106"/>
  <sheetViews>
    <sheetView zoomScale="85" zoomScaleNormal="85" workbookViewId="0">
      <pane xSplit="5" ySplit="1" topLeftCell="F81" activePane="bottomRight" state="frozen"/>
      <selection pane="topRight" activeCell="F1" sqref="F1"/>
      <selection pane="bottomLeft" activeCell="A2" sqref="A2"/>
      <selection pane="bottomRight" activeCell="N98" sqref="N98"/>
    </sheetView>
  </sheetViews>
  <sheetFormatPr baseColWidth="10" defaultRowHeight="14.3" x14ac:dyDescent="0.25"/>
  <cols>
    <col min="2" max="2" width="11.375" customWidth="1"/>
    <col min="3" max="3" width="12.25" customWidth="1"/>
    <col min="4" max="4" width="12.25" style="70" customWidth="1"/>
    <col min="5" max="5" width="17.125" style="70" customWidth="1"/>
    <col min="6" max="10" width="16.375" style="294" customWidth="1"/>
    <col min="11" max="11" width="19.375" style="69" customWidth="1"/>
    <col min="12" max="14" width="17.375" style="1" customWidth="1"/>
    <col min="15" max="18" width="19.375" customWidth="1"/>
    <col min="19" max="19" width="16.375" customWidth="1"/>
    <col min="20" max="22" width="14.125" customWidth="1"/>
    <col min="23" max="23" width="11.25" customWidth="1"/>
    <col min="24" max="24" width="13" customWidth="1"/>
    <col min="25" max="28" width="14.125" customWidth="1"/>
    <col min="29" max="29" width="15.375" customWidth="1"/>
    <col min="30" max="30" width="21" style="71" customWidth="1"/>
    <col min="31" max="31" width="17.875" style="71" customWidth="1"/>
    <col min="32" max="32" width="18.625" style="71" customWidth="1"/>
    <col min="33" max="33" width="14.875" style="71" customWidth="1"/>
    <col min="34" max="34" width="15.625" style="71" customWidth="1"/>
    <col min="35" max="35" width="22.75" style="71" customWidth="1"/>
    <col min="36" max="36" width="17.875" style="71" customWidth="1"/>
    <col min="37" max="37" width="18.625" style="71" customWidth="1"/>
    <col min="38" max="39" width="16.375" style="71" customWidth="1"/>
    <col min="40" max="45" width="19.375" customWidth="1"/>
    <col min="46" max="47" width="14.625" style="72" customWidth="1"/>
  </cols>
  <sheetData>
    <row r="1" spans="1:47" s="88" customFormat="1" ht="51.65" customHeight="1" thickBot="1" x14ac:dyDescent="0.3">
      <c r="A1" s="74" t="s">
        <v>27</v>
      </c>
      <c r="B1" s="74" t="s">
        <v>79</v>
      </c>
      <c r="C1" s="91" t="s">
        <v>166</v>
      </c>
      <c r="D1" s="75" t="s">
        <v>124</v>
      </c>
      <c r="E1" s="91" t="s">
        <v>167</v>
      </c>
      <c r="F1" s="300" t="s">
        <v>204</v>
      </c>
      <c r="G1" s="301" t="s">
        <v>205</v>
      </c>
      <c r="H1" s="302" t="s">
        <v>206</v>
      </c>
      <c r="I1" s="301" t="s">
        <v>207</v>
      </c>
      <c r="J1" s="301" t="s">
        <v>208</v>
      </c>
      <c r="K1" s="358" t="s">
        <v>168</v>
      </c>
      <c r="L1" s="305" t="s">
        <v>15</v>
      </c>
      <c r="M1" s="357" t="s">
        <v>240</v>
      </c>
      <c r="N1" s="357" t="s">
        <v>302</v>
      </c>
      <c r="O1" s="291" t="s">
        <v>41</v>
      </c>
      <c r="P1" s="292" t="s">
        <v>42</v>
      </c>
      <c r="Q1" s="292" t="s">
        <v>43</v>
      </c>
      <c r="R1" s="292" t="s">
        <v>44</v>
      </c>
      <c r="S1" s="292" t="s">
        <v>45</v>
      </c>
      <c r="T1" s="76" t="s">
        <v>53</v>
      </c>
      <c r="U1" s="77" t="s">
        <v>57</v>
      </c>
      <c r="V1" s="77" t="s">
        <v>54</v>
      </c>
      <c r="W1" s="77" t="s">
        <v>55</v>
      </c>
      <c r="X1" s="288" t="s">
        <v>56</v>
      </c>
      <c r="Y1" s="78" t="s">
        <v>51</v>
      </c>
      <c r="Z1" s="79" t="s">
        <v>52</v>
      </c>
      <c r="AA1" s="79" t="s">
        <v>58</v>
      </c>
      <c r="AB1" s="79" t="s">
        <v>59</v>
      </c>
      <c r="AC1" s="80" t="s">
        <v>60</v>
      </c>
      <c r="AD1" s="81" t="s">
        <v>50</v>
      </c>
      <c r="AE1" s="82" t="s">
        <v>46</v>
      </c>
      <c r="AF1" s="82" t="s">
        <v>47</v>
      </c>
      <c r="AG1" s="82" t="s">
        <v>48</v>
      </c>
      <c r="AH1" s="82" t="s">
        <v>49</v>
      </c>
      <c r="AI1" s="81" t="s">
        <v>61</v>
      </c>
      <c r="AJ1" s="82" t="s">
        <v>62</v>
      </c>
      <c r="AK1" s="82" t="s">
        <v>63</v>
      </c>
      <c r="AL1" s="82" t="s">
        <v>64</v>
      </c>
      <c r="AM1" s="82" t="s">
        <v>65</v>
      </c>
      <c r="AN1" s="83" t="s">
        <v>66</v>
      </c>
      <c r="AO1" s="84" t="s">
        <v>67</v>
      </c>
      <c r="AP1" s="84" t="s">
        <v>68</v>
      </c>
      <c r="AQ1" s="84" t="s">
        <v>69</v>
      </c>
      <c r="AR1" s="85" t="s">
        <v>70</v>
      </c>
      <c r="AS1" s="86" t="s">
        <v>73</v>
      </c>
      <c r="AT1" s="87" t="s">
        <v>74</v>
      </c>
      <c r="AU1" s="87" t="s">
        <v>71</v>
      </c>
    </row>
    <row r="2" spans="1:47" ht="14.95" thickBot="1" x14ac:dyDescent="0.3">
      <c r="A2" s="144">
        <v>46023</v>
      </c>
      <c r="B2" s="99">
        <f>DAY(Tabla1[[#This Row],[FECHA]])</f>
        <v>1</v>
      </c>
      <c r="C2" s="329" t="s">
        <v>28</v>
      </c>
      <c r="D2" s="330">
        <v>1</v>
      </c>
      <c r="E2" s="330" t="s">
        <v>75</v>
      </c>
      <c r="F2" s="331">
        <v>2160</v>
      </c>
      <c r="G2" s="332">
        <v>2100</v>
      </c>
      <c r="H2" s="332">
        <v>1670</v>
      </c>
      <c r="I2" s="332">
        <v>250</v>
      </c>
      <c r="J2" s="332">
        <v>185</v>
      </c>
      <c r="K2" s="361">
        <v>16502</v>
      </c>
      <c r="L2" s="362">
        <v>0</v>
      </c>
      <c r="M2" s="363">
        <v>80</v>
      </c>
      <c r="N2" s="363">
        <f>+Tabla1[[#This Row],[CAUDAL DE TRATAMIENTO]]+$M$102</f>
        <v>88.462686567164184</v>
      </c>
      <c r="O2" s="323">
        <f t="shared" ref="O2:R6" si="0">F2-F3</f>
        <v>0</v>
      </c>
      <c r="P2" s="375">
        <f t="shared" si="0"/>
        <v>0</v>
      </c>
      <c r="Q2" s="323">
        <f t="shared" si="0"/>
        <v>0</v>
      </c>
      <c r="R2" s="323">
        <f t="shared" si="0"/>
        <v>0</v>
      </c>
      <c r="S2" s="324">
        <v>0</v>
      </c>
      <c r="T2" s="333">
        <f t="shared" ref="T2:T4" si="1">(O2*$AD$2)</f>
        <v>0</v>
      </c>
      <c r="U2" s="334">
        <f t="shared" ref="U2:U4" si="2">(P2*$AE$2)</f>
        <v>0</v>
      </c>
      <c r="V2" s="334">
        <f t="shared" ref="V2:V4" si="3">(Q2*$AF$2)</f>
        <v>0</v>
      </c>
      <c r="W2" s="334">
        <f>Tabla1[[#This Row],[CONSUMO POL ANIONICO (KG)]]</f>
        <v>0</v>
      </c>
      <c r="X2" s="324">
        <f>Tabla1[[#This Row],[CONSUMO POL CATIONICO (KG)]]</f>
        <v>0</v>
      </c>
      <c r="Y2" s="333" t="e">
        <f t="shared" ref="Y2:Y33" si="4">(T2*1000)/L2</f>
        <v>#DIV/0!</v>
      </c>
      <c r="Z2" s="334" t="e">
        <f t="shared" ref="Z2:Z33" si="5">(U2*1000)/L2</f>
        <v>#DIV/0!</v>
      </c>
      <c r="AA2" s="334" t="e">
        <f t="shared" ref="AA2:AA33" si="6">(V2*1000)/L2</f>
        <v>#DIV/0!</v>
      </c>
      <c r="AB2" s="334" t="e">
        <f t="shared" ref="AB2:AB33" si="7">(W2*1000)/L2</f>
        <v>#DIV/0!</v>
      </c>
      <c r="AC2" s="324" t="e">
        <f t="shared" ref="AC2:AC33" si="8">(X2*1000)/L2</f>
        <v>#DIV/0!</v>
      </c>
      <c r="AD2" s="335">
        <v>1.3</v>
      </c>
      <c r="AE2" s="335">
        <v>1.325</v>
      </c>
      <c r="AF2" s="335">
        <v>1.25</v>
      </c>
      <c r="AG2" s="336">
        <v>2500</v>
      </c>
      <c r="AH2" s="337">
        <v>2500</v>
      </c>
      <c r="AI2" s="100">
        <v>830</v>
      </c>
      <c r="AJ2" s="100">
        <v>2900</v>
      </c>
      <c r="AK2" s="100">
        <v>6295</v>
      </c>
      <c r="AL2" s="100">
        <v>19050</v>
      </c>
      <c r="AM2" s="100">
        <v>22050</v>
      </c>
      <c r="AN2" s="338">
        <f t="shared" ref="AN2:AR4" si="9">T2*AI2</f>
        <v>0</v>
      </c>
      <c r="AO2" s="339">
        <f t="shared" si="9"/>
        <v>0</v>
      </c>
      <c r="AP2" s="339">
        <f t="shared" si="9"/>
        <v>0</v>
      </c>
      <c r="AQ2" s="339">
        <f t="shared" si="9"/>
        <v>0</v>
      </c>
      <c r="AR2" s="340">
        <f t="shared" si="9"/>
        <v>0</v>
      </c>
      <c r="AS2" s="338">
        <f>SUM(Tabla1[[#This Row],[COSTO OPERATIVO ACIDO]:[COSTO OPERATIVO CATIONICO]])</f>
        <v>0</v>
      </c>
      <c r="AT2" s="339">
        <v>5250</v>
      </c>
      <c r="AU2" s="341" t="e">
        <f t="shared" ref="AU2:AU33" si="10">AS2/L2</f>
        <v>#DIV/0!</v>
      </c>
    </row>
    <row r="3" spans="1:47" ht="14.95" thickBot="1" x14ac:dyDescent="0.3">
      <c r="A3" s="342">
        <f>A2</f>
        <v>46023</v>
      </c>
      <c r="B3" s="99">
        <f>DAY(Tabla1[[#This Row],[FECHA]])</f>
        <v>1</v>
      </c>
      <c r="C3" s="343" t="s">
        <v>29</v>
      </c>
      <c r="D3" s="344">
        <v>2</v>
      </c>
      <c r="E3" s="344" t="s">
        <v>77</v>
      </c>
      <c r="F3" s="345">
        <v>2160</v>
      </c>
      <c r="G3" s="346">
        <v>2100</v>
      </c>
      <c r="H3" s="346">
        <v>1670</v>
      </c>
      <c r="I3" s="346">
        <v>250</v>
      </c>
      <c r="J3" s="346">
        <v>185</v>
      </c>
      <c r="K3" s="364">
        <v>16502</v>
      </c>
      <c r="L3" s="359">
        <v>0</v>
      </c>
      <c r="M3" s="360">
        <v>80</v>
      </c>
      <c r="N3" s="360">
        <f>+Tabla1[[#This Row],[CAUDAL DE TRATAMIENTO]]+$M$102</f>
        <v>88.462686567164184</v>
      </c>
      <c r="O3" s="325">
        <f t="shared" si="0"/>
        <v>0</v>
      </c>
      <c r="P3" s="376">
        <f t="shared" si="0"/>
        <v>0</v>
      </c>
      <c r="Q3" s="325">
        <f t="shared" si="0"/>
        <v>0</v>
      </c>
      <c r="R3" s="325">
        <f t="shared" si="0"/>
        <v>0</v>
      </c>
      <c r="S3" s="326">
        <v>0</v>
      </c>
      <c r="T3" s="333">
        <f t="shared" si="1"/>
        <v>0</v>
      </c>
      <c r="U3" s="334">
        <f t="shared" si="2"/>
        <v>0</v>
      </c>
      <c r="V3" s="334">
        <f t="shared" si="3"/>
        <v>0</v>
      </c>
      <c r="W3" s="347">
        <f>Tabla1[[#This Row],[CONSUMO POL ANIONICO (KG)]]</f>
        <v>0</v>
      </c>
      <c r="X3" s="326">
        <f>Tabla1[[#This Row],[CONSUMO POL CATIONICO (KG)]]</f>
        <v>0</v>
      </c>
      <c r="Y3" s="348" t="e">
        <f t="shared" si="4"/>
        <v>#DIV/0!</v>
      </c>
      <c r="Z3" s="347" t="e">
        <f t="shared" si="5"/>
        <v>#DIV/0!</v>
      </c>
      <c r="AA3" s="347" t="e">
        <f t="shared" si="6"/>
        <v>#DIV/0!</v>
      </c>
      <c r="AB3" s="347" t="e">
        <f t="shared" si="7"/>
        <v>#DIV/0!</v>
      </c>
      <c r="AC3" s="326" t="e">
        <f t="shared" si="8"/>
        <v>#DIV/0!</v>
      </c>
      <c r="AD3" s="335">
        <v>1.3</v>
      </c>
      <c r="AE3" s="335">
        <v>1.325</v>
      </c>
      <c r="AF3" s="335">
        <v>1.25</v>
      </c>
      <c r="AG3" s="336">
        <v>2500</v>
      </c>
      <c r="AH3" s="337">
        <v>2500</v>
      </c>
      <c r="AI3" s="100">
        <v>830</v>
      </c>
      <c r="AJ3" s="100">
        <v>2900</v>
      </c>
      <c r="AK3" s="100">
        <v>6295</v>
      </c>
      <c r="AL3" s="100">
        <v>19050</v>
      </c>
      <c r="AM3" s="100">
        <v>22050</v>
      </c>
      <c r="AN3" s="349">
        <f t="shared" si="9"/>
        <v>0</v>
      </c>
      <c r="AO3" s="341">
        <f t="shared" si="9"/>
        <v>0</v>
      </c>
      <c r="AP3" s="341">
        <f t="shared" si="9"/>
        <v>0</v>
      </c>
      <c r="AQ3" s="341">
        <f t="shared" si="9"/>
        <v>0</v>
      </c>
      <c r="AR3" s="350">
        <f t="shared" si="9"/>
        <v>0</v>
      </c>
      <c r="AS3" s="349">
        <f>SUM(Tabla1[[#This Row],[COSTO OPERATIVO ACIDO]:[COSTO OPERATIVO CATIONICO]])</f>
        <v>0</v>
      </c>
      <c r="AT3" s="341">
        <v>5250</v>
      </c>
      <c r="AU3" s="341" t="e">
        <f t="shared" si="10"/>
        <v>#DIV/0!</v>
      </c>
    </row>
    <row r="4" spans="1:47" ht="14.95" thickBot="1" x14ac:dyDescent="0.3">
      <c r="A4" s="351">
        <f>A3</f>
        <v>46023</v>
      </c>
      <c r="B4" s="99">
        <f>DAY(Tabla1[[#This Row],[FECHA]])</f>
        <v>1</v>
      </c>
      <c r="C4" s="352" t="s">
        <v>30</v>
      </c>
      <c r="D4" s="353">
        <v>3</v>
      </c>
      <c r="E4" s="353" t="s">
        <v>76</v>
      </c>
      <c r="F4" s="345">
        <v>2160</v>
      </c>
      <c r="G4" s="346">
        <v>2100</v>
      </c>
      <c r="H4" s="346">
        <v>1670</v>
      </c>
      <c r="I4" s="346">
        <v>250</v>
      </c>
      <c r="J4" s="346">
        <v>185</v>
      </c>
      <c r="K4" s="365">
        <v>16502</v>
      </c>
      <c r="L4" s="366">
        <v>0</v>
      </c>
      <c r="M4" s="367">
        <v>80</v>
      </c>
      <c r="N4" s="367">
        <f>+Tabla1[[#This Row],[CAUDAL DE TRATAMIENTO]]+$M$102</f>
        <v>88.462686567164184</v>
      </c>
      <c r="O4" s="327">
        <f t="shared" si="0"/>
        <v>0</v>
      </c>
      <c r="P4" s="377">
        <f t="shared" si="0"/>
        <v>0</v>
      </c>
      <c r="Q4" s="327">
        <f t="shared" si="0"/>
        <v>0</v>
      </c>
      <c r="R4" s="327">
        <f t="shared" si="0"/>
        <v>0</v>
      </c>
      <c r="S4" s="328">
        <v>0</v>
      </c>
      <c r="T4" s="333">
        <f t="shared" si="1"/>
        <v>0</v>
      </c>
      <c r="U4" s="334">
        <f t="shared" si="2"/>
        <v>0</v>
      </c>
      <c r="V4" s="334">
        <f t="shared" si="3"/>
        <v>0</v>
      </c>
      <c r="W4" s="354">
        <f>Tabla1[[#This Row],[CONSUMO POL ANIONICO (KG)]]</f>
        <v>0</v>
      </c>
      <c r="X4" s="328">
        <f>Tabla1[[#This Row],[CONSUMO POL CATIONICO (KG)]]</f>
        <v>0</v>
      </c>
      <c r="Y4" s="348" t="e">
        <f t="shared" si="4"/>
        <v>#DIV/0!</v>
      </c>
      <c r="Z4" s="354" t="e">
        <f t="shared" si="5"/>
        <v>#DIV/0!</v>
      </c>
      <c r="AA4" s="354" t="e">
        <f t="shared" si="6"/>
        <v>#DIV/0!</v>
      </c>
      <c r="AB4" s="354" t="e">
        <f t="shared" si="7"/>
        <v>#DIV/0!</v>
      </c>
      <c r="AC4" s="328" t="e">
        <f t="shared" si="8"/>
        <v>#DIV/0!</v>
      </c>
      <c r="AD4" s="335">
        <v>1.3</v>
      </c>
      <c r="AE4" s="335">
        <v>1.325</v>
      </c>
      <c r="AF4" s="335">
        <v>1.25</v>
      </c>
      <c r="AG4" s="336">
        <v>2500</v>
      </c>
      <c r="AH4" s="337">
        <v>2500</v>
      </c>
      <c r="AI4" s="100">
        <v>830</v>
      </c>
      <c r="AJ4" s="100">
        <v>2900</v>
      </c>
      <c r="AK4" s="100">
        <v>6295</v>
      </c>
      <c r="AL4" s="100">
        <v>19050</v>
      </c>
      <c r="AM4" s="100">
        <v>22050</v>
      </c>
      <c r="AN4" s="349">
        <f t="shared" si="9"/>
        <v>0</v>
      </c>
      <c r="AO4" s="355">
        <f t="shared" si="9"/>
        <v>0</v>
      </c>
      <c r="AP4" s="355">
        <f t="shared" si="9"/>
        <v>0</v>
      </c>
      <c r="AQ4" s="355">
        <f t="shared" si="9"/>
        <v>0</v>
      </c>
      <c r="AR4" s="356">
        <f t="shared" si="9"/>
        <v>0</v>
      </c>
      <c r="AS4" s="349">
        <f>SUM(Tabla1[[#This Row],[COSTO OPERATIVO ACIDO]:[COSTO OPERATIVO CATIONICO]])</f>
        <v>0</v>
      </c>
      <c r="AT4" s="355">
        <v>5250</v>
      </c>
      <c r="AU4" s="341" t="e">
        <f t="shared" si="10"/>
        <v>#DIV/0!</v>
      </c>
    </row>
    <row r="5" spans="1:47" ht="14.95" thickBot="1" x14ac:dyDescent="0.3">
      <c r="A5" s="144">
        <v>46024</v>
      </c>
      <c r="B5" s="99">
        <f>DAY(Tabla1[[#This Row],[FECHA]])</f>
        <v>2</v>
      </c>
      <c r="C5" s="329" t="s">
        <v>241</v>
      </c>
      <c r="D5" s="330">
        <v>4</v>
      </c>
      <c r="E5" s="330" t="s">
        <v>75</v>
      </c>
      <c r="F5" s="331">
        <v>2160</v>
      </c>
      <c r="G5" s="332">
        <v>2100</v>
      </c>
      <c r="H5" s="332">
        <v>1670</v>
      </c>
      <c r="I5" s="332">
        <v>250</v>
      </c>
      <c r="J5" s="332">
        <v>185</v>
      </c>
      <c r="K5" s="361">
        <v>16502</v>
      </c>
      <c r="L5" s="362">
        <v>0</v>
      </c>
      <c r="M5" s="363">
        <v>80</v>
      </c>
      <c r="N5" s="363">
        <f>+Tabla1[[#This Row],[CAUDAL DE TRATAMIENTO]]+$M$102</f>
        <v>88.462686567164184</v>
      </c>
      <c r="O5" s="323">
        <f t="shared" si="0"/>
        <v>0</v>
      </c>
      <c r="P5" s="375">
        <f t="shared" si="0"/>
        <v>0</v>
      </c>
      <c r="Q5" s="323">
        <f t="shared" si="0"/>
        <v>0</v>
      </c>
      <c r="R5" s="323">
        <f t="shared" si="0"/>
        <v>0</v>
      </c>
      <c r="S5" s="324">
        <f>J5-J6</f>
        <v>0</v>
      </c>
      <c r="T5" s="333">
        <f t="shared" ref="T5:T68" si="11">(O5*$AD$2)</f>
        <v>0</v>
      </c>
      <c r="U5" s="334">
        <f t="shared" ref="U5:U68" si="12">(P5*$AE$2)</f>
        <v>0</v>
      </c>
      <c r="V5" s="334">
        <f t="shared" ref="V5:V68" si="13">(Q5*$AF$2)</f>
        <v>0</v>
      </c>
      <c r="W5" s="334">
        <f>Tabla1[[#This Row],[CONSUMO POL ANIONICO (KG)]]</f>
        <v>0</v>
      </c>
      <c r="X5" s="324">
        <f>Tabla1[[#This Row],[CONSUMO POL CATIONICO (KG)]]</f>
        <v>0</v>
      </c>
      <c r="Y5" s="333" t="e">
        <f t="shared" si="4"/>
        <v>#DIV/0!</v>
      </c>
      <c r="Z5" s="334" t="e">
        <f t="shared" si="5"/>
        <v>#DIV/0!</v>
      </c>
      <c r="AA5" s="334" t="e">
        <f t="shared" si="6"/>
        <v>#DIV/0!</v>
      </c>
      <c r="AB5" s="334" t="e">
        <f t="shared" si="7"/>
        <v>#DIV/0!</v>
      </c>
      <c r="AC5" s="324" t="e">
        <f t="shared" si="8"/>
        <v>#DIV/0!</v>
      </c>
      <c r="AD5" s="335">
        <v>1.3</v>
      </c>
      <c r="AE5" s="335">
        <v>1.325</v>
      </c>
      <c r="AF5" s="335">
        <v>1.25</v>
      </c>
      <c r="AG5" s="336">
        <v>2500</v>
      </c>
      <c r="AH5" s="337">
        <v>2500</v>
      </c>
      <c r="AI5" s="100">
        <v>830</v>
      </c>
      <c r="AJ5" s="100">
        <v>2900</v>
      </c>
      <c r="AK5" s="100">
        <v>6295</v>
      </c>
      <c r="AL5" s="100">
        <v>19050</v>
      </c>
      <c r="AM5" s="100">
        <v>22050</v>
      </c>
      <c r="AN5" s="338">
        <f t="shared" ref="AN5:AN68" si="14">T5*AI5</f>
        <v>0</v>
      </c>
      <c r="AO5" s="339">
        <f t="shared" ref="AO5:AO68" si="15">U5*AJ5</f>
        <v>0</v>
      </c>
      <c r="AP5" s="339">
        <f t="shared" ref="AP5:AP68" si="16">V5*AK5</f>
        <v>0</v>
      </c>
      <c r="AQ5" s="339">
        <f t="shared" ref="AQ5:AQ68" si="17">W5*AL5</f>
        <v>0</v>
      </c>
      <c r="AR5" s="340">
        <f t="shared" ref="AR5:AR68" si="18">X5*AM5</f>
        <v>0</v>
      </c>
      <c r="AS5" s="338">
        <f>SUM(Tabla1[[#This Row],[COSTO OPERATIVO ACIDO]:[COSTO OPERATIVO CATIONICO]])</f>
        <v>0</v>
      </c>
      <c r="AT5" s="339">
        <v>5250</v>
      </c>
      <c r="AU5" s="341" t="e">
        <f t="shared" si="10"/>
        <v>#DIV/0!</v>
      </c>
    </row>
    <row r="6" spans="1:47" ht="14.95" thickBot="1" x14ac:dyDescent="0.3">
      <c r="A6" s="342">
        <f t="shared" ref="A6:A7" si="19">A5</f>
        <v>46024</v>
      </c>
      <c r="B6" s="99">
        <f>DAY(Tabla1[[#This Row],[FECHA]])</f>
        <v>2</v>
      </c>
      <c r="C6" s="343" t="s">
        <v>242</v>
      </c>
      <c r="D6" s="344">
        <v>5</v>
      </c>
      <c r="E6" s="344" t="s">
        <v>77</v>
      </c>
      <c r="F6" s="345">
        <v>2160</v>
      </c>
      <c r="G6" s="346">
        <v>2100</v>
      </c>
      <c r="H6" s="346">
        <v>1670</v>
      </c>
      <c r="I6" s="346">
        <v>250</v>
      </c>
      <c r="J6" s="346">
        <v>185</v>
      </c>
      <c r="K6" s="364">
        <v>16502</v>
      </c>
      <c r="L6" s="359">
        <v>640.23880597014931</v>
      </c>
      <c r="M6" s="360">
        <v>83</v>
      </c>
      <c r="N6" s="360">
        <f>+Tabla1[[#This Row],[CAUDAL DE TRATAMIENTO]]+$M$102</f>
        <v>91.462686567164184</v>
      </c>
      <c r="O6" s="325">
        <f t="shared" si="0"/>
        <v>80</v>
      </c>
      <c r="P6" s="376">
        <f t="shared" si="0"/>
        <v>150</v>
      </c>
      <c r="Q6" s="325">
        <f t="shared" si="0"/>
        <v>70</v>
      </c>
      <c r="R6" s="325">
        <f t="shared" si="0"/>
        <v>5</v>
      </c>
      <c r="S6" s="326">
        <f>J6-J7</f>
        <v>5</v>
      </c>
      <c r="T6" s="333">
        <f t="shared" si="11"/>
        <v>104</v>
      </c>
      <c r="U6" s="334">
        <f t="shared" si="12"/>
        <v>198.75</v>
      </c>
      <c r="V6" s="334">
        <f t="shared" si="13"/>
        <v>87.5</v>
      </c>
      <c r="W6" s="347">
        <f>Tabla1[[#This Row],[CONSUMO POL ANIONICO (KG)]]</f>
        <v>5</v>
      </c>
      <c r="X6" s="326">
        <f>Tabla1[[#This Row],[CONSUMO POL CATIONICO (KG)]]</f>
        <v>5</v>
      </c>
      <c r="Y6" s="348">
        <f t="shared" si="4"/>
        <v>162.43938828795226</v>
      </c>
      <c r="Z6" s="347">
        <f t="shared" si="5"/>
        <v>310.43104252144718</v>
      </c>
      <c r="AA6" s="347">
        <f t="shared" si="6"/>
        <v>136.66775456919058</v>
      </c>
      <c r="AB6" s="347">
        <f t="shared" si="7"/>
        <v>7.8095859753823191</v>
      </c>
      <c r="AC6" s="326">
        <f t="shared" si="8"/>
        <v>7.8095859753823191</v>
      </c>
      <c r="AD6" s="335">
        <v>1.3</v>
      </c>
      <c r="AE6" s="335">
        <v>1.325</v>
      </c>
      <c r="AF6" s="335">
        <v>1.25</v>
      </c>
      <c r="AG6" s="336">
        <v>2500</v>
      </c>
      <c r="AH6" s="337">
        <v>2500</v>
      </c>
      <c r="AI6" s="100">
        <v>830</v>
      </c>
      <c r="AJ6" s="100">
        <v>2900</v>
      </c>
      <c r="AK6" s="100">
        <v>6295</v>
      </c>
      <c r="AL6" s="100">
        <v>19050</v>
      </c>
      <c r="AM6" s="100">
        <v>22050</v>
      </c>
      <c r="AN6" s="349">
        <f t="shared" si="14"/>
        <v>86320</v>
      </c>
      <c r="AO6" s="341">
        <f t="shared" si="15"/>
        <v>576375</v>
      </c>
      <c r="AP6" s="341">
        <f t="shared" si="16"/>
        <v>550812.5</v>
      </c>
      <c r="AQ6" s="341">
        <f t="shared" si="17"/>
        <v>95250</v>
      </c>
      <c r="AR6" s="350">
        <f t="shared" si="18"/>
        <v>110250</v>
      </c>
      <c r="AS6" s="349">
        <f>SUM(Tabla1[[#This Row],[COSTO OPERATIVO ACIDO]:[COSTO OPERATIVO CATIONICO]])</f>
        <v>1419007.5</v>
      </c>
      <c r="AT6" s="341">
        <v>5250</v>
      </c>
      <c r="AU6" s="341">
        <f t="shared" si="10"/>
        <v>2216.3722141924654</v>
      </c>
    </row>
    <row r="7" spans="1:47" ht="14.95" thickBot="1" x14ac:dyDescent="0.3">
      <c r="A7" s="351">
        <f t="shared" si="19"/>
        <v>46024</v>
      </c>
      <c r="B7" s="99">
        <f>DAY(Tabla1[[#This Row],[FECHA]])</f>
        <v>2</v>
      </c>
      <c r="C7" s="352" t="s">
        <v>30</v>
      </c>
      <c r="D7" s="353">
        <v>6</v>
      </c>
      <c r="E7" s="353" t="s">
        <v>76</v>
      </c>
      <c r="F7" s="345">
        <v>2080</v>
      </c>
      <c r="G7" s="346">
        <v>1950</v>
      </c>
      <c r="H7" s="346">
        <v>1600</v>
      </c>
      <c r="I7" s="346">
        <v>245</v>
      </c>
      <c r="J7" s="346">
        <v>180</v>
      </c>
      <c r="K7" s="365">
        <v>16509</v>
      </c>
      <c r="L7" s="366">
        <v>174.92537313432837</v>
      </c>
      <c r="M7" s="367">
        <v>79</v>
      </c>
      <c r="N7" s="367">
        <f>+Tabla1[[#This Row],[CAUDAL DE TRATAMIENTO]]+$M$102</f>
        <v>87.462686567164184</v>
      </c>
      <c r="O7" s="327">
        <f t="shared" ref="O7:O15" si="20">F7-F8</f>
        <v>80</v>
      </c>
      <c r="P7" s="322">
        <f>G7-G8-150</f>
        <v>50</v>
      </c>
      <c r="Q7" s="327">
        <f t="shared" ref="Q7:R9" si="21">H7-H8</f>
        <v>50</v>
      </c>
      <c r="R7" s="327">
        <f t="shared" si="21"/>
        <v>5</v>
      </c>
      <c r="S7" s="328">
        <f>J7-J8</f>
        <v>5</v>
      </c>
      <c r="T7" s="333">
        <f t="shared" si="11"/>
        <v>104</v>
      </c>
      <c r="U7" s="334">
        <f t="shared" si="12"/>
        <v>66.25</v>
      </c>
      <c r="V7" s="334">
        <f t="shared" si="13"/>
        <v>62.5</v>
      </c>
      <c r="W7" s="354">
        <f>Tabla1[[#This Row],[CONSUMO POL ANIONICO (KG)]]</f>
        <v>5</v>
      </c>
      <c r="X7" s="328">
        <f>Tabla1[[#This Row],[CONSUMO POL CATIONICO (KG)]]</f>
        <v>5</v>
      </c>
      <c r="Y7" s="348">
        <f t="shared" si="4"/>
        <v>594.5392491467577</v>
      </c>
      <c r="Z7" s="354">
        <f t="shared" si="5"/>
        <v>378.73293515358358</v>
      </c>
      <c r="AA7" s="354">
        <f t="shared" si="6"/>
        <v>357.29522184300339</v>
      </c>
      <c r="AB7" s="354">
        <f t="shared" si="7"/>
        <v>28.583617747440272</v>
      </c>
      <c r="AC7" s="328">
        <f t="shared" si="8"/>
        <v>28.583617747440272</v>
      </c>
      <c r="AD7" s="335">
        <v>1.3</v>
      </c>
      <c r="AE7" s="335">
        <v>1.325</v>
      </c>
      <c r="AF7" s="335">
        <v>1.25</v>
      </c>
      <c r="AG7" s="336">
        <v>2500</v>
      </c>
      <c r="AH7" s="337">
        <v>2500</v>
      </c>
      <c r="AI7" s="100">
        <v>830</v>
      </c>
      <c r="AJ7" s="100">
        <v>2900</v>
      </c>
      <c r="AK7" s="100">
        <v>6295</v>
      </c>
      <c r="AL7" s="100">
        <v>19050</v>
      </c>
      <c r="AM7" s="100">
        <v>22050</v>
      </c>
      <c r="AN7" s="349">
        <f t="shared" si="14"/>
        <v>86320</v>
      </c>
      <c r="AO7" s="355">
        <f t="shared" si="15"/>
        <v>192125</v>
      </c>
      <c r="AP7" s="355">
        <f t="shared" si="16"/>
        <v>393437.5</v>
      </c>
      <c r="AQ7" s="355">
        <f t="shared" si="17"/>
        <v>95250</v>
      </c>
      <c r="AR7" s="356">
        <f t="shared" si="18"/>
        <v>110250</v>
      </c>
      <c r="AS7" s="349">
        <f>SUM(Tabla1[[#This Row],[COSTO OPERATIVO ACIDO]:[COSTO OPERATIVO CATIONICO]])</f>
        <v>877382.5</v>
      </c>
      <c r="AT7" s="355">
        <v>5250</v>
      </c>
      <c r="AU7" s="341">
        <f t="shared" si="10"/>
        <v>5015.7531996587031</v>
      </c>
    </row>
    <row r="8" spans="1:47" ht="14.95" thickBot="1" x14ac:dyDescent="0.3">
      <c r="A8" s="144">
        <v>46025</v>
      </c>
      <c r="B8" s="99">
        <f>DAY(Tabla1[[#This Row],[FECHA]])</f>
        <v>3</v>
      </c>
      <c r="C8" s="329" t="s">
        <v>243</v>
      </c>
      <c r="D8" s="330">
        <v>7</v>
      </c>
      <c r="E8" s="330" t="s">
        <v>75</v>
      </c>
      <c r="F8" s="331">
        <v>2000</v>
      </c>
      <c r="G8" s="332">
        <v>1750</v>
      </c>
      <c r="H8" s="332">
        <v>1550</v>
      </c>
      <c r="I8" s="332">
        <v>240</v>
      </c>
      <c r="J8" s="332">
        <v>175</v>
      </c>
      <c r="K8" s="361">
        <v>16511</v>
      </c>
      <c r="L8" s="362">
        <v>0</v>
      </c>
      <c r="M8" s="363">
        <v>0</v>
      </c>
      <c r="N8" s="363">
        <f>+Tabla1[[#This Row],[CAUDAL DE TRATAMIENTO]]+$M$102</f>
        <v>8.4626865671641784</v>
      </c>
      <c r="O8" s="323">
        <f t="shared" si="20"/>
        <v>40</v>
      </c>
      <c r="P8" s="375">
        <f t="shared" ref="P8:P13" si="22">G8-G9</f>
        <v>80</v>
      </c>
      <c r="Q8" s="323">
        <f t="shared" si="21"/>
        <v>25</v>
      </c>
      <c r="R8" s="323">
        <f t="shared" si="21"/>
        <v>0</v>
      </c>
      <c r="S8" s="324">
        <f>J8-J9</f>
        <v>0</v>
      </c>
      <c r="T8" s="333">
        <f t="shared" si="11"/>
        <v>52</v>
      </c>
      <c r="U8" s="334">
        <f t="shared" si="12"/>
        <v>106</v>
      </c>
      <c r="V8" s="334">
        <f t="shared" si="13"/>
        <v>31.25</v>
      </c>
      <c r="W8" s="334">
        <f>Tabla1[[#This Row],[CONSUMO POL ANIONICO (KG)]]</f>
        <v>0</v>
      </c>
      <c r="X8" s="324">
        <f>Tabla1[[#This Row],[CONSUMO POL CATIONICO (KG)]]</f>
        <v>0</v>
      </c>
      <c r="Y8" s="333" t="e">
        <f t="shared" si="4"/>
        <v>#DIV/0!</v>
      </c>
      <c r="Z8" s="334" t="e">
        <f t="shared" si="5"/>
        <v>#DIV/0!</v>
      </c>
      <c r="AA8" s="334" t="e">
        <f t="shared" si="6"/>
        <v>#DIV/0!</v>
      </c>
      <c r="AB8" s="334" t="e">
        <f t="shared" si="7"/>
        <v>#DIV/0!</v>
      </c>
      <c r="AC8" s="324" t="e">
        <f t="shared" si="8"/>
        <v>#DIV/0!</v>
      </c>
      <c r="AD8" s="335">
        <v>1.3</v>
      </c>
      <c r="AE8" s="335">
        <v>1.325</v>
      </c>
      <c r="AF8" s="335">
        <v>1.25</v>
      </c>
      <c r="AG8" s="336">
        <v>2500</v>
      </c>
      <c r="AH8" s="337">
        <v>2500</v>
      </c>
      <c r="AI8" s="100">
        <v>830</v>
      </c>
      <c r="AJ8" s="100">
        <v>2900</v>
      </c>
      <c r="AK8" s="100">
        <v>6295</v>
      </c>
      <c r="AL8" s="100">
        <v>19050</v>
      </c>
      <c r="AM8" s="100">
        <v>22050</v>
      </c>
      <c r="AN8" s="338">
        <f t="shared" si="14"/>
        <v>43160</v>
      </c>
      <c r="AO8" s="339">
        <f t="shared" si="15"/>
        <v>307400</v>
      </c>
      <c r="AP8" s="339">
        <f t="shared" si="16"/>
        <v>196718.75</v>
      </c>
      <c r="AQ8" s="339">
        <f t="shared" si="17"/>
        <v>0</v>
      </c>
      <c r="AR8" s="340">
        <f t="shared" si="18"/>
        <v>0</v>
      </c>
      <c r="AS8" s="338">
        <f>SUM(Tabla1[[#This Row],[COSTO OPERATIVO ACIDO]:[COSTO OPERATIVO CATIONICO]])</f>
        <v>547278.75</v>
      </c>
      <c r="AT8" s="339">
        <v>5250</v>
      </c>
      <c r="AU8" s="341" t="e">
        <f t="shared" si="10"/>
        <v>#DIV/0!</v>
      </c>
    </row>
    <row r="9" spans="1:47" ht="14.95" thickBot="1" x14ac:dyDescent="0.3">
      <c r="A9" s="342">
        <f t="shared" ref="A9:A10" si="23">A8</f>
        <v>46025</v>
      </c>
      <c r="B9" s="99">
        <f>DAY(Tabla1[[#This Row],[FECHA]])</f>
        <v>3</v>
      </c>
      <c r="C9" s="343" t="s">
        <v>244</v>
      </c>
      <c r="D9" s="344">
        <v>8</v>
      </c>
      <c r="E9" s="344" t="s">
        <v>77</v>
      </c>
      <c r="F9" s="345">
        <f>+AVERAGE(F8,F10)</f>
        <v>1960</v>
      </c>
      <c r="G9" s="346">
        <f>+AVERAGE(G8,G10)</f>
        <v>1670</v>
      </c>
      <c r="H9" s="346">
        <f>+AVERAGE(H8,H10)</f>
        <v>1525</v>
      </c>
      <c r="I9" s="346">
        <v>240</v>
      </c>
      <c r="J9" s="346">
        <v>175</v>
      </c>
      <c r="K9" s="364">
        <v>16511</v>
      </c>
      <c r="L9" s="359">
        <v>268.38805970149258</v>
      </c>
      <c r="M9" s="360">
        <v>81</v>
      </c>
      <c r="N9" s="360">
        <f>+Tabla1[[#This Row],[CAUDAL DE TRATAMIENTO]]+$M$102</f>
        <v>89.462686567164184</v>
      </c>
      <c r="O9" s="325">
        <f t="shared" si="20"/>
        <v>40</v>
      </c>
      <c r="P9" s="376">
        <f t="shared" si="22"/>
        <v>80</v>
      </c>
      <c r="Q9" s="325">
        <f t="shared" si="21"/>
        <v>25</v>
      </c>
      <c r="R9" s="325">
        <f t="shared" si="21"/>
        <v>0</v>
      </c>
      <c r="S9" s="326">
        <f>J9-J10</f>
        <v>0</v>
      </c>
      <c r="T9" s="333">
        <f t="shared" si="11"/>
        <v>52</v>
      </c>
      <c r="U9" s="334">
        <f t="shared" si="12"/>
        <v>106</v>
      </c>
      <c r="V9" s="334">
        <f t="shared" si="13"/>
        <v>31.25</v>
      </c>
      <c r="W9" s="347">
        <f>Tabla1[[#This Row],[CONSUMO POL ANIONICO (KG)]]</f>
        <v>0</v>
      </c>
      <c r="X9" s="326">
        <f>Tabla1[[#This Row],[CONSUMO POL CATIONICO (KG)]]</f>
        <v>0</v>
      </c>
      <c r="Y9" s="348">
        <f t="shared" si="4"/>
        <v>193.74930486041595</v>
      </c>
      <c r="Z9" s="347">
        <f t="shared" si="5"/>
        <v>394.95050606161709</v>
      </c>
      <c r="AA9" s="347">
        <f t="shared" si="6"/>
        <v>116.4358803247692</v>
      </c>
      <c r="AB9" s="347">
        <f t="shared" si="7"/>
        <v>0</v>
      </c>
      <c r="AC9" s="326">
        <f t="shared" si="8"/>
        <v>0</v>
      </c>
      <c r="AD9" s="335">
        <v>1.3</v>
      </c>
      <c r="AE9" s="335">
        <v>1.325</v>
      </c>
      <c r="AF9" s="335">
        <v>1.25</v>
      </c>
      <c r="AG9" s="336">
        <v>2500</v>
      </c>
      <c r="AH9" s="337">
        <v>2500</v>
      </c>
      <c r="AI9" s="100">
        <v>830</v>
      </c>
      <c r="AJ9" s="100">
        <v>2900</v>
      </c>
      <c r="AK9" s="100">
        <v>6295</v>
      </c>
      <c r="AL9" s="100">
        <v>19050</v>
      </c>
      <c r="AM9" s="100">
        <v>22050</v>
      </c>
      <c r="AN9" s="349">
        <f t="shared" si="14"/>
        <v>43160</v>
      </c>
      <c r="AO9" s="341">
        <f t="shared" si="15"/>
        <v>307400</v>
      </c>
      <c r="AP9" s="341">
        <f t="shared" si="16"/>
        <v>196718.75</v>
      </c>
      <c r="AQ9" s="341">
        <f t="shared" si="17"/>
        <v>0</v>
      </c>
      <c r="AR9" s="350">
        <f t="shared" si="18"/>
        <v>0</v>
      </c>
      <c r="AS9" s="349">
        <f>SUM(Tabla1[[#This Row],[COSTO OPERATIVO ACIDO]:[COSTO OPERATIVO CATIONICO]])</f>
        <v>547278.75</v>
      </c>
      <c r="AT9" s="341">
        <v>5250</v>
      </c>
      <c r="AU9" s="341">
        <f t="shared" si="10"/>
        <v>2039.1322572572569</v>
      </c>
    </row>
    <row r="10" spans="1:47" ht="14.95" thickBot="1" x14ac:dyDescent="0.3">
      <c r="A10" s="351">
        <f t="shared" si="23"/>
        <v>46025</v>
      </c>
      <c r="B10" s="99">
        <f>DAY(Tabla1[[#This Row],[FECHA]])</f>
        <v>3</v>
      </c>
      <c r="C10" s="352" t="s">
        <v>30</v>
      </c>
      <c r="D10" s="353">
        <v>9</v>
      </c>
      <c r="E10" s="353" t="s">
        <v>76</v>
      </c>
      <c r="F10" s="345">
        <v>1920</v>
      </c>
      <c r="G10" s="346">
        <v>1590</v>
      </c>
      <c r="H10" s="346">
        <v>1500</v>
      </c>
      <c r="I10" s="346">
        <v>240</v>
      </c>
      <c r="J10" s="346">
        <v>175</v>
      </c>
      <c r="K10" s="365">
        <v>16514</v>
      </c>
      <c r="L10" s="366">
        <v>0</v>
      </c>
      <c r="M10" s="367">
        <v>0</v>
      </c>
      <c r="N10" s="367">
        <f>+Tabla1[[#This Row],[CAUDAL DE TRATAMIENTO]]+$M$102</f>
        <v>8.4626865671641784</v>
      </c>
      <c r="O10" s="327">
        <f t="shared" si="20"/>
        <v>0</v>
      </c>
      <c r="P10" s="377">
        <f t="shared" si="22"/>
        <v>0</v>
      </c>
      <c r="Q10" s="327">
        <f t="shared" ref="Q10:Q39" si="24">H10-H11</f>
        <v>0</v>
      </c>
      <c r="R10" s="327">
        <v>0</v>
      </c>
      <c r="S10" s="328">
        <v>0</v>
      </c>
      <c r="T10" s="333">
        <f t="shared" si="11"/>
        <v>0</v>
      </c>
      <c r="U10" s="334">
        <f t="shared" si="12"/>
        <v>0</v>
      </c>
      <c r="V10" s="334">
        <f t="shared" si="13"/>
        <v>0</v>
      </c>
      <c r="W10" s="354">
        <f>Tabla1[[#This Row],[CONSUMO POL ANIONICO (KG)]]</f>
        <v>0</v>
      </c>
      <c r="X10" s="328">
        <f>Tabla1[[#This Row],[CONSUMO POL CATIONICO (KG)]]</f>
        <v>0</v>
      </c>
      <c r="Y10" s="348" t="e">
        <f t="shared" si="4"/>
        <v>#DIV/0!</v>
      </c>
      <c r="Z10" s="354" t="e">
        <f t="shared" si="5"/>
        <v>#DIV/0!</v>
      </c>
      <c r="AA10" s="354" t="e">
        <f t="shared" si="6"/>
        <v>#DIV/0!</v>
      </c>
      <c r="AB10" s="354" t="e">
        <f t="shared" si="7"/>
        <v>#DIV/0!</v>
      </c>
      <c r="AC10" s="328" t="e">
        <f t="shared" si="8"/>
        <v>#DIV/0!</v>
      </c>
      <c r="AD10" s="335">
        <v>1.3</v>
      </c>
      <c r="AE10" s="335">
        <v>1.325</v>
      </c>
      <c r="AF10" s="335">
        <v>1.25</v>
      </c>
      <c r="AG10" s="336">
        <v>2500</v>
      </c>
      <c r="AH10" s="337">
        <v>2500</v>
      </c>
      <c r="AI10" s="100">
        <v>830</v>
      </c>
      <c r="AJ10" s="100">
        <v>2900</v>
      </c>
      <c r="AK10" s="100">
        <v>6295</v>
      </c>
      <c r="AL10" s="100">
        <v>19050</v>
      </c>
      <c r="AM10" s="100">
        <v>22050</v>
      </c>
      <c r="AN10" s="349">
        <f t="shared" si="14"/>
        <v>0</v>
      </c>
      <c r="AO10" s="355">
        <f t="shared" si="15"/>
        <v>0</v>
      </c>
      <c r="AP10" s="355">
        <f t="shared" si="16"/>
        <v>0</v>
      </c>
      <c r="AQ10" s="355">
        <f t="shared" si="17"/>
        <v>0</v>
      </c>
      <c r="AR10" s="356">
        <f t="shared" si="18"/>
        <v>0</v>
      </c>
      <c r="AS10" s="349">
        <f>SUM(Tabla1[[#This Row],[COSTO OPERATIVO ACIDO]:[COSTO OPERATIVO CATIONICO]])</f>
        <v>0</v>
      </c>
      <c r="AT10" s="355">
        <v>5250</v>
      </c>
      <c r="AU10" s="341" t="e">
        <f t="shared" si="10"/>
        <v>#DIV/0!</v>
      </c>
    </row>
    <row r="11" spans="1:47" ht="14.95" thickBot="1" x14ac:dyDescent="0.3">
      <c r="A11" s="144">
        <v>46026</v>
      </c>
      <c r="B11" s="99">
        <f>DAY(Tabla1[[#This Row],[FECHA]])</f>
        <v>4</v>
      </c>
      <c r="C11" s="329" t="s">
        <v>245</v>
      </c>
      <c r="D11" s="330">
        <v>10</v>
      </c>
      <c r="E11" s="330" t="s">
        <v>75</v>
      </c>
      <c r="F11" s="331">
        <v>1920</v>
      </c>
      <c r="G11" s="332">
        <v>1590</v>
      </c>
      <c r="H11" s="332">
        <v>1500</v>
      </c>
      <c r="I11" s="332">
        <v>240</v>
      </c>
      <c r="J11" s="332">
        <v>175</v>
      </c>
      <c r="K11" s="361">
        <v>16514</v>
      </c>
      <c r="L11" s="362">
        <v>0</v>
      </c>
      <c r="M11" s="363">
        <v>0</v>
      </c>
      <c r="N11" s="363">
        <f>+Tabla1[[#This Row],[CAUDAL DE TRATAMIENTO]]+$M$102</f>
        <v>8.4626865671641784</v>
      </c>
      <c r="O11" s="323">
        <f t="shared" si="20"/>
        <v>0</v>
      </c>
      <c r="P11" s="375">
        <f t="shared" si="22"/>
        <v>0</v>
      </c>
      <c r="Q11" s="323">
        <f t="shared" si="24"/>
        <v>0</v>
      </c>
      <c r="R11" s="323">
        <v>0</v>
      </c>
      <c r="S11" s="324">
        <v>0</v>
      </c>
      <c r="T11" s="333">
        <f t="shared" si="11"/>
        <v>0</v>
      </c>
      <c r="U11" s="334">
        <f t="shared" si="12"/>
        <v>0</v>
      </c>
      <c r="V11" s="334">
        <f t="shared" si="13"/>
        <v>0</v>
      </c>
      <c r="W11" s="334">
        <f>Tabla1[[#This Row],[CONSUMO POL ANIONICO (KG)]]</f>
        <v>0</v>
      </c>
      <c r="X11" s="324">
        <f>Tabla1[[#This Row],[CONSUMO POL CATIONICO (KG)]]</f>
        <v>0</v>
      </c>
      <c r="Y11" s="333" t="e">
        <f t="shared" si="4"/>
        <v>#DIV/0!</v>
      </c>
      <c r="Z11" s="334" t="e">
        <f t="shared" si="5"/>
        <v>#DIV/0!</v>
      </c>
      <c r="AA11" s="334" t="e">
        <f t="shared" si="6"/>
        <v>#DIV/0!</v>
      </c>
      <c r="AB11" s="334" t="e">
        <f t="shared" si="7"/>
        <v>#DIV/0!</v>
      </c>
      <c r="AC11" s="324" t="e">
        <f t="shared" si="8"/>
        <v>#DIV/0!</v>
      </c>
      <c r="AD11" s="335">
        <v>1.3</v>
      </c>
      <c r="AE11" s="335">
        <v>1.325</v>
      </c>
      <c r="AF11" s="335">
        <v>1.25</v>
      </c>
      <c r="AG11" s="336">
        <v>2500</v>
      </c>
      <c r="AH11" s="337">
        <v>2500</v>
      </c>
      <c r="AI11" s="100">
        <v>830</v>
      </c>
      <c r="AJ11" s="100">
        <v>2900</v>
      </c>
      <c r="AK11" s="100">
        <v>6295</v>
      </c>
      <c r="AL11" s="100">
        <v>19050</v>
      </c>
      <c r="AM11" s="100">
        <v>22050</v>
      </c>
      <c r="AN11" s="338">
        <f t="shared" si="14"/>
        <v>0</v>
      </c>
      <c r="AO11" s="339">
        <f t="shared" si="15"/>
        <v>0</v>
      </c>
      <c r="AP11" s="339">
        <f t="shared" si="16"/>
        <v>0</v>
      </c>
      <c r="AQ11" s="339">
        <f t="shared" si="17"/>
        <v>0</v>
      </c>
      <c r="AR11" s="340">
        <f t="shared" si="18"/>
        <v>0</v>
      </c>
      <c r="AS11" s="338">
        <f>SUM(Tabla1[[#This Row],[COSTO OPERATIVO ACIDO]:[COSTO OPERATIVO CATIONICO]])</f>
        <v>0</v>
      </c>
      <c r="AT11" s="339">
        <v>5250</v>
      </c>
      <c r="AU11" s="341" t="e">
        <f t="shared" si="10"/>
        <v>#DIV/0!</v>
      </c>
    </row>
    <row r="12" spans="1:47" ht="14.95" thickBot="1" x14ac:dyDescent="0.3">
      <c r="A12" s="342">
        <f t="shared" ref="A12:A13" si="25">A11</f>
        <v>46026</v>
      </c>
      <c r="B12" s="99">
        <f>DAY(Tabla1[[#This Row],[FECHA]])</f>
        <v>4</v>
      </c>
      <c r="C12" s="343" t="s">
        <v>246</v>
      </c>
      <c r="D12" s="344">
        <v>11</v>
      </c>
      <c r="E12" s="344" t="s">
        <v>77</v>
      </c>
      <c r="F12" s="345">
        <v>1920</v>
      </c>
      <c r="G12" s="346">
        <v>1590</v>
      </c>
      <c r="H12" s="346">
        <v>1500</v>
      </c>
      <c r="I12" s="346">
        <v>240</v>
      </c>
      <c r="J12" s="346">
        <v>175</v>
      </c>
      <c r="K12" s="364">
        <v>16514</v>
      </c>
      <c r="L12" s="359">
        <v>0</v>
      </c>
      <c r="M12" s="360">
        <v>0</v>
      </c>
      <c r="N12" s="360">
        <f>+Tabla1[[#This Row],[CAUDAL DE TRATAMIENTO]]+$M$102</f>
        <v>8.4626865671641784</v>
      </c>
      <c r="O12" s="325">
        <f t="shared" si="20"/>
        <v>0</v>
      </c>
      <c r="P12" s="376">
        <f t="shared" si="22"/>
        <v>0</v>
      </c>
      <c r="Q12" s="325">
        <f t="shared" si="24"/>
        <v>0</v>
      </c>
      <c r="R12" s="325">
        <v>0</v>
      </c>
      <c r="S12" s="326">
        <v>0</v>
      </c>
      <c r="T12" s="333">
        <f t="shared" si="11"/>
        <v>0</v>
      </c>
      <c r="U12" s="334">
        <f t="shared" si="12"/>
        <v>0</v>
      </c>
      <c r="V12" s="334">
        <f t="shared" si="13"/>
        <v>0</v>
      </c>
      <c r="W12" s="347">
        <f>Tabla1[[#This Row],[CONSUMO POL ANIONICO (KG)]]</f>
        <v>0</v>
      </c>
      <c r="X12" s="326">
        <f>Tabla1[[#This Row],[CONSUMO POL CATIONICO (KG)]]</f>
        <v>0</v>
      </c>
      <c r="Y12" s="348" t="e">
        <f t="shared" si="4"/>
        <v>#DIV/0!</v>
      </c>
      <c r="Z12" s="347" t="e">
        <f t="shared" si="5"/>
        <v>#DIV/0!</v>
      </c>
      <c r="AA12" s="347" t="e">
        <f t="shared" si="6"/>
        <v>#DIV/0!</v>
      </c>
      <c r="AB12" s="347" t="e">
        <f t="shared" si="7"/>
        <v>#DIV/0!</v>
      </c>
      <c r="AC12" s="326" t="e">
        <f t="shared" si="8"/>
        <v>#DIV/0!</v>
      </c>
      <c r="AD12" s="335">
        <v>1.3</v>
      </c>
      <c r="AE12" s="335">
        <v>1.325</v>
      </c>
      <c r="AF12" s="335">
        <v>1.25</v>
      </c>
      <c r="AG12" s="336">
        <v>2500</v>
      </c>
      <c r="AH12" s="337">
        <v>2500</v>
      </c>
      <c r="AI12" s="100">
        <v>830</v>
      </c>
      <c r="AJ12" s="100">
        <v>2900</v>
      </c>
      <c r="AK12" s="100">
        <v>6295</v>
      </c>
      <c r="AL12" s="100">
        <v>19050</v>
      </c>
      <c r="AM12" s="100">
        <v>22050</v>
      </c>
      <c r="AN12" s="349">
        <f t="shared" si="14"/>
        <v>0</v>
      </c>
      <c r="AO12" s="341">
        <f t="shared" si="15"/>
        <v>0</v>
      </c>
      <c r="AP12" s="341">
        <f t="shared" si="16"/>
        <v>0</v>
      </c>
      <c r="AQ12" s="341">
        <f t="shared" si="17"/>
        <v>0</v>
      </c>
      <c r="AR12" s="350">
        <f t="shared" si="18"/>
        <v>0</v>
      </c>
      <c r="AS12" s="349">
        <f>SUM(Tabla1[[#This Row],[COSTO OPERATIVO ACIDO]:[COSTO OPERATIVO CATIONICO]])</f>
        <v>0</v>
      </c>
      <c r="AT12" s="341">
        <v>5250</v>
      </c>
      <c r="AU12" s="341" t="e">
        <f t="shared" si="10"/>
        <v>#DIV/0!</v>
      </c>
    </row>
    <row r="13" spans="1:47" ht="14.95" thickBot="1" x14ac:dyDescent="0.3">
      <c r="A13" s="351">
        <f t="shared" si="25"/>
        <v>46026</v>
      </c>
      <c r="B13" s="99">
        <f>DAY(Tabla1[[#This Row],[FECHA]])</f>
        <v>4</v>
      </c>
      <c r="C13" s="352" t="s">
        <v>30</v>
      </c>
      <c r="D13" s="353">
        <v>12</v>
      </c>
      <c r="E13" s="353" t="s">
        <v>76</v>
      </c>
      <c r="F13" s="345">
        <v>1920</v>
      </c>
      <c r="G13" s="346">
        <v>1590</v>
      </c>
      <c r="H13" s="346">
        <v>1500</v>
      </c>
      <c r="I13" s="346">
        <v>240</v>
      </c>
      <c r="J13" s="346">
        <v>175</v>
      </c>
      <c r="K13" s="365">
        <v>16514</v>
      </c>
      <c r="L13" s="366">
        <v>0</v>
      </c>
      <c r="M13" s="367">
        <v>0</v>
      </c>
      <c r="N13" s="367">
        <f>+Tabla1[[#This Row],[CAUDAL DE TRATAMIENTO]]+$M$102</f>
        <v>8.4626865671641784</v>
      </c>
      <c r="O13" s="327">
        <f t="shared" si="20"/>
        <v>0</v>
      </c>
      <c r="P13" s="377">
        <f t="shared" si="22"/>
        <v>0</v>
      </c>
      <c r="Q13" s="327">
        <f t="shared" si="24"/>
        <v>0</v>
      </c>
      <c r="R13" s="327">
        <v>0</v>
      </c>
      <c r="S13" s="328">
        <v>0</v>
      </c>
      <c r="T13" s="333">
        <f t="shared" si="11"/>
        <v>0</v>
      </c>
      <c r="U13" s="334">
        <f t="shared" si="12"/>
        <v>0</v>
      </c>
      <c r="V13" s="334">
        <f t="shared" si="13"/>
        <v>0</v>
      </c>
      <c r="W13" s="354">
        <f>Tabla1[[#This Row],[CONSUMO POL ANIONICO (KG)]]</f>
        <v>0</v>
      </c>
      <c r="X13" s="328">
        <f>Tabla1[[#This Row],[CONSUMO POL CATIONICO (KG)]]</f>
        <v>0</v>
      </c>
      <c r="Y13" s="348" t="e">
        <f t="shared" si="4"/>
        <v>#DIV/0!</v>
      </c>
      <c r="Z13" s="354" t="e">
        <f t="shared" si="5"/>
        <v>#DIV/0!</v>
      </c>
      <c r="AA13" s="354" t="e">
        <f t="shared" si="6"/>
        <v>#DIV/0!</v>
      </c>
      <c r="AB13" s="354" t="e">
        <f t="shared" si="7"/>
        <v>#DIV/0!</v>
      </c>
      <c r="AC13" s="328" t="e">
        <f t="shared" si="8"/>
        <v>#DIV/0!</v>
      </c>
      <c r="AD13" s="335">
        <v>1.3</v>
      </c>
      <c r="AE13" s="335">
        <v>1.325</v>
      </c>
      <c r="AF13" s="335">
        <v>1.25</v>
      </c>
      <c r="AG13" s="336">
        <v>2500</v>
      </c>
      <c r="AH13" s="337">
        <v>2500</v>
      </c>
      <c r="AI13" s="100">
        <v>830</v>
      </c>
      <c r="AJ13" s="100">
        <v>2900</v>
      </c>
      <c r="AK13" s="100">
        <v>6295</v>
      </c>
      <c r="AL13" s="100">
        <v>19050</v>
      </c>
      <c r="AM13" s="100">
        <v>22050</v>
      </c>
      <c r="AN13" s="349">
        <f t="shared" si="14"/>
        <v>0</v>
      </c>
      <c r="AO13" s="355">
        <f t="shared" si="15"/>
        <v>0</v>
      </c>
      <c r="AP13" s="355">
        <f t="shared" si="16"/>
        <v>0</v>
      </c>
      <c r="AQ13" s="355">
        <f t="shared" si="17"/>
        <v>0</v>
      </c>
      <c r="AR13" s="356">
        <f t="shared" si="18"/>
        <v>0</v>
      </c>
      <c r="AS13" s="349">
        <f>SUM(Tabla1[[#This Row],[COSTO OPERATIVO ACIDO]:[COSTO OPERATIVO CATIONICO]])</f>
        <v>0</v>
      </c>
      <c r="AT13" s="355">
        <v>5250</v>
      </c>
      <c r="AU13" s="341" t="e">
        <f t="shared" si="10"/>
        <v>#DIV/0!</v>
      </c>
    </row>
    <row r="14" spans="1:47" ht="14.95" thickBot="1" x14ac:dyDescent="0.3">
      <c r="A14" s="144">
        <v>46027</v>
      </c>
      <c r="B14" s="99">
        <f>DAY(Tabla1[[#This Row],[FECHA]])</f>
        <v>5</v>
      </c>
      <c r="C14" s="329" t="s">
        <v>247</v>
      </c>
      <c r="D14" s="330">
        <v>13</v>
      </c>
      <c r="E14" s="330" t="s">
        <v>75</v>
      </c>
      <c r="F14" s="331">
        <v>1920</v>
      </c>
      <c r="G14" s="332">
        <v>1590</v>
      </c>
      <c r="H14" s="332">
        <v>1500</v>
      </c>
      <c r="I14" s="332">
        <v>240</v>
      </c>
      <c r="J14" s="332">
        <v>175</v>
      </c>
      <c r="K14" s="361">
        <v>16514</v>
      </c>
      <c r="L14" s="362">
        <v>89.462686567164184</v>
      </c>
      <c r="M14" s="363">
        <v>81</v>
      </c>
      <c r="N14" s="363">
        <f>+Tabla1[[#This Row],[CAUDAL DE TRATAMIENTO]]+$M$102</f>
        <v>89.462686567164184</v>
      </c>
      <c r="O14" s="323">
        <f t="shared" si="20"/>
        <v>0</v>
      </c>
      <c r="P14" s="368">
        <f>G14-G15-100</f>
        <v>50</v>
      </c>
      <c r="Q14" s="323">
        <f t="shared" si="24"/>
        <v>0</v>
      </c>
      <c r="R14" s="323">
        <v>0</v>
      </c>
      <c r="S14" s="324">
        <v>0</v>
      </c>
      <c r="T14" s="333">
        <f t="shared" si="11"/>
        <v>0</v>
      </c>
      <c r="U14" s="334">
        <f t="shared" si="12"/>
        <v>66.25</v>
      </c>
      <c r="V14" s="334">
        <f t="shared" si="13"/>
        <v>0</v>
      </c>
      <c r="W14" s="334">
        <f>Tabla1[[#This Row],[CONSUMO POL ANIONICO (KG)]]</f>
        <v>0</v>
      </c>
      <c r="X14" s="324">
        <f>Tabla1[[#This Row],[CONSUMO POL CATIONICO (KG)]]</f>
        <v>0</v>
      </c>
      <c r="Y14" s="333">
        <f t="shared" si="4"/>
        <v>0</v>
      </c>
      <c r="Z14" s="334">
        <f t="shared" si="5"/>
        <v>740.53219886553211</v>
      </c>
      <c r="AA14" s="334">
        <f t="shared" si="6"/>
        <v>0</v>
      </c>
      <c r="AB14" s="334">
        <f t="shared" si="7"/>
        <v>0</v>
      </c>
      <c r="AC14" s="324">
        <f t="shared" si="8"/>
        <v>0</v>
      </c>
      <c r="AD14" s="335">
        <v>1.3</v>
      </c>
      <c r="AE14" s="335">
        <v>1.325</v>
      </c>
      <c r="AF14" s="335">
        <v>1.25</v>
      </c>
      <c r="AG14" s="336">
        <v>2500</v>
      </c>
      <c r="AH14" s="337">
        <v>2500</v>
      </c>
      <c r="AI14" s="100">
        <v>830</v>
      </c>
      <c r="AJ14" s="100">
        <v>2900</v>
      </c>
      <c r="AK14" s="100">
        <v>6295</v>
      </c>
      <c r="AL14" s="100">
        <v>19050</v>
      </c>
      <c r="AM14" s="100">
        <v>22050</v>
      </c>
      <c r="AN14" s="338">
        <f t="shared" si="14"/>
        <v>0</v>
      </c>
      <c r="AO14" s="339">
        <f t="shared" si="15"/>
        <v>192125</v>
      </c>
      <c r="AP14" s="339">
        <f t="shared" si="16"/>
        <v>0</v>
      </c>
      <c r="AQ14" s="339">
        <f t="shared" si="17"/>
        <v>0</v>
      </c>
      <c r="AR14" s="340">
        <f t="shared" si="18"/>
        <v>0</v>
      </c>
      <c r="AS14" s="338">
        <f>SUM(Tabla1[[#This Row],[COSTO OPERATIVO ACIDO]:[COSTO OPERATIVO CATIONICO]])</f>
        <v>192125</v>
      </c>
      <c r="AT14" s="339">
        <v>5250</v>
      </c>
      <c r="AU14" s="341">
        <f t="shared" si="10"/>
        <v>2147.543376710043</v>
      </c>
    </row>
    <row r="15" spans="1:47" ht="14.95" thickBot="1" x14ac:dyDescent="0.3">
      <c r="A15" s="342">
        <f t="shared" ref="A15:A16" si="26">A14</f>
        <v>46027</v>
      </c>
      <c r="B15" s="99">
        <f>DAY(Tabla1[[#This Row],[FECHA]])</f>
        <v>5</v>
      </c>
      <c r="C15" s="343" t="s">
        <v>248</v>
      </c>
      <c r="D15" s="344">
        <v>14</v>
      </c>
      <c r="E15" s="344" t="s">
        <v>77</v>
      </c>
      <c r="F15" s="345">
        <v>1920</v>
      </c>
      <c r="G15" s="346">
        <v>1440</v>
      </c>
      <c r="H15" s="346">
        <v>1500</v>
      </c>
      <c r="I15" s="346">
        <v>250</v>
      </c>
      <c r="J15" s="346">
        <v>170</v>
      </c>
      <c r="K15" s="364">
        <v>16515</v>
      </c>
      <c r="L15" s="359">
        <v>341.85074626865674</v>
      </c>
      <c r="M15" s="360">
        <v>77</v>
      </c>
      <c r="N15" s="360">
        <f>+Tabla1[[#This Row],[CAUDAL DE TRATAMIENTO]]+$M$102</f>
        <v>85.462686567164184</v>
      </c>
      <c r="O15" s="325">
        <f t="shared" si="20"/>
        <v>70</v>
      </c>
      <c r="P15" s="376">
        <f>G15-G16</f>
        <v>40</v>
      </c>
      <c r="Q15" s="325">
        <f t="shared" si="24"/>
        <v>50</v>
      </c>
      <c r="R15" s="325">
        <f t="shared" ref="R15:S18" si="27">I15-I16</f>
        <v>0</v>
      </c>
      <c r="S15" s="326">
        <f t="shared" si="27"/>
        <v>5</v>
      </c>
      <c r="T15" s="333">
        <f t="shared" si="11"/>
        <v>91</v>
      </c>
      <c r="U15" s="334">
        <f t="shared" si="12"/>
        <v>53</v>
      </c>
      <c r="V15" s="334">
        <f t="shared" si="13"/>
        <v>62.5</v>
      </c>
      <c r="W15" s="347">
        <f>Tabla1[[#This Row],[CONSUMO POL ANIONICO (KG)]]</f>
        <v>0</v>
      </c>
      <c r="X15" s="326">
        <f>Tabla1[[#This Row],[CONSUMO POL CATIONICO (KG)]]</f>
        <v>5</v>
      </c>
      <c r="Y15" s="348">
        <f t="shared" si="4"/>
        <v>266.19804400977995</v>
      </c>
      <c r="Z15" s="347">
        <f t="shared" si="5"/>
        <v>155.03842123646524</v>
      </c>
      <c r="AA15" s="347">
        <f t="shared" si="6"/>
        <v>182.82832692979392</v>
      </c>
      <c r="AB15" s="347">
        <f t="shared" si="7"/>
        <v>0</v>
      </c>
      <c r="AC15" s="326">
        <f t="shared" si="8"/>
        <v>14.626266154383513</v>
      </c>
      <c r="AD15" s="335">
        <v>1.3</v>
      </c>
      <c r="AE15" s="335">
        <v>1.325</v>
      </c>
      <c r="AF15" s="335">
        <v>1.25</v>
      </c>
      <c r="AG15" s="336">
        <v>2500</v>
      </c>
      <c r="AH15" s="337">
        <v>2500</v>
      </c>
      <c r="AI15" s="100">
        <v>830</v>
      </c>
      <c r="AJ15" s="100">
        <v>2900</v>
      </c>
      <c r="AK15" s="100">
        <v>6295</v>
      </c>
      <c r="AL15" s="100">
        <v>19050</v>
      </c>
      <c r="AM15" s="100">
        <v>22050</v>
      </c>
      <c r="AN15" s="349">
        <f t="shared" si="14"/>
        <v>75530</v>
      </c>
      <c r="AO15" s="341">
        <f t="shared" si="15"/>
        <v>153700</v>
      </c>
      <c r="AP15" s="341">
        <f t="shared" si="16"/>
        <v>393437.5</v>
      </c>
      <c r="AQ15" s="341">
        <f t="shared" si="17"/>
        <v>0</v>
      </c>
      <c r="AR15" s="350">
        <f t="shared" si="18"/>
        <v>110250</v>
      </c>
      <c r="AS15" s="349">
        <f>SUM(Tabla1[[#This Row],[COSTO OPERATIVO ACIDO]:[COSTO OPERATIVO CATIONICO]])</f>
        <v>732917.5</v>
      </c>
      <c r="AT15" s="341">
        <v>5250</v>
      </c>
      <c r="AU15" s="341">
        <f t="shared" si="10"/>
        <v>2143.9692848410755</v>
      </c>
    </row>
    <row r="16" spans="1:47" ht="14.95" thickBot="1" x14ac:dyDescent="0.3">
      <c r="A16" s="351">
        <f t="shared" si="26"/>
        <v>46027</v>
      </c>
      <c r="B16" s="99">
        <f>DAY(Tabla1[[#This Row],[FECHA]])</f>
        <v>5</v>
      </c>
      <c r="C16" s="352" t="s">
        <v>30</v>
      </c>
      <c r="D16" s="353">
        <v>15</v>
      </c>
      <c r="E16" s="353" t="s">
        <v>76</v>
      </c>
      <c r="F16" s="345">
        <v>1850</v>
      </c>
      <c r="G16" s="346">
        <v>1400</v>
      </c>
      <c r="H16" s="346">
        <v>1450</v>
      </c>
      <c r="I16" s="346">
        <v>250</v>
      </c>
      <c r="J16" s="346">
        <v>165</v>
      </c>
      <c r="K16" s="365">
        <v>16519</v>
      </c>
      <c r="L16" s="366">
        <v>437.31343283582089</v>
      </c>
      <c r="M16" s="367">
        <v>79</v>
      </c>
      <c r="N16" s="367">
        <f>+Tabla1[[#This Row],[CAUDAL DE TRATAMIENTO]]+$M$102</f>
        <v>87.462686567164184</v>
      </c>
      <c r="O16" s="378">
        <f>F16-F17-100</f>
        <v>40</v>
      </c>
      <c r="P16" s="377">
        <f>G16-G17</f>
        <v>100</v>
      </c>
      <c r="Q16" s="327">
        <f t="shared" si="24"/>
        <v>50</v>
      </c>
      <c r="R16" s="327">
        <f t="shared" si="27"/>
        <v>0</v>
      </c>
      <c r="S16" s="328">
        <f t="shared" si="27"/>
        <v>5</v>
      </c>
      <c r="T16" s="333">
        <f t="shared" si="11"/>
        <v>52</v>
      </c>
      <c r="U16" s="334">
        <f t="shared" si="12"/>
        <v>132.5</v>
      </c>
      <c r="V16" s="334">
        <f t="shared" si="13"/>
        <v>62.5</v>
      </c>
      <c r="W16" s="354">
        <f>Tabla1[[#This Row],[CONSUMO POL ANIONICO (KG)]]</f>
        <v>0</v>
      </c>
      <c r="X16" s="328">
        <f>Tabla1[[#This Row],[CONSUMO POL CATIONICO (KG)]]</f>
        <v>5</v>
      </c>
      <c r="Y16" s="348">
        <f t="shared" si="4"/>
        <v>118.90784982935153</v>
      </c>
      <c r="Z16" s="354">
        <f t="shared" si="5"/>
        <v>302.9863481228669</v>
      </c>
      <c r="AA16" s="354">
        <f t="shared" si="6"/>
        <v>142.91808873720137</v>
      </c>
      <c r="AB16" s="354">
        <f t="shared" si="7"/>
        <v>0</v>
      </c>
      <c r="AC16" s="328">
        <f t="shared" si="8"/>
        <v>11.43344709897611</v>
      </c>
      <c r="AD16" s="335">
        <v>1.3</v>
      </c>
      <c r="AE16" s="335">
        <v>1.325</v>
      </c>
      <c r="AF16" s="335">
        <v>1.25</v>
      </c>
      <c r="AG16" s="336">
        <v>2500</v>
      </c>
      <c r="AH16" s="337">
        <v>2500</v>
      </c>
      <c r="AI16" s="100">
        <v>830</v>
      </c>
      <c r="AJ16" s="100">
        <v>2900</v>
      </c>
      <c r="AK16" s="100">
        <v>6295</v>
      </c>
      <c r="AL16" s="100">
        <v>19050</v>
      </c>
      <c r="AM16" s="100">
        <v>22050</v>
      </c>
      <c r="AN16" s="349">
        <f t="shared" si="14"/>
        <v>43160</v>
      </c>
      <c r="AO16" s="355">
        <f t="shared" si="15"/>
        <v>384250</v>
      </c>
      <c r="AP16" s="355">
        <f t="shared" si="16"/>
        <v>393437.5</v>
      </c>
      <c r="AQ16" s="355">
        <f t="shared" si="17"/>
        <v>0</v>
      </c>
      <c r="AR16" s="356">
        <f t="shared" si="18"/>
        <v>110250</v>
      </c>
      <c r="AS16" s="349">
        <f>SUM(Tabla1[[#This Row],[COSTO OPERATIVO ACIDO]:[COSTO OPERATIVO CATIONICO]])</f>
        <v>931097.5</v>
      </c>
      <c r="AT16" s="355">
        <v>5250</v>
      </c>
      <c r="AU16" s="341">
        <f t="shared" si="10"/>
        <v>2129.1308020477818</v>
      </c>
    </row>
    <row r="17" spans="1:47" ht="14.95" thickBot="1" x14ac:dyDescent="0.3">
      <c r="A17" s="144">
        <v>46028</v>
      </c>
      <c r="B17" s="99">
        <f>DAY(Tabla1[[#This Row],[FECHA]])</f>
        <v>6</v>
      </c>
      <c r="C17" s="329" t="s">
        <v>249</v>
      </c>
      <c r="D17" s="330">
        <v>16</v>
      </c>
      <c r="E17" s="330" t="s">
        <v>75</v>
      </c>
      <c r="F17" s="331">
        <v>1710</v>
      </c>
      <c r="G17" s="332">
        <v>1300</v>
      </c>
      <c r="H17" s="332">
        <v>1400</v>
      </c>
      <c r="I17" s="332">
        <v>250</v>
      </c>
      <c r="J17" s="332">
        <v>160</v>
      </c>
      <c r="K17" s="361">
        <v>16524</v>
      </c>
      <c r="L17" s="362">
        <v>271.38805970149258</v>
      </c>
      <c r="M17" s="363">
        <v>82</v>
      </c>
      <c r="N17" s="363">
        <f>+Tabla1[[#This Row],[CAUDAL DE TRATAMIENTO]]+$M$102</f>
        <v>90.462686567164184</v>
      </c>
      <c r="O17" s="323">
        <f>F17-F18</f>
        <v>60</v>
      </c>
      <c r="P17" s="368">
        <f>G17-G18-150</f>
        <v>150</v>
      </c>
      <c r="Q17" s="323">
        <f t="shared" si="24"/>
        <v>30</v>
      </c>
      <c r="R17" s="323">
        <f t="shared" si="27"/>
        <v>5</v>
      </c>
      <c r="S17" s="324">
        <f t="shared" si="27"/>
        <v>5</v>
      </c>
      <c r="T17" s="333">
        <f t="shared" si="11"/>
        <v>78</v>
      </c>
      <c r="U17" s="334">
        <f t="shared" si="12"/>
        <v>198.75</v>
      </c>
      <c r="V17" s="334">
        <f t="shared" si="13"/>
        <v>37.5</v>
      </c>
      <c r="W17" s="334">
        <f>Tabla1[[#This Row],[CONSUMO POL ANIONICO (KG)]]</f>
        <v>5</v>
      </c>
      <c r="X17" s="324">
        <f>Tabla1[[#This Row],[CONSUMO POL CATIONICO (KG)]]</f>
        <v>5</v>
      </c>
      <c r="Y17" s="333">
        <f t="shared" si="4"/>
        <v>287.4113182643128</v>
      </c>
      <c r="Z17" s="334">
        <f t="shared" si="5"/>
        <v>732.34614750041237</v>
      </c>
      <c r="AA17" s="334">
        <f t="shared" si="6"/>
        <v>138.17851839630421</v>
      </c>
      <c r="AB17" s="334">
        <f t="shared" si="7"/>
        <v>18.423802452840562</v>
      </c>
      <c r="AC17" s="324">
        <f t="shared" si="8"/>
        <v>18.423802452840562</v>
      </c>
      <c r="AD17" s="335">
        <v>1.3</v>
      </c>
      <c r="AE17" s="335">
        <v>1.325</v>
      </c>
      <c r="AF17" s="335">
        <v>1.25</v>
      </c>
      <c r="AG17" s="336">
        <v>2500</v>
      </c>
      <c r="AH17" s="337">
        <v>2500</v>
      </c>
      <c r="AI17" s="100">
        <v>830</v>
      </c>
      <c r="AJ17" s="100">
        <v>2900</v>
      </c>
      <c r="AK17" s="100">
        <v>6295</v>
      </c>
      <c r="AL17" s="100">
        <v>19050</v>
      </c>
      <c r="AM17" s="100">
        <v>22050</v>
      </c>
      <c r="AN17" s="338">
        <f t="shared" si="14"/>
        <v>64740</v>
      </c>
      <c r="AO17" s="339">
        <f t="shared" si="15"/>
        <v>576375</v>
      </c>
      <c r="AP17" s="339">
        <f t="shared" si="16"/>
        <v>236062.5</v>
      </c>
      <c r="AQ17" s="339">
        <f t="shared" si="17"/>
        <v>95250</v>
      </c>
      <c r="AR17" s="340">
        <f t="shared" si="18"/>
        <v>110250</v>
      </c>
      <c r="AS17" s="338">
        <f>SUM(Tabla1[[#This Row],[COSTO OPERATIVO ACIDO]:[COSTO OPERATIVO CATIONICO]])</f>
        <v>1082677.5</v>
      </c>
      <c r="AT17" s="339">
        <v>5250</v>
      </c>
      <c r="AU17" s="341">
        <f t="shared" si="10"/>
        <v>3989.4072760270578</v>
      </c>
    </row>
    <row r="18" spans="1:47" ht="14.95" thickBot="1" x14ac:dyDescent="0.3">
      <c r="A18" s="342">
        <f t="shared" ref="A18:A19" si="28">A17</f>
        <v>46028</v>
      </c>
      <c r="B18" s="99">
        <f>DAY(Tabla1[[#This Row],[FECHA]])</f>
        <v>6</v>
      </c>
      <c r="C18" s="343" t="s">
        <v>250</v>
      </c>
      <c r="D18" s="344">
        <v>17</v>
      </c>
      <c r="E18" s="344" t="s">
        <v>77</v>
      </c>
      <c r="F18" s="345">
        <v>1650</v>
      </c>
      <c r="G18" s="346">
        <v>1000</v>
      </c>
      <c r="H18" s="346">
        <v>1370</v>
      </c>
      <c r="I18" s="346">
        <v>245</v>
      </c>
      <c r="J18" s="346">
        <v>155</v>
      </c>
      <c r="K18" s="364">
        <v>16527</v>
      </c>
      <c r="L18" s="359">
        <v>280.38805970149258</v>
      </c>
      <c r="M18" s="360">
        <v>85</v>
      </c>
      <c r="N18" s="360">
        <f>+Tabla1[[#This Row],[CAUDAL DE TRATAMIENTO]]+$M$102</f>
        <v>93.462686567164184</v>
      </c>
      <c r="O18" s="325">
        <f>F18-F19</f>
        <v>200</v>
      </c>
      <c r="P18" s="376">
        <f>G18-G19</f>
        <v>200</v>
      </c>
      <c r="Q18" s="325">
        <f t="shared" si="24"/>
        <v>90</v>
      </c>
      <c r="R18" s="325">
        <f t="shared" si="27"/>
        <v>0</v>
      </c>
      <c r="S18" s="326">
        <f t="shared" si="27"/>
        <v>0</v>
      </c>
      <c r="T18" s="333">
        <f t="shared" si="11"/>
        <v>260</v>
      </c>
      <c r="U18" s="334">
        <f t="shared" si="12"/>
        <v>265</v>
      </c>
      <c r="V18" s="334">
        <f t="shared" si="13"/>
        <v>112.5</v>
      </c>
      <c r="W18" s="347">
        <f>Tabla1[[#This Row],[CONSUMO POL ANIONICO (KG)]]</f>
        <v>0</v>
      </c>
      <c r="X18" s="326">
        <f>Tabla1[[#This Row],[CONSUMO POL CATIONICO (KG)]]</f>
        <v>0</v>
      </c>
      <c r="Y18" s="348">
        <f t="shared" si="4"/>
        <v>927.28627701479809</v>
      </c>
      <c r="Z18" s="347">
        <f t="shared" si="5"/>
        <v>945.11870541892881</v>
      </c>
      <c r="AA18" s="347">
        <f t="shared" si="6"/>
        <v>401.22963909294151</v>
      </c>
      <c r="AB18" s="347">
        <f t="shared" si="7"/>
        <v>0</v>
      </c>
      <c r="AC18" s="326">
        <f t="shared" si="8"/>
        <v>0</v>
      </c>
      <c r="AD18" s="335">
        <v>1.3</v>
      </c>
      <c r="AE18" s="335">
        <v>1.325</v>
      </c>
      <c r="AF18" s="335">
        <v>1.25</v>
      </c>
      <c r="AG18" s="336">
        <v>2500</v>
      </c>
      <c r="AH18" s="337">
        <v>2500</v>
      </c>
      <c r="AI18" s="100">
        <v>830</v>
      </c>
      <c r="AJ18" s="100">
        <v>2900</v>
      </c>
      <c r="AK18" s="100">
        <v>6295</v>
      </c>
      <c r="AL18" s="100">
        <v>19050</v>
      </c>
      <c r="AM18" s="100">
        <v>22050</v>
      </c>
      <c r="AN18" s="349">
        <f t="shared" si="14"/>
        <v>215800</v>
      </c>
      <c r="AO18" s="341">
        <f t="shared" si="15"/>
        <v>768500</v>
      </c>
      <c r="AP18" s="341">
        <f t="shared" si="16"/>
        <v>708187.5</v>
      </c>
      <c r="AQ18" s="341">
        <f t="shared" si="17"/>
        <v>0</v>
      </c>
      <c r="AR18" s="350">
        <f t="shared" si="18"/>
        <v>0</v>
      </c>
      <c r="AS18" s="349">
        <f>SUM(Tabla1[[#This Row],[COSTO OPERATIVO ACIDO]:[COSTO OPERATIVO CATIONICO]])</f>
        <v>1692487.5</v>
      </c>
      <c r="AT18" s="341">
        <v>5250</v>
      </c>
      <c r="AU18" s="341">
        <f t="shared" si="10"/>
        <v>6036.232433727243</v>
      </c>
    </row>
    <row r="19" spans="1:47" ht="14.95" thickBot="1" x14ac:dyDescent="0.3">
      <c r="A19" s="351">
        <f t="shared" si="28"/>
        <v>46028</v>
      </c>
      <c r="B19" s="99">
        <f>DAY(Tabla1[[#This Row],[FECHA]])</f>
        <v>6</v>
      </c>
      <c r="C19" s="352" t="s">
        <v>30</v>
      </c>
      <c r="D19" s="353">
        <v>18</v>
      </c>
      <c r="E19" s="353" t="s">
        <v>76</v>
      </c>
      <c r="F19" s="345">
        <v>1450</v>
      </c>
      <c r="G19" s="346">
        <v>800</v>
      </c>
      <c r="H19" s="346">
        <v>1280</v>
      </c>
      <c r="I19" s="346">
        <v>245</v>
      </c>
      <c r="J19" s="346">
        <v>155</v>
      </c>
      <c r="K19" s="365">
        <v>16530</v>
      </c>
      <c r="L19" s="366">
        <v>530.77611940298516</v>
      </c>
      <c r="M19" s="367">
        <v>80</v>
      </c>
      <c r="N19" s="367">
        <f>+Tabla1[[#This Row],[CAUDAL DE TRATAMIENTO]]+$M$102</f>
        <v>88.462686567164184</v>
      </c>
      <c r="O19" s="370">
        <f>F19-F20+3000</f>
        <v>160</v>
      </c>
      <c r="P19" s="322">
        <f>G19-G20+2000</f>
        <v>150</v>
      </c>
      <c r="Q19" s="327">
        <f t="shared" si="24"/>
        <v>80</v>
      </c>
      <c r="R19" s="327">
        <f t="shared" ref="R19:R51" si="29">I19-I20</f>
        <v>0</v>
      </c>
      <c r="S19" s="372">
        <f>J19-J20+25</f>
        <v>5</v>
      </c>
      <c r="T19" s="333">
        <f t="shared" si="11"/>
        <v>208</v>
      </c>
      <c r="U19" s="334">
        <f t="shared" si="12"/>
        <v>198.75</v>
      </c>
      <c r="V19" s="334">
        <f t="shared" si="13"/>
        <v>100</v>
      </c>
      <c r="W19" s="354">
        <f>Tabla1[[#This Row],[CONSUMO POL ANIONICO (KG)]]</f>
        <v>0</v>
      </c>
      <c r="X19" s="328">
        <f>Tabla1[[#This Row],[CONSUMO POL CATIONICO (KG)]]</f>
        <v>5</v>
      </c>
      <c r="Y19" s="348">
        <f t="shared" si="4"/>
        <v>391.87897193633648</v>
      </c>
      <c r="Z19" s="354">
        <f t="shared" si="5"/>
        <v>374.45166188628303</v>
      </c>
      <c r="AA19" s="354">
        <f t="shared" si="6"/>
        <v>188.40335189246946</v>
      </c>
      <c r="AB19" s="354">
        <f t="shared" si="7"/>
        <v>0</v>
      </c>
      <c r="AC19" s="328">
        <f t="shared" si="8"/>
        <v>9.4201675946234733</v>
      </c>
      <c r="AD19" s="335">
        <v>1.3</v>
      </c>
      <c r="AE19" s="335">
        <v>1.325</v>
      </c>
      <c r="AF19" s="335">
        <v>1.25</v>
      </c>
      <c r="AG19" s="336">
        <v>2500</v>
      </c>
      <c r="AH19" s="337">
        <v>2500</v>
      </c>
      <c r="AI19" s="100">
        <v>830</v>
      </c>
      <c r="AJ19" s="100">
        <v>2900</v>
      </c>
      <c r="AK19" s="100">
        <v>6295</v>
      </c>
      <c r="AL19" s="100">
        <v>19050</v>
      </c>
      <c r="AM19" s="100">
        <v>22050</v>
      </c>
      <c r="AN19" s="349">
        <f t="shared" si="14"/>
        <v>172640</v>
      </c>
      <c r="AO19" s="355">
        <f t="shared" si="15"/>
        <v>576375</v>
      </c>
      <c r="AP19" s="355">
        <f t="shared" si="16"/>
        <v>629500</v>
      </c>
      <c r="AQ19" s="355">
        <f t="shared" si="17"/>
        <v>0</v>
      </c>
      <c r="AR19" s="356">
        <f t="shared" si="18"/>
        <v>110250</v>
      </c>
      <c r="AS19" s="349">
        <f>SUM(Tabla1[[#This Row],[COSTO OPERATIVO ACIDO]:[COSTO OPERATIVO CATIONICO]])</f>
        <v>1488765</v>
      </c>
      <c r="AT19" s="355">
        <v>5250</v>
      </c>
      <c r="AU19" s="341">
        <f t="shared" si="10"/>
        <v>2804.8831618019231</v>
      </c>
    </row>
    <row r="20" spans="1:47" ht="14.95" thickBot="1" x14ac:dyDescent="0.3">
      <c r="A20" s="144">
        <v>46029</v>
      </c>
      <c r="B20" s="99">
        <f>DAY(Tabla1[[#This Row],[FECHA]])</f>
        <v>7</v>
      </c>
      <c r="C20" s="329" t="s">
        <v>251</v>
      </c>
      <c r="D20" s="330">
        <v>19</v>
      </c>
      <c r="E20" s="330" t="s">
        <v>75</v>
      </c>
      <c r="F20" s="331">
        <v>4290</v>
      </c>
      <c r="G20" s="332">
        <v>2650</v>
      </c>
      <c r="H20" s="332">
        <v>1200</v>
      </c>
      <c r="I20" s="332">
        <v>245</v>
      </c>
      <c r="J20" s="332">
        <v>175</v>
      </c>
      <c r="K20" s="361">
        <v>16536</v>
      </c>
      <c r="L20" s="362">
        <v>262.38805970149258</v>
      </c>
      <c r="M20" s="363">
        <v>79</v>
      </c>
      <c r="N20" s="363">
        <f>+Tabla1[[#This Row],[CAUDAL DE TRATAMIENTO]]+$M$102</f>
        <v>87.462686567164184</v>
      </c>
      <c r="O20" s="323">
        <f>F20-F21</f>
        <v>50</v>
      </c>
      <c r="P20" s="375">
        <f>G20-G21</f>
        <v>350</v>
      </c>
      <c r="Q20" s="323">
        <f t="shared" si="24"/>
        <v>50</v>
      </c>
      <c r="R20" s="323">
        <f t="shared" si="29"/>
        <v>5</v>
      </c>
      <c r="S20" s="324">
        <f t="shared" ref="S20:S51" si="30">J20-J21</f>
        <v>5</v>
      </c>
      <c r="T20" s="333">
        <f t="shared" si="11"/>
        <v>65</v>
      </c>
      <c r="U20" s="334">
        <f t="shared" si="12"/>
        <v>463.75</v>
      </c>
      <c r="V20" s="334">
        <f t="shared" si="13"/>
        <v>62.5</v>
      </c>
      <c r="W20" s="334">
        <f>Tabla1[[#This Row],[CONSUMO POL ANIONICO (KG)]]</f>
        <v>5</v>
      </c>
      <c r="X20" s="324">
        <f>Tabla1[[#This Row],[CONSUMO POL CATIONICO (KG)]]</f>
        <v>5</v>
      </c>
      <c r="Y20" s="333">
        <f t="shared" si="4"/>
        <v>247.72468714448232</v>
      </c>
      <c r="Z20" s="334">
        <f t="shared" si="5"/>
        <v>1767.4203640500566</v>
      </c>
      <c r="AA20" s="334">
        <f t="shared" si="6"/>
        <v>238.19681456200223</v>
      </c>
      <c r="AB20" s="334">
        <f t="shared" si="7"/>
        <v>19.055745164960179</v>
      </c>
      <c r="AC20" s="324">
        <f t="shared" si="8"/>
        <v>19.055745164960179</v>
      </c>
      <c r="AD20" s="335">
        <v>1.3</v>
      </c>
      <c r="AE20" s="335">
        <v>1.325</v>
      </c>
      <c r="AF20" s="335">
        <v>1.25</v>
      </c>
      <c r="AG20" s="336">
        <v>2500</v>
      </c>
      <c r="AH20" s="337">
        <v>2500</v>
      </c>
      <c r="AI20" s="100">
        <v>830</v>
      </c>
      <c r="AJ20" s="100">
        <v>2900</v>
      </c>
      <c r="AK20" s="100">
        <v>6295</v>
      </c>
      <c r="AL20" s="100">
        <v>19050</v>
      </c>
      <c r="AM20" s="100">
        <v>22050</v>
      </c>
      <c r="AN20" s="338">
        <f t="shared" si="14"/>
        <v>53950</v>
      </c>
      <c r="AO20" s="339">
        <f t="shared" si="15"/>
        <v>1344875</v>
      </c>
      <c r="AP20" s="339">
        <f t="shared" si="16"/>
        <v>393437.5</v>
      </c>
      <c r="AQ20" s="339">
        <f t="shared" si="17"/>
        <v>95250</v>
      </c>
      <c r="AR20" s="340">
        <f t="shared" si="18"/>
        <v>110250</v>
      </c>
      <c r="AS20" s="338">
        <f>SUM(Tabla1[[#This Row],[COSTO OPERATIVO ACIDO]:[COSTO OPERATIVO CATIONICO]])</f>
        <v>1997762.5</v>
      </c>
      <c r="AT20" s="339">
        <v>5250</v>
      </c>
      <c r="AU20" s="341">
        <f t="shared" si="10"/>
        <v>7613.7706200227522</v>
      </c>
    </row>
    <row r="21" spans="1:47" s="113" customFormat="1" ht="14.95" thickBot="1" x14ac:dyDescent="0.3">
      <c r="A21" s="342">
        <f t="shared" ref="A21:A22" si="31">A20</f>
        <v>46029</v>
      </c>
      <c r="B21" s="99">
        <f>DAY(Tabla1[[#This Row],[FECHA]])</f>
        <v>7</v>
      </c>
      <c r="C21" s="343" t="s">
        <v>252</v>
      </c>
      <c r="D21" s="344">
        <v>20</v>
      </c>
      <c r="E21" s="344" t="s">
        <v>77</v>
      </c>
      <c r="F21" s="345">
        <v>4240</v>
      </c>
      <c r="G21" s="346">
        <v>2300</v>
      </c>
      <c r="H21" s="346">
        <v>1150</v>
      </c>
      <c r="I21" s="346">
        <v>240</v>
      </c>
      <c r="J21" s="346">
        <v>170</v>
      </c>
      <c r="K21" s="364">
        <v>16539</v>
      </c>
      <c r="L21" s="359">
        <v>180.92537313432837</v>
      </c>
      <c r="M21" s="360">
        <v>82</v>
      </c>
      <c r="N21" s="360">
        <f>+Tabla1[[#This Row],[CAUDAL DE TRATAMIENTO]]+$M$102</f>
        <v>90.462686567164184</v>
      </c>
      <c r="O21" s="325">
        <f t="shared" ref="O21:O28" si="32">F21-F22</f>
        <v>90</v>
      </c>
      <c r="P21" s="321">
        <f>G21-G22-150</f>
        <v>150</v>
      </c>
      <c r="Q21" s="325">
        <f t="shared" si="24"/>
        <v>50</v>
      </c>
      <c r="R21" s="325">
        <f t="shared" si="29"/>
        <v>0</v>
      </c>
      <c r="S21" s="326">
        <f t="shared" si="30"/>
        <v>5</v>
      </c>
      <c r="T21" s="333">
        <f t="shared" si="11"/>
        <v>117</v>
      </c>
      <c r="U21" s="334">
        <f>(P21*$AE$2)</f>
        <v>198.75</v>
      </c>
      <c r="V21" s="334">
        <f t="shared" si="13"/>
        <v>62.5</v>
      </c>
      <c r="W21" s="347">
        <f>Tabla1[[#This Row],[CONSUMO POL ANIONICO (KG)]]</f>
        <v>0</v>
      </c>
      <c r="X21" s="326">
        <f>Tabla1[[#This Row],[CONSUMO POL CATIONICO (KG)]]</f>
        <v>5</v>
      </c>
      <c r="Y21" s="348">
        <f t="shared" si="4"/>
        <v>646.67546609470378</v>
      </c>
      <c r="Z21" s="347">
        <f t="shared" si="5"/>
        <v>1098.5192212506186</v>
      </c>
      <c r="AA21" s="347">
        <f t="shared" si="6"/>
        <v>345.44629599076058</v>
      </c>
      <c r="AB21" s="347">
        <f t="shared" si="7"/>
        <v>0</v>
      </c>
      <c r="AC21" s="326">
        <f t="shared" si="8"/>
        <v>27.635703679260846</v>
      </c>
      <c r="AD21" s="335">
        <v>1.3</v>
      </c>
      <c r="AE21" s="335">
        <v>1.325</v>
      </c>
      <c r="AF21" s="335">
        <v>1.25</v>
      </c>
      <c r="AG21" s="336">
        <v>2500</v>
      </c>
      <c r="AH21" s="337">
        <v>2500</v>
      </c>
      <c r="AI21" s="100">
        <v>830</v>
      </c>
      <c r="AJ21" s="100">
        <v>2900</v>
      </c>
      <c r="AK21" s="100">
        <v>6295</v>
      </c>
      <c r="AL21" s="100">
        <v>19050</v>
      </c>
      <c r="AM21" s="100">
        <v>22050</v>
      </c>
      <c r="AN21" s="349">
        <f t="shared" si="14"/>
        <v>97110</v>
      </c>
      <c r="AO21" s="341">
        <f t="shared" si="15"/>
        <v>576375</v>
      </c>
      <c r="AP21" s="341">
        <f t="shared" si="16"/>
        <v>393437.5</v>
      </c>
      <c r="AQ21" s="341">
        <f t="shared" si="17"/>
        <v>0</v>
      </c>
      <c r="AR21" s="350">
        <f t="shared" si="18"/>
        <v>110250</v>
      </c>
      <c r="AS21" s="349">
        <f>SUM(Tabla1[[#This Row],[COSTO OPERATIVO ACIDO]:[COSTO OPERATIVO CATIONICO]])</f>
        <v>1177172.5</v>
      </c>
      <c r="AT21" s="341">
        <v>5250</v>
      </c>
      <c r="AU21" s="341">
        <f t="shared" si="10"/>
        <v>6506.3980778749374</v>
      </c>
    </row>
    <row r="22" spans="1:47" s="113" customFormat="1" ht="14.95" thickBot="1" x14ac:dyDescent="0.3">
      <c r="A22" s="351">
        <f t="shared" si="31"/>
        <v>46029</v>
      </c>
      <c r="B22" s="99">
        <f>DAY(Tabla1[[#This Row],[FECHA]])</f>
        <v>7</v>
      </c>
      <c r="C22" s="352" t="s">
        <v>30</v>
      </c>
      <c r="D22" s="353">
        <v>21</v>
      </c>
      <c r="E22" s="353" t="s">
        <v>76</v>
      </c>
      <c r="F22" s="345">
        <v>4150</v>
      </c>
      <c r="G22" s="346">
        <v>2000</v>
      </c>
      <c r="H22" s="346">
        <v>1100</v>
      </c>
      <c r="I22" s="346">
        <v>240</v>
      </c>
      <c r="J22" s="346">
        <v>165</v>
      </c>
      <c r="K22" s="365">
        <v>16541</v>
      </c>
      <c r="L22" s="366">
        <v>432.31343283582089</v>
      </c>
      <c r="M22" s="367">
        <v>78</v>
      </c>
      <c r="N22" s="367">
        <f>+Tabla1[[#This Row],[CAUDAL DE TRATAMIENTO]]+$M$102</f>
        <v>86.462686567164184</v>
      </c>
      <c r="O22" s="327">
        <f t="shared" si="32"/>
        <v>120</v>
      </c>
      <c r="P22" s="371">
        <f>G22-G23+1000</f>
        <v>200</v>
      </c>
      <c r="Q22" s="327">
        <f t="shared" si="24"/>
        <v>40</v>
      </c>
      <c r="R22" s="327">
        <f t="shared" si="29"/>
        <v>0</v>
      </c>
      <c r="S22" s="328">
        <f t="shared" si="30"/>
        <v>5</v>
      </c>
      <c r="T22" s="333">
        <f t="shared" si="11"/>
        <v>156</v>
      </c>
      <c r="U22" s="334">
        <f t="shared" si="12"/>
        <v>265</v>
      </c>
      <c r="V22" s="334">
        <f t="shared" si="13"/>
        <v>50</v>
      </c>
      <c r="W22" s="354">
        <f>Tabla1[[#This Row],[CONSUMO POL ANIONICO (KG)]]</f>
        <v>0</v>
      </c>
      <c r="X22" s="328">
        <f>Tabla1[[#This Row],[CONSUMO POL CATIONICO (KG)]]</f>
        <v>5</v>
      </c>
      <c r="Y22" s="348">
        <f t="shared" si="4"/>
        <v>360.84930088037288</v>
      </c>
      <c r="Z22" s="354">
        <f t="shared" si="5"/>
        <v>612.98118418781291</v>
      </c>
      <c r="AA22" s="354">
        <f t="shared" si="6"/>
        <v>115.65682720524771</v>
      </c>
      <c r="AB22" s="354">
        <f t="shared" si="7"/>
        <v>0</v>
      </c>
      <c r="AC22" s="328">
        <f t="shared" si="8"/>
        <v>11.565682720524771</v>
      </c>
      <c r="AD22" s="335">
        <v>1.3</v>
      </c>
      <c r="AE22" s="335">
        <v>1.325</v>
      </c>
      <c r="AF22" s="335">
        <v>1.25</v>
      </c>
      <c r="AG22" s="336">
        <v>2500</v>
      </c>
      <c r="AH22" s="337">
        <v>2500</v>
      </c>
      <c r="AI22" s="100">
        <v>830</v>
      </c>
      <c r="AJ22" s="100">
        <v>2900</v>
      </c>
      <c r="AK22" s="100">
        <v>6295</v>
      </c>
      <c r="AL22" s="100">
        <v>19050</v>
      </c>
      <c r="AM22" s="100">
        <v>22050</v>
      </c>
      <c r="AN22" s="349">
        <f t="shared" si="14"/>
        <v>129480</v>
      </c>
      <c r="AO22" s="355">
        <f t="shared" si="15"/>
        <v>768500</v>
      </c>
      <c r="AP22" s="355">
        <f t="shared" si="16"/>
        <v>314750</v>
      </c>
      <c r="AQ22" s="355">
        <f t="shared" si="17"/>
        <v>0</v>
      </c>
      <c r="AR22" s="356">
        <f t="shared" si="18"/>
        <v>110250</v>
      </c>
      <c r="AS22" s="349">
        <f>SUM(Tabla1[[#This Row],[COSTO OPERATIVO ACIDO]:[COSTO OPERATIVO CATIONICO]])</f>
        <v>1322980</v>
      </c>
      <c r="AT22" s="355">
        <v>5250</v>
      </c>
      <c r="AU22" s="341">
        <f t="shared" si="10"/>
        <v>3060.2333851199724</v>
      </c>
    </row>
    <row r="23" spans="1:47" s="113" customFormat="1" ht="14.95" thickBot="1" x14ac:dyDescent="0.3">
      <c r="A23" s="144">
        <v>46030</v>
      </c>
      <c r="B23" s="99">
        <f>DAY(Tabla1[[#This Row],[FECHA]])</f>
        <v>8</v>
      </c>
      <c r="C23" s="329" t="s">
        <v>253</v>
      </c>
      <c r="D23" s="330">
        <v>22</v>
      </c>
      <c r="E23" s="330" t="s">
        <v>75</v>
      </c>
      <c r="F23" s="331">
        <v>4030</v>
      </c>
      <c r="G23" s="332">
        <v>2800</v>
      </c>
      <c r="H23" s="332">
        <v>1060</v>
      </c>
      <c r="I23" s="332">
        <v>240</v>
      </c>
      <c r="J23" s="332">
        <v>160</v>
      </c>
      <c r="K23" s="361">
        <v>16546</v>
      </c>
      <c r="L23" s="362">
        <v>217.38805970149255</v>
      </c>
      <c r="M23" s="363">
        <v>64</v>
      </c>
      <c r="N23" s="363">
        <f>+Tabla1[[#This Row],[CAUDAL DE TRATAMIENTO]]+$M$102</f>
        <v>72.462686567164184</v>
      </c>
      <c r="O23" s="323">
        <f t="shared" si="32"/>
        <v>80</v>
      </c>
      <c r="P23" s="375">
        <f>G23-G24</f>
        <v>260</v>
      </c>
      <c r="Q23" s="323">
        <f t="shared" si="24"/>
        <v>20</v>
      </c>
      <c r="R23" s="323">
        <f t="shared" si="29"/>
        <v>5</v>
      </c>
      <c r="S23" s="324">
        <f t="shared" si="30"/>
        <v>5</v>
      </c>
      <c r="T23" s="333">
        <f t="shared" si="11"/>
        <v>104</v>
      </c>
      <c r="U23" s="334">
        <f t="shared" si="12"/>
        <v>344.5</v>
      </c>
      <c r="V23" s="334">
        <f t="shared" si="13"/>
        <v>25</v>
      </c>
      <c r="W23" s="334">
        <f>Tabla1[[#This Row],[CONSUMO POL ANIONICO (KG)]]</f>
        <v>5</v>
      </c>
      <c r="X23" s="324">
        <f>Tabla1[[#This Row],[CONSUMO POL CATIONICO (KG)]]</f>
        <v>5</v>
      </c>
      <c r="Y23" s="333">
        <f t="shared" si="4"/>
        <v>478.40714040508067</v>
      </c>
      <c r="Z23" s="334">
        <f t="shared" si="5"/>
        <v>1584.7236525918297</v>
      </c>
      <c r="AA23" s="334">
        <f t="shared" si="6"/>
        <v>115.00171644352901</v>
      </c>
      <c r="AB23" s="334">
        <f t="shared" si="7"/>
        <v>23.0003432887058</v>
      </c>
      <c r="AC23" s="324">
        <f t="shared" si="8"/>
        <v>23.0003432887058</v>
      </c>
      <c r="AD23" s="335">
        <v>1.3</v>
      </c>
      <c r="AE23" s="335">
        <v>1.325</v>
      </c>
      <c r="AF23" s="335">
        <v>1.25</v>
      </c>
      <c r="AG23" s="336">
        <v>2500</v>
      </c>
      <c r="AH23" s="337">
        <v>2500</v>
      </c>
      <c r="AI23" s="100">
        <v>830</v>
      </c>
      <c r="AJ23" s="100">
        <v>2900</v>
      </c>
      <c r="AK23" s="100">
        <v>6295</v>
      </c>
      <c r="AL23" s="100">
        <v>19050</v>
      </c>
      <c r="AM23" s="100">
        <v>22050</v>
      </c>
      <c r="AN23" s="338">
        <f t="shared" si="14"/>
        <v>86320</v>
      </c>
      <c r="AO23" s="339">
        <f t="shared" si="15"/>
        <v>999050</v>
      </c>
      <c r="AP23" s="339">
        <f t="shared" si="16"/>
        <v>157375</v>
      </c>
      <c r="AQ23" s="339">
        <f t="shared" si="17"/>
        <v>95250</v>
      </c>
      <c r="AR23" s="340">
        <f t="shared" si="18"/>
        <v>110250</v>
      </c>
      <c r="AS23" s="338">
        <f>SUM(Tabla1[[#This Row],[COSTO OPERATIVO ACIDO]:[COSTO OPERATIVO CATIONICO]])</f>
        <v>1448245</v>
      </c>
      <c r="AT23" s="339">
        <v>5250</v>
      </c>
      <c r="AU23" s="341">
        <f t="shared" si="10"/>
        <v>6662.0264332303459</v>
      </c>
    </row>
    <row r="24" spans="1:47" s="113" customFormat="1" ht="14.95" thickBot="1" x14ac:dyDescent="0.3">
      <c r="A24" s="342">
        <f t="shared" ref="A24:A25" si="33">A23</f>
        <v>46030</v>
      </c>
      <c r="B24" s="99">
        <f>DAY(Tabla1[[#This Row],[FECHA]])</f>
        <v>8</v>
      </c>
      <c r="C24" s="343" t="s">
        <v>254</v>
      </c>
      <c r="D24" s="344">
        <v>23</v>
      </c>
      <c r="E24" s="344" t="s">
        <v>77</v>
      </c>
      <c r="F24" s="345">
        <v>3950</v>
      </c>
      <c r="G24" s="346">
        <v>2540</v>
      </c>
      <c r="H24" s="346">
        <v>1040</v>
      </c>
      <c r="I24" s="346">
        <v>235</v>
      </c>
      <c r="J24" s="346">
        <v>155</v>
      </c>
      <c r="K24" s="364">
        <v>16549</v>
      </c>
      <c r="L24" s="359">
        <v>305.85074626865674</v>
      </c>
      <c r="M24" s="360">
        <v>68</v>
      </c>
      <c r="N24" s="360">
        <f>+Tabla1[[#This Row],[CAUDAL DE TRATAMIENTO]]+$M$102</f>
        <v>76.462686567164184</v>
      </c>
      <c r="O24" s="325">
        <f t="shared" si="32"/>
        <v>220</v>
      </c>
      <c r="P24" s="376">
        <f>G24-G25</f>
        <v>100</v>
      </c>
      <c r="Q24" s="325">
        <f t="shared" si="24"/>
        <v>70</v>
      </c>
      <c r="R24" s="325">
        <f t="shared" si="29"/>
        <v>0</v>
      </c>
      <c r="S24" s="326">
        <f t="shared" si="30"/>
        <v>5</v>
      </c>
      <c r="T24" s="333">
        <f t="shared" si="11"/>
        <v>286</v>
      </c>
      <c r="U24" s="334">
        <f t="shared" si="12"/>
        <v>132.5</v>
      </c>
      <c r="V24" s="334">
        <f t="shared" si="13"/>
        <v>87.5</v>
      </c>
      <c r="W24" s="347">
        <f>Tabla1[[#This Row],[CONSUMO POL ANIONICO (KG)]]</f>
        <v>0</v>
      </c>
      <c r="X24" s="326">
        <f>Tabla1[[#This Row],[CONSUMO POL CATIONICO (KG)]]</f>
        <v>5</v>
      </c>
      <c r="Y24" s="348">
        <f t="shared" si="4"/>
        <v>935.09662307241842</v>
      </c>
      <c r="Z24" s="347">
        <f t="shared" si="5"/>
        <v>433.21784110872534</v>
      </c>
      <c r="AA24" s="347">
        <f t="shared" si="6"/>
        <v>286.08725356236579</v>
      </c>
      <c r="AB24" s="347">
        <f t="shared" si="7"/>
        <v>0</v>
      </c>
      <c r="AC24" s="326">
        <f t="shared" si="8"/>
        <v>16.347843060706616</v>
      </c>
      <c r="AD24" s="335">
        <v>1.3</v>
      </c>
      <c r="AE24" s="335">
        <v>1.325</v>
      </c>
      <c r="AF24" s="335">
        <v>1.25</v>
      </c>
      <c r="AG24" s="336">
        <v>2500</v>
      </c>
      <c r="AH24" s="337">
        <v>2500</v>
      </c>
      <c r="AI24" s="100">
        <v>830</v>
      </c>
      <c r="AJ24" s="100">
        <v>2900</v>
      </c>
      <c r="AK24" s="100">
        <v>6295</v>
      </c>
      <c r="AL24" s="100">
        <v>19050</v>
      </c>
      <c r="AM24" s="100">
        <v>22050</v>
      </c>
      <c r="AN24" s="349">
        <f t="shared" si="14"/>
        <v>237380</v>
      </c>
      <c r="AO24" s="341">
        <f t="shared" si="15"/>
        <v>384250</v>
      </c>
      <c r="AP24" s="341">
        <f t="shared" si="16"/>
        <v>550812.5</v>
      </c>
      <c r="AQ24" s="341">
        <f t="shared" si="17"/>
        <v>0</v>
      </c>
      <c r="AR24" s="350">
        <f t="shared" si="18"/>
        <v>110250</v>
      </c>
      <c r="AS24" s="349">
        <f>SUM(Tabla1[[#This Row],[COSTO OPERATIVO ACIDO]:[COSTO OPERATIVO CATIONICO]])</f>
        <v>1282692.5</v>
      </c>
      <c r="AT24" s="341">
        <v>5250</v>
      </c>
      <c r="AU24" s="341">
        <f t="shared" si="10"/>
        <v>4193.8511370290844</v>
      </c>
    </row>
    <row r="25" spans="1:47" s="113" customFormat="1" ht="14.95" thickBot="1" x14ac:dyDescent="0.3">
      <c r="A25" s="351">
        <f t="shared" si="33"/>
        <v>46030</v>
      </c>
      <c r="B25" s="99">
        <f>DAY(Tabla1[[#This Row],[FECHA]])</f>
        <v>8</v>
      </c>
      <c r="C25" s="352" t="s">
        <v>30</v>
      </c>
      <c r="D25" s="353">
        <v>24</v>
      </c>
      <c r="E25" s="353" t="s">
        <v>76</v>
      </c>
      <c r="F25" s="345">
        <v>3730</v>
      </c>
      <c r="G25" s="346">
        <v>2440</v>
      </c>
      <c r="H25" s="346">
        <v>970</v>
      </c>
      <c r="I25" s="346">
        <v>235</v>
      </c>
      <c r="J25" s="346">
        <v>150</v>
      </c>
      <c r="K25" s="365">
        <v>16553</v>
      </c>
      <c r="L25" s="366">
        <v>434.7761194029851</v>
      </c>
      <c r="M25" s="367">
        <v>64</v>
      </c>
      <c r="N25" s="367">
        <f>+Tabla1[[#This Row],[CAUDAL DE TRATAMIENTO]]+$M$102</f>
        <v>72.462686567164184</v>
      </c>
      <c r="O25" s="327">
        <f t="shared" si="32"/>
        <v>30</v>
      </c>
      <c r="P25" s="322">
        <f>G25-G26-150</f>
        <v>190</v>
      </c>
      <c r="Q25" s="327">
        <f t="shared" si="24"/>
        <v>70</v>
      </c>
      <c r="R25" s="327">
        <f t="shared" si="29"/>
        <v>0</v>
      </c>
      <c r="S25" s="328">
        <f t="shared" si="30"/>
        <v>5</v>
      </c>
      <c r="T25" s="333">
        <f t="shared" si="11"/>
        <v>39</v>
      </c>
      <c r="U25" s="334">
        <f t="shared" si="12"/>
        <v>251.75</v>
      </c>
      <c r="V25" s="334">
        <f t="shared" si="13"/>
        <v>87.5</v>
      </c>
      <c r="W25" s="354">
        <f>Tabla1[[#This Row],[CONSUMO POL ANIONICO (KG)]]</f>
        <v>0</v>
      </c>
      <c r="X25" s="328">
        <f>Tabla1[[#This Row],[CONSUMO POL CATIONICO (KG)]]</f>
        <v>5</v>
      </c>
      <c r="Y25" s="348">
        <f t="shared" si="4"/>
        <v>89.701338825952618</v>
      </c>
      <c r="Z25" s="354">
        <f t="shared" si="5"/>
        <v>579.03364229316855</v>
      </c>
      <c r="AA25" s="354">
        <f t="shared" si="6"/>
        <v>201.25300377617575</v>
      </c>
      <c r="AB25" s="354">
        <f t="shared" si="7"/>
        <v>0</v>
      </c>
      <c r="AC25" s="328">
        <f t="shared" si="8"/>
        <v>11.5001716443529</v>
      </c>
      <c r="AD25" s="335">
        <v>1.3</v>
      </c>
      <c r="AE25" s="335">
        <v>1.325</v>
      </c>
      <c r="AF25" s="335">
        <v>1.25</v>
      </c>
      <c r="AG25" s="336">
        <v>2500</v>
      </c>
      <c r="AH25" s="337">
        <v>2500</v>
      </c>
      <c r="AI25" s="100">
        <v>830</v>
      </c>
      <c r="AJ25" s="100">
        <v>2900</v>
      </c>
      <c r="AK25" s="100">
        <v>6295</v>
      </c>
      <c r="AL25" s="100">
        <v>19050</v>
      </c>
      <c r="AM25" s="100">
        <v>22050</v>
      </c>
      <c r="AN25" s="349">
        <f t="shared" si="14"/>
        <v>32370</v>
      </c>
      <c r="AO25" s="355">
        <f t="shared" si="15"/>
        <v>730075</v>
      </c>
      <c r="AP25" s="355">
        <f t="shared" si="16"/>
        <v>550812.5</v>
      </c>
      <c r="AQ25" s="355">
        <f t="shared" si="17"/>
        <v>0</v>
      </c>
      <c r="AR25" s="356">
        <f t="shared" si="18"/>
        <v>110250</v>
      </c>
      <c r="AS25" s="349">
        <f>SUM(Tabla1[[#This Row],[COSTO OPERATIVO ACIDO]:[COSTO OPERATIVO CATIONICO]])</f>
        <v>1423507.5</v>
      </c>
      <c r="AT25" s="355">
        <v>5250</v>
      </c>
      <c r="AU25" s="341">
        <f t="shared" si="10"/>
        <v>3274.116117404737</v>
      </c>
    </row>
    <row r="26" spans="1:47" s="113" customFormat="1" ht="14.95" thickBot="1" x14ac:dyDescent="0.3">
      <c r="A26" s="144">
        <v>46031</v>
      </c>
      <c r="B26" s="99">
        <f>DAY(Tabla1[[#This Row],[FECHA]])</f>
        <v>9</v>
      </c>
      <c r="C26" s="329" t="s">
        <v>255</v>
      </c>
      <c r="D26" s="330">
        <v>25</v>
      </c>
      <c r="E26" s="330" t="s">
        <v>75</v>
      </c>
      <c r="F26" s="331">
        <v>3700</v>
      </c>
      <c r="G26" s="332">
        <v>2100</v>
      </c>
      <c r="H26" s="332">
        <v>900</v>
      </c>
      <c r="I26" s="332">
        <v>235</v>
      </c>
      <c r="J26" s="332">
        <v>145</v>
      </c>
      <c r="K26" s="361">
        <v>16559</v>
      </c>
      <c r="L26" s="362">
        <v>235.38805970149255</v>
      </c>
      <c r="M26" s="363">
        <v>70</v>
      </c>
      <c r="N26" s="363">
        <f>+Tabla1[[#This Row],[CAUDAL DE TRATAMIENTO]]+$M$102</f>
        <v>78.462686567164184</v>
      </c>
      <c r="O26" s="323">
        <f t="shared" si="32"/>
        <v>60</v>
      </c>
      <c r="P26" s="375">
        <f>G26-G27</f>
        <v>180</v>
      </c>
      <c r="Q26" s="323">
        <f t="shared" si="24"/>
        <v>50</v>
      </c>
      <c r="R26" s="323">
        <f t="shared" si="29"/>
        <v>5</v>
      </c>
      <c r="S26" s="324">
        <f t="shared" si="30"/>
        <v>5</v>
      </c>
      <c r="T26" s="333">
        <f t="shared" si="11"/>
        <v>78</v>
      </c>
      <c r="U26" s="334">
        <f t="shared" si="12"/>
        <v>238.5</v>
      </c>
      <c r="V26" s="334">
        <f t="shared" si="13"/>
        <v>62.5</v>
      </c>
      <c r="W26" s="334">
        <f>Tabla1[[#This Row],[CONSUMO POL ANIONICO (KG)]]</f>
        <v>5</v>
      </c>
      <c r="X26" s="324">
        <f>Tabla1[[#This Row],[CONSUMO POL CATIONICO (KG)]]</f>
        <v>5</v>
      </c>
      <c r="Y26" s="333">
        <f t="shared" si="4"/>
        <v>331.36770020924479</v>
      </c>
      <c r="Z26" s="334">
        <f t="shared" si="5"/>
        <v>1013.2204679474985</v>
      </c>
      <c r="AA26" s="334">
        <f t="shared" si="6"/>
        <v>265.51899055227949</v>
      </c>
      <c r="AB26" s="334">
        <f t="shared" si="7"/>
        <v>21.24151924418236</v>
      </c>
      <c r="AC26" s="324">
        <f t="shared" si="8"/>
        <v>21.24151924418236</v>
      </c>
      <c r="AD26" s="335">
        <v>1.3</v>
      </c>
      <c r="AE26" s="335">
        <v>1.325</v>
      </c>
      <c r="AF26" s="335">
        <v>1.25</v>
      </c>
      <c r="AG26" s="336">
        <v>2500</v>
      </c>
      <c r="AH26" s="337">
        <v>2500</v>
      </c>
      <c r="AI26" s="100">
        <v>830</v>
      </c>
      <c r="AJ26" s="100">
        <v>2900</v>
      </c>
      <c r="AK26" s="100">
        <v>6295</v>
      </c>
      <c r="AL26" s="100">
        <v>19050</v>
      </c>
      <c r="AM26" s="100">
        <v>22050</v>
      </c>
      <c r="AN26" s="338">
        <f t="shared" si="14"/>
        <v>64740</v>
      </c>
      <c r="AO26" s="339">
        <f t="shared" si="15"/>
        <v>691650</v>
      </c>
      <c r="AP26" s="339">
        <f t="shared" si="16"/>
        <v>393437.5</v>
      </c>
      <c r="AQ26" s="339">
        <f t="shared" si="17"/>
        <v>95250</v>
      </c>
      <c r="AR26" s="340">
        <f t="shared" si="18"/>
        <v>110250</v>
      </c>
      <c r="AS26" s="338">
        <f>SUM(Tabla1[[#This Row],[COSTO OPERATIVO ACIDO]:[COSTO OPERATIVO CATIONICO]])</f>
        <v>1355327.5</v>
      </c>
      <c r="AT26" s="339">
        <v>5250</v>
      </c>
      <c r="AU26" s="341">
        <f t="shared" si="10"/>
        <v>5757.8430346839132</v>
      </c>
    </row>
    <row r="27" spans="1:47" s="369" customFormat="1" ht="14.95" thickBot="1" x14ac:dyDescent="0.3">
      <c r="A27" s="342">
        <f t="shared" ref="A27:A28" si="34">A26</f>
        <v>46031</v>
      </c>
      <c r="B27" s="99">
        <f>DAY(Tabla1[[#This Row],[FECHA]])</f>
        <v>9</v>
      </c>
      <c r="C27" s="343" t="s">
        <v>256</v>
      </c>
      <c r="D27" s="344">
        <v>26</v>
      </c>
      <c r="E27" s="344" t="s">
        <v>77</v>
      </c>
      <c r="F27" s="345">
        <v>3640</v>
      </c>
      <c r="G27" s="346">
        <v>1920</v>
      </c>
      <c r="H27" s="346">
        <v>850</v>
      </c>
      <c r="I27" s="346">
        <v>230</v>
      </c>
      <c r="J27" s="346">
        <v>140</v>
      </c>
      <c r="K27" s="364">
        <v>16562</v>
      </c>
      <c r="L27" s="359">
        <v>250.38805970149255</v>
      </c>
      <c r="M27" s="360">
        <v>75</v>
      </c>
      <c r="N27" s="360">
        <f>+Tabla1[[#This Row],[CAUDAL DE TRATAMIENTO]]+$M$102</f>
        <v>83.462686567164184</v>
      </c>
      <c r="O27" s="325">
        <f t="shared" si="32"/>
        <v>75</v>
      </c>
      <c r="P27" s="321">
        <f>G27-G28-150</f>
        <v>105</v>
      </c>
      <c r="Q27" s="325">
        <f t="shared" si="24"/>
        <v>70</v>
      </c>
      <c r="R27" s="325">
        <f t="shared" si="29"/>
        <v>0</v>
      </c>
      <c r="S27" s="326">
        <f t="shared" si="30"/>
        <v>5</v>
      </c>
      <c r="T27" s="333">
        <f t="shared" si="11"/>
        <v>97.5</v>
      </c>
      <c r="U27" s="334">
        <f t="shared" si="12"/>
        <v>139.125</v>
      </c>
      <c r="V27" s="334">
        <f t="shared" si="13"/>
        <v>87.5</v>
      </c>
      <c r="W27" s="347">
        <f>Tabla1[[#This Row],[CONSUMO POL ANIONICO (KG)]]</f>
        <v>0</v>
      </c>
      <c r="X27" s="326">
        <f>Tabla1[[#This Row],[CONSUMO POL CATIONICO (KG)]]</f>
        <v>5</v>
      </c>
      <c r="Y27" s="348">
        <f t="shared" si="4"/>
        <v>389.39556509298995</v>
      </c>
      <c r="Z27" s="347">
        <f t="shared" si="5"/>
        <v>555.63751788268951</v>
      </c>
      <c r="AA27" s="347">
        <f t="shared" si="6"/>
        <v>349.45755841678584</v>
      </c>
      <c r="AB27" s="347">
        <f t="shared" si="7"/>
        <v>0</v>
      </c>
      <c r="AC27" s="326">
        <f t="shared" si="8"/>
        <v>19.969003338102048</v>
      </c>
      <c r="AD27" s="335">
        <v>1.3</v>
      </c>
      <c r="AE27" s="335">
        <v>1.325</v>
      </c>
      <c r="AF27" s="335">
        <v>1.25</v>
      </c>
      <c r="AG27" s="336">
        <v>2500</v>
      </c>
      <c r="AH27" s="337">
        <v>2500</v>
      </c>
      <c r="AI27" s="100">
        <v>830</v>
      </c>
      <c r="AJ27" s="100">
        <v>2900</v>
      </c>
      <c r="AK27" s="100">
        <v>6295</v>
      </c>
      <c r="AL27" s="100">
        <v>19050</v>
      </c>
      <c r="AM27" s="100">
        <v>22050</v>
      </c>
      <c r="AN27" s="349">
        <f t="shared" si="14"/>
        <v>80925</v>
      </c>
      <c r="AO27" s="341">
        <f t="shared" si="15"/>
        <v>403462.5</v>
      </c>
      <c r="AP27" s="341">
        <f t="shared" si="16"/>
        <v>550812.5</v>
      </c>
      <c r="AQ27" s="341">
        <f t="shared" si="17"/>
        <v>0</v>
      </c>
      <c r="AR27" s="350">
        <f t="shared" si="18"/>
        <v>110250</v>
      </c>
      <c r="AS27" s="349">
        <f>SUM(Tabla1[[#This Row],[COSTO OPERATIVO ACIDO]:[COSTO OPERATIVO CATIONICO]])</f>
        <v>1145450</v>
      </c>
      <c r="AT27" s="341">
        <v>5250</v>
      </c>
      <c r="AU27" s="341">
        <f t="shared" si="10"/>
        <v>4574.6989747257985</v>
      </c>
    </row>
    <row r="28" spans="1:47" s="369" customFormat="1" ht="14.95" thickBot="1" x14ac:dyDescent="0.3">
      <c r="A28" s="351">
        <f t="shared" si="34"/>
        <v>46031</v>
      </c>
      <c r="B28" s="99">
        <f>DAY(Tabla1[[#This Row],[FECHA]])</f>
        <v>9</v>
      </c>
      <c r="C28" s="352" t="s">
        <v>30</v>
      </c>
      <c r="D28" s="353">
        <v>27</v>
      </c>
      <c r="E28" s="353" t="s">
        <v>76</v>
      </c>
      <c r="F28" s="345">
        <f>+AVERAGE(F27,F29)</f>
        <v>3565</v>
      </c>
      <c r="G28" s="346">
        <f>+AVERAGE(G27,G29)</f>
        <v>1665</v>
      </c>
      <c r="H28" s="346">
        <f>+AVERAGE(H27,H29)</f>
        <v>780</v>
      </c>
      <c r="I28" s="346">
        <v>230</v>
      </c>
      <c r="J28" s="346">
        <v>135</v>
      </c>
      <c r="K28" s="365">
        <v>16565</v>
      </c>
      <c r="L28" s="366">
        <v>488.7761194029851</v>
      </c>
      <c r="M28" s="367">
        <v>73</v>
      </c>
      <c r="N28" s="367">
        <f>+Tabla1[[#This Row],[CAUDAL DE TRATAMIENTO]]+$M$102</f>
        <v>81.462686567164184</v>
      </c>
      <c r="O28" s="327">
        <f t="shared" si="32"/>
        <v>75</v>
      </c>
      <c r="P28" s="377">
        <f t="shared" ref="P28:P37" si="35">G28-G29</f>
        <v>255</v>
      </c>
      <c r="Q28" s="327">
        <f t="shared" si="24"/>
        <v>70</v>
      </c>
      <c r="R28" s="327">
        <f t="shared" si="29"/>
        <v>0</v>
      </c>
      <c r="S28" s="328">
        <f t="shared" si="30"/>
        <v>5</v>
      </c>
      <c r="T28" s="333">
        <f t="shared" si="11"/>
        <v>97.5</v>
      </c>
      <c r="U28" s="334">
        <f t="shared" si="12"/>
        <v>337.875</v>
      </c>
      <c r="V28" s="334">
        <f t="shared" si="13"/>
        <v>87.5</v>
      </c>
      <c r="W28" s="354">
        <f>Tabla1[[#This Row],[CONSUMO POL ANIONICO (KG)]]</f>
        <v>0</v>
      </c>
      <c r="X28" s="328">
        <f>Tabla1[[#This Row],[CONSUMO POL CATIONICO (KG)]]</f>
        <v>5</v>
      </c>
      <c r="Y28" s="348">
        <f t="shared" si="4"/>
        <v>199.47783070721874</v>
      </c>
      <c r="Z28" s="354">
        <f t="shared" si="5"/>
        <v>691.26740564309262</v>
      </c>
      <c r="AA28" s="354">
        <f t="shared" si="6"/>
        <v>179.01856601929887</v>
      </c>
      <c r="AB28" s="354">
        <f t="shared" si="7"/>
        <v>0</v>
      </c>
      <c r="AC28" s="328">
        <f t="shared" si="8"/>
        <v>10.229632343959937</v>
      </c>
      <c r="AD28" s="335">
        <v>1.3</v>
      </c>
      <c r="AE28" s="335">
        <v>1.325</v>
      </c>
      <c r="AF28" s="335">
        <v>1.25</v>
      </c>
      <c r="AG28" s="336">
        <v>2500</v>
      </c>
      <c r="AH28" s="337">
        <v>2500</v>
      </c>
      <c r="AI28" s="100">
        <v>830</v>
      </c>
      <c r="AJ28" s="100">
        <v>2900</v>
      </c>
      <c r="AK28" s="100">
        <v>6295</v>
      </c>
      <c r="AL28" s="100">
        <v>19050</v>
      </c>
      <c r="AM28" s="100">
        <v>22050</v>
      </c>
      <c r="AN28" s="349">
        <f t="shared" si="14"/>
        <v>80925</v>
      </c>
      <c r="AO28" s="355">
        <f t="shared" si="15"/>
        <v>979837.5</v>
      </c>
      <c r="AP28" s="355">
        <f t="shared" si="16"/>
        <v>550812.5</v>
      </c>
      <c r="AQ28" s="355">
        <f t="shared" si="17"/>
        <v>0</v>
      </c>
      <c r="AR28" s="356">
        <f t="shared" si="18"/>
        <v>110250</v>
      </c>
      <c r="AS28" s="349">
        <f>SUM(Tabla1[[#This Row],[COSTO OPERATIVO ACIDO]:[COSTO OPERATIVO CATIONICO]])</f>
        <v>1721825</v>
      </c>
      <c r="AT28" s="355">
        <v>5250</v>
      </c>
      <c r="AU28" s="341">
        <f t="shared" si="10"/>
        <v>3522.7273421277632</v>
      </c>
    </row>
    <row r="29" spans="1:47" s="369" customFormat="1" ht="14.95" thickBot="1" x14ac:dyDescent="0.3">
      <c r="A29" s="144">
        <v>46032</v>
      </c>
      <c r="B29" s="99">
        <f>DAY(Tabla1[[#This Row],[FECHA]])</f>
        <v>10</v>
      </c>
      <c r="C29" s="329" t="s">
        <v>257</v>
      </c>
      <c r="D29" s="330">
        <v>28</v>
      </c>
      <c r="E29" s="330" t="s">
        <v>75</v>
      </c>
      <c r="F29" s="331">
        <v>3490</v>
      </c>
      <c r="G29" s="332">
        <v>1410</v>
      </c>
      <c r="H29" s="332">
        <v>710</v>
      </c>
      <c r="I29" s="332">
        <v>230</v>
      </c>
      <c r="J29" s="332">
        <v>130</v>
      </c>
      <c r="K29" s="361">
        <v>16571</v>
      </c>
      <c r="L29" s="362">
        <v>417.31343283582089</v>
      </c>
      <c r="M29" s="363">
        <v>75</v>
      </c>
      <c r="N29" s="363">
        <f>+Tabla1[[#This Row],[CAUDAL DE TRATAMIENTO]]+$M$102</f>
        <v>83.462686567164184</v>
      </c>
      <c r="O29" s="379">
        <f>F29-F30-100</f>
        <v>40</v>
      </c>
      <c r="P29" s="375">
        <f t="shared" si="35"/>
        <v>160</v>
      </c>
      <c r="Q29" s="323">
        <f t="shared" si="24"/>
        <v>80</v>
      </c>
      <c r="R29" s="323">
        <f t="shared" si="29"/>
        <v>5</v>
      </c>
      <c r="S29" s="324">
        <f t="shared" si="30"/>
        <v>5</v>
      </c>
      <c r="T29" s="333">
        <f t="shared" si="11"/>
        <v>52</v>
      </c>
      <c r="U29" s="334">
        <f t="shared" si="12"/>
        <v>212</v>
      </c>
      <c r="V29" s="334">
        <f t="shared" si="13"/>
        <v>100</v>
      </c>
      <c r="W29" s="334">
        <f>Tabla1[[#This Row],[CONSUMO POL ANIONICO (KG)]]</f>
        <v>5</v>
      </c>
      <c r="X29" s="324">
        <f>Tabla1[[#This Row],[CONSUMO POL CATIONICO (KG)]]</f>
        <v>5</v>
      </c>
      <c r="Y29" s="333">
        <f t="shared" si="4"/>
        <v>124.60658082975679</v>
      </c>
      <c r="Z29" s="334">
        <f t="shared" si="5"/>
        <v>508.01144492131618</v>
      </c>
      <c r="AA29" s="334">
        <f t="shared" si="6"/>
        <v>239.62804005722461</v>
      </c>
      <c r="AB29" s="334">
        <f t="shared" si="7"/>
        <v>11.98140200286123</v>
      </c>
      <c r="AC29" s="324">
        <f t="shared" si="8"/>
        <v>11.98140200286123</v>
      </c>
      <c r="AD29" s="335">
        <v>1.3</v>
      </c>
      <c r="AE29" s="335">
        <v>1.325</v>
      </c>
      <c r="AF29" s="335">
        <v>1.25</v>
      </c>
      <c r="AG29" s="336">
        <v>2500</v>
      </c>
      <c r="AH29" s="337">
        <v>2500</v>
      </c>
      <c r="AI29" s="100">
        <v>830</v>
      </c>
      <c r="AJ29" s="100">
        <v>2900</v>
      </c>
      <c r="AK29" s="100">
        <v>6295</v>
      </c>
      <c r="AL29" s="100">
        <v>19050</v>
      </c>
      <c r="AM29" s="100">
        <v>22050</v>
      </c>
      <c r="AN29" s="338">
        <f t="shared" si="14"/>
        <v>43160</v>
      </c>
      <c r="AO29" s="339">
        <f t="shared" si="15"/>
        <v>614800</v>
      </c>
      <c r="AP29" s="339">
        <f t="shared" si="16"/>
        <v>629500</v>
      </c>
      <c r="AQ29" s="339">
        <f t="shared" si="17"/>
        <v>95250</v>
      </c>
      <c r="AR29" s="340">
        <f t="shared" si="18"/>
        <v>110250</v>
      </c>
      <c r="AS29" s="338">
        <f>SUM(Tabla1[[#This Row],[COSTO OPERATIVO ACIDO]:[COSTO OPERATIVO CATIONICO]])</f>
        <v>1492960</v>
      </c>
      <c r="AT29" s="339">
        <v>5250</v>
      </c>
      <c r="AU29" s="341">
        <f t="shared" si="10"/>
        <v>3577.5507868383406</v>
      </c>
    </row>
    <row r="30" spans="1:47" s="369" customFormat="1" ht="14.95" thickBot="1" x14ac:dyDescent="0.3">
      <c r="A30" s="342">
        <f t="shared" ref="A30:A31" si="36">A29</f>
        <v>46032</v>
      </c>
      <c r="B30" s="99">
        <f>DAY(Tabla1[[#This Row],[FECHA]])</f>
        <v>10</v>
      </c>
      <c r="C30" s="343" t="s">
        <v>258</v>
      </c>
      <c r="D30" s="344">
        <v>29</v>
      </c>
      <c r="E30" s="344" t="s">
        <v>77</v>
      </c>
      <c r="F30" s="345">
        <v>3350</v>
      </c>
      <c r="G30" s="346">
        <v>1250</v>
      </c>
      <c r="H30" s="346">
        <v>630</v>
      </c>
      <c r="I30" s="346">
        <v>225</v>
      </c>
      <c r="J30" s="346">
        <v>125</v>
      </c>
      <c r="K30" s="364">
        <v>16576</v>
      </c>
      <c r="L30" s="359">
        <v>176.92537313432837</v>
      </c>
      <c r="M30" s="360">
        <v>80</v>
      </c>
      <c r="N30" s="360">
        <f>+Tabla1[[#This Row],[CAUDAL DE TRATAMIENTO]]+$M$102</f>
        <v>88.462686567164184</v>
      </c>
      <c r="O30" s="325">
        <f t="shared" ref="O30:O39" si="37">F30-F31</f>
        <v>0</v>
      </c>
      <c r="P30" s="376">
        <f t="shared" si="35"/>
        <v>0</v>
      </c>
      <c r="Q30" s="325">
        <f t="shared" si="24"/>
        <v>0</v>
      </c>
      <c r="R30" s="325">
        <f t="shared" si="29"/>
        <v>0</v>
      </c>
      <c r="S30" s="326">
        <f t="shared" si="30"/>
        <v>0</v>
      </c>
      <c r="T30" s="333">
        <f t="shared" si="11"/>
        <v>0</v>
      </c>
      <c r="U30" s="334">
        <f t="shared" si="12"/>
        <v>0</v>
      </c>
      <c r="V30" s="334">
        <f t="shared" si="13"/>
        <v>0</v>
      </c>
      <c r="W30" s="347">
        <f>Tabla1[[#This Row],[CONSUMO POL ANIONICO (KG)]]</f>
        <v>0</v>
      </c>
      <c r="X30" s="326">
        <f>Tabla1[[#This Row],[CONSUMO POL CATIONICO (KG)]]</f>
        <v>0</v>
      </c>
      <c r="Y30" s="348">
        <f t="shared" si="4"/>
        <v>0</v>
      </c>
      <c r="Z30" s="347">
        <f t="shared" si="5"/>
        <v>0</v>
      </c>
      <c r="AA30" s="347">
        <f t="shared" si="6"/>
        <v>0</v>
      </c>
      <c r="AB30" s="347">
        <f t="shared" si="7"/>
        <v>0</v>
      </c>
      <c r="AC30" s="326">
        <f t="shared" si="8"/>
        <v>0</v>
      </c>
      <c r="AD30" s="335">
        <v>1.3</v>
      </c>
      <c r="AE30" s="335">
        <v>1.325</v>
      </c>
      <c r="AF30" s="335">
        <v>1.25</v>
      </c>
      <c r="AG30" s="336">
        <v>2500</v>
      </c>
      <c r="AH30" s="337">
        <v>2500</v>
      </c>
      <c r="AI30" s="100">
        <v>830</v>
      </c>
      <c r="AJ30" s="100">
        <v>2900</v>
      </c>
      <c r="AK30" s="100">
        <v>6295</v>
      </c>
      <c r="AL30" s="100">
        <v>19050</v>
      </c>
      <c r="AM30" s="100">
        <v>22050</v>
      </c>
      <c r="AN30" s="349">
        <f t="shared" si="14"/>
        <v>0</v>
      </c>
      <c r="AO30" s="341">
        <f t="shared" si="15"/>
        <v>0</v>
      </c>
      <c r="AP30" s="341">
        <f t="shared" si="16"/>
        <v>0</v>
      </c>
      <c r="AQ30" s="341">
        <f t="shared" si="17"/>
        <v>0</v>
      </c>
      <c r="AR30" s="350">
        <f t="shared" si="18"/>
        <v>0</v>
      </c>
      <c r="AS30" s="349">
        <f>SUM(Tabla1[[#This Row],[COSTO OPERATIVO ACIDO]:[COSTO OPERATIVO CATIONICO]])</f>
        <v>0</v>
      </c>
      <c r="AT30" s="341">
        <v>5250</v>
      </c>
      <c r="AU30" s="341">
        <f t="shared" si="10"/>
        <v>0</v>
      </c>
    </row>
    <row r="31" spans="1:47" s="369" customFormat="1" ht="14.95" thickBot="1" x14ac:dyDescent="0.3">
      <c r="A31" s="351">
        <f t="shared" si="36"/>
        <v>46032</v>
      </c>
      <c r="B31" s="99">
        <f>DAY(Tabla1[[#This Row],[FECHA]])</f>
        <v>10</v>
      </c>
      <c r="C31" s="352" t="s">
        <v>30</v>
      </c>
      <c r="D31" s="353">
        <v>30</v>
      </c>
      <c r="E31" s="353" t="s">
        <v>76</v>
      </c>
      <c r="F31" s="345">
        <v>3350</v>
      </c>
      <c r="G31" s="346">
        <v>1250</v>
      </c>
      <c r="H31" s="346">
        <v>630</v>
      </c>
      <c r="I31" s="346">
        <v>225</v>
      </c>
      <c r="J31" s="346">
        <v>125</v>
      </c>
      <c r="K31" s="365">
        <v>16578</v>
      </c>
      <c r="L31" s="366">
        <v>0</v>
      </c>
      <c r="M31" s="367">
        <v>0</v>
      </c>
      <c r="N31" s="367">
        <f>+Tabla1[[#This Row],[CAUDAL DE TRATAMIENTO]]+$M$102</f>
        <v>8.4626865671641784</v>
      </c>
      <c r="O31" s="327">
        <f t="shared" si="37"/>
        <v>0</v>
      </c>
      <c r="P31" s="377">
        <f t="shared" si="35"/>
        <v>0</v>
      </c>
      <c r="Q31" s="327">
        <f t="shared" si="24"/>
        <v>0</v>
      </c>
      <c r="R31" s="327">
        <f t="shared" si="29"/>
        <v>0</v>
      </c>
      <c r="S31" s="328">
        <f t="shared" si="30"/>
        <v>0</v>
      </c>
      <c r="T31" s="333">
        <f t="shared" si="11"/>
        <v>0</v>
      </c>
      <c r="U31" s="334">
        <f t="shared" si="12"/>
        <v>0</v>
      </c>
      <c r="V31" s="334">
        <f t="shared" si="13"/>
        <v>0</v>
      </c>
      <c r="W31" s="354">
        <f>Tabla1[[#This Row],[CONSUMO POL ANIONICO (KG)]]</f>
        <v>0</v>
      </c>
      <c r="X31" s="328">
        <f>Tabla1[[#This Row],[CONSUMO POL CATIONICO (KG)]]</f>
        <v>0</v>
      </c>
      <c r="Y31" s="348" t="e">
        <f t="shared" si="4"/>
        <v>#DIV/0!</v>
      </c>
      <c r="Z31" s="354" t="e">
        <f t="shared" si="5"/>
        <v>#DIV/0!</v>
      </c>
      <c r="AA31" s="354" t="e">
        <f t="shared" si="6"/>
        <v>#DIV/0!</v>
      </c>
      <c r="AB31" s="354" t="e">
        <f t="shared" si="7"/>
        <v>#DIV/0!</v>
      </c>
      <c r="AC31" s="328" t="e">
        <f t="shared" si="8"/>
        <v>#DIV/0!</v>
      </c>
      <c r="AD31" s="335">
        <v>1.3</v>
      </c>
      <c r="AE31" s="335">
        <v>1.325</v>
      </c>
      <c r="AF31" s="335">
        <v>1.25</v>
      </c>
      <c r="AG31" s="336">
        <v>2500</v>
      </c>
      <c r="AH31" s="337">
        <v>2500</v>
      </c>
      <c r="AI31" s="100">
        <v>830</v>
      </c>
      <c r="AJ31" s="100">
        <v>2900</v>
      </c>
      <c r="AK31" s="100">
        <v>6295</v>
      </c>
      <c r="AL31" s="100">
        <v>19050</v>
      </c>
      <c r="AM31" s="100">
        <v>22050</v>
      </c>
      <c r="AN31" s="349">
        <f t="shared" si="14"/>
        <v>0</v>
      </c>
      <c r="AO31" s="355">
        <f t="shared" si="15"/>
        <v>0</v>
      </c>
      <c r="AP31" s="355">
        <f t="shared" si="16"/>
        <v>0</v>
      </c>
      <c r="AQ31" s="355">
        <f t="shared" si="17"/>
        <v>0</v>
      </c>
      <c r="AR31" s="356">
        <f t="shared" si="18"/>
        <v>0</v>
      </c>
      <c r="AS31" s="349">
        <f>SUM(Tabla1[[#This Row],[COSTO OPERATIVO ACIDO]:[COSTO OPERATIVO CATIONICO]])</f>
        <v>0</v>
      </c>
      <c r="AT31" s="355">
        <v>5250</v>
      </c>
      <c r="AU31" s="341" t="e">
        <f t="shared" si="10"/>
        <v>#DIV/0!</v>
      </c>
    </row>
    <row r="32" spans="1:47" s="369" customFormat="1" ht="14.95" thickBot="1" x14ac:dyDescent="0.3">
      <c r="A32" s="144">
        <v>46033</v>
      </c>
      <c r="B32" s="99">
        <f>DAY(Tabla1[[#This Row],[FECHA]])</f>
        <v>11</v>
      </c>
      <c r="C32" s="329" t="s">
        <v>259</v>
      </c>
      <c r="D32" s="330">
        <v>31</v>
      </c>
      <c r="E32" s="330" t="s">
        <v>75</v>
      </c>
      <c r="F32" s="331">
        <v>3350</v>
      </c>
      <c r="G32" s="332">
        <v>1250</v>
      </c>
      <c r="H32" s="332">
        <v>630</v>
      </c>
      <c r="I32" s="332">
        <v>225</v>
      </c>
      <c r="J32" s="332">
        <v>125</v>
      </c>
      <c r="K32" s="361">
        <v>16578</v>
      </c>
      <c r="L32" s="362">
        <v>0</v>
      </c>
      <c r="M32" s="363">
        <v>0</v>
      </c>
      <c r="N32" s="363">
        <f>+Tabla1[[#This Row],[CAUDAL DE TRATAMIENTO]]+$M$102</f>
        <v>8.4626865671641784</v>
      </c>
      <c r="O32" s="323">
        <f t="shared" si="37"/>
        <v>0</v>
      </c>
      <c r="P32" s="375">
        <f t="shared" si="35"/>
        <v>0</v>
      </c>
      <c r="Q32" s="323">
        <f t="shared" si="24"/>
        <v>0</v>
      </c>
      <c r="R32" s="323">
        <f t="shared" si="29"/>
        <v>0</v>
      </c>
      <c r="S32" s="324">
        <f t="shared" si="30"/>
        <v>0</v>
      </c>
      <c r="T32" s="333">
        <f t="shared" si="11"/>
        <v>0</v>
      </c>
      <c r="U32" s="334">
        <f t="shared" si="12"/>
        <v>0</v>
      </c>
      <c r="V32" s="334">
        <f t="shared" si="13"/>
        <v>0</v>
      </c>
      <c r="W32" s="334">
        <f>Tabla1[[#This Row],[CONSUMO POL ANIONICO (KG)]]</f>
        <v>0</v>
      </c>
      <c r="X32" s="324">
        <f>Tabla1[[#This Row],[CONSUMO POL CATIONICO (KG)]]</f>
        <v>0</v>
      </c>
      <c r="Y32" s="333" t="e">
        <f t="shared" si="4"/>
        <v>#DIV/0!</v>
      </c>
      <c r="Z32" s="334" t="e">
        <f t="shared" si="5"/>
        <v>#DIV/0!</v>
      </c>
      <c r="AA32" s="334" t="e">
        <f t="shared" si="6"/>
        <v>#DIV/0!</v>
      </c>
      <c r="AB32" s="334" t="e">
        <f t="shared" si="7"/>
        <v>#DIV/0!</v>
      </c>
      <c r="AC32" s="324" t="e">
        <f t="shared" si="8"/>
        <v>#DIV/0!</v>
      </c>
      <c r="AD32" s="335">
        <v>1.3</v>
      </c>
      <c r="AE32" s="335">
        <v>1.325</v>
      </c>
      <c r="AF32" s="335">
        <v>1.25</v>
      </c>
      <c r="AG32" s="336">
        <v>2500</v>
      </c>
      <c r="AH32" s="337">
        <v>2500</v>
      </c>
      <c r="AI32" s="100">
        <v>830</v>
      </c>
      <c r="AJ32" s="100">
        <v>2900</v>
      </c>
      <c r="AK32" s="100">
        <v>6295</v>
      </c>
      <c r="AL32" s="100">
        <v>19050</v>
      </c>
      <c r="AM32" s="100">
        <v>22050</v>
      </c>
      <c r="AN32" s="338">
        <f t="shared" si="14"/>
        <v>0</v>
      </c>
      <c r="AO32" s="339">
        <f t="shared" si="15"/>
        <v>0</v>
      </c>
      <c r="AP32" s="339">
        <f t="shared" si="16"/>
        <v>0</v>
      </c>
      <c r="AQ32" s="339">
        <f t="shared" si="17"/>
        <v>0</v>
      </c>
      <c r="AR32" s="340">
        <f t="shared" si="18"/>
        <v>0</v>
      </c>
      <c r="AS32" s="338">
        <f>SUM(Tabla1[[#This Row],[COSTO OPERATIVO ACIDO]:[COSTO OPERATIVO CATIONICO]])</f>
        <v>0</v>
      </c>
      <c r="AT32" s="339">
        <v>5250</v>
      </c>
      <c r="AU32" s="341" t="e">
        <f t="shared" si="10"/>
        <v>#DIV/0!</v>
      </c>
    </row>
    <row r="33" spans="1:47" s="369" customFormat="1" ht="14.95" thickBot="1" x14ac:dyDescent="0.3">
      <c r="A33" s="342">
        <f t="shared" ref="A33:A34" si="38">A32</f>
        <v>46033</v>
      </c>
      <c r="B33" s="99">
        <f>DAY(Tabla1[[#This Row],[FECHA]])</f>
        <v>11</v>
      </c>
      <c r="C33" s="343" t="s">
        <v>260</v>
      </c>
      <c r="D33" s="344">
        <v>32</v>
      </c>
      <c r="E33" s="344" t="s">
        <v>77</v>
      </c>
      <c r="F33" s="345">
        <v>3350</v>
      </c>
      <c r="G33" s="346">
        <v>1250</v>
      </c>
      <c r="H33" s="346">
        <v>630</v>
      </c>
      <c r="I33" s="346">
        <v>225</v>
      </c>
      <c r="J33" s="346">
        <v>125</v>
      </c>
      <c r="K33" s="364">
        <v>16578</v>
      </c>
      <c r="L33" s="359">
        <v>0</v>
      </c>
      <c r="M33" s="360">
        <v>0</v>
      </c>
      <c r="N33" s="360">
        <f>+Tabla1[[#This Row],[CAUDAL DE TRATAMIENTO]]+$M$102</f>
        <v>8.4626865671641784</v>
      </c>
      <c r="O33" s="325">
        <f t="shared" si="37"/>
        <v>0</v>
      </c>
      <c r="P33" s="376">
        <f t="shared" si="35"/>
        <v>0</v>
      </c>
      <c r="Q33" s="325">
        <f t="shared" si="24"/>
        <v>0</v>
      </c>
      <c r="R33" s="325">
        <f t="shared" si="29"/>
        <v>0</v>
      </c>
      <c r="S33" s="326">
        <f t="shared" si="30"/>
        <v>0</v>
      </c>
      <c r="T33" s="333">
        <f t="shared" si="11"/>
        <v>0</v>
      </c>
      <c r="U33" s="334">
        <f t="shared" si="12"/>
        <v>0</v>
      </c>
      <c r="V33" s="334">
        <f t="shared" si="13"/>
        <v>0</v>
      </c>
      <c r="W33" s="347">
        <f>Tabla1[[#This Row],[CONSUMO POL ANIONICO (KG)]]</f>
        <v>0</v>
      </c>
      <c r="X33" s="326">
        <f>Tabla1[[#This Row],[CONSUMO POL CATIONICO (KG)]]</f>
        <v>0</v>
      </c>
      <c r="Y33" s="348" t="e">
        <f t="shared" si="4"/>
        <v>#DIV/0!</v>
      </c>
      <c r="Z33" s="347" t="e">
        <f t="shared" si="5"/>
        <v>#DIV/0!</v>
      </c>
      <c r="AA33" s="347" t="e">
        <f t="shared" si="6"/>
        <v>#DIV/0!</v>
      </c>
      <c r="AB33" s="347" t="e">
        <f t="shared" si="7"/>
        <v>#DIV/0!</v>
      </c>
      <c r="AC33" s="326" t="e">
        <f t="shared" si="8"/>
        <v>#DIV/0!</v>
      </c>
      <c r="AD33" s="335">
        <v>1.3</v>
      </c>
      <c r="AE33" s="335">
        <v>1.325</v>
      </c>
      <c r="AF33" s="335">
        <v>1.25</v>
      </c>
      <c r="AG33" s="336">
        <v>2500</v>
      </c>
      <c r="AH33" s="337">
        <v>2500</v>
      </c>
      <c r="AI33" s="100">
        <v>830</v>
      </c>
      <c r="AJ33" s="100">
        <v>2900</v>
      </c>
      <c r="AK33" s="100">
        <v>6295</v>
      </c>
      <c r="AL33" s="100">
        <v>19050</v>
      </c>
      <c r="AM33" s="100">
        <v>22050</v>
      </c>
      <c r="AN33" s="349">
        <f t="shared" si="14"/>
        <v>0</v>
      </c>
      <c r="AO33" s="341">
        <f t="shared" si="15"/>
        <v>0</v>
      </c>
      <c r="AP33" s="341">
        <f t="shared" si="16"/>
        <v>0</v>
      </c>
      <c r="AQ33" s="341">
        <f t="shared" si="17"/>
        <v>0</v>
      </c>
      <c r="AR33" s="350">
        <f t="shared" si="18"/>
        <v>0</v>
      </c>
      <c r="AS33" s="349">
        <f>SUM(Tabla1[[#This Row],[COSTO OPERATIVO ACIDO]:[COSTO OPERATIVO CATIONICO]])</f>
        <v>0</v>
      </c>
      <c r="AT33" s="341">
        <v>5250</v>
      </c>
      <c r="AU33" s="341" t="e">
        <f t="shared" si="10"/>
        <v>#DIV/0!</v>
      </c>
    </row>
    <row r="34" spans="1:47" s="369" customFormat="1" ht="14.95" thickBot="1" x14ac:dyDescent="0.3">
      <c r="A34" s="351">
        <f t="shared" si="38"/>
        <v>46033</v>
      </c>
      <c r="B34" s="99">
        <f>DAY(Tabla1[[#This Row],[FECHA]])</f>
        <v>11</v>
      </c>
      <c r="C34" s="352" t="s">
        <v>30</v>
      </c>
      <c r="D34" s="353">
        <v>33</v>
      </c>
      <c r="E34" s="353" t="s">
        <v>76</v>
      </c>
      <c r="F34" s="345">
        <v>3350</v>
      </c>
      <c r="G34" s="346">
        <v>1250</v>
      </c>
      <c r="H34" s="346">
        <v>630</v>
      </c>
      <c r="I34" s="346">
        <v>225</v>
      </c>
      <c r="J34" s="346">
        <v>125</v>
      </c>
      <c r="K34" s="365">
        <v>16578</v>
      </c>
      <c r="L34" s="366">
        <v>0</v>
      </c>
      <c r="M34" s="367">
        <v>0</v>
      </c>
      <c r="N34" s="367">
        <f>+Tabla1[[#This Row],[CAUDAL DE TRATAMIENTO]]+$M$102</f>
        <v>8.4626865671641784</v>
      </c>
      <c r="O34" s="327">
        <f t="shared" si="37"/>
        <v>0</v>
      </c>
      <c r="P34" s="377">
        <f t="shared" si="35"/>
        <v>0</v>
      </c>
      <c r="Q34" s="327">
        <f t="shared" si="24"/>
        <v>0</v>
      </c>
      <c r="R34" s="327">
        <f t="shared" si="29"/>
        <v>0</v>
      </c>
      <c r="S34" s="328">
        <f t="shared" si="30"/>
        <v>0</v>
      </c>
      <c r="T34" s="333">
        <f t="shared" si="11"/>
        <v>0</v>
      </c>
      <c r="U34" s="334">
        <f t="shared" si="12"/>
        <v>0</v>
      </c>
      <c r="V34" s="334">
        <f t="shared" si="13"/>
        <v>0</v>
      </c>
      <c r="W34" s="354">
        <f>Tabla1[[#This Row],[CONSUMO POL ANIONICO (KG)]]</f>
        <v>0</v>
      </c>
      <c r="X34" s="328">
        <f>Tabla1[[#This Row],[CONSUMO POL CATIONICO (KG)]]</f>
        <v>0</v>
      </c>
      <c r="Y34" s="348" t="e">
        <f t="shared" ref="Y34:Y65" si="39">(T34*1000)/L34</f>
        <v>#DIV/0!</v>
      </c>
      <c r="Z34" s="354" t="e">
        <f t="shared" ref="Z34:Z65" si="40">(U34*1000)/L34</f>
        <v>#DIV/0!</v>
      </c>
      <c r="AA34" s="354" t="e">
        <f t="shared" ref="AA34:AA65" si="41">(V34*1000)/L34</f>
        <v>#DIV/0!</v>
      </c>
      <c r="AB34" s="354" t="e">
        <f t="shared" ref="AB34:AB65" si="42">(W34*1000)/L34</f>
        <v>#DIV/0!</v>
      </c>
      <c r="AC34" s="328" t="e">
        <f t="shared" ref="AC34:AC65" si="43">(X34*1000)/L34</f>
        <v>#DIV/0!</v>
      </c>
      <c r="AD34" s="335">
        <v>1.3</v>
      </c>
      <c r="AE34" s="335">
        <v>1.325</v>
      </c>
      <c r="AF34" s="335">
        <v>1.25</v>
      </c>
      <c r="AG34" s="336">
        <v>2500</v>
      </c>
      <c r="AH34" s="337">
        <v>2500</v>
      </c>
      <c r="AI34" s="100">
        <v>830</v>
      </c>
      <c r="AJ34" s="100">
        <v>2900</v>
      </c>
      <c r="AK34" s="100">
        <v>6295</v>
      </c>
      <c r="AL34" s="100">
        <v>19050</v>
      </c>
      <c r="AM34" s="100">
        <v>22050</v>
      </c>
      <c r="AN34" s="349">
        <f t="shared" si="14"/>
        <v>0</v>
      </c>
      <c r="AO34" s="355">
        <f t="shared" si="15"/>
        <v>0</v>
      </c>
      <c r="AP34" s="355">
        <f t="shared" si="16"/>
        <v>0</v>
      </c>
      <c r="AQ34" s="355">
        <f t="shared" si="17"/>
        <v>0</v>
      </c>
      <c r="AR34" s="356">
        <f t="shared" si="18"/>
        <v>0</v>
      </c>
      <c r="AS34" s="349">
        <f>SUM(Tabla1[[#This Row],[COSTO OPERATIVO ACIDO]:[COSTO OPERATIVO CATIONICO]])</f>
        <v>0</v>
      </c>
      <c r="AT34" s="355">
        <v>5250</v>
      </c>
      <c r="AU34" s="341" t="e">
        <f t="shared" ref="AU34:AU65" si="44">AS34/L34</f>
        <v>#DIV/0!</v>
      </c>
    </row>
    <row r="35" spans="1:47" s="369" customFormat="1" ht="14.95" thickBot="1" x14ac:dyDescent="0.3">
      <c r="A35" s="144">
        <v>46034</v>
      </c>
      <c r="B35" s="99">
        <f>DAY(Tabla1[[#This Row],[FECHA]])</f>
        <v>12</v>
      </c>
      <c r="C35" s="329" t="s">
        <v>261</v>
      </c>
      <c r="D35" s="330">
        <v>34</v>
      </c>
      <c r="E35" s="330" t="s">
        <v>75</v>
      </c>
      <c r="F35" s="331">
        <v>3350</v>
      </c>
      <c r="G35" s="332">
        <v>1250</v>
      </c>
      <c r="H35" s="332">
        <v>630</v>
      </c>
      <c r="I35" s="332">
        <v>225</v>
      </c>
      <c r="J35" s="332">
        <v>125</v>
      </c>
      <c r="K35" s="361">
        <v>16578</v>
      </c>
      <c r="L35" s="362">
        <v>0</v>
      </c>
      <c r="M35" s="363">
        <v>0</v>
      </c>
      <c r="N35" s="363">
        <f>+Tabla1[[#This Row],[CAUDAL DE TRATAMIENTO]]+$M$102</f>
        <v>8.4626865671641784</v>
      </c>
      <c r="O35" s="323">
        <f t="shared" si="37"/>
        <v>0</v>
      </c>
      <c r="P35" s="375">
        <f t="shared" si="35"/>
        <v>0</v>
      </c>
      <c r="Q35" s="323">
        <f t="shared" si="24"/>
        <v>0</v>
      </c>
      <c r="R35" s="323">
        <f t="shared" si="29"/>
        <v>0</v>
      </c>
      <c r="S35" s="324">
        <f t="shared" si="30"/>
        <v>0</v>
      </c>
      <c r="T35" s="333">
        <f t="shared" si="11"/>
        <v>0</v>
      </c>
      <c r="U35" s="334">
        <f t="shared" si="12"/>
        <v>0</v>
      </c>
      <c r="V35" s="334">
        <f t="shared" si="13"/>
        <v>0</v>
      </c>
      <c r="W35" s="334">
        <f>Tabla1[[#This Row],[CONSUMO POL ANIONICO (KG)]]</f>
        <v>0</v>
      </c>
      <c r="X35" s="324">
        <f>Tabla1[[#This Row],[CONSUMO POL CATIONICO (KG)]]</f>
        <v>0</v>
      </c>
      <c r="Y35" s="333" t="e">
        <f t="shared" si="39"/>
        <v>#DIV/0!</v>
      </c>
      <c r="Z35" s="334" t="e">
        <f t="shared" si="40"/>
        <v>#DIV/0!</v>
      </c>
      <c r="AA35" s="334" t="e">
        <f t="shared" si="41"/>
        <v>#DIV/0!</v>
      </c>
      <c r="AB35" s="334" t="e">
        <f t="shared" si="42"/>
        <v>#DIV/0!</v>
      </c>
      <c r="AC35" s="324" t="e">
        <f t="shared" si="43"/>
        <v>#DIV/0!</v>
      </c>
      <c r="AD35" s="335">
        <v>1.3</v>
      </c>
      <c r="AE35" s="335">
        <v>1.325</v>
      </c>
      <c r="AF35" s="335">
        <v>1.25</v>
      </c>
      <c r="AG35" s="336">
        <v>2500</v>
      </c>
      <c r="AH35" s="337">
        <v>2500</v>
      </c>
      <c r="AI35" s="100">
        <v>830</v>
      </c>
      <c r="AJ35" s="100">
        <v>2900</v>
      </c>
      <c r="AK35" s="100">
        <v>6295</v>
      </c>
      <c r="AL35" s="100">
        <v>19050</v>
      </c>
      <c r="AM35" s="100">
        <v>22050</v>
      </c>
      <c r="AN35" s="338">
        <f t="shared" si="14"/>
        <v>0</v>
      </c>
      <c r="AO35" s="339">
        <f t="shared" si="15"/>
        <v>0</v>
      </c>
      <c r="AP35" s="339">
        <f t="shared" si="16"/>
        <v>0</v>
      </c>
      <c r="AQ35" s="339">
        <f t="shared" si="17"/>
        <v>0</v>
      </c>
      <c r="AR35" s="340">
        <f t="shared" si="18"/>
        <v>0</v>
      </c>
      <c r="AS35" s="338">
        <f>SUM(Tabla1[[#This Row],[COSTO OPERATIVO ACIDO]:[COSTO OPERATIVO CATIONICO]])</f>
        <v>0</v>
      </c>
      <c r="AT35" s="339">
        <v>5250</v>
      </c>
      <c r="AU35" s="341" t="e">
        <f t="shared" si="44"/>
        <v>#DIV/0!</v>
      </c>
    </row>
    <row r="36" spans="1:47" s="369" customFormat="1" ht="14.95" thickBot="1" x14ac:dyDescent="0.3">
      <c r="A36" s="342">
        <f t="shared" ref="A36:A37" si="45">A35</f>
        <v>46034</v>
      </c>
      <c r="B36" s="99">
        <f>DAY(Tabla1[[#This Row],[FECHA]])</f>
        <v>12</v>
      </c>
      <c r="C36" s="343" t="s">
        <v>262</v>
      </c>
      <c r="D36" s="344">
        <v>35</v>
      </c>
      <c r="E36" s="344" t="s">
        <v>77</v>
      </c>
      <c r="F36" s="345">
        <v>3350</v>
      </c>
      <c r="G36" s="346">
        <v>1250</v>
      </c>
      <c r="H36" s="346">
        <v>630</v>
      </c>
      <c r="I36" s="346">
        <v>225</v>
      </c>
      <c r="J36" s="346">
        <v>125</v>
      </c>
      <c r="K36" s="364">
        <v>16578</v>
      </c>
      <c r="L36" s="359">
        <v>0</v>
      </c>
      <c r="M36" s="360">
        <v>0</v>
      </c>
      <c r="N36" s="360">
        <f>+Tabla1[[#This Row],[CAUDAL DE TRATAMIENTO]]+$M$102</f>
        <v>8.4626865671641784</v>
      </c>
      <c r="O36" s="325">
        <f t="shared" si="37"/>
        <v>0</v>
      </c>
      <c r="P36" s="376">
        <f t="shared" si="35"/>
        <v>0</v>
      </c>
      <c r="Q36" s="325">
        <f t="shared" si="24"/>
        <v>0</v>
      </c>
      <c r="R36" s="325">
        <f t="shared" si="29"/>
        <v>0</v>
      </c>
      <c r="S36" s="326">
        <f t="shared" si="30"/>
        <v>0</v>
      </c>
      <c r="T36" s="333">
        <f t="shared" si="11"/>
        <v>0</v>
      </c>
      <c r="U36" s="334">
        <f t="shared" si="12"/>
        <v>0</v>
      </c>
      <c r="V36" s="334">
        <f t="shared" si="13"/>
        <v>0</v>
      </c>
      <c r="W36" s="347">
        <f>Tabla1[[#This Row],[CONSUMO POL ANIONICO (KG)]]</f>
        <v>0</v>
      </c>
      <c r="X36" s="326">
        <f>Tabla1[[#This Row],[CONSUMO POL CATIONICO (KG)]]</f>
        <v>0</v>
      </c>
      <c r="Y36" s="348" t="e">
        <f t="shared" si="39"/>
        <v>#DIV/0!</v>
      </c>
      <c r="Z36" s="347" t="e">
        <f t="shared" si="40"/>
        <v>#DIV/0!</v>
      </c>
      <c r="AA36" s="347" t="e">
        <f t="shared" si="41"/>
        <v>#DIV/0!</v>
      </c>
      <c r="AB36" s="347" t="e">
        <f t="shared" si="42"/>
        <v>#DIV/0!</v>
      </c>
      <c r="AC36" s="326" t="e">
        <f t="shared" si="43"/>
        <v>#DIV/0!</v>
      </c>
      <c r="AD36" s="335">
        <v>1.3</v>
      </c>
      <c r="AE36" s="335">
        <v>1.325</v>
      </c>
      <c r="AF36" s="335">
        <v>1.25</v>
      </c>
      <c r="AG36" s="336">
        <v>2500</v>
      </c>
      <c r="AH36" s="337">
        <v>2500</v>
      </c>
      <c r="AI36" s="100">
        <v>830</v>
      </c>
      <c r="AJ36" s="100">
        <v>2900</v>
      </c>
      <c r="AK36" s="100">
        <v>6295</v>
      </c>
      <c r="AL36" s="100">
        <v>19050</v>
      </c>
      <c r="AM36" s="100">
        <v>22050</v>
      </c>
      <c r="AN36" s="349">
        <f t="shared" si="14"/>
        <v>0</v>
      </c>
      <c r="AO36" s="341">
        <f t="shared" si="15"/>
        <v>0</v>
      </c>
      <c r="AP36" s="341">
        <f t="shared" si="16"/>
        <v>0</v>
      </c>
      <c r="AQ36" s="341">
        <f t="shared" si="17"/>
        <v>0</v>
      </c>
      <c r="AR36" s="350">
        <f t="shared" si="18"/>
        <v>0</v>
      </c>
      <c r="AS36" s="349">
        <f>SUM(Tabla1[[#This Row],[COSTO OPERATIVO ACIDO]:[COSTO OPERATIVO CATIONICO]])</f>
        <v>0</v>
      </c>
      <c r="AT36" s="341">
        <v>5250</v>
      </c>
      <c r="AU36" s="341" t="e">
        <f t="shared" si="44"/>
        <v>#DIV/0!</v>
      </c>
    </row>
    <row r="37" spans="1:47" s="369" customFormat="1" ht="14.95" thickBot="1" x14ac:dyDescent="0.3">
      <c r="A37" s="351">
        <f t="shared" si="45"/>
        <v>46034</v>
      </c>
      <c r="B37" s="99">
        <f>DAY(Tabla1[[#This Row],[FECHA]])</f>
        <v>12</v>
      </c>
      <c r="C37" s="352" t="s">
        <v>30</v>
      </c>
      <c r="D37" s="353">
        <v>36</v>
      </c>
      <c r="E37" s="353" t="s">
        <v>76</v>
      </c>
      <c r="F37" s="345">
        <v>3350</v>
      </c>
      <c r="G37" s="346">
        <v>1250</v>
      </c>
      <c r="H37" s="346">
        <v>630</v>
      </c>
      <c r="I37" s="346">
        <v>225</v>
      </c>
      <c r="J37" s="346">
        <v>125</v>
      </c>
      <c r="K37" s="365">
        <v>16578</v>
      </c>
      <c r="L37" s="366">
        <v>0</v>
      </c>
      <c r="M37" s="367">
        <v>0</v>
      </c>
      <c r="N37" s="367">
        <f>+Tabla1[[#This Row],[CAUDAL DE TRATAMIENTO]]+$M$102</f>
        <v>8.4626865671641784</v>
      </c>
      <c r="O37" s="327">
        <f t="shared" si="37"/>
        <v>0</v>
      </c>
      <c r="P37" s="377">
        <f t="shared" si="35"/>
        <v>0</v>
      </c>
      <c r="Q37" s="327">
        <f t="shared" si="24"/>
        <v>0</v>
      </c>
      <c r="R37" s="327">
        <f t="shared" si="29"/>
        <v>0</v>
      </c>
      <c r="S37" s="328">
        <f t="shared" si="30"/>
        <v>0</v>
      </c>
      <c r="T37" s="333">
        <f t="shared" si="11"/>
        <v>0</v>
      </c>
      <c r="U37" s="334">
        <f t="shared" si="12"/>
        <v>0</v>
      </c>
      <c r="V37" s="334">
        <f t="shared" si="13"/>
        <v>0</v>
      </c>
      <c r="W37" s="354">
        <f>Tabla1[[#This Row],[CONSUMO POL ANIONICO (KG)]]</f>
        <v>0</v>
      </c>
      <c r="X37" s="328">
        <f>Tabla1[[#This Row],[CONSUMO POL CATIONICO (KG)]]</f>
        <v>0</v>
      </c>
      <c r="Y37" s="348" t="e">
        <f t="shared" si="39"/>
        <v>#DIV/0!</v>
      </c>
      <c r="Z37" s="354" t="e">
        <f t="shared" si="40"/>
        <v>#DIV/0!</v>
      </c>
      <c r="AA37" s="354" t="e">
        <f t="shared" si="41"/>
        <v>#DIV/0!</v>
      </c>
      <c r="AB37" s="354" t="e">
        <f t="shared" si="42"/>
        <v>#DIV/0!</v>
      </c>
      <c r="AC37" s="328" t="e">
        <f t="shared" si="43"/>
        <v>#DIV/0!</v>
      </c>
      <c r="AD37" s="335">
        <v>1.3</v>
      </c>
      <c r="AE37" s="335">
        <v>1.325</v>
      </c>
      <c r="AF37" s="335">
        <v>1.25</v>
      </c>
      <c r="AG37" s="336">
        <v>2500</v>
      </c>
      <c r="AH37" s="337">
        <v>2500</v>
      </c>
      <c r="AI37" s="100">
        <v>830</v>
      </c>
      <c r="AJ37" s="100">
        <v>2900</v>
      </c>
      <c r="AK37" s="100">
        <v>6295</v>
      </c>
      <c r="AL37" s="100">
        <v>19050</v>
      </c>
      <c r="AM37" s="100">
        <v>22050</v>
      </c>
      <c r="AN37" s="349">
        <f t="shared" si="14"/>
        <v>0</v>
      </c>
      <c r="AO37" s="355">
        <f t="shared" si="15"/>
        <v>0</v>
      </c>
      <c r="AP37" s="355">
        <f t="shared" si="16"/>
        <v>0</v>
      </c>
      <c r="AQ37" s="355">
        <f t="shared" si="17"/>
        <v>0</v>
      </c>
      <c r="AR37" s="356">
        <f t="shared" si="18"/>
        <v>0</v>
      </c>
      <c r="AS37" s="349">
        <f>SUM(Tabla1[[#This Row],[COSTO OPERATIVO ACIDO]:[COSTO OPERATIVO CATIONICO]])</f>
        <v>0</v>
      </c>
      <c r="AT37" s="355">
        <v>5250</v>
      </c>
      <c r="AU37" s="341" t="e">
        <f t="shared" si="44"/>
        <v>#DIV/0!</v>
      </c>
    </row>
    <row r="38" spans="1:47" ht="14.95" thickBot="1" x14ac:dyDescent="0.3">
      <c r="A38" s="144">
        <v>46035</v>
      </c>
      <c r="B38" s="99">
        <f>DAY(Tabla1[[#This Row],[FECHA]])</f>
        <v>13</v>
      </c>
      <c r="C38" s="329" t="s">
        <v>263</v>
      </c>
      <c r="D38" s="330">
        <v>37</v>
      </c>
      <c r="E38" s="330" t="s">
        <v>75</v>
      </c>
      <c r="F38" s="331">
        <v>3350</v>
      </c>
      <c r="G38" s="332">
        <v>1250</v>
      </c>
      <c r="H38" s="332">
        <v>630</v>
      </c>
      <c r="I38" s="332">
        <v>225</v>
      </c>
      <c r="J38" s="332">
        <v>125</v>
      </c>
      <c r="K38" s="361">
        <v>16578</v>
      </c>
      <c r="L38" s="362">
        <v>241.38805970149255</v>
      </c>
      <c r="M38" s="363">
        <v>72</v>
      </c>
      <c r="N38" s="363">
        <f>+Tabla1[[#This Row],[CAUDAL DE TRATAMIENTO]]+$M$102</f>
        <v>80.462686567164184</v>
      </c>
      <c r="O38" s="323">
        <f t="shared" si="37"/>
        <v>180</v>
      </c>
      <c r="P38" s="368">
        <f>G38-G39+3000-150</f>
        <v>160</v>
      </c>
      <c r="Q38" s="323">
        <f t="shared" si="24"/>
        <v>80</v>
      </c>
      <c r="R38" s="323">
        <f t="shared" si="29"/>
        <v>0</v>
      </c>
      <c r="S38" s="324">
        <f t="shared" si="30"/>
        <v>0</v>
      </c>
      <c r="T38" s="333">
        <f t="shared" si="11"/>
        <v>234</v>
      </c>
      <c r="U38" s="334">
        <f t="shared" si="12"/>
        <v>212</v>
      </c>
      <c r="V38" s="334">
        <f t="shared" si="13"/>
        <v>100</v>
      </c>
      <c r="W38" s="334">
        <f>Tabla1[[#This Row],[CONSUMO POL ANIONICO (KG)]]</f>
        <v>0</v>
      </c>
      <c r="X38" s="324">
        <f>Tabla1[[#This Row],[CONSUMO POL CATIONICO (KG)]]</f>
        <v>0</v>
      </c>
      <c r="Y38" s="333">
        <f t="shared" si="39"/>
        <v>969.39343350027821</v>
      </c>
      <c r="Z38" s="334">
        <f t="shared" si="40"/>
        <v>878.25387992332901</v>
      </c>
      <c r="AA38" s="334">
        <f t="shared" si="41"/>
        <v>414.27069807704197</v>
      </c>
      <c r="AB38" s="334">
        <f t="shared" si="42"/>
        <v>0</v>
      </c>
      <c r="AC38" s="324">
        <f t="shared" si="43"/>
        <v>0</v>
      </c>
      <c r="AD38" s="335">
        <v>1.3</v>
      </c>
      <c r="AE38" s="335">
        <v>1.325</v>
      </c>
      <c r="AF38" s="335">
        <v>1.25</v>
      </c>
      <c r="AG38" s="336">
        <v>2500</v>
      </c>
      <c r="AH38" s="337">
        <v>2500</v>
      </c>
      <c r="AI38" s="100">
        <v>830</v>
      </c>
      <c r="AJ38" s="100">
        <v>2900</v>
      </c>
      <c r="AK38" s="100">
        <v>6295</v>
      </c>
      <c r="AL38" s="100">
        <v>19050</v>
      </c>
      <c r="AM38" s="100">
        <v>22050</v>
      </c>
      <c r="AN38" s="338">
        <f t="shared" si="14"/>
        <v>194220</v>
      </c>
      <c r="AO38" s="339">
        <f t="shared" si="15"/>
        <v>614800</v>
      </c>
      <c r="AP38" s="339">
        <f t="shared" si="16"/>
        <v>629500</v>
      </c>
      <c r="AQ38" s="339">
        <f t="shared" si="17"/>
        <v>0</v>
      </c>
      <c r="AR38" s="340">
        <f t="shared" si="18"/>
        <v>0</v>
      </c>
      <c r="AS38" s="338">
        <f>SUM(Tabla1[[#This Row],[COSTO OPERATIVO ACIDO]:[COSTO OPERATIVO CATIONICO]])</f>
        <v>1438520</v>
      </c>
      <c r="AT38" s="339">
        <v>5250</v>
      </c>
      <c r="AU38" s="341">
        <f t="shared" si="44"/>
        <v>5959.3668459778637</v>
      </c>
    </row>
    <row r="39" spans="1:47" ht="14.95" thickBot="1" x14ac:dyDescent="0.3">
      <c r="A39" s="342">
        <f t="shared" ref="A39:A40" si="46">A38</f>
        <v>46035</v>
      </c>
      <c r="B39" s="99">
        <f>DAY(Tabla1[[#This Row],[FECHA]])</f>
        <v>13</v>
      </c>
      <c r="C39" s="343" t="s">
        <v>264</v>
      </c>
      <c r="D39" s="344">
        <v>38</v>
      </c>
      <c r="E39" s="344" t="s">
        <v>77</v>
      </c>
      <c r="F39" s="345">
        <v>3170</v>
      </c>
      <c r="G39" s="346">
        <v>3940</v>
      </c>
      <c r="H39" s="346">
        <v>550</v>
      </c>
      <c r="I39" s="346">
        <v>225</v>
      </c>
      <c r="J39" s="346">
        <v>125</v>
      </c>
      <c r="K39" s="364">
        <v>16581</v>
      </c>
      <c r="L39" s="359">
        <v>530.77611940298516</v>
      </c>
      <c r="M39" s="360">
        <v>80</v>
      </c>
      <c r="N39" s="360">
        <f>+Tabla1[[#This Row],[CAUDAL DE TRATAMIENTO]]+$M$102</f>
        <v>88.462686567164184</v>
      </c>
      <c r="O39" s="325">
        <f t="shared" si="37"/>
        <v>100</v>
      </c>
      <c r="P39" s="376">
        <f>G39-G40</f>
        <v>170</v>
      </c>
      <c r="Q39" s="325">
        <f t="shared" si="24"/>
        <v>50</v>
      </c>
      <c r="R39" s="325">
        <f t="shared" si="29"/>
        <v>0</v>
      </c>
      <c r="S39" s="326">
        <f t="shared" si="30"/>
        <v>5</v>
      </c>
      <c r="T39" s="333">
        <f t="shared" si="11"/>
        <v>130</v>
      </c>
      <c r="U39" s="334">
        <f t="shared" si="12"/>
        <v>225.25</v>
      </c>
      <c r="V39" s="334">
        <f t="shared" si="13"/>
        <v>62.5</v>
      </c>
      <c r="W39" s="347">
        <f>Tabla1[[#This Row],[CONSUMO POL ANIONICO (KG)]]</f>
        <v>0</v>
      </c>
      <c r="X39" s="326">
        <f>Tabla1[[#This Row],[CONSUMO POL CATIONICO (KG)]]</f>
        <v>5</v>
      </c>
      <c r="Y39" s="348">
        <f t="shared" si="39"/>
        <v>244.9243574602103</v>
      </c>
      <c r="Z39" s="347">
        <f t="shared" si="40"/>
        <v>424.37855013778744</v>
      </c>
      <c r="AA39" s="347">
        <f t="shared" si="41"/>
        <v>117.75209493279341</v>
      </c>
      <c r="AB39" s="347">
        <f t="shared" si="42"/>
        <v>0</v>
      </c>
      <c r="AC39" s="326">
        <f t="shared" si="43"/>
        <v>9.4201675946234733</v>
      </c>
      <c r="AD39" s="335">
        <v>1.3</v>
      </c>
      <c r="AE39" s="335">
        <v>1.325</v>
      </c>
      <c r="AF39" s="335">
        <v>1.25</v>
      </c>
      <c r="AG39" s="336">
        <v>2500</v>
      </c>
      <c r="AH39" s="337">
        <v>2500</v>
      </c>
      <c r="AI39" s="100">
        <v>830</v>
      </c>
      <c r="AJ39" s="100">
        <v>2900</v>
      </c>
      <c r="AK39" s="100">
        <v>6295</v>
      </c>
      <c r="AL39" s="100">
        <v>19050</v>
      </c>
      <c r="AM39" s="100">
        <v>22050</v>
      </c>
      <c r="AN39" s="349">
        <f t="shared" si="14"/>
        <v>107900</v>
      </c>
      <c r="AO39" s="341">
        <f t="shared" si="15"/>
        <v>653225</v>
      </c>
      <c r="AP39" s="341">
        <f t="shared" si="16"/>
        <v>393437.5</v>
      </c>
      <c r="AQ39" s="341">
        <f t="shared" si="17"/>
        <v>0</v>
      </c>
      <c r="AR39" s="350">
        <f t="shared" si="18"/>
        <v>110250</v>
      </c>
      <c r="AS39" s="349">
        <f>SUM(Tabla1[[#This Row],[COSTO OPERATIVO ACIDO]:[COSTO OPERATIVO CATIONICO]])</f>
        <v>1264812.5</v>
      </c>
      <c r="AT39" s="341">
        <v>5250</v>
      </c>
      <c r="AU39" s="341">
        <f t="shared" si="44"/>
        <v>2382.9491451549402</v>
      </c>
    </row>
    <row r="40" spans="1:47" ht="14.95" thickBot="1" x14ac:dyDescent="0.3">
      <c r="A40" s="351">
        <f t="shared" si="46"/>
        <v>46035</v>
      </c>
      <c r="B40" s="99">
        <f>DAY(Tabla1[[#This Row],[FECHA]])</f>
        <v>13</v>
      </c>
      <c r="C40" s="352" t="s">
        <v>30</v>
      </c>
      <c r="D40" s="353">
        <v>39</v>
      </c>
      <c r="E40" s="353" t="s">
        <v>76</v>
      </c>
      <c r="F40" s="345">
        <v>3070</v>
      </c>
      <c r="G40" s="346">
        <v>3770</v>
      </c>
      <c r="H40" s="346">
        <v>500</v>
      </c>
      <c r="I40" s="346">
        <v>225</v>
      </c>
      <c r="J40" s="346">
        <v>120</v>
      </c>
      <c r="K40" s="365">
        <v>16587</v>
      </c>
      <c r="L40" s="366">
        <v>707.70149253731347</v>
      </c>
      <c r="M40" s="367">
        <v>80</v>
      </c>
      <c r="N40" s="367">
        <f>+Tabla1[[#This Row],[CAUDAL DE TRATAMIENTO]]+$M$102</f>
        <v>88.462686567164184</v>
      </c>
      <c r="O40" s="378">
        <f>F40-F41-100</f>
        <v>190</v>
      </c>
      <c r="P40" s="377">
        <f>G40-G41</f>
        <v>320</v>
      </c>
      <c r="Q40" s="370">
        <f>H40-H41+610</f>
        <v>110</v>
      </c>
      <c r="R40" s="327">
        <f t="shared" si="29"/>
        <v>5</v>
      </c>
      <c r="S40" s="328">
        <f t="shared" si="30"/>
        <v>5</v>
      </c>
      <c r="T40" s="333">
        <f t="shared" si="11"/>
        <v>247</v>
      </c>
      <c r="U40" s="334">
        <f t="shared" si="12"/>
        <v>424</v>
      </c>
      <c r="V40" s="334">
        <f t="shared" si="13"/>
        <v>137.5</v>
      </c>
      <c r="W40" s="354">
        <f>Tabla1[[#This Row],[CONSUMO POL ANIONICO (KG)]]</f>
        <v>5</v>
      </c>
      <c r="X40" s="328">
        <f>Tabla1[[#This Row],[CONSUMO POL CATIONICO (KG)]]</f>
        <v>5</v>
      </c>
      <c r="Y40" s="348">
        <f t="shared" si="39"/>
        <v>349.01720938079973</v>
      </c>
      <c r="Z40" s="354">
        <f t="shared" si="40"/>
        <v>599.1226590180529</v>
      </c>
      <c r="AA40" s="354">
        <f t="shared" si="41"/>
        <v>194.29095663910914</v>
      </c>
      <c r="AB40" s="354">
        <f t="shared" si="42"/>
        <v>7.0651256959676054</v>
      </c>
      <c r="AC40" s="328">
        <f t="shared" si="43"/>
        <v>7.0651256959676054</v>
      </c>
      <c r="AD40" s="335">
        <v>1.3</v>
      </c>
      <c r="AE40" s="335">
        <v>1.325</v>
      </c>
      <c r="AF40" s="335">
        <v>1.25</v>
      </c>
      <c r="AG40" s="336">
        <v>2500</v>
      </c>
      <c r="AH40" s="337">
        <v>2500</v>
      </c>
      <c r="AI40" s="100">
        <v>830</v>
      </c>
      <c r="AJ40" s="100">
        <v>2900</v>
      </c>
      <c r="AK40" s="100">
        <v>6295</v>
      </c>
      <c r="AL40" s="100">
        <v>19050</v>
      </c>
      <c r="AM40" s="100">
        <v>22050</v>
      </c>
      <c r="AN40" s="349">
        <f t="shared" si="14"/>
        <v>205010</v>
      </c>
      <c r="AO40" s="355">
        <f t="shared" si="15"/>
        <v>1229600</v>
      </c>
      <c r="AP40" s="355">
        <f t="shared" si="16"/>
        <v>865562.5</v>
      </c>
      <c r="AQ40" s="355">
        <f t="shared" si="17"/>
        <v>95250</v>
      </c>
      <c r="AR40" s="356">
        <f t="shared" si="18"/>
        <v>110250</v>
      </c>
      <c r="AS40" s="349">
        <f>SUM(Tabla1[[#This Row],[COSTO OPERATIVO ACIDO]:[COSTO OPERATIVO CATIONICO]])</f>
        <v>2505672.5</v>
      </c>
      <c r="AT40" s="355">
        <v>5250</v>
      </c>
      <c r="AU40" s="341">
        <f t="shared" si="44"/>
        <v>3540.5782330858779</v>
      </c>
    </row>
    <row r="41" spans="1:47" ht="14.95" thickBot="1" x14ac:dyDescent="0.3">
      <c r="A41" s="144">
        <v>46036</v>
      </c>
      <c r="B41" s="99">
        <f>DAY(Tabla1[[#This Row],[FECHA]])</f>
        <v>14</v>
      </c>
      <c r="C41" s="329" t="s">
        <v>265</v>
      </c>
      <c r="D41" s="330">
        <v>40</v>
      </c>
      <c r="E41" s="330" t="s">
        <v>75</v>
      </c>
      <c r="F41" s="331">
        <v>2780</v>
      </c>
      <c r="G41" s="332">
        <v>3450</v>
      </c>
      <c r="H41" s="332">
        <v>1000</v>
      </c>
      <c r="I41" s="332">
        <v>220</v>
      </c>
      <c r="J41" s="332">
        <v>115</v>
      </c>
      <c r="K41" s="361">
        <v>16595</v>
      </c>
      <c r="L41" s="362">
        <v>530.77611940298516</v>
      </c>
      <c r="M41" s="363">
        <v>80</v>
      </c>
      <c r="N41" s="363">
        <f>+Tabla1[[#This Row],[CAUDAL DE TRATAMIENTO]]+$M$102</f>
        <v>88.462686567164184</v>
      </c>
      <c r="O41" s="323">
        <f t="shared" ref="O41:O46" si="47">F41-F42</f>
        <v>40</v>
      </c>
      <c r="P41" s="375">
        <f>G41-G42</f>
        <v>220</v>
      </c>
      <c r="Q41" s="323">
        <f t="shared" ref="Q41:Q51" si="48">H41-H42</f>
        <v>120</v>
      </c>
      <c r="R41" s="323">
        <f t="shared" si="29"/>
        <v>0</v>
      </c>
      <c r="S41" s="324">
        <f t="shared" si="30"/>
        <v>5</v>
      </c>
      <c r="T41" s="333">
        <f t="shared" si="11"/>
        <v>52</v>
      </c>
      <c r="U41" s="334">
        <f t="shared" si="12"/>
        <v>291.5</v>
      </c>
      <c r="V41" s="334">
        <f t="shared" si="13"/>
        <v>150</v>
      </c>
      <c r="W41" s="334">
        <f>Tabla1[[#This Row],[CONSUMO POL ANIONICO (KG)]]</f>
        <v>0</v>
      </c>
      <c r="X41" s="324">
        <f>Tabla1[[#This Row],[CONSUMO POL CATIONICO (KG)]]</f>
        <v>5</v>
      </c>
      <c r="Y41" s="333">
        <f t="shared" si="39"/>
        <v>97.969742984084121</v>
      </c>
      <c r="Z41" s="334">
        <f t="shared" si="40"/>
        <v>549.19577076654843</v>
      </c>
      <c r="AA41" s="334">
        <f t="shared" si="41"/>
        <v>282.60502783870419</v>
      </c>
      <c r="AB41" s="334">
        <f t="shared" si="42"/>
        <v>0</v>
      </c>
      <c r="AC41" s="324">
        <f t="shared" si="43"/>
        <v>9.4201675946234733</v>
      </c>
      <c r="AD41" s="335">
        <v>1.3</v>
      </c>
      <c r="AE41" s="335">
        <v>1.325</v>
      </c>
      <c r="AF41" s="335">
        <v>1.25</v>
      </c>
      <c r="AG41" s="336">
        <v>2500</v>
      </c>
      <c r="AH41" s="337">
        <v>2500</v>
      </c>
      <c r="AI41" s="100">
        <v>830</v>
      </c>
      <c r="AJ41" s="100">
        <v>2900</v>
      </c>
      <c r="AK41" s="100">
        <v>6295</v>
      </c>
      <c r="AL41" s="100">
        <v>19050</v>
      </c>
      <c r="AM41" s="100">
        <v>22050</v>
      </c>
      <c r="AN41" s="338">
        <f t="shared" si="14"/>
        <v>43160</v>
      </c>
      <c r="AO41" s="339">
        <f t="shared" si="15"/>
        <v>845350</v>
      </c>
      <c r="AP41" s="339">
        <f t="shared" si="16"/>
        <v>944250</v>
      </c>
      <c r="AQ41" s="339">
        <f t="shared" si="17"/>
        <v>0</v>
      </c>
      <c r="AR41" s="340">
        <f t="shared" si="18"/>
        <v>110250</v>
      </c>
      <c r="AS41" s="338">
        <f>SUM(Tabla1[[#This Row],[COSTO OPERATIVO ACIDO]:[COSTO OPERATIVO CATIONICO]])</f>
        <v>1943010</v>
      </c>
      <c r="AT41" s="339">
        <v>5250</v>
      </c>
      <c r="AU41" s="341">
        <f t="shared" si="44"/>
        <v>3660.6959676058709</v>
      </c>
    </row>
    <row r="42" spans="1:47" ht="14.95" thickBot="1" x14ac:dyDescent="0.3">
      <c r="A42" s="342">
        <f t="shared" ref="A42:A43" si="49">A41</f>
        <v>46036</v>
      </c>
      <c r="B42" s="99">
        <f>DAY(Tabla1[[#This Row],[FECHA]])</f>
        <v>14</v>
      </c>
      <c r="C42" s="343" t="s">
        <v>266</v>
      </c>
      <c r="D42" s="344">
        <v>41</v>
      </c>
      <c r="E42" s="344" t="s">
        <v>77</v>
      </c>
      <c r="F42" s="345">
        <v>2740</v>
      </c>
      <c r="G42" s="346">
        <v>3230</v>
      </c>
      <c r="H42" s="346">
        <v>880</v>
      </c>
      <c r="I42" s="346">
        <v>220</v>
      </c>
      <c r="J42" s="346">
        <v>110</v>
      </c>
      <c r="K42" s="364">
        <v>16601</v>
      </c>
      <c r="L42" s="359">
        <v>530.77611940298516</v>
      </c>
      <c r="M42" s="360">
        <v>80</v>
      </c>
      <c r="N42" s="360">
        <f>+Tabla1[[#This Row],[CAUDAL DE TRATAMIENTO]]+$M$102</f>
        <v>88.462686567164184</v>
      </c>
      <c r="O42" s="325">
        <f t="shared" si="47"/>
        <v>230</v>
      </c>
      <c r="P42" s="321">
        <f>G42-G43-160</f>
        <v>350</v>
      </c>
      <c r="Q42" s="325">
        <f t="shared" si="48"/>
        <v>160</v>
      </c>
      <c r="R42" s="325">
        <f t="shared" si="29"/>
        <v>0</v>
      </c>
      <c r="S42" s="326">
        <f t="shared" si="30"/>
        <v>5</v>
      </c>
      <c r="T42" s="333">
        <f t="shared" si="11"/>
        <v>299</v>
      </c>
      <c r="U42" s="334">
        <f t="shared" si="12"/>
        <v>463.75</v>
      </c>
      <c r="V42" s="334">
        <f t="shared" si="13"/>
        <v>200</v>
      </c>
      <c r="W42" s="347">
        <f>Tabla1[[#This Row],[CONSUMO POL ANIONICO (KG)]]</f>
        <v>0</v>
      </c>
      <c r="X42" s="326">
        <f>Tabla1[[#This Row],[CONSUMO POL CATIONICO (KG)]]</f>
        <v>5</v>
      </c>
      <c r="Y42" s="348">
        <f t="shared" si="39"/>
        <v>563.32602215848374</v>
      </c>
      <c r="Z42" s="347">
        <f t="shared" si="40"/>
        <v>873.72054440132717</v>
      </c>
      <c r="AA42" s="347">
        <f t="shared" si="41"/>
        <v>376.80670378493892</v>
      </c>
      <c r="AB42" s="347">
        <f t="shared" si="42"/>
        <v>0</v>
      </c>
      <c r="AC42" s="326">
        <f t="shared" si="43"/>
        <v>9.4201675946234733</v>
      </c>
      <c r="AD42" s="335">
        <v>1.3</v>
      </c>
      <c r="AE42" s="335">
        <v>1.325</v>
      </c>
      <c r="AF42" s="335">
        <v>1.25</v>
      </c>
      <c r="AG42" s="336">
        <v>2500</v>
      </c>
      <c r="AH42" s="337">
        <v>2500</v>
      </c>
      <c r="AI42" s="100">
        <v>830</v>
      </c>
      <c r="AJ42" s="100">
        <v>2900</v>
      </c>
      <c r="AK42" s="100">
        <v>6295</v>
      </c>
      <c r="AL42" s="100">
        <v>19050</v>
      </c>
      <c r="AM42" s="100">
        <v>22050</v>
      </c>
      <c r="AN42" s="349">
        <f t="shared" si="14"/>
        <v>248170</v>
      </c>
      <c r="AO42" s="341">
        <f t="shared" si="15"/>
        <v>1344875</v>
      </c>
      <c r="AP42" s="341">
        <f t="shared" si="16"/>
        <v>1259000</v>
      </c>
      <c r="AQ42" s="341">
        <f t="shared" si="17"/>
        <v>0</v>
      </c>
      <c r="AR42" s="350">
        <f t="shared" si="18"/>
        <v>110250</v>
      </c>
      <c r="AS42" s="349">
        <f>SUM(Tabla1[[#This Row],[COSTO OPERATIVO ACIDO]:[COSTO OPERATIVO CATIONICO]])</f>
        <v>2962295</v>
      </c>
      <c r="AT42" s="341">
        <v>5250</v>
      </c>
      <c r="AU42" s="341">
        <f t="shared" si="44"/>
        <v>5581.0630729430286</v>
      </c>
    </row>
    <row r="43" spans="1:47" ht="14.95" thickBot="1" x14ac:dyDescent="0.3">
      <c r="A43" s="351">
        <f t="shared" si="49"/>
        <v>46036</v>
      </c>
      <c r="B43" s="99">
        <f>DAY(Tabla1[[#This Row],[FECHA]])</f>
        <v>14</v>
      </c>
      <c r="C43" s="352" t="s">
        <v>30</v>
      </c>
      <c r="D43" s="353">
        <v>42</v>
      </c>
      <c r="E43" s="353" t="s">
        <v>76</v>
      </c>
      <c r="F43" s="345">
        <v>2510</v>
      </c>
      <c r="G43" s="346">
        <v>2720</v>
      </c>
      <c r="H43" s="346">
        <v>720</v>
      </c>
      <c r="I43" s="346">
        <v>220</v>
      </c>
      <c r="J43" s="346">
        <v>105</v>
      </c>
      <c r="K43" s="365">
        <v>16607</v>
      </c>
      <c r="L43" s="366">
        <v>707.70149253731347</v>
      </c>
      <c r="M43" s="367">
        <v>80</v>
      </c>
      <c r="N43" s="367">
        <f>+Tabla1[[#This Row],[CAUDAL DE TRATAMIENTO]]+$M$102</f>
        <v>88.462686567164184</v>
      </c>
      <c r="O43" s="327">
        <f t="shared" si="47"/>
        <v>10</v>
      </c>
      <c r="P43" s="377">
        <f t="shared" ref="P43:P50" si="50">G43-G44</f>
        <v>110</v>
      </c>
      <c r="Q43" s="327">
        <f t="shared" si="48"/>
        <v>70</v>
      </c>
      <c r="R43" s="327">
        <f t="shared" si="29"/>
        <v>5</v>
      </c>
      <c r="S43" s="328">
        <f t="shared" si="30"/>
        <v>5</v>
      </c>
      <c r="T43" s="333">
        <f t="shared" si="11"/>
        <v>13</v>
      </c>
      <c r="U43" s="334">
        <f t="shared" si="12"/>
        <v>145.75</v>
      </c>
      <c r="V43" s="334">
        <f t="shared" si="13"/>
        <v>87.5</v>
      </c>
      <c r="W43" s="354">
        <f>Tabla1[[#This Row],[CONSUMO POL ANIONICO (KG)]]</f>
        <v>5</v>
      </c>
      <c r="X43" s="328">
        <f>Tabla1[[#This Row],[CONSUMO POL CATIONICO (KG)]]</f>
        <v>5</v>
      </c>
      <c r="Y43" s="348">
        <f t="shared" si="39"/>
        <v>18.369326809515773</v>
      </c>
      <c r="Z43" s="354">
        <f t="shared" si="40"/>
        <v>205.94841403745571</v>
      </c>
      <c r="AA43" s="354">
        <f t="shared" si="41"/>
        <v>123.63969967943309</v>
      </c>
      <c r="AB43" s="354">
        <f t="shared" si="42"/>
        <v>7.0651256959676054</v>
      </c>
      <c r="AC43" s="328">
        <f t="shared" si="43"/>
        <v>7.0651256959676054</v>
      </c>
      <c r="AD43" s="335">
        <v>1.3</v>
      </c>
      <c r="AE43" s="335">
        <v>1.325</v>
      </c>
      <c r="AF43" s="335">
        <v>1.25</v>
      </c>
      <c r="AG43" s="336">
        <v>2500</v>
      </c>
      <c r="AH43" s="337">
        <v>2500</v>
      </c>
      <c r="AI43" s="100">
        <v>830</v>
      </c>
      <c r="AJ43" s="100">
        <v>2900</v>
      </c>
      <c r="AK43" s="100">
        <v>6295</v>
      </c>
      <c r="AL43" s="100">
        <v>19050</v>
      </c>
      <c r="AM43" s="100">
        <v>22050</v>
      </c>
      <c r="AN43" s="349">
        <f t="shared" si="14"/>
        <v>10790</v>
      </c>
      <c r="AO43" s="355">
        <f t="shared" si="15"/>
        <v>422675</v>
      </c>
      <c r="AP43" s="355">
        <f t="shared" si="16"/>
        <v>550812.5</v>
      </c>
      <c r="AQ43" s="355">
        <f t="shared" si="17"/>
        <v>95250</v>
      </c>
      <c r="AR43" s="356">
        <f t="shared" si="18"/>
        <v>110250</v>
      </c>
      <c r="AS43" s="349">
        <f>SUM(Tabla1[[#This Row],[COSTO OPERATIVO ACIDO]:[COSTO OPERATIVO CATIONICO]])</f>
        <v>1189777.5</v>
      </c>
      <c r="AT43" s="355">
        <v>5250</v>
      </c>
      <c r="AU43" s="341">
        <f t="shared" si="44"/>
        <v>1681.1855175468195</v>
      </c>
    </row>
    <row r="44" spans="1:47" ht="14.95" thickBot="1" x14ac:dyDescent="0.3">
      <c r="A44" s="144">
        <v>46037</v>
      </c>
      <c r="B44" s="99">
        <f>DAY(Tabla1[[#This Row],[FECHA]])</f>
        <v>15</v>
      </c>
      <c r="C44" s="329" t="s">
        <v>267</v>
      </c>
      <c r="D44" s="330">
        <v>43</v>
      </c>
      <c r="E44" s="330" t="s">
        <v>75</v>
      </c>
      <c r="F44" s="331">
        <v>2500</v>
      </c>
      <c r="G44" s="332">
        <v>2610</v>
      </c>
      <c r="H44" s="332">
        <v>650</v>
      </c>
      <c r="I44" s="332">
        <v>215</v>
      </c>
      <c r="J44" s="332">
        <v>100</v>
      </c>
      <c r="K44" s="361">
        <v>16615</v>
      </c>
      <c r="L44" s="362">
        <v>619.23880597014931</v>
      </c>
      <c r="M44" s="363">
        <v>80</v>
      </c>
      <c r="N44" s="363">
        <f>+Tabla1[[#This Row],[CAUDAL DE TRATAMIENTO]]+$M$102</f>
        <v>88.462686567164184</v>
      </c>
      <c r="O44" s="323">
        <f t="shared" si="47"/>
        <v>50</v>
      </c>
      <c r="P44" s="375">
        <f t="shared" si="50"/>
        <v>270</v>
      </c>
      <c r="Q44" s="323">
        <f t="shared" si="48"/>
        <v>50</v>
      </c>
      <c r="R44" s="323">
        <f t="shared" si="29"/>
        <v>0</v>
      </c>
      <c r="S44" s="324">
        <f t="shared" si="30"/>
        <v>5</v>
      </c>
      <c r="T44" s="333">
        <f t="shared" si="11"/>
        <v>65</v>
      </c>
      <c r="U44" s="334">
        <f t="shared" si="12"/>
        <v>357.75</v>
      </c>
      <c r="V44" s="334">
        <f t="shared" si="13"/>
        <v>62.5</v>
      </c>
      <c r="W44" s="334">
        <f>Tabla1[[#This Row],[CONSUMO POL ANIONICO (KG)]]</f>
        <v>0</v>
      </c>
      <c r="X44" s="324">
        <f>Tabla1[[#This Row],[CONSUMO POL CATIONICO (KG)]]</f>
        <v>5</v>
      </c>
      <c r="Y44" s="333">
        <f t="shared" si="39"/>
        <v>104.96758176866156</v>
      </c>
      <c r="Z44" s="334">
        <f t="shared" si="40"/>
        <v>577.72542119597961</v>
      </c>
      <c r="AA44" s="334">
        <f t="shared" si="41"/>
        <v>100.9303670852515</v>
      </c>
      <c r="AB44" s="334">
        <f t="shared" si="42"/>
        <v>0</v>
      </c>
      <c r="AC44" s="324">
        <f t="shared" si="43"/>
        <v>8.0744293668201195</v>
      </c>
      <c r="AD44" s="335">
        <v>1.3</v>
      </c>
      <c r="AE44" s="335">
        <v>1.325</v>
      </c>
      <c r="AF44" s="335">
        <v>1.25</v>
      </c>
      <c r="AG44" s="336">
        <v>2500</v>
      </c>
      <c r="AH44" s="337">
        <v>2500</v>
      </c>
      <c r="AI44" s="100">
        <v>830</v>
      </c>
      <c r="AJ44" s="100">
        <v>2900</v>
      </c>
      <c r="AK44" s="100">
        <v>6295</v>
      </c>
      <c r="AL44" s="100">
        <v>19050</v>
      </c>
      <c r="AM44" s="100">
        <v>22050</v>
      </c>
      <c r="AN44" s="338">
        <f t="shared" si="14"/>
        <v>53950</v>
      </c>
      <c r="AO44" s="339">
        <f t="shared" si="15"/>
        <v>1037475</v>
      </c>
      <c r="AP44" s="339">
        <f t="shared" si="16"/>
        <v>393437.5</v>
      </c>
      <c r="AQ44" s="339">
        <f t="shared" si="17"/>
        <v>0</v>
      </c>
      <c r="AR44" s="340">
        <f t="shared" si="18"/>
        <v>110250</v>
      </c>
      <c r="AS44" s="338">
        <f>SUM(Tabla1[[#This Row],[COSTO OPERATIVO ACIDO]:[COSTO OPERATIVO CATIONICO]])</f>
        <v>1595112.5</v>
      </c>
      <c r="AT44" s="339">
        <v>5250</v>
      </c>
      <c r="AU44" s="341">
        <f t="shared" si="44"/>
        <v>2575.9246426763716</v>
      </c>
    </row>
    <row r="45" spans="1:47" ht="14.95" thickBot="1" x14ac:dyDescent="0.3">
      <c r="A45" s="342">
        <f t="shared" ref="A45:A46" si="51">A44</f>
        <v>46037</v>
      </c>
      <c r="B45" s="99">
        <f>DAY(Tabla1[[#This Row],[FECHA]])</f>
        <v>15</v>
      </c>
      <c r="C45" s="343" t="s">
        <v>268</v>
      </c>
      <c r="D45" s="344">
        <v>44</v>
      </c>
      <c r="E45" s="344" t="s">
        <v>77</v>
      </c>
      <c r="F45" s="345">
        <v>2450</v>
      </c>
      <c r="G45" s="346">
        <v>2340</v>
      </c>
      <c r="H45" s="346">
        <v>600</v>
      </c>
      <c r="I45" s="346">
        <v>215</v>
      </c>
      <c r="J45" s="346">
        <v>95</v>
      </c>
      <c r="K45" s="364">
        <v>16622</v>
      </c>
      <c r="L45" s="359">
        <v>619.23880597014931</v>
      </c>
      <c r="M45" s="360">
        <v>80</v>
      </c>
      <c r="N45" s="360">
        <f>+Tabla1[[#This Row],[CAUDAL DE TRATAMIENTO]]+$M$102</f>
        <v>88.462686567164184</v>
      </c>
      <c r="O45" s="325">
        <f t="shared" si="47"/>
        <v>30</v>
      </c>
      <c r="P45" s="376">
        <f t="shared" si="50"/>
        <v>190</v>
      </c>
      <c r="Q45" s="325">
        <f t="shared" si="48"/>
        <v>70</v>
      </c>
      <c r="R45" s="325">
        <f t="shared" si="29"/>
        <v>0</v>
      </c>
      <c r="S45" s="326">
        <f t="shared" si="30"/>
        <v>5</v>
      </c>
      <c r="T45" s="333">
        <f t="shared" si="11"/>
        <v>39</v>
      </c>
      <c r="U45" s="334">
        <f t="shared" si="12"/>
        <v>251.75</v>
      </c>
      <c r="V45" s="334">
        <f t="shared" si="13"/>
        <v>87.5</v>
      </c>
      <c r="W45" s="347">
        <f>Tabla1[[#This Row],[CONSUMO POL ANIONICO (KG)]]</f>
        <v>0</v>
      </c>
      <c r="X45" s="326">
        <f>Tabla1[[#This Row],[CONSUMO POL CATIONICO (KG)]]</f>
        <v>5</v>
      </c>
      <c r="Y45" s="348">
        <f t="shared" si="39"/>
        <v>62.980549061196939</v>
      </c>
      <c r="Z45" s="347">
        <f t="shared" si="40"/>
        <v>406.54751861939303</v>
      </c>
      <c r="AA45" s="347">
        <f t="shared" si="41"/>
        <v>141.30251391935209</v>
      </c>
      <c r="AB45" s="347">
        <f t="shared" si="42"/>
        <v>0</v>
      </c>
      <c r="AC45" s="326">
        <f t="shared" si="43"/>
        <v>8.0744293668201195</v>
      </c>
      <c r="AD45" s="335">
        <v>1.3</v>
      </c>
      <c r="AE45" s="335">
        <v>1.325</v>
      </c>
      <c r="AF45" s="335">
        <v>1.25</v>
      </c>
      <c r="AG45" s="336">
        <v>2500</v>
      </c>
      <c r="AH45" s="337">
        <v>2500</v>
      </c>
      <c r="AI45" s="100">
        <v>830</v>
      </c>
      <c r="AJ45" s="100">
        <v>2900</v>
      </c>
      <c r="AK45" s="100">
        <v>6295</v>
      </c>
      <c r="AL45" s="100">
        <v>19050</v>
      </c>
      <c r="AM45" s="100">
        <v>22050</v>
      </c>
      <c r="AN45" s="349">
        <f t="shared" si="14"/>
        <v>32370</v>
      </c>
      <c r="AO45" s="341">
        <f t="shared" si="15"/>
        <v>730075</v>
      </c>
      <c r="AP45" s="341">
        <f t="shared" si="16"/>
        <v>550812.5</v>
      </c>
      <c r="AQ45" s="341">
        <f t="shared" si="17"/>
        <v>0</v>
      </c>
      <c r="AR45" s="350">
        <f t="shared" si="18"/>
        <v>110250</v>
      </c>
      <c r="AS45" s="349">
        <f>SUM(Tabla1[[#This Row],[COSTO OPERATIVO ACIDO]:[COSTO OPERATIVO CATIONICO]])</f>
        <v>1423507.5</v>
      </c>
      <c r="AT45" s="341">
        <v>5250</v>
      </c>
      <c r="AU45" s="341">
        <f t="shared" si="44"/>
        <v>2298.8021523777384</v>
      </c>
    </row>
    <row r="46" spans="1:47" ht="14.95" thickBot="1" x14ac:dyDescent="0.3">
      <c r="A46" s="351">
        <f t="shared" si="51"/>
        <v>46037</v>
      </c>
      <c r="B46" s="99">
        <f>DAY(Tabla1[[#This Row],[FECHA]])</f>
        <v>15</v>
      </c>
      <c r="C46" s="352" t="s">
        <v>30</v>
      </c>
      <c r="D46" s="353">
        <v>45</v>
      </c>
      <c r="E46" s="353" t="s">
        <v>76</v>
      </c>
      <c r="F46" s="345">
        <v>2420</v>
      </c>
      <c r="G46" s="346">
        <v>2150</v>
      </c>
      <c r="H46" s="346">
        <v>530</v>
      </c>
      <c r="I46" s="346">
        <v>215</v>
      </c>
      <c r="J46" s="346">
        <v>90</v>
      </c>
      <c r="K46" s="365">
        <v>16629</v>
      </c>
      <c r="L46" s="366">
        <v>530.77611940298516</v>
      </c>
      <c r="M46" s="367">
        <v>80</v>
      </c>
      <c r="N46" s="367">
        <f>+Tabla1[[#This Row],[CAUDAL DE TRATAMIENTO]]+$M$102</f>
        <v>88.462686567164184</v>
      </c>
      <c r="O46" s="327">
        <f t="shared" si="47"/>
        <v>120</v>
      </c>
      <c r="P46" s="377">
        <f t="shared" si="50"/>
        <v>150</v>
      </c>
      <c r="Q46" s="327">
        <f t="shared" si="48"/>
        <v>30</v>
      </c>
      <c r="R46" s="327">
        <f t="shared" si="29"/>
        <v>5</v>
      </c>
      <c r="S46" s="328">
        <f t="shared" si="30"/>
        <v>5</v>
      </c>
      <c r="T46" s="333">
        <f t="shared" si="11"/>
        <v>156</v>
      </c>
      <c r="U46" s="334">
        <f t="shared" si="12"/>
        <v>198.75</v>
      </c>
      <c r="V46" s="334">
        <f t="shared" si="13"/>
        <v>37.5</v>
      </c>
      <c r="W46" s="354">
        <f>Tabla1[[#This Row],[CONSUMO POL ANIONICO (KG)]]</f>
        <v>5</v>
      </c>
      <c r="X46" s="328">
        <f>Tabla1[[#This Row],[CONSUMO POL CATIONICO (KG)]]</f>
        <v>5</v>
      </c>
      <c r="Y46" s="348">
        <f t="shared" si="39"/>
        <v>293.90922895225236</v>
      </c>
      <c r="Z46" s="354">
        <f t="shared" si="40"/>
        <v>374.45166188628303</v>
      </c>
      <c r="AA46" s="354">
        <f t="shared" si="41"/>
        <v>70.651256959676047</v>
      </c>
      <c r="AB46" s="354">
        <f t="shared" si="42"/>
        <v>9.4201675946234733</v>
      </c>
      <c r="AC46" s="328">
        <f t="shared" si="43"/>
        <v>9.4201675946234733</v>
      </c>
      <c r="AD46" s="335">
        <v>1.3</v>
      </c>
      <c r="AE46" s="335">
        <v>1.325</v>
      </c>
      <c r="AF46" s="335">
        <v>1.25</v>
      </c>
      <c r="AG46" s="336">
        <v>2500</v>
      </c>
      <c r="AH46" s="337">
        <v>2500</v>
      </c>
      <c r="AI46" s="100">
        <v>830</v>
      </c>
      <c r="AJ46" s="100">
        <v>2900</v>
      </c>
      <c r="AK46" s="100">
        <v>6295</v>
      </c>
      <c r="AL46" s="100">
        <v>19050</v>
      </c>
      <c r="AM46" s="100">
        <v>22050</v>
      </c>
      <c r="AN46" s="349">
        <f t="shared" si="14"/>
        <v>129480</v>
      </c>
      <c r="AO46" s="355">
        <f t="shared" si="15"/>
        <v>576375</v>
      </c>
      <c r="AP46" s="355">
        <f t="shared" si="16"/>
        <v>236062.5</v>
      </c>
      <c r="AQ46" s="355">
        <f t="shared" si="17"/>
        <v>95250</v>
      </c>
      <c r="AR46" s="356">
        <f t="shared" si="18"/>
        <v>110250</v>
      </c>
      <c r="AS46" s="349">
        <f>SUM(Tabla1[[#This Row],[COSTO OPERATIVO ACIDO]:[COSTO OPERATIVO CATIONICO]])</f>
        <v>1147417.5</v>
      </c>
      <c r="AT46" s="355">
        <v>5250</v>
      </c>
      <c r="AU46" s="341">
        <f t="shared" si="44"/>
        <v>2161.7730302007758</v>
      </c>
    </row>
    <row r="47" spans="1:47" ht="14.95" thickBot="1" x14ac:dyDescent="0.3">
      <c r="A47" s="144">
        <v>46038</v>
      </c>
      <c r="B47" s="99">
        <f>DAY(Tabla1[[#This Row],[FECHA]])</f>
        <v>16</v>
      </c>
      <c r="C47" s="329" t="s">
        <v>269</v>
      </c>
      <c r="D47" s="330">
        <v>46</v>
      </c>
      <c r="E47" s="330" t="s">
        <v>75</v>
      </c>
      <c r="F47" s="331">
        <v>2300</v>
      </c>
      <c r="G47" s="332">
        <v>2000</v>
      </c>
      <c r="H47" s="332">
        <v>500</v>
      </c>
      <c r="I47" s="332">
        <v>210</v>
      </c>
      <c r="J47" s="332">
        <v>85</v>
      </c>
      <c r="K47" s="361">
        <v>16635</v>
      </c>
      <c r="L47" s="362">
        <v>542.77611940298516</v>
      </c>
      <c r="M47" s="363">
        <v>82</v>
      </c>
      <c r="N47" s="363">
        <f>+Tabla1[[#This Row],[CAUDAL DE TRATAMIENTO]]+$M$102</f>
        <v>90.462686567164184</v>
      </c>
      <c r="O47" s="379">
        <f>F47-F48-100</f>
        <v>100</v>
      </c>
      <c r="P47" s="375">
        <f t="shared" si="50"/>
        <v>180</v>
      </c>
      <c r="Q47" s="323">
        <f t="shared" si="48"/>
        <v>50</v>
      </c>
      <c r="R47" s="323">
        <f t="shared" si="29"/>
        <v>0</v>
      </c>
      <c r="S47" s="324">
        <f t="shared" si="30"/>
        <v>5</v>
      </c>
      <c r="T47" s="333">
        <f t="shared" si="11"/>
        <v>130</v>
      </c>
      <c r="U47" s="334">
        <f t="shared" si="12"/>
        <v>238.5</v>
      </c>
      <c r="V47" s="334">
        <f t="shared" si="13"/>
        <v>62.5</v>
      </c>
      <c r="W47" s="334">
        <f>Tabla1[[#This Row],[CONSUMO POL ANIONICO (KG)]]</f>
        <v>0</v>
      </c>
      <c r="X47" s="324">
        <f>Tabla1[[#This Row],[CONSUMO POL CATIONICO (KG)]]</f>
        <v>5</v>
      </c>
      <c r="Y47" s="333">
        <f t="shared" si="39"/>
        <v>239.5094318869273</v>
      </c>
      <c r="Z47" s="334">
        <f t="shared" si="40"/>
        <v>439.40768850024739</v>
      </c>
      <c r="AA47" s="334">
        <f t="shared" si="41"/>
        <v>115.14876533025351</v>
      </c>
      <c r="AB47" s="334">
        <f t="shared" si="42"/>
        <v>0</v>
      </c>
      <c r="AC47" s="324">
        <f t="shared" si="43"/>
        <v>9.2119012264202809</v>
      </c>
      <c r="AD47" s="335">
        <v>1.3</v>
      </c>
      <c r="AE47" s="335">
        <v>1.325</v>
      </c>
      <c r="AF47" s="335">
        <v>1.25</v>
      </c>
      <c r="AG47" s="336">
        <v>2500</v>
      </c>
      <c r="AH47" s="337">
        <v>2500</v>
      </c>
      <c r="AI47" s="100">
        <v>830</v>
      </c>
      <c r="AJ47" s="100">
        <v>2900</v>
      </c>
      <c r="AK47" s="100">
        <v>6295</v>
      </c>
      <c r="AL47" s="100">
        <v>19050</v>
      </c>
      <c r="AM47" s="100">
        <v>22050</v>
      </c>
      <c r="AN47" s="338">
        <f t="shared" si="14"/>
        <v>107900</v>
      </c>
      <c r="AO47" s="339">
        <f t="shared" si="15"/>
        <v>691650</v>
      </c>
      <c r="AP47" s="339">
        <f t="shared" si="16"/>
        <v>393437.5</v>
      </c>
      <c r="AQ47" s="339">
        <f t="shared" si="17"/>
        <v>0</v>
      </c>
      <c r="AR47" s="340">
        <f t="shared" si="18"/>
        <v>110250</v>
      </c>
      <c r="AS47" s="338">
        <f>SUM(Tabla1[[#This Row],[COSTO OPERATIVO ACIDO]:[COSTO OPERATIVO CATIONICO]])</f>
        <v>1303237.5</v>
      </c>
      <c r="AT47" s="339">
        <v>5250</v>
      </c>
      <c r="AU47" s="341">
        <f t="shared" si="44"/>
        <v>2401.0590249133802</v>
      </c>
    </row>
    <row r="48" spans="1:47" ht="14.95" thickBot="1" x14ac:dyDescent="0.3">
      <c r="A48" s="342">
        <f t="shared" ref="A48:A49" si="52">A47</f>
        <v>46038</v>
      </c>
      <c r="B48" s="99">
        <f>DAY(Tabla1[[#This Row],[FECHA]])</f>
        <v>16</v>
      </c>
      <c r="C48" s="343" t="s">
        <v>270</v>
      </c>
      <c r="D48" s="344">
        <v>47</v>
      </c>
      <c r="E48" s="344" t="s">
        <v>77</v>
      </c>
      <c r="F48" s="345">
        <v>2100</v>
      </c>
      <c r="G48" s="346">
        <v>1820</v>
      </c>
      <c r="H48" s="346">
        <v>450</v>
      </c>
      <c r="I48" s="346">
        <v>210</v>
      </c>
      <c r="J48" s="346">
        <v>80</v>
      </c>
      <c r="K48" s="364">
        <v>16641</v>
      </c>
      <c r="L48" s="359">
        <v>530.77611940298516</v>
      </c>
      <c r="M48" s="360">
        <v>80</v>
      </c>
      <c r="N48" s="360">
        <f>+Tabla1[[#This Row],[CAUDAL DE TRATAMIENTO]]+$M$102</f>
        <v>88.462686567164184</v>
      </c>
      <c r="O48" s="325">
        <f>F48-F49</f>
        <v>40</v>
      </c>
      <c r="P48" s="376">
        <f t="shared" si="50"/>
        <v>220</v>
      </c>
      <c r="Q48" s="325">
        <f t="shared" si="48"/>
        <v>100</v>
      </c>
      <c r="R48" s="325">
        <f t="shared" si="29"/>
        <v>0</v>
      </c>
      <c r="S48" s="326">
        <f t="shared" si="30"/>
        <v>5</v>
      </c>
      <c r="T48" s="333">
        <f t="shared" si="11"/>
        <v>52</v>
      </c>
      <c r="U48" s="334">
        <f t="shared" si="12"/>
        <v>291.5</v>
      </c>
      <c r="V48" s="334">
        <f t="shared" si="13"/>
        <v>125</v>
      </c>
      <c r="W48" s="347">
        <f>Tabla1[[#This Row],[CONSUMO POL ANIONICO (KG)]]</f>
        <v>0</v>
      </c>
      <c r="X48" s="326">
        <f>Tabla1[[#This Row],[CONSUMO POL CATIONICO (KG)]]</f>
        <v>5</v>
      </c>
      <c r="Y48" s="348">
        <f t="shared" si="39"/>
        <v>97.969742984084121</v>
      </c>
      <c r="Z48" s="347">
        <f t="shared" si="40"/>
        <v>549.19577076654843</v>
      </c>
      <c r="AA48" s="347">
        <f t="shared" si="41"/>
        <v>235.50418986558682</v>
      </c>
      <c r="AB48" s="347">
        <f t="shared" si="42"/>
        <v>0</v>
      </c>
      <c r="AC48" s="326">
        <f t="shared" si="43"/>
        <v>9.4201675946234733</v>
      </c>
      <c r="AD48" s="335">
        <v>1.3</v>
      </c>
      <c r="AE48" s="335">
        <v>1.325</v>
      </c>
      <c r="AF48" s="335">
        <v>1.25</v>
      </c>
      <c r="AG48" s="336">
        <v>2500</v>
      </c>
      <c r="AH48" s="337">
        <v>2500</v>
      </c>
      <c r="AI48" s="100">
        <v>830</v>
      </c>
      <c r="AJ48" s="100">
        <v>2900</v>
      </c>
      <c r="AK48" s="100">
        <v>6295</v>
      </c>
      <c r="AL48" s="100">
        <v>19050</v>
      </c>
      <c r="AM48" s="100">
        <v>22050</v>
      </c>
      <c r="AN48" s="349">
        <f t="shared" si="14"/>
        <v>43160</v>
      </c>
      <c r="AO48" s="341">
        <f t="shared" si="15"/>
        <v>845350</v>
      </c>
      <c r="AP48" s="341">
        <f t="shared" si="16"/>
        <v>786875</v>
      </c>
      <c r="AQ48" s="341">
        <f t="shared" si="17"/>
        <v>0</v>
      </c>
      <c r="AR48" s="350">
        <f t="shared" si="18"/>
        <v>110250</v>
      </c>
      <c r="AS48" s="349">
        <f>SUM(Tabla1[[#This Row],[COSTO OPERATIVO ACIDO]:[COSTO OPERATIVO CATIONICO]])</f>
        <v>1785635</v>
      </c>
      <c r="AT48" s="341">
        <v>5250</v>
      </c>
      <c r="AU48" s="341">
        <f t="shared" si="44"/>
        <v>3364.1961925650971</v>
      </c>
    </row>
    <row r="49" spans="1:47" ht="14.95" thickBot="1" x14ac:dyDescent="0.3">
      <c r="A49" s="351">
        <f t="shared" si="52"/>
        <v>46038</v>
      </c>
      <c r="B49" s="99">
        <f>DAY(Tabla1[[#This Row],[FECHA]])</f>
        <v>16</v>
      </c>
      <c r="C49" s="352" t="s">
        <v>30</v>
      </c>
      <c r="D49" s="353">
        <v>48</v>
      </c>
      <c r="E49" s="353" t="s">
        <v>76</v>
      </c>
      <c r="F49" s="345">
        <v>2060</v>
      </c>
      <c r="G49" s="346">
        <v>1600</v>
      </c>
      <c r="H49" s="346">
        <v>350</v>
      </c>
      <c r="I49" s="346">
        <v>210</v>
      </c>
      <c r="J49" s="346">
        <v>75</v>
      </c>
      <c r="K49" s="365">
        <v>16647</v>
      </c>
      <c r="L49" s="366">
        <v>357.85074626865674</v>
      </c>
      <c r="M49" s="367">
        <v>81</v>
      </c>
      <c r="N49" s="367">
        <f>+Tabla1[[#This Row],[CAUDAL DE TRATAMIENTO]]+$M$102</f>
        <v>89.462686567164184</v>
      </c>
      <c r="O49" s="327">
        <f>F49-F50</f>
        <v>70</v>
      </c>
      <c r="P49" s="377">
        <f t="shared" si="50"/>
        <v>200</v>
      </c>
      <c r="Q49" s="327">
        <f t="shared" si="48"/>
        <v>40</v>
      </c>
      <c r="R49" s="327">
        <f t="shared" si="29"/>
        <v>5</v>
      </c>
      <c r="S49" s="328">
        <f t="shared" si="30"/>
        <v>5</v>
      </c>
      <c r="T49" s="333">
        <f t="shared" si="11"/>
        <v>91</v>
      </c>
      <c r="U49" s="334">
        <f t="shared" si="12"/>
        <v>265</v>
      </c>
      <c r="V49" s="334">
        <f t="shared" si="13"/>
        <v>50</v>
      </c>
      <c r="W49" s="354">
        <f>Tabla1[[#This Row],[CONSUMO POL ANIONICO (KG)]]</f>
        <v>5</v>
      </c>
      <c r="X49" s="328">
        <f>Tabla1[[#This Row],[CONSUMO POL CATIONICO (KG)]]</f>
        <v>5</v>
      </c>
      <c r="Y49" s="348">
        <f t="shared" si="39"/>
        <v>254.29596262929596</v>
      </c>
      <c r="Z49" s="354">
        <f t="shared" si="40"/>
        <v>740.53219886553211</v>
      </c>
      <c r="AA49" s="354">
        <f t="shared" si="41"/>
        <v>139.72305638972304</v>
      </c>
      <c r="AB49" s="354">
        <f t="shared" si="42"/>
        <v>13.972305638972305</v>
      </c>
      <c r="AC49" s="328">
        <f t="shared" si="43"/>
        <v>13.972305638972305</v>
      </c>
      <c r="AD49" s="335">
        <v>1.3</v>
      </c>
      <c r="AE49" s="335">
        <v>1.325</v>
      </c>
      <c r="AF49" s="335">
        <v>1.25</v>
      </c>
      <c r="AG49" s="336">
        <v>2500</v>
      </c>
      <c r="AH49" s="337">
        <v>2500</v>
      </c>
      <c r="AI49" s="100">
        <v>830</v>
      </c>
      <c r="AJ49" s="100">
        <v>2900</v>
      </c>
      <c r="AK49" s="100">
        <v>6295</v>
      </c>
      <c r="AL49" s="100">
        <v>19050</v>
      </c>
      <c r="AM49" s="100">
        <v>22050</v>
      </c>
      <c r="AN49" s="349">
        <f t="shared" si="14"/>
        <v>75530</v>
      </c>
      <c r="AO49" s="355">
        <f t="shared" si="15"/>
        <v>768500</v>
      </c>
      <c r="AP49" s="355">
        <f t="shared" si="16"/>
        <v>314750</v>
      </c>
      <c r="AQ49" s="355">
        <f t="shared" si="17"/>
        <v>95250</v>
      </c>
      <c r="AR49" s="356">
        <f t="shared" si="18"/>
        <v>110250</v>
      </c>
      <c r="AS49" s="349">
        <f>SUM(Tabla1[[#This Row],[COSTO OPERATIVO ACIDO]:[COSTO OPERATIVO CATIONICO]])</f>
        <v>1364280</v>
      </c>
      <c r="AT49" s="355">
        <v>5250</v>
      </c>
      <c r="AU49" s="341">
        <f t="shared" si="44"/>
        <v>3812.4274274274271</v>
      </c>
    </row>
    <row r="50" spans="1:47" ht="14.95" thickBot="1" x14ac:dyDescent="0.3">
      <c r="A50" s="144">
        <v>46039</v>
      </c>
      <c r="B50" s="99">
        <f>DAY(Tabla1[[#This Row],[FECHA]])</f>
        <v>17</v>
      </c>
      <c r="C50" s="329" t="s">
        <v>271</v>
      </c>
      <c r="D50" s="330">
        <v>49</v>
      </c>
      <c r="E50" s="330" t="s">
        <v>75</v>
      </c>
      <c r="F50" s="331">
        <v>1990</v>
      </c>
      <c r="G50" s="332">
        <v>1400</v>
      </c>
      <c r="H50" s="332">
        <v>310</v>
      </c>
      <c r="I50" s="332">
        <v>205</v>
      </c>
      <c r="J50" s="332">
        <v>70</v>
      </c>
      <c r="K50" s="361">
        <v>16651</v>
      </c>
      <c r="L50" s="362">
        <v>691.70149253731347</v>
      </c>
      <c r="M50" s="363">
        <v>78</v>
      </c>
      <c r="N50" s="363">
        <f>+Tabla1[[#This Row],[CAUDAL DE TRATAMIENTO]]+$M$102</f>
        <v>86.462686567164184</v>
      </c>
      <c r="O50" s="323">
        <f>F50-F51</f>
        <v>90</v>
      </c>
      <c r="P50" s="375">
        <f t="shared" si="50"/>
        <v>30</v>
      </c>
      <c r="Q50" s="323">
        <f t="shared" si="48"/>
        <v>20</v>
      </c>
      <c r="R50" s="323">
        <f t="shared" si="29"/>
        <v>0</v>
      </c>
      <c r="S50" s="324">
        <f t="shared" si="30"/>
        <v>5</v>
      </c>
      <c r="T50" s="333">
        <f t="shared" si="11"/>
        <v>117</v>
      </c>
      <c r="U50" s="334">
        <f t="shared" si="12"/>
        <v>39.75</v>
      </c>
      <c r="V50" s="334">
        <f t="shared" si="13"/>
        <v>25</v>
      </c>
      <c r="W50" s="334">
        <f>Tabla1[[#This Row],[CONSUMO POL ANIONICO (KG)]]</f>
        <v>0</v>
      </c>
      <c r="X50" s="324">
        <f>Tabla1[[#This Row],[CONSUMO POL CATIONICO (KG)]]</f>
        <v>5</v>
      </c>
      <c r="Y50" s="333">
        <f t="shared" si="39"/>
        <v>169.14810978767477</v>
      </c>
      <c r="Z50" s="334">
        <f t="shared" si="40"/>
        <v>57.466986017607454</v>
      </c>
      <c r="AA50" s="334">
        <f t="shared" si="41"/>
        <v>36.142758501639911</v>
      </c>
      <c r="AB50" s="334">
        <f t="shared" si="42"/>
        <v>0</v>
      </c>
      <c r="AC50" s="324">
        <f t="shared" si="43"/>
        <v>7.2285517003279818</v>
      </c>
      <c r="AD50" s="335">
        <v>1.3</v>
      </c>
      <c r="AE50" s="335">
        <v>1.325</v>
      </c>
      <c r="AF50" s="335">
        <v>1.25</v>
      </c>
      <c r="AG50" s="336">
        <v>2500</v>
      </c>
      <c r="AH50" s="337">
        <v>2500</v>
      </c>
      <c r="AI50" s="100">
        <v>830</v>
      </c>
      <c r="AJ50" s="100">
        <v>2900</v>
      </c>
      <c r="AK50" s="100">
        <v>6295</v>
      </c>
      <c r="AL50" s="100">
        <v>19050</v>
      </c>
      <c r="AM50" s="100">
        <v>22050</v>
      </c>
      <c r="AN50" s="338">
        <f t="shared" si="14"/>
        <v>97110</v>
      </c>
      <c r="AO50" s="339">
        <f t="shared" si="15"/>
        <v>115275</v>
      </c>
      <c r="AP50" s="339">
        <f t="shared" si="16"/>
        <v>157375</v>
      </c>
      <c r="AQ50" s="339">
        <f t="shared" si="17"/>
        <v>0</v>
      </c>
      <c r="AR50" s="340">
        <f t="shared" si="18"/>
        <v>110250</v>
      </c>
      <c r="AS50" s="338">
        <f>SUM(Tabla1[[#This Row],[COSTO OPERATIVO ACIDO]:[COSTO OPERATIVO CATIONICO]])</f>
        <v>480010</v>
      </c>
      <c r="AT50" s="339">
        <v>5250</v>
      </c>
      <c r="AU50" s="341">
        <f t="shared" si="44"/>
        <v>693.95542033488687</v>
      </c>
    </row>
    <row r="51" spans="1:47" ht="14.95" thickBot="1" x14ac:dyDescent="0.3">
      <c r="A51" s="342">
        <f t="shared" ref="A51:A52" si="53">A50</f>
        <v>46039</v>
      </c>
      <c r="B51" s="99">
        <f>DAY(Tabla1[[#This Row],[FECHA]])</f>
        <v>17</v>
      </c>
      <c r="C51" s="343" t="s">
        <v>272</v>
      </c>
      <c r="D51" s="344">
        <v>50</v>
      </c>
      <c r="E51" s="344" t="s">
        <v>77</v>
      </c>
      <c r="F51" s="345">
        <v>1900</v>
      </c>
      <c r="G51" s="346">
        <v>1370</v>
      </c>
      <c r="H51" s="346">
        <v>290</v>
      </c>
      <c r="I51" s="346">
        <v>205</v>
      </c>
      <c r="J51" s="346">
        <v>65</v>
      </c>
      <c r="K51" s="364">
        <v>16659</v>
      </c>
      <c r="L51" s="359">
        <v>353.85074626865674</v>
      </c>
      <c r="M51" s="360">
        <v>80</v>
      </c>
      <c r="N51" s="360">
        <f>+Tabla1[[#This Row],[CAUDAL DE TRATAMIENTO]]+$M$102</f>
        <v>88.462686567164184</v>
      </c>
      <c r="O51" s="325">
        <f>F51-F52</f>
        <v>80</v>
      </c>
      <c r="P51" s="321">
        <f>G51-G52-180</f>
        <v>110</v>
      </c>
      <c r="Q51" s="325">
        <f t="shared" si="48"/>
        <v>20</v>
      </c>
      <c r="R51" s="325">
        <f t="shared" si="29"/>
        <v>5</v>
      </c>
      <c r="S51" s="326">
        <f t="shared" si="30"/>
        <v>5</v>
      </c>
      <c r="T51" s="333">
        <f t="shared" si="11"/>
        <v>104</v>
      </c>
      <c r="U51" s="334">
        <f t="shared" si="12"/>
        <v>145.75</v>
      </c>
      <c r="V51" s="334">
        <f t="shared" si="13"/>
        <v>25</v>
      </c>
      <c r="W51" s="347">
        <f>Tabla1[[#This Row],[CONSUMO POL ANIONICO (KG)]]</f>
        <v>5</v>
      </c>
      <c r="X51" s="326">
        <f>Tabla1[[#This Row],[CONSUMO POL CATIONICO (KG)]]</f>
        <v>5</v>
      </c>
      <c r="Y51" s="348">
        <f t="shared" si="39"/>
        <v>293.90922895225236</v>
      </c>
      <c r="Z51" s="347">
        <f t="shared" si="40"/>
        <v>411.89682807491141</v>
      </c>
      <c r="AA51" s="347">
        <f t="shared" si="41"/>
        <v>70.651256959676061</v>
      </c>
      <c r="AB51" s="347">
        <f t="shared" si="42"/>
        <v>14.130251391935211</v>
      </c>
      <c r="AC51" s="326">
        <f t="shared" si="43"/>
        <v>14.130251391935211</v>
      </c>
      <c r="AD51" s="335">
        <v>1.3</v>
      </c>
      <c r="AE51" s="335">
        <v>1.325</v>
      </c>
      <c r="AF51" s="335">
        <v>1.25</v>
      </c>
      <c r="AG51" s="336">
        <v>2500</v>
      </c>
      <c r="AH51" s="337">
        <v>2500</v>
      </c>
      <c r="AI51" s="100">
        <v>830</v>
      </c>
      <c r="AJ51" s="100">
        <v>2900</v>
      </c>
      <c r="AK51" s="100">
        <v>6295</v>
      </c>
      <c r="AL51" s="100">
        <v>19050</v>
      </c>
      <c r="AM51" s="100">
        <v>22050</v>
      </c>
      <c r="AN51" s="349">
        <f t="shared" si="14"/>
        <v>86320</v>
      </c>
      <c r="AO51" s="341">
        <f t="shared" si="15"/>
        <v>422675</v>
      </c>
      <c r="AP51" s="341">
        <f t="shared" si="16"/>
        <v>157375</v>
      </c>
      <c r="AQ51" s="341">
        <f t="shared" si="17"/>
        <v>95250</v>
      </c>
      <c r="AR51" s="350">
        <f t="shared" si="18"/>
        <v>110250</v>
      </c>
      <c r="AS51" s="349">
        <f>SUM(Tabla1[[#This Row],[COSTO OPERATIVO ACIDO]:[COSTO OPERATIVO CATIONICO]])</f>
        <v>871870</v>
      </c>
      <c r="AT51" s="341">
        <v>5250</v>
      </c>
      <c r="AU51" s="341">
        <f t="shared" si="44"/>
        <v>2463.9484562173106</v>
      </c>
    </row>
    <row r="52" spans="1:47" ht="14.95" thickBot="1" x14ac:dyDescent="0.3">
      <c r="A52" s="351">
        <f t="shared" si="53"/>
        <v>46039</v>
      </c>
      <c r="B52" s="99">
        <f>DAY(Tabla1[[#This Row],[FECHA]])</f>
        <v>17</v>
      </c>
      <c r="C52" s="352" t="s">
        <v>30</v>
      </c>
      <c r="D52" s="353">
        <v>51</v>
      </c>
      <c r="E52" s="353" t="s">
        <v>76</v>
      </c>
      <c r="F52" s="345">
        <v>1820</v>
      </c>
      <c r="G52" s="346">
        <v>1080</v>
      </c>
      <c r="H52" s="346">
        <v>270</v>
      </c>
      <c r="I52" s="346">
        <v>200</v>
      </c>
      <c r="J52" s="346">
        <v>60</v>
      </c>
      <c r="K52" s="365">
        <v>16663</v>
      </c>
      <c r="L52" s="366">
        <v>176.92537313432837</v>
      </c>
      <c r="M52" s="367">
        <v>80</v>
      </c>
      <c r="N52" s="367">
        <f>+Tabla1[[#This Row],[CAUDAL DE TRATAMIENTO]]+$M$102</f>
        <v>88.462686567164184</v>
      </c>
      <c r="O52" s="370">
        <f>F52-F53+1000</f>
        <v>20</v>
      </c>
      <c r="P52" s="371">
        <f>G52-G53+3000</f>
        <v>20</v>
      </c>
      <c r="Q52" s="370">
        <f>H52-H53+1000</f>
        <v>20</v>
      </c>
      <c r="R52" s="370">
        <f>I52-I53+50</f>
        <v>0</v>
      </c>
      <c r="S52" s="372">
        <f>J52-J53+50</f>
        <v>0</v>
      </c>
      <c r="T52" s="333">
        <f t="shared" si="11"/>
        <v>26</v>
      </c>
      <c r="U52" s="334">
        <f t="shared" si="12"/>
        <v>26.5</v>
      </c>
      <c r="V52" s="334">
        <f t="shared" si="13"/>
        <v>25</v>
      </c>
      <c r="W52" s="354">
        <f>Tabla1[[#This Row],[CONSUMO POL ANIONICO (KG)]]</f>
        <v>0</v>
      </c>
      <c r="X52" s="328">
        <f>Tabla1[[#This Row],[CONSUMO POL CATIONICO (KG)]]</f>
        <v>0</v>
      </c>
      <c r="Y52" s="348">
        <f t="shared" si="39"/>
        <v>146.95461447612618</v>
      </c>
      <c r="Z52" s="354">
        <f t="shared" si="40"/>
        <v>149.78066475451323</v>
      </c>
      <c r="AA52" s="354">
        <f t="shared" si="41"/>
        <v>141.30251391935212</v>
      </c>
      <c r="AB52" s="354">
        <f t="shared" si="42"/>
        <v>0</v>
      </c>
      <c r="AC52" s="328">
        <f t="shared" si="43"/>
        <v>0</v>
      </c>
      <c r="AD52" s="335">
        <v>1.3</v>
      </c>
      <c r="AE52" s="335">
        <v>1.325</v>
      </c>
      <c r="AF52" s="335">
        <v>1.25</v>
      </c>
      <c r="AG52" s="336">
        <v>2500</v>
      </c>
      <c r="AH52" s="337">
        <v>2500</v>
      </c>
      <c r="AI52" s="100">
        <v>830</v>
      </c>
      <c r="AJ52" s="100">
        <v>2900</v>
      </c>
      <c r="AK52" s="100">
        <v>6295</v>
      </c>
      <c r="AL52" s="100">
        <v>19050</v>
      </c>
      <c r="AM52" s="100">
        <v>22050</v>
      </c>
      <c r="AN52" s="349">
        <f t="shared" si="14"/>
        <v>21580</v>
      </c>
      <c r="AO52" s="355">
        <f t="shared" si="15"/>
        <v>76850</v>
      </c>
      <c r="AP52" s="355">
        <f t="shared" si="16"/>
        <v>157375</v>
      </c>
      <c r="AQ52" s="355">
        <f t="shared" si="17"/>
        <v>0</v>
      </c>
      <c r="AR52" s="356">
        <f t="shared" si="18"/>
        <v>0</v>
      </c>
      <c r="AS52" s="349">
        <f>SUM(Tabla1[[#This Row],[COSTO OPERATIVO ACIDO]:[COSTO OPERATIVO CATIONICO]])</f>
        <v>255805</v>
      </c>
      <c r="AT52" s="355">
        <v>5250</v>
      </c>
      <c r="AU52" s="341">
        <f t="shared" si="44"/>
        <v>1445.8355829255947</v>
      </c>
    </row>
    <row r="53" spans="1:47" ht="14.95" thickBot="1" x14ac:dyDescent="0.3">
      <c r="A53" s="144">
        <v>46040</v>
      </c>
      <c r="B53" s="99">
        <f>DAY(Tabla1[[#This Row],[FECHA]])</f>
        <v>18</v>
      </c>
      <c r="C53" s="329" t="s">
        <v>273</v>
      </c>
      <c r="D53" s="330">
        <v>52</v>
      </c>
      <c r="E53" s="330" t="s">
        <v>75</v>
      </c>
      <c r="F53" s="331">
        <v>2800</v>
      </c>
      <c r="G53" s="332">
        <v>4060</v>
      </c>
      <c r="H53" s="332">
        <v>1250</v>
      </c>
      <c r="I53" s="332">
        <v>250</v>
      </c>
      <c r="J53" s="332">
        <v>110</v>
      </c>
      <c r="K53" s="361">
        <v>16665</v>
      </c>
      <c r="L53" s="362">
        <v>0</v>
      </c>
      <c r="M53" s="363">
        <v>0</v>
      </c>
      <c r="N53" s="363">
        <f>+Tabla1[[#This Row],[CAUDAL DE TRATAMIENTO]]+$M$102</f>
        <v>8.4626865671641784</v>
      </c>
      <c r="O53" s="323">
        <f t="shared" ref="O53:S58" si="54">F53-F54</f>
        <v>0</v>
      </c>
      <c r="P53" s="375">
        <f t="shared" si="54"/>
        <v>0</v>
      </c>
      <c r="Q53" s="323">
        <f t="shared" si="54"/>
        <v>0</v>
      </c>
      <c r="R53" s="323">
        <f t="shared" si="54"/>
        <v>0</v>
      </c>
      <c r="S53" s="324">
        <f t="shared" si="54"/>
        <v>0</v>
      </c>
      <c r="T53" s="333">
        <f t="shared" si="11"/>
        <v>0</v>
      </c>
      <c r="U53" s="334">
        <f t="shared" si="12"/>
        <v>0</v>
      </c>
      <c r="V53" s="334">
        <f t="shared" si="13"/>
        <v>0</v>
      </c>
      <c r="W53" s="334">
        <f>Tabla1[[#This Row],[CONSUMO POL ANIONICO (KG)]]</f>
        <v>0</v>
      </c>
      <c r="X53" s="324">
        <f>Tabla1[[#This Row],[CONSUMO POL CATIONICO (KG)]]</f>
        <v>0</v>
      </c>
      <c r="Y53" s="333" t="e">
        <f t="shared" si="39"/>
        <v>#DIV/0!</v>
      </c>
      <c r="Z53" s="334" t="e">
        <f t="shared" si="40"/>
        <v>#DIV/0!</v>
      </c>
      <c r="AA53" s="334" t="e">
        <f t="shared" si="41"/>
        <v>#DIV/0!</v>
      </c>
      <c r="AB53" s="334" t="e">
        <f t="shared" si="42"/>
        <v>#DIV/0!</v>
      </c>
      <c r="AC53" s="324" t="e">
        <f t="shared" si="43"/>
        <v>#DIV/0!</v>
      </c>
      <c r="AD53" s="335">
        <v>1.3</v>
      </c>
      <c r="AE53" s="335">
        <v>1.325</v>
      </c>
      <c r="AF53" s="335">
        <v>1.25</v>
      </c>
      <c r="AG53" s="336">
        <v>2500</v>
      </c>
      <c r="AH53" s="337">
        <v>2500</v>
      </c>
      <c r="AI53" s="100">
        <v>830</v>
      </c>
      <c r="AJ53" s="100">
        <v>2900</v>
      </c>
      <c r="AK53" s="100">
        <v>6295</v>
      </c>
      <c r="AL53" s="100">
        <v>19050</v>
      </c>
      <c r="AM53" s="100">
        <v>22050</v>
      </c>
      <c r="AN53" s="338">
        <f t="shared" si="14"/>
        <v>0</v>
      </c>
      <c r="AO53" s="339">
        <f t="shared" si="15"/>
        <v>0</v>
      </c>
      <c r="AP53" s="339">
        <f t="shared" si="16"/>
        <v>0</v>
      </c>
      <c r="AQ53" s="339">
        <f t="shared" si="17"/>
        <v>0</v>
      </c>
      <c r="AR53" s="340">
        <f t="shared" si="18"/>
        <v>0</v>
      </c>
      <c r="AS53" s="338">
        <f>SUM(Tabla1[[#This Row],[COSTO OPERATIVO ACIDO]:[COSTO OPERATIVO CATIONICO]])</f>
        <v>0</v>
      </c>
      <c r="AT53" s="339">
        <v>5250</v>
      </c>
      <c r="AU53" s="341" t="e">
        <f t="shared" si="44"/>
        <v>#DIV/0!</v>
      </c>
    </row>
    <row r="54" spans="1:47" ht="14.95" thickBot="1" x14ac:dyDescent="0.3">
      <c r="A54" s="342">
        <f t="shared" ref="A54:A55" si="55">A53</f>
        <v>46040</v>
      </c>
      <c r="B54" s="99">
        <f>DAY(Tabla1[[#This Row],[FECHA]])</f>
        <v>18</v>
      </c>
      <c r="C54" s="343" t="s">
        <v>274</v>
      </c>
      <c r="D54" s="344">
        <v>53</v>
      </c>
      <c r="E54" s="344" t="s">
        <v>77</v>
      </c>
      <c r="F54" s="345">
        <v>2800</v>
      </c>
      <c r="G54" s="346">
        <v>4060</v>
      </c>
      <c r="H54" s="346">
        <v>1250</v>
      </c>
      <c r="I54" s="346">
        <v>250</v>
      </c>
      <c r="J54" s="346">
        <v>110</v>
      </c>
      <c r="K54" s="364">
        <v>16665</v>
      </c>
      <c r="L54" s="359">
        <v>0</v>
      </c>
      <c r="M54" s="360">
        <v>0</v>
      </c>
      <c r="N54" s="360">
        <f>+Tabla1[[#This Row],[CAUDAL DE TRATAMIENTO]]+$M$102</f>
        <v>8.4626865671641784</v>
      </c>
      <c r="O54" s="325">
        <f t="shared" si="54"/>
        <v>0</v>
      </c>
      <c r="P54" s="376">
        <f t="shared" si="54"/>
        <v>0</v>
      </c>
      <c r="Q54" s="325">
        <f t="shared" si="54"/>
        <v>0</v>
      </c>
      <c r="R54" s="325">
        <f t="shared" si="54"/>
        <v>0</v>
      </c>
      <c r="S54" s="326">
        <f t="shared" si="54"/>
        <v>0</v>
      </c>
      <c r="T54" s="333">
        <f t="shared" si="11"/>
        <v>0</v>
      </c>
      <c r="U54" s="334">
        <f t="shared" si="12"/>
        <v>0</v>
      </c>
      <c r="V54" s="334">
        <f t="shared" si="13"/>
        <v>0</v>
      </c>
      <c r="W54" s="347">
        <f>Tabla1[[#This Row],[CONSUMO POL ANIONICO (KG)]]</f>
        <v>0</v>
      </c>
      <c r="X54" s="326">
        <f>Tabla1[[#This Row],[CONSUMO POL CATIONICO (KG)]]</f>
        <v>0</v>
      </c>
      <c r="Y54" s="348" t="e">
        <f t="shared" si="39"/>
        <v>#DIV/0!</v>
      </c>
      <c r="Z54" s="347" t="e">
        <f t="shared" si="40"/>
        <v>#DIV/0!</v>
      </c>
      <c r="AA54" s="347" t="e">
        <f t="shared" si="41"/>
        <v>#DIV/0!</v>
      </c>
      <c r="AB54" s="347" t="e">
        <f t="shared" si="42"/>
        <v>#DIV/0!</v>
      </c>
      <c r="AC54" s="326" t="e">
        <f t="shared" si="43"/>
        <v>#DIV/0!</v>
      </c>
      <c r="AD54" s="335">
        <v>1.3</v>
      </c>
      <c r="AE54" s="335">
        <v>1.325</v>
      </c>
      <c r="AF54" s="335">
        <v>1.25</v>
      </c>
      <c r="AG54" s="336">
        <v>2500</v>
      </c>
      <c r="AH54" s="337">
        <v>2500</v>
      </c>
      <c r="AI54" s="100">
        <v>830</v>
      </c>
      <c r="AJ54" s="100">
        <v>2900</v>
      </c>
      <c r="AK54" s="100">
        <v>6295</v>
      </c>
      <c r="AL54" s="100">
        <v>19050</v>
      </c>
      <c r="AM54" s="100">
        <v>22050</v>
      </c>
      <c r="AN54" s="349">
        <f t="shared" si="14"/>
        <v>0</v>
      </c>
      <c r="AO54" s="341">
        <f t="shared" si="15"/>
        <v>0</v>
      </c>
      <c r="AP54" s="341">
        <f t="shared" si="16"/>
        <v>0</v>
      </c>
      <c r="AQ54" s="341">
        <f t="shared" si="17"/>
        <v>0</v>
      </c>
      <c r="AR54" s="350">
        <f t="shared" si="18"/>
        <v>0</v>
      </c>
      <c r="AS54" s="349">
        <f>SUM(Tabla1[[#This Row],[COSTO OPERATIVO ACIDO]:[COSTO OPERATIVO CATIONICO]])</f>
        <v>0</v>
      </c>
      <c r="AT54" s="341">
        <v>5250</v>
      </c>
      <c r="AU54" s="341" t="e">
        <f t="shared" si="44"/>
        <v>#DIV/0!</v>
      </c>
    </row>
    <row r="55" spans="1:47" ht="14.95" thickBot="1" x14ac:dyDescent="0.3">
      <c r="A55" s="351">
        <f t="shared" si="55"/>
        <v>46040</v>
      </c>
      <c r="B55" s="99">
        <f>DAY(Tabla1[[#This Row],[FECHA]])</f>
        <v>18</v>
      </c>
      <c r="C55" s="352" t="s">
        <v>30</v>
      </c>
      <c r="D55" s="353">
        <v>54</v>
      </c>
      <c r="E55" s="353" t="s">
        <v>76</v>
      </c>
      <c r="F55" s="345">
        <v>2800</v>
      </c>
      <c r="G55" s="346">
        <v>4060</v>
      </c>
      <c r="H55" s="346">
        <v>1250</v>
      </c>
      <c r="I55" s="346">
        <v>250</v>
      </c>
      <c r="J55" s="346">
        <v>110</v>
      </c>
      <c r="K55" s="365">
        <v>16665</v>
      </c>
      <c r="L55" s="366">
        <v>0</v>
      </c>
      <c r="M55" s="367">
        <v>0</v>
      </c>
      <c r="N55" s="367">
        <f>+Tabla1[[#This Row],[CAUDAL DE TRATAMIENTO]]+$M$102</f>
        <v>8.4626865671641784</v>
      </c>
      <c r="O55" s="327">
        <f t="shared" si="54"/>
        <v>0</v>
      </c>
      <c r="P55" s="377">
        <f t="shared" si="54"/>
        <v>0</v>
      </c>
      <c r="Q55" s="327">
        <f t="shared" si="54"/>
        <v>0</v>
      </c>
      <c r="R55" s="327">
        <f t="shared" si="54"/>
        <v>0</v>
      </c>
      <c r="S55" s="328">
        <f t="shared" si="54"/>
        <v>0</v>
      </c>
      <c r="T55" s="333">
        <f t="shared" si="11"/>
        <v>0</v>
      </c>
      <c r="U55" s="334">
        <f t="shared" si="12"/>
        <v>0</v>
      </c>
      <c r="V55" s="334">
        <f t="shared" si="13"/>
        <v>0</v>
      </c>
      <c r="W55" s="354">
        <f>Tabla1[[#This Row],[CONSUMO POL ANIONICO (KG)]]</f>
        <v>0</v>
      </c>
      <c r="X55" s="328">
        <f>Tabla1[[#This Row],[CONSUMO POL CATIONICO (KG)]]</f>
        <v>0</v>
      </c>
      <c r="Y55" s="348" t="e">
        <f t="shared" si="39"/>
        <v>#DIV/0!</v>
      </c>
      <c r="Z55" s="354" t="e">
        <f t="shared" si="40"/>
        <v>#DIV/0!</v>
      </c>
      <c r="AA55" s="354" t="e">
        <f t="shared" si="41"/>
        <v>#DIV/0!</v>
      </c>
      <c r="AB55" s="354" t="e">
        <f t="shared" si="42"/>
        <v>#DIV/0!</v>
      </c>
      <c r="AC55" s="328" t="e">
        <f t="shared" si="43"/>
        <v>#DIV/0!</v>
      </c>
      <c r="AD55" s="335">
        <v>1.3</v>
      </c>
      <c r="AE55" s="335">
        <v>1.325</v>
      </c>
      <c r="AF55" s="335">
        <v>1.25</v>
      </c>
      <c r="AG55" s="336">
        <v>2500</v>
      </c>
      <c r="AH55" s="337">
        <v>2500</v>
      </c>
      <c r="AI55" s="100">
        <v>830</v>
      </c>
      <c r="AJ55" s="100">
        <v>2900</v>
      </c>
      <c r="AK55" s="100">
        <v>6295</v>
      </c>
      <c r="AL55" s="100">
        <v>19050</v>
      </c>
      <c r="AM55" s="100">
        <v>22050</v>
      </c>
      <c r="AN55" s="349">
        <f t="shared" si="14"/>
        <v>0</v>
      </c>
      <c r="AO55" s="355">
        <f t="shared" si="15"/>
        <v>0</v>
      </c>
      <c r="AP55" s="355">
        <f t="shared" si="16"/>
        <v>0</v>
      </c>
      <c r="AQ55" s="355">
        <f t="shared" si="17"/>
        <v>0</v>
      </c>
      <c r="AR55" s="356">
        <f t="shared" si="18"/>
        <v>0</v>
      </c>
      <c r="AS55" s="349">
        <f>SUM(Tabla1[[#This Row],[COSTO OPERATIVO ACIDO]:[COSTO OPERATIVO CATIONICO]])</f>
        <v>0</v>
      </c>
      <c r="AT55" s="355">
        <v>5250</v>
      </c>
      <c r="AU55" s="341" t="e">
        <f t="shared" si="44"/>
        <v>#DIV/0!</v>
      </c>
    </row>
    <row r="56" spans="1:47" ht="14.95" thickBot="1" x14ac:dyDescent="0.3">
      <c r="A56" s="144">
        <v>46041</v>
      </c>
      <c r="B56" s="99">
        <f>DAY(Tabla1[[#This Row],[FECHA]])</f>
        <v>19</v>
      </c>
      <c r="C56" s="329" t="s">
        <v>275</v>
      </c>
      <c r="D56" s="330">
        <v>55</v>
      </c>
      <c r="E56" s="330" t="s">
        <v>75</v>
      </c>
      <c r="F56" s="331">
        <v>2800</v>
      </c>
      <c r="G56" s="332">
        <v>4060</v>
      </c>
      <c r="H56" s="332">
        <v>1250</v>
      </c>
      <c r="I56" s="332">
        <v>250</v>
      </c>
      <c r="J56" s="332">
        <v>110</v>
      </c>
      <c r="K56" s="361">
        <v>16665</v>
      </c>
      <c r="L56" s="362">
        <v>530.77611940298516</v>
      </c>
      <c r="M56" s="363">
        <v>80</v>
      </c>
      <c r="N56" s="363">
        <f>+Tabla1[[#This Row],[CAUDAL DE TRATAMIENTO]]+$M$102</f>
        <v>88.462686567164184</v>
      </c>
      <c r="O56" s="323">
        <f t="shared" si="54"/>
        <v>90</v>
      </c>
      <c r="P56" s="375">
        <f t="shared" si="54"/>
        <v>220</v>
      </c>
      <c r="Q56" s="323">
        <f t="shared" si="54"/>
        <v>150</v>
      </c>
      <c r="R56" s="323">
        <f t="shared" si="54"/>
        <v>0</v>
      </c>
      <c r="S56" s="324">
        <f t="shared" si="54"/>
        <v>5</v>
      </c>
      <c r="T56" s="333">
        <f t="shared" si="11"/>
        <v>117</v>
      </c>
      <c r="U56" s="334">
        <f t="shared" si="12"/>
        <v>291.5</v>
      </c>
      <c r="V56" s="334">
        <f t="shared" si="13"/>
        <v>187.5</v>
      </c>
      <c r="W56" s="334">
        <f>Tabla1[[#This Row],[CONSUMO POL ANIONICO (KG)]]</f>
        <v>0</v>
      </c>
      <c r="X56" s="324">
        <f>Tabla1[[#This Row],[CONSUMO POL CATIONICO (KG)]]</f>
        <v>5</v>
      </c>
      <c r="Y56" s="333">
        <f t="shared" si="39"/>
        <v>220.43192171418926</v>
      </c>
      <c r="Z56" s="334">
        <f t="shared" si="40"/>
        <v>549.19577076654843</v>
      </c>
      <c r="AA56" s="334">
        <f t="shared" si="41"/>
        <v>353.25628479838025</v>
      </c>
      <c r="AB56" s="334">
        <f t="shared" si="42"/>
        <v>0</v>
      </c>
      <c r="AC56" s="324">
        <f t="shared" si="43"/>
        <v>9.4201675946234733</v>
      </c>
      <c r="AD56" s="335">
        <v>1.3</v>
      </c>
      <c r="AE56" s="335">
        <v>1.325</v>
      </c>
      <c r="AF56" s="335">
        <v>1.25</v>
      </c>
      <c r="AG56" s="336">
        <v>2500</v>
      </c>
      <c r="AH56" s="337">
        <v>2500</v>
      </c>
      <c r="AI56" s="100">
        <v>830</v>
      </c>
      <c r="AJ56" s="100">
        <v>2900</v>
      </c>
      <c r="AK56" s="100">
        <v>6295</v>
      </c>
      <c r="AL56" s="100">
        <v>19050</v>
      </c>
      <c r="AM56" s="100">
        <v>22050</v>
      </c>
      <c r="AN56" s="338">
        <f t="shared" si="14"/>
        <v>97110</v>
      </c>
      <c r="AO56" s="339">
        <f t="shared" si="15"/>
        <v>845350</v>
      </c>
      <c r="AP56" s="339">
        <f t="shared" si="16"/>
        <v>1180312.5</v>
      </c>
      <c r="AQ56" s="339">
        <f t="shared" si="17"/>
        <v>0</v>
      </c>
      <c r="AR56" s="340">
        <f t="shared" si="18"/>
        <v>110250</v>
      </c>
      <c r="AS56" s="338">
        <f>SUM(Tabla1[[#This Row],[COSTO OPERATIVO ACIDO]:[COSTO OPERATIVO CATIONICO]])</f>
        <v>2233022.5</v>
      </c>
      <c r="AT56" s="339">
        <v>5250</v>
      </c>
      <c r="AU56" s="341">
        <f t="shared" si="44"/>
        <v>4207.0892385130192</v>
      </c>
    </row>
    <row r="57" spans="1:47" ht="14.95" thickBot="1" x14ac:dyDescent="0.3">
      <c r="A57" s="342">
        <f t="shared" ref="A57:A58" si="56">A56</f>
        <v>46041</v>
      </c>
      <c r="B57" s="99">
        <f>DAY(Tabla1[[#This Row],[FECHA]])</f>
        <v>19</v>
      </c>
      <c r="C57" s="343" t="s">
        <v>276</v>
      </c>
      <c r="D57" s="344">
        <v>56</v>
      </c>
      <c r="E57" s="344" t="s">
        <v>77</v>
      </c>
      <c r="F57" s="345">
        <v>2710</v>
      </c>
      <c r="G57" s="346">
        <v>3840</v>
      </c>
      <c r="H57" s="346">
        <v>1100</v>
      </c>
      <c r="I57" s="346">
        <v>250</v>
      </c>
      <c r="J57" s="346">
        <v>105</v>
      </c>
      <c r="K57" s="364">
        <v>16671</v>
      </c>
      <c r="L57" s="359">
        <v>619.23880597014931</v>
      </c>
      <c r="M57" s="360">
        <v>80</v>
      </c>
      <c r="N57" s="360">
        <f>+Tabla1[[#This Row],[CAUDAL DE TRATAMIENTO]]+$M$102</f>
        <v>88.462686567164184</v>
      </c>
      <c r="O57" s="325">
        <f t="shared" si="54"/>
        <v>100</v>
      </c>
      <c r="P57" s="376">
        <f t="shared" si="54"/>
        <v>240</v>
      </c>
      <c r="Q57" s="325">
        <f t="shared" si="54"/>
        <v>10</v>
      </c>
      <c r="R57" s="325">
        <f t="shared" si="54"/>
        <v>0</v>
      </c>
      <c r="S57" s="326">
        <f t="shared" si="54"/>
        <v>5</v>
      </c>
      <c r="T57" s="333">
        <f t="shared" si="11"/>
        <v>130</v>
      </c>
      <c r="U57" s="334">
        <f t="shared" si="12"/>
        <v>318</v>
      </c>
      <c r="V57" s="334">
        <f t="shared" si="13"/>
        <v>12.5</v>
      </c>
      <c r="W57" s="347">
        <f>Tabla1[[#This Row],[CONSUMO POL ANIONICO (KG)]]</f>
        <v>0</v>
      </c>
      <c r="X57" s="326">
        <f>Tabla1[[#This Row],[CONSUMO POL CATIONICO (KG)]]</f>
        <v>5</v>
      </c>
      <c r="Y57" s="348">
        <f t="shared" si="39"/>
        <v>209.93516353732312</v>
      </c>
      <c r="Z57" s="347">
        <f t="shared" si="40"/>
        <v>513.53370772975961</v>
      </c>
      <c r="AA57" s="347">
        <f t="shared" si="41"/>
        <v>20.186073417050302</v>
      </c>
      <c r="AB57" s="347">
        <f t="shared" si="42"/>
        <v>0</v>
      </c>
      <c r="AC57" s="326">
        <f t="shared" si="43"/>
        <v>8.0744293668201195</v>
      </c>
      <c r="AD57" s="335">
        <v>1.3</v>
      </c>
      <c r="AE57" s="335">
        <v>1.325</v>
      </c>
      <c r="AF57" s="335">
        <v>1.25</v>
      </c>
      <c r="AG57" s="336">
        <v>2500</v>
      </c>
      <c r="AH57" s="337">
        <v>2500</v>
      </c>
      <c r="AI57" s="100">
        <v>830</v>
      </c>
      <c r="AJ57" s="100">
        <v>2900</v>
      </c>
      <c r="AK57" s="100">
        <v>6295</v>
      </c>
      <c r="AL57" s="100">
        <v>19050</v>
      </c>
      <c r="AM57" s="100">
        <v>22050</v>
      </c>
      <c r="AN57" s="349">
        <f t="shared" si="14"/>
        <v>107900</v>
      </c>
      <c r="AO57" s="341">
        <f t="shared" si="15"/>
        <v>922200</v>
      </c>
      <c r="AP57" s="341">
        <f t="shared" si="16"/>
        <v>78687.5</v>
      </c>
      <c r="AQ57" s="341">
        <f t="shared" si="17"/>
        <v>0</v>
      </c>
      <c r="AR57" s="350">
        <f t="shared" si="18"/>
        <v>110250</v>
      </c>
      <c r="AS57" s="349">
        <f>SUM(Tabla1[[#This Row],[COSTO OPERATIVO ACIDO]:[COSTO OPERATIVO CATIONICO]])</f>
        <v>1219037.5</v>
      </c>
      <c r="AT57" s="341">
        <v>5250</v>
      </c>
      <c r="AU57" s="341">
        <f t="shared" si="44"/>
        <v>1968.6064378509964</v>
      </c>
    </row>
    <row r="58" spans="1:47" ht="14.95" thickBot="1" x14ac:dyDescent="0.3">
      <c r="A58" s="351">
        <f t="shared" si="56"/>
        <v>46041</v>
      </c>
      <c r="B58" s="99">
        <f>DAY(Tabla1[[#This Row],[FECHA]])</f>
        <v>19</v>
      </c>
      <c r="C58" s="352" t="s">
        <v>30</v>
      </c>
      <c r="D58" s="353">
        <v>57</v>
      </c>
      <c r="E58" s="353" t="s">
        <v>76</v>
      </c>
      <c r="F58" s="345">
        <v>2610</v>
      </c>
      <c r="G58" s="346">
        <v>3600</v>
      </c>
      <c r="H58" s="346">
        <v>1090</v>
      </c>
      <c r="I58" s="346">
        <v>250</v>
      </c>
      <c r="J58" s="346">
        <v>100</v>
      </c>
      <c r="K58" s="365">
        <v>16678</v>
      </c>
      <c r="L58" s="366">
        <v>707.70149253731347</v>
      </c>
      <c r="M58" s="367">
        <v>80</v>
      </c>
      <c r="N58" s="367">
        <f>+Tabla1[[#This Row],[CAUDAL DE TRATAMIENTO]]+$M$102</f>
        <v>88.462686567164184</v>
      </c>
      <c r="O58" s="327">
        <f t="shared" si="54"/>
        <v>110</v>
      </c>
      <c r="P58" s="377">
        <f t="shared" si="54"/>
        <v>150</v>
      </c>
      <c r="Q58" s="327">
        <f t="shared" si="54"/>
        <v>90</v>
      </c>
      <c r="R58" s="327">
        <f t="shared" si="54"/>
        <v>5</v>
      </c>
      <c r="S58" s="328">
        <f t="shared" si="54"/>
        <v>5</v>
      </c>
      <c r="T58" s="333">
        <f t="shared" si="11"/>
        <v>143</v>
      </c>
      <c r="U58" s="334">
        <f t="shared" si="12"/>
        <v>198.75</v>
      </c>
      <c r="V58" s="334">
        <f t="shared" si="13"/>
        <v>112.5</v>
      </c>
      <c r="W58" s="354">
        <f>Tabla1[[#This Row],[CONSUMO POL ANIONICO (KG)]]</f>
        <v>5</v>
      </c>
      <c r="X58" s="328">
        <f>Tabla1[[#This Row],[CONSUMO POL CATIONICO (KG)]]</f>
        <v>5</v>
      </c>
      <c r="Y58" s="348">
        <f t="shared" si="39"/>
        <v>202.06259490467352</v>
      </c>
      <c r="Z58" s="354">
        <f t="shared" si="40"/>
        <v>280.83874641471232</v>
      </c>
      <c r="AA58" s="354">
        <f t="shared" si="41"/>
        <v>158.96532815927111</v>
      </c>
      <c r="AB58" s="354">
        <f t="shared" si="42"/>
        <v>7.0651256959676054</v>
      </c>
      <c r="AC58" s="328">
        <f t="shared" si="43"/>
        <v>7.0651256959676054</v>
      </c>
      <c r="AD58" s="335">
        <v>1.3</v>
      </c>
      <c r="AE58" s="335">
        <v>1.325</v>
      </c>
      <c r="AF58" s="335">
        <v>1.25</v>
      </c>
      <c r="AG58" s="336">
        <v>2500</v>
      </c>
      <c r="AH58" s="337">
        <v>2500</v>
      </c>
      <c r="AI58" s="100">
        <v>830</v>
      </c>
      <c r="AJ58" s="100">
        <v>2900</v>
      </c>
      <c r="AK58" s="100">
        <v>6295</v>
      </c>
      <c r="AL58" s="100">
        <v>19050</v>
      </c>
      <c r="AM58" s="100">
        <v>22050</v>
      </c>
      <c r="AN58" s="349">
        <f t="shared" si="14"/>
        <v>118690</v>
      </c>
      <c r="AO58" s="355">
        <f t="shared" si="15"/>
        <v>576375</v>
      </c>
      <c r="AP58" s="355">
        <f t="shared" si="16"/>
        <v>708187.5</v>
      </c>
      <c r="AQ58" s="355">
        <f t="shared" si="17"/>
        <v>95250</v>
      </c>
      <c r="AR58" s="356">
        <f t="shared" si="18"/>
        <v>110250</v>
      </c>
      <c r="AS58" s="349">
        <f>SUM(Tabla1[[#This Row],[COSTO OPERATIVO ACIDO]:[COSTO OPERATIVO CATIONICO]])</f>
        <v>1608752.5</v>
      </c>
      <c r="AT58" s="355">
        <v>5250</v>
      </c>
      <c r="AU58" s="341">
        <f t="shared" si="44"/>
        <v>2273.2077252404251</v>
      </c>
    </row>
    <row r="59" spans="1:47" ht="14.95" thickBot="1" x14ac:dyDescent="0.3">
      <c r="A59" s="144">
        <v>46042</v>
      </c>
      <c r="B59" s="99">
        <f>DAY(Tabla1[[#This Row],[FECHA]])</f>
        <v>20</v>
      </c>
      <c r="C59" s="329" t="s">
        <v>277</v>
      </c>
      <c r="D59" s="330">
        <v>58</v>
      </c>
      <c r="E59" s="330" t="s">
        <v>75</v>
      </c>
      <c r="F59" s="331">
        <v>2500</v>
      </c>
      <c r="G59" s="332">
        <v>3450</v>
      </c>
      <c r="H59" s="332">
        <v>1000</v>
      </c>
      <c r="I59" s="332">
        <v>245</v>
      </c>
      <c r="J59" s="332">
        <v>95</v>
      </c>
      <c r="K59" s="361">
        <v>16686</v>
      </c>
      <c r="L59" s="362">
        <v>707.70149253731347</v>
      </c>
      <c r="M59" s="363">
        <v>80</v>
      </c>
      <c r="N59" s="363">
        <f>+Tabla1[[#This Row],[CAUDAL DE TRATAMIENTO]]+$M$102</f>
        <v>88.462686567164184</v>
      </c>
      <c r="O59" s="323">
        <f>F59-F60</f>
        <v>100</v>
      </c>
      <c r="P59" s="368">
        <f>G59-G60-200</f>
        <v>250</v>
      </c>
      <c r="Q59" s="323">
        <f t="shared" ref="Q59:S63" si="57">H59-H60</f>
        <v>0</v>
      </c>
      <c r="R59" s="323">
        <f t="shared" si="57"/>
        <v>5</v>
      </c>
      <c r="S59" s="324">
        <f t="shared" si="57"/>
        <v>0</v>
      </c>
      <c r="T59" s="333">
        <f t="shared" si="11"/>
        <v>130</v>
      </c>
      <c r="U59" s="334">
        <f t="shared" si="12"/>
        <v>331.25</v>
      </c>
      <c r="V59" s="334">
        <f t="shared" si="13"/>
        <v>0</v>
      </c>
      <c r="W59" s="334">
        <f>Tabla1[[#This Row],[CONSUMO POL ANIONICO (KG)]]</f>
        <v>5</v>
      </c>
      <c r="X59" s="324">
        <f>Tabla1[[#This Row],[CONSUMO POL CATIONICO (KG)]]</f>
        <v>0</v>
      </c>
      <c r="Y59" s="333">
        <f t="shared" si="39"/>
        <v>183.69326809515775</v>
      </c>
      <c r="Z59" s="334">
        <f t="shared" si="40"/>
        <v>468.06457735785386</v>
      </c>
      <c r="AA59" s="334">
        <f t="shared" si="41"/>
        <v>0</v>
      </c>
      <c r="AB59" s="334">
        <f t="shared" si="42"/>
        <v>7.0651256959676054</v>
      </c>
      <c r="AC59" s="324">
        <f t="shared" si="43"/>
        <v>0</v>
      </c>
      <c r="AD59" s="335">
        <v>1.3</v>
      </c>
      <c r="AE59" s="335">
        <v>1.325</v>
      </c>
      <c r="AF59" s="335">
        <v>1.25</v>
      </c>
      <c r="AG59" s="336">
        <v>2500</v>
      </c>
      <c r="AH59" s="337">
        <v>2500</v>
      </c>
      <c r="AI59" s="100">
        <v>830</v>
      </c>
      <c r="AJ59" s="100">
        <v>2900</v>
      </c>
      <c r="AK59" s="100">
        <v>6295</v>
      </c>
      <c r="AL59" s="100">
        <v>19050</v>
      </c>
      <c r="AM59" s="100">
        <v>22050</v>
      </c>
      <c r="AN59" s="338">
        <f t="shared" si="14"/>
        <v>107900</v>
      </c>
      <c r="AO59" s="339">
        <f t="shared" si="15"/>
        <v>960625</v>
      </c>
      <c r="AP59" s="339">
        <f t="shared" si="16"/>
        <v>0</v>
      </c>
      <c r="AQ59" s="339">
        <f t="shared" si="17"/>
        <v>95250</v>
      </c>
      <c r="AR59" s="340">
        <f t="shared" si="18"/>
        <v>0</v>
      </c>
      <c r="AS59" s="338">
        <f>SUM(Tabla1[[#This Row],[COSTO OPERATIVO ACIDO]:[COSTO OPERATIVO CATIONICO]])</f>
        <v>1163775</v>
      </c>
      <c r="AT59" s="339">
        <v>5250</v>
      </c>
      <c r="AU59" s="341">
        <f t="shared" si="44"/>
        <v>1644.4433313649399</v>
      </c>
    </row>
    <row r="60" spans="1:47" ht="14.95" thickBot="1" x14ac:dyDescent="0.3">
      <c r="A60" s="342">
        <f t="shared" ref="A60:A61" si="58">A59</f>
        <v>46042</v>
      </c>
      <c r="B60" s="99">
        <f>DAY(Tabla1[[#This Row],[FECHA]])</f>
        <v>20</v>
      </c>
      <c r="C60" s="343" t="s">
        <v>278</v>
      </c>
      <c r="D60" s="344">
        <v>59</v>
      </c>
      <c r="E60" s="344" t="s">
        <v>77</v>
      </c>
      <c r="F60" s="345">
        <v>2400</v>
      </c>
      <c r="G60" s="346">
        <v>3000</v>
      </c>
      <c r="H60" s="346">
        <v>1000</v>
      </c>
      <c r="I60" s="346">
        <v>240</v>
      </c>
      <c r="J60" s="346">
        <v>95</v>
      </c>
      <c r="K60" s="364">
        <v>16694</v>
      </c>
      <c r="L60" s="359">
        <v>353.85074626865674</v>
      </c>
      <c r="M60" s="360">
        <v>80</v>
      </c>
      <c r="N60" s="360">
        <f>+Tabla1[[#This Row],[CAUDAL DE TRATAMIENTO]]+$M$102</f>
        <v>88.462686567164184</v>
      </c>
      <c r="O60" s="325">
        <f>F60-F61</f>
        <v>100</v>
      </c>
      <c r="P60" s="376">
        <f>G60-G61</f>
        <v>300</v>
      </c>
      <c r="Q60" s="325">
        <f t="shared" si="57"/>
        <v>10</v>
      </c>
      <c r="R60" s="325">
        <f t="shared" si="57"/>
        <v>5</v>
      </c>
      <c r="S60" s="326">
        <f t="shared" si="57"/>
        <v>5</v>
      </c>
      <c r="T60" s="333">
        <f t="shared" si="11"/>
        <v>130</v>
      </c>
      <c r="U60" s="334">
        <f t="shared" si="12"/>
        <v>397.5</v>
      </c>
      <c r="V60" s="334">
        <f t="shared" si="13"/>
        <v>12.5</v>
      </c>
      <c r="W60" s="347">
        <f>Tabla1[[#This Row],[CONSUMO POL ANIONICO (KG)]]</f>
        <v>5</v>
      </c>
      <c r="X60" s="326">
        <f>Tabla1[[#This Row],[CONSUMO POL CATIONICO (KG)]]</f>
        <v>5</v>
      </c>
      <c r="Y60" s="348">
        <f t="shared" si="39"/>
        <v>367.3865361903155</v>
      </c>
      <c r="Z60" s="347">
        <f t="shared" si="40"/>
        <v>1123.3549856588493</v>
      </c>
      <c r="AA60" s="347">
        <f t="shared" si="41"/>
        <v>35.325628479838031</v>
      </c>
      <c r="AB60" s="347">
        <f t="shared" si="42"/>
        <v>14.130251391935211</v>
      </c>
      <c r="AC60" s="326">
        <f t="shared" si="43"/>
        <v>14.130251391935211</v>
      </c>
      <c r="AD60" s="335">
        <v>1.3</v>
      </c>
      <c r="AE60" s="335">
        <v>1.325</v>
      </c>
      <c r="AF60" s="335">
        <v>1.25</v>
      </c>
      <c r="AG60" s="336">
        <v>2500</v>
      </c>
      <c r="AH60" s="337">
        <v>2500</v>
      </c>
      <c r="AI60" s="100">
        <v>830</v>
      </c>
      <c r="AJ60" s="100">
        <v>2900</v>
      </c>
      <c r="AK60" s="100">
        <v>6295</v>
      </c>
      <c r="AL60" s="100">
        <v>19050</v>
      </c>
      <c r="AM60" s="100">
        <v>22050</v>
      </c>
      <c r="AN60" s="349">
        <f t="shared" si="14"/>
        <v>107900</v>
      </c>
      <c r="AO60" s="341">
        <f t="shared" si="15"/>
        <v>1152750</v>
      </c>
      <c r="AP60" s="341">
        <f t="shared" si="16"/>
        <v>78687.5</v>
      </c>
      <c r="AQ60" s="341">
        <f t="shared" si="17"/>
        <v>95250</v>
      </c>
      <c r="AR60" s="350">
        <f t="shared" si="18"/>
        <v>110250</v>
      </c>
      <c r="AS60" s="349">
        <f>SUM(Tabla1[[#This Row],[COSTO OPERATIVO ACIDO]:[COSTO OPERATIVO CATIONICO]])</f>
        <v>1544837.5</v>
      </c>
      <c r="AT60" s="341">
        <v>5250</v>
      </c>
      <c r="AU60" s="341">
        <f t="shared" si="44"/>
        <v>4365.7884469377423</v>
      </c>
    </row>
    <row r="61" spans="1:47" ht="14.95" thickBot="1" x14ac:dyDescent="0.3">
      <c r="A61" s="351">
        <f t="shared" si="58"/>
        <v>46042</v>
      </c>
      <c r="B61" s="99">
        <f>DAY(Tabla1[[#This Row],[FECHA]])</f>
        <v>20</v>
      </c>
      <c r="C61" s="352" t="s">
        <v>30</v>
      </c>
      <c r="D61" s="353">
        <v>60</v>
      </c>
      <c r="E61" s="353" t="s">
        <v>76</v>
      </c>
      <c r="F61" s="345">
        <v>2300</v>
      </c>
      <c r="G61" s="346">
        <v>2700</v>
      </c>
      <c r="H61" s="346">
        <v>990</v>
      </c>
      <c r="I61" s="346">
        <v>235</v>
      </c>
      <c r="J61" s="346">
        <v>90</v>
      </c>
      <c r="K61" s="365">
        <v>16698</v>
      </c>
      <c r="L61" s="366">
        <v>530.77611940298516</v>
      </c>
      <c r="M61" s="367">
        <v>80</v>
      </c>
      <c r="N61" s="367">
        <f>+Tabla1[[#This Row],[CAUDAL DE TRATAMIENTO]]+$M$102</f>
        <v>88.462686567164184</v>
      </c>
      <c r="O61" s="327">
        <f>F61-F62</f>
        <v>100</v>
      </c>
      <c r="P61" s="377">
        <f>G61-G62</f>
        <v>150</v>
      </c>
      <c r="Q61" s="327">
        <f t="shared" si="57"/>
        <v>30</v>
      </c>
      <c r="R61" s="327">
        <f t="shared" si="57"/>
        <v>0</v>
      </c>
      <c r="S61" s="328">
        <f t="shared" si="57"/>
        <v>5</v>
      </c>
      <c r="T61" s="333">
        <f t="shared" si="11"/>
        <v>130</v>
      </c>
      <c r="U61" s="334">
        <f t="shared" si="12"/>
        <v>198.75</v>
      </c>
      <c r="V61" s="334">
        <f t="shared" si="13"/>
        <v>37.5</v>
      </c>
      <c r="W61" s="354">
        <f>Tabla1[[#This Row],[CONSUMO POL ANIONICO (KG)]]</f>
        <v>0</v>
      </c>
      <c r="X61" s="328">
        <f>Tabla1[[#This Row],[CONSUMO POL CATIONICO (KG)]]</f>
        <v>5</v>
      </c>
      <c r="Y61" s="348">
        <f t="shared" si="39"/>
        <v>244.9243574602103</v>
      </c>
      <c r="Z61" s="354">
        <f t="shared" si="40"/>
        <v>374.45166188628303</v>
      </c>
      <c r="AA61" s="354">
        <f t="shared" si="41"/>
        <v>70.651256959676047</v>
      </c>
      <c r="AB61" s="354">
        <f t="shared" si="42"/>
        <v>0</v>
      </c>
      <c r="AC61" s="328">
        <f t="shared" si="43"/>
        <v>9.4201675946234733</v>
      </c>
      <c r="AD61" s="335">
        <v>1.3</v>
      </c>
      <c r="AE61" s="335">
        <v>1.325</v>
      </c>
      <c r="AF61" s="335">
        <v>1.25</v>
      </c>
      <c r="AG61" s="336">
        <v>2500</v>
      </c>
      <c r="AH61" s="337">
        <v>2500</v>
      </c>
      <c r="AI61" s="100">
        <v>830</v>
      </c>
      <c r="AJ61" s="100">
        <v>2900</v>
      </c>
      <c r="AK61" s="100">
        <v>6295</v>
      </c>
      <c r="AL61" s="100">
        <v>19050</v>
      </c>
      <c r="AM61" s="100">
        <v>22050</v>
      </c>
      <c r="AN61" s="349">
        <f t="shared" si="14"/>
        <v>107900</v>
      </c>
      <c r="AO61" s="355">
        <f t="shared" si="15"/>
        <v>576375</v>
      </c>
      <c r="AP61" s="355">
        <f t="shared" si="16"/>
        <v>236062.5</v>
      </c>
      <c r="AQ61" s="355">
        <f t="shared" si="17"/>
        <v>0</v>
      </c>
      <c r="AR61" s="356">
        <f t="shared" si="18"/>
        <v>110250</v>
      </c>
      <c r="AS61" s="349">
        <f>SUM(Tabla1[[#This Row],[COSTO OPERATIVO ACIDO]:[COSTO OPERATIVO CATIONICO]])</f>
        <v>1030587.5</v>
      </c>
      <c r="AT61" s="355">
        <v>5250</v>
      </c>
      <c r="AU61" s="341">
        <f t="shared" si="44"/>
        <v>1941.6613941848036</v>
      </c>
    </row>
    <row r="62" spans="1:47" s="373" customFormat="1" ht="14.95" thickBot="1" x14ac:dyDescent="0.3">
      <c r="A62" s="144">
        <v>46043</v>
      </c>
      <c r="B62" s="99">
        <f>DAY(Tabla1[[#This Row],[FECHA]])</f>
        <v>21</v>
      </c>
      <c r="C62" s="329" t="s">
        <v>279</v>
      </c>
      <c r="D62" s="330">
        <v>61</v>
      </c>
      <c r="E62" s="330" t="s">
        <v>75</v>
      </c>
      <c r="F62" s="331">
        <v>2200</v>
      </c>
      <c r="G62" s="332">
        <v>2550</v>
      </c>
      <c r="H62" s="332">
        <v>960</v>
      </c>
      <c r="I62" s="332">
        <v>235</v>
      </c>
      <c r="J62" s="332">
        <v>85</v>
      </c>
      <c r="K62" s="361">
        <v>16704</v>
      </c>
      <c r="L62" s="362">
        <v>619.23880597014931</v>
      </c>
      <c r="M62" s="363">
        <v>80</v>
      </c>
      <c r="N62" s="363">
        <f>+Tabla1[[#This Row],[CAUDAL DE TRATAMIENTO]]+$M$102</f>
        <v>88.462686567164184</v>
      </c>
      <c r="O62" s="323">
        <f>F62-F63</f>
        <v>100</v>
      </c>
      <c r="P62" s="375">
        <f>G62-G63</f>
        <v>160</v>
      </c>
      <c r="Q62" s="323">
        <f t="shared" si="57"/>
        <v>110</v>
      </c>
      <c r="R62" s="323">
        <f t="shared" si="57"/>
        <v>5</v>
      </c>
      <c r="S62" s="324">
        <f t="shared" si="57"/>
        <v>5</v>
      </c>
      <c r="T62" s="333">
        <f t="shared" si="11"/>
        <v>130</v>
      </c>
      <c r="U62" s="334">
        <f t="shared" si="12"/>
        <v>212</v>
      </c>
      <c r="V62" s="334">
        <f t="shared" si="13"/>
        <v>137.5</v>
      </c>
      <c r="W62" s="334">
        <f>Tabla1[[#This Row],[CONSUMO POL ANIONICO (KG)]]</f>
        <v>5</v>
      </c>
      <c r="X62" s="324">
        <f>Tabla1[[#This Row],[CONSUMO POL CATIONICO (KG)]]</f>
        <v>5</v>
      </c>
      <c r="Y62" s="333">
        <f t="shared" si="39"/>
        <v>209.93516353732312</v>
      </c>
      <c r="Z62" s="334">
        <f t="shared" si="40"/>
        <v>342.35580515317309</v>
      </c>
      <c r="AA62" s="334">
        <f t="shared" si="41"/>
        <v>222.0468075875533</v>
      </c>
      <c r="AB62" s="334">
        <f t="shared" si="42"/>
        <v>8.0744293668201195</v>
      </c>
      <c r="AC62" s="324">
        <f t="shared" si="43"/>
        <v>8.0744293668201195</v>
      </c>
      <c r="AD62" s="335">
        <v>1.3</v>
      </c>
      <c r="AE62" s="335">
        <v>1.325</v>
      </c>
      <c r="AF62" s="335">
        <v>1.25</v>
      </c>
      <c r="AG62" s="336">
        <v>2500</v>
      </c>
      <c r="AH62" s="337">
        <v>2500</v>
      </c>
      <c r="AI62" s="100">
        <v>830</v>
      </c>
      <c r="AJ62" s="100">
        <v>2900</v>
      </c>
      <c r="AK62" s="100">
        <v>6295</v>
      </c>
      <c r="AL62" s="100">
        <v>19050</v>
      </c>
      <c r="AM62" s="100">
        <v>22050</v>
      </c>
      <c r="AN62" s="338">
        <f t="shared" si="14"/>
        <v>107900</v>
      </c>
      <c r="AO62" s="339">
        <f t="shared" si="15"/>
        <v>614800</v>
      </c>
      <c r="AP62" s="339">
        <f t="shared" si="16"/>
        <v>865562.5</v>
      </c>
      <c r="AQ62" s="339">
        <f t="shared" si="17"/>
        <v>95250</v>
      </c>
      <c r="AR62" s="340">
        <f t="shared" si="18"/>
        <v>110250</v>
      </c>
      <c r="AS62" s="338">
        <f>SUM(Tabla1[[#This Row],[COSTO OPERATIVO ACIDO]:[COSTO OPERATIVO CATIONICO]])</f>
        <v>1793762.5</v>
      </c>
      <c r="AT62" s="339">
        <v>5250</v>
      </c>
      <c r="AU62" s="341">
        <f t="shared" si="44"/>
        <v>2896.7217214201351</v>
      </c>
    </row>
    <row r="63" spans="1:47" s="373" customFormat="1" ht="14.95" thickBot="1" x14ac:dyDescent="0.3">
      <c r="A63" s="342">
        <f t="shared" ref="A63:A64" si="59">A62</f>
        <v>46043</v>
      </c>
      <c r="B63" s="99">
        <f>DAY(Tabla1[[#This Row],[FECHA]])</f>
        <v>21</v>
      </c>
      <c r="C63" s="343" t="s">
        <v>280</v>
      </c>
      <c r="D63" s="344">
        <v>62</v>
      </c>
      <c r="E63" s="344" t="s">
        <v>77</v>
      </c>
      <c r="F63" s="345">
        <v>2100</v>
      </c>
      <c r="G63" s="346">
        <v>2390</v>
      </c>
      <c r="H63" s="346">
        <v>850</v>
      </c>
      <c r="I63" s="346">
        <v>230</v>
      </c>
      <c r="J63" s="346">
        <v>80</v>
      </c>
      <c r="K63" s="364">
        <v>16711</v>
      </c>
      <c r="L63" s="359">
        <v>530.77611940298516</v>
      </c>
      <c r="M63" s="360">
        <v>80</v>
      </c>
      <c r="N63" s="360">
        <f>+Tabla1[[#This Row],[CAUDAL DE TRATAMIENTO]]+$M$102</f>
        <v>88.462686567164184</v>
      </c>
      <c r="O63" s="325">
        <f>F63-F64</f>
        <v>20</v>
      </c>
      <c r="P63" s="376">
        <f>G63-G64</f>
        <v>190</v>
      </c>
      <c r="Q63" s="325">
        <f t="shared" si="57"/>
        <v>50</v>
      </c>
      <c r="R63" s="325">
        <f t="shared" si="57"/>
        <v>0</v>
      </c>
      <c r="S63" s="326">
        <f t="shared" si="57"/>
        <v>5</v>
      </c>
      <c r="T63" s="333">
        <f t="shared" si="11"/>
        <v>26</v>
      </c>
      <c r="U63" s="334">
        <f t="shared" si="12"/>
        <v>251.75</v>
      </c>
      <c r="V63" s="334">
        <f t="shared" si="13"/>
        <v>62.5</v>
      </c>
      <c r="W63" s="347">
        <f>Tabla1[[#This Row],[CONSUMO POL ANIONICO (KG)]]</f>
        <v>0</v>
      </c>
      <c r="X63" s="326">
        <f>Tabla1[[#This Row],[CONSUMO POL CATIONICO (KG)]]</f>
        <v>5</v>
      </c>
      <c r="Y63" s="348">
        <f t="shared" si="39"/>
        <v>48.98487149204206</v>
      </c>
      <c r="Z63" s="347">
        <f t="shared" si="40"/>
        <v>474.30543838929185</v>
      </c>
      <c r="AA63" s="347">
        <f t="shared" si="41"/>
        <v>117.75209493279341</v>
      </c>
      <c r="AB63" s="347">
        <f t="shared" si="42"/>
        <v>0</v>
      </c>
      <c r="AC63" s="326">
        <f t="shared" si="43"/>
        <v>9.4201675946234733</v>
      </c>
      <c r="AD63" s="335">
        <v>1.3</v>
      </c>
      <c r="AE63" s="335">
        <v>1.325</v>
      </c>
      <c r="AF63" s="335">
        <v>1.25</v>
      </c>
      <c r="AG63" s="336">
        <v>2500</v>
      </c>
      <c r="AH63" s="337">
        <v>2500</v>
      </c>
      <c r="AI63" s="100">
        <v>830</v>
      </c>
      <c r="AJ63" s="100">
        <v>2900</v>
      </c>
      <c r="AK63" s="100">
        <v>6295</v>
      </c>
      <c r="AL63" s="100">
        <v>19050</v>
      </c>
      <c r="AM63" s="100">
        <v>22050</v>
      </c>
      <c r="AN63" s="349">
        <f t="shared" si="14"/>
        <v>21580</v>
      </c>
      <c r="AO63" s="341">
        <f t="shared" si="15"/>
        <v>730075</v>
      </c>
      <c r="AP63" s="341">
        <f t="shared" si="16"/>
        <v>393437.5</v>
      </c>
      <c r="AQ63" s="341">
        <f t="shared" si="17"/>
        <v>0</v>
      </c>
      <c r="AR63" s="350">
        <f t="shared" si="18"/>
        <v>110250</v>
      </c>
      <c r="AS63" s="349">
        <f>SUM(Tabla1[[#This Row],[COSTO OPERATIVO ACIDO]:[COSTO OPERATIVO CATIONICO]])</f>
        <v>1255342.5</v>
      </c>
      <c r="AT63" s="341">
        <v>5250</v>
      </c>
      <c r="AU63" s="341">
        <f t="shared" si="44"/>
        <v>2365.1073477307236</v>
      </c>
    </row>
    <row r="64" spans="1:47" s="373" customFormat="1" ht="14.95" thickBot="1" x14ac:dyDescent="0.3">
      <c r="A64" s="351">
        <f t="shared" si="59"/>
        <v>46043</v>
      </c>
      <c r="B64" s="99">
        <f>DAY(Tabla1[[#This Row],[FECHA]])</f>
        <v>21</v>
      </c>
      <c r="C64" s="352" t="s">
        <v>30</v>
      </c>
      <c r="D64" s="353">
        <v>63</v>
      </c>
      <c r="E64" s="353" t="s">
        <v>76</v>
      </c>
      <c r="F64" s="345">
        <v>2080</v>
      </c>
      <c r="G64" s="346">
        <v>2200</v>
      </c>
      <c r="H64" s="346">
        <v>800</v>
      </c>
      <c r="I64" s="346">
        <v>230</v>
      </c>
      <c r="J64" s="346">
        <v>75</v>
      </c>
      <c r="K64" s="365">
        <v>16717</v>
      </c>
      <c r="L64" s="366">
        <v>442.31343283582089</v>
      </c>
      <c r="M64" s="367">
        <v>80</v>
      </c>
      <c r="N64" s="367">
        <f>+Tabla1[[#This Row],[CAUDAL DE TRATAMIENTO]]+$M$102</f>
        <v>88.462686567164184</v>
      </c>
      <c r="O64" s="370">
        <f>F64-F65+1000</f>
        <v>80</v>
      </c>
      <c r="P64" s="322">
        <f>G64-G65+3000-150</f>
        <v>150</v>
      </c>
      <c r="Q64" s="370">
        <f>H64-H65+1000</f>
        <v>50</v>
      </c>
      <c r="R64" s="327">
        <f t="shared" ref="R64:R78" si="60">I64-I65</f>
        <v>5</v>
      </c>
      <c r="S64" s="328">
        <f t="shared" ref="S64:S78" si="61">J64-J65</f>
        <v>5</v>
      </c>
      <c r="T64" s="333">
        <f t="shared" si="11"/>
        <v>104</v>
      </c>
      <c r="U64" s="334">
        <f t="shared" si="12"/>
        <v>198.75</v>
      </c>
      <c r="V64" s="334">
        <f t="shared" si="13"/>
        <v>62.5</v>
      </c>
      <c r="W64" s="354">
        <f>Tabla1[[#This Row],[CONSUMO POL ANIONICO (KG)]]</f>
        <v>5</v>
      </c>
      <c r="X64" s="328">
        <f>Tabla1[[#This Row],[CONSUMO POL CATIONICO (KG)]]</f>
        <v>5</v>
      </c>
      <c r="Y64" s="348">
        <f t="shared" si="39"/>
        <v>235.12738316180193</v>
      </c>
      <c r="Z64" s="354">
        <f t="shared" si="40"/>
        <v>449.34199426353973</v>
      </c>
      <c r="AA64" s="354">
        <f t="shared" si="41"/>
        <v>141.30251391935212</v>
      </c>
      <c r="AB64" s="354">
        <f t="shared" si="42"/>
        <v>11.304201113548169</v>
      </c>
      <c r="AC64" s="328">
        <f t="shared" si="43"/>
        <v>11.304201113548169</v>
      </c>
      <c r="AD64" s="335">
        <v>1.3</v>
      </c>
      <c r="AE64" s="335">
        <v>1.325</v>
      </c>
      <c r="AF64" s="335">
        <v>1.25</v>
      </c>
      <c r="AG64" s="336">
        <v>2500</v>
      </c>
      <c r="AH64" s="337">
        <v>2500</v>
      </c>
      <c r="AI64" s="100">
        <v>830</v>
      </c>
      <c r="AJ64" s="100">
        <v>2900</v>
      </c>
      <c r="AK64" s="100">
        <v>6295</v>
      </c>
      <c r="AL64" s="100">
        <v>19050</v>
      </c>
      <c r="AM64" s="100">
        <v>22050</v>
      </c>
      <c r="AN64" s="349">
        <f t="shared" si="14"/>
        <v>86320</v>
      </c>
      <c r="AO64" s="355">
        <f t="shared" si="15"/>
        <v>576375</v>
      </c>
      <c r="AP64" s="355">
        <f t="shared" si="16"/>
        <v>393437.5</v>
      </c>
      <c r="AQ64" s="355">
        <f t="shared" si="17"/>
        <v>95250</v>
      </c>
      <c r="AR64" s="356">
        <f t="shared" si="18"/>
        <v>110250</v>
      </c>
      <c r="AS64" s="349">
        <f>SUM(Tabla1[[#This Row],[COSTO OPERATIVO ACIDO]:[COSTO OPERATIVO CATIONICO]])</f>
        <v>1261632.5</v>
      </c>
      <c r="AT64" s="355">
        <v>5250</v>
      </c>
      <c r="AU64" s="341">
        <f t="shared" si="44"/>
        <v>2852.3495022777124</v>
      </c>
    </row>
    <row r="65" spans="1:47" ht="14.95" thickBot="1" x14ac:dyDescent="0.3">
      <c r="A65" s="144">
        <v>46044</v>
      </c>
      <c r="B65" s="99">
        <f>DAY(Tabla1[[#This Row],[FECHA]])</f>
        <v>22</v>
      </c>
      <c r="C65" s="329" t="s">
        <v>281</v>
      </c>
      <c r="D65" s="330">
        <v>64</v>
      </c>
      <c r="E65" s="330" t="s">
        <v>75</v>
      </c>
      <c r="F65" s="331">
        <v>3000</v>
      </c>
      <c r="G65" s="332">
        <v>4900</v>
      </c>
      <c r="H65" s="332">
        <v>1750</v>
      </c>
      <c r="I65" s="332">
        <v>225</v>
      </c>
      <c r="J65" s="332">
        <v>70</v>
      </c>
      <c r="K65" s="361">
        <v>16722</v>
      </c>
      <c r="L65" s="362">
        <v>442.31343283582089</v>
      </c>
      <c r="M65" s="363">
        <v>80</v>
      </c>
      <c r="N65" s="363">
        <f>+Tabla1[[#This Row],[CAUDAL DE TRATAMIENTO]]+$M$102</f>
        <v>88.462686567164184</v>
      </c>
      <c r="O65" s="379">
        <f>F65-F66-100</f>
        <v>40</v>
      </c>
      <c r="P65" s="375">
        <f t="shared" ref="P65:Q70" si="62">G65-G66</f>
        <v>300</v>
      </c>
      <c r="Q65" s="323">
        <f t="shared" si="62"/>
        <v>110</v>
      </c>
      <c r="R65" s="323">
        <f t="shared" si="60"/>
        <v>0</v>
      </c>
      <c r="S65" s="324">
        <f t="shared" si="61"/>
        <v>5</v>
      </c>
      <c r="T65" s="333">
        <f t="shared" si="11"/>
        <v>52</v>
      </c>
      <c r="U65" s="334">
        <f t="shared" si="12"/>
        <v>397.5</v>
      </c>
      <c r="V65" s="334">
        <f t="shared" si="13"/>
        <v>137.5</v>
      </c>
      <c r="W65" s="334">
        <f>Tabla1[[#This Row],[CONSUMO POL ANIONICO (KG)]]</f>
        <v>0</v>
      </c>
      <c r="X65" s="324">
        <f>Tabla1[[#This Row],[CONSUMO POL CATIONICO (KG)]]</f>
        <v>5</v>
      </c>
      <c r="Y65" s="333">
        <f t="shared" si="39"/>
        <v>117.56369158090097</v>
      </c>
      <c r="Z65" s="334">
        <f t="shared" si="40"/>
        <v>898.68398852707946</v>
      </c>
      <c r="AA65" s="334">
        <f t="shared" si="41"/>
        <v>310.86553062257468</v>
      </c>
      <c r="AB65" s="334">
        <f t="shared" si="42"/>
        <v>0</v>
      </c>
      <c r="AC65" s="324">
        <f t="shared" si="43"/>
        <v>11.304201113548169</v>
      </c>
      <c r="AD65" s="335">
        <v>1.3</v>
      </c>
      <c r="AE65" s="335">
        <v>1.325</v>
      </c>
      <c r="AF65" s="335">
        <v>1.25</v>
      </c>
      <c r="AG65" s="336">
        <v>2500</v>
      </c>
      <c r="AH65" s="337">
        <v>2500</v>
      </c>
      <c r="AI65" s="100">
        <v>830</v>
      </c>
      <c r="AJ65" s="100">
        <v>2900</v>
      </c>
      <c r="AK65" s="100">
        <v>6295</v>
      </c>
      <c r="AL65" s="100">
        <v>19050</v>
      </c>
      <c r="AM65" s="100">
        <v>22050</v>
      </c>
      <c r="AN65" s="338">
        <f t="shared" si="14"/>
        <v>43160</v>
      </c>
      <c r="AO65" s="339">
        <f t="shared" si="15"/>
        <v>1152750</v>
      </c>
      <c r="AP65" s="339">
        <f t="shared" si="16"/>
        <v>865562.5</v>
      </c>
      <c r="AQ65" s="339">
        <f t="shared" si="17"/>
        <v>0</v>
      </c>
      <c r="AR65" s="340">
        <f t="shared" si="18"/>
        <v>110250</v>
      </c>
      <c r="AS65" s="338">
        <f>SUM(Tabla1[[#This Row],[COSTO OPERATIVO ACIDO]:[COSTO OPERATIVO CATIONICO]])</f>
        <v>2171722.5</v>
      </c>
      <c r="AT65" s="339">
        <v>5250</v>
      </c>
      <c r="AU65" s="341">
        <f t="shared" si="44"/>
        <v>4909.9175805635232</v>
      </c>
    </row>
    <row r="66" spans="1:47" ht="14.95" thickBot="1" x14ac:dyDescent="0.3">
      <c r="A66" s="342">
        <f t="shared" ref="A66:A67" si="63">A65</f>
        <v>46044</v>
      </c>
      <c r="B66" s="99">
        <f>DAY(Tabla1[[#This Row],[FECHA]])</f>
        <v>22</v>
      </c>
      <c r="C66" s="343" t="s">
        <v>282</v>
      </c>
      <c r="D66" s="344">
        <v>65</v>
      </c>
      <c r="E66" s="344" t="s">
        <v>77</v>
      </c>
      <c r="F66" s="345">
        <v>2860</v>
      </c>
      <c r="G66" s="346">
        <v>4600</v>
      </c>
      <c r="H66" s="346">
        <v>1640</v>
      </c>
      <c r="I66" s="346">
        <v>225</v>
      </c>
      <c r="J66" s="346">
        <v>65</v>
      </c>
      <c r="K66" s="364">
        <v>16727</v>
      </c>
      <c r="L66" s="359">
        <v>619.23880597014931</v>
      </c>
      <c r="M66" s="360">
        <v>80</v>
      </c>
      <c r="N66" s="360">
        <f>+Tabla1[[#This Row],[CAUDAL DE TRATAMIENTO]]+$M$102</f>
        <v>88.462686567164184</v>
      </c>
      <c r="O66" s="325">
        <f t="shared" ref="O66:O71" si="64">F66-F67</f>
        <v>100</v>
      </c>
      <c r="P66" s="376">
        <f t="shared" si="62"/>
        <v>220</v>
      </c>
      <c r="Q66" s="325">
        <f t="shared" si="62"/>
        <v>70</v>
      </c>
      <c r="R66" s="325">
        <f t="shared" si="60"/>
        <v>5</v>
      </c>
      <c r="S66" s="326">
        <f t="shared" si="61"/>
        <v>5</v>
      </c>
      <c r="T66" s="333">
        <f t="shared" si="11"/>
        <v>130</v>
      </c>
      <c r="U66" s="334">
        <f t="shared" si="12"/>
        <v>291.5</v>
      </c>
      <c r="V66" s="334">
        <f t="shared" si="13"/>
        <v>87.5</v>
      </c>
      <c r="W66" s="347">
        <f>Tabla1[[#This Row],[CONSUMO POL ANIONICO (KG)]]</f>
        <v>5</v>
      </c>
      <c r="X66" s="326">
        <f>Tabla1[[#This Row],[CONSUMO POL CATIONICO (KG)]]</f>
        <v>5</v>
      </c>
      <c r="Y66" s="348">
        <f t="shared" ref="Y66:Y95" si="65">(T66*1000)/L66</f>
        <v>209.93516353732312</v>
      </c>
      <c r="Z66" s="347">
        <f t="shared" ref="Z66:Z95" si="66">(U66*1000)/L66</f>
        <v>470.73923208561303</v>
      </c>
      <c r="AA66" s="347">
        <f t="shared" ref="AA66:AA95" si="67">(V66*1000)/L66</f>
        <v>141.30251391935209</v>
      </c>
      <c r="AB66" s="347">
        <f t="shared" ref="AB66:AB95" si="68">(W66*1000)/L66</f>
        <v>8.0744293668201195</v>
      </c>
      <c r="AC66" s="326">
        <f t="shared" ref="AC66:AC95" si="69">(X66*1000)/L66</f>
        <v>8.0744293668201195</v>
      </c>
      <c r="AD66" s="335">
        <v>1.3</v>
      </c>
      <c r="AE66" s="335">
        <v>1.325</v>
      </c>
      <c r="AF66" s="335">
        <v>1.25</v>
      </c>
      <c r="AG66" s="336">
        <v>2500</v>
      </c>
      <c r="AH66" s="337">
        <v>2500</v>
      </c>
      <c r="AI66" s="100">
        <v>830</v>
      </c>
      <c r="AJ66" s="100">
        <v>2900</v>
      </c>
      <c r="AK66" s="100">
        <v>6295</v>
      </c>
      <c r="AL66" s="100">
        <v>19050</v>
      </c>
      <c r="AM66" s="100">
        <v>22050</v>
      </c>
      <c r="AN66" s="349">
        <f t="shared" si="14"/>
        <v>107900</v>
      </c>
      <c r="AO66" s="341">
        <f t="shared" si="15"/>
        <v>845350</v>
      </c>
      <c r="AP66" s="341">
        <f t="shared" si="16"/>
        <v>550812.5</v>
      </c>
      <c r="AQ66" s="341">
        <f t="shared" si="17"/>
        <v>95250</v>
      </c>
      <c r="AR66" s="350">
        <f t="shared" si="18"/>
        <v>110250</v>
      </c>
      <c r="AS66" s="349">
        <f>SUM(Tabla1[[#This Row],[COSTO OPERATIVO ACIDO]:[COSTO OPERATIVO CATIONICO]])</f>
        <v>1709562.5</v>
      </c>
      <c r="AT66" s="341">
        <v>5250</v>
      </c>
      <c r="AU66" s="341">
        <f t="shared" ref="AU66:AU95" si="70">AS66/L66</f>
        <v>2760.7483308828841</v>
      </c>
    </row>
    <row r="67" spans="1:47" ht="14.95" thickBot="1" x14ac:dyDescent="0.3">
      <c r="A67" s="351">
        <f t="shared" si="63"/>
        <v>46044</v>
      </c>
      <c r="B67" s="99">
        <f>DAY(Tabla1[[#This Row],[FECHA]])</f>
        <v>22</v>
      </c>
      <c r="C67" s="352" t="s">
        <v>30</v>
      </c>
      <c r="D67" s="353">
        <v>66</v>
      </c>
      <c r="E67" s="353" t="s">
        <v>76</v>
      </c>
      <c r="F67" s="345">
        <v>2760</v>
      </c>
      <c r="G67" s="346">
        <v>4380</v>
      </c>
      <c r="H67" s="346">
        <v>1570</v>
      </c>
      <c r="I67" s="346">
        <v>220</v>
      </c>
      <c r="J67" s="346">
        <v>60</v>
      </c>
      <c r="K67" s="365">
        <v>16734</v>
      </c>
      <c r="L67" s="366">
        <v>530.77611940298516</v>
      </c>
      <c r="M67" s="367">
        <v>80</v>
      </c>
      <c r="N67" s="367">
        <f>+Tabla1[[#This Row],[CAUDAL DE TRATAMIENTO]]+$M$102</f>
        <v>88.462686567164184</v>
      </c>
      <c r="O67" s="327">
        <f t="shared" si="64"/>
        <v>20</v>
      </c>
      <c r="P67" s="377">
        <f t="shared" si="62"/>
        <v>280</v>
      </c>
      <c r="Q67" s="327">
        <f t="shared" si="62"/>
        <v>60</v>
      </c>
      <c r="R67" s="327">
        <f t="shared" si="60"/>
        <v>0</v>
      </c>
      <c r="S67" s="328">
        <f t="shared" si="61"/>
        <v>5</v>
      </c>
      <c r="T67" s="333">
        <f t="shared" si="11"/>
        <v>26</v>
      </c>
      <c r="U67" s="334">
        <f t="shared" si="12"/>
        <v>371</v>
      </c>
      <c r="V67" s="334">
        <f t="shared" si="13"/>
        <v>75</v>
      </c>
      <c r="W67" s="354">
        <f>Tabla1[[#This Row],[CONSUMO POL ANIONICO (KG)]]</f>
        <v>0</v>
      </c>
      <c r="X67" s="328">
        <f>Tabla1[[#This Row],[CONSUMO POL CATIONICO (KG)]]</f>
        <v>5</v>
      </c>
      <c r="Y67" s="348">
        <f t="shared" si="65"/>
        <v>48.98487149204206</v>
      </c>
      <c r="Z67" s="354">
        <f t="shared" si="66"/>
        <v>698.97643552106172</v>
      </c>
      <c r="AA67" s="354">
        <f t="shared" si="67"/>
        <v>141.30251391935209</v>
      </c>
      <c r="AB67" s="354">
        <f t="shared" si="68"/>
        <v>0</v>
      </c>
      <c r="AC67" s="328">
        <f t="shared" si="69"/>
        <v>9.4201675946234733</v>
      </c>
      <c r="AD67" s="335">
        <v>1.3</v>
      </c>
      <c r="AE67" s="335">
        <v>1.325</v>
      </c>
      <c r="AF67" s="335">
        <v>1.25</v>
      </c>
      <c r="AG67" s="336">
        <v>2500</v>
      </c>
      <c r="AH67" s="337">
        <v>2500</v>
      </c>
      <c r="AI67" s="100">
        <v>830</v>
      </c>
      <c r="AJ67" s="100">
        <v>2900</v>
      </c>
      <c r="AK67" s="100">
        <v>6295</v>
      </c>
      <c r="AL67" s="100">
        <v>19050</v>
      </c>
      <c r="AM67" s="100">
        <v>22050</v>
      </c>
      <c r="AN67" s="349">
        <f t="shared" si="14"/>
        <v>21580</v>
      </c>
      <c r="AO67" s="355">
        <f t="shared" si="15"/>
        <v>1075900</v>
      </c>
      <c r="AP67" s="355">
        <f t="shared" si="16"/>
        <v>472125</v>
      </c>
      <c r="AQ67" s="355">
        <f t="shared" si="17"/>
        <v>0</v>
      </c>
      <c r="AR67" s="356">
        <f t="shared" si="18"/>
        <v>110250</v>
      </c>
      <c r="AS67" s="349">
        <f>SUM(Tabla1[[#This Row],[COSTO OPERATIVO ACIDO]:[COSTO OPERATIVO CATIONICO]])</f>
        <v>1679855</v>
      </c>
      <c r="AT67" s="355">
        <v>5250</v>
      </c>
      <c r="AU67" s="341">
        <f t="shared" si="70"/>
        <v>3164.9031269332427</v>
      </c>
    </row>
    <row r="68" spans="1:47" ht="14.95" thickBot="1" x14ac:dyDescent="0.3">
      <c r="A68" s="144">
        <v>46045</v>
      </c>
      <c r="B68" s="99">
        <f>DAY(Tabla1[[#This Row],[FECHA]])</f>
        <v>23</v>
      </c>
      <c r="C68" s="329" t="s">
        <v>283</v>
      </c>
      <c r="D68" s="330">
        <v>67</v>
      </c>
      <c r="E68" s="330" t="s">
        <v>75</v>
      </c>
      <c r="F68" s="331">
        <v>2740</v>
      </c>
      <c r="G68" s="332">
        <v>4100</v>
      </c>
      <c r="H68" s="332">
        <v>1510</v>
      </c>
      <c r="I68" s="332">
        <v>220</v>
      </c>
      <c r="J68" s="332">
        <v>55</v>
      </c>
      <c r="K68" s="361">
        <v>16740</v>
      </c>
      <c r="L68" s="362">
        <v>265.38805970149258</v>
      </c>
      <c r="M68" s="363">
        <v>80</v>
      </c>
      <c r="N68" s="363">
        <f>+Tabla1[[#This Row],[CAUDAL DE TRATAMIENTO]]+$M$102</f>
        <v>88.462686567164184</v>
      </c>
      <c r="O68" s="323">
        <f t="shared" si="64"/>
        <v>0</v>
      </c>
      <c r="P68" s="375">
        <f t="shared" si="62"/>
        <v>190</v>
      </c>
      <c r="Q68" s="323">
        <f t="shared" si="62"/>
        <v>10</v>
      </c>
      <c r="R68" s="323">
        <f t="shared" si="60"/>
        <v>5</v>
      </c>
      <c r="S68" s="324">
        <f t="shared" si="61"/>
        <v>5</v>
      </c>
      <c r="T68" s="333">
        <f t="shared" si="11"/>
        <v>0</v>
      </c>
      <c r="U68" s="334">
        <f t="shared" si="12"/>
        <v>251.75</v>
      </c>
      <c r="V68" s="334">
        <f t="shared" si="13"/>
        <v>12.5</v>
      </c>
      <c r="W68" s="334">
        <f>Tabla1[[#This Row],[CONSUMO POL ANIONICO (KG)]]</f>
        <v>5</v>
      </c>
      <c r="X68" s="324">
        <f>Tabla1[[#This Row],[CONSUMO POL CATIONICO (KG)]]</f>
        <v>5</v>
      </c>
      <c r="Y68" s="333">
        <f t="shared" si="65"/>
        <v>0</v>
      </c>
      <c r="Z68" s="334">
        <f t="shared" si="66"/>
        <v>948.6108767785837</v>
      </c>
      <c r="AA68" s="334">
        <f t="shared" si="67"/>
        <v>47.100837973117365</v>
      </c>
      <c r="AB68" s="334">
        <f t="shared" si="68"/>
        <v>18.840335189246947</v>
      </c>
      <c r="AC68" s="324">
        <f t="shared" si="69"/>
        <v>18.840335189246947</v>
      </c>
      <c r="AD68" s="335">
        <v>1.3</v>
      </c>
      <c r="AE68" s="335">
        <v>1.325</v>
      </c>
      <c r="AF68" s="335">
        <v>1.25</v>
      </c>
      <c r="AG68" s="336">
        <v>2500</v>
      </c>
      <c r="AH68" s="337">
        <v>2500</v>
      </c>
      <c r="AI68" s="100">
        <v>830</v>
      </c>
      <c r="AJ68" s="100">
        <v>2900</v>
      </c>
      <c r="AK68" s="100">
        <v>6295</v>
      </c>
      <c r="AL68" s="100">
        <v>19050</v>
      </c>
      <c r="AM68" s="100">
        <v>22050</v>
      </c>
      <c r="AN68" s="338">
        <f t="shared" si="14"/>
        <v>0</v>
      </c>
      <c r="AO68" s="339">
        <f t="shared" si="15"/>
        <v>730075</v>
      </c>
      <c r="AP68" s="339">
        <f t="shared" si="16"/>
        <v>78687.5</v>
      </c>
      <c r="AQ68" s="339">
        <f t="shared" si="17"/>
        <v>95250</v>
      </c>
      <c r="AR68" s="340">
        <f t="shared" si="18"/>
        <v>110250</v>
      </c>
      <c r="AS68" s="338">
        <f>SUM(Tabla1[[#This Row],[COSTO OPERATIVO ACIDO]:[COSTO OPERATIVO CATIONICO]])</f>
        <v>1014262.5</v>
      </c>
      <c r="AT68" s="339">
        <v>5250</v>
      </c>
      <c r="AU68" s="341">
        <f t="shared" si="70"/>
        <v>3821.8090939767162</v>
      </c>
    </row>
    <row r="69" spans="1:47" ht="14.95" thickBot="1" x14ac:dyDescent="0.3">
      <c r="A69" s="342">
        <f t="shared" ref="A69:A70" si="71">A68</f>
        <v>46045</v>
      </c>
      <c r="B69" s="99">
        <f>DAY(Tabla1[[#This Row],[FECHA]])</f>
        <v>23</v>
      </c>
      <c r="C69" s="343" t="s">
        <v>284</v>
      </c>
      <c r="D69" s="344">
        <v>68</v>
      </c>
      <c r="E69" s="344" t="s">
        <v>77</v>
      </c>
      <c r="F69" s="345">
        <v>2740</v>
      </c>
      <c r="G69" s="346">
        <v>3910</v>
      </c>
      <c r="H69" s="346">
        <v>1500</v>
      </c>
      <c r="I69" s="346">
        <v>215</v>
      </c>
      <c r="J69" s="346">
        <v>50</v>
      </c>
      <c r="K69" s="364">
        <v>16743</v>
      </c>
      <c r="L69" s="359">
        <v>176.92537313432837</v>
      </c>
      <c r="M69" s="360">
        <v>80</v>
      </c>
      <c r="N69" s="360">
        <f>+Tabla1[[#This Row],[CAUDAL DE TRATAMIENTO]]+$M$102</f>
        <v>88.462686567164184</v>
      </c>
      <c r="O69" s="325">
        <f t="shared" si="64"/>
        <v>0</v>
      </c>
      <c r="P69" s="376">
        <f t="shared" si="62"/>
        <v>90</v>
      </c>
      <c r="Q69" s="325">
        <f t="shared" si="62"/>
        <v>20</v>
      </c>
      <c r="R69" s="325">
        <f t="shared" si="60"/>
        <v>0</v>
      </c>
      <c r="S69" s="326">
        <f t="shared" si="61"/>
        <v>5</v>
      </c>
      <c r="T69" s="333">
        <f t="shared" ref="T69:T94" si="72">(O69*$AD$2)</f>
        <v>0</v>
      </c>
      <c r="U69" s="334">
        <f t="shared" ref="U69:U94" si="73">(P69*$AE$2)</f>
        <v>119.25</v>
      </c>
      <c r="V69" s="334">
        <f t="shared" ref="V69:V94" si="74">(Q69*$AF$2)</f>
        <v>25</v>
      </c>
      <c r="W69" s="347">
        <f>Tabla1[[#This Row],[CONSUMO POL ANIONICO (KG)]]</f>
        <v>0</v>
      </c>
      <c r="X69" s="326">
        <f>Tabla1[[#This Row],[CONSUMO POL CATIONICO (KG)]]</f>
        <v>5</v>
      </c>
      <c r="Y69" s="348">
        <f t="shared" si="65"/>
        <v>0</v>
      </c>
      <c r="Z69" s="347">
        <f t="shared" si="66"/>
        <v>674.01299139530954</v>
      </c>
      <c r="AA69" s="347">
        <f t="shared" si="67"/>
        <v>141.30251391935212</v>
      </c>
      <c r="AB69" s="347">
        <f t="shared" si="68"/>
        <v>0</v>
      </c>
      <c r="AC69" s="326">
        <f t="shared" si="69"/>
        <v>28.260502783870422</v>
      </c>
      <c r="AD69" s="335">
        <v>1.3</v>
      </c>
      <c r="AE69" s="335">
        <v>1.325</v>
      </c>
      <c r="AF69" s="335">
        <v>1.25</v>
      </c>
      <c r="AG69" s="336">
        <v>2500</v>
      </c>
      <c r="AH69" s="337">
        <v>2500</v>
      </c>
      <c r="AI69" s="100">
        <v>830</v>
      </c>
      <c r="AJ69" s="100">
        <v>2900</v>
      </c>
      <c r="AK69" s="100">
        <v>6295</v>
      </c>
      <c r="AL69" s="100">
        <v>19050</v>
      </c>
      <c r="AM69" s="100">
        <v>22050</v>
      </c>
      <c r="AN69" s="349">
        <f t="shared" ref="AN69:AN94" si="75">T69*AI69</f>
        <v>0</v>
      </c>
      <c r="AO69" s="341">
        <f t="shared" ref="AO69:AO94" si="76">U69*AJ69</f>
        <v>345825</v>
      </c>
      <c r="AP69" s="341">
        <f t="shared" ref="AP69:AP94" si="77">V69*AK69</f>
        <v>157375</v>
      </c>
      <c r="AQ69" s="341">
        <f t="shared" ref="AQ69:AQ94" si="78">W69*AL69</f>
        <v>0</v>
      </c>
      <c r="AR69" s="350">
        <f t="shared" ref="AR69:AR94" si="79">X69*AM69</f>
        <v>110250</v>
      </c>
      <c r="AS69" s="349">
        <f>SUM(Tabla1[[#This Row],[COSTO OPERATIVO ACIDO]:[COSTO OPERATIVO CATIONICO]])</f>
        <v>613450</v>
      </c>
      <c r="AT69" s="341">
        <v>5250</v>
      </c>
      <c r="AU69" s="341">
        <f t="shared" si="70"/>
        <v>3467.2810865530619</v>
      </c>
    </row>
    <row r="70" spans="1:47" ht="14.95" thickBot="1" x14ac:dyDescent="0.3">
      <c r="A70" s="351">
        <f t="shared" si="71"/>
        <v>46045</v>
      </c>
      <c r="B70" s="99">
        <f>DAY(Tabla1[[#This Row],[FECHA]])</f>
        <v>23</v>
      </c>
      <c r="C70" s="352" t="s">
        <v>30</v>
      </c>
      <c r="D70" s="353">
        <v>69</v>
      </c>
      <c r="E70" s="353" t="s">
        <v>76</v>
      </c>
      <c r="F70" s="345">
        <v>2740</v>
      </c>
      <c r="G70" s="346">
        <v>3820</v>
      </c>
      <c r="H70" s="346">
        <v>1480</v>
      </c>
      <c r="I70" s="346">
        <v>215</v>
      </c>
      <c r="J70" s="346">
        <v>45</v>
      </c>
      <c r="K70" s="365">
        <v>16745</v>
      </c>
      <c r="L70" s="366">
        <v>530.77611940298516</v>
      </c>
      <c r="M70" s="367">
        <v>80</v>
      </c>
      <c r="N70" s="367">
        <f>+Tabla1[[#This Row],[CAUDAL DE TRATAMIENTO]]+$M$102</f>
        <v>88.462686567164184</v>
      </c>
      <c r="O70" s="327">
        <f t="shared" si="64"/>
        <v>20</v>
      </c>
      <c r="P70" s="377">
        <f t="shared" si="62"/>
        <v>420</v>
      </c>
      <c r="Q70" s="327">
        <f t="shared" si="62"/>
        <v>80</v>
      </c>
      <c r="R70" s="327">
        <f t="shared" si="60"/>
        <v>5</v>
      </c>
      <c r="S70" s="328">
        <f t="shared" si="61"/>
        <v>5</v>
      </c>
      <c r="T70" s="333">
        <f t="shared" si="72"/>
        <v>26</v>
      </c>
      <c r="U70" s="334">
        <f t="shared" si="73"/>
        <v>556.5</v>
      </c>
      <c r="V70" s="334">
        <f t="shared" si="74"/>
        <v>100</v>
      </c>
      <c r="W70" s="354">
        <f>Tabla1[[#This Row],[CONSUMO POL ANIONICO (KG)]]</f>
        <v>5</v>
      </c>
      <c r="X70" s="328">
        <f>Tabla1[[#This Row],[CONSUMO POL CATIONICO (KG)]]</f>
        <v>5</v>
      </c>
      <c r="Y70" s="348">
        <f t="shared" si="65"/>
        <v>48.98487149204206</v>
      </c>
      <c r="Z70" s="354">
        <f t="shared" si="66"/>
        <v>1048.4646532815925</v>
      </c>
      <c r="AA70" s="354">
        <f t="shared" si="67"/>
        <v>188.40335189246946</v>
      </c>
      <c r="AB70" s="354">
        <f t="shared" si="68"/>
        <v>9.4201675946234733</v>
      </c>
      <c r="AC70" s="328">
        <f t="shared" si="69"/>
        <v>9.4201675946234733</v>
      </c>
      <c r="AD70" s="335">
        <v>1.3</v>
      </c>
      <c r="AE70" s="335">
        <v>1.325</v>
      </c>
      <c r="AF70" s="335">
        <v>1.25</v>
      </c>
      <c r="AG70" s="336">
        <v>2500</v>
      </c>
      <c r="AH70" s="337">
        <v>2500</v>
      </c>
      <c r="AI70" s="100">
        <v>830</v>
      </c>
      <c r="AJ70" s="100">
        <v>2900</v>
      </c>
      <c r="AK70" s="100">
        <v>6295</v>
      </c>
      <c r="AL70" s="100">
        <v>19050</v>
      </c>
      <c r="AM70" s="100">
        <v>22050</v>
      </c>
      <c r="AN70" s="349">
        <f t="shared" si="75"/>
        <v>21580</v>
      </c>
      <c r="AO70" s="355">
        <f t="shared" si="76"/>
        <v>1613850</v>
      </c>
      <c r="AP70" s="355">
        <f t="shared" si="77"/>
        <v>629500</v>
      </c>
      <c r="AQ70" s="355">
        <f t="shared" si="78"/>
        <v>95250</v>
      </c>
      <c r="AR70" s="356">
        <f t="shared" si="79"/>
        <v>110250</v>
      </c>
      <c r="AS70" s="349">
        <f>SUM(Tabla1[[#This Row],[COSTO OPERATIVO ACIDO]:[COSTO OPERATIVO CATIONICO]])</f>
        <v>2470430</v>
      </c>
      <c r="AT70" s="355">
        <v>5250</v>
      </c>
      <c r="AU70" s="341">
        <f t="shared" si="70"/>
        <v>4654.3729261571334</v>
      </c>
    </row>
    <row r="71" spans="1:47" ht="14.95" thickBot="1" x14ac:dyDescent="0.3">
      <c r="A71" s="144">
        <v>46046</v>
      </c>
      <c r="B71" s="99">
        <f>DAY(Tabla1[[#This Row],[FECHA]])</f>
        <v>24</v>
      </c>
      <c r="C71" s="329" t="s">
        <v>285</v>
      </c>
      <c r="D71" s="330">
        <v>70</v>
      </c>
      <c r="E71" s="330" t="s">
        <v>75</v>
      </c>
      <c r="F71" s="331">
        <v>2720</v>
      </c>
      <c r="G71" s="332">
        <v>3400</v>
      </c>
      <c r="H71" s="332">
        <v>1400</v>
      </c>
      <c r="I71" s="332">
        <v>210</v>
      </c>
      <c r="J71" s="332">
        <v>40</v>
      </c>
      <c r="K71" s="361">
        <v>16751</v>
      </c>
      <c r="L71" s="362">
        <v>442.31343283582089</v>
      </c>
      <c r="M71" s="363">
        <v>80</v>
      </c>
      <c r="N71" s="363">
        <f>+Tabla1[[#This Row],[CAUDAL DE TRATAMIENTO]]+$M$102</f>
        <v>88.462686567164184</v>
      </c>
      <c r="O71" s="323">
        <f t="shared" si="64"/>
        <v>20</v>
      </c>
      <c r="P71" s="375">
        <f t="shared" ref="P71:P94" si="80">G71-G72</f>
        <v>120</v>
      </c>
      <c r="Q71" s="323">
        <f>H71-H72</f>
        <v>30</v>
      </c>
      <c r="R71" s="323">
        <f t="shared" si="60"/>
        <v>0</v>
      </c>
      <c r="S71" s="324">
        <f t="shared" si="61"/>
        <v>5</v>
      </c>
      <c r="T71" s="333">
        <f t="shared" si="72"/>
        <v>26</v>
      </c>
      <c r="U71" s="334">
        <f t="shared" si="73"/>
        <v>159</v>
      </c>
      <c r="V71" s="334">
        <f t="shared" si="74"/>
        <v>37.5</v>
      </c>
      <c r="W71" s="334">
        <f>Tabla1[[#This Row],[CONSUMO POL ANIONICO (KG)]]</f>
        <v>0</v>
      </c>
      <c r="X71" s="324">
        <f>Tabla1[[#This Row],[CONSUMO POL CATIONICO (KG)]]</f>
        <v>5</v>
      </c>
      <c r="Y71" s="333">
        <f t="shared" si="65"/>
        <v>58.781845790450483</v>
      </c>
      <c r="Z71" s="334">
        <f t="shared" si="66"/>
        <v>359.47359541083176</v>
      </c>
      <c r="AA71" s="334">
        <f t="shared" si="67"/>
        <v>84.781508351611265</v>
      </c>
      <c r="AB71" s="334">
        <f t="shared" si="68"/>
        <v>0</v>
      </c>
      <c r="AC71" s="324">
        <f t="shared" si="69"/>
        <v>11.304201113548169</v>
      </c>
      <c r="AD71" s="335">
        <v>1.3</v>
      </c>
      <c r="AE71" s="335">
        <v>1.325</v>
      </c>
      <c r="AF71" s="335">
        <v>1.25</v>
      </c>
      <c r="AG71" s="336">
        <v>2500</v>
      </c>
      <c r="AH71" s="337">
        <v>2500</v>
      </c>
      <c r="AI71" s="100">
        <v>830</v>
      </c>
      <c r="AJ71" s="100">
        <v>2900</v>
      </c>
      <c r="AK71" s="100">
        <v>6295</v>
      </c>
      <c r="AL71" s="100">
        <v>19050</v>
      </c>
      <c r="AM71" s="100">
        <v>22050</v>
      </c>
      <c r="AN71" s="338">
        <f t="shared" si="75"/>
        <v>21580</v>
      </c>
      <c r="AO71" s="339">
        <f t="shared" si="76"/>
        <v>461100</v>
      </c>
      <c r="AP71" s="339">
        <f t="shared" si="77"/>
        <v>236062.5</v>
      </c>
      <c r="AQ71" s="339">
        <f t="shared" si="78"/>
        <v>0</v>
      </c>
      <c r="AR71" s="340">
        <f t="shared" si="79"/>
        <v>110250</v>
      </c>
      <c r="AS71" s="338">
        <f>SUM(Tabla1[[#This Row],[COSTO OPERATIVO ACIDO]:[COSTO OPERATIVO CATIONICO]])</f>
        <v>828992.5</v>
      </c>
      <c r="AT71" s="339">
        <v>5250</v>
      </c>
      <c r="AU71" s="341">
        <f t="shared" si="70"/>
        <v>1874.2195883246161</v>
      </c>
    </row>
    <row r="72" spans="1:47" ht="14.95" thickBot="1" x14ac:dyDescent="0.3">
      <c r="A72" s="342">
        <f t="shared" ref="A72:A73" si="81">A71</f>
        <v>46046</v>
      </c>
      <c r="B72" s="99">
        <f>DAY(Tabla1[[#This Row],[FECHA]])</f>
        <v>24</v>
      </c>
      <c r="C72" s="343" t="s">
        <v>286</v>
      </c>
      <c r="D72" s="344">
        <v>71</v>
      </c>
      <c r="E72" s="344" t="s">
        <v>77</v>
      </c>
      <c r="F72" s="345">
        <v>2700</v>
      </c>
      <c r="G72" s="346">
        <v>3280</v>
      </c>
      <c r="H72" s="346">
        <v>1370</v>
      </c>
      <c r="I72" s="346">
        <v>210</v>
      </c>
      <c r="J72" s="346">
        <v>35</v>
      </c>
      <c r="K72" s="364">
        <v>16756</v>
      </c>
      <c r="L72" s="359">
        <v>176.92537313432837</v>
      </c>
      <c r="M72" s="360">
        <v>80</v>
      </c>
      <c r="N72" s="360">
        <f>+Tabla1[[#This Row],[CAUDAL DE TRATAMIENTO]]+$M$102</f>
        <v>88.462686567164184</v>
      </c>
      <c r="O72" s="325">
        <f t="shared" ref="O72:O93" si="82">F72-F73</f>
        <v>10</v>
      </c>
      <c r="P72" s="376">
        <f t="shared" si="80"/>
        <v>30</v>
      </c>
      <c r="Q72" s="325">
        <f>H72-H73</f>
        <v>10</v>
      </c>
      <c r="R72" s="325">
        <f t="shared" si="60"/>
        <v>5</v>
      </c>
      <c r="S72" s="326">
        <f t="shared" si="61"/>
        <v>0</v>
      </c>
      <c r="T72" s="333">
        <f t="shared" si="72"/>
        <v>13</v>
      </c>
      <c r="U72" s="334">
        <f t="shared" si="73"/>
        <v>39.75</v>
      </c>
      <c r="V72" s="334">
        <f t="shared" si="74"/>
        <v>12.5</v>
      </c>
      <c r="W72" s="347">
        <f>Tabla1[[#This Row],[CONSUMO POL ANIONICO (KG)]]</f>
        <v>5</v>
      </c>
      <c r="X72" s="326">
        <f>Tabla1[[#This Row],[CONSUMO POL CATIONICO (KG)]]</f>
        <v>0</v>
      </c>
      <c r="Y72" s="348">
        <f t="shared" si="65"/>
        <v>73.477307238063091</v>
      </c>
      <c r="Z72" s="347">
        <f t="shared" si="66"/>
        <v>224.67099713176987</v>
      </c>
      <c r="AA72" s="347">
        <f t="shared" si="67"/>
        <v>70.651256959676061</v>
      </c>
      <c r="AB72" s="347">
        <f t="shared" si="68"/>
        <v>28.260502783870422</v>
      </c>
      <c r="AC72" s="326">
        <f t="shared" si="69"/>
        <v>0</v>
      </c>
      <c r="AD72" s="335">
        <v>1.3</v>
      </c>
      <c r="AE72" s="335">
        <v>1.325</v>
      </c>
      <c r="AF72" s="335">
        <v>1.25</v>
      </c>
      <c r="AG72" s="336">
        <v>2500</v>
      </c>
      <c r="AH72" s="337">
        <v>2500</v>
      </c>
      <c r="AI72" s="100">
        <v>830</v>
      </c>
      <c r="AJ72" s="100">
        <v>2900</v>
      </c>
      <c r="AK72" s="100">
        <v>6295</v>
      </c>
      <c r="AL72" s="100">
        <v>19050</v>
      </c>
      <c r="AM72" s="100">
        <v>22050</v>
      </c>
      <c r="AN72" s="349">
        <f t="shared" si="75"/>
        <v>10790</v>
      </c>
      <c r="AO72" s="341">
        <f t="shared" si="76"/>
        <v>115275</v>
      </c>
      <c r="AP72" s="341">
        <f t="shared" si="77"/>
        <v>78687.5</v>
      </c>
      <c r="AQ72" s="341">
        <f t="shared" si="78"/>
        <v>95250</v>
      </c>
      <c r="AR72" s="350">
        <f t="shared" si="79"/>
        <v>0</v>
      </c>
      <c r="AS72" s="349">
        <f>SUM(Tabla1[[#This Row],[COSTO OPERATIVO ACIDO]:[COSTO OPERATIVO CATIONICO]])</f>
        <v>300002.5</v>
      </c>
      <c r="AT72" s="341">
        <v>5250</v>
      </c>
      <c r="AU72" s="341">
        <f t="shared" si="70"/>
        <v>1695.6442972836173</v>
      </c>
    </row>
    <row r="73" spans="1:47" s="373" customFormat="1" ht="14.95" thickBot="1" x14ac:dyDescent="0.3">
      <c r="A73" s="351">
        <f t="shared" si="81"/>
        <v>46046</v>
      </c>
      <c r="B73" s="99">
        <f>DAY(Tabla1[[#This Row],[FECHA]])</f>
        <v>24</v>
      </c>
      <c r="C73" s="352" t="s">
        <v>30</v>
      </c>
      <c r="D73" s="353">
        <v>72</v>
      </c>
      <c r="E73" s="353" t="s">
        <v>76</v>
      </c>
      <c r="F73" s="345">
        <v>2690</v>
      </c>
      <c r="G73" s="346">
        <v>3250</v>
      </c>
      <c r="H73" s="346">
        <v>1360</v>
      </c>
      <c r="I73" s="346">
        <v>205</v>
      </c>
      <c r="J73" s="346">
        <v>35</v>
      </c>
      <c r="K73" s="365">
        <v>16758</v>
      </c>
      <c r="L73" s="366">
        <v>176.92537313432837</v>
      </c>
      <c r="M73" s="367">
        <v>80</v>
      </c>
      <c r="N73" s="367">
        <f>+Tabla1[[#This Row],[CAUDAL DE TRATAMIENTO]]+$M$102</f>
        <v>88.462686567164184</v>
      </c>
      <c r="O73" s="327">
        <f t="shared" si="82"/>
        <v>0</v>
      </c>
      <c r="P73" s="377">
        <f t="shared" si="80"/>
        <v>0</v>
      </c>
      <c r="Q73" s="327">
        <f>H73-H74</f>
        <v>0</v>
      </c>
      <c r="R73" s="327">
        <f t="shared" si="60"/>
        <v>0</v>
      </c>
      <c r="S73" s="328">
        <f t="shared" si="61"/>
        <v>0</v>
      </c>
      <c r="T73" s="333">
        <f t="shared" si="72"/>
        <v>0</v>
      </c>
      <c r="U73" s="334">
        <f t="shared" si="73"/>
        <v>0</v>
      </c>
      <c r="V73" s="334">
        <f t="shared" si="74"/>
        <v>0</v>
      </c>
      <c r="W73" s="354">
        <f>Tabla1[[#This Row],[CONSUMO POL ANIONICO (KG)]]</f>
        <v>0</v>
      </c>
      <c r="X73" s="328">
        <f>Tabla1[[#This Row],[CONSUMO POL CATIONICO (KG)]]</f>
        <v>0</v>
      </c>
      <c r="Y73" s="348">
        <f t="shared" si="65"/>
        <v>0</v>
      </c>
      <c r="Z73" s="354">
        <f t="shared" si="66"/>
        <v>0</v>
      </c>
      <c r="AA73" s="354">
        <f t="shared" si="67"/>
        <v>0</v>
      </c>
      <c r="AB73" s="354">
        <f t="shared" si="68"/>
        <v>0</v>
      </c>
      <c r="AC73" s="328">
        <f t="shared" si="69"/>
        <v>0</v>
      </c>
      <c r="AD73" s="335">
        <v>1.3</v>
      </c>
      <c r="AE73" s="335">
        <v>1.325</v>
      </c>
      <c r="AF73" s="335">
        <v>1.25</v>
      </c>
      <c r="AG73" s="336">
        <v>2500</v>
      </c>
      <c r="AH73" s="337">
        <v>2500</v>
      </c>
      <c r="AI73" s="100">
        <v>830</v>
      </c>
      <c r="AJ73" s="100">
        <v>2900</v>
      </c>
      <c r="AK73" s="100">
        <v>6295</v>
      </c>
      <c r="AL73" s="100">
        <v>19050</v>
      </c>
      <c r="AM73" s="100">
        <v>22050</v>
      </c>
      <c r="AN73" s="349">
        <f t="shared" si="75"/>
        <v>0</v>
      </c>
      <c r="AO73" s="355">
        <f t="shared" si="76"/>
        <v>0</v>
      </c>
      <c r="AP73" s="355">
        <f t="shared" si="77"/>
        <v>0</v>
      </c>
      <c r="AQ73" s="355">
        <f t="shared" si="78"/>
        <v>0</v>
      </c>
      <c r="AR73" s="356">
        <f t="shared" si="79"/>
        <v>0</v>
      </c>
      <c r="AS73" s="349">
        <f>SUM(Tabla1[[#This Row],[COSTO OPERATIVO ACIDO]:[COSTO OPERATIVO CATIONICO]])</f>
        <v>0</v>
      </c>
      <c r="AT73" s="355">
        <v>5250</v>
      </c>
      <c r="AU73" s="341">
        <f t="shared" si="70"/>
        <v>0</v>
      </c>
    </row>
    <row r="74" spans="1:47" s="373" customFormat="1" ht="14.95" thickBot="1" x14ac:dyDescent="0.3">
      <c r="A74" s="144">
        <v>46047</v>
      </c>
      <c r="B74" s="99">
        <f>DAY(Tabla1[[#This Row],[FECHA]])</f>
        <v>25</v>
      </c>
      <c r="C74" s="329" t="s">
        <v>287</v>
      </c>
      <c r="D74" s="330">
        <v>73</v>
      </c>
      <c r="E74" s="330" t="s">
        <v>75</v>
      </c>
      <c r="F74" s="331">
        <v>2690</v>
      </c>
      <c r="G74" s="332">
        <v>3250</v>
      </c>
      <c r="H74" s="332">
        <v>1360</v>
      </c>
      <c r="I74" s="332">
        <v>205</v>
      </c>
      <c r="J74" s="332">
        <v>35</v>
      </c>
      <c r="K74" s="361">
        <v>16760</v>
      </c>
      <c r="L74" s="362">
        <v>0</v>
      </c>
      <c r="M74" s="363">
        <v>80</v>
      </c>
      <c r="N74" s="363">
        <f>+Tabla1[[#This Row],[CAUDAL DE TRATAMIENTO]]+$M$102</f>
        <v>88.462686567164184</v>
      </c>
      <c r="O74" s="323">
        <f t="shared" ref="O74:Q76" si="83">F74-F75</f>
        <v>0</v>
      </c>
      <c r="P74" s="375">
        <f t="shared" si="83"/>
        <v>0</v>
      </c>
      <c r="Q74" s="323">
        <f t="shared" si="83"/>
        <v>0</v>
      </c>
      <c r="R74" s="323">
        <f t="shared" si="60"/>
        <v>0</v>
      </c>
      <c r="S74" s="324">
        <f t="shared" si="61"/>
        <v>0</v>
      </c>
      <c r="T74" s="333">
        <f t="shared" si="72"/>
        <v>0</v>
      </c>
      <c r="U74" s="334">
        <f t="shared" si="73"/>
        <v>0</v>
      </c>
      <c r="V74" s="334">
        <f t="shared" si="74"/>
        <v>0</v>
      </c>
      <c r="W74" s="334">
        <f>Tabla1[[#This Row],[CONSUMO POL ANIONICO (KG)]]</f>
        <v>0</v>
      </c>
      <c r="X74" s="324">
        <f>Tabla1[[#This Row],[CONSUMO POL CATIONICO (KG)]]</f>
        <v>0</v>
      </c>
      <c r="Y74" s="333" t="e">
        <f t="shared" si="65"/>
        <v>#DIV/0!</v>
      </c>
      <c r="Z74" s="334" t="e">
        <f t="shared" si="66"/>
        <v>#DIV/0!</v>
      </c>
      <c r="AA74" s="334" t="e">
        <f t="shared" si="67"/>
        <v>#DIV/0!</v>
      </c>
      <c r="AB74" s="334" t="e">
        <f t="shared" si="68"/>
        <v>#DIV/0!</v>
      </c>
      <c r="AC74" s="324" t="e">
        <f t="shared" si="69"/>
        <v>#DIV/0!</v>
      </c>
      <c r="AD74" s="335">
        <v>1.3</v>
      </c>
      <c r="AE74" s="335">
        <v>1.325</v>
      </c>
      <c r="AF74" s="335">
        <v>1.25</v>
      </c>
      <c r="AG74" s="336">
        <v>2500</v>
      </c>
      <c r="AH74" s="337">
        <v>2500</v>
      </c>
      <c r="AI74" s="100">
        <v>830</v>
      </c>
      <c r="AJ74" s="100">
        <v>2900</v>
      </c>
      <c r="AK74" s="100">
        <v>6295</v>
      </c>
      <c r="AL74" s="100">
        <v>19050</v>
      </c>
      <c r="AM74" s="100">
        <v>22050</v>
      </c>
      <c r="AN74" s="338">
        <f t="shared" si="75"/>
        <v>0</v>
      </c>
      <c r="AO74" s="339">
        <f t="shared" si="76"/>
        <v>0</v>
      </c>
      <c r="AP74" s="339">
        <f t="shared" si="77"/>
        <v>0</v>
      </c>
      <c r="AQ74" s="339">
        <f t="shared" si="78"/>
        <v>0</v>
      </c>
      <c r="AR74" s="340">
        <f t="shared" si="79"/>
        <v>0</v>
      </c>
      <c r="AS74" s="338">
        <f>SUM(Tabla1[[#This Row],[COSTO OPERATIVO ACIDO]:[COSTO OPERATIVO CATIONICO]])</f>
        <v>0</v>
      </c>
      <c r="AT74" s="339">
        <v>5250</v>
      </c>
      <c r="AU74" s="341" t="e">
        <f t="shared" si="70"/>
        <v>#DIV/0!</v>
      </c>
    </row>
    <row r="75" spans="1:47" s="373" customFormat="1" ht="14.95" thickBot="1" x14ac:dyDescent="0.3">
      <c r="A75" s="342">
        <f t="shared" ref="A75:A76" si="84">A74</f>
        <v>46047</v>
      </c>
      <c r="B75" s="99">
        <f>DAY(Tabla1[[#This Row],[FECHA]])</f>
        <v>25</v>
      </c>
      <c r="C75" s="343" t="s">
        <v>288</v>
      </c>
      <c r="D75" s="344">
        <v>74</v>
      </c>
      <c r="E75" s="344" t="s">
        <v>77</v>
      </c>
      <c r="F75" s="345">
        <v>2690</v>
      </c>
      <c r="G75" s="346">
        <v>3250</v>
      </c>
      <c r="H75" s="346">
        <v>1360</v>
      </c>
      <c r="I75" s="346">
        <v>205</v>
      </c>
      <c r="J75" s="346">
        <v>35</v>
      </c>
      <c r="K75" s="364">
        <v>16760</v>
      </c>
      <c r="L75" s="359">
        <v>0</v>
      </c>
      <c r="M75" s="360">
        <v>80</v>
      </c>
      <c r="N75" s="360">
        <f>+Tabla1[[#This Row],[CAUDAL DE TRATAMIENTO]]+$M$102</f>
        <v>88.462686567164184</v>
      </c>
      <c r="O75" s="325">
        <f t="shared" si="83"/>
        <v>0</v>
      </c>
      <c r="P75" s="376">
        <f t="shared" si="83"/>
        <v>0</v>
      </c>
      <c r="Q75" s="325">
        <f t="shared" si="83"/>
        <v>0</v>
      </c>
      <c r="R75" s="325">
        <f t="shared" si="60"/>
        <v>0</v>
      </c>
      <c r="S75" s="326">
        <f t="shared" si="61"/>
        <v>0</v>
      </c>
      <c r="T75" s="333">
        <f t="shared" si="72"/>
        <v>0</v>
      </c>
      <c r="U75" s="334">
        <f t="shared" si="73"/>
        <v>0</v>
      </c>
      <c r="V75" s="334">
        <f t="shared" si="74"/>
        <v>0</v>
      </c>
      <c r="W75" s="347">
        <f>Tabla1[[#This Row],[CONSUMO POL ANIONICO (KG)]]</f>
        <v>0</v>
      </c>
      <c r="X75" s="326">
        <f>Tabla1[[#This Row],[CONSUMO POL CATIONICO (KG)]]</f>
        <v>0</v>
      </c>
      <c r="Y75" s="348" t="e">
        <f t="shared" si="65"/>
        <v>#DIV/0!</v>
      </c>
      <c r="Z75" s="347" t="e">
        <f t="shared" si="66"/>
        <v>#DIV/0!</v>
      </c>
      <c r="AA75" s="347" t="e">
        <f t="shared" si="67"/>
        <v>#DIV/0!</v>
      </c>
      <c r="AB75" s="347" t="e">
        <f t="shared" si="68"/>
        <v>#DIV/0!</v>
      </c>
      <c r="AC75" s="326" t="e">
        <f t="shared" si="69"/>
        <v>#DIV/0!</v>
      </c>
      <c r="AD75" s="335">
        <v>1.3</v>
      </c>
      <c r="AE75" s="335">
        <v>1.325</v>
      </c>
      <c r="AF75" s="335">
        <v>1.25</v>
      </c>
      <c r="AG75" s="336">
        <v>2500</v>
      </c>
      <c r="AH75" s="337">
        <v>2500</v>
      </c>
      <c r="AI75" s="100">
        <v>830</v>
      </c>
      <c r="AJ75" s="100">
        <v>2900</v>
      </c>
      <c r="AK75" s="100">
        <v>6295</v>
      </c>
      <c r="AL75" s="100">
        <v>19050</v>
      </c>
      <c r="AM75" s="100">
        <v>22050</v>
      </c>
      <c r="AN75" s="349">
        <f t="shared" si="75"/>
        <v>0</v>
      </c>
      <c r="AO75" s="341">
        <f t="shared" si="76"/>
        <v>0</v>
      </c>
      <c r="AP75" s="341">
        <f t="shared" si="77"/>
        <v>0</v>
      </c>
      <c r="AQ75" s="341">
        <f t="shared" si="78"/>
        <v>0</v>
      </c>
      <c r="AR75" s="350">
        <f t="shared" si="79"/>
        <v>0</v>
      </c>
      <c r="AS75" s="349">
        <f>SUM(Tabla1[[#This Row],[COSTO OPERATIVO ACIDO]:[COSTO OPERATIVO CATIONICO]])</f>
        <v>0</v>
      </c>
      <c r="AT75" s="341">
        <v>5250</v>
      </c>
      <c r="AU75" s="341" t="e">
        <f t="shared" si="70"/>
        <v>#DIV/0!</v>
      </c>
    </row>
    <row r="76" spans="1:47" s="373" customFormat="1" ht="14.95" thickBot="1" x14ac:dyDescent="0.3">
      <c r="A76" s="351">
        <f t="shared" si="84"/>
        <v>46047</v>
      </c>
      <c r="B76" s="99">
        <f>DAY(Tabla1[[#This Row],[FECHA]])</f>
        <v>25</v>
      </c>
      <c r="C76" s="352" t="s">
        <v>30</v>
      </c>
      <c r="D76" s="353">
        <v>75</v>
      </c>
      <c r="E76" s="353" t="s">
        <v>76</v>
      </c>
      <c r="F76" s="345">
        <v>2690</v>
      </c>
      <c r="G76" s="346">
        <v>3250</v>
      </c>
      <c r="H76" s="346">
        <v>1360</v>
      </c>
      <c r="I76" s="346">
        <v>205</v>
      </c>
      <c r="J76" s="346">
        <v>35</v>
      </c>
      <c r="K76" s="365">
        <v>16760</v>
      </c>
      <c r="L76" s="366">
        <v>0</v>
      </c>
      <c r="M76" s="367">
        <v>80</v>
      </c>
      <c r="N76" s="367">
        <f>+Tabla1[[#This Row],[CAUDAL DE TRATAMIENTO]]+$M$102</f>
        <v>88.462686567164184</v>
      </c>
      <c r="O76" s="327">
        <f t="shared" si="83"/>
        <v>0</v>
      </c>
      <c r="P76" s="377">
        <f t="shared" si="83"/>
        <v>0</v>
      </c>
      <c r="Q76" s="327">
        <f t="shared" si="83"/>
        <v>0</v>
      </c>
      <c r="R76" s="327">
        <f t="shared" si="60"/>
        <v>0</v>
      </c>
      <c r="S76" s="328">
        <f t="shared" si="61"/>
        <v>0</v>
      </c>
      <c r="T76" s="333">
        <f t="shared" si="72"/>
        <v>0</v>
      </c>
      <c r="U76" s="334">
        <f t="shared" si="73"/>
        <v>0</v>
      </c>
      <c r="V76" s="334">
        <f t="shared" si="74"/>
        <v>0</v>
      </c>
      <c r="W76" s="354">
        <f>Tabla1[[#This Row],[CONSUMO POL ANIONICO (KG)]]</f>
        <v>0</v>
      </c>
      <c r="X76" s="328">
        <f>Tabla1[[#This Row],[CONSUMO POL CATIONICO (KG)]]</f>
        <v>0</v>
      </c>
      <c r="Y76" s="348" t="e">
        <f t="shared" si="65"/>
        <v>#DIV/0!</v>
      </c>
      <c r="Z76" s="354" t="e">
        <f t="shared" si="66"/>
        <v>#DIV/0!</v>
      </c>
      <c r="AA76" s="354" t="e">
        <f t="shared" si="67"/>
        <v>#DIV/0!</v>
      </c>
      <c r="AB76" s="354" t="e">
        <f t="shared" si="68"/>
        <v>#DIV/0!</v>
      </c>
      <c r="AC76" s="328" t="e">
        <f t="shared" si="69"/>
        <v>#DIV/0!</v>
      </c>
      <c r="AD76" s="335">
        <v>1.3</v>
      </c>
      <c r="AE76" s="335">
        <v>1.325</v>
      </c>
      <c r="AF76" s="335">
        <v>1.25</v>
      </c>
      <c r="AG76" s="336">
        <v>2500</v>
      </c>
      <c r="AH76" s="337">
        <v>2500</v>
      </c>
      <c r="AI76" s="100">
        <v>830</v>
      </c>
      <c r="AJ76" s="100">
        <v>2900</v>
      </c>
      <c r="AK76" s="100">
        <v>6295</v>
      </c>
      <c r="AL76" s="100">
        <v>19050</v>
      </c>
      <c r="AM76" s="100">
        <v>22050</v>
      </c>
      <c r="AN76" s="349">
        <f t="shared" si="75"/>
        <v>0</v>
      </c>
      <c r="AO76" s="355">
        <f t="shared" si="76"/>
        <v>0</v>
      </c>
      <c r="AP76" s="355">
        <f t="shared" si="77"/>
        <v>0</v>
      </c>
      <c r="AQ76" s="355">
        <f t="shared" si="78"/>
        <v>0</v>
      </c>
      <c r="AR76" s="356">
        <f t="shared" si="79"/>
        <v>0</v>
      </c>
      <c r="AS76" s="349">
        <f>SUM(Tabla1[[#This Row],[COSTO OPERATIVO ACIDO]:[COSTO OPERATIVO CATIONICO]])</f>
        <v>0</v>
      </c>
      <c r="AT76" s="355">
        <v>5250</v>
      </c>
      <c r="AU76" s="341" t="e">
        <f t="shared" si="70"/>
        <v>#DIV/0!</v>
      </c>
    </row>
    <row r="77" spans="1:47" ht="14.95" thickBot="1" x14ac:dyDescent="0.3">
      <c r="A77" s="144">
        <v>46048</v>
      </c>
      <c r="B77" s="99">
        <f>DAY(Tabla1[[#This Row],[FECHA]])</f>
        <v>26</v>
      </c>
      <c r="C77" s="329" t="s">
        <v>289</v>
      </c>
      <c r="D77" s="330">
        <v>76</v>
      </c>
      <c r="E77" s="330" t="s">
        <v>75</v>
      </c>
      <c r="F77" s="331">
        <v>2690</v>
      </c>
      <c r="G77" s="332">
        <v>3250</v>
      </c>
      <c r="H77" s="332">
        <v>1360</v>
      </c>
      <c r="I77" s="332">
        <v>205</v>
      </c>
      <c r="J77" s="332">
        <v>35</v>
      </c>
      <c r="K77" s="361">
        <v>16760</v>
      </c>
      <c r="L77" s="362">
        <v>176.92537313432837</v>
      </c>
      <c r="M77" s="363">
        <v>80</v>
      </c>
      <c r="N77" s="363">
        <f>+Tabla1[[#This Row],[CAUDAL DE TRATAMIENTO]]+$M$102</f>
        <v>88.462686567164184</v>
      </c>
      <c r="O77" s="323">
        <f t="shared" si="82"/>
        <v>70</v>
      </c>
      <c r="P77" s="368">
        <f>G77-G78-150</f>
        <v>100</v>
      </c>
      <c r="Q77" s="323">
        <f>H77-H78</f>
        <v>40</v>
      </c>
      <c r="R77" s="323">
        <f t="shared" si="60"/>
        <v>5</v>
      </c>
      <c r="S77" s="324">
        <f t="shared" si="61"/>
        <v>5</v>
      </c>
      <c r="T77" s="333">
        <f t="shared" si="72"/>
        <v>91</v>
      </c>
      <c r="U77" s="334">
        <f t="shared" si="73"/>
        <v>132.5</v>
      </c>
      <c r="V77" s="334">
        <f t="shared" si="74"/>
        <v>50</v>
      </c>
      <c r="W77" s="334">
        <f>Tabla1[[#This Row],[CONSUMO POL ANIONICO (KG)]]</f>
        <v>5</v>
      </c>
      <c r="X77" s="324">
        <f>Tabla1[[#This Row],[CONSUMO POL CATIONICO (KG)]]</f>
        <v>5</v>
      </c>
      <c r="Y77" s="333">
        <f t="shared" si="65"/>
        <v>514.34115066644165</v>
      </c>
      <c r="Z77" s="334">
        <f t="shared" si="66"/>
        <v>748.90332377256618</v>
      </c>
      <c r="AA77" s="334">
        <f t="shared" si="67"/>
        <v>282.60502783870425</v>
      </c>
      <c r="AB77" s="334">
        <f t="shared" si="68"/>
        <v>28.260502783870422</v>
      </c>
      <c r="AC77" s="324">
        <f t="shared" si="69"/>
        <v>28.260502783870422</v>
      </c>
      <c r="AD77" s="335">
        <v>1.3</v>
      </c>
      <c r="AE77" s="335">
        <v>1.325</v>
      </c>
      <c r="AF77" s="335">
        <v>1.25</v>
      </c>
      <c r="AG77" s="336">
        <v>2500</v>
      </c>
      <c r="AH77" s="337">
        <v>2500</v>
      </c>
      <c r="AI77" s="100">
        <v>830</v>
      </c>
      <c r="AJ77" s="100">
        <v>2900</v>
      </c>
      <c r="AK77" s="100">
        <v>6295</v>
      </c>
      <c r="AL77" s="100">
        <v>19050</v>
      </c>
      <c r="AM77" s="100">
        <v>22050</v>
      </c>
      <c r="AN77" s="338">
        <f t="shared" si="75"/>
        <v>75530</v>
      </c>
      <c r="AO77" s="339">
        <f t="shared" si="76"/>
        <v>384250</v>
      </c>
      <c r="AP77" s="339">
        <f t="shared" si="77"/>
        <v>314750</v>
      </c>
      <c r="AQ77" s="339">
        <f t="shared" si="78"/>
        <v>95250</v>
      </c>
      <c r="AR77" s="340">
        <f t="shared" si="79"/>
        <v>110250</v>
      </c>
      <c r="AS77" s="338">
        <f>SUM(Tabla1[[#This Row],[COSTO OPERATIVO ACIDO]:[COSTO OPERATIVO CATIONICO]])</f>
        <v>980030</v>
      </c>
      <c r="AT77" s="339">
        <v>5250</v>
      </c>
      <c r="AU77" s="341">
        <f t="shared" si="70"/>
        <v>5539.2281086553057</v>
      </c>
    </row>
    <row r="78" spans="1:47" ht="14.95" thickBot="1" x14ac:dyDescent="0.3">
      <c r="A78" s="342">
        <f t="shared" ref="A78:A79" si="85">A77</f>
        <v>46048</v>
      </c>
      <c r="B78" s="99">
        <f>DAY(Tabla1[[#This Row],[FECHA]])</f>
        <v>26</v>
      </c>
      <c r="C78" s="343" t="s">
        <v>290</v>
      </c>
      <c r="D78" s="344">
        <v>77</v>
      </c>
      <c r="E78" s="344" t="s">
        <v>77</v>
      </c>
      <c r="F78" s="345">
        <v>2620</v>
      </c>
      <c r="G78" s="346">
        <v>3000</v>
      </c>
      <c r="H78" s="346">
        <v>1320</v>
      </c>
      <c r="I78" s="346">
        <v>200</v>
      </c>
      <c r="J78" s="346">
        <v>30</v>
      </c>
      <c r="K78" s="364">
        <v>16762</v>
      </c>
      <c r="L78" s="359">
        <v>442.31343283582089</v>
      </c>
      <c r="M78" s="360">
        <v>80</v>
      </c>
      <c r="N78" s="360">
        <f>+Tabla1[[#This Row],[CAUDAL DE TRATAMIENTO]]+$M$102</f>
        <v>88.462686567164184</v>
      </c>
      <c r="O78" s="325">
        <f t="shared" si="82"/>
        <v>70</v>
      </c>
      <c r="P78" s="376">
        <f t="shared" si="80"/>
        <v>150</v>
      </c>
      <c r="Q78" s="325">
        <f>H78-H79</f>
        <v>70</v>
      </c>
      <c r="R78" s="325">
        <f t="shared" si="60"/>
        <v>0</v>
      </c>
      <c r="S78" s="326">
        <f t="shared" si="61"/>
        <v>5</v>
      </c>
      <c r="T78" s="333">
        <f t="shared" si="72"/>
        <v>91</v>
      </c>
      <c r="U78" s="334">
        <f t="shared" si="73"/>
        <v>198.75</v>
      </c>
      <c r="V78" s="334">
        <f t="shared" si="74"/>
        <v>87.5</v>
      </c>
      <c r="W78" s="347">
        <f>Tabla1[[#This Row],[CONSUMO POL ANIONICO (KG)]]</f>
        <v>0</v>
      </c>
      <c r="X78" s="326">
        <f>Tabla1[[#This Row],[CONSUMO POL CATIONICO (KG)]]</f>
        <v>5</v>
      </c>
      <c r="Y78" s="348">
        <f t="shared" si="65"/>
        <v>205.7364602665767</v>
      </c>
      <c r="Z78" s="347">
        <f t="shared" si="66"/>
        <v>449.34199426353973</v>
      </c>
      <c r="AA78" s="347">
        <f t="shared" si="67"/>
        <v>197.82351948709297</v>
      </c>
      <c r="AB78" s="347">
        <f t="shared" si="68"/>
        <v>0</v>
      </c>
      <c r="AC78" s="326">
        <f t="shared" si="69"/>
        <v>11.304201113548169</v>
      </c>
      <c r="AD78" s="335">
        <v>1.3</v>
      </c>
      <c r="AE78" s="335">
        <v>1.325</v>
      </c>
      <c r="AF78" s="335">
        <v>1.25</v>
      </c>
      <c r="AG78" s="336">
        <v>2500</v>
      </c>
      <c r="AH78" s="337">
        <v>2500</v>
      </c>
      <c r="AI78" s="100">
        <v>830</v>
      </c>
      <c r="AJ78" s="100">
        <v>2900</v>
      </c>
      <c r="AK78" s="100">
        <v>6295</v>
      </c>
      <c r="AL78" s="100">
        <v>19050</v>
      </c>
      <c r="AM78" s="100">
        <v>22050</v>
      </c>
      <c r="AN78" s="349">
        <f t="shared" si="75"/>
        <v>75530</v>
      </c>
      <c r="AO78" s="341">
        <f t="shared" si="76"/>
        <v>576375</v>
      </c>
      <c r="AP78" s="341">
        <f t="shared" si="77"/>
        <v>550812.5</v>
      </c>
      <c r="AQ78" s="341">
        <f t="shared" si="78"/>
        <v>0</v>
      </c>
      <c r="AR78" s="350">
        <f t="shared" si="79"/>
        <v>110250</v>
      </c>
      <c r="AS78" s="349">
        <f>SUM(Tabla1[[#This Row],[COSTO OPERATIVO ACIDO]:[COSTO OPERATIVO CATIONICO]])</f>
        <v>1312967.5</v>
      </c>
      <c r="AT78" s="341">
        <v>5250</v>
      </c>
      <c r="AU78" s="341">
        <f t="shared" si="70"/>
        <v>2968.4097351105111</v>
      </c>
    </row>
    <row r="79" spans="1:47" ht="14.95" thickBot="1" x14ac:dyDescent="0.3">
      <c r="A79" s="351">
        <f t="shared" si="85"/>
        <v>46048</v>
      </c>
      <c r="B79" s="99">
        <f>DAY(Tabla1[[#This Row],[FECHA]])</f>
        <v>26</v>
      </c>
      <c r="C79" s="352" t="s">
        <v>30</v>
      </c>
      <c r="D79" s="353">
        <v>78</v>
      </c>
      <c r="E79" s="353" t="s">
        <v>76</v>
      </c>
      <c r="F79" s="345">
        <v>2550</v>
      </c>
      <c r="G79" s="346">
        <v>2850</v>
      </c>
      <c r="H79" s="346">
        <v>1250</v>
      </c>
      <c r="I79" s="346">
        <v>200</v>
      </c>
      <c r="J79" s="346">
        <v>25</v>
      </c>
      <c r="K79" s="365">
        <v>16767</v>
      </c>
      <c r="L79" s="366">
        <v>265.38805970149258</v>
      </c>
      <c r="M79" s="367">
        <v>80</v>
      </c>
      <c r="N79" s="367">
        <f>+Tabla1[[#This Row],[CAUDAL DE TRATAMIENTO]]+$M$102</f>
        <v>88.462686567164184</v>
      </c>
      <c r="O79" s="370">
        <f>F79-F80+2000</f>
        <v>0</v>
      </c>
      <c r="P79" s="371">
        <f>G79-G80+2000</f>
        <v>140</v>
      </c>
      <c r="Q79" s="370">
        <f>H79-H80+1000</f>
        <v>50</v>
      </c>
      <c r="R79" s="327">
        <f t="shared" ref="R79:R95" si="86">I79-I80</f>
        <v>0</v>
      </c>
      <c r="S79" s="372">
        <f>J79-J80+100</f>
        <v>0</v>
      </c>
      <c r="T79" s="333">
        <f t="shared" si="72"/>
        <v>0</v>
      </c>
      <c r="U79" s="334">
        <f t="shared" si="73"/>
        <v>185.5</v>
      </c>
      <c r="V79" s="334">
        <f t="shared" si="74"/>
        <v>62.5</v>
      </c>
      <c r="W79" s="354">
        <f>Tabla1[[#This Row],[CONSUMO POL ANIONICO (KG)]]</f>
        <v>0</v>
      </c>
      <c r="X79" s="328">
        <f>Tabla1[[#This Row],[CONSUMO POL CATIONICO (KG)]]</f>
        <v>0</v>
      </c>
      <c r="Y79" s="348">
        <f t="shared" si="65"/>
        <v>0</v>
      </c>
      <c r="Z79" s="354">
        <f t="shared" si="66"/>
        <v>698.97643552106172</v>
      </c>
      <c r="AA79" s="354">
        <f t="shared" si="67"/>
        <v>235.50418986558682</v>
      </c>
      <c r="AB79" s="354">
        <f t="shared" si="68"/>
        <v>0</v>
      </c>
      <c r="AC79" s="328">
        <f t="shared" si="69"/>
        <v>0</v>
      </c>
      <c r="AD79" s="335">
        <v>1.3</v>
      </c>
      <c r="AE79" s="335">
        <v>1.325</v>
      </c>
      <c r="AF79" s="335">
        <v>1.25</v>
      </c>
      <c r="AG79" s="336">
        <v>2500</v>
      </c>
      <c r="AH79" s="337">
        <v>2500</v>
      </c>
      <c r="AI79" s="100">
        <v>830</v>
      </c>
      <c r="AJ79" s="100">
        <v>2900</v>
      </c>
      <c r="AK79" s="100">
        <v>6295</v>
      </c>
      <c r="AL79" s="100">
        <v>19050</v>
      </c>
      <c r="AM79" s="100">
        <v>22050</v>
      </c>
      <c r="AN79" s="349">
        <f t="shared" si="75"/>
        <v>0</v>
      </c>
      <c r="AO79" s="355">
        <f t="shared" si="76"/>
        <v>537950</v>
      </c>
      <c r="AP79" s="355">
        <f t="shared" si="77"/>
        <v>393437.5</v>
      </c>
      <c r="AQ79" s="355">
        <f t="shared" si="78"/>
        <v>0</v>
      </c>
      <c r="AR79" s="356">
        <f t="shared" si="79"/>
        <v>0</v>
      </c>
      <c r="AS79" s="349">
        <f>SUM(Tabla1[[#This Row],[COSTO OPERATIVO ACIDO]:[COSTO OPERATIVO CATIONICO]])</f>
        <v>931387.5</v>
      </c>
      <c r="AT79" s="355">
        <v>5250</v>
      </c>
      <c r="AU79" s="341">
        <f t="shared" si="70"/>
        <v>3509.5305382149481</v>
      </c>
    </row>
    <row r="80" spans="1:47" ht="14.95" thickBot="1" x14ac:dyDescent="0.3">
      <c r="A80" s="144">
        <v>46049</v>
      </c>
      <c r="B80" s="99">
        <f>DAY(Tabla1[[#This Row],[FECHA]])</f>
        <v>27</v>
      </c>
      <c r="C80" s="329" t="s">
        <v>291</v>
      </c>
      <c r="D80" s="330">
        <v>79</v>
      </c>
      <c r="E80" s="330" t="s">
        <v>75</v>
      </c>
      <c r="F80" s="331">
        <v>4550</v>
      </c>
      <c r="G80" s="332">
        <v>4710</v>
      </c>
      <c r="H80" s="332">
        <v>2200</v>
      </c>
      <c r="I80" s="332">
        <v>200</v>
      </c>
      <c r="J80" s="332">
        <v>125</v>
      </c>
      <c r="K80" s="361">
        <v>16770</v>
      </c>
      <c r="L80" s="362">
        <v>353.85074626865674</v>
      </c>
      <c r="M80" s="363">
        <v>80</v>
      </c>
      <c r="N80" s="363">
        <f>+Tabla1[[#This Row],[CAUDAL DE TRATAMIENTO]]+$M$102</f>
        <v>88.462686567164184</v>
      </c>
      <c r="O80" s="323">
        <f t="shared" si="82"/>
        <v>50</v>
      </c>
      <c r="P80" s="375">
        <f t="shared" si="80"/>
        <v>160</v>
      </c>
      <c r="Q80" s="323">
        <f t="shared" ref="Q80:Q95" si="87">H80-H81</f>
        <v>80</v>
      </c>
      <c r="R80" s="323">
        <f t="shared" si="86"/>
        <v>5</v>
      </c>
      <c r="S80" s="324">
        <f t="shared" ref="S80:S95" si="88">J80-J81</f>
        <v>5</v>
      </c>
      <c r="T80" s="333">
        <f t="shared" si="72"/>
        <v>65</v>
      </c>
      <c r="U80" s="334">
        <f t="shared" si="73"/>
        <v>212</v>
      </c>
      <c r="V80" s="334">
        <f t="shared" si="74"/>
        <v>100</v>
      </c>
      <c r="W80" s="334">
        <f>Tabla1[[#This Row],[CONSUMO POL ANIONICO (KG)]]</f>
        <v>5</v>
      </c>
      <c r="X80" s="324">
        <f>Tabla1[[#This Row],[CONSUMO POL CATIONICO (KG)]]</f>
        <v>5</v>
      </c>
      <c r="Y80" s="333">
        <f t="shared" si="65"/>
        <v>183.69326809515775</v>
      </c>
      <c r="Z80" s="334">
        <f t="shared" si="66"/>
        <v>599.1226590180529</v>
      </c>
      <c r="AA80" s="334">
        <f t="shared" si="67"/>
        <v>282.60502783870425</v>
      </c>
      <c r="AB80" s="334">
        <f t="shared" si="68"/>
        <v>14.130251391935211</v>
      </c>
      <c r="AC80" s="324">
        <f t="shared" si="69"/>
        <v>14.130251391935211</v>
      </c>
      <c r="AD80" s="335">
        <v>1.3</v>
      </c>
      <c r="AE80" s="335">
        <v>1.325</v>
      </c>
      <c r="AF80" s="335">
        <v>1.25</v>
      </c>
      <c r="AG80" s="336">
        <v>2500</v>
      </c>
      <c r="AH80" s="337">
        <v>2500</v>
      </c>
      <c r="AI80" s="100">
        <v>830</v>
      </c>
      <c r="AJ80" s="100">
        <v>2900</v>
      </c>
      <c r="AK80" s="100">
        <v>6295</v>
      </c>
      <c r="AL80" s="100">
        <v>19050</v>
      </c>
      <c r="AM80" s="100">
        <v>22050</v>
      </c>
      <c r="AN80" s="338">
        <f t="shared" si="75"/>
        <v>53950</v>
      </c>
      <c r="AO80" s="339">
        <f t="shared" si="76"/>
        <v>614800</v>
      </c>
      <c r="AP80" s="339">
        <f t="shared" si="77"/>
        <v>629500</v>
      </c>
      <c r="AQ80" s="339">
        <f t="shared" si="78"/>
        <v>95250</v>
      </c>
      <c r="AR80" s="340">
        <f t="shared" si="79"/>
        <v>110250</v>
      </c>
      <c r="AS80" s="338">
        <f>SUM(Tabla1[[#This Row],[COSTO OPERATIVO ACIDO]:[COSTO OPERATIVO CATIONICO]])</f>
        <v>1503750</v>
      </c>
      <c r="AT80" s="339">
        <v>5250</v>
      </c>
      <c r="AU80" s="341">
        <f t="shared" si="70"/>
        <v>4249.6731061245146</v>
      </c>
    </row>
    <row r="81" spans="1:47" ht="14.95" thickBot="1" x14ac:dyDescent="0.3">
      <c r="A81" s="342">
        <f t="shared" ref="A81:A82" si="89">A80</f>
        <v>46049</v>
      </c>
      <c r="B81" s="99">
        <f>DAY(Tabla1[[#This Row],[FECHA]])</f>
        <v>27</v>
      </c>
      <c r="C81" s="343" t="s">
        <v>292</v>
      </c>
      <c r="D81" s="344">
        <v>80</v>
      </c>
      <c r="E81" s="344" t="s">
        <v>77</v>
      </c>
      <c r="F81" s="345">
        <v>4500</v>
      </c>
      <c r="G81" s="346">
        <v>4550</v>
      </c>
      <c r="H81" s="346">
        <v>2120</v>
      </c>
      <c r="I81" s="346">
        <v>195</v>
      </c>
      <c r="J81" s="346">
        <v>120</v>
      </c>
      <c r="K81" s="364">
        <v>16774</v>
      </c>
      <c r="L81" s="359">
        <v>353.85074626865674</v>
      </c>
      <c r="M81" s="360">
        <v>80</v>
      </c>
      <c r="N81" s="360">
        <f>+Tabla1[[#This Row],[CAUDAL DE TRATAMIENTO]]+$M$102</f>
        <v>88.462686567164184</v>
      </c>
      <c r="O81" s="325">
        <f t="shared" si="82"/>
        <v>40</v>
      </c>
      <c r="P81" s="376">
        <f t="shared" si="80"/>
        <v>50</v>
      </c>
      <c r="Q81" s="325">
        <f t="shared" si="87"/>
        <v>20</v>
      </c>
      <c r="R81" s="325">
        <f t="shared" si="86"/>
        <v>0</v>
      </c>
      <c r="S81" s="326">
        <f t="shared" si="88"/>
        <v>5</v>
      </c>
      <c r="T81" s="333">
        <f t="shared" si="72"/>
        <v>52</v>
      </c>
      <c r="U81" s="334">
        <f t="shared" si="73"/>
        <v>66.25</v>
      </c>
      <c r="V81" s="334">
        <f t="shared" si="74"/>
        <v>25</v>
      </c>
      <c r="W81" s="347">
        <f>Tabla1[[#This Row],[CONSUMO POL ANIONICO (KG)]]</f>
        <v>0</v>
      </c>
      <c r="X81" s="326">
        <f>Tabla1[[#This Row],[CONSUMO POL CATIONICO (KG)]]</f>
        <v>5</v>
      </c>
      <c r="Y81" s="348">
        <f t="shared" si="65"/>
        <v>146.95461447612618</v>
      </c>
      <c r="Z81" s="347">
        <f t="shared" si="66"/>
        <v>187.22583094314155</v>
      </c>
      <c r="AA81" s="347">
        <f t="shared" si="67"/>
        <v>70.651256959676061</v>
      </c>
      <c r="AB81" s="347">
        <f t="shared" si="68"/>
        <v>0</v>
      </c>
      <c r="AC81" s="326">
        <f t="shared" si="69"/>
        <v>14.130251391935211</v>
      </c>
      <c r="AD81" s="335">
        <v>1.3</v>
      </c>
      <c r="AE81" s="335">
        <v>1.325</v>
      </c>
      <c r="AF81" s="335">
        <v>1.25</v>
      </c>
      <c r="AG81" s="336">
        <v>2500</v>
      </c>
      <c r="AH81" s="337">
        <v>2500</v>
      </c>
      <c r="AI81" s="100">
        <v>830</v>
      </c>
      <c r="AJ81" s="100">
        <v>2900</v>
      </c>
      <c r="AK81" s="100">
        <v>6295</v>
      </c>
      <c r="AL81" s="100">
        <v>19050</v>
      </c>
      <c r="AM81" s="100">
        <v>22050</v>
      </c>
      <c r="AN81" s="349">
        <f t="shared" si="75"/>
        <v>43160</v>
      </c>
      <c r="AO81" s="341">
        <f t="shared" si="76"/>
        <v>192125</v>
      </c>
      <c r="AP81" s="341">
        <f t="shared" si="77"/>
        <v>157375</v>
      </c>
      <c r="AQ81" s="341">
        <f t="shared" si="78"/>
        <v>0</v>
      </c>
      <c r="AR81" s="350">
        <f t="shared" si="79"/>
        <v>110250</v>
      </c>
      <c r="AS81" s="349">
        <f>SUM(Tabla1[[#This Row],[COSTO OPERATIVO ACIDO]:[COSTO OPERATIVO CATIONICO]])</f>
        <v>502910</v>
      </c>
      <c r="AT81" s="341">
        <v>5250</v>
      </c>
      <c r="AU81" s="341">
        <f t="shared" si="70"/>
        <v>1421.2489455036273</v>
      </c>
    </row>
    <row r="82" spans="1:47" ht="14.95" thickBot="1" x14ac:dyDescent="0.3">
      <c r="A82" s="351">
        <f t="shared" si="89"/>
        <v>46049</v>
      </c>
      <c r="B82" s="99">
        <f>DAY(Tabla1[[#This Row],[FECHA]])</f>
        <v>27</v>
      </c>
      <c r="C82" s="352" t="s">
        <v>30</v>
      </c>
      <c r="D82" s="353">
        <v>81</v>
      </c>
      <c r="E82" s="353" t="s">
        <v>76</v>
      </c>
      <c r="F82" s="345">
        <v>4460</v>
      </c>
      <c r="G82" s="346">
        <v>4500</v>
      </c>
      <c r="H82" s="346">
        <v>2100</v>
      </c>
      <c r="I82" s="346">
        <v>195</v>
      </c>
      <c r="J82" s="346">
        <v>115</v>
      </c>
      <c r="K82" s="365">
        <v>16778</v>
      </c>
      <c r="L82" s="366">
        <v>353.85074626865674</v>
      </c>
      <c r="M82" s="367">
        <v>80</v>
      </c>
      <c r="N82" s="367">
        <f>+Tabla1[[#This Row],[CAUDAL DE TRATAMIENTO]]+$M$102</f>
        <v>88.462686567164184</v>
      </c>
      <c r="O82" s="327">
        <f t="shared" si="82"/>
        <v>30</v>
      </c>
      <c r="P82" s="377">
        <f t="shared" si="80"/>
        <v>150</v>
      </c>
      <c r="Q82" s="327">
        <f t="shared" si="87"/>
        <v>20</v>
      </c>
      <c r="R82" s="327">
        <f t="shared" si="86"/>
        <v>5</v>
      </c>
      <c r="S82" s="328">
        <f t="shared" si="88"/>
        <v>5</v>
      </c>
      <c r="T82" s="333">
        <f t="shared" si="72"/>
        <v>39</v>
      </c>
      <c r="U82" s="334">
        <f t="shared" si="73"/>
        <v>198.75</v>
      </c>
      <c r="V82" s="334">
        <f t="shared" si="74"/>
        <v>25</v>
      </c>
      <c r="W82" s="354">
        <f>Tabla1[[#This Row],[CONSUMO POL ANIONICO (KG)]]</f>
        <v>5</v>
      </c>
      <c r="X82" s="328">
        <f>Tabla1[[#This Row],[CONSUMO POL CATIONICO (KG)]]</f>
        <v>5</v>
      </c>
      <c r="Y82" s="348">
        <f t="shared" si="65"/>
        <v>110.21596085709464</v>
      </c>
      <c r="Z82" s="354">
        <f t="shared" si="66"/>
        <v>561.67749282942464</v>
      </c>
      <c r="AA82" s="354">
        <f t="shared" si="67"/>
        <v>70.651256959676061</v>
      </c>
      <c r="AB82" s="354">
        <f t="shared" si="68"/>
        <v>14.130251391935211</v>
      </c>
      <c r="AC82" s="328">
        <f t="shared" si="69"/>
        <v>14.130251391935211</v>
      </c>
      <c r="AD82" s="335">
        <v>1.3</v>
      </c>
      <c r="AE82" s="335">
        <v>1.325</v>
      </c>
      <c r="AF82" s="335">
        <v>1.25</v>
      </c>
      <c r="AG82" s="336">
        <v>2500</v>
      </c>
      <c r="AH82" s="337">
        <v>2500</v>
      </c>
      <c r="AI82" s="100">
        <v>830</v>
      </c>
      <c r="AJ82" s="100">
        <v>2900</v>
      </c>
      <c r="AK82" s="100">
        <v>6295</v>
      </c>
      <c r="AL82" s="100">
        <v>19050</v>
      </c>
      <c r="AM82" s="100">
        <v>22050</v>
      </c>
      <c r="AN82" s="349">
        <f t="shared" si="75"/>
        <v>32370</v>
      </c>
      <c r="AO82" s="355">
        <f t="shared" si="76"/>
        <v>576375</v>
      </c>
      <c r="AP82" s="355">
        <f t="shared" si="77"/>
        <v>157375</v>
      </c>
      <c r="AQ82" s="355">
        <f t="shared" si="78"/>
        <v>95250</v>
      </c>
      <c r="AR82" s="356">
        <f t="shared" si="79"/>
        <v>110250</v>
      </c>
      <c r="AS82" s="349">
        <f>SUM(Tabla1[[#This Row],[COSTO OPERATIVO ACIDO]:[COSTO OPERATIVO CATIONICO]])</f>
        <v>971620</v>
      </c>
      <c r="AT82" s="355">
        <v>5250</v>
      </c>
      <c r="AU82" s="341">
        <f t="shared" si="70"/>
        <v>2745.8469714864177</v>
      </c>
    </row>
    <row r="83" spans="1:47" ht="14.3" customHeight="1" thickBot="1" x14ac:dyDescent="0.3">
      <c r="A83" s="144">
        <v>46050</v>
      </c>
      <c r="B83" s="99">
        <f>DAY(Tabla1[[#This Row],[FECHA]])</f>
        <v>28</v>
      </c>
      <c r="C83" s="329" t="s">
        <v>293</v>
      </c>
      <c r="D83" s="330">
        <v>82</v>
      </c>
      <c r="E83" s="330" t="s">
        <v>75</v>
      </c>
      <c r="F83" s="331">
        <v>4430</v>
      </c>
      <c r="G83" s="332">
        <v>4350</v>
      </c>
      <c r="H83" s="332">
        <v>2080</v>
      </c>
      <c r="I83" s="332">
        <v>190</v>
      </c>
      <c r="J83" s="332">
        <v>110</v>
      </c>
      <c r="K83" s="361">
        <v>16782</v>
      </c>
      <c r="L83" s="362">
        <v>619.23880597014931</v>
      </c>
      <c r="M83" s="363">
        <v>80</v>
      </c>
      <c r="N83" s="363">
        <f>+Tabla1[[#This Row],[CAUDAL DE TRATAMIENTO]]+$M$102</f>
        <v>88.462686567164184</v>
      </c>
      <c r="O83" s="379">
        <f>F83-F84-100</f>
        <v>30</v>
      </c>
      <c r="P83" s="375">
        <f t="shared" si="80"/>
        <v>50</v>
      </c>
      <c r="Q83" s="323">
        <f t="shared" si="87"/>
        <v>30</v>
      </c>
      <c r="R83" s="323">
        <f t="shared" si="86"/>
        <v>0</v>
      </c>
      <c r="S83" s="324">
        <f t="shared" si="88"/>
        <v>5</v>
      </c>
      <c r="T83" s="333">
        <f t="shared" si="72"/>
        <v>39</v>
      </c>
      <c r="U83" s="334">
        <f t="shared" si="73"/>
        <v>66.25</v>
      </c>
      <c r="V83" s="334">
        <f t="shared" si="74"/>
        <v>37.5</v>
      </c>
      <c r="W83" s="334">
        <f>Tabla1[[#This Row],[CONSUMO POL ANIONICO (KG)]]</f>
        <v>0</v>
      </c>
      <c r="X83" s="324">
        <f>Tabla1[[#This Row],[CONSUMO POL CATIONICO (KG)]]</f>
        <v>5</v>
      </c>
      <c r="Y83" s="333">
        <f t="shared" si="65"/>
        <v>62.980549061196939</v>
      </c>
      <c r="Z83" s="334">
        <f t="shared" si="66"/>
        <v>106.9861891103666</v>
      </c>
      <c r="AA83" s="334">
        <f t="shared" si="67"/>
        <v>60.5582202511509</v>
      </c>
      <c r="AB83" s="334">
        <f t="shared" si="68"/>
        <v>0</v>
      </c>
      <c r="AC83" s="324">
        <f t="shared" si="69"/>
        <v>8.0744293668201195</v>
      </c>
      <c r="AD83" s="335">
        <v>1.3</v>
      </c>
      <c r="AE83" s="335">
        <v>1.325</v>
      </c>
      <c r="AF83" s="335">
        <v>1.25</v>
      </c>
      <c r="AG83" s="336">
        <v>2500</v>
      </c>
      <c r="AH83" s="337">
        <v>2500</v>
      </c>
      <c r="AI83" s="100">
        <v>830</v>
      </c>
      <c r="AJ83" s="100">
        <v>2900</v>
      </c>
      <c r="AK83" s="100">
        <v>6295</v>
      </c>
      <c r="AL83" s="100">
        <v>19050</v>
      </c>
      <c r="AM83" s="100">
        <v>22050</v>
      </c>
      <c r="AN83" s="338">
        <f t="shared" si="75"/>
        <v>32370</v>
      </c>
      <c r="AO83" s="339">
        <f t="shared" si="76"/>
        <v>192125</v>
      </c>
      <c r="AP83" s="339">
        <f t="shared" si="77"/>
        <v>236062.5</v>
      </c>
      <c r="AQ83" s="339">
        <f t="shared" si="78"/>
        <v>0</v>
      </c>
      <c r="AR83" s="340">
        <f t="shared" si="79"/>
        <v>110250</v>
      </c>
      <c r="AS83" s="338">
        <f>SUM(Tabla1[[#This Row],[COSTO OPERATIVO ACIDO]:[COSTO OPERATIVO CATIONICO]])</f>
        <v>570807.5</v>
      </c>
      <c r="AT83" s="339">
        <v>5250</v>
      </c>
      <c r="AU83" s="341">
        <f t="shared" si="70"/>
        <v>921.78896816023519</v>
      </c>
    </row>
    <row r="84" spans="1:47" s="373" customFormat="1" ht="14.95" thickBot="1" x14ac:dyDescent="0.3">
      <c r="A84" s="342">
        <f t="shared" ref="A84:A85" si="90">A83</f>
        <v>46050</v>
      </c>
      <c r="B84" s="99">
        <f>DAY(Tabla1[[#This Row],[FECHA]])</f>
        <v>28</v>
      </c>
      <c r="C84" s="343" t="s">
        <v>294</v>
      </c>
      <c r="D84" s="344">
        <v>83</v>
      </c>
      <c r="E84" s="344" t="s">
        <v>77</v>
      </c>
      <c r="F84" s="345">
        <v>4300</v>
      </c>
      <c r="G84" s="346">
        <v>4300</v>
      </c>
      <c r="H84" s="346">
        <v>2050</v>
      </c>
      <c r="I84" s="346">
        <v>190</v>
      </c>
      <c r="J84" s="346">
        <v>105</v>
      </c>
      <c r="K84" s="364">
        <v>16789</v>
      </c>
      <c r="L84" s="359">
        <v>176.92537313432837</v>
      </c>
      <c r="M84" s="360">
        <v>80</v>
      </c>
      <c r="N84" s="360">
        <f>+Tabla1[[#This Row],[CAUDAL DE TRATAMIENTO]]+$M$102</f>
        <v>88.462686567164184</v>
      </c>
      <c r="O84" s="325">
        <f t="shared" si="82"/>
        <v>50</v>
      </c>
      <c r="P84" s="376">
        <f t="shared" si="80"/>
        <v>50</v>
      </c>
      <c r="Q84" s="325">
        <f t="shared" si="87"/>
        <v>30</v>
      </c>
      <c r="R84" s="325">
        <f t="shared" si="86"/>
        <v>0</v>
      </c>
      <c r="S84" s="326">
        <f t="shared" si="88"/>
        <v>5</v>
      </c>
      <c r="T84" s="333">
        <f t="shared" si="72"/>
        <v>65</v>
      </c>
      <c r="U84" s="334">
        <f t="shared" si="73"/>
        <v>66.25</v>
      </c>
      <c r="V84" s="334">
        <f t="shared" si="74"/>
        <v>37.5</v>
      </c>
      <c r="W84" s="347">
        <f>Tabla1[[#This Row],[CONSUMO POL ANIONICO (KG)]]</f>
        <v>0</v>
      </c>
      <c r="X84" s="326">
        <f>Tabla1[[#This Row],[CONSUMO POL CATIONICO (KG)]]</f>
        <v>5</v>
      </c>
      <c r="Y84" s="348">
        <f t="shared" si="65"/>
        <v>367.3865361903155</v>
      </c>
      <c r="Z84" s="347">
        <f t="shared" si="66"/>
        <v>374.45166188628309</v>
      </c>
      <c r="AA84" s="347">
        <f t="shared" si="67"/>
        <v>211.95377087902816</v>
      </c>
      <c r="AB84" s="347">
        <f t="shared" si="68"/>
        <v>0</v>
      </c>
      <c r="AC84" s="326">
        <f t="shared" si="69"/>
        <v>28.260502783870422</v>
      </c>
      <c r="AD84" s="335">
        <v>1.3</v>
      </c>
      <c r="AE84" s="335">
        <v>1.325</v>
      </c>
      <c r="AF84" s="335">
        <v>1.25</v>
      </c>
      <c r="AG84" s="336">
        <v>2500</v>
      </c>
      <c r="AH84" s="337">
        <v>2500</v>
      </c>
      <c r="AI84" s="100">
        <v>830</v>
      </c>
      <c r="AJ84" s="100">
        <v>2900</v>
      </c>
      <c r="AK84" s="100">
        <v>6295</v>
      </c>
      <c r="AL84" s="100">
        <v>19050</v>
      </c>
      <c r="AM84" s="100">
        <v>22050</v>
      </c>
      <c r="AN84" s="349">
        <f t="shared" si="75"/>
        <v>53950</v>
      </c>
      <c r="AO84" s="341">
        <f t="shared" si="76"/>
        <v>192125</v>
      </c>
      <c r="AP84" s="341">
        <f t="shared" si="77"/>
        <v>236062.5</v>
      </c>
      <c r="AQ84" s="341">
        <f t="shared" si="78"/>
        <v>0</v>
      </c>
      <c r="AR84" s="350">
        <f t="shared" si="79"/>
        <v>110250</v>
      </c>
      <c r="AS84" s="349">
        <f>SUM(Tabla1[[#This Row],[COSTO OPERATIVO ACIDO]:[COSTO OPERATIVO CATIONICO]])</f>
        <v>592387.5</v>
      </c>
      <c r="AT84" s="341">
        <v>5250</v>
      </c>
      <c r="AU84" s="341">
        <f t="shared" si="70"/>
        <v>3348.233718576008</v>
      </c>
    </row>
    <row r="85" spans="1:47" s="373" customFormat="1" ht="14.95" thickBot="1" x14ac:dyDescent="0.3">
      <c r="A85" s="351">
        <f t="shared" si="90"/>
        <v>46050</v>
      </c>
      <c r="B85" s="99">
        <f>DAY(Tabla1[[#This Row],[FECHA]])</f>
        <v>28</v>
      </c>
      <c r="C85" s="352" t="s">
        <v>30</v>
      </c>
      <c r="D85" s="353">
        <v>84</v>
      </c>
      <c r="E85" s="353" t="s">
        <v>76</v>
      </c>
      <c r="F85" s="345">
        <v>4250</v>
      </c>
      <c r="G85" s="346">
        <v>4250</v>
      </c>
      <c r="H85" s="346">
        <v>2020</v>
      </c>
      <c r="I85" s="346">
        <v>190</v>
      </c>
      <c r="J85" s="346">
        <v>100</v>
      </c>
      <c r="K85" s="365">
        <v>16791</v>
      </c>
      <c r="L85" s="366">
        <v>442.31343283582089</v>
      </c>
      <c r="M85" s="367">
        <v>80</v>
      </c>
      <c r="N85" s="367">
        <f>+Tabla1[[#This Row],[CAUDAL DE TRATAMIENTO]]+$M$102</f>
        <v>88.462686567164184</v>
      </c>
      <c r="O85" s="327">
        <f t="shared" si="82"/>
        <v>50</v>
      </c>
      <c r="P85" s="377">
        <f t="shared" si="80"/>
        <v>50</v>
      </c>
      <c r="Q85" s="327">
        <f t="shared" si="87"/>
        <v>20</v>
      </c>
      <c r="R85" s="327">
        <f t="shared" si="86"/>
        <v>5</v>
      </c>
      <c r="S85" s="328">
        <f t="shared" si="88"/>
        <v>5</v>
      </c>
      <c r="T85" s="333">
        <f t="shared" si="72"/>
        <v>65</v>
      </c>
      <c r="U85" s="334">
        <f t="shared" si="73"/>
        <v>66.25</v>
      </c>
      <c r="V85" s="334">
        <f t="shared" si="74"/>
        <v>25</v>
      </c>
      <c r="W85" s="354">
        <f>Tabla1[[#This Row],[CONSUMO POL ANIONICO (KG)]]</f>
        <v>5</v>
      </c>
      <c r="X85" s="328">
        <f>Tabla1[[#This Row],[CONSUMO POL CATIONICO (KG)]]</f>
        <v>5</v>
      </c>
      <c r="Y85" s="348">
        <f t="shared" si="65"/>
        <v>146.95461447612621</v>
      </c>
      <c r="Z85" s="354">
        <f t="shared" si="66"/>
        <v>149.78066475451325</v>
      </c>
      <c r="AA85" s="354">
        <f t="shared" si="67"/>
        <v>56.52100556774085</v>
      </c>
      <c r="AB85" s="354">
        <f t="shared" si="68"/>
        <v>11.304201113548169</v>
      </c>
      <c r="AC85" s="328">
        <f t="shared" si="69"/>
        <v>11.304201113548169</v>
      </c>
      <c r="AD85" s="335">
        <v>1.3</v>
      </c>
      <c r="AE85" s="335">
        <v>1.325</v>
      </c>
      <c r="AF85" s="335">
        <v>1.25</v>
      </c>
      <c r="AG85" s="336">
        <v>2500</v>
      </c>
      <c r="AH85" s="337">
        <v>2500</v>
      </c>
      <c r="AI85" s="100">
        <v>830</v>
      </c>
      <c r="AJ85" s="100">
        <v>2900</v>
      </c>
      <c r="AK85" s="100">
        <v>6295</v>
      </c>
      <c r="AL85" s="100">
        <v>19050</v>
      </c>
      <c r="AM85" s="100">
        <v>22050</v>
      </c>
      <c r="AN85" s="349">
        <f t="shared" si="75"/>
        <v>53950</v>
      </c>
      <c r="AO85" s="355">
        <f t="shared" si="76"/>
        <v>192125</v>
      </c>
      <c r="AP85" s="355">
        <f t="shared" si="77"/>
        <v>157375</v>
      </c>
      <c r="AQ85" s="355">
        <f t="shared" si="78"/>
        <v>95250</v>
      </c>
      <c r="AR85" s="356">
        <f t="shared" si="79"/>
        <v>110250</v>
      </c>
      <c r="AS85" s="349">
        <f>SUM(Tabla1[[#This Row],[COSTO OPERATIVO ACIDO]:[COSTO OPERATIVO CATIONICO]])</f>
        <v>608950</v>
      </c>
      <c r="AT85" s="355">
        <v>5250</v>
      </c>
      <c r="AU85" s="341">
        <f t="shared" si="70"/>
        <v>1376.7386536190315</v>
      </c>
    </row>
    <row r="86" spans="1:47" ht="14.95" thickBot="1" x14ac:dyDescent="0.3">
      <c r="A86" s="144">
        <v>46051</v>
      </c>
      <c r="B86" s="99">
        <f>DAY(Tabla1[[#This Row],[FECHA]])</f>
        <v>29</v>
      </c>
      <c r="C86" s="329" t="s">
        <v>295</v>
      </c>
      <c r="D86" s="330">
        <v>85</v>
      </c>
      <c r="E86" s="330" t="s">
        <v>75</v>
      </c>
      <c r="F86" s="331">
        <v>4200</v>
      </c>
      <c r="G86" s="332">
        <v>4200</v>
      </c>
      <c r="H86" s="332">
        <v>2000</v>
      </c>
      <c r="I86" s="332">
        <v>185</v>
      </c>
      <c r="J86" s="332">
        <v>95</v>
      </c>
      <c r="K86" s="361">
        <v>16796</v>
      </c>
      <c r="L86" s="362">
        <v>530.77611940298516</v>
      </c>
      <c r="M86" s="363">
        <v>80</v>
      </c>
      <c r="N86" s="363">
        <f>+Tabla1[[#This Row],[CAUDAL DE TRATAMIENTO]]+$M$102</f>
        <v>88.462686567164184</v>
      </c>
      <c r="O86" s="323">
        <f t="shared" si="82"/>
        <v>80</v>
      </c>
      <c r="P86" s="368">
        <f>G86-G87-150</f>
        <v>200</v>
      </c>
      <c r="Q86" s="323">
        <f t="shared" si="87"/>
        <v>20</v>
      </c>
      <c r="R86" s="323">
        <f t="shared" si="86"/>
        <v>0</v>
      </c>
      <c r="S86" s="324">
        <f t="shared" si="88"/>
        <v>5</v>
      </c>
      <c r="T86" s="333">
        <f t="shared" si="72"/>
        <v>104</v>
      </c>
      <c r="U86" s="334">
        <f t="shared" si="73"/>
        <v>265</v>
      </c>
      <c r="V86" s="334">
        <f t="shared" si="74"/>
        <v>25</v>
      </c>
      <c r="W86" s="334">
        <f>Tabla1[[#This Row],[CONSUMO POL ANIONICO (KG)]]</f>
        <v>0</v>
      </c>
      <c r="X86" s="324">
        <f>Tabla1[[#This Row],[CONSUMO POL CATIONICO (KG)]]</f>
        <v>5</v>
      </c>
      <c r="Y86" s="333">
        <f t="shared" si="65"/>
        <v>195.93948596816824</v>
      </c>
      <c r="Z86" s="334">
        <f t="shared" si="66"/>
        <v>499.26888251504408</v>
      </c>
      <c r="AA86" s="334">
        <f t="shared" si="67"/>
        <v>47.100837973117365</v>
      </c>
      <c r="AB86" s="334">
        <f t="shared" si="68"/>
        <v>0</v>
      </c>
      <c r="AC86" s="324">
        <f t="shared" si="69"/>
        <v>9.4201675946234733</v>
      </c>
      <c r="AD86" s="335">
        <v>1.3</v>
      </c>
      <c r="AE86" s="335">
        <v>1.325</v>
      </c>
      <c r="AF86" s="335">
        <v>1.25</v>
      </c>
      <c r="AG86" s="336">
        <v>2500</v>
      </c>
      <c r="AH86" s="337">
        <v>2500</v>
      </c>
      <c r="AI86" s="100">
        <v>830</v>
      </c>
      <c r="AJ86" s="100">
        <v>2900</v>
      </c>
      <c r="AK86" s="100">
        <v>6295</v>
      </c>
      <c r="AL86" s="100">
        <v>19050</v>
      </c>
      <c r="AM86" s="100">
        <v>22050</v>
      </c>
      <c r="AN86" s="338">
        <f t="shared" si="75"/>
        <v>86320</v>
      </c>
      <c r="AO86" s="339">
        <f t="shared" si="76"/>
        <v>768500</v>
      </c>
      <c r="AP86" s="339">
        <f t="shared" si="77"/>
        <v>157375</v>
      </c>
      <c r="AQ86" s="339">
        <f t="shared" si="78"/>
        <v>0</v>
      </c>
      <c r="AR86" s="340">
        <f t="shared" si="79"/>
        <v>110250</v>
      </c>
      <c r="AS86" s="338">
        <f>SUM(Tabla1[[#This Row],[COSTO OPERATIVO ACIDO]:[COSTO OPERATIVO CATIONICO]])</f>
        <v>1122445</v>
      </c>
      <c r="AT86" s="339">
        <v>5250</v>
      </c>
      <c r="AU86" s="341">
        <f t="shared" si="70"/>
        <v>2114.7240031494289</v>
      </c>
    </row>
    <row r="87" spans="1:47" ht="14.95" thickBot="1" x14ac:dyDescent="0.3">
      <c r="A87" s="342">
        <f t="shared" ref="A87:A88" si="91">A86</f>
        <v>46051</v>
      </c>
      <c r="B87" s="99">
        <f>DAY(Tabla1[[#This Row],[FECHA]])</f>
        <v>29</v>
      </c>
      <c r="C87" s="343" t="s">
        <v>296</v>
      </c>
      <c r="D87" s="344">
        <v>86</v>
      </c>
      <c r="E87" s="344" t="s">
        <v>77</v>
      </c>
      <c r="F87" s="345">
        <v>4120</v>
      </c>
      <c r="G87" s="346">
        <v>3850</v>
      </c>
      <c r="H87" s="346">
        <v>1980</v>
      </c>
      <c r="I87" s="346">
        <v>185</v>
      </c>
      <c r="J87" s="346">
        <v>90</v>
      </c>
      <c r="K87" s="364">
        <v>16802</v>
      </c>
      <c r="L87" s="359">
        <v>353.85074626865674</v>
      </c>
      <c r="M87" s="360">
        <v>80</v>
      </c>
      <c r="N87" s="360">
        <f>+Tabla1[[#This Row],[CAUDAL DE TRATAMIENTO]]+$M$102</f>
        <v>88.462686567164184</v>
      </c>
      <c r="O87" s="325">
        <f t="shared" si="82"/>
        <v>120</v>
      </c>
      <c r="P87" s="376">
        <f t="shared" si="80"/>
        <v>150</v>
      </c>
      <c r="Q87" s="325">
        <f t="shared" si="87"/>
        <v>30</v>
      </c>
      <c r="R87" s="325">
        <f t="shared" si="86"/>
        <v>5</v>
      </c>
      <c r="S87" s="326">
        <f t="shared" si="88"/>
        <v>5</v>
      </c>
      <c r="T87" s="333">
        <f t="shared" si="72"/>
        <v>156</v>
      </c>
      <c r="U87" s="334">
        <f t="shared" si="73"/>
        <v>198.75</v>
      </c>
      <c r="V87" s="334">
        <f t="shared" si="74"/>
        <v>37.5</v>
      </c>
      <c r="W87" s="347">
        <f>Tabla1[[#This Row],[CONSUMO POL ANIONICO (KG)]]</f>
        <v>5</v>
      </c>
      <c r="X87" s="326">
        <f>Tabla1[[#This Row],[CONSUMO POL CATIONICO (KG)]]</f>
        <v>5</v>
      </c>
      <c r="Y87" s="348">
        <f t="shared" si="65"/>
        <v>440.86384342837857</v>
      </c>
      <c r="Z87" s="347">
        <f t="shared" si="66"/>
        <v>561.67749282942464</v>
      </c>
      <c r="AA87" s="347">
        <f t="shared" si="67"/>
        <v>105.97688543951408</v>
      </c>
      <c r="AB87" s="347">
        <f t="shared" si="68"/>
        <v>14.130251391935211</v>
      </c>
      <c r="AC87" s="326">
        <f t="shared" si="69"/>
        <v>14.130251391935211</v>
      </c>
      <c r="AD87" s="335">
        <v>1.3</v>
      </c>
      <c r="AE87" s="335">
        <v>1.325</v>
      </c>
      <c r="AF87" s="335">
        <v>1.25</v>
      </c>
      <c r="AG87" s="336">
        <v>2500</v>
      </c>
      <c r="AH87" s="337">
        <v>2500</v>
      </c>
      <c r="AI87" s="100">
        <v>830</v>
      </c>
      <c r="AJ87" s="100">
        <v>2900</v>
      </c>
      <c r="AK87" s="100">
        <v>6295</v>
      </c>
      <c r="AL87" s="100">
        <v>19050</v>
      </c>
      <c r="AM87" s="100">
        <v>22050</v>
      </c>
      <c r="AN87" s="349">
        <f t="shared" si="75"/>
        <v>129480</v>
      </c>
      <c r="AO87" s="341">
        <f t="shared" si="76"/>
        <v>576375</v>
      </c>
      <c r="AP87" s="341">
        <f t="shared" si="77"/>
        <v>236062.5</v>
      </c>
      <c r="AQ87" s="341">
        <f t="shared" si="78"/>
        <v>95250</v>
      </c>
      <c r="AR87" s="350">
        <f t="shared" si="79"/>
        <v>110250</v>
      </c>
      <c r="AS87" s="349">
        <f>SUM(Tabla1[[#This Row],[COSTO OPERATIVO ACIDO]:[COSTO OPERATIVO CATIONICO]])</f>
        <v>1147417.5</v>
      </c>
      <c r="AT87" s="341">
        <v>5250</v>
      </c>
      <c r="AU87" s="341">
        <f t="shared" si="70"/>
        <v>3242.6595453011641</v>
      </c>
    </row>
    <row r="88" spans="1:47" ht="14.95" thickBot="1" x14ac:dyDescent="0.3">
      <c r="A88" s="351">
        <f t="shared" si="91"/>
        <v>46051</v>
      </c>
      <c r="B88" s="99">
        <f>DAY(Tabla1[[#This Row],[FECHA]])</f>
        <v>29</v>
      </c>
      <c r="C88" s="352" t="s">
        <v>30</v>
      </c>
      <c r="D88" s="353">
        <v>87</v>
      </c>
      <c r="E88" s="353" t="s">
        <v>76</v>
      </c>
      <c r="F88" s="345">
        <v>4000</v>
      </c>
      <c r="G88" s="346">
        <v>3700</v>
      </c>
      <c r="H88" s="346">
        <v>1950</v>
      </c>
      <c r="I88" s="346">
        <v>180</v>
      </c>
      <c r="J88" s="346">
        <v>85</v>
      </c>
      <c r="K88" s="365">
        <v>16806</v>
      </c>
      <c r="L88" s="366">
        <v>442.31343283582089</v>
      </c>
      <c r="M88" s="367">
        <v>80</v>
      </c>
      <c r="N88" s="367">
        <f>+Tabla1[[#This Row],[CAUDAL DE TRATAMIENTO]]+$M$102</f>
        <v>88.462686567164184</v>
      </c>
      <c r="O88" s="327">
        <f t="shared" si="82"/>
        <v>80</v>
      </c>
      <c r="P88" s="377">
        <f t="shared" si="80"/>
        <v>290</v>
      </c>
      <c r="Q88" s="327">
        <f t="shared" si="87"/>
        <v>70</v>
      </c>
      <c r="R88" s="327">
        <f t="shared" si="86"/>
        <v>0</v>
      </c>
      <c r="S88" s="328">
        <f t="shared" si="88"/>
        <v>5</v>
      </c>
      <c r="T88" s="333">
        <f t="shared" si="72"/>
        <v>104</v>
      </c>
      <c r="U88" s="334">
        <f t="shared" si="73"/>
        <v>384.25</v>
      </c>
      <c r="V88" s="334">
        <f t="shared" si="74"/>
        <v>87.5</v>
      </c>
      <c r="W88" s="354">
        <f>Tabla1[[#This Row],[CONSUMO POL ANIONICO (KG)]]</f>
        <v>0</v>
      </c>
      <c r="X88" s="328">
        <f>Tabla1[[#This Row],[CONSUMO POL CATIONICO (KG)]]</f>
        <v>5</v>
      </c>
      <c r="Y88" s="348">
        <f t="shared" si="65"/>
        <v>235.12738316180193</v>
      </c>
      <c r="Z88" s="354">
        <f t="shared" si="66"/>
        <v>868.72785557617681</v>
      </c>
      <c r="AA88" s="354">
        <f t="shared" si="67"/>
        <v>197.82351948709297</v>
      </c>
      <c r="AB88" s="354">
        <f t="shared" si="68"/>
        <v>0</v>
      </c>
      <c r="AC88" s="328">
        <f t="shared" si="69"/>
        <v>11.304201113548169</v>
      </c>
      <c r="AD88" s="335">
        <v>1.3</v>
      </c>
      <c r="AE88" s="335">
        <v>1.325</v>
      </c>
      <c r="AF88" s="335">
        <v>1.25</v>
      </c>
      <c r="AG88" s="336">
        <v>2500</v>
      </c>
      <c r="AH88" s="337">
        <v>2500</v>
      </c>
      <c r="AI88" s="100">
        <v>830</v>
      </c>
      <c r="AJ88" s="100">
        <v>2900</v>
      </c>
      <c r="AK88" s="100">
        <v>6295</v>
      </c>
      <c r="AL88" s="100">
        <v>19050</v>
      </c>
      <c r="AM88" s="100">
        <v>22050</v>
      </c>
      <c r="AN88" s="349">
        <f t="shared" si="75"/>
        <v>86320</v>
      </c>
      <c r="AO88" s="355">
        <f t="shared" si="76"/>
        <v>1114325</v>
      </c>
      <c r="AP88" s="355">
        <f t="shared" si="77"/>
        <v>550812.5</v>
      </c>
      <c r="AQ88" s="355">
        <f t="shared" si="78"/>
        <v>0</v>
      </c>
      <c r="AR88" s="356">
        <f t="shared" si="79"/>
        <v>110250</v>
      </c>
      <c r="AS88" s="349">
        <f>SUM(Tabla1[[#This Row],[COSTO OPERATIVO ACIDO]:[COSTO OPERATIVO CATIONICO]])</f>
        <v>1861707.5</v>
      </c>
      <c r="AT88" s="355">
        <v>5250</v>
      </c>
      <c r="AU88" s="341">
        <f t="shared" si="70"/>
        <v>4209.0231989201957</v>
      </c>
    </row>
    <row r="89" spans="1:47" ht="14.95" thickBot="1" x14ac:dyDescent="0.3">
      <c r="A89" s="144">
        <v>46052</v>
      </c>
      <c r="B89" s="99">
        <f>DAY(Tabla1[[#This Row],[FECHA]])</f>
        <v>30</v>
      </c>
      <c r="C89" s="329" t="s">
        <v>297</v>
      </c>
      <c r="D89" s="330">
        <v>88</v>
      </c>
      <c r="E89" s="330" t="s">
        <v>75</v>
      </c>
      <c r="F89" s="331">
        <v>3920</v>
      </c>
      <c r="G89" s="332">
        <v>3410</v>
      </c>
      <c r="H89" s="332">
        <v>1880</v>
      </c>
      <c r="I89" s="332">
        <v>180</v>
      </c>
      <c r="J89" s="332">
        <v>80</v>
      </c>
      <c r="K89" s="361">
        <v>16811</v>
      </c>
      <c r="L89" s="362">
        <v>530.77611940298516</v>
      </c>
      <c r="M89" s="363">
        <v>80</v>
      </c>
      <c r="N89" s="363">
        <f>+Tabla1[[#This Row],[CAUDAL DE TRATAMIENTO]]+$M$102</f>
        <v>88.462686567164184</v>
      </c>
      <c r="O89" s="323">
        <f t="shared" si="82"/>
        <v>100</v>
      </c>
      <c r="P89" s="375">
        <f t="shared" si="80"/>
        <v>170</v>
      </c>
      <c r="Q89" s="323">
        <f t="shared" si="87"/>
        <v>70</v>
      </c>
      <c r="R89" s="323">
        <f t="shared" si="86"/>
        <v>5</v>
      </c>
      <c r="S89" s="324">
        <f t="shared" si="88"/>
        <v>5</v>
      </c>
      <c r="T89" s="333">
        <f t="shared" si="72"/>
        <v>130</v>
      </c>
      <c r="U89" s="334">
        <f t="shared" si="73"/>
        <v>225.25</v>
      </c>
      <c r="V89" s="334">
        <f t="shared" si="74"/>
        <v>87.5</v>
      </c>
      <c r="W89" s="334">
        <f>Tabla1[[#This Row],[CONSUMO POL ANIONICO (KG)]]</f>
        <v>5</v>
      </c>
      <c r="X89" s="324">
        <f>Tabla1[[#This Row],[CONSUMO POL CATIONICO (KG)]]</f>
        <v>5</v>
      </c>
      <c r="Y89" s="333">
        <f t="shared" si="65"/>
        <v>244.9243574602103</v>
      </c>
      <c r="Z89" s="334">
        <f t="shared" si="66"/>
        <v>424.37855013778744</v>
      </c>
      <c r="AA89" s="334">
        <f t="shared" si="67"/>
        <v>164.85293290591079</v>
      </c>
      <c r="AB89" s="334">
        <f t="shared" si="68"/>
        <v>9.4201675946234733</v>
      </c>
      <c r="AC89" s="324">
        <f t="shared" si="69"/>
        <v>9.4201675946234733</v>
      </c>
      <c r="AD89" s="335">
        <v>1.3</v>
      </c>
      <c r="AE89" s="335">
        <v>1.325</v>
      </c>
      <c r="AF89" s="335">
        <v>1.25</v>
      </c>
      <c r="AG89" s="336">
        <v>2500</v>
      </c>
      <c r="AH89" s="337">
        <v>2500</v>
      </c>
      <c r="AI89" s="100">
        <v>830</v>
      </c>
      <c r="AJ89" s="100">
        <v>2900</v>
      </c>
      <c r="AK89" s="100">
        <v>6295</v>
      </c>
      <c r="AL89" s="100">
        <v>19050</v>
      </c>
      <c r="AM89" s="100">
        <v>22050</v>
      </c>
      <c r="AN89" s="338">
        <f t="shared" si="75"/>
        <v>107900</v>
      </c>
      <c r="AO89" s="339">
        <f t="shared" si="76"/>
        <v>653225</v>
      </c>
      <c r="AP89" s="339">
        <f t="shared" si="77"/>
        <v>550812.5</v>
      </c>
      <c r="AQ89" s="339">
        <f t="shared" si="78"/>
        <v>95250</v>
      </c>
      <c r="AR89" s="340">
        <f t="shared" si="79"/>
        <v>110250</v>
      </c>
      <c r="AS89" s="338">
        <f>SUM(Tabla1[[#This Row],[COSTO OPERATIVO ACIDO]:[COSTO OPERATIVO CATIONICO]])</f>
        <v>1517437.5</v>
      </c>
      <c r="AT89" s="339">
        <v>5250</v>
      </c>
      <c r="AU89" s="341">
        <f t="shared" si="70"/>
        <v>2858.9031128732913</v>
      </c>
    </row>
    <row r="90" spans="1:47" ht="14.95" thickBot="1" x14ac:dyDescent="0.3">
      <c r="A90" s="342">
        <f t="shared" ref="A90:A91" si="92">A89</f>
        <v>46052</v>
      </c>
      <c r="B90" s="99">
        <f>DAY(Tabla1[[#This Row],[FECHA]])</f>
        <v>30</v>
      </c>
      <c r="C90" s="343" t="s">
        <v>298</v>
      </c>
      <c r="D90" s="344">
        <v>89</v>
      </c>
      <c r="E90" s="344" t="s">
        <v>77</v>
      </c>
      <c r="F90" s="345">
        <v>3820</v>
      </c>
      <c r="G90" s="346">
        <v>3240</v>
      </c>
      <c r="H90" s="346">
        <v>1810</v>
      </c>
      <c r="I90" s="346">
        <v>175</v>
      </c>
      <c r="J90" s="346">
        <v>75</v>
      </c>
      <c r="K90" s="364">
        <v>16817</v>
      </c>
      <c r="L90" s="359">
        <v>353.85074626865674</v>
      </c>
      <c r="M90" s="360">
        <v>80</v>
      </c>
      <c r="N90" s="360">
        <f>+Tabla1[[#This Row],[CAUDAL DE TRATAMIENTO]]+$M$102</f>
        <v>88.462686567164184</v>
      </c>
      <c r="O90" s="325">
        <f t="shared" si="82"/>
        <v>40</v>
      </c>
      <c r="P90" s="376">
        <f t="shared" si="80"/>
        <v>140</v>
      </c>
      <c r="Q90" s="325">
        <f t="shared" si="87"/>
        <v>20</v>
      </c>
      <c r="R90" s="325">
        <f t="shared" si="86"/>
        <v>0</v>
      </c>
      <c r="S90" s="326">
        <f t="shared" si="88"/>
        <v>5</v>
      </c>
      <c r="T90" s="333">
        <f t="shared" si="72"/>
        <v>52</v>
      </c>
      <c r="U90" s="334">
        <f t="shared" si="73"/>
        <v>185.5</v>
      </c>
      <c r="V90" s="334">
        <f t="shared" si="74"/>
        <v>25</v>
      </c>
      <c r="W90" s="347">
        <f>Tabla1[[#This Row],[CONSUMO POL ANIONICO (KG)]]</f>
        <v>0</v>
      </c>
      <c r="X90" s="326">
        <f>Tabla1[[#This Row],[CONSUMO POL CATIONICO (KG)]]</f>
        <v>5</v>
      </c>
      <c r="Y90" s="348">
        <f t="shared" si="65"/>
        <v>146.95461447612618</v>
      </c>
      <c r="Z90" s="347">
        <f t="shared" si="66"/>
        <v>524.23232664079637</v>
      </c>
      <c r="AA90" s="347">
        <f t="shared" si="67"/>
        <v>70.651256959676061</v>
      </c>
      <c r="AB90" s="347">
        <f t="shared" si="68"/>
        <v>0</v>
      </c>
      <c r="AC90" s="326">
        <f t="shared" si="69"/>
        <v>14.130251391935211</v>
      </c>
      <c r="AD90" s="335">
        <v>1.3</v>
      </c>
      <c r="AE90" s="335">
        <v>1.325</v>
      </c>
      <c r="AF90" s="335">
        <v>1.25</v>
      </c>
      <c r="AG90" s="336">
        <v>2500</v>
      </c>
      <c r="AH90" s="337">
        <v>2500</v>
      </c>
      <c r="AI90" s="100">
        <v>830</v>
      </c>
      <c r="AJ90" s="100">
        <v>2900</v>
      </c>
      <c r="AK90" s="100">
        <v>6295</v>
      </c>
      <c r="AL90" s="100">
        <v>19050</v>
      </c>
      <c r="AM90" s="100">
        <v>22050</v>
      </c>
      <c r="AN90" s="349">
        <f t="shared" si="75"/>
        <v>43160</v>
      </c>
      <c r="AO90" s="341">
        <f t="shared" si="76"/>
        <v>537950</v>
      </c>
      <c r="AP90" s="341">
        <f t="shared" si="77"/>
        <v>157375</v>
      </c>
      <c r="AQ90" s="341">
        <f t="shared" si="78"/>
        <v>0</v>
      </c>
      <c r="AR90" s="350">
        <f t="shared" si="79"/>
        <v>110250</v>
      </c>
      <c r="AS90" s="349">
        <f>SUM(Tabla1[[#This Row],[COSTO OPERATIVO ACIDO]:[COSTO OPERATIVO CATIONICO]])</f>
        <v>848735</v>
      </c>
      <c r="AT90" s="341">
        <v>5250</v>
      </c>
      <c r="AU90" s="341">
        <f t="shared" si="70"/>
        <v>2398.5677830268264</v>
      </c>
    </row>
    <row r="91" spans="1:47" ht="14.95" thickBot="1" x14ac:dyDescent="0.3">
      <c r="A91" s="351">
        <f t="shared" si="92"/>
        <v>46052</v>
      </c>
      <c r="B91" s="99">
        <f>DAY(Tabla1[[#This Row],[FECHA]])</f>
        <v>30</v>
      </c>
      <c r="C91" s="352" t="s">
        <v>30</v>
      </c>
      <c r="D91" s="353">
        <v>90</v>
      </c>
      <c r="E91" s="353" t="s">
        <v>76</v>
      </c>
      <c r="F91" s="345">
        <v>3780</v>
      </c>
      <c r="G91" s="346">
        <v>3100</v>
      </c>
      <c r="H91" s="346">
        <v>1790</v>
      </c>
      <c r="I91" s="346">
        <v>175</v>
      </c>
      <c r="J91" s="346">
        <v>70</v>
      </c>
      <c r="K91" s="365">
        <v>16821</v>
      </c>
      <c r="L91" s="366">
        <v>442.31343283582089</v>
      </c>
      <c r="M91" s="367">
        <v>80</v>
      </c>
      <c r="N91" s="367">
        <f>+Tabla1[[#This Row],[CAUDAL DE TRATAMIENTO]]+$M$102</f>
        <v>88.462686567164184</v>
      </c>
      <c r="O91" s="327">
        <f>F91-F92+1000</f>
        <v>150</v>
      </c>
      <c r="P91" s="377">
        <f>G91-G92+4000</f>
        <v>200</v>
      </c>
      <c r="Q91" s="327">
        <f t="shared" si="87"/>
        <v>80</v>
      </c>
      <c r="R91" s="327">
        <f t="shared" si="86"/>
        <v>5</v>
      </c>
      <c r="S91" s="328">
        <f t="shared" si="88"/>
        <v>5</v>
      </c>
      <c r="T91" s="333">
        <f t="shared" si="72"/>
        <v>195</v>
      </c>
      <c r="U91" s="334">
        <f t="shared" si="73"/>
        <v>265</v>
      </c>
      <c r="V91" s="334">
        <f t="shared" si="74"/>
        <v>100</v>
      </c>
      <c r="W91" s="354">
        <f>Tabla1[[#This Row],[CONSUMO POL ANIONICO (KG)]]</f>
        <v>5</v>
      </c>
      <c r="X91" s="328">
        <f>Tabla1[[#This Row],[CONSUMO POL CATIONICO (KG)]]</f>
        <v>5</v>
      </c>
      <c r="Y91" s="348">
        <f t="shared" si="65"/>
        <v>440.86384342837863</v>
      </c>
      <c r="Z91" s="354">
        <f t="shared" si="66"/>
        <v>599.12265901805301</v>
      </c>
      <c r="AA91" s="354">
        <f t="shared" si="67"/>
        <v>226.0840222709634</v>
      </c>
      <c r="AB91" s="354">
        <f t="shared" si="68"/>
        <v>11.304201113548169</v>
      </c>
      <c r="AC91" s="328">
        <f t="shared" si="69"/>
        <v>11.304201113548169</v>
      </c>
      <c r="AD91" s="335">
        <v>1.3</v>
      </c>
      <c r="AE91" s="335">
        <v>1.325</v>
      </c>
      <c r="AF91" s="335">
        <v>1.25</v>
      </c>
      <c r="AG91" s="336">
        <v>2500</v>
      </c>
      <c r="AH91" s="337">
        <v>2500</v>
      </c>
      <c r="AI91" s="100">
        <v>830</v>
      </c>
      <c r="AJ91" s="100">
        <v>2900</v>
      </c>
      <c r="AK91" s="100">
        <v>6295</v>
      </c>
      <c r="AL91" s="100">
        <v>19050</v>
      </c>
      <c r="AM91" s="100">
        <v>22050</v>
      </c>
      <c r="AN91" s="349">
        <f t="shared" si="75"/>
        <v>161850</v>
      </c>
      <c r="AO91" s="355">
        <f t="shared" si="76"/>
        <v>768500</v>
      </c>
      <c r="AP91" s="355">
        <f t="shared" si="77"/>
        <v>629500</v>
      </c>
      <c r="AQ91" s="355">
        <f t="shared" si="78"/>
        <v>95250</v>
      </c>
      <c r="AR91" s="356">
        <f t="shared" si="79"/>
        <v>110250</v>
      </c>
      <c r="AS91" s="349">
        <f>SUM(Tabla1[[#This Row],[COSTO OPERATIVO ACIDO]:[COSTO OPERATIVO CATIONICO]])</f>
        <v>1765350</v>
      </c>
      <c r="AT91" s="355">
        <v>5250</v>
      </c>
      <c r="AU91" s="341">
        <f t="shared" si="70"/>
        <v>3991.1742871604524</v>
      </c>
    </row>
    <row r="92" spans="1:47" ht="14.95" thickBot="1" x14ac:dyDescent="0.3">
      <c r="A92" s="144">
        <v>46053</v>
      </c>
      <c r="B92" s="99">
        <f>DAY(Tabla1[[#This Row],[FECHA]])</f>
        <v>31</v>
      </c>
      <c r="C92" s="329" t="s">
        <v>299</v>
      </c>
      <c r="D92" s="330">
        <v>91</v>
      </c>
      <c r="E92" s="330" t="s">
        <v>75</v>
      </c>
      <c r="F92" s="331">
        <v>4630</v>
      </c>
      <c r="G92" s="332">
        <v>6900</v>
      </c>
      <c r="H92" s="332">
        <v>1710</v>
      </c>
      <c r="I92" s="332">
        <v>170</v>
      </c>
      <c r="J92" s="332">
        <v>65</v>
      </c>
      <c r="K92" s="361">
        <v>16826</v>
      </c>
      <c r="L92" s="362">
        <v>619.23880597014931</v>
      </c>
      <c r="M92" s="363">
        <v>80</v>
      </c>
      <c r="N92" s="363">
        <f>+Tabla1[[#This Row],[CAUDAL DE TRATAMIENTO]]+$M$102</f>
        <v>88.462686567164184</v>
      </c>
      <c r="O92" s="386">
        <f t="shared" si="82"/>
        <v>30</v>
      </c>
      <c r="P92" s="387">
        <f t="shared" si="80"/>
        <v>280</v>
      </c>
      <c r="Q92" s="323">
        <f t="shared" si="87"/>
        <v>110</v>
      </c>
      <c r="R92" s="323">
        <f t="shared" si="86"/>
        <v>0</v>
      </c>
      <c r="S92" s="324">
        <f t="shared" si="88"/>
        <v>5</v>
      </c>
      <c r="T92" s="333">
        <f t="shared" si="72"/>
        <v>39</v>
      </c>
      <c r="U92" s="334">
        <f t="shared" si="73"/>
        <v>371</v>
      </c>
      <c r="V92" s="334">
        <f t="shared" si="74"/>
        <v>137.5</v>
      </c>
      <c r="W92" s="334">
        <f>Tabla1[[#This Row],[CONSUMO POL ANIONICO (KG)]]</f>
        <v>0</v>
      </c>
      <c r="X92" s="324">
        <f>Tabla1[[#This Row],[CONSUMO POL CATIONICO (KG)]]</f>
        <v>5</v>
      </c>
      <c r="Y92" s="333">
        <f t="shared" si="65"/>
        <v>62.980549061196939</v>
      </c>
      <c r="Z92" s="334">
        <f t="shared" si="66"/>
        <v>599.1226590180529</v>
      </c>
      <c r="AA92" s="334">
        <f t="shared" si="67"/>
        <v>222.0468075875533</v>
      </c>
      <c r="AB92" s="334">
        <f t="shared" si="68"/>
        <v>0</v>
      </c>
      <c r="AC92" s="324">
        <f t="shared" si="69"/>
        <v>8.0744293668201195</v>
      </c>
      <c r="AD92" s="335">
        <v>1.3</v>
      </c>
      <c r="AE92" s="335">
        <v>1.325</v>
      </c>
      <c r="AF92" s="335">
        <v>1.25</v>
      </c>
      <c r="AG92" s="336">
        <v>2500</v>
      </c>
      <c r="AH92" s="337">
        <v>2500</v>
      </c>
      <c r="AI92" s="100">
        <v>830</v>
      </c>
      <c r="AJ92" s="100">
        <v>2900</v>
      </c>
      <c r="AK92" s="100">
        <v>6295</v>
      </c>
      <c r="AL92" s="100">
        <v>19050</v>
      </c>
      <c r="AM92" s="100">
        <v>22050</v>
      </c>
      <c r="AN92" s="338">
        <f t="shared" si="75"/>
        <v>32370</v>
      </c>
      <c r="AO92" s="339">
        <f t="shared" si="76"/>
        <v>1075900</v>
      </c>
      <c r="AP92" s="339">
        <f t="shared" si="77"/>
        <v>865562.5</v>
      </c>
      <c r="AQ92" s="339">
        <f t="shared" si="78"/>
        <v>0</v>
      </c>
      <c r="AR92" s="340">
        <f t="shared" si="79"/>
        <v>110250</v>
      </c>
      <c r="AS92" s="338">
        <f>SUM(Tabla1[[#This Row],[COSTO OPERATIVO ACIDO]:[COSTO OPERATIVO CATIONICO]])</f>
        <v>2084082.5</v>
      </c>
      <c r="AT92" s="339">
        <v>5250</v>
      </c>
      <c r="AU92" s="341">
        <f t="shared" si="70"/>
        <v>3365.5553881751785</v>
      </c>
    </row>
    <row r="93" spans="1:47" ht="14.95" thickBot="1" x14ac:dyDescent="0.3">
      <c r="A93" s="342">
        <f t="shared" ref="A93:A94" si="93">A92</f>
        <v>46053</v>
      </c>
      <c r="B93" s="99">
        <f>DAY(Tabla1[[#This Row],[FECHA]])</f>
        <v>31</v>
      </c>
      <c r="C93" s="343" t="s">
        <v>300</v>
      </c>
      <c r="D93" s="344">
        <v>92</v>
      </c>
      <c r="E93" s="344" t="s">
        <v>77</v>
      </c>
      <c r="F93" s="345">
        <v>4600</v>
      </c>
      <c r="G93" s="346">
        <v>6620</v>
      </c>
      <c r="H93" s="346">
        <v>1600</v>
      </c>
      <c r="I93" s="346">
        <v>170</v>
      </c>
      <c r="J93" s="346">
        <v>60</v>
      </c>
      <c r="K93" s="364">
        <v>16833</v>
      </c>
      <c r="L93" s="359">
        <v>353.85074626865674</v>
      </c>
      <c r="M93" s="360">
        <v>80</v>
      </c>
      <c r="N93" s="360">
        <f>+Tabla1[[#This Row],[CAUDAL DE TRATAMIENTO]]+$M$102</f>
        <v>88.462686567164184</v>
      </c>
      <c r="O93" s="325">
        <f t="shared" si="82"/>
        <v>230</v>
      </c>
      <c r="P93" s="376">
        <f t="shared" si="80"/>
        <v>130</v>
      </c>
      <c r="Q93" s="325">
        <f t="shared" si="87"/>
        <v>80</v>
      </c>
      <c r="R93" s="325">
        <f t="shared" si="86"/>
        <v>5</v>
      </c>
      <c r="S93" s="326">
        <f t="shared" si="88"/>
        <v>0</v>
      </c>
      <c r="T93" s="333">
        <f t="shared" si="72"/>
        <v>299</v>
      </c>
      <c r="U93" s="334">
        <f t="shared" si="73"/>
        <v>172.25</v>
      </c>
      <c r="V93" s="334">
        <f t="shared" si="74"/>
        <v>100</v>
      </c>
      <c r="W93" s="347">
        <f>Tabla1[[#This Row],[CONSUMO POL ANIONICO (KG)]]</f>
        <v>5</v>
      </c>
      <c r="X93" s="326">
        <f>Tabla1[[#This Row],[CONSUMO POL CATIONICO (KG)]]</f>
        <v>0</v>
      </c>
      <c r="Y93" s="348">
        <f t="shared" si="65"/>
        <v>844.98903323772561</v>
      </c>
      <c r="Z93" s="347">
        <f t="shared" si="66"/>
        <v>486.787160452168</v>
      </c>
      <c r="AA93" s="347">
        <f t="shared" si="67"/>
        <v>282.60502783870425</v>
      </c>
      <c r="AB93" s="347">
        <f t="shared" si="68"/>
        <v>14.130251391935211</v>
      </c>
      <c r="AC93" s="326">
        <f t="shared" si="69"/>
        <v>0</v>
      </c>
      <c r="AD93" s="335">
        <v>1.3</v>
      </c>
      <c r="AE93" s="335">
        <v>1.325</v>
      </c>
      <c r="AF93" s="335">
        <v>1.25</v>
      </c>
      <c r="AG93" s="336">
        <v>2500</v>
      </c>
      <c r="AH93" s="337">
        <v>2500</v>
      </c>
      <c r="AI93" s="100">
        <v>830</v>
      </c>
      <c r="AJ93" s="100">
        <v>2900</v>
      </c>
      <c r="AK93" s="100">
        <v>6295</v>
      </c>
      <c r="AL93" s="100">
        <v>19050</v>
      </c>
      <c r="AM93" s="100">
        <v>22050</v>
      </c>
      <c r="AN93" s="349">
        <f t="shared" si="75"/>
        <v>248170</v>
      </c>
      <c r="AO93" s="341">
        <f t="shared" si="76"/>
        <v>499525</v>
      </c>
      <c r="AP93" s="341">
        <f t="shared" si="77"/>
        <v>629500</v>
      </c>
      <c r="AQ93" s="341">
        <f t="shared" si="78"/>
        <v>95250</v>
      </c>
      <c r="AR93" s="350">
        <f t="shared" si="79"/>
        <v>0</v>
      </c>
      <c r="AS93" s="349">
        <f>SUM(Tabla1[[#This Row],[COSTO OPERATIVO ACIDO]:[COSTO OPERATIVO CATIONICO]])</f>
        <v>1472445</v>
      </c>
      <c r="AT93" s="341">
        <v>5250</v>
      </c>
      <c r="AU93" s="341">
        <f t="shared" si="70"/>
        <v>4161.2036021596086</v>
      </c>
    </row>
    <row r="94" spans="1:47" s="373" customFormat="1" ht="14.95" thickBot="1" x14ac:dyDescent="0.3">
      <c r="A94" s="351">
        <f t="shared" si="93"/>
        <v>46053</v>
      </c>
      <c r="B94" s="99">
        <f>DAY(Tabla1[[#This Row],[FECHA]])</f>
        <v>31</v>
      </c>
      <c r="C94" s="352" t="s">
        <v>30</v>
      </c>
      <c r="D94" s="353">
        <v>93</v>
      </c>
      <c r="E94" s="353" t="s">
        <v>76</v>
      </c>
      <c r="F94" s="345">
        <v>4370</v>
      </c>
      <c r="G94" s="346">
        <v>6490</v>
      </c>
      <c r="H94" s="346">
        <v>1520</v>
      </c>
      <c r="I94" s="346">
        <v>165</v>
      </c>
      <c r="J94" s="346">
        <v>60</v>
      </c>
      <c r="K94" s="365">
        <v>16837</v>
      </c>
      <c r="L94" s="366">
        <v>0</v>
      </c>
      <c r="M94" s="367">
        <v>0</v>
      </c>
      <c r="N94" s="367">
        <f>+Tabla1[[#This Row],[CAUDAL DE TRATAMIENTO]]+$M$102</f>
        <v>8.4626865671641784</v>
      </c>
      <c r="O94" s="327">
        <f>F94-F95</f>
        <v>10</v>
      </c>
      <c r="P94" s="327">
        <f t="shared" si="80"/>
        <v>10</v>
      </c>
      <c r="Q94" s="327">
        <f t="shared" si="87"/>
        <v>10</v>
      </c>
      <c r="R94" s="327">
        <f t="shared" si="86"/>
        <v>0</v>
      </c>
      <c r="S94" s="327">
        <f t="shared" si="88"/>
        <v>0</v>
      </c>
      <c r="T94" s="333">
        <f t="shared" si="72"/>
        <v>13</v>
      </c>
      <c r="U94" s="334">
        <f t="shared" si="73"/>
        <v>13.25</v>
      </c>
      <c r="V94" s="334">
        <f t="shared" si="74"/>
        <v>12.5</v>
      </c>
      <c r="W94" s="354">
        <f>Tabla1[[#This Row],[CONSUMO POL ANIONICO (KG)]]</f>
        <v>0</v>
      </c>
      <c r="X94" s="328">
        <f>Tabla1[[#This Row],[CONSUMO POL CATIONICO (KG)]]</f>
        <v>0</v>
      </c>
      <c r="Y94" s="348" t="e">
        <f t="shared" si="65"/>
        <v>#DIV/0!</v>
      </c>
      <c r="Z94" s="354" t="e">
        <f t="shared" si="66"/>
        <v>#DIV/0!</v>
      </c>
      <c r="AA94" s="354" t="e">
        <f t="shared" si="67"/>
        <v>#DIV/0!</v>
      </c>
      <c r="AB94" s="354" t="e">
        <f t="shared" si="68"/>
        <v>#DIV/0!</v>
      </c>
      <c r="AC94" s="328" t="e">
        <f t="shared" si="69"/>
        <v>#DIV/0!</v>
      </c>
      <c r="AD94" s="335">
        <v>1.3</v>
      </c>
      <c r="AE94" s="335">
        <v>1.325</v>
      </c>
      <c r="AF94" s="335">
        <v>1.25</v>
      </c>
      <c r="AG94" s="336">
        <v>2500</v>
      </c>
      <c r="AH94" s="337">
        <v>2500</v>
      </c>
      <c r="AI94" s="100">
        <v>830</v>
      </c>
      <c r="AJ94" s="100">
        <v>2900</v>
      </c>
      <c r="AK94" s="100">
        <v>6295</v>
      </c>
      <c r="AL94" s="100">
        <v>19050</v>
      </c>
      <c r="AM94" s="100">
        <v>22050</v>
      </c>
      <c r="AN94" s="349">
        <f t="shared" si="75"/>
        <v>10790</v>
      </c>
      <c r="AO94" s="355">
        <f t="shared" si="76"/>
        <v>38425</v>
      </c>
      <c r="AP94" s="355">
        <f t="shared" si="77"/>
        <v>78687.5</v>
      </c>
      <c r="AQ94" s="355">
        <f t="shared" si="78"/>
        <v>0</v>
      </c>
      <c r="AR94" s="356">
        <f t="shared" si="79"/>
        <v>0</v>
      </c>
      <c r="AS94" s="349">
        <f>SUM(Tabla1[[#This Row],[COSTO OPERATIVO ACIDO]:[COSTO OPERATIVO CATIONICO]])</f>
        <v>127902.5</v>
      </c>
      <c r="AT94" s="355">
        <v>5250</v>
      </c>
      <c r="AU94" s="341" t="e">
        <f t="shared" si="70"/>
        <v>#DIV/0!</v>
      </c>
    </row>
    <row r="95" spans="1:47" ht="14.95" thickBot="1" x14ac:dyDescent="0.3">
      <c r="B95" s="380"/>
      <c r="F95" s="294">
        <v>4360</v>
      </c>
      <c r="G95" s="294">
        <v>6480</v>
      </c>
      <c r="H95" s="294">
        <v>1510</v>
      </c>
      <c r="I95" s="346">
        <v>165</v>
      </c>
      <c r="J95" s="346">
        <v>60</v>
      </c>
      <c r="K95" s="365">
        <v>16837</v>
      </c>
      <c r="L95" s="381">
        <f>+(K96-Tabla1[[#This Row],[Lectura Horometro INICIAL (06:00)]])*Tabla1[[#This Row],[CAUDAL 2]]</f>
        <v>-1489446.2537313434</v>
      </c>
      <c r="M95" s="382">
        <v>80</v>
      </c>
      <c r="N95" s="392">
        <f>+Tabla1[[#This Row],[CAUDAL DE TRATAMIENTO]]+$M$102</f>
        <v>88.462686567164184</v>
      </c>
      <c r="O95" s="89">
        <f>F95-F96</f>
        <v>4360</v>
      </c>
      <c r="P95" s="89">
        <f>G95-G96</f>
        <v>6480</v>
      </c>
      <c r="Q95" s="89">
        <f t="shared" si="87"/>
        <v>1510</v>
      </c>
      <c r="R95" s="89">
        <f t="shared" si="86"/>
        <v>165</v>
      </c>
      <c r="S95" s="383">
        <f t="shared" si="88"/>
        <v>60</v>
      </c>
      <c r="T95" s="333">
        <f>(O95*$AD$2)</f>
        <v>5668</v>
      </c>
      <c r="U95" s="334">
        <f>(P95*$AE$2)</f>
        <v>8586</v>
      </c>
      <c r="V95" s="334">
        <f>(Q95*$AF$2)</f>
        <v>1887.5</v>
      </c>
      <c r="W95" s="347">
        <f>Tabla1[[#This Row],[CONSUMO POL ANIONICO (KG)]]</f>
        <v>165</v>
      </c>
      <c r="X95" s="326">
        <f>Tabla1[[#This Row],[CONSUMO POL CATIONICO (KG)]]</f>
        <v>60</v>
      </c>
      <c r="Y95" s="384">
        <f t="shared" si="65"/>
        <v>-3.8054411065861506</v>
      </c>
      <c r="Z95" s="384">
        <f t="shared" si="66"/>
        <v>-5.7645584582125418</v>
      </c>
      <c r="AA95" s="384">
        <f t="shared" si="67"/>
        <v>-1.2672494863587438</v>
      </c>
      <c r="AB95" s="384">
        <f t="shared" si="68"/>
        <v>-0.11077942529758554</v>
      </c>
      <c r="AC95" s="384">
        <f t="shared" si="69"/>
        <v>-4.02834273809402E-2</v>
      </c>
      <c r="AD95" s="336"/>
      <c r="AE95" s="336"/>
      <c r="AF95" s="336"/>
      <c r="AG95" s="336"/>
      <c r="AH95" s="337"/>
      <c r="AI95" s="100"/>
      <c r="AJ95" s="100"/>
      <c r="AK95" s="100"/>
      <c r="AL95" s="100"/>
      <c r="AM95" s="100"/>
      <c r="AN95" s="385">
        <f>T95*AI95</f>
        <v>0</v>
      </c>
      <c r="AO95" s="385">
        <f>U95*AJ95</f>
        <v>0</v>
      </c>
      <c r="AP95" s="385">
        <f>V95*AK95</f>
        <v>0</v>
      </c>
      <c r="AQ95" s="385">
        <f>W95*AL95</f>
        <v>0</v>
      </c>
      <c r="AR95" s="385">
        <f>X95*AM95</f>
        <v>0</v>
      </c>
      <c r="AS95" s="385">
        <f>SUM(Tabla1[[#This Row],[COSTO OPERATIVO ACIDO]:[COSTO OPERATIVO CATIONICO]])</f>
        <v>0</v>
      </c>
      <c r="AT95" s="341"/>
      <c r="AU95" s="385">
        <f t="shared" si="70"/>
        <v>0</v>
      </c>
    </row>
    <row r="96" spans="1:47" x14ac:dyDescent="0.25">
      <c r="A96" s="39"/>
      <c r="B96" s="454"/>
      <c r="C96" s="38"/>
      <c r="D96" s="67"/>
      <c r="E96" s="67"/>
      <c r="F96" s="510"/>
      <c r="G96" s="510"/>
      <c r="H96" s="510"/>
      <c r="I96" s="510"/>
      <c r="J96" s="510"/>
      <c r="K96" s="73"/>
      <c r="L96" s="304"/>
      <c r="M96" s="304"/>
      <c r="N96" s="304"/>
      <c r="O96" s="38"/>
      <c r="P96" s="38"/>
      <c r="Q96" s="38"/>
      <c r="R96" s="38"/>
      <c r="S96" s="38"/>
      <c r="T96" s="455"/>
      <c r="U96" s="456"/>
      <c r="V96" s="456"/>
      <c r="W96" s="38"/>
      <c r="X96" s="38"/>
      <c r="Y96" s="457"/>
      <c r="Z96" s="457"/>
      <c r="AA96" s="457"/>
      <c r="AB96" s="457"/>
      <c r="AC96" s="457"/>
      <c r="AD96" s="458"/>
      <c r="AE96" s="458"/>
      <c r="AF96" s="458"/>
      <c r="AG96" s="458"/>
      <c r="AH96" s="458"/>
      <c r="AI96" s="395"/>
      <c r="AJ96" s="395"/>
      <c r="AK96" s="395"/>
      <c r="AL96" s="395"/>
      <c r="AM96" s="395"/>
      <c r="AN96" s="459"/>
      <c r="AO96" s="459"/>
      <c r="AP96" s="459"/>
      <c r="AQ96" s="459"/>
      <c r="AR96" s="459"/>
      <c r="AS96" s="459">
        <f>SUM(Tabla1[[COSTO QUIMICA ]])</f>
        <v>89231262.5</v>
      </c>
      <c r="AT96" s="459"/>
      <c r="AU96" s="459"/>
    </row>
    <row r="97" spans="1:45" x14ac:dyDescent="0.25">
      <c r="A97" s="39"/>
      <c r="B97" s="39"/>
      <c r="C97" s="38"/>
      <c r="D97" s="67"/>
      <c r="E97" s="67"/>
      <c r="F97" s="293"/>
      <c r="H97" s="293"/>
      <c r="I97" s="293"/>
      <c r="J97" s="293"/>
      <c r="K97" s="73"/>
      <c r="L97" s="304">
        <f>+SUM(L2:L13)</f>
        <v>1083.5522388059703</v>
      </c>
      <c r="M97" s="304"/>
      <c r="N97" s="304"/>
      <c r="O97" s="95">
        <f>+SUM(O2:O88)</f>
        <v>4640</v>
      </c>
      <c r="P97" s="95">
        <f>+SUM(P2:P88)</f>
        <v>10700</v>
      </c>
      <c r="Q97" s="95">
        <f>+SUM(Q2:Q87)</f>
        <v>3330</v>
      </c>
      <c r="R97" s="95">
        <f>+SUM(R2:R87)</f>
        <v>130</v>
      </c>
      <c r="S97" s="95">
        <f>+SUM(S2:S87)</f>
        <v>270</v>
      </c>
      <c r="T97" s="308">
        <f>+SUM(T2:T94)</f>
        <v>6760</v>
      </c>
      <c r="U97" s="308">
        <f t="shared" ref="U97:X97" si="94">+SUM(U2:U94)</f>
        <v>15409.75</v>
      </c>
      <c r="V97" s="308">
        <f t="shared" si="94"/>
        <v>4712.5</v>
      </c>
      <c r="W97" s="308">
        <f t="shared" si="94"/>
        <v>145</v>
      </c>
      <c r="X97" s="308">
        <f t="shared" si="94"/>
        <v>295</v>
      </c>
      <c r="Y97" s="68"/>
      <c r="Z97" s="38"/>
      <c r="AA97" s="38"/>
      <c r="AB97" s="38"/>
      <c r="AC97" s="38"/>
      <c r="AN97" s="100">
        <f>+SUM(AN2:AN95)</f>
        <v>5610800</v>
      </c>
      <c r="AO97" s="100">
        <f>+SUM(AO2:AO95)</f>
        <v>44688275</v>
      </c>
      <c r="AP97" s="100">
        <f>+SUM(AP2:AP95)</f>
        <v>29665187.5</v>
      </c>
      <c r="AQ97" s="100">
        <f>+SUM(AQ2:AQ95)</f>
        <v>2762250</v>
      </c>
      <c r="AR97" s="100">
        <f>+SUM(AR2:AR95)</f>
        <v>6504750</v>
      </c>
    </row>
    <row r="98" spans="1:45" x14ac:dyDescent="0.25">
      <c r="A98" s="39"/>
      <c r="B98" s="39"/>
      <c r="C98" s="38"/>
      <c r="D98" s="67"/>
      <c r="E98" s="67"/>
      <c r="F98" s="293"/>
      <c r="G98" s="293"/>
      <c r="H98" s="293"/>
      <c r="I98" s="293"/>
      <c r="J98" s="293"/>
      <c r="K98" s="73"/>
      <c r="L98" s="304">
        <f>+SUM(L2:L13)</f>
        <v>1083.5522388059703</v>
      </c>
      <c r="M98" s="304"/>
      <c r="N98" s="304"/>
      <c r="O98" s="38"/>
      <c r="P98" s="38"/>
      <c r="Q98" s="95">
        <f>+MEDIAN(Q2:Q78)+2000</f>
        <v>2030</v>
      </c>
      <c r="R98" s="38"/>
      <c r="S98" s="38"/>
      <c r="T98" s="68"/>
      <c r="U98" s="38"/>
      <c r="V98" s="38"/>
      <c r="W98" s="38"/>
      <c r="X98" s="38"/>
      <c r="Y98" s="68"/>
      <c r="Z98" s="38"/>
      <c r="AA98" s="38"/>
      <c r="AB98" s="38"/>
      <c r="AC98" s="38"/>
      <c r="AS98" s="100">
        <f>+SUM(AS2:AS94)</f>
        <v>89231262.5</v>
      </c>
    </row>
    <row r="99" spans="1:45" x14ac:dyDescent="0.25">
      <c r="A99" s="39"/>
      <c r="B99" s="39"/>
      <c r="C99" s="38"/>
      <c r="D99" s="67"/>
      <c r="E99" s="67"/>
      <c r="F99" s="293"/>
      <c r="G99" s="293"/>
      <c r="H99" s="293"/>
      <c r="I99" s="293"/>
      <c r="J99" s="293"/>
      <c r="K99" s="73"/>
      <c r="L99" s="295"/>
      <c r="M99" s="295"/>
      <c r="N99" s="295"/>
      <c r="O99" s="38">
        <f>+O97*1.3</f>
        <v>6032</v>
      </c>
      <c r="P99" s="38">
        <f>+P97*1.325</f>
        <v>14177.5</v>
      </c>
      <c r="Q99" s="38">
        <f>+Q97*1.25</f>
        <v>4162.5</v>
      </c>
      <c r="R99" s="38"/>
      <c r="S99" s="38"/>
      <c r="T99" s="68"/>
      <c r="U99" s="38"/>
      <c r="V99" s="38"/>
      <c r="W99" s="38"/>
      <c r="X99" s="38"/>
      <c r="Y99" s="68"/>
      <c r="Z99" s="38"/>
      <c r="AA99" s="38"/>
      <c r="AB99" s="38"/>
      <c r="AC99" s="38"/>
    </row>
    <row r="100" spans="1:45" x14ac:dyDescent="0.25">
      <c r="T100" s="90">
        <f>+SUM(T2:T82)</f>
        <v>5499</v>
      </c>
      <c r="U100" s="90">
        <f>+SUM(U2:U82)</f>
        <v>13130.75</v>
      </c>
      <c r="V100" s="90">
        <f>+SUM(V2:V82)</f>
        <v>4000</v>
      </c>
      <c r="W100" s="90">
        <f>+SUM(W2:W82)</f>
        <v>120</v>
      </c>
      <c r="X100" s="90">
        <f>+SUM(X2:X82)</f>
        <v>245</v>
      </c>
    </row>
    <row r="101" spans="1:45" x14ac:dyDescent="0.25">
      <c r="K101" s="391">
        <f>+K94-K2</f>
        <v>335</v>
      </c>
      <c r="L101" s="1">
        <v>29757</v>
      </c>
      <c r="M101" s="1">
        <v>2835</v>
      </c>
    </row>
    <row r="102" spans="1:45" x14ac:dyDescent="0.25">
      <c r="L102" s="312">
        <f>+L98-L101</f>
        <v>-28673.447761194031</v>
      </c>
      <c r="M102" s="312">
        <f>+M101/K101</f>
        <v>8.4626865671641784</v>
      </c>
      <c r="N102" s="312"/>
      <c r="U102">
        <v>1882</v>
      </c>
    </row>
    <row r="103" spans="1:45" x14ac:dyDescent="0.25">
      <c r="L103" s="1">
        <v>2860</v>
      </c>
      <c r="U103" s="90">
        <f>+SUM(U100:U102)</f>
        <v>15012.75</v>
      </c>
    </row>
    <row r="104" spans="1:45" x14ac:dyDescent="0.25">
      <c r="L104" s="312">
        <f>+L102-L103</f>
        <v>-31533.447761194031</v>
      </c>
      <c r="M104" s="312"/>
      <c r="N104" s="312"/>
    </row>
    <row r="105" spans="1:45" x14ac:dyDescent="0.25">
      <c r="A105" t="s">
        <v>217</v>
      </c>
      <c r="B105">
        <v>71</v>
      </c>
    </row>
    <row r="106" spans="1:45" x14ac:dyDescent="0.25">
      <c r="Q106">
        <f>80*3</f>
        <v>240</v>
      </c>
    </row>
  </sheetData>
  <protectedRanges>
    <protectedRange sqref="K1:N1" name="Rango1_3_1_1_2"/>
  </protectedRanges>
  <phoneticPr fontId="14" type="noConversion"/>
  <conditionalFormatting sqref="O1:X1048576 AU2:AU95">
    <cfRule type="cellIs" dxfId="57" priority="11" operator="lessThan">
      <formula>0</formula>
    </cfRule>
  </conditionalFormatting>
  <conditionalFormatting sqref="AN2:AR95">
    <cfRule type="cellIs" dxfId="56" priority="4" operator="lessThan">
      <formula>0</formula>
    </cfRule>
  </conditionalFormatting>
  <conditionalFormatting sqref="AS2:AS3 AS5:AS6 AS8:AS9 AS11:AS12 AS14:AS15 AS17:AS18 AS20:AS21 AS23:AS24 AS26:AS27 AS29:AS30 AS32:AS33 AS35:AS36 AS38:AS39 AS41:AS42 AS44:AS45 AS47:AS48 AS50:AS51 AS53:AS54 AS56:AS57 AS59:AS60 AS62:AS63 AS65:AS66 AS68:AS69 AS71:AS72 AS74:AS75 AS77:AS78 AS80:AS81 AS83:AS84 AS86:AS87 AS89:AS90 AS92:AS93">
    <cfRule type="cellIs" dxfId="55" priority="3" operator="lessThan">
      <formula>0</formula>
    </cfRule>
  </conditionalFormatting>
  <conditionalFormatting sqref="AS4:AT4 AS7:AT7 AS10:AT10 AS13:AT13 AS16:AT16 AS19:AT19 AS22:AT22 AS25:AT25 AS28:AT28 AS31:AT31 AS34:AT34 AS37:AT37 AS40:AT40 AS43:AT43 AS46:AT46 AS49:AT49 AS52:AT52 AS55:AT55 AS58:AT58 AS61:AT61 AS64:AT64 AS67:AT67 AS70:AT70 AS73:AT73 AS76:AT76 AS79:AT79 AS82:AT82 AS85:AT85 AS88:AT88 AS91:AT91 AS94:AT94">
    <cfRule type="cellIs" dxfId="54" priority="2" operator="lessThan">
      <formula>0</formula>
    </cfRule>
  </conditionalFormatting>
  <conditionalFormatting sqref="AT2:AT3 AT5:AT6 AT8:AT9 AT11:AT12 AT14:AT15 AT17:AT18 AT20:AT21 AT23:AT24 AT26:AT27 AT29:AT30 AT32:AT33 AT35:AT36 AT38:AT39 AT41:AT42 AT44:AT45 AT47:AT48 AT50:AT51 AT53:AT54 AT56:AT57 AT59:AT60 AT62:AT63 AT65:AT66 AT68:AT69 AT71:AT72 AT74:AT75 AT77:AT78 AT80:AT81 AT83:AT84 AT86:AT87 AT89:AT90 AT92:AT93">
    <cfRule type="cellIs" dxfId="53" priority="1" operator="lessThan">
      <formula>0</formula>
    </cfRule>
  </conditionalFormatting>
  <conditionalFormatting sqref="AU1:AU1048576">
    <cfRule type="cellIs" dxfId="52" priority="6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AO93"/>
  <sheetViews>
    <sheetView topLeftCell="A44" zoomScale="55" zoomScaleNormal="55" workbookViewId="0">
      <selection activeCell="G55" sqref="G55"/>
    </sheetView>
  </sheetViews>
  <sheetFormatPr baseColWidth="10" defaultRowHeight="14.3" x14ac:dyDescent="0.25"/>
  <cols>
    <col min="1" max="1" width="60" style="113" customWidth="1"/>
    <col min="2" max="2" width="49.875" style="113" customWidth="1"/>
    <col min="3" max="4" width="30.375" style="113" customWidth="1"/>
    <col min="5" max="6" width="60" style="113" customWidth="1"/>
    <col min="7" max="7" width="31.875" style="113" customWidth="1"/>
    <col min="8" max="8" width="23.75" style="113" customWidth="1"/>
    <col min="9" max="10" width="60" style="113" customWidth="1"/>
    <col min="11" max="11" width="11.375" customWidth="1"/>
    <col min="12" max="12" width="18.75" bestFit="1" customWidth="1"/>
    <col min="13" max="13" width="22" bestFit="1" customWidth="1"/>
    <col min="14" max="15" width="21" bestFit="1" customWidth="1"/>
    <col min="16" max="16" width="16.5" bestFit="1" customWidth="1"/>
    <col min="17" max="17" width="21" bestFit="1" customWidth="1"/>
    <col min="18" max="18" width="21.75" bestFit="1" customWidth="1"/>
    <col min="19" max="19" width="11.375" customWidth="1"/>
    <col min="20" max="20" width="11.375" style="114"/>
    <col min="21" max="21" width="17.125" style="115" bestFit="1" customWidth="1"/>
    <col min="22" max="22" width="22.625" style="115" bestFit="1" customWidth="1"/>
    <col min="23" max="23" width="17.375" style="116" bestFit="1" customWidth="1"/>
    <col min="24" max="25" width="13.25" style="116" bestFit="1" customWidth="1"/>
    <col min="26" max="26" width="12.875" style="114" bestFit="1" customWidth="1"/>
    <col min="27" max="27" width="16.75" bestFit="1" customWidth="1"/>
    <col min="28" max="28" width="24.25" bestFit="1" customWidth="1"/>
    <col min="29" max="29" width="18.625" bestFit="1" customWidth="1"/>
    <col min="30" max="30" width="29" style="252" customWidth="1"/>
    <col min="31" max="32" width="12.875" style="114" bestFit="1" customWidth="1"/>
    <col min="34" max="34" width="15.125" customWidth="1"/>
    <col min="35" max="39" width="17.125" customWidth="1"/>
    <col min="40" max="41" width="12.875" style="114" bestFit="1" customWidth="1"/>
  </cols>
  <sheetData>
    <row r="1" spans="1:39" ht="28.55" customHeight="1" x14ac:dyDescent="0.25">
      <c r="A1" s="528" t="s">
        <v>116</v>
      </c>
      <c r="B1" s="528"/>
      <c r="C1" s="528"/>
      <c r="D1" s="528"/>
      <c r="E1" s="528"/>
      <c r="F1" s="528"/>
      <c r="G1" s="528"/>
      <c r="H1" s="528"/>
      <c r="I1" s="528"/>
      <c r="J1" s="528"/>
      <c r="K1" s="114"/>
      <c r="L1" s="114"/>
      <c r="M1" s="525" t="s">
        <v>126</v>
      </c>
      <c r="N1" s="525"/>
      <c r="O1" s="525"/>
      <c r="P1" s="525"/>
      <c r="Q1" s="525"/>
      <c r="R1" s="114"/>
      <c r="S1" s="114"/>
      <c r="U1" s="525" t="s">
        <v>184</v>
      </c>
      <c r="V1" s="525"/>
      <c r="W1" s="525"/>
      <c r="X1" s="525"/>
      <c r="Y1" s="114"/>
      <c r="AA1" s="525" t="s">
        <v>185</v>
      </c>
      <c r="AB1" s="525"/>
      <c r="AC1" s="525"/>
      <c r="AD1" s="525"/>
      <c r="AG1" s="525" t="s">
        <v>202</v>
      </c>
      <c r="AH1" s="525"/>
      <c r="AI1" s="525"/>
      <c r="AJ1" s="525"/>
      <c r="AK1" s="525"/>
      <c r="AL1" s="525"/>
      <c r="AM1" s="525"/>
    </row>
    <row r="2" spans="1:39" ht="25.85" x14ac:dyDescent="0.45">
      <c r="A2" s="253" t="s">
        <v>125</v>
      </c>
      <c r="K2" s="114"/>
      <c r="L2" s="114"/>
      <c r="M2" s="114"/>
      <c r="N2" s="114"/>
      <c r="O2" s="114"/>
      <c r="P2" s="114"/>
      <c r="Q2" s="114"/>
      <c r="R2" s="114"/>
      <c r="S2" s="114"/>
      <c r="AA2" s="115"/>
      <c r="AB2" s="115"/>
      <c r="AC2" s="116"/>
      <c r="AD2" s="116"/>
      <c r="AE2" s="114" t="s">
        <v>186</v>
      </c>
      <c r="AG2" s="115"/>
      <c r="AH2" s="115"/>
      <c r="AI2" s="116"/>
      <c r="AJ2" s="116"/>
      <c r="AK2" s="114"/>
      <c r="AL2" s="114"/>
      <c r="AM2" s="116"/>
    </row>
    <row r="3" spans="1:39" ht="21.1" x14ac:dyDescent="0.25">
      <c r="B3" s="527" t="s">
        <v>203</v>
      </c>
      <c r="C3" s="527"/>
      <c r="K3" s="114"/>
      <c r="L3" s="114"/>
      <c r="M3" s="114"/>
      <c r="N3" s="114"/>
      <c r="O3" s="114"/>
      <c r="P3" s="114"/>
      <c r="Q3" s="114"/>
      <c r="R3" s="114"/>
      <c r="S3" s="114"/>
      <c r="AA3" s="115"/>
      <c r="AB3" s="115"/>
      <c r="AC3" s="116"/>
      <c r="AD3" s="116"/>
      <c r="AG3" s="115"/>
      <c r="AH3" s="115"/>
      <c r="AI3" s="116"/>
      <c r="AJ3" s="116"/>
      <c r="AK3" s="114"/>
      <c r="AL3" s="114"/>
      <c r="AM3" s="116"/>
    </row>
    <row r="4" spans="1:39" ht="42.8" x14ac:dyDescent="0.25">
      <c r="K4" s="114"/>
      <c r="L4" s="462" t="s">
        <v>27</v>
      </c>
      <c r="M4" s="498" t="s">
        <v>78</v>
      </c>
      <c r="N4" s="509" t="s">
        <v>169</v>
      </c>
      <c r="O4" s="509" t="s">
        <v>170</v>
      </c>
      <c r="P4" s="509" t="s">
        <v>171</v>
      </c>
      <c r="Q4" s="509" t="s">
        <v>172</v>
      </c>
      <c r="R4" s="509" t="s">
        <v>173</v>
      </c>
      <c r="S4" s="114"/>
      <c r="U4" s="453" t="s">
        <v>79</v>
      </c>
      <c r="V4" s="497" t="s">
        <v>117</v>
      </c>
      <c r="W4" s="497" t="s">
        <v>118</v>
      </c>
      <c r="X4" s="393" t="s">
        <v>216</v>
      </c>
      <c r="Y4" s="626" t="s">
        <v>215</v>
      </c>
      <c r="AA4" s="390" t="s">
        <v>183</v>
      </c>
      <c r="AB4" t="s">
        <v>180</v>
      </c>
      <c r="AC4" t="s">
        <v>181</v>
      </c>
      <c r="AD4" t="s">
        <v>182</v>
      </c>
      <c r="AG4" s="504" t="s">
        <v>183</v>
      </c>
      <c r="AH4" s="519" t="s">
        <v>180</v>
      </c>
      <c r="AI4" s="519" t="s">
        <v>198</v>
      </c>
      <c r="AJ4" s="519" t="s">
        <v>199</v>
      </c>
      <c r="AK4" s="519" t="s">
        <v>200</v>
      </c>
      <c r="AL4" s="519" t="s">
        <v>201</v>
      </c>
    </row>
    <row r="5" spans="1:39" ht="23.8" x14ac:dyDescent="0.25">
      <c r="K5" s="114"/>
      <c r="L5" s="461">
        <v>46023</v>
      </c>
      <c r="M5" s="516">
        <v>0</v>
      </c>
      <c r="N5" s="516">
        <v>0</v>
      </c>
      <c r="O5" s="516">
        <v>0</v>
      </c>
      <c r="P5" s="516">
        <v>0</v>
      </c>
      <c r="Q5" s="516">
        <v>0</v>
      </c>
      <c r="R5" s="516">
        <v>0</v>
      </c>
      <c r="S5" s="114"/>
      <c r="U5" s="515">
        <v>1</v>
      </c>
      <c r="V5" s="516">
        <v>0</v>
      </c>
      <c r="W5" s="516">
        <v>0</v>
      </c>
      <c r="X5" s="511">
        <v>5250</v>
      </c>
      <c r="Y5" s="512">
        <v>4909</v>
      </c>
      <c r="AA5" s="507">
        <v>1</v>
      </c>
      <c r="AB5" s="619">
        <v>0</v>
      </c>
      <c r="AC5" s="508">
        <v>1000</v>
      </c>
      <c r="AD5" s="72">
        <v>0</v>
      </c>
      <c r="AG5" s="505">
        <v>1</v>
      </c>
      <c r="AH5" s="506">
        <v>0</v>
      </c>
      <c r="AI5" s="506">
        <v>0</v>
      </c>
      <c r="AJ5" s="506">
        <v>0</v>
      </c>
      <c r="AK5" s="506">
        <v>0</v>
      </c>
      <c r="AL5" s="506">
        <v>0</v>
      </c>
    </row>
    <row r="6" spans="1:39" ht="23.8" x14ac:dyDescent="0.25">
      <c r="K6" s="114"/>
      <c r="L6" s="461">
        <v>46024</v>
      </c>
      <c r="M6" s="516">
        <v>815.16417910447763</v>
      </c>
      <c r="N6" s="516">
        <v>325.0878863336751</v>
      </c>
      <c r="O6" s="516">
        <v>184.01201113226892</v>
      </c>
      <c r="P6" s="516">
        <v>255.16332210341292</v>
      </c>
      <c r="Q6" s="516">
        <v>12.267467408817929</v>
      </c>
      <c r="R6" s="516">
        <v>12.267467408817929</v>
      </c>
      <c r="S6" s="114"/>
      <c r="U6" s="515">
        <v>2</v>
      </c>
      <c r="V6" s="516">
        <v>815.16417910447763</v>
      </c>
      <c r="W6" s="516">
        <v>2817.0889482935404</v>
      </c>
      <c r="X6" s="511">
        <v>5250</v>
      </c>
      <c r="Y6" s="512">
        <v>4909</v>
      </c>
      <c r="AA6" s="507">
        <v>2</v>
      </c>
      <c r="AB6" s="619">
        <v>257.44900000000001</v>
      </c>
      <c r="AC6" s="508">
        <v>1000</v>
      </c>
      <c r="AD6" s="72">
        <v>0</v>
      </c>
      <c r="AG6" s="505">
        <v>2</v>
      </c>
      <c r="AH6" s="506">
        <v>257.44900000000001</v>
      </c>
      <c r="AI6" s="506">
        <v>0</v>
      </c>
      <c r="AJ6" s="506">
        <v>0</v>
      </c>
      <c r="AK6" s="506">
        <v>0</v>
      </c>
      <c r="AL6" s="506">
        <v>0</v>
      </c>
    </row>
    <row r="7" spans="1:39" ht="23.8" x14ac:dyDescent="0.25">
      <c r="K7" s="114"/>
      <c r="L7" s="461">
        <v>46025</v>
      </c>
      <c r="M7" s="516">
        <v>268.38805970149258</v>
      </c>
      <c r="N7" s="516">
        <v>789.90101212323418</v>
      </c>
      <c r="O7" s="516">
        <v>232.8717606495384</v>
      </c>
      <c r="P7" s="516">
        <v>387.49860972083189</v>
      </c>
      <c r="Q7" s="516">
        <v>0</v>
      </c>
      <c r="R7" s="516">
        <v>0</v>
      </c>
      <c r="S7" s="114"/>
      <c r="U7" s="515">
        <v>3</v>
      </c>
      <c r="V7" s="516">
        <v>268.38805970149258</v>
      </c>
      <c r="W7" s="516">
        <v>4078.2645145145138</v>
      </c>
      <c r="X7" s="511">
        <v>5250</v>
      </c>
      <c r="Y7" s="512">
        <v>4909</v>
      </c>
      <c r="AA7" s="507">
        <v>3</v>
      </c>
      <c r="AB7" s="619">
        <v>0</v>
      </c>
      <c r="AC7" s="508">
        <v>1000</v>
      </c>
      <c r="AD7" s="72">
        <v>0</v>
      </c>
      <c r="AG7" s="505">
        <v>3</v>
      </c>
      <c r="AH7" s="506">
        <v>0</v>
      </c>
      <c r="AI7" s="506">
        <v>0</v>
      </c>
      <c r="AJ7" s="506">
        <v>0</v>
      </c>
      <c r="AK7" s="506">
        <v>0</v>
      </c>
      <c r="AL7" s="506">
        <v>0</v>
      </c>
    </row>
    <row r="8" spans="1:39" ht="23.8" x14ac:dyDescent="0.25">
      <c r="K8" s="114"/>
      <c r="L8" s="461">
        <v>46026</v>
      </c>
      <c r="M8" s="516">
        <v>0</v>
      </c>
      <c r="N8" s="516">
        <v>0</v>
      </c>
      <c r="O8" s="516">
        <v>0</v>
      </c>
      <c r="P8" s="516">
        <v>0</v>
      </c>
      <c r="Q8" s="516">
        <v>0</v>
      </c>
      <c r="R8" s="516">
        <v>0</v>
      </c>
      <c r="S8" s="114"/>
      <c r="U8" s="515">
        <v>4</v>
      </c>
      <c r="V8" s="516">
        <v>0</v>
      </c>
      <c r="W8" s="516">
        <v>0</v>
      </c>
      <c r="X8" s="511">
        <v>5250</v>
      </c>
      <c r="Y8" s="512">
        <v>4909</v>
      </c>
      <c r="AA8" s="507">
        <v>4</v>
      </c>
      <c r="AB8" s="619">
        <v>0</v>
      </c>
      <c r="AC8" s="508">
        <v>1000</v>
      </c>
      <c r="AD8" s="72">
        <v>0</v>
      </c>
      <c r="AG8" s="505">
        <v>4</v>
      </c>
      <c r="AH8" s="506">
        <v>0</v>
      </c>
      <c r="AI8" s="506">
        <v>0</v>
      </c>
      <c r="AJ8" s="506">
        <v>0</v>
      </c>
      <c r="AK8" s="506">
        <v>0</v>
      </c>
      <c r="AL8" s="506">
        <v>0</v>
      </c>
    </row>
    <row r="9" spans="1:39" ht="23.8" x14ac:dyDescent="0.25">
      <c r="K9" s="114"/>
      <c r="L9" s="461">
        <v>46027</v>
      </c>
      <c r="M9" s="516">
        <v>868.62686567164178</v>
      </c>
      <c r="N9" s="516">
        <v>289.82525172686348</v>
      </c>
      <c r="O9" s="516">
        <v>143.90528884154094</v>
      </c>
      <c r="P9" s="516">
        <v>164.62765043472285</v>
      </c>
      <c r="Q9" s="516">
        <v>0</v>
      </c>
      <c r="R9" s="516">
        <v>11.512423107323276</v>
      </c>
      <c r="S9" s="114"/>
      <c r="U9" s="515">
        <v>5</v>
      </c>
      <c r="V9" s="516">
        <v>868.62686567164178</v>
      </c>
      <c r="W9" s="516">
        <v>2136.8669026427024</v>
      </c>
      <c r="X9" s="511">
        <v>5250</v>
      </c>
      <c r="Y9" s="512">
        <v>4909</v>
      </c>
      <c r="AA9" s="507">
        <v>5</v>
      </c>
      <c r="AB9" s="619">
        <v>278.22300000000001</v>
      </c>
      <c r="AC9" s="508">
        <v>1000</v>
      </c>
      <c r="AD9" s="72">
        <v>0</v>
      </c>
      <c r="AG9" s="505">
        <v>5</v>
      </c>
      <c r="AH9" s="506">
        <v>278.22300000000001</v>
      </c>
      <c r="AI9" s="506">
        <v>0</v>
      </c>
      <c r="AJ9" s="506">
        <v>0</v>
      </c>
      <c r="AK9" s="506">
        <v>0</v>
      </c>
      <c r="AL9" s="506">
        <v>0</v>
      </c>
    </row>
    <row r="10" spans="1:39" ht="23.8" x14ac:dyDescent="0.25">
      <c r="K10" s="114"/>
      <c r="L10" s="461">
        <v>46028</v>
      </c>
      <c r="M10" s="516">
        <v>1082.5522388059703</v>
      </c>
      <c r="N10" s="516">
        <v>611.97970522948799</v>
      </c>
      <c r="O10" s="516">
        <v>230.93573782244829</v>
      </c>
      <c r="P10" s="516">
        <v>504.36365140422708</v>
      </c>
      <c r="Q10" s="516">
        <v>4.6187147564489663</v>
      </c>
      <c r="R10" s="516">
        <v>9.2374295128979327</v>
      </c>
      <c r="S10" s="114"/>
      <c r="U10" s="515">
        <v>6</v>
      </c>
      <c r="V10" s="516">
        <v>1082.5522388059703</v>
      </c>
      <c r="W10" s="516">
        <v>3938.7752822930879</v>
      </c>
      <c r="X10" s="511">
        <v>5250</v>
      </c>
      <c r="Y10" s="512">
        <v>4909</v>
      </c>
      <c r="AA10" s="507">
        <v>6</v>
      </c>
      <c r="AB10" s="619">
        <v>579.81899999999996</v>
      </c>
      <c r="AC10" s="508">
        <v>1000</v>
      </c>
      <c r="AD10" s="72">
        <v>8.9047026563008131</v>
      </c>
      <c r="AG10" s="505">
        <v>6</v>
      </c>
      <c r="AH10" s="506">
        <v>579.81899999999996</v>
      </c>
      <c r="AI10" s="506">
        <v>0</v>
      </c>
      <c r="AJ10" s="506">
        <v>38.729569660320166</v>
      </c>
      <c r="AK10" s="506">
        <v>0</v>
      </c>
      <c r="AL10" s="506">
        <v>0</v>
      </c>
    </row>
    <row r="11" spans="1:39" ht="23.8" x14ac:dyDescent="0.25">
      <c r="K11" s="114"/>
      <c r="L11" s="461">
        <v>46029</v>
      </c>
      <c r="M11" s="516">
        <v>875.62686567164178</v>
      </c>
      <c r="N11" s="516">
        <v>1059.2411406753372</v>
      </c>
      <c r="O11" s="516">
        <v>199.85681899534663</v>
      </c>
      <c r="P11" s="516">
        <v>386.00917040244087</v>
      </c>
      <c r="Q11" s="516">
        <v>5.7101948284384747</v>
      </c>
      <c r="R11" s="516">
        <v>17.130584485315424</v>
      </c>
      <c r="S11" s="114"/>
      <c r="U11" s="515">
        <v>7</v>
      </c>
      <c r="V11" s="516">
        <v>875.62686567164178</v>
      </c>
      <c r="W11" s="516">
        <v>5136.7941943511687</v>
      </c>
      <c r="X11" s="511">
        <v>5250</v>
      </c>
      <c r="Y11" s="512">
        <v>4909</v>
      </c>
      <c r="AA11" s="507">
        <v>7</v>
      </c>
      <c r="AB11" s="619">
        <v>293.51900000000001</v>
      </c>
      <c r="AC11" s="508">
        <v>1000</v>
      </c>
      <c r="AD11" s="72">
        <v>539.26447870943878</v>
      </c>
      <c r="AG11" s="505">
        <v>7</v>
      </c>
      <c r="AH11" s="506">
        <v>293.51900000000001</v>
      </c>
      <c r="AI11" s="506">
        <v>0</v>
      </c>
      <c r="AJ11" s="506">
        <v>306.02639489610135</v>
      </c>
      <c r="AK11" s="506">
        <v>294.07223884547233</v>
      </c>
      <c r="AL11" s="506">
        <v>0</v>
      </c>
    </row>
    <row r="12" spans="1:39" ht="23.8" x14ac:dyDescent="0.25">
      <c r="K12" s="114"/>
      <c r="L12" s="461">
        <v>46030</v>
      </c>
      <c r="M12" s="516">
        <v>958.01492537313447</v>
      </c>
      <c r="N12" s="516">
        <v>760.68752239550054</v>
      </c>
      <c r="O12" s="516">
        <v>208.76501472260736</v>
      </c>
      <c r="P12" s="516">
        <v>447.80095657999277</v>
      </c>
      <c r="Q12" s="516">
        <v>5.2191253680651837</v>
      </c>
      <c r="R12" s="516">
        <v>15.657376104195551</v>
      </c>
      <c r="S12" s="114"/>
      <c r="U12" s="515">
        <v>8</v>
      </c>
      <c r="V12" s="516">
        <v>958.01492537313447</v>
      </c>
      <c r="W12" s="516">
        <v>4336.5138579463128</v>
      </c>
      <c r="X12" s="511">
        <v>5250</v>
      </c>
      <c r="Y12" s="512">
        <v>4909</v>
      </c>
      <c r="AA12" s="507">
        <v>8</v>
      </c>
      <c r="AB12" s="619">
        <v>560.61800000000005</v>
      </c>
      <c r="AC12" s="508">
        <v>1000</v>
      </c>
      <c r="AD12" s="72">
        <v>128.96594754172594</v>
      </c>
      <c r="AG12" s="505">
        <v>8</v>
      </c>
      <c r="AH12" s="506">
        <v>560.61800000000005</v>
      </c>
      <c r="AI12" s="506">
        <v>0</v>
      </c>
      <c r="AJ12" s="506">
        <v>40.056045918748907</v>
      </c>
      <c r="AK12" s="506">
        <v>75.105086097654194</v>
      </c>
      <c r="AL12" s="506">
        <v>0</v>
      </c>
    </row>
    <row r="13" spans="1:39" ht="23.8" x14ac:dyDescent="0.25">
      <c r="K13" s="114"/>
      <c r="L13" s="461">
        <v>46031</v>
      </c>
      <c r="M13" s="516">
        <v>974.55223880597021</v>
      </c>
      <c r="N13" s="516">
        <v>734.18332184700205</v>
      </c>
      <c r="O13" s="516">
        <v>243.70166168925644</v>
      </c>
      <c r="P13" s="516">
        <v>280.12864691017688</v>
      </c>
      <c r="Q13" s="516">
        <v>5.1305612987211884</v>
      </c>
      <c r="R13" s="516">
        <v>15.391683896163565</v>
      </c>
      <c r="S13" s="114"/>
      <c r="U13" s="515">
        <v>9</v>
      </c>
      <c r="V13" s="516">
        <v>974.55223880597021</v>
      </c>
      <c r="W13" s="516">
        <v>4332.8641932766668</v>
      </c>
      <c r="X13" s="511">
        <v>5250</v>
      </c>
      <c r="Y13" s="512">
        <v>4909</v>
      </c>
      <c r="AA13" s="507">
        <v>9</v>
      </c>
      <c r="AB13" s="619">
        <v>346.26900000000001</v>
      </c>
      <c r="AC13" s="508">
        <v>1000</v>
      </c>
      <c r="AD13" s="72">
        <v>357.88154357024854</v>
      </c>
      <c r="AG13" s="505">
        <v>9</v>
      </c>
      <c r="AH13" s="506">
        <v>346.26900000000001</v>
      </c>
      <c r="AI13" s="506">
        <v>0</v>
      </c>
      <c r="AJ13" s="506">
        <v>1134.9051059735375</v>
      </c>
      <c r="AK13" s="506">
        <v>60.79848782001109</v>
      </c>
      <c r="AL13" s="506">
        <v>0</v>
      </c>
    </row>
    <row r="14" spans="1:39" ht="23.8" x14ac:dyDescent="0.25">
      <c r="K14" s="114"/>
      <c r="L14" s="461">
        <v>46032</v>
      </c>
      <c r="M14" s="516">
        <v>594.23880597014931</v>
      </c>
      <c r="N14" s="516">
        <v>356.75892901994268</v>
      </c>
      <c r="O14" s="516">
        <v>168.28251368865222</v>
      </c>
      <c r="P14" s="516">
        <v>87.50690711809915</v>
      </c>
      <c r="Q14" s="516">
        <v>8.4141256844326104</v>
      </c>
      <c r="R14" s="516">
        <v>8.4141256844326104</v>
      </c>
      <c r="S14" s="114"/>
      <c r="U14" s="515">
        <v>10</v>
      </c>
      <c r="V14" s="516">
        <v>594.23880597014931</v>
      </c>
      <c r="W14" s="516">
        <v>2512.3906163661022</v>
      </c>
      <c r="X14" s="511">
        <v>5250</v>
      </c>
      <c r="Y14" s="512">
        <v>4909</v>
      </c>
      <c r="AA14" s="507">
        <v>10</v>
      </c>
      <c r="AB14" s="619">
        <v>256.66700000000003</v>
      </c>
      <c r="AC14" s="508">
        <v>1000</v>
      </c>
      <c r="AD14" s="72">
        <v>261.57439713509575</v>
      </c>
      <c r="AG14" s="505">
        <v>10</v>
      </c>
      <c r="AH14" s="506">
        <v>256.66700000000003</v>
      </c>
      <c r="AI14" s="506">
        <v>0</v>
      </c>
      <c r="AJ14" s="506">
        <v>0</v>
      </c>
      <c r="AK14" s="506">
        <v>164.04626678885364</v>
      </c>
      <c r="AL14" s="506">
        <v>0</v>
      </c>
    </row>
    <row r="15" spans="1:39" ht="23.8" x14ac:dyDescent="0.25">
      <c r="K15" s="114"/>
      <c r="L15" s="461">
        <v>46033</v>
      </c>
      <c r="M15" s="516">
        <v>0</v>
      </c>
      <c r="N15" s="516">
        <v>0</v>
      </c>
      <c r="O15" s="516">
        <v>0</v>
      </c>
      <c r="P15" s="516">
        <v>0</v>
      </c>
      <c r="Q15" s="516">
        <v>0</v>
      </c>
      <c r="R15" s="516">
        <v>0</v>
      </c>
      <c r="S15" s="114"/>
      <c r="U15" s="515">
        <v>11</v>
      </c>
      <c r="V15" s="516">
        <v>0</v>
      </c>
      <c r="W15" s="516">
        <v>0</v>
      </c>
      <c r="X15" s="511">
        <v>5250</v>
      </c>
      <c r="Y15" s="512">
        <v>4909</v>
      </c>
      <c r="AA15" s="507">
        <v>11</v>
      </c>
      <c r="AB15" s="619">
        <v>0</v>
      </c>
      <c r="AC15" s="508">
        <v>1000</v>
      </c>
      <c r="AD15" s="72">
        <v>0</v>
      </c>
      <c r="AG15" s="505">
        <v>11</v>
      </c>
      <c r="AH15" s="506">
        <v>0</v>
      </c>
      <c r="AI15" s="506">
        <v>0</v>
      </c>
      <c r="AJ15" s="506">
        <v>0</v>
      </c>
      <c r="AK15" s="506">
        <v>0</v>
      </c>
      <c r="AL15" s="506">
        <v>0</v>
      </c>
    </row>
    <row r="16" spans="1:39" ht="23.8" x14ac:dyDescent="0.25">
      <c r="K16" s="114"/>
      <c r="L16" s="461">
        <v>46034</v>
      </c>
      <c r="M16" s="516">
        <v>0</v>
      </c>
      <c r="N16" s="516">
        <v>0</v>
      </c>
      <c r="O16" s="516">
        <v>0</v>
      </c>
      <c r="P16" s="516">
        <v>0</v>
      </c>
      <c r="Q16" s="516">
        <v>0</v>
      </c>
      <c r="R16" s="516">
        <v>0</v>
      </c>
      <c r="S16" s="114"/>
      <c r="U16" s="515">
        <v>12</v>
      </c>
      <c r="V16" s="516">
        <v>0</v>
      </c>
      <c r="W16" s="516">
        <v>0</v>
      </c>
      <c r="X16" s="511">
        <v>5250</v>
      </c>
      <c r="Y16" s="512">
        <v>4909</v>
      </c>
      <c r="AA16" s="507">
        <v>12</v>
      </c>
      <c r="AB16" s="619">
        <v>0</v>
      </c>
      <c r="AC16" s="508">
        <v>1000</v>
      </c>
      <c r="AD16" s="72">
        <v>0</v>
      </c>
      <c r="AG16" s="505">
        <v>12</v>
      </c>
      <c r="AH16" s="506">
        <v>0</v>
      </c>
      <c r="AI16" s="506">
        <v>0</v>
      </c>
      <c r="AJ16" s="506">
        <v>0</v>
      </c>
      <c r="AK16" s="506">
        <v>0</v>
      </c>
      <c r="AL16" s="506">
        <v>0</v>
      </c>
    </row>
    <row r="17" spans="2:38" ht="23.8" x14ac:dyDescent="0.25">
      <c r="K17" s="114"/>
      <c r="L17" s="461">
        <v>46035</v>
      </c>
      <c r="M17" s="516">
        <v>1479.8656716417913</v>
      </c>
      <c r="N17" s="516">
        <v>581.97849744329346</v>
      </c>
      <c r="O17" s="516">
        <v>202.72110215731558</v>
      </c>
      <c r="P17" s="516">
        <v>412.87531139373272</v>
      </c>
      <c r="Q17" s="516">
        <v>3.3786850359552596</v>
      </c>
      <c r="R17" s="516">
        <v>6.7573700719105192</v>
      </c>
      <c r="S17" s="114"/>
      <c r="U17" s="515">
        <v>13</v>
      </c>
      <c r="V17" s="516">
        <v>1479.8656716417913</v>
      </c>
      <c r="W17" s="516">
        <v>3519.9174491432254</v>
      </c>
      <c r="X17" s="511">
        <v>5250</v>
      </c>
      <c r="Y17" s="512">
        <v>4909</v>
      </c>
      <c r="AA17" s="507">
        <v>13</v>
      </c>
      <c r="AB17" s="619">
        <v>153.40199999999999</v>
      </c>
      <c r="AC17" s="508">
        <v>1000</v>
      </c>
      <c r="AD17" s="72">
        <v>1009.944425345445</v>
      </c>
      <c r="AG17" s="505">
        <v>13</v>
      </c>
      <c r="AH17" s="506">
        <v>153.40199999999999</v>
      </c>
      <c r="AI17" s="506">
        <v>0</v>
      </c>
      <c r="AJ17" s="506">
        <v>585.55013235491504</v>
      </c>
      <c r="AK17" s="506">
        <v>548.9532490827329</v>
      </c>
      <c r="AL17" s="506">
        <v>0</v>
      </c>
    </row>
    <row r="18" spans="2:38" ht="23.8" x14ac:dyDescent="0.25">
      <c r="K18" s="114"/>
      <c r="L18" s="461">
        <v>46036</v>
      </c>
      <c r="M18" s="516">
        <v>1769.2537313432838</v>
      </c>
      <c r="N18" s="516">
        <v>509.25426016534499</v>
      </c>
      <c r="O18" s="516">
        <v>247.27939935886619</v>
      </c>
      <c r="P18" s="516">
        <v>205.73646026657667</v>
      </c>
      <c r="Q18" s="516">
        <v>2.8260502783870418</v>
      </c>
      <c r="R18" s="516">
        <v>8.4781508351611254</v>
      </c>
      <c r="S18" s="114"/>
      <c r="U18" s="515">
        <v>14</v>
      </c>
      <c r="V18" s="516">
        <v>1769.2537313432838</v>
      </c>
      <c r="W18" s="516">
        <v>3445.0019191833976</v>
      </c>
      <c r="X18" s="511">
        <v>5250</v>
      </c>
      <c r="Y18" s="512">
        <v>4909</v>
      </c>
      <c r="AA18" s="507">
        <v>14</v>
      </c>
      <c r="AB18" s="619">
        <v>933.47800000000007</v>
      </c>
      <c r="AC18" s="508">
        <v>1000</v>
      </c>
      <c r="AD18" s="72">
        <v>447.12444067410155</v>
      </c>
      <c r="AG18" s="505">
        <v>14</v>
      </c>
      <c r="AH18" s="506">
        <v>933.47800000000007</v>
      </c>
      <c r="AI18" s="506">
        <v>0</v>
      </c>
      <c r="AJ18" s="506">
        <v>146.02247929766375</v>
      </c>
      <c r="AK18" s="506">
        <v>259.35829570476733</v>
      </c>
      <c r="AL18" s="506">
        <v>0</v>
      </c>
    </row>
    <row r="19" spans="2:38" ht="23.8" x14ac:dyDescent="0.25">
      <c r="K19" s="114"/>
      <c r="L19" s="461">
        <v>46037</v>
      </c>
      <c r="M19" s="516">
        <v>1769.2537313432838</v>
      </c>
      <c r="N19" s="516">
        <v>456.83102750126534</v>
      </c>
      <c r="O19" s="516">
        <v>105.97688543951408</v>
      </c>
      <c r="P19" s="516">
        <v>146.95461447612618</v>
      </c>
      <c r="Q19" s="516">
        <v>2.8260502783870418</v>
      </c>
      <c r="R19" s="516">
        <v>8.4781508351611254</v>
      </c>
      <c r="S19" s="114"/>
      <c r="U19" s="515">
        <v>15</v>
      </c>
      <c r="V19" s="516">
        <v>1769.2537313432838</v>
      </c>
      <c r="W19" s="516">
        <v>2354.6862873291711</v>
      </c>
      <c r="X19" s="511">
        <v>5250</v>
      </c>
      <c r="Y19" s="512">
        <v>4909</v>
      </c>
      <c r="AA19" s="507">
        <v>15</v>
      </c>
      <c r="AB19" s="619">
        <v>1344.463</v>
      </c>
      <c r="AC19" s="508">
        <v>1000</v>
      </c>
      <c r="AD19" s="72">
        <v>220.86676985532512</v>
      </c>
      <c r="AG19" s="505">
        <v>15</v>
      </c>
      <c r="AH19" s="506">
        <v>1344.463</v>
      </c>
      <c r="AI19" s="506">
        <v>0</v>
      </c>
      <c r="AJ19" s="506">
        <v>91.864760822592061</v>
      </c>
      <c r="AK19" s="506">
        <v>125.27012839444369</v>
      </c>
      <c r="AL19" s="506">
        <v>0</v>
      </c>
    </row>
    <row r="20" spans="2:38" ht="23.8" x14ac:dyDescent="0.25">
      <c r="K20" s="114"/>
      <c r="L20" s="461">
        <v>46038</v>
      </c>
      <c r="M20" s="516">
        <v>1431.4029850746269</v>
      </c>
      <c r="N20" s="516">
        <v>555.39914914914914</v>
      </c>
      <c r="O20" s="516">
        <v>165.92112946279613</v>
      </c>
      <c r="P20" s="516">
        <v>190.72197197197195</v>
      </c>
      <c r="Q20" s="516">
        <v>3.4930764097430762</v>
      </c>
      <c r="R20" s="516">
        <v>10.47922922922923</v>
      </c>
      <c r="S20" s="114"/>
      <c r="U20" s="515">
        <v>16</v>
      </c>
      <c r="V20" s="516">
        <v>1431.4029850746269</v>
      </c>
      <c r="W20" s="516">
        <v>3111.040389347681</v>
      </c>
      <c r="X20" s="511">
        <v>5250</v>
      </c>
      <c r="Y20" s="512">
        <v>4909</v>
      </c>
      <c r="AA20" s="507">
        <v>16</v>
      </c>
      <c r="AB20" s="619">
        <v>841.25300000000004</v>
      </c>
      <c r="AC20" s="508">
        <v>1000</v>
      </c>
      <c r="AD20" s="72">
        <v>178.02537280386332</v>
      </c>
      <c r="AG20" s="505">
        <v>16</v>
      </c>
      <c r="AH20" s="506">
        <v>841.25300000000004</v>
      </c>
      <c r="AI20" s="506">
        <v>0</v>
      </c>
      <c r="AJ20" s="506">
        <v>80.08104702465441</v>
      </c>
      <c r="AK20" s="506">
        <v>100.10130878081799</v>
      </c>
      <c r="AL20" s="506">
        <v>0</v>
      </c>
    </row>
    <row r="21" spans="2:38" ht="23.8" x14ac:dyDescent="0.25">
      <c r="K21" s="114"/>
      <c r="L21" s="461">
        <v>46039</v>
      </c>
      <c r="M21" s="516">
        <v>1222.4776119402986</v>
      </c>
      <c r="N21" s="516">
        <v>173.41830879300659</v>
      </c>
      <c r="O21" s="516">
        <v>61.350816789978751</v>
      </c>
      <c r="P21" s="516">
        <v>202.04868996166334</v>
      </c>
      <c r="Q21" s="516">
        <v>4.0900544526652496</v>
      </c>
      <c r="R21" s="516">
        <v>8.1801089053304992</v>
      </c>
      <c r="S21" s="114"/>
      <c r="U21" s="515">
        <v>17</v>
      </c>
      <c r="V21" s="516">
        <v>1222.4776119402986</v>
      </c>
      <c r="W21" s="516">
        <v>1315.1038385466265</v>
      </c>
      <c r="X21" s="511">
        <v>5250</v>
      </c>
      <c r="Y21" s="512">
        <v>4909</v>
      </c>
      <c r="AA21" s="507">
        <v>17</v>
      </c>
      <c r="AB21" s="619">
        <v>463.25599999999997</v>
      </c>
      <c r="AC21" s="508">
        <v>1000</v>
      </c>
      <c r="AD21" s="72">
        <v>94.753202276245119</v>
      </c>
      <c r="AG21" s="505">
        <v>17</v>
      </c>
      <c r="AH21" s="506">
        <v>463.25599999999997</v>
      </c>
      <c r="AI21" s="506">
        <v>0</v>
      </c>
      <c r="AJ21" s="506">
        <v>96.949161374605737</v>
      </c>
      <c r="AK21" s="506">
        <v>45.444919394346478</v>
      </c>
      <c r="AL21" s="506">
        <v>0</v>
      </c>
    </row>
    <row r="22" spans="2:38" ht="23.8" x14ac:dyDescent="0.25">
      <c r="K22" s="114"/>
      <c r="L22" s="461">
        <v>46040</v>
      </c>
      <c r="M22" s="516">
        <v>0</v>
      </c>
      <c r="N22" s="516">
        <v>0</v>
      </c>
      <c r="O22" s="516">
        <v>0</v>
      </c>
      <c r="P22" s="516">
        <v>0</v>
      </c>
      <c r="Q22" s="516">
        <v>0</v>
      </c>
      <c r="R22" s="516">
        <v>0</v>
      </c>
      <c r="S22" s="114"/>
      <c r="U22" s="515">
        <v>18</v>
      </c>
      <c r="V22" s="516">
        <v>0</v>
      </c>
      <c r="W22" s="516">
        <v>0</v>
      </c>
      <c r="X22" s="511">
        <v>5250</v>
      </c>
      <c r="Y22" s="512">
        <v>4909</v>
      </c>
      <c r="AA22" s="507">
        <v>18</v>
      </c>
      <c r="AB22" s="619">
        <v>0</v>
      </c>
      <c r="AC22" s="508">
        <v>1000</v>
      </c>
      <c r="AD22" s="72">
        <v>0</v>
      </c>
      <c r="AG22" s="505">
        <v>18</v>
      </c>
      <c r="AH22" s="506">
        <v>0</v>
      </c>
      <c r="AI22" s="506">
        <v>0</v>
      </c>
      <c r="AJ22" s="506">
        <v>0</v>
      </c>
      <c r="AK22" s="506">
        <v>0</v>
      </c>
      <c r="AL22" s="506">
        <v>0</v>
      </c>
    </row>
    <row r="23" spans="2:38" ht="23.8" x14ac:dyDescent="0.25">
      <c r="K23" s="114"/>
      <c r="L23" s="461">
        <v>46041</v>
      </c>
      <c r="M23" s="516">
        <v>1857.7164179104479</v>
      </c>
      <c r="N23" s="516">
        <v>435.07716904882415</v>
      </c>
      <c r="O23" s="516">
        <v>168.21727847541916</v>
      </c>
      <c r="P23" s="516">
        <v>209.93516353732312</v>
      </c>
      <c r="Q23" s="516">
        <v>2.6914764556067068</v>
      </c>
      <c r="R23" s="516">
        <v>8.0744293668201195</v>
      </c>
      <c r="S23" s="114"/>
      <c r="U23" s="515">
        <v>19</v>
      </c>
      <c r="V23" s="516">
        <v>1857.7164179104479</v>
      </c>
      <c r="W23" s="516">
        <v>2724.2115379980232</v>
      </c>
      <c r="X23" s="511">
        <v>5250</v>
      </c>
      <c r="Y23" s="512">
        <v>4909</v>
      </c>
      <c r="AA23" s="507">
        <v>19</v>
      </c>
      <c r="AB23" s="619">
        <v>257.33499999999998</v>
      </c>
      <c r="AC23" s="508">
        <v>1000</v>
      </c>
      <c r="AD23" s="72">
        <v>0</v>
      </c>
      <c r="AG23" s="505">
        <v>19</v>
      </c>
      <c r="AH23" s="506">
        <v>257.33499999999998</v>
      </c>
      <c r="AI23" s="506">
        <v>0</v>
      </c>
      <c r="AJ23" s="506">
        <v>0</v>
      </c>
      <c r="AK23" s="506">
        <v>0</v>
      </c>
      <c r="AL23" s="506">
        <v>0</v>
      </c>
    </row>
    <row r="24" spans="2:38" ht="23.8" x14ac:dyDescent="0.25">
      <c r="K24" s="114"/>
      <c r="L24" s="461">
        <v>46042</v>
      </c>
      <c r="M24" s="516">
        <v>1592.3283582089555</v>
      </c>
      <c r="N24" s="516">
        <v>582.48036293421808</v>
      </c>
      <c r="O24" s="516">
        <v>31.400558648744909</v>
      </c>
      <c r="P24" s="516">
        <v>244.9243574602103</v>
      </c>
      <c r="Q24" s="516">
        <v>6.2801117297489819</v>
      </c>
      <c r="R24" s="516">
        <v>6.2801117297489819</v>
      </c>
      <c r="S24" s="114"/>
      <c r="U24" s="515">
        <v>20</v>
      </c>
      <c r="V24" s="516">
        <v>1592.3283582089555</v>
      </c>
      <c r="W24" s="516">
        <v>2348.2593779877393</v>
      </c>
      <c r="X24" s="511">
        <v>5250</v>
      </c>
      <c r="Y24" s="512">
        <v>4909</v>
      </c>
      <c r="AA24" s="507">
        <v>20</v>
      </c>
      <c r="AB24" s="619">
        <v>596.75</v>
      </c>
      <c r="AC24" s="508">
        <v>1000</v>
      </c>
      <c r="AD24" s="72">
        <v>0</v>
      </c>
      <c r="AG24" s="505">
        <v>20</v>
      </c>
      <c r="AH24" s="506">
        <v>596.75</v>
      </c>
      <c r="AI24" s="506">
        <v>0</v>
      </c>
      <c r="AJ24" s="506">
        <v>0</v>
      </c>
      <c r="AK24" s="506">
        <v>0</v>
      </c>
      <c r="AL24" s="506">
        <v>0</v>
      </c>
    </row>
    <row r="25" spans="2:38" ht="23.8" x14ac:dyDescent="0.25">
      <c r="K25" s="114"/>
      <c r="L25" s="461">
        <v>46043</v>
      </c>
      <c r="M25" s="516">
        <v>1592.3283582089553</v>
      </c>
      <c r="N25" s="516">
        <v>416.05740209587009</v>
      </c>
      <c r="O25" s="516">
        <v>164.85293290591079</v>
      </c>
      <c r="P25" s="516">
        <v>163.28290497347356</v>
      </c>
      <c r="Q25" s="516">
        <v>6.2801117297489828</v>
      </c>
      <c r="R25" s="516">
        <v>9.4201675946234751</v>
      </c>
      <c r="S25" s="114"/>
      <c r="U25" s="515">
        <v>21</v>
      </c>
      <c r="V25" s="516">
        <v>1592.3283582089553</v>
      </c>
      <c r="W25" s="516">
        <v>2707.1913137618808</v>
      </c>
      <c r="X25" s="511">
        <v>5250</v>
      </c>
      <c r="Y25" s="512">
        <v>4909</v>
      </c>
      <c r="AA25" s="507">
        <v>21</v>
      </c>
      <c r="AB25" s="619">
        <v>907.61500000000001</v>
      </c>
      <c r="AC25" s="508">
        <v>1000</v>
      </c>
      <c r="AD25" s="72">
        <v>8.5329943689896375</v>
      </c>
      <c r="AG25" s="505">
        <v>21</v>
      </c>
      <c r="AH25" s="506">
        <v>907.61500000000001</v>
      </c>
      <c r="AI25" s="506">
        <v>0</v>
      </c>
      <c r="AJ25" s="506">
        <v>37.112884346684226</v>
      </c>
      <c r="AK25" s="506">
        <v>0</v>
      </c>
      <c r="AL25" s="506">
        <v>0</v>
      </c>
    </row>
    <row r="26" spans="2:38" ht="23.8" x14ac:dyDescent="0.25">
      <c r="K26" s="114"/>
      <c r="L26" s="461">
        <v>46044</v>
      </c>
      <c r="M26" s="516">
        <v>1592.3283582089555</v>
      </c>
      <c r="N26" s="516">
        <v>665.69184335339207</v>
      </c>
      <c r="O26" s="516">
        <v>188.40335189246946</v>
      </c>
      <c r="P26" s="516">
        <v>130.62632397877883</v>
      </c>
      <c r="Q26" s="516">
        <v>3.140055864874491</v>
      </c>
      <c r="R26" s="516">
        <v>9.4201675946234733</v>
      </c>
      <c r="S26" s="114"/>
      <c r="U26" s="515">
        <v>22</v>
      </c>
      <c r="V26" s="516">
        <v>1592.3283582089555</v>
      </c>
      <c r="W26" s="516">
        <v>3492.4580544776254</v>
      </c>
      <c r="X26" s="511">
        <v>5250</v>
      </c>
      <c r="Y26" s="512">
        <v>4909</v>
      </c>
      <c r="AA26" s="507">
        <v>22</v>
      </c>
      <c r="AB26" s="619">
        <v>878.96100000000001</v>
      </c>
      <c r="AC26" s="508">
        <v>1000</v>
      </c>
      <c r="AD26" s="72">
        <v>0</v>
      </c>
      <c r="AG26" s="505">
        <v>22</v>
      </c>
      <c r="AH26" s="506">
        <v>878.96100000000001</v>
      </c>
      <c r="AI26" s="506">
        <v>0</v>
      </c>
      <c r="AJ26" s="506">
        <v>0</v>
      </c>
      <c r="AK26" s="506">
        <v>0</v>
      </c>
      <c r="AL26" s="506">
        <v>0</v>
      </c>
    </row>
    <row r="27" spans="2:38" ht="23.8" x14ac:dyDescent="0.25">
      <c r="K27" s="114"/>
      <c r="L27" s="461">
        <v>46045</v>
      </c>
      <c r="M27" s="516">
        <v>973.08955223880616</v>
      </c>
      <c r="N27" s="516">
        <v>953.14968480144773</v>
      </c>
      <c r="O27" s="516">
        <v>141.30251391935209</v>
      </c>
      <c r="P27" s="516">
        <v>26.719020813841123</v>
      </c>
      <c r="Q27" s="516">
        <v>10.276546466861969</v>
      </c>
      <c r="R27" s="516">
        <v>15.414819700292956</v>
      </c>
      <c r="S27" s="114"/>
      <c r="U27" s="515">
        <v>23</v>
      </c>
      <c r="V27" s="516">
        <v>973.08955223880616</v>
      </c>
      <c r="W27" s="516">
        <v>4211.4751829071884</v>
      </c>
      <c r="X27" s="511">
        <v>5250</v>
      </c>
      <c r="Y27" s="512">
        <v>4909</v>
      </c>
      <c r="AA27" s="507">
        <v>23</v>
      </c>
      <c r="AB27" s="619">
        <v>576.23099999999999</v>
      </c>
      <c r="AC27" s="508">
        <v>1000</v>
      </c>
      <c r="AD27" s="72">
        <v>0</v>
      </c>
      <c r="AG27" s="505">
        <v>23</v>
      </c>
      <c r="AH27" s="506">
        <v>576.23099999999999</v>
      </c>
      <c r="AI27" s="506">
        <v>0</v>
      </c>
      <c r="AJ27" s="506">
        <v>0</v>
      </c>
      <c r="AK27" s="506">
        <v>0</v>
      </c>
      <c r="AL27" s="506">
        <v>0</v>
      </c>
    </row>
    <row r="28" spans="2:38" ht="23.8" x14ac:dyDescent="0.25">
      <c r="B28" s="527" t="s">
        <v>119</v>
      </c>
      <c r="C28" s="527"/>
      <c r="K28" s="114"/>
      <c r="L28" s="461">
        <v>46046</v>
      </c>
      <c r="M28" s="516">
        <v>796.16417910447763</v>
      </c>
      <c r="N28" s="516">
        <v>249.63444125752207</v>
      </c>
      <c r="O28" s="516">
        <v>62.801117297489832</v>
      </c>
      <c r="P28" s="516">
        <v>48.984871492042068</v>
      </c>
      <c r="Q28" s="516">
        <v>6.2801117297489828</v>
      </c>
      <c r="R28" s="516">
        <v>6.2801117297489828</v>
      </c>
      <c r="S28" s="114"/>
      <c r="U28" s="515">
        <v>24</v>
      </c>
      <c r="V28" s="516">
        <v>796.16417910447763</v>
      </c>
      <c r="W28" s="516">
        <v>1418.0429484655906</v>
      </c>
      <c r="X28" s="511">
        <v>5250</v>
      </c>
      <c r="Y28" s="512">
        <v>4909</v>
      </c>
      <c r="AA28" s="507">
        <v>24</v>
      </c>
      <c r="AB28" s="619">
        <v>0</v>
      </c>
      <c r="AC28" s="508">
        <v>1000</v>
      </c>
      <c r="AD28" s="72">
        <v>0</v>
      </c>
      <c r="AG28" s="505">
        <v>24</v>
      </c>
      <c r="AH28" s="506">
        <v>0</v>
      </c>
      <c r="AI28" s="506">
        <v>0</v>
      </c>
      <c r="AJ28" s="506">
        <v>0</v>
      </c>
      <c r="AK28" s="506">
        <v>0</v>
      </c>
      <c r="AL28" s="506">
        <v>0</v>
      </c>
    </row>
    <row r="29" spans="2:38" ht="23.8" x14ac:dyDescent="0.25">
      <c r="K29" s="114"/>
      <c r="L29" s="461">
        <v>46047</v>
      </c>
      <c r="M29" s="516">
        <v>0</v>
      </c>
      <c r="N29" s="516">
        <v>0</v>
      </c>
      <c r="O29" s="516">
        <v>0</v>
      </c>
      <c r="P29" s="516">
        <v>0</v>
      </c>
      <c r="Q29" s="516">
        <v>0</v>
      </c>
      <c r="R29" s="516">
        <v>0</v>
      </c>
      <c r="S29" s="114"/>
      <c r="U29" s="515">
        <v>25</v>
      </c>
      <c r="V29" s="516">
        <v>0</v>
      </c>
      <c r="W29" s="516">
        <v>0</v>
      </c>
      <c r="X29" s="511">
        <v>5250</v>
      </c>
      <c r="Y29" s="512">
        <v>4909</v>
      </c>
      <c r="AA29" s="507">
        <v>25</v>
      </c>
      <c r="AB29" s="619">
        <v>0</v>
      </c>
      <c r="AC29" s="508">
        <v>1000</v>
      </c>
      <c r="AD29" s="72">
        <v>0</v>
      </c>
      <c r="AG29" s="505">
        <v>25</v>
      </c>
      <c r="AH29" s="506">
        <v>0</v>
      </c>
      <c r="AI29" s="506">
        <v>0</v>
      </c>
      <c r="AJ29" s="506">
        <v>0</v>
      </c>
      <c r="AK29" s="506">
        <v>0</v>
      </c>
      <c r="AL29" s="506">
        <v>0</v>
      </c>
    </row>
    <row r="30" spans="2:38" ht="23.8" x14ac:dyDescent="0.25">
      <c r="K30" s="114"/>
      <c r="L30" s="461">
        <v>46048</v>
      </c>
      <c r="M30" s="516">
        <v>884.62686567164189</v>
      </c>
      <c r="N30" s="516">
        <v>584.14459254260157</v>
      </c>
      <c r="O30" s="516">
        <v>226.08402227096337</v>
      </c>
      <c r="P30" s="516">
        <v>205.73646026657667</v>
      </c>
      <c r="Q30" s="516">
        <v>5.6521005567740836</v>
      </c>
      <c r="R30" s="516">
        <v>11.304201113548167</v>
      </c>
      <c r="S30" s="114"/>
      <c r="U30" s="515">
        <v>26</v>
      </c>
      <c r="V30" s="516">
        <v>884.62686567164189</v>
      </c>
      <c r="W30" s="516">
        <v>3644.9096507508011</v>
      </c>
      <c r="X30" s="511">
        <v>5250</v>
      </c>
      <c r="Y30" s="512">
        <v>4909</v>
      </c>
      <c r="AA30" s="507">
        <v>26</v>
      </c>
      <c r="AB30" s="619">
        <v>442.12</v>
      </c>
      <c r="AC30" s="508">
        <v>1000</v>
      </c>
      <c r="AD30" s="72">
        <v>0</v>
      </c>
      <c r="AG30" s="505">
        <v>26</v>
      </c>
      <c r="AH30" s="506">
        <v>442.12</v>
      </c>
      <c r="AI30" s="506">
        <v>0</v>
      </c>
      <c r="AJ30" s="506">
        <v>0</v>
      </c>
      <c r="AK30" s="506">
        <v>0</v>
      </c>
      <c r="AL30" s="506">
        <v>0</v>
      </c>
    </row>
    <row r="31" spans="2:38" ht="23.8" x14ac:dyDescent="0.25">
      <c r="K31" s="114"/>
      <c r="L31" s="461">
        <v>46049</v>
      </c>
      <c r="M31" s="516">
        <v>1061.5522388059703</v>
      </c>
      <c r="N31" s="516">
        <v>449.34199426353968</v>
      </c>
      <c r="O31" s="516">
        <v>141.30251391935209</v>
      </c>
      <c r="P31" s="516">
        <v>146.95461447612618</v>
      </c>
      <c r="Q31" s="516">
        <v>9.4201675946234733</v>
      </c>
      <c r="R31" s="516">
        <v>14.130251391935209</v>
      </c>
      <c r="S31" s="114"/>
      <c r="U31" s="515">
        <v>27</v>
      </c>
      <c r="V31" s="516">
        <v>1061.5522388059703</v>
      </c>
      <c r="W31" s="516">
        <v>2805.5896743715198</v>
      </c>
      <c r="X31" s="511">
        <v>5250</v>
      </c>
      <c r="Y31" s="512">
        <v>4909</v>
      </c>
      <c r="AA31" s="507">
        <v>27</v>
      </c>
      <c r="AB31" s="619">
        <v>640.01800000000003</v>
      </c>
      <c r="AC31" s="508">
        <v>1000</v>
      </c>
      <c r="AD31" s="72">
        <v>0</v>
      </c>
      <c r="AG31" s="505">
        <v>27</v>
      </c>
      <c r="AH31" s="506">
        <v>640.01800000000003</v>
      </c>
      <c r="AI31" s="506">
        <v>0</v>
      </c>
      <c r="AJ31" s="506">
        <v>0</v>
      </c>
      <c r="AK31" s="506">
        <v>0</v>
      </c>
      <c r="AL31" s="506">
        <v>0</v>
      </c>
    </row>
    <row r="32" spans="2:38" ht="23.8" x14ac:dyDescent="0.25">
      <c r="K32" s="114"/>
      <c r="L32" s="461">
        <v>46050</v>
      </c>
      <c r="M32" s="516">
        <v>1238.4776119402986</v>
      </c>
      <c r="N32" s="516">
        <v>160.4792836655499</v>
      </c>
      <c r="O32" s="516">
        <v>80.744293668201209</v>
      </c>
      <c r="P32" s="516">
        <v>136.45785629926004</v>
      </c>
      <c r="Q32" s="516">
        <v>4.0372146834100597</v>
      </c>
      <c r="R32" s="516">
        <v>12.111644050230181</v>
      </c>
      <c r="S32" s="114"/>
      <c r="U32" s="515">
        <v>28</v>
      </c>
      <c r="V32" s="516">
        <v>1238.4776119402986</v>
      </c>
      <c r="W32" s="516">
        <v>1430.9059630263441</v>
      </c>
      <c r="X32" s="511">
        <v>5250</v>
      </c>
      <c r="Y32" s="512">
        <v>4909</v>
      </c>
      <c r="AA32" s="507">
        <v>28</v>
      </c>
      <c r="AB32" s="619">
        <v>1038.94</v>
      </c>
      <c r="AC32" s="508">
        <v>1000</v>
      </c>
      <c r="AD32" s="72">
        <v>0</v>
      </c>
      <c r="AG32" s="505">
        <v>28</v>
      </c>
      <c r="AH32" s="506">
        <v>1038.94</v>
      </c>
      <c r="AI32" s="506">
        <v>0</v>
      </c>
      <c r="AJ32" s="506">
        <v>0</v>
      </c>
      <c r="AK32" s="506">
        <v>0</v>
      </c>
      <c r="AL32" s="506">
        <v>0</v>
      </c>
    </row>
    <row r="33" spans="11:38" ht="23.8" x14ac:dyDescent="0.25">
      <c r="K33" s="114"/>
      <c r="L33" s="461">
        <v>46051</v>
      </c>
      <c r="M33" s="516">
        <v>1326.9402985074628</v>
      </c>
      <c r="N33" s="516">
        <v>639.06416961925652</v>
      </c>
      <c r="O33" s="516">
        <v>113.04201113548169</v>
      </c>
      <c r="P33" s="516">
        <v>274.31528035543556</v>
      </c>
      <c r="Q33" s="516">
        <v>3.7680670378493897</v>
      </c>
      <c r="R33" s="516">
        <v>11.304201113548169</v>
      </c>
      <c r="S33" s="114"/>
      <c r="U33" s="515">
        <v>29</v>
      </c>
      <c r="V33" s="516">
        <v>1326.9402985074628</v>
      </c>
      <c r="W33" s="516">
        <v>3113.6065463134805</v>
      </c>
      <c r="X33" s="511">
        <v>5250</v>
      </c>
      <c r="Y33" s="512">
        <v>4909</v>
      </c>
      <c r="AA33" s="507">
        <v>29</v>
      </c>
      <c r="AB33" s="619">
        <v>1064.713</v>
      </c>
      <c r="AC33" s="508">
        <v>1000</v>
      </c>
      <c r="AD33" s="72">
        <v>0</v>
      </c>
      <c r="AG33" s="505">
        <v>29</v>
      </c>
      <c r="AH33" s="506">
        <v>1064.713</v>
      </c>
      <c r="AI33" s="506">
        <v>0</v>
      </c>
      <c r="AJ33" s="506">
        <v>0</v>
      </c>
      <c r="AK33" s="506">
        <v>0</v>
      </c>
      <c r="AL33" s="506">
        <v>0</v>
      </c>
    </row>
    <row r="34" spans="11:38" ht="23.8" x14ac:dyDescent="0.25">
      <c r="K34" s="114"/>
      <c r="L34" s="461">
        <v>46052</v>
      </c>
      <c r="M34" s="516">
        <v>1326.9402985074628</v>
      </c>
      <c r="N34" s="516">
        <v>509.25426016534499</v>
      </c>
      <c r="O34" s="516">
        <v>160.14284910859905</v>
      </c>
      <c r="P34" s="516">
        <v>284.11225465384399</v>
      </c>
      <c r="Q34" s="516">
        <v>7.5361340756987794</v>
      </c>
      <c r="R34" s="516">
        <v>11.304201113548169</v>
      </c>
      <c r="S34" s="114"/>
      <c r="U34" s="515">
        <v>30</v>
      </c>
      <c r="V34" s="516">
        <v>1326.9402985074628</v>
      </c>
      <c r="W34" s="516">
        <v>3113.5707496766208</v>
      </c>
      <c r="X34" s="511">
        <v>5250</v>
      </c>
      <c r="Y34" s="512">
        <v>4909</v>
      </c>
      <c r="AA34" s="507">
        <v>30</v>
      </c>
      <c r="AB34" s="619">
        <v>1257.1569999999999</v>
      </c>
      <c r="AC34" s="508">
        <v>1000</v>
      </c>
      <c r="AD34" s="72">
        <v>0</v>
      </c>
      <c r="AG34" s="505">
        <v>30</v>
      </c>
      <c r="AH34" s="506">
        <v>1257.1569999999999</v>
      </c>
      <c r="AI34" s="506">
        <v>0</v>
      </c>
      <c r="AJ34" s="506">
        <v>0</v>
      </c>
      <c r="AK34" s="506">
        <v>0</v>
      </c>
      <c r="AL34" s="506">
        <v>0</v>
      </c>
    </row>
    <row r="35" spans="11:38" ht="23.8" x14ac:dyDescent="0.25">
      <c r="K35" s="114"/>
      <c r="L35" s="461">
        <v>46053</v>
      </c>
      <c r="M35" s="516">
        <v>973.08955223880605</v>
      </c>
      <c r="N35" s="516">
        <v>571.88981088086871</v>
      </c>
      <c r="O35" s="516">
        <v>256.91366167154928</v>
      </c>
      <c r="P35" s="516">
        <v>360.70678098685522</v>
      </c>
      <c r="Q35" s="516">
        <v>5.1382732334309855</v>
      </c>
      <c r="R35" s="516">
        <v>5.1382732334309855</v>
      </c>
      <c r="S35" s="114"/>
      <c r="U35" s="515">
        <v>31</v>
      </c>
      <c r="V35" s="516">
        <v>973.08955223880605</v>
      </c>
      <c r="W35" s="516">
        <v>3786.3216098900252</v>
      </c>
      <c r="X35" s="511">
        <v>5250</v>
      </c>
      <c r="Y35" s="512">
        <v>4909</v>
      </c>
      <c r="AA35" s="507">
        <v>31</v>
      </c>
      <c r="AB35" s="619">
        <v>665.32299999999998</v>
      </c>
      <c r="AC35" s="508">
        <v>1000</v>
      </c>
      <c r="AD35" s="72">
        <v>0</v>
      </c>
      <c r="AG35" s="505">
        <v>31</v>
      </c>
      <c r="AH35" s="506">
        <v>665.32299999999998</v>
      </c>
      <c r="AI35" s="506">
        <v>0</v>
      </c>
      <c r="AJ35" s="506">
        <v>0</v>
      </c>
      <c r="AK35" s="506">
        <v>0</v>
      </c>
      <c r="AL35" s="506">
        <v>0</v>
      </c>
    </row>
    <row r="36" spans="11:38" ht="23.8" x14ac:dyDescent="0.25">
      <c r="K36" s="114"/>
      <c r="L36" s="513" t="s">
        <v>301</v>
      </c>
      <c r="M36" s="516">
        <v>-1489446.2537313434</v>
      </c>
      <c r="N36" s="516">
        <v>-5.7645584582125418</v>
      </c>
      <c r="O36" s="516">
        <v>-1.2672494863587438</v>
      </c>
      <c r="P36" s="516">
        <v>-3.8054411065861506</v>
      </c>
      <c r="Q36" s="516">
        <v>-0.11077942529758554</v>
      </c>
      <c r="R36" s="516">
        <v>-4.02834273809402E-2</v>
      </c>
      <c r="S36" s="114"/>
      <c r="U36" s="515" t="s">
        <v>72</v>
      </c>
      <c r="V36" s="516">
        <v>29324.999999999996</v>
      </c>
      <c r="W36" s="516">
        <v>3042.8393009377669</v>
      </c>
      <c r="X36" s="511">
        <v>5250</v>
      </c>
      <c r="Y36" s="512">
        <v>4909</v>
      </c>
      <c r="AA36" s="507" t="s">
        <v>72</v>
      </c>
      <c r="AB36" s="619">
        <v>14633.578999999998</v>
      </c>
      <c r="AC36" s="508">
        <v>1000</v>
      </c>
      <c r="AD36" s="72">
        <v>158.26983023086831</v>
      </c>
      <c r="AG36" s="505" t="s">
        <v>72</v>
      </c>
      <c r="AH36" s="506">
        <v>14633.579</v>
      </c>
      <c r="AI36" s="506">
        <v>0</v>
      </c>
      <c r="AJ36" s="506">
        <v>71.679410470225633</v>
      </c>
      <c r="AK36" s="506">
        <v>88.923096523054042</v>
      </c>
      <c r="AL36" s="506">
        <v>0</v>
      </c>
    </row>
    <row r="37" spans="11:38" x14ac:dyDescent="0.25">
      <c r="K37" s="114"/>
      <c r="L37" s="513" t="s">
        <v>72</v>
      </c>
      <c r="M37" s="516">
        <v>-1460121.2537313434</v>
      </c>
      <c r="N37" s="516">
        <v>-16.434080346874481</v>
      </c>
      <c r="O37" s="516">
        <v>-4.5201725426115704</v>
      </c>
      <c r="P37" s="516">
        <v>-8.5116218726631203</v>
      </c>
      <c r="Q37" s="516">
        <v>-0.2123111345772101</v>
      </c>
      <c r="R37" s="516">
        <v>-0.24313049282228899</v>
      </c>
      <c r="S37" s="114"/>
      <c r="X37" s="115"/>
      <c r="Y37" s="115"/>
      <c r="AD37"/>
    </row>
    <row r="38" spans="11:38" x14ac:dyDescent="0.25">
      <c r="K38" s="114"/>
      <c r="S38" s="114"/>
      <c r="AD38"/>
    </row>
    <row r="39" spans="11:38" x14ac:dyDescent="0.25">
      <c r="K39" s="114"/>
      <c r="S39" s="114"/>
      <c r="AD39"/>
    </row>
    <row r="40" spans="11:38" x14ac:dyDescent="0.25">
      <c r="K40" s="114"/>
      <c r="S40" s="114"/>
      <c r="AD40"/>
    </row>
    <row r="41" spans="11:38" x14ac:dyDescent="0.25">
      <c r="K41" s="114"/>
      <c r="S41" s="114"/>
      <c r="AD41"/>
    </row>
    <row r="42" spans="11:38" x14ac:dyDescent="0.25">
      <c r="K42" s="114"/>
      <c r="S42" s="114"/>
      <c r="AD42"/>
    </row>
    <row r="43" spans="11:38" x14ac:dyDescent="0.25">
      <c r="K43" s="114"/>
      <c r="S43" s="114"/>
      <c r="AD43"/>
    </row>
    <row r="44" spans="11:38" x14ac:dyDescent="0.25">
      <c r="K44" s="114"/>
      <c r="S44" s="114"/>
      <c r="AD44"/>
    </row>
    <row r="45" spans="11:38" x14ac:dyDescent="0.25">
      <c r="K45" s="114"/>
      <c r="S45" s="114"/>
      <c r="AD45"/>
    </row>
    <row r="46" spans="11:38" x14ac:dyDescent="0.25">
      <c r="K46" s="114"/>
      <c r="S46" s="114"/>
      <c r="AD46"/>
    </row>
    <row r="47" spans="11:38" x14ac:dyDescent="0.25">
      <c r="K47" s="114"/>
      <c r="S47" s="114"/>
      <c r="AD47"/>
    </row>
    <row r="48" spans="11:38" x14ac:dyDescent="0.25">
      <c r="K48" s="114"/>
      <c r="S48" s="114"/>
      <c r="AD48"/>
    </row>
    <row r="49" spans="1:30" x14ac:dyDescent="0.25">
      <c r="K49" s="114"/>
      <c r="S49" s="114"/>
      <c r="AD49"/>
    </row>
    <row r="50" spans="1:30" x14ac:dyDescent="0.25">
      <c r="K50" s="114"/>
      <c r="S50" s="114"/>
      <c r="AD50"/>
    </row>
    <row r="51" spans="1:30" ht="21.1" x14ac:dyDescent="0.25">
      <c r="B51" s="117" t="s">
        <v>120</v>
      </c>
      <c r="C51" s="117"/>
      <c r="F51" s="117" t="s">
        <v>188</v>
      </c>
      <c r="G51" s="117"/>
      <c r="K51" s="114"/>
      <c r="S51" s="114"/>
      <c r="AD51"/>
    </row>
    <row r="52" spans="1:30" x14ac:dyDescent="0.25">
      <c r="K52" s="114"/>
      <c r="S52" s="114"/>
      <c r="AD52"/>
    </row>
    <row r="53" spans="1:30" ht="22.45" x14ac:dyDescent="0.25">
      <c r="B53" s="526" t="s">
        <v>121</v>
      </c>
      <c r="C53" s="526"/>
      <c r="D53" s="224">
        <f>Tabla1[[#Totals],[COSTO QUIMICA ]]</f>
        <v>89231262.5</v>
      </c>
      <c r="F53" s="526" t="s">
        <v>209</v>
      </c>
      <c r="G53" s="526"/>
      <c r="H53" s="113">
        <v>2355067.5540210521</v>
      </c>
      <c r="K53" s="114"/>
      <c r="S53" s="114"/>
      <c r="AD53"/>
    </row>
    <row r="54" spans="1:30" ht="22.45" x14ac:dyDescent="0.4">
      <c r="B54" s="119" t="s">
        <v>122</v>
      </c>
      <c r="C54" s="119" t="s">
        <v>123</v>
      </c>
      <c r="D54" s="224"/>
      <c r="F54" s="119" t="s">
        <v>189</v>
      </c>
      <c r="G54" s="119" t="s">
        <v>123</v>
      </c>
      <c r="H54" s="266">
        <v>2515885.201178947</v>
      </c>
      <c r="K54" s="114"/>
      <c r="S54" s="114"/>
      <c r="AD54"/>
    </row>
    <row r="55" spans="1:30" ht="22.45" x14ac:dyDescent="0.4">
      <c r="B55" s="118">
        <f>GETPIVOTDATA("  CAUDAL TOTAL TRATADO GEM ",$U$4)</f>
        <v>29324.999999999996</v>
      </c>
      <c r="C55" s="120">
        <f>+D53/B55</f>
        <v>3042.8393009377669</v>
      </c>
      <c r="D55" s="224"/>
      <c r="F55" s="118">
        <f>+GETPIVOTDATA(" VOLUMEN ENVIADO A RO (m3)",$AA$4)</f>
        <v>14633.578999999998</v>
      </c>
      <c r="G55" s="275">
        <f>H53/F55</f>
        <v>160.93585540632625</v>
      </c>
      <c r="H55" s="224">
        <f>G55*F55</f>
        <v>2355067.5540210521</v>
      </c>
      <c r="K55" s="114"/>
      <c r="S55" s="114"/>
      <c r="AD55"/>
    </row>
    <row r="56" spans="1:30" ht="22.45" x14ac:dyDescent="0.4">
      <c r="B56" s="388">
        <v>29051</v>
      </c>
      <c r="C56" s="389">
        <f>+D53/B56</f>
        <v>3071.5384152008537</v>
      </c>
      <c r="K56" s="114"/>
      <c r="S56" s="114"/>
      <c r="AD56"/>
    </row>
    <row r="57" spans="1:30" x14ac:dyDescent="0.25">
      <c r="K57" s="114"/>
      <c r="S57" s="114"/>
      <c r="AD57"/>
    </row>
    <row r="58" spans="1:30" ht="25.85" x14ac:dyDescent="0.45">
      <c r="A58" s="253" t="s">
        <v>187</v>
      </c>
      <c r="B58" s="254"/>
      <c r="C58" s="254"/>
      <c r="D58" s="254"/>
      <c r="E58" s="254"/>
      <c r="K58" s="114"/>
      <c r="S58" s="114"/>
      <c r="AD58"/>
    </row>
    <row r="59" spans="1:30" x14ac:dyDescent="0.25">
      <c r="K59" s="114"/>
      <c r="S59" s="114"/>
      <c r="AD59"/>
    </row>
    <row r="60" spans="1:30" x14ac:dyDescent="0.25">
      <c r="K60" s="114"/>
      <c r="S60" s="114"/>
      <c r="AD60"/>
    </row>
    <row r="61" spans="1:30" x14ac:dyDescent="0.25">
      <c r="K61" s="114"/>
      <c r="S61" s="114"/>
      <c r="AD61"/>
    </row>
    <row r="62" spans="1:30" x14ac:dyDescent="0.25">
      <c r="K62" s="114"/>
      <c r="S62" s="114"/>
      <c r="AD62"/>
    </row>
    <row r="63" spans="1:30" x14ac:dyDescent="0.25">
      <c r="K63" s="114"/>
      <c r="S63" s="114"/>
      <c r="AD63"/>
    </row>
    <row r="64" spans="1:30" x14ac:dyDescent="0.25">
      <c r="K64" s="114"/>
      <c r="S64" s="114"/>
      <c r="AD64"/>
    </row>
    <row r="65" spans="11:30" x14ac:dyDescent="0.25">
      <c r="K65" s="114"/>
      <c r="S65" s="114"/>
      <c r="AD65"/>
    </row>
    <row r="66" spans="11:30" x14ac:dyDescent="0.25">
      <c r="K66" s="114"/>
      <c r="S66" s="114"/>
      <c r="AD66"/>
    </row>
    <row r="67" spans="11:30" x14ac:dyDescent="0.25">
      <c r="K67" s="114"/>
      <c r="S67" s="114"/>
      <c r="AD67"/>
    </row>
    <row r="68" spans="11:30" x14ac:dyDescent="0.25">
      <c r="K68" s="114"/>
      <c r="S68" s="114"/>
    </row>
    <row r="69" spans="11:30" x14ac:dyDescent="0.25">
      <c r="K69" s="114"/>
      <c r="S69" s="114"/>
    </row>
    <row r="70" spans="11:30" x14ac:dyDescent="0.25">
      <c r="K70" s="114"/>
      <c r="S70" s="114"/>
    </row>
    <row r="71" spans="11:30" x14ac:dyDescent="0.25">
      <c r="K71" s="114"/>
      <c r="S71" s="114"/>
    </row>
    <row r="72" spans="11:30" x14ac:dyDescent="0.25">
      <c r="K72" s="114"/>
      <c r="S72" s="114"/>
    </row>
    <row r="73" spans="11:30" x14ac:dyDescent="0.25">
      <c r="K73" s="114"/>
      <c r="S73" s="114"/>
    </row>
    <row r="74" spans="11:30" x14ac:dyDescent="0.25">
      <c r="K74" s="114"/>
      <c r="S74" s="114"/>
    </row>
    <row r="75" spans="11:30" x14ac:dyDescent="0.25">
      <c r="K75" s="114"/>
      <c r="S75" s="114"/>
    </row>
    <row r="76" spans="11:30" x14ac:dyDescent="0.25">
      <c r="K76" s="114"/>
      <c r="S76" s="114"/>
    </row>
    <row r="77" spans="11:30" x14ac:dyDescent="0.25">
      <c r="K77" s="114"/>
      <c r="S77" s="114"/>
    </row>
    <row r="78" spans="11:30" x14ac:dyDescent="0.25">
      <c r="K78" s="114"/>
      <c r="S78" s="114"/>
    </row>
    <row r="79" spans="11:30" x14ac:dyDescent="0.25">
      <c r="K79" s="114"/>
      <c r="S79" s="114"/>
    </row>
    <row r="80" spans="11:30" x14ac:dyDescent="0.25">
      <c r="K80" s="114"/>
      <c r="S80" s="114"/>
    </row>
    <row r="81" spans="2:19" ht="21.1" x14ac:dyDescent="0.25">
      <c r="B81" s="527" t="s">
        <v>203</v>
      </c>
      <c r="C81" s="527"/>
      <c r="K81" s="114"/>
      <c r="S81" s="114"/>
    </row>
    <row r="82" spans="2:19" x14ac:dyDescent="0.25">
      <c r="K82" s="114"/>
      <c r="S82" s="114"/>
    </row>
    <row r="83" spans="2:19" x14ac:dyDescent="0.25">
      <c r="K83" s="114"/>
      <c r="S83" s="114"/>
    </row>
    <row r="84" spans="2:19" x14ac:dyDescent="0.25">
      <c r="K84" s="114"/>
      <c r="S84" s="114"/>
    </row>
    <row r="85" spans="2:19" x14ac:dyDescent="0.25">
      <c r="K85" s="114"/>
      <c r="S85" s="114"/>
    </row>
    <row r="86" spans="2:19" x14ac:dyDescent="0.25">
      <c r="K86" s="114"/>
      <c r="S86" s="114"/>
    </row>
    <row r="87" spans="2:19" x14ac:dyDescent="0.25">
      <c r="K87" s="114"/>
      <c r="S87" s="114"/>
    </row>
    <row r="88" spans="2:19" x14ac:dyDescent="0.25">
      <c r="K88" s="114"/>
      <c r="S88" s="114"/>
    </row>
    <row r="89" spans="2:19" x14ac:dyDescent="0.25">
      <c r="K89" s="114"/>
      <c r="S89" s="114"/>
    </row>
    <row r="90" spans="2:19" x14ac:dyDescent="0.25">
      <c r="K90" s="114"/>
      <c r="S90" s="114"/>
    </row>
    <row r="91" spans="2:19" x14ac:dyDescent="0.25">
      <c r="K91" s="114"/>
      <c r="S91" s="114"/>
    </row>
    <row r="92" spans="2:19" x14ac:dyDescent="0.25">
      <c r="K92" s="114"/>
      <c r="S92" s="114"/>
    </row>
    <row r="93" spans="2:19" x14ac:dyDescent="0.25">
      <c r="K93" s="114"/>
      <c r="S93" s="114"/>
    </row>
  </sheetData>
  <mergeCells count="10">
    <mergeCell ref="AA1:AD1"/>
    <mergeCell ref="F53:G53"/>
    <mergeCell ref="AG1:AM1"/>
    <mergeCell ref="B81:C81"/>
    <mergeCell ref="U1:X1"/>
    <mergeCell ref="B53:C53"/>
    <mergeCell ref="A1:J1"/>
    <mergeCell ref="B3:C3"/>
    <mergeCell ref="B28:C28"/>
    <mergeCell ref="M1:Q1"/>
  </mergeCells>
  <pageMargins left="0.7" right="0.7" top="0.75" bottom="0.75" header="0.3" footer="0.3"/>
  <pageSetup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2"/>
  <sheetViews>
    <sheetView topLeftCell="I3" zoomScale="85" zoomScaleNormal="85" workbookViewId="0">
      <selection activeCell="R25" sqref="R25"/>
    </sheetView>
  </sheetViews>
  <sheetFormatPr baseColWidth="10" defaultRowHeight="14.3" x14ac:dyDescent="0.25"/>
  <cols>
    <col min="1" max="1" width="55" bestFit="1" customWidth="1"/>
    <col min="2" max="3" width="8.125" style="89" customWidth="1"/>
    <col min="4" max="4" width="8.25" style="89" customWidth="1"/>
    <col min="5" max="5" width="8.625" style="89" bestFit="1" customWidth="1"/>
    <col min="6" max="6" width="8.125" style="89" customWidth="1"/>
    <col min="7" max="7" width="8.125" style="94" customWidth="1"/>
    <col min="8" max="13" width="8.125" style="89" customWidth="1"/>
    <col min="14" max="14" width="8.125" style="95" customWidth="1"/>
    <col min="15" max="20" width="8.125" style="90" customWidth="1"/>
    <col min="21" max="21" width="8.125" style="95" customWidth="1"/>
    <col min="22" max="22" width="8.125" style="90" customWidth="1"/>
    <col min="23" max="24" width="8.125" style="89" customWidth="1"/>
    <col min="25" max="31" width="8.125" style="90" customWidth="1"/>
    <col min="32" max="32" width="12.875" bestFit="1" customWidth="1"/>
    <col min="33" max="33" width="15.625" bestFit="1" customWidth="1"/>
    <col min="34" max="34" width="12.625" bestFit="1" customWidth="1"/>
    <col min="35" max="35" width="15.625" bestFit="1" customWidth="1"/>
    <col min="36" max="36" width="12.625" bestFit="1" customWidth="1"/>
    <col min="37" max="37" width="15.625" bestFit="1" customWidth="1"/>
    <col min="38" max="38" width="12.625" bestFit="1" customWidth="1"/>
    <col min="39" max="39" width="15.625" bestFit="1" customWidth="1"/>
    <col min="40" max="40" width="12.625" bestFit="1" customWidth="1"/>
    <col min="41" max="41" width="15.625" bestFit="1" customWidth="1"/>
    <col min="42" max="42" width="12.625" bestFit="1" customWidth="1"/>
    <col min="43" max="43" width="15.625" bestFit="1" customWidth="1"/>
    <col min="44" max="44" width="12.625" bestFit="1" customWidth="1"/>
    <col min="45" max="45" width="15.625" bestFit="1" customWidth="1"/>
    <col min="46" max="46" width="12.625" bestFit="1" customWidth="1"/>
    <col min="47" max="47" width="15.625" bestFit="1" customWidth="1"/>
    <col min="48" max="48" width="12.625" bestFit="1" customWidth="1"/>
    <col min="49" max="49" width="15.625" bestFit="1" customWidth="1"/>
    <col min="50" max="50" width="12.625" bestFit="1" customWidth="1"/>
    <col min="51" max="51" width="15.625" bestFit="1" customWidth="1"/>
    <col min="52" max="52" width="12.625" bestFit="1" customWidth="1"/>
    <col min="53" max="53" width="15.625" bestFit="1" customWidth="1"/>
    <col min="54" max="54" width="12.625" bestFit="1" customWidth="1"/>
    <col min="55" max="55" width="15.625" bestFit="1" customWidth="1"/>
    <col min="56" max="56" width="12.625" bestFit="1" customWidth="1"/>
    <col min="57" max="57" width="15.625" bestFit="1" customWidth="1"/>
    <col min="58" max="58" width="12.625" bestFit="1" customWidth="1"/>
    <col min="59" max="59" width="15.625" bestFit="1" customWidth="1"/>
    <col min="60" max="60" width="12.625" bestFit="1" customWidth="1"/>
    <col min="61" max="61" width="15.625" bestFit="1" customWidth="1"/>
    <col min="62" max="62" width="11.625" bestFit="1" customWidth="1"/>
    <col min="63" max="63" width="14.625" bestFit="1" customWidth="1"/>
    <col min="64" max="65" width="12.625" bestFit="1" customWidth="1"/>
    <col min="66" max="165" width="22.375" bestFit="1" customWidth="1"/>
    <col min="166" max="166" width="31.875" bestFit="1" customWidth="1"/>
    <col min="167" max="167" width="38.625" bestFit="1" customWidth="1"/>
    <col min="168" max="168" width="39.25" bestFit="1" customWidth="1"/>
    <col min="169" max="169" width="34.625" bestFit="1" customWidth="1"/>
    <col min="170" max="170" width="35.25" bestFit="1" customWidth="1"/>
    <col min="171" max="172" width="24.75" bestFit="1" customWidth="1"/>
    <col min="173" max="173" width="15.375" bestFit="1" customWidth="1"/>
    <col min="174" max="174" width="22.25" bestFit="1" customWidth="1"/>
    <col min="175" max="175" width="23.375" bestFit="1" customWidth="1"/>
    <col min="176" max="176" width="23.625" bestFit="1" customWidth="1"/>
    <col min="177" max="177" width="24.25" bestFit="1" customWidth="1"/>
    <col min="178" max="179" width="24.75" bestFit="1" customWidth="1"/>
    <col min="180" max="180" width="17.625" bestFit="1" customWidth="1"/>
    <col min="181" max="181" width="24.25" bestFit="1" customWidth="1"/>
    <col min="182" max="182" width="25" bestFit="1" customWidth="1"/>
    <col min="183" max="183" width="25.125" bestFit="1" customWidth="1"/>
    <col min="184" max="184" width="25.375" bestFit="1" customWidth="1"/>
    <col min="185" max="185" width="43.125" bestFit="1" customWidth="1"/>
    <col min="186" max="186" width="42.375" bestFit="1" customWidth="1"/>
  </cols>
  <sheetData>
    <row r="1" spans="1:184" s="38" customFormat="1" ht="15.8" customHeight="1" thickBot="1" x14ac:dyDescent="0.3">
      <c r="A1" s="532" t="s">
        <v>5</v>
      </c>
      <c r="B1" s="533"/>
      <c r="C1" s="533"/>
      <c r="D1" s="533"/>
      <c r="E1" s="533"/>
      <c r="F1" s="534"/>
      <c r="G1" s="94"/>
      <c r="H1" s="94"/>
      <c r="I1" s="94"/>
      <c r="J1" s="94"/>
      <c r="K1" s="94"/>
      <c r="L1" s="94"/>
      <c r="M1" s="94"/>
      <c r="N1" s="95"/>
      <c r="O1" s="95"/>
      <c r="P1" s="95"/>
      <c r="Q1" s="95"/>
      <c r="R1" s="95"/>
      <c r="S1" s="95"/>
      <c r="T1" s="95"/>
      <c r="U1" s="95"/>
      <c r="V1" s="95"/>
      <c r="W1" s="94"/>
      <c r="X1" s="94"/>
      <c r="Y1" s="95"/>
      <c r="Z1" s="95"/>
      <c r="AA1" s="95"/>
      <c r="AB1" s="95"/>
      <c r="AC1" s="95"/>
      <c r="AD1" s="95"/>
      <c r="AE1" s="95"/>
    </row>
    <row r="2" spans="1:184" s="92" customFormat="1" ht="14.95" thickBot="1" x14ac:dyDescent="0.3">
      <c r="A2" s="421"/>
      <c r="B2" s="421" t="s">
        <v>80</v>
      </c>
      <c r="C2" s="422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423"/>
      <c r="AC2" s="423"/>
      <c r="AD2" s="423"/>
      <c r="AE2" s="423"/>
      <c r="AF2" s="423"/>
      <c r="AG2" s="423"/>
      <c r="AH2" s="424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4.95" thickBot="1" x14ac:dyDescent="0.3">
      <c r="A3" s="432" t="s">
        <v>7</v>
      </c>
      <c r="B3" s="425">
        <v>1</v>
      </c>
      <c r="C3" s="426">
        <v>2</v>
      </c>
      <c r="D3" s="426">
        <v>3</v>
      </c>
      <c r="E3" s="426">
        <v>4</v>
      </c>
      <c r="F3" s="426">
        <v>5</v>
      </c>
      <c r="G3" s="426">
        <v>6</v>
      </c>
      <c r="H3" s="426">
        <v>7</v>
      </c>
      <c r="I3" s="426">
        <v>8</v>
      </c>
      <c r="J3" s="426">
        <v>9</v>
      </c>
      <c r="K3" s="426">
        <v>10</v>
      </c>
      <c r="L3" s="426">
        <v>11</v>
      </c>
      <c r="M3" s="426">
        <v>12</v>
      </c>
      <c r="N3" s="426">
        <v>13</v>
      </c>
      <c r="O3" s="426">
        <v>14</v>
      </c>
      <c r="P3" s="426">
        <v>15</v>
      </c>
      <c r="Q3" s="426">
        <v>16</v>
      </c>
      <c r="R3" s="426">
        <v>17</v>
      </c>
      <c r="S3" s="426">
        <v>18</v>
      </c>
      <c r="T3" s="426">
        <v>19</v>
      </c>
      <c r="U3" s="426">
        <v>20</v>
      </c>
      <c r="V3" s="426">
        <v>21</v>
      </c>
      <c r="W3" s="426">
        <v>22</v>
      </c>
      <c r="X3" s="426">
        <v>23</v>
      </c>
      <c r="Y3" s="426">
        <v>24</v>
      </c>
      <c r="Z3" s="426">
        <v>25</v>
      </c>
      <c r="AA3" s="426">
        <v>26</v>
      </c>
      <c r="AB3" s="426">
        <v>27</v>
      </c>
      <c r="AC3" s="426">
        <v>28</v>
      </c>
      <c r="AD3" s="426">
        <v>29</v>
      </c>
      <c r="AE3" s="426">
        <v>30</v>
      </c>
      <c r="AF3" s="426">
        <v>31</v>
      </c>
      <c r="AG3" s="427" t="s">
        <v>301</v>
      </c>
      <c r="AH3" s="428" t="s">
        <v>72</v>
      </c>
    </row>
    <row r="4" spans="1:184" x14ac:dyDescent="0.25">
      <c r="A4" s="429" t="s">
        <v>82</v>
      </c>
      <c r="B4" s="627">
        <v>0</v>
      </c>
      <c r="C4" s="628">
        <v>160</v>
      </c>
      <c r="D4" s="628">
        <v>80</v>
      </c>
      <c r="E4" s="628">
        <v>0</v>
      </c>
      <c r="F4" s="628">
        <v>110</v>
      </c>
      <c r="G4" s="628">
        <v>420</v>
      </c>
      <c r="H4" s="628">
        <v>260</v>
      </c>
      <c r="I4" s="628">
        <v>330</v>
      </c>
      <c r="J4" s="628">
        <v>210</v>
      </c>
      <c r="K4" s="628">
        <v>40</v>
      </c>
      <c r="L4" s="628">
        <v>0</v>
      </c>
      <c r="M4" s="628">
        <v>0</v>
      </c>
      <c r="N4" s="628">
        <v>470</v>
      </c>
      <c r="O4" s="628">
        <v>280</v>
      </c>
      <c r="P4" s="628">
        <v>200</v>
      </c>
      <c r="Q4" s="628">
        <v>210</v>
      </c>
      <c r="R4" s="628">
        <v>190</v>
      </c>
      <c r="S4" s="628">
        <v>0</v>
      </c>
      <c r="T4" s="628">
        <v>300</v>
      </c>
      <c r="U4" s="628">
        <v>300</v>
      </c>
      <c r="V4" s="628">
        <v>200</v>
      </c>
      <c r="W4" s="628">
        <v>160</v>
      </c>
      <c r="X4" s="628">
        <v>20</v>
      </c>
      <c r="Y4" s="628">
        <v>30</v>
      </c>
      <c r="Z4" s="628">
        <v>0</v>
      </c>
      <c r="AA4" s="628">
        <v>140</v>
      </c>
      <c r="AB4" s="628">
        <v>120</v>
      </c>
      <c r="AC4" s="628">
        <v>130</v>
      </c>
      <c r="AD4" s="628">
        <v>280</v>
      </c>
      <c r="AE4" s="628">
        <v>290</v>
      </c>
      <c r="AF4" s="628">
        <v>270</v>
      </c>
      <c r="AG4" s="628">
        <v>4360</v>
      </c>
      <c r="AH4" s="629">
        <v>9560</v>
      </c>
    </row>
    <row r="5" spans="1:184" x14ac:dyDescent="0.25">
      <c r="A5" s="430" t="s">
        <v>83</v>
      </c>
      <c r="B5" s="630">
        <v>0</v>
      </c>
      <c r="C5" s="631">
        <v>200</v>
      </c>
      <c r="D5" s="631">
        <v>160</v>
      </c>
      <c r="E5" s="631">
        <v>0</v>
      </c>
      <c r="F5" s="631">
        <v>190</v>
      </c>
      <c r="G5" s="631">
        <v>500</v>
      </c>
      <c r="H5" s="631">
        <v>700</v>
      </c>
      <c r="I5" s="631">
        <v>550</v>
      </c>
      <c r="J5" s="631">
        <v>540</v>
      </c>
      <c r="K5" s="631">
        <v>160</v>
      </c>
      <c r="L5" s="631">
        <v>0</v>
      </c>
      <c r="M5" s="631">
        <v>0</v>
      </c>
      <c r="N5" s="631">
        <v>650</v>
      </c>
      <c r="O5" s="631">
        <v>680</v>
      </c>
      <c r="P5" s="631">
        <v>610</v>
      </c>
      <c r="Q5" s="631">
        <v>600</v>
      </c>
      <c r="R5" s="631">
        <v>160</v>
      </c>
      <c r="S5" s="631">
        <v>0</v>
      </c>
      <c r="T5" s="631">
        <v>610</v>
      </c>
      <c r="U5" s="631">
        <v>700</v>
      </c>
      <c r="V5" s="631">
        <v>500</v>
      </c>
      <c r="W5" s="631">
        <v>800</v>
      </c>
      <c r="X5" s="631">
        <v>700</v>
      </c>
      <c r="Y5" s="631">
        <v>150</v>
      </c>
      <c r="Z5" s="631">
        <v>0</v>
      </c>
      <c r="AA5" s="631">
        <v>390</v>
      </c>
      <c r="AB5" s="631">
        <v>360</v>
      </c>
      <c r="AC5" s="631">
        <v>150</v>
      </c>
      <c r="AD5" s="631">
        <v>640</v>
      </c>
      <c r="AE5" s="631">
        <v>510</v>
      </c>
      <c r="AF5" s="631">
        <v>420</v>
      </c>
      <c r="AG5" s="631">
        <v>6480</v>
      </c>
      <c r="AH5" s="632">
        <v>18110</v>
      </c>
    </row>
    <row r="6" spans="1:184" x14ac:dyDescent="0.25">
      <c r="A6" s="430" t="s">
        <v>84</v>
      </c>
      <c r="B6" s="630">
        <v>0</v>
      </c>
      <c r="C6" s="631">
        <v>120</v>
      </c>
      <c r="D6" s="631">
        <v>50</v>
      </c>
      <c r="E6" s="631">
        <v>0</v>
      </c>
      <c r="F6" s="631">
        <v>100</v>
      </c>
      <c r="G6" s="631">
        <v>200</v>
      </c>
      <c r="H6" s="631">
        <v>140</v>
      </c>
      <c r="I6" s="631">
        <v>160</v>
      </c>
      <c r="J6" s="631">
        <v>190</v>
      </c>
      <c r="K6" s="631">
        <v>80</v>
      </c>
      <c r="L6" s="631">
        <v>0</v>
      </c>
      <c r="M6" s="631">
        <v>0</v>
      </c>
      <c r="N6" s="631">
        <v>240</v>
      </c>
      <c r="O6" s="631">
        <v>350</v>
      </c>
      <c r="P6" s="631">
        <v>150</v>
      </c>
      <c r="Q6" s="631">
        <v>190</v>
      </c>
      <c r="R6" s="631">
        <v>60</v>
      </c>
      <c r="S6" s="631">
        <v>0</v>
      </c>
      <c r="T6" s="631">
        <v>250</v>
      </c>
      <c r="U6" s="631">
        <v>40</v>
      </c>
      <c r="V6" s="631">
        <v>210</v>
      </c>
      <c r="W6" s="631">
        <v>240</v>
      </c>
      <c r="X6" s="631">
        <v>110</v>
      </c>
      <c r="Y6" s="631">
        <v>40</v>
      </c>
      <c r="Z6" s="631">
        <v>0</v>
      </c>
      <c r="AA6" s="631">
        <v>160</v>
      </c>
      <c r="AB6" s="631">
        <v>120</v>
      </c>
      <c r="AC6" s="631">
        <v>80</v>
      </c>
      <c r="AD6" s="631">
        <v>120</v>
      </c>
      <c r="AE6" s="631">
        <v>170</v>
      </c>
      <c r="AF6" s="631">
        <v>200</v>
      </c>
      <c r="AG6" s="631">
        <v>1510</v>
      </c>
      <c r="AH6" s="632">
        <v>5280</v>
      </c>
    </row>
    <row r="7" spans="1:184" x14ac:dyDescent="0.25">
      <c r="A7" s="430" t="s">
        <v>85</v>
      </c>
      <c r="B7" s="630">
        <v>0</v>
      </c>
      <c r="C7" s="631">
        <v>10</v>
      </c>
      <c r="D7" s="631">
        <v>0</v>
      </c>
      <c r="E7" s="631">
        <v>0</v>
      </c>
      <c r="F7" s="631">
        <v>0</v>
      </c>
      <c r="G7" s="631">
        <v>5</v>
      </c>
      <c r="H7" s="631">
        <v>5</v>
      </c>
      <c r="I7" s="631">
        <v>5</v>
      </c>
      <c r="J7" s="631">
        <v>5</v>
      </c>
      <c r="K7" s="631">
        <v>5</v>
      </c>
      <c r="L7" s="631">
        <v>0</v>
      </c>
      <c r="M7" s="631">
        <v>0</v>
      </c>
      <c r="N7" s="631">
        <v>5</v>
      </c>
      <c r="O7" s="631">
        <v>5</v>
      </c>
      <c r="P7" s="631">
        <v>5</v>
      </c>
      <c r="Q7" s="631">
        <v>5</v>
      </c>
      <c r="R7" s="631">
        <v>5</v>
      </c>
      <c r="S7" s="631">
        <v>0</v>
      </c>
      <c r="T7" s="631">
        <v>5</v>
      </c>
      <c r="U7" s="631">
        <v>10</v>
      </c>
      <c r="V7" s="631">
        <v>10</v>
      </c>
      <c r="W7" s="631">
        <v>5</v>
      </c>
      <c r="X7" s="631">
        <v>10</v>
      </c>
      <c r="Y7" s="631">
        <v>5</v>
      </c>
      <c r="Z7" s="631">
        <v>0</v>
      </c>
      <c r="AA7" s="631">
        <v>5</v>
      </c>
      <c r="AB7" s="631">
        <v>10</v>
      </c>
      <c r="AC7" s="631">
        <v>5</v>
      </c>
      <c r="AD7" s="631">
        <v>5</v>
      </c>
      <c r="AE7" s="631">
        <v>10</v>
      </c>
      <c r="AF7" s="631">
        <v>5</v>
      </c>
      <c r="AG7" s="631">
        <v>165</v>
      </c>
      <c r="AH7" s="632">
        <v>310</v>
      </c>
    </row>
    <row r="8" spans="1:184" ht="14.95" thickBot="1" x14ac:dyDescent="0.3">
      <c r="A8" s="431" t="s">
        <v>86</v>
      </c>
      <c r="B8" s="633">
        <v>0</v>
      </c>
      <c r="C8" s="634">
        <v>10</v>
      </c>
      <c r="D8" s="634">
        <v>0</v>
      </c>
      <c r="E8" s="634">
        <v>0</v>
      </c>
      <c r="F8" s="634">
        <v>10</v>
      </c>
      <c r="G8" s="634">
        <v>10</v>
      </c>
      <c r="H8" s="634">
        <v>15</v>
      </c>
      <c r="I8" s="634">
        <v>15</v>
      </c>
      <c r="J8" s="634">
        <v>15</v>
      </c>
      <c r="K8" s="634">
        <v>5</v>
      </c>
      <c r="L8" s="634">
        <v>0</v>
      </c>
      <c r="M8" s="634">
        <v>0</v>
      </c>
      <c r="N8" s="634">
        <v>10</v>
      </c>
      <c r="O8" s="634">
        <v>15</v>
      </c>
      <c r="P8" s="634">
        <v>15</v>
      </c>
      <c r="Q8" s="634">
        <v>15</v>
      </c>
      <c r="R8" s="634">
        <v>10</v>
      </c>
      <c r="S8" s="634">
        <v>0</v>
      </c>
      <c r="T8" s="634">
        <v>15</v>
      </c>
      <c r="U8" s="634">
        <v>10</v>
      </c>
      <c r="V8" s="634">
        <v>15</v>
      </c>
      <c r="W8" s="634">
        <v>15</v>
      </c>
      <c r="X8" s="634">
        <v>15</v>
      </c>
      <c r="Y8" s="634">
        <v>5</v>
      </c>
      <c r="Z8" s="634">
        <v>0</v>
      </c>
      <c r="AA8" s="634">
        <v>10</v>
      </c>
      <c r="AB8" s="634">
        <v>15</v>
      </c>
      <c r="AC8" s="634">
        <v>15</v>
      </c>
      <c r="AD8" s="634">
        <v>15</v>
      </c>
      <c r="AE8" s="634">
        <v>15</v>
      </c>
      <c r="AF8" s="634">
        <v>5</v>
      </c>
      <c r="AG8" s="634">
        <v>60</v>
      </c>
      <c r="AH8" s="635">
        <v>355</v>
      </c>
    </row>
    <row r="9" spans="1:184" ht="14.95" thickBot="1" x14ac:dyDescent="0.3"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U9" s="90"/>
      <c r="W9" s="90"/>
      <c r="X9" s="90"/>
    </row>
    <row r="10" spans="1:184" ht="14.95" thickBot="1" x14ac:dyDescent="0.3">
      <c r="A10" s="535" t="s">
        <v>4</v>
      </c>
      <c r="B10" s="536"/>
      <c r="C10" s="536"/>
      <c r="D10" s="536"/>
      <c r="E10" s="536"/>
      <c r="F10" s="537"/>
      <c r="H10" s="90"/>
      <c r="I10" s="90"/>
      <c r="J10" s="90"/>
      <c r="K10" s="90"/>
      <c r="L10" s="90"/>
      <c r="M10" s="90"/>
      <c r="N10" s="90"/>
      <c r="W10" s="90"/>
      <c r="X10" s="90"/>
    </row>
    <row r="11" spans="1:184" ht="14.95" thickBot="1" x14ac:dyDescent="0.3">
      <c r="A11" s="636"/>
      <c r="B11" s="415" t="s">
        <v>80</v>
      </c>
      <c r="C11" s="416"/>
      <c r="D11" s="417"/>
      <c r="E11" s="417"/>
      <c r="F11" s="417"/>
      <c r="G11" s="417"/>
      <c r="H11" s="417"/>
      <c r="I11" s="417"/>
      <c r="J11" s="417"/>
      <c r="K11" s="417"/>
      <c r="L11" s="417"/>
      <c r="M11" s="417"/>
      <c r="N11" s="417"/>
      <c r="O11" s="417"/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/>
      <c r="AA11" s="417"/>
      <c r="AB11" s="417"/>
      <c r="AC11" s="417"/>
      <c r="AD11" s="417"/>
      <c r="AE11" s="417"/>
      <c r="AF11" s="417"/>
      <c r="AG11" s="417"/>
      <c r="AH11" s="418"/>
    </row>
    <row r="12" spans="1:184" ht="14.95" thickBot="1" x14ac:dyDescent="0.3">
      <c r="A12" s="433" t="s">
        <v>81</v>
      </c>
      <c r="B12" s="408">
        <v>1</v>
      </c>
      <c r="C12" s="409">
        <v>2</v>
      </c>
      <c r="D12" s="409">
        <v>3</v>
      </c>
      <c r="E12" s="409">
        <v>4</v>
      </c>
      <c r="F12" s="409">
        <v>5</v>
      </c>
      <c r="G12" s="409">
        <v>6</v>
      </c>
      <c r="H12" s="409">
        <v>7</v>
      </c>
      <c r="I12" s="409">
        <v>8</v>
      </c>
      <c r="J12" s="409">
        <v>9</v>
      </c>
      <c r="K12" s="409">
        <v>10</v>
      </c>
      <c r="L12" s="409">
        <v>11</v>
      </c>
      <c r="M12" s="409">
        <v>12</v>
      </c>
      <c r="N12" s="409">
        <v>13</v>
      </c>
      <c r="O12" s="409">
        <v>14</v>
      </c>
      <c r="P12" s="409">
        <v>15</v>
      </c>
      <c r="Q12" s="409">
        <v>16</v>
      </c>
      <c r="R12" s="409">
        <v>17</v>
      </c>
      <c r="S12" s="409">
        <v>18</v>
      </c>
      <c r="T12" s="409">
        <v>19</v>
      </c>
      <c r="U12" s="409">
        <v>20</v>
      </c>
      <c r="V12" s="409">
        <v>21</v>
      </c>
      <c r="W12" s="409">
        <v>22</v>
      </c>
      <c r="X12" s="409">
        <v>23</v>
      </c>
      <c r="Y12" s="409">
        <v>24</v>
      </c>
      <c r="Z12" s="409">
        <v>25</v>
      </c>
      <c r="AA12" s="409">
        <v>26</v>
      </c>
      <c r="AB12" s="409">
        <v>27</v>
      </c>
      <c r="AC12" s="409">
        <v>28</v>
      </c>
      <c r="AD12" s="409">
        <v>29</v>
      </c>
      <c r="AE12" s="409">
        <v>30</v>
      </c>
      <c r="AF12" s="409">
        <v>31</v>
      </c>
      <c r="AG12" s="419" t="s">
        <v>301</v>
      </c>
      <c r="AH12" s="420" t="s">
        <v>72</v>
      </c>
    </row>
    <row r="13" spans="1:184" x14ac:dyDescent="0.25">
      <c r="A13" s="412" t="s">
        <v>87</v>
      </c>
      <c r="B13" s="396">
        <v>0</v>
      </c>
      <c r="C13" s="397">
        <v>208</v>
      </c>
      <c r="D13" s="397">
        <v>104</v>
      </c>
      <c r="E13" s="397">
        <v>0</v>
      </c>
      <c r="F13" s="397">
        <v>143</v>
      </c>
      <c r="G13" s="397">
        <v>546</v>
      </c>
      <c r="H13" s="397">
        <v>338</v>
      </c>
      <c r="I13" s="397">
        <v>429</v>
      </c>
      <c r="J13" s="397">
        <v>273</v>
      </c>
      <c r="K13" s="397">
        <v>52</v>
      </c>
      <c r="L13" s="397">
        <v>0</v>
      </c>
      <c r="M13" s="397">
        <v>0</v>
      </c>
      <c r="N13" s="397">
        <v>611</v>
      </c>
      <c r="O13" s="397">
        <v>364</v>
      </c>
      <c r="P13" s="397">
        <v>260</v>
      </c>
      <c r="Q13" s="397">
        <v>273</v>
      </c>
      <c r="R13" s="397">
        <v>247</v>
      </c>
      <c r="S13" s="397">
        <v>0</v>
      </c>
      <c r="T13" s="397">
        <v>390</v>
      </c>
      <c r="U13" s="397">
        <v>390</v>
      </c>
      <c r="V13" s="397">
        <v>260</v>
      </c>
      <c r="W13" s="397">
        <v>208</v>
      </c>
      <c r="X13" s="397">
        <v>26</v>
      </c>
      <c r="Y13" s="397">
        <v>39</v>
      </c>
      <c r="Z13" s="397">
        <v>0</v>
      </c>
      <c r="AA13" s="397">
        <v>182</v>
      </c>
      <c r="AB13" s="397">
        <v>156</v>
      </c>
      <c r="AC13" s="397">
        <v>169</v>
      </c>
      <c r="AD13" s="397">
        <v>364</v>
      </c>
      <c r="AE13" s="397">
        <v>377</v>
      </c>
      <c r="AF13" s="397">
        <v>351</v>
      </c>
      <c r="AG13" s="397">
        <v>5668</v>
      </c>
      <c r="AH13" s="398">
        <v>12428</v>
      </c>
    </row>
    <row r="14" spans="1:184" x14ac:dyDescent="0.25">
      <c r="A14" s="413" t="s">
        <v>88</v>
      </c>
      <c r="B14" s="410">
        <v>0</v>
      </c>
      <c r="C14" s="620">
        <v>265</v>
      </c>
      <c r="D14" s="620">
        <v>212</v>
      </c>
      <c r="E14" s="620">
        <v>0</v>
      </c>
      <c r="F14" s="620">
        <v>251.75</v>
      </c>
      <c r="G14" s="620">
        <v>662.5</v>
      </c>
      <c r="H14" s="620">
        <v>927.5</v>
      </c>
      <c r="I14" s="620">
        <v>728.75</v>
      </c>
      <c r="J14" s="620">
        <v>715.5</v>
      </c>
      <c r="K14" s="620">
        <v>212</v>
      </c>
      <c r="L14" s="620">
        <v>0</v>
      </c>
      <c r="M14" s="620">
        <v>0</v>
      </c>
      <c r="N14" s="620">
        <v>861.25</v>
      </c>
      <c r="O14" s="620">
        <v>901</v>
      </c>
      <c r="P14" s="620">
        <v>808.25</v>
      </c>
      <c r="Q14" s="620">
        <v>795</v>
      </c>
      <c r="R14" s="620">
        <v>212</v>
      </c>
      <c r="S14" s="620">
        <v>0</v>
      </c>
      <c r="T14" s="620">
        <v>808.25</v>
      </c>
      <c r="U14" s="620">
        <v>927.5</v>
      </c>
      <c r="V14" s="620">
        <v>662.5</v>
      </c>
      <c r="W14" s="620">
        <v>1060</v>
      </c>
      <c r="X14" s="620">
        <v>927.5</v>
      </c>
      <c r="Y14" s="620">
        <v>198.75</v>
      </c>
      <c r="Z14" s="620">
        <v>0</v>
      </c>
      <c r="AA14" s="620">
        <v>516.75</v>
      </c>
      <c r="AB14" s="620">
        <v>477</v>
      </c>
      <c r="AC14" s="620">
        <v>198.75</v>
      </c>
      <c r="AD14" s="620">
        <v>848</v>
      </c>
      <c r="AE14" s="620">
        <v>675.75</v>
      </c>
      <c r="AF14" s="620">
        <v>556.5</v>
      </c>
      <c r="AG14" s="620">
        <v>8586</v>
      </c>
      <c r="AH14" s="411">
        <v>23995.75</v>
      </c>
    </row>
    <row r="15" spans="1:184" x14ac:dyDescent="0.25">
      <c r="A15" s="413" t="s">
        <v>89</v>
      </c>
      <c r="B15" s="410">
        <v>0</v>
      </c>
      <c r="C15" s="620">
        <v>150</v>
      </c>
      <c r="D15" s="620">
        <v>62.5</v>
      </c>
      <c r="E15" s="620">
        <v>0</v>
      </c>
      <c r="F15" s="620">
        <v>125</v>
      </c>
      <c r="G15" s="620">
        <v>250</v>
      </c>
      <c r="H15" s="620">
        <v>175</v>
      </c>
      <c r="I15" s="620">
        <v>200</v>
      </c>
      <c r="J15" s="620">
        <v>237.5</v>
      </c>
      <c r="K15" s="620">
        <v>100</v>
      </c>
      <c r="L15" s="620">
        <v>0</v>
      </c>
      <c r="M15" s="620">
        <v>0</v>
      </c>
      <c r="N15" s="620">
        <v>300</v>
      </c>
      <c r="O15" s="620">
        <v>437.5</v>
      </c>
      <c r="P15" s="620">
        <v>187.5</v>
      </c>
      <c r="Q15" s="620">
        <v>237.5</v>
      </c>
      <c r="R15" s="620">
        <v>75</v>
      </c>
      <c r="S15" s="620">
        <v>0</v>
      </c>
      <c r="T15" s="620">
        <v>312.5</v>
      </c>
      <c r="U15" s="620">
        <v>50</v>
      </c>
      <c r="V15" s="620">
        <v>262.5</v>
      </c>
      <c r="W15" s="620">
        <v>300</v>
      </c>
      <c r="X15" s="620">
        <v>137.5</v>
      </c>
      <c r="Y15" s="620">
        <v>50</v>
      </c>
      <c r="Z15" s="620">
        <v>0</v>
      </c>
      <c r="AA15" s="620">
        <v>200</v>
      </c>
      <c r="AB15" s="620">
        <v>150</v>
      </c>
      <c r="AC15" s="620">
        <v>100</v>
      </c>
      <c r="AD15" s="620">
        <v>150</v>
      </c>
      <c r="AE15" s="620">
        <v>212.5</v>
      </c>
      <c r="AF15" s="620">
        <v>250</v>
      </c>
      <c r="AG15" s="620">
        <v>1887.5</v>
      </c>
      <c r="AH15" s="411">
        <v>6600</v>
      </c>
    </row>
    <row r="16" spans="1:184" x14ac:dyDescent="0.25">
      <c r="A16" s="413" t="s">
        <v>90</v>
      </c>
      <c r="B16" s="410">
        <v>0</v>
      </c>
      <c r="C16" s="620">
        <v>10</v>
      </c>
      <c r="D16" s="620">
        <v>0</v>
      </c>
      <c r="E16" s="620">
        <v>0</v>
      </c>
      <c r="F16" s="620">
        <v>0</v>
      </c>
      <c r="G16" s="620">
        <v>5</v>
      </c>
      <c r="H16" s="620">
        <v>5</v>
      </c>
      <c r="I16" s="620">
        <v>5</v>
      </c>
      <c r="J16" s="620">
        <v>5</v>
      </c>
      <c r="K16" s="620">
        <v>5</v>
      </c>
      <c r="L16" s="620">
        <v>0</v>
      </c>
      <c r="M16" s="620">
        <v>0</v>
      </c>
      <c r="N16" s="620">
        <v>5</v>
      </c>
      <c r="O16" s="620">
        <v>5</v>
      </c>
      <c r="P16" s="620">
        <v>5</v>
      </c>
      <c r="Q16" s="620">
        <v>5</v>
      </c>
      <c r="R16" s="620">
        <v>5</v>
      </c>
      <c r="S16" s="620">
        <v>0</v>
      </c>
      <c r="T16" s="620">
        <v>5</v>
      </c>
      <c r="U16" s="620">
        <v>10</v>
      </c>
      <c r="V16" s="620">
        <v>10</v>
      </c>
      <c r="W16" s="620">
        <v>5</v>
      </c>
      <c r="X16" s="620">
        <v>10</v>
      </c>
      <c r="Y16" s="620">
        <v>5</v>
      </c>
      <c r="Z16" s="620">
        <v>0</v>
      </c>
      <c r="AA16" s="620">
        <v>5</v>
      </c>
      <c r="AB16" s="620">
        <v>10</v>
      </c>
      <c r="AC16" s="620">
        <v>5</v>
      </c>
      <c r="AD16" s="620">
        <v>5</v>
      </c>
      <c r="AE16" s="620">
        <v>10</v>
      </c>
      <c r="AF16" s="620">
        <v>5</v>
      </c>
      <c r="AG16" s="620">
        <v>165</v>
      </c>
      <c r="AH16" s="411">
        <v>310</v>
      </c>
    </row>
    <row r="17" spans="1:34" ht="14.95" thickBot="1" x14ac:dyDescent="0.3">
      <c r="A17" s="414" t="s">
        <v>91</v>
      </c>
      <c r="B17" s="399">
        <v>0</v>
      </c>
      <c r="C17" s="400">
        <v>10</v>
      </c>
      <c r="D17" s="400">
        <v>0</v>
      </c>
      <c r="E17" s="400">
        <v>0</v>
      </c>
      <c r="F17" s="400">
        <v>10</v>
      </c>
      <c r="G17" s="400">
        <v>10</v>
      </c>
      <c r="H17" s="400">
        <v>15</v>
      </c>
      <c r="I17" s="400">
        <v>15</v>
      </c>
      <c r="J17" s="400">
        <v>15</v>
      </c>
      <c r="K17" s="400">
        <v>5</v>
      </c>
      <c r="L17" s="400">
        <v>0</v>
      </c>
      <c r="M17" s="400">
        <v>0</v>
      </c>
      <c r="N17" s="400">
        <v>10</v>
      </c>
      <c r="O17" s="400">
        <v>15</v>
      </c>
      <c r="P17" s="400">
        <v>15</v>
      </c>
      <c r="Q17" s="400">
        <v>15</v>
      </c>
      <c r="R17" s="400">
        <v>10</v>
      </c>
      <c r="S17" s="400">
        <v>0</v>
      </c>
      <c r="T17" s="400">
        <v>15</v>
      </c>
      <c r="U17" s="400">
        <v>10</v>
      </c>
      <c r="V17" s="400">
        <v>15</v>
      </c>
      <c r="W17" s="400">
        <v>15</v>
      </c>
      <c r="X17" s="400">
        <v>15</v>
      </c>
      <c r="Y17" s="400">
        <v>5</v>
      </c>
      <c r="Z17" s="400">
        <v>0</v>
      </c>
      <c r="AA17" s="400">
        <v>10</v>
      </c>
      <c r="AB17" s="400">
        <v>15</v>
      </c>
      <c r="AC17" s="400">
        <v>15</v>
      </c>
      <c r="AD17" s="400">
        <v>15</v>
      </c>
      <c r="AE17" s="400">
        <v>15</v>
      </c>
      <c r="AF17" s="400">
        <v>5</v>
      </c>
      <c r="AG17" s="400">
        <v>60</v>
      </c>
      <c r="AH17" s="401">
        <v>355</v>
      </c>
    </row>
    <row r="18" spans="1:34" ht="14.95" thickBot="1" x14ac:dyDescent="0.3"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U18" s="90"/>
      <c r="W18" s="90"/>
      <c r="X18" s="90"/>
    </row>
    <row r="19" spans="1:34" ht="14.95" thickBot="1" x14ac:dyDescent="0.3">
      <c r="A19" s="529" t="s">
        <v>16</v>
      </c>
      <c r="B19" s="530"/>
      <c r="C19" s="530"/>
      <c r="D19" s="530"/>
      <c r="E19" s="530"/>
      <c r="F19" s="531"/>
      <c r="H19" s="90"/>
      <c r="I19" s="90"/>
      <c r="J19" s="90"/>
      <c r="K19" s="90"/>
      <c r="L19" s="90"/>
      <c r="M19" s="90"/>
      <c r="W19" s="90"/>
      <c r="X19" s="90"/>
    </row>
    <row r="20" spans="1:34" ht="14.95" thickBot="1" x14ac:dyDescent="0.3">
      <c r="A20" s="637"/>
      <c r="B20" s="439" t="s">
        <v>80</v>
      </c>
      <c r="C20" s="440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4"/>
      <c r="AC20" s="434"/>
      <c r="AD20" s="434"/>
      <c r="AE20" s="434"/>
      <c r="AF20" s="434"/>
      <c r="AG20" s="435"/>
    </row>
    <row r="21" spans="1:34" ht="14.95" thickBot="1" x14ac:dyDescent="0.3">
      <c r="A21" s="444" t="s">
        <v>81</v>
      </c>
      <c r="B21" s="441">
        <v>1</v>
      </c>
      <c r="C21" s="442">
        <v>2</v>
      </c>
      <c r="D21" s="442">
        <v>3</v>
      </c>
      <c r="E21" s="442">
        <v>4</v>
      </c>
      <c r="F21" s="442">
        <v>5</v>
      </c>
      <c r="G21" s="442">
        <v>6</v>
      </c>
      <c r="H21" s="442">
        <v>7</v>
      </c>
      <c r="I21" s="442">
        <v>8</v>
      </c>
      <c r="J21" s="442">
        <v>9</v>
      </c>
      <c r="K21" s="442">
        <v>10</v>
      </c>
      <c r="L21" s="442">
        <v>11</v>
      </c>
      <c r="M21" s="442">
        <v>12</v>
      </c>
      <c r="N21" s="442">
        <v>13</v>
      </c>
      <c r="O21" s="442">
        <v>14</v>
      </c>
      <c r="P21" s="442">
        <v>15</v>
      </c>
      <c r="Q21" s="442">
        <v>16</v>
      </c>
      <c r="R21" s="442">
        <v>17</v>
      </c>
      <c r="S21" s="442">
        <v>18</v>
      </c>
      <c r="T21" s="442">
        <v>19</v>
      </c>
      <c r="U21" s="442">
        <v>20</v>
      </c>
      <c r="V21" s="442">
        <v>21</v>
      </c>
      <c r="W21" s="442">
        <v>22</v>
      </c>
      <c r="X21" s="442">
        <v>23</v>
      </c>
      <c r="Y21" s="442">
        <v>24</v>
      </c>
      <c r="Z21" s="442">
        <v>25</v>
      </c>
      <c r="AA21" s="442">
        <v>26</v>
      </c>
      <c r="AB21" s="442">
        <v>27</v>
      </c>
      <c r="AC21" s="442">
        <v>28</v>
      </c>
      <c r="AD21" s="442">
        <v>29</v>
      </c>
      <c r="AE21" s="442">
        <v>30</v>
      </c>
      <c r="AF21" s="442">
        <v>31</v>
      </c>
      <c r="AG21" s="443" t="s">
        <v>301</v>
      </c>
    </row>
    <row r="22" spans="1:34" x14ac:dyDescent="0.25">
      <c r="A22" s="436" t="s">
        <v>92</v>
      </c>
      <c r="B22" s="97" t="e">
        <v>#DIV/0!</v>
      </c>
      <c r="C22" s="402">
        <v>255.16332210341292</v>
      </c>
      <c r="D22" s="402">
        <v>387.49860972083189</v>
      </c>
      <c r="E22" s="402" t="e">
        <v>#DIV/0!</v>
      </c>
      <c r="F22" s="402">
        <v>164.62765043472285</v>
      </c>
      <c r="G22" s="402">
        <v>504.36365140422708</v>
      </c>
      <c r="H22" s="402">
        <v>386.00917040244087</v>
      </c>
      <c r="I22" s="402">
        <v>447.80095657999277</v>
      </c>
      <c r="J22" s="402">
        <v>280.12864691017688</v>
      </c>
      <c r="K22" s="402">
        <v>87.50690711809915</v>
      </c>
      <c r="L22" s="402" t="e">
        <v>#DIV/0!</v>
      </c>
      <c r="M22" s="402" t="e">
        <v>#DIV/0!</v>
      </c>
      <c r="N22" s="402">
        <v>412.87531139373272</v>
      </c>
      <c r="O22" s="402">
        <v>205.73646026657667</v>
      </c>
      <c r="P22" s="402">
        <v>146.95461447612618</v>
      </c>
      <c r="Q22" s="402">
        <v>190.72197197197195</v>
      </c>
      <c r="R22" s="402">
        <v>202.04868996166334</v>
      </c>
      <c r="S22" s="402" t="e">
        <v>#DIV/0!</v>
      </c>
      <c r="T22" s="402">
        <v>209.93516353732312</v>
      </c>
      <c r="U22" s="402">
        <v>244.9243574602103</v>
      </c>
      <c r="V22" s="402">
        <v>163.28290497347356</v>
      </c>
      <c r="W22" s="402">
        <v>130.62632397877883</v>
      </c>
      <c r="X22" s="402">
        <v>26.719020813841123</v>
      </c>
      <c r="Y22" s="402">
        <v>48.984871492042068</v>
      </c>
      <c r="Z22" s="402" t="e">
        <v>#DIV/0!</v>
      </c>
      <c r="AA22" s="402">
        <v>205.73646026657667</v>
      </c>
      <c r="AB22" s="402">
        <v>146.95461447612618</v>
      </c>
      <c r="AC22" s="402">
        <v>136.45785629926004</v>
      </c>
      <c r="AD22" s="402">
        <v>274.31528035543556</v>
      </c>
      <c r="AE22" s="402">
        <v>284.11225465384399</v>
      </c>
      <c r="AF22" s="402">
        <v>360.70678098685522</v>
      </c>
      <c r="AG22" s="403">
        <v>-3.8054411065861506</v>
      </c>
    </row>
    <row r="23" spans="1:34" x14ac:dyDescent="0.25">
      <c r="A23" s="437" t="s">
        <v>93</v>
      </c>
      <c r="B23" s="98" t="e">
        <v>#DIV/0!</v>
      </c>
      <c r="C23" s="93">
        <v>325.0878863336751</v>
      </c>
      <c r="D23" s="93">
        <v>789.90101212323418</v>
      </c>
      <c r="E23" s="93" t="e">
        <v>#DIV/0!</v>
      </c>
      <c r="F23" s="93">
        <v>289.82525172686348</v>
      </c>
      <c r="G23" s="93">
        <v>611.97970522948799</v>
      </c>
      <c r="H23" s="93">
        <v>1059.2411406753372</v>
      </c>
      <c r="I23" s="93">
        <v>760.68752239550054</v>
      </c>
      <c r="J23" s="93">
        <v>734.18332184700205</v>
      </c>
      <c r="K23" s="93">
        <v>356.75892901994268</v>
      </c>
      <c r="L23" s="93" t="e">
        <v>#DIV/0!</v>
      </c>
      <c r="M23" s="93" t="e">
        <v>#DIV/0!</v>
      </c>
      <c r="N23" s="93">
        <v>581.97849744329346</v>
      </c>
      <c r="O23" s="93">
        <v>509.25426016534499</v>
      </c>
      <c r="P23" s="93">
        <v>456.83102750126534</v>
      </c>
      <c r="Q23" s="93">
        <v>555.39914914914914</v>
      </c>
      <c r="R23" s="93">
        <v>173.41830879300659</v>
      </c>
      <c r="S23" s="93" t="e">
        <v>#DIV/0!</v>
      </c>
      <c r="T23" s="93">
        <v>435.07716904882415</v>
      </c>
      <c r="U23" s="93">
        <v>582.48036293421808</v>
      </c>
      <c r="V23" s="93">
        <v>416.05740209587009</v>
      </c>
      <c r="W23" s="93">
        <v>665.69184335339207</v>
      </c>
      <c r="X23" s="93">
        <v>953.14968480144773</v>
      </c>
      <c r="Y23" s="93">
        <v>249.63444125752207</v>
      </c>
      <c r="Z23" s="93" t="e">
        <v>#DIV/0!</v>
      </c>
      <c r="AA23" s="93">
        <v>584.14459254260157</v>
      </c>
      <c r="AB23" s="93">
        <v>449.34199426353968</v>
      </c>
      <c r="AC23" s="93">
        <v>160.4792836655499</v>
      </c>
      <c r="AD23" s="93">
        <v>639.06416961925652</v>
      </c>
      <c r="AE23" s="93">
        <v>509.25426016534499</v>
      </c>
      <c r="AF23" s="93">
        <v>571.88981088086871</v>
      </c>
      <c r="AG23" s="407">
        <v>-5.7645584582125418</v>
      </c>
    </row>
    <row r="24" spans="1:34" x14ac:dyDescent="0.25">
      <c r="A24" s="437" t="s">
        <v>94</v>
      </c>
      <c r="B24" s="98" t="e">
        <v>#DIV/0!</v>
      </c>
      <c r="C24" s="93">
        <v>184.01201113226892</v>
      </c>
      <c r="D24" s="93">
        <v>232.8717606495384</v>
      </c>
      <c r="E24" s="93" t="e">
        <v>#DIV/0!</v>
      </c>
      <c r="F24" s="93">
        <v>143.90528884154094</v>
      </c>
      <c r="G24" s="93">
        <v>230.93573782244829</v>
      </c>
      <c r="H24" s="93">
        <v>199.85681899534663</v>
      </c>
      <c r="I24" s="93">
        <v>208.76501472260736</v>
      </c>
      <c r="J24" s="93">
        <v>243.70166168925644</v>
      </c>
      <c r="K24" s="93">
        <v>168.28251368865222</v>
      </c>
      <c r="L24" s="93" t="e">
        <v>#DIV/0!</v>
      </c>
      <c r="M24" s="93" t="e">
        <v>#DIV/0!</v>
      </c>
      <c r="N24" s="93">
        <v>202.72110215731558</v>
      </c>
      <c r="O24" s="93">
        <v>247.27939935886619</v>
      </c>
      <c r="P24" s="93">
        <v>105.97688543951408</v>
      </c>
      <c r="Q24" s="93">
        <v>165.92112946279613</v>
      </c>
      <c r="R24" s="93">
        <v>61.350816789978751</v>
      </c>
      <c r="S24" s="93" t="e">
        <v>#DIV/0!</v>
      </c>
      <c r="T24" s="93">
        <v>168.21727847541916</v>
      </c>
      <c r="U24" s="93">
        <v>31.400558648744909</v>
      </c>
      <c r="V24" s="93">
        <v>164.85293290591079</v>
      </c>
      <c r="W24" s="93">
        <v>188.40335189246946</v>
      </c>
      <c r="X24" s="93">
        <v>141.30251391935209</v>
      </c>
      <c r="Y24" s="93">
        <v>62.801117297489832</v>
      </c>
      <c r="Z24" s="93" t="e">
        <v>#DIV/0!</v>
      </c>
      <c r="AA24" s="93">
        <v>226.08402227096337</v>
      </c>
      <c r="AB24" s="93">
        <v>141.30251391935209</v>
      </c>
      <c r="AC24" s="93">
        <v>80.744293668201209</v>
      </c>
      <c r="AD24" s="93">
        <v>113.04201113548169</v>
      </c>
      <c r="AE24" s="93">
        <v>160.14284910859905</v>
      </c>
      <c r="AF24" s="93">
        <v>256.91366167154928</v>
      </c>
      <c r="AG24" s="407">
        <v>-1.2672494863587438</v>
      </c>
    </row>
    <row r="25" spans="1:34" x14ac:dyDescent="0.25">
      <c r="A25" s="437" t="s">
        <v>95</v>
      </c>
      <c r="B25" s="98" t="e">
        <v>#DIV/0!</v>
      </c>
      <c r="C25" s="93">
        <v>12.267467408817929</v>
      </c>
      <c r="D25" s="93">
        <v>0</v>
      </c>
      <c r="E25" s="93" t="e">
        <v>#DIV/0!</v>
      </c>
      <c r="F25" s="93">
        <v>0</v>
      </c>
      <c r="G25" s="93">
        <v>4.6187147564489663</v>
      </c>
      <c r="H25" s="93">
        <v>5.7101948284384747</v>
      </c>
      <c r="I25" s="93">
        <v>5.2191253680651837</v>
      </c>
      <c r="J25" s="93">
        <v>5.1305612987211884</v>
      </c>
      <c r="K25" s="93">
        <v>8.4141256844326104</v>
      </c>
      <c r="L25" s="93" t="e">
        <v>#DIV/0!</v>
      </c>
      <c r="M25" s="93" t="e">
        <v>#DIV/0!</v>
      </c>
      <c r="N25" s="93">
        <v>3.3786850359552596</v>
      </c>
      <c r="O25" s="93">
        <v>2.8260502783870418</v>
      </c>
      <c r="P25" s="93">
        <v>2.8260502783870418</v>
      </c>
      <c r="Q25" s="93">
        <v>3.4930764097430762</v>
      </c>
      <c r="R25" s="93">
        <v>4.0900544526652496</v>
      </c>
      <c r="S25" s="93" t="e">
        <v>#DIV/0!</v>
      </c>
      <c r="T25" s="93">
        <v>2.6914764556067068</v>
      </c>
      <c r="U25" s="93">
        <v>6.2801117297489819</v>
      </c>
      <c r="V25" s="93">
        <v>6.2801117297489828</v>
      </c>
      <c r="W25" s="93">
        <v>3.140055864874491</v>
      </c>
      <c r="X25" s="93">
        <v>10.276546466861969</v>
      </c>
      <c r="Y25" s="93">
        <v>6.2801117297489828</v>
      </c>
      <c r="Z25" s="93" t="e">
        <v>#DIV/0!</v>
      </c>
      <c r="AA25" s="93">
        <v>5.6521005567740836</v>
      </c>
      <c r="AB25" s="93">
        <v>9.4201675946234733</v>
      </c>
      <c r="AC25" s="93">
        <v>4.0372146834100597</v>
      </c>
      <c r="AD25" s="93">
        <v>3.7680670378493897</v>
      </c>
      <c r="AE25" s="93">
        <v>7.5361340756987794</v>
      </c>
      <c r="AF25" s="93">
        <v>5.1382732334309855</v>
      </c>
      <c r="AG25" s="407">
        <v>-0.11077942529758554</v>
      </c>
    </row>
    <row r="26" spans="1:34" ht="14.95" thickBot="1" x14ac:dyDescent="0.3">
      <c r="A26" s="438" t="s">
        <v>96</v>
      </c>
      <c r="B26" s="96" t="e">
        <v>#DIV/0!</v>
      </c>
      <c r="C26" s="404">
        <v>12.267467408817929</v>
      </c>
      <c r="D26" s="404">
        <v>0</v>
      </c>
      <c r="E26" s="404" t="e">
        <v>#DIV/0!</v>
      </c>
      <c r="F26" s="404">
        <v>11.512423107323276</v>
      </c>
      <c r="G26" s="404">
        <v>9.2374295128979327</v>
      </c>
      <c r="H26" s="404">
        <v>17.130584485315424</v>
      </c>
      <c r="I26" s="404">
        <v>15.657376104195551</v>
      </c>
      <c r="J26" s="404">
        <v>15.391683896163565</v>
      </c>
      <c r="K26" s="404">
        <v>8.4141256844326104</v>
      </c>
      <c r="L26" s="404" t="e">
        <v>#DIV/0!</v>
      </c>
      <c r="M26" s="404" t="e">
        <v>#DIV/0!</v>
      </c>
      <c r="N26" s="404">
        <v>6.7573700719105192</v>
      </c>
      <c r="O26" s="404">
        <v>8.4781508351611254</v>
      </c>
      <c r="P26" s="404">
        <v>8.4781508351611254</v>
      </c>
      <c r="Q26" s="404">
        <v>10.47922922922923</v>
      </c>
      <c r="R26" s="404">
        <v>8.1801089053304992</v>
      </c>
      <c r="S26" s="404" t="e">
        <v>#DIV/0!</v>
      </c>
      <c r="T26" s="404">
        <v>8.0744293668201195</v>
      </c>
      <c r="U26" s="404">
        <v>6.2801117297489819</v>
      </c>
      <c r="V26" s="404">
        <v>9.4201675946234751</v>
      </c>
      <c r="W26" s="404">
        <v>9.4201675946234733</v>
      </c>
      <c r="X26" s="404">
        <v>15.414819700292956</v>
      </c>
      <c r="Y26" s="404">
        <v>6.2801117297489828</v>
      </c>
      <c r="Z26" s="404" t="e">
        <v>#DIV/0!</v>
      </c>
      <c r="AA26" s="404">
        <v>11.304201113548167</v>
      </c>
      <c r="AB26" s="404">
        <v>14.130251391935209</v>
      </c>
      <c r="AC26" s="404">
        <v>12.111644050230181</v>
      </c>
      <c r="AD26" s="404">
        <v>11.304201113548169</v>
      </c>
      <c r="AE26" s="404">
        <v>11.304201113548169</v>
      </c>
      <c r="AF26" s="404">
        <v>5.1382732334309855</v>
      </c>
      <c r="AG26" s="405">
        <v>-4.02834273809402E-2</v>
      </c>
    </row>
    <row r="27" spans="1:34" x14ac:dyDescent="0.25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U27" s="90"/>
      <c r="W27" s="90"/>
      <c r="X27" s="90"/>
    </row>
    <row r="28" spans="1:34" ht="14.95" thickBot="1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U28" s="90"/>
      <c r="W28" s="90"/>
      <c r="X28" s="90"/>
    </row>
    <row r="29" spans="1:34" ht="14.95" thickBot="1" x14ac:dyDescent="0.3">
      <c r="A29" s="520"/>
      <c r="B29" s="406" t="s">
        <v>80</v>
      </c>
      <c r="C29" s="445"/>
      <c r="D29" s="446"/>
      <c r="E29" s="446"/>
      <c r="F29" s="446"/>
      <c r="G29" s="446"/>
      <c r="H29" s="446"/>
      <c r="I29" s="446"/>
      <c r="J29" s="446"/>
      <c r="K29" s="446"/>
      <c r="L29" s="446"/>
      <c r="M29" s="446"/>
      <c r="N29" s="446"/>
      <c r="O29" s="446"/>
      <c r="P29" s="446"/>
      <c r="Q29" s="446"/>
      <c r="R29" s="446"/>
      <c r="S29" s="446"/>
      <c r="T29" s="446"/>
      <c r="U29" s="446"/>
      <c r="V29" s="446"/>
      <c r="W29" s="446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7"/>
    </row>
    <row r="30" spans="1:34" ht="14.95" thickBot="1" x14ac:dyDescent="0.3">
      <c r="A30" s="521"/>
      <c r="B30" s="448">
        <v>1</v>
      </c>
      <c r="C30" s="449">
        <v>2</v>
      </c>
      <c r="D30" s="449">
        <v>3</v>
      </c>
      <c r="E30" s="449">
        <v>4</v>
      </c>
      <c r="F30" s="449">
        <v>5</v>
      </c>
      <c r="G30" s="449">
        <v>6</v>
      </c>
      <c r="H30" s="449">
        <v>7</v>
      </c>
      <c r="I30" s="449">
        <v>8</v>
      </c>
      <c r="J30" s="449">
        <v>9</v>
      </c>
      <c r="K30" s="449">
        <v>10</v>
      </c>
      <c r="L30" s="449">
        <v>11</v>
      </c>
      <c r="M30" s="449">
        <v>12</v>
      </c>
      <c r="N30" s="449">
        <v>13</v>
      </c>
      <c r="O30" s="449">
        <v>14</v>
      </c>
      <c r="P30" s="449">
        <v>15</v>
      </c>
      <c r="Q30" s="449">
        <v>16</v>
      </c>
      <c r="R30" s="449">
        <v>17</v>
      </c>
      <c r="S30" s="449">
        <v>18</v>
      </c>
      <c r="T30" s="449">
        <v>19</v>
      </c>
      <c r="U30" s="449">
        <v>20</v>
      </c>
      <c r="V30" s="449">
        <v>21</v>
      </c>
      <c r="W30" s="449">
        <v>22</v>
      </c>
      <c r="X30" s="449">
        <v>23</v>
      </c>
      <c r="Y30" s="449">
        <v>24</v>
      </c>
      <c r="Z30" s="449">
        <v>25</v>
      </c>
      <c r="AA30" s="449">
        <v>26</v>
      </c>
      <c r="AB30" s="449">
        <v>27</v>
      </c>
      <c r="AC30" s="449">
        <v>28</v>
      </c>
      <c r="AD30" s="449">
        <v>29</v>
      </c>
      <c r="AE30" s="449">
        <v>30</v>
      </c>
      <c r="AF30" s="449">
        <v>31</v>
      </c>
      <c r="AG30" s="450" t="s">
        <v>301</v>
      </c>
      <c r="AH30" s="451" t="s">
        <v>72</v>
      </c>
    </row>
    <row r="31" spans="1:34" ht="14.95" thickBot="1" x14ac:dyDescent="0.3">
      <c r="A31" t="s">
        <v>78</v>
      </c>
      <c r="B31" s="522">
        <v>0</v>
      </c>
      <c r="C31" s="523">
        <v>815.16417910447763</v>
      </c>
      <c r="D31" s="523">
        <v>268.38805970149258</v>
      </c>
      <c r="E31" s="523">
        <v>0</v>
      </c>
      <c r="F31" s="523">
        <v>868.62686567164178</v>
      </c>
      <c r="G31" s="523">
        <v>1082.5522388059703</v>
      </c>
      <c r="H31" s="523">
        <v>875.62686567164178</v>
      </c>
      <c r="I31" s="523">
        <v>958.01492537313447</v>
      </c>
      <c r="J31" s="523">
        <v>974.55223880597021</v>
      </c>
      <c r="K31" s="523">
        <v>594.23880597014931</v>
      </c>
      <c r="L31" s="523">
        <v>0</v>
      </c>
      <c r="M31" s="523">
        <v>0</v>
      </c>
      <c r="N31" s="523">
        <v>1479.8656716417913</v>
      </c>
      <c r="O31" s="523">
        <v>1769.2537313432838</v>
      </c>
      <c r="P31" s="523">
        <v>1769.2537313432838</v>
      </c>
      <c r="Q31" s="523">
        <v>1431.4029850746269</v>
      </c>
      <c r="R31" s="523">
        <v>1222.4776119402986</v>
      </c>
      <c r="S31" s="523">
        <v>0</v>
      </c>
      <c r="T31" s="523">
        <v>1857.7164179104479</v>
      </c>
      <c r="U31" s="523">
        <v>1592.3283582089555</v>
      </c>
      <c r="V31" s="523">
        <v>1592.3283582089553</v>
      </c>
      <c r="W31" s="523">
        <v>1592.3283582089555</v>
      </c>
      <c r="X31" s="523">
        <v>973.08955223880616</v>
      </c>
      <c r="Y31" s="523">
        <v>796.16417910447763</v>
      </c>
      <c r="Z31" s="523">
        <v>0</v>
      </c>
      <c r="AA31" s="523">
        <v>884.62686567164189</v>
      </c>
      <c r="AB31" s="523">
        <v>1061.5522388059703</v>
      </c>
      <c r="AC31" s="523">
        <v>1238.4776119402986</v>
      </c>
      <c r="AD31" s="523">
        <v>1326.9402985074628</v>
      </c>
      <c r="AE31" s="523">
        <v>1326.9402985074628</v>
      </c>
      <c r="AF31" s="523">
        <v>973.08955223880605</v>
      </c>
      <c r="AG31" s="523">
        <v>-1489446.2537313434</v>
      </c>
      <c r="AH31" s="524">
        <v>-1460121.2537313434</v>
      </c>
    </row>
    <row r="32" spans="1:34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24" x14ac:dyDescent="0.25">
      <c r="B33" s="90"/>
      <c r="C33" s="90"/>
      <c r="D33" s="90"/>
      <c r="E33" s="90"/>
      <c r="F33" s="90"/>
      <c r="H33" s="90"/>
      <c r="I33" s="90"/>
      <c r="J33" s="90"/>
      <c r="K33" s="90"/>
      <c r="L33" s="90"/>
      <c r="M33" s="90"/>
      <c r="W33" s="90"/>
      <c r="X33" s="90"/>
    </row>
    <row r="34" spans="2:24" x14ac:dyDescent="0.25">
      <c r="B34" s="90"/>
      <c r="C34" s="90"/>
      <c r="D34" s="90"/>
      <c r="E34" s="90"/>
      <c r="F34" s="90"/>
      <c r="H34" s="90"/>
      <c r="I34" s="90"/>
      <c r="J34" s="90"/>
      <c r="K34" s="90"/>
      <c r="L34" s="90"/>
      <c r="M34" s="90"/>
      <c r="W34" s="90"/>
      <c r="X34" s="90"/>
    </row>
    <row r="35" spans="2:24" x14ac:dyDescent="0.25">
      <c r="B35" s="90"/>
      <c r="C35" s="90"/>
      <c r="D35" s="90"/>
      <c r="E35" s="90"/>
      <c r="F35" s="90"/>
      <c r="H35" s="90"/>
      <c r="I35" s="90"/>
      <c r="J35" s="90"/>
      <c r="K35" s="90"/>
      <c r="L35" s="90"/>
      <c r="M35" s="90"/>
      <c r="W35" s="90"/>
      <c r="X35" s="90"/>
    </row>
    <row r="36" spans="2:24" x14ac:dyDescent="0.25">
      <c r="W36" s="90"/>
      <c r="X36" s="90"/>
    </row>
    <row r="44" spans="2:24" x14ac:dyDescent="0.25">
      <c r="W44" s="90"/>
      <c r="X44" s="90"/>
    </row>
    <row r="45" spans="2:24" x14ac:dyDescent="0.25">
      <c r="W45" s="90"/>
      <c r="X45" s="90"/>
    </row>
    <row r="46" spans="2:24" x14ac:dyDescent="0.25">
      <c r="W46" s="90"/>
      <c r="X46" s="90"/>
    </row>
    <row r="51" spans="2:24" x14ac:dyDescent="0.25"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U51" s="90"/>
      <c r="W51" s="90"/>
      <c r="X51" s="90"/>
    </row>
    <row r="52" spans="2:24" x14ac:dyDescent="0.25">
      <c r="W52" s="90"/>
      <c r="X52" s="90"/>
    </row>
    <row r="60" spans="2:24" x14ac:dyDescent="0.25">
      <c r="W60" s="90"/>
      <c r="X60" s="90"/>
    </row>
    <row r="61" spans="2:24" x14ac:dyDescent="0.25">
      <c r="W61" s="90"/>
      <c r="X61" s="90"/>
    </row>
    <row r="62" spans="2:24" x14ac:dyDescent="0.25">
      <c r="W62" s="90"/>
      <c r="X62" s="90"/>
    </row>
    <row r="63" spans="2:24" x14ac:dyDescent="0.25">
      <c r="W63" s="90"/>
      <c r="X63" s="90"/>
    </row>
    <row r="64" spans="2:24" x14ac:dyDescent="0.25">
      <c r="W64" s="90"/>
      <c r="X64" s="90"/>
    </row>
    <row r="65" spans="23:24" x14ac:dyDescent="0.25">
      <c r="W65" s="90"/>
      <c r="X65" s="90"/>
    </row>
    <row r="66" spans="23:24" x14ac:dyDescent="0.25">
      <c r="W66" s="90"/>
      <c r="X66" s="90"/>
    </row>
    <row r="67" spans="23:24" x14ac:dyDescent="0.25">
      <c r="W67" s="90"/>
      <c r="X67" s="90"/>
    </row>
    <row r="68" spans="23:24" x14ac:dyDescent="0.25">
      <c r="W68" s="90"/>
      <c r="X68" s="90"/>
    </row>
    <row r="69" spans="23:24" x14ac:dyDescent="0.25">
      <c r="W69" s="90"/>
      <c r="X69" s="90"/>
    </row>
    <row r="70" spans="23:24" x14ac:dyDescent="0.25">
      <c r="W70" s="90"/>
      <c r="X70" s="90"/>
    </row>
    <row r="71" spans="23:24" x14ac:dyDescent="0.25">
      <c r="W71" s="90"/>
      <c r="X71" s="90"/>
    </row>
    <row r="72" spans="23:24" x14ac:dyDescent="0.25">
      <c r="W72" s="90"/>
      <c r="X72" s="90"/>
    </row>
    <row r="73" spans="23:24" x14ac:dyDescent="0.25">
      <c r="W73" s="90"/>
      <c r="X73" s="90"/>
    </row>
    <row r="74" spans="23:24" x14ac:dyDescent="0.25">
      <c r="W74" s="90"/>
      <c r="X74" s="90"/>
    </row>
    <row r="75" spans="23:24" x14ac:dyDescent="0.25">
      <c r="W75" s="90"/>
      <c r="X75" s="90"/>
    </row>
    <row r="76" spans="23:24" x14ac:dyDescent="0.25">
      <c r="W76" s="90"/>
      <c r="X76" s="90"/>
    </row>
    <row r="77" spans="23:24" x14ac:dyDescent="0.25">
      <c r="W77" s="90"/>
      <c r="X77" s="90"/>
    </row>
    <row r="78" spans="23:24" x14ac:dyDescent="0.25">
      <c r="W78" s="90"/>
      <c r="X78" s="90"/>
    </row>
    <row r="79" spans="23:24" x14ac:dyDescent="0.25">
      <c r="W79" s="90"/>
      <c r="X79" s="90"/>
    </row>
    <row r="80" spans="23:24" x14ac:dyDescent="0.25">
      <c r="W80" s="90"/>
      <c r="X80" s="90"/>
    </row>
    <row r="81" spans="23:24" x14ac:dyDescent="0.25">
      <c r="W81" s="90"/>
      <c r="X81" s="90"/>
    </row>
    <row r="82" spans="23:24" x14ac:dyDescent="0.25">
      <c r="W82" s="90"/>
      <c r="X82" s="90"/>
    </row>
    <row r="83" spans="23:24" x14ac:dyDescent="0.25">
      <c r="W83" s="90"/>
      <c r="X83" s="90"/>
    </row>
    <row r="84" spans="23:24" x14ac:dyDescent="0.25">
      <c r="W84" s="90"/>
      <c r="X84" s="90"/>
    </row>
    <row r="85" spans="23:24" x14ac:dyDescent="0.25">
      <c r="W85" s="90"/>
      <c r="X85" s="90"/>
    </row>
    <row r="86" spans="23:24" x14ac:dyDescent="0.25">
      <c r="W86" s="90"/>
      <c r="X86" s="90"/>
    </row>
    <row r="87" spans="23:24" x14ac:dyDescent="0.25">
      <c r="W87" s="90"/>
      <c r="X87" s="90"/>
    </row>
    <row r="88" spans="23:24" x14ac:dyDescent="0.25">
      <c r="W88" s="90"/>
      <c r="X88" s="90"/>
    </row>
    <row r="89" spans="23:24" x14ac:dyDescent="0.25">
      <c r="W89" s="90"/>
      <c r="X89" s="90"/>
    </row>
    <row r="90" spans="23:24" x14ac:dyDescent="0.25">
      <c r="W90" s="90"/>
      <c r="X90" s="90"/>
    </row>
    <row r="91" spans="23:24" x14ac:dyDescent="0.25">
      <c r="W91" s="90"/>
      <c r="X91" s="90"/>
    </row>
    <row r="92" spans="23:24" x14ac:dyDescent="0.25">
      <c r="W92" s="90"/>
      <c r="X92" s="90"/>
    </row>
    <row r="93" spans="23:24" x14ac:dyDescent="0.25">
      <c r="W93" s="90"/>
      <c r="X93" s="90"/>
    </row>
    <row r="94" spans="23:24" x14ac:dyDescent="0.25">
      <c r="W94" s="90"/>
      <c r="X94" s="90"/>
    </row>
    <row r="95" spans="23:24" x14ac:dyDescent="0.25">
      <c r="W95" s="90"/>
      <c r="X95" s="90"/>
    </row>
    <row r="96" spans="23:24" x14ac:dyDescent="0.25">
      <c r="W96" s="90"/>
      <c r="X96" s="90"/>
    </row>
    <row r="97" spans="23:24" x14ac:dyDescent="0.25">
      <c r="W97" s="90"/>
      <c r="X97" s="90"/>
    </row>
    <row r="98" spans="23:24" x14ac:dyDescent="0.25">
      <c r="W98" s="90"/>
      <c r="X98" s="90"/>
    </row>
    <row r="99" spans="23:24" x14ac:dyDescent="0.25">
      <c r="W99" s="90"/>
      <c r="X99" s="90"/>
    </row>
    <row r="100" spans="23:24" x14ac:dyDescent="0.25">
      <c r="W100" s="90"/>
      <c r="X100" s="90"/>
    </row>
    <row r="101" spans="23:24" x14ac:dyDescent="0.25">
      <c r="W101" s="90"/>
      <c r="X101" s="90"/>
    </row>
    <row r="102" spans="23:24" x14ac:dyDescent="0.25">
      <c r="W102" s="90"/>
      <c r="X102" s="90"/>
    </row>
  </sheetData>
  <mergeCells count="3">
    <mergeCell ref="A19:F19"/>
    <mergeCell ref="A1:F1"/>
    <mergeCell ref="A10:F10"/>
  </mergeCells>
  <conditionalFormatting pivot="1" sqref="B22:AG22">
    <cfRule type="cellIs" dxfId="407" priority="4" operator="greaterThan">
      <formula>350</formula>
    </cfRule>
  </conditionalFormatting>
  <conditionalFormatting pivot="1" sqref="C23:AE23">
    <cfRule type="cellIs" dxfId="406" priority="3" operator="greaterThan">
      <formula>700</formula>
    </cfRule>
  </conditionalFormatting>
  <conditionalFormatting pivot="1" sqref="B24:AG24">
    <cfRule type="cellIs" dxfId="405" priority="2" operator="greaterThan">
      <formula>300</formula>
    </cfRule>
  </conditionalFormatting>
  <conditionalFormatting pivot="1" sqref="B31:AH31">
    <cfRule type="cellIs" dxfId="404" priority="1" operator="greaterThan">
      <formula>1920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3" x14ac:dyDescent="0.25"/>
  <cols>
    <col min="1" max="1" width="0.375" customWidth="1"/>
    <col min="2" max="2" width="26.125" customWidth="1"/>
    <col min="3" max="3" width="11.625" customWidth="1"/>
    <col min="4" max="4" width="10.875" style="1" customWidth="1"/>
    <col min="5" max="5" width="7.75" bestFit="1" customWidth="1"/>
    <col min="6" max="6" width="8.25" customWidth="1"/>
    <col min="7" max="7" width="9.125" style="1" customWidth="1"/>
    <col min="8" max="8" width="8.125" bestFit="1" customWidth="1"/>
    <col min="9" max="9" width="10" customWidth="1"/>
    <col min="10" max="10" width="8.75" style="1" bestFit="1" customWidth="1"/>
    <col min="11" max="11" width="7.875" customWidth="1"/>
    <col min="13" max="13" width="8.875" style="1" bestFit="1" customWidth="1"/>
    <col min="17" max="17" width="11.875" customWidth="1"/>
    <col min="18" max="23" width="12" customWidth="1"/>
  </cols>
  <sheetData>
    <row r="1" spans="2:68" ht="3.75" customHeight="1" thickBot="1" x14ac:dyDescent="0.3"/>
    <row r="2" spans="2:68" ht="48.75" customHeight="1" x14ac:dyDescent="0.25">
      <c r="B2" s="556" t="s">
        <v>7</v>
      </c>
      <c r="C2" s="565" t="s">
        <v>12</v>
      </c>
      <c r="D2" s="561" t="s">
        <v>14</v>
      </c>
      <c r="E2" s="562"/>
      <c r="F2" s="563" t="s">
        <v>9</v>
      </c>
      <c r="G2" s="564"/>
      <c r="H2" s="567" t="s">
        <v>18</v>
      </c>
      <c r="I2" s="568"/>
      <c r="J2" s="549" t="s">
        <v>13</v>
      </c>
      <c r="K2" s="550"/>
      <c r="L2" s="546" t="s">
        <v>37</v>
      </c>
      <c r="M2" s="547"/>
      <c r="N2" s="546" t="s">
        <v>38</v>
      </c>
      <c r="O2" s="547"/>
    </row>
    <row r="3" spans="2:68" ht="14.95" thickBot="1" x14ac:dyDescent="0.3">
      <c r="B3" s="557"/>
      <c r="C3" s="566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25">
      <c r="B4" s="3" t="s">
        <v>1</v>
      </c>
      <c r="C4" s="2">
        <v>1.24</v>
      </c>
      <c r="D4" s="20" t="s">
        <v>210</v>
      </c>
      <c r="E4" s="4">
        <f>D4*C4</f>
        <v>1860</v>
      </c>
      <c r="F4" s="20">
        <f>GETPIVOTDATA("COF 280 ACIDO (L)",'CONSUMO QUÍMICA-CAUDALES GEM  '!$A$2)</f>
        <v>9560</v>
      </c>
      <c r="G4" s="4">
        <f>GETPIVOTDATA("COF 280 - KG ACIDO",'CONSUMO QUÍMICA-CAUDALES GEM  '!$A$11)</f>
        <v>12428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327.16129032258141</v>
      </c>
      <c r="K4" s="51">
        <f>J4*$C4</f>
        <v>405.68000000000092</v>
      </c>
      <c r="L4" s="50">
        <f>97+48+97</f>
        <v>242</v>
      </c>
      <c r="M4" s="51">
        <f>L4*$C4</f>
        <v>300.08</v>
      </c>
      <c r="N4" s="50">
        <f>J4-L4-1000</f>
        <v>-914.83870967741859</v>
      </c>
      <c r="O4" s="51">
        <f>N4*$C4</f>
        <v>-1134.399999999999</v>
      </c>
      <c r="P4" s="1"/>
    </row>
    <row r="5" spans="2:68" ht="15.8" customHeight="1" x14ac:dyDescent="0.25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18110</v>
      </c>
      <c r="G5" s="6">
        <f>GETPIVOTDATA("COF 235 - KG COAGULANTE",'CONSUMO QUÍMICA-CAUDALES GEM  '!$A$11)</f>
        <v>23995.75</v>
      </c>
      <c r="H5" s="20">
        <f>(+C16+E16+G16+I16+K16+M16+O16+Q16+S16)</f>
        <v>13000</v>
      </c>
      <c r="I5" s="4">
        <f>H5*C5</f>
        <v>17225</v>
      </c>
      <c r="J5" s="6">
        <f>(D5+H5)-F5</f>
        <v>-1610</v>
      </c>
      <c r="K5" s="6">
        <f t="shared" ref="K5:M8" si="0">J5*$C5</f>
        <v>-2133.25</v>
      </c>
      <c r="L5" s="20">
        <v>0</v>
      </c>
      <c r="M5" s="6">
        <f t="shared" si="0"/>
        <v>0</v>
      </c>
      <c r="N5" s="20">
        <f>J5-L5</f>
        <v>-1610</v>
      </c>
      <c r="O5" s="6">
        <f>N5*$C5</f>
        <v>-2133.25</v>
      </c>
      <c r="P5" s="1"/>
    </row>
    <row r="6" spans="2:68" x14ac:dyDescent="0.25">
      <c r="B6" s="5" t="s">
        <v>0</v>
      </c>
      <c r="C6" s="2">
        <v>1.1000000000000001</v>
      </c>
      <c r="D6" s="20" t="s">
        <v>211</v>
      </c>
      <c r="E6" s="6">
        <f>D6*C6</f>
        <v>462.00000000000006</v>
      </c>
      <c r="F6" s="20">
        <f>GETPIVOTDATA("COF 255  DECOLORANTE (L)",'CONSUMO QUÍMICA-CAUDALES GEM  '!$A$2)</f>
        <v>5280</v>
      </c>
      <c r="G6" s="6">
        <f>GETPIVOTDATA("COF 255 - KG DECOLORANTE ",'CONSUMO QUÍMICA-CAUDALES GEM  '!$A$11)</f>
        <v>6600</v>
      </c>
      <c r="H6" s="20">
        <f>(+C17+E17+G17+I17+K17+M17+O17+Q17+S17)</f>
        <v>7681.7272727272721</v>
      </c>
      <c r="I6" s="4">
        <f>H6*C6</f>
        <v>8449.9</v>
      </c>
      <c r="J6" s="6">
        <f>(D6+H6)-F6</f>
        <v>2821.7272727272721</v>
      </c>
      <c r="K6" s="6">
        <f t="shared" si="0"/>
        <v>3103.8999999999996</v>
      </c>
      <c r="L6" s="20">
        <f>273+273+273+409+136</f>
        <v>1364</v>
      </c>
      <c r="M6" s="6">
        <f t="shared" si="0"/>
        <v>1500.4</v>
      </c>
      <c r="N6" s="20">
        <f>J6-L6</f>
        <v>1457.7272727272721</v>
      </c>
      <c r="O6" s="6">
        <f>N6*$C6</f>
        <v>1603.4999999999993</v>
      </c>
      <c r="P6" s="1"/>
    </row>
    <row r="7" spans="2:68" x14ac:dyDescent="0.25">
      <c r="B7" s="5" t="s">
        <v>3</v>
      </c>
      <c r="C7" s="2">
        <v>2.5000000000000001E-3</v>
      </c>
      <c r="D7" s="20" t="s">
        <v>212</v>
      </c>
      <c r="E7" s="6">
        <f>D7*C7</f>
        <v>0.35000000000000003</v>
      </c>
      <c r="F7" s="20">
        <f>(GETPIVOTDATA("COF 440 POL ANIONICO (KG)",'CONSUMO QUÍMICA-CAUDALES GEM  '!$A$2)/C7)</f>
        <v>124000</v>
      </c>
      <c r="G7" s="6">
        <f>GETPIVOTDATA("COF 440 - KG POL ANIONICO ",'CONSUMO QUÍMICA-CAUDALES GEM  '!$A$11)</f>
        <v>310</v>
      </c>
      <c r="H7" s="20">
        <f>(+C18+E18+G18+I18+K18+M18+O18+Q18+S18)</f>
        <v>30000</v>
      </c>
      <c r="I7" s="4">
        <f>H7*C7</f>
        <v>75</v>
      </c>
      <c r="J7" s="6">
        <f>(D7+H7)-F7</f>
        <v>-93860</v>
      </c>
      <c r="K7" s="6">
        <f t="shared" si="0"/>
        <v>-234.65</v>
      </c>
      <c r="L7" s="20">
        <v>0</v>
      </c>
      <c r="M7" s="6">
        <f t="shared" si="0"/>
        <v>0</v>
      </c>
      <c r="N7" s="20">
        <f>J7-L7</f>
        <v>-93860</v>
      </c>
      <c r="O7" s="6">
        <f>N7*$C7</f>
        <v>-234.65</v>
      </c>
      <c r="P7" s="1"/>
    </row>
    <row r="8" spans="2:68" ht="14.95" thickBot="1" x14ac:dyDescent="0.3">
      <c r="B8" s="7" t="s">
        <v>8</v>
      </c>
      <c r="C8" s="29">
        <v>2.5000000000000001E-3</v>
      </c>
      <c r="D8" s="21" t="s">
        <v>213</v>
      </c>
      <c r="E8" s="8">
        <f>D8*C8</f>
        <v>0.38750000000000001</v>
      </c>
      <c r="F8" s="21">
        <v>150000</v>
      </c>
      <c r="G8" s="8">
        <f>GETPIVOTDATA("COF 494 - KG POL CATIONICO ",'CONSUMO QUÍMICA-CAUDALES GEM  '!$A$11)</f>
        <v>355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">
      <c r="B9" s="9"/>
      <c r="C9" s="9"/>
      <c r="D9" s="37"/>
      <c r="E9" s="9"/>
      <c r="L9" s="548"/>
      <c r="M9" s="548"/>
      <c r="N9" s="548"/>
      <c r="O9" s="548"/>
      <c r="P9" s="548"/>
      <c r="Q9" s="548"/>
      <c r="R9" s="548"/>
      <c r="S9" s="548"/>
      <c r="T9" s="548"/>
      <c r="U9" s="548"/>
      <c r="V9" s="548"/>
      <c r="W9" s="548"/>
      <c r="X9" s="548"/>
      <c r="Y9" s="548"/>
      <c r="Z9" s="548"/>
      <c r="AA9" s="548"/>
      <c r="AB9" s="548"/>
      <c r="AC9" s="548"/>
      <c r="AD9" s="548"/>
      <c r="AE9" s="548"/>
      <c r="AF9" s="548"/>
      <c r="AG9" s="548"/>
      <c r="AH9" s="548"/>
      <c r="AI9" s="548"/>
      <c r="AJ9" s="548"/>
      <c r="AK9" s="548"/>
      <c r="AL9" s="548"/>
      <c r="AM9" s="548"/>
      <c r="AN9" s="548"/>
      <c r="AO9" s="548"/>
      <c r="AP9" s="548"/>
      <c r="AQ9" s="548"/>
      <c r="AR9" s="548"/>
      <c r="AS9" s="548"/>
      <c r="AT9" s="548"/>
      <c r="AU9" s="548"/>
      <c r="AV9" s="548"/>
      <c r="AW9" s="548"/>
      <c r="AX9" s="548"/>
      <c r="AY9" s="548"/>
      <c r="AZ9" s="548"/>
      <c r="BA9" s="548"/>
      <c r="BB9" s="548"/>
      <c r="BC9" s="548"/>
      <c r="BD9" s="548"/>
      <c r="BE9" s="548"/>
      <c r="BF9" s="548"/>
      <c r="BG9" s="548"/>
      <c r="BH9" s="548"/>
      <c r="BI9" s="548"/>
      <c r="BJ9" s="548"/>
      <c r="BK9" s="548"/>
      <c r="BL9" s="548"/>
      <c r="BM9" s="548"/>
      <c r="BN9" s="548"/>
      <c r="BO9" s="548"/>
      <c r="BP9" s="548"/>
    </row>
    <row r="10" spans="2:68" ht="16.5" customHeight="1" thickBot="1" x14ac:dyDescent="0.3">
      <c r="B10" s="558" t="s">
        <v>7</v>
      </c>
      <c r="C10" s="543" t="s">
        <v>17</v>
      </c>
      <c r="D10" s="544"/>
      <c r="E10" s="544"/>
      <c r="F10" s="544"/>
      <c r="G10" s="544"/>
      <c r="H10" s="544"/>
      <c r="I10" s="544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5"/>
    </row>
    <row r="11" spans="2:68" ht="26.5" customHeight="1" x14ac:dyDescent="0.25">
      <c r="B11" s="559"/>
      <c r="C11" s="551">
        <v>45660</v>
      </c>
      <c r="D11" s="553"/>
      <c r="E11" s="551" t="s">
        <v>214</v>
      </c>
      <c r="F11" s="553"/>
      <c r="G11" s="551">
        <v>45672</v>
      </c>
      <c r="H11" s="553"/>
      <c r="I11" s="551">
        <v>45674</v>
      </c>
      <c r="J11" s="552"/>
      <c r="K11" s="551"/>
      <c r="L11" s="553"/>
      <c r="M11" s="551"/>
      <c r="N11" s="553"/>
      <c r="O11" s="551"/>
      <c r="P11" s="553"/>
      <c r="Q11" s="551"/>
      <c r="R11" s="553"/>
      <c r="S11" s="554"/>
      <c r="T11" s="555"/>
    </row>
    <row r="12" spans="2:68" x14ac:dyDescent="0.25">
      <c r="B12" s="559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25">
      <c r="B13" s="559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4.95" thickBot="1" x14ac:dyDescent="0.3">
      <c r="B14" s="560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25">
      <c r="B15" s="12" t="s">
        <v>1</v>
      </c>
      <c r="C15" s="296">
        <v>0</v>
      </c>
      <c r="D15" s="270">
        <f>C15*$C$4</f>
        <v>0</v>
      </c>
      <c r="E15" s="296">
        <v>2097</v>
      </c>
      <c r="F15" s="270">
        <f>E15*$C$4</f>
        <v>2600.2800000000002</v>
      </c>
      <c r="G15" s="296">
        <v>3145</v>
      </c>
      <c r="H15" s="270">
        <f>G15*$C$4</f>
        <v>3899.8</v>
      </c>
      <c r="I15" s="296">
        <v>3145.161290322581</v>
      </c>
      <c r="J15" s="270">
        <f>I15*$C$4</f>
        <v>3900.0000000000005</v>
      </c>
      <c r="K15" s="269"/>
      <c r="L15" s="270"/>
      <c r="M15" s="57"/>
      <c r="N15" s="58"/>
      <c r="O15" s="57"/>
      <c r="P15" s="58"/>
      <c r="Q15" s="57"/>
      <c r="R15" s="58"/>
      <c r="S15" s="57"/>
      <c r="T15" s="14"/>
    </row>
    <row r="16" spans="2:68" x14ac:dyDescent="0.25">
      <c r="B16" s="15" t="s">
        <v>2</v>
      </c>
      <c r="C16" s="297">
        <v>1000</v>
      </c>
      <c r="D16" s="272">
        <f>+C16*$C$5</f>
        <v>1325</v>
      </c>
      <c r="E16" s="297">
        <v>3000</v>
      </c>
      <c r="F16" s="272">
        <f>+E16*$C$5</f>
        <v>3975</v>
      </c>
      <c r="G16" s="297">
        <v>4000</v>
      </c>
      <c r="H16" s="272">
        <f>+G16*$C$5</f>
        <v>5300</v>
      </c>
      <c r="I16" s="297">
        <v>5000.0000000000009</v>
      </c>
      <c r="J16" s="272">
        <f>+I16*$C$5</f>
        <v>6625.0000000000009</v>
      </c>
      <c r="K16" s="271"/>
      <c r="L16" s="272"/>
      <c r="M16" s="16"/>
      <c r="N16" s="14"/>
      <c r="O16" s="16"/>
      <c r="P16" s="14"/>
      <c r="Q16" s="16"/>
      <c r="R16" s="14"/>
      <c r="S16" s="16"/>
      <c r="T16" s="14"/>
    </row>
    <row r="17" spans="2:92" x14ac:dyDescent="0.25">
      <c r="B17" s="15" t="s">
        <v>0</v>
      </c>
      <c r="C17" s="297">
        <v>1136</v>
      </c>
      <c r="D17" s="272">
        <f>+C17*$C$6</f>
        <v>1249.6000000000001</v>
      </c>
      <c r="E17" s="297">
        <v>2273</v>
      </c>
      <c r="F17" s="272">
        <f>+E17*$C$6</f>
        <v>2500.3000000000002</v>
      </c>
      <c r="G17" s="297">
        <v>2000</v>
      </c>
      <c r="H17" s="272">
        <f>+G17*$C$6</f>
        <v>2200</v>
      </c>
      <c r="I17" s="297">
        <v>2272.7272727272725</v>
      </c>
      <c r="J17" s="272">
        <f>+I17*$C$6</f>
        <v>2500</v>
      </c>
      <c r="K17" s="271"/>
      <c r="L17" s="272"/>
      <c r="M17" s="16"/>
      <c r="N17" s="14"/>
      <c r="O17" s="16"/>
      <c r="P17" s="14"/>
      <c r="Q17" s="16"/>
      <c r="R17" s="14"/>
      <c r="S17" s="16"/>
      <c r="T17" s="14"/>
    </row>
    <row r="18" spans="2:92" x14ac:dyDescent="0.25">
      <c r="B18" s="15" t="s">
        <v>3</v>
      </c>
      <c r="C18" s="297">
        <v>30000</v>
      </c>
      <c r="D18" s="272">
        <f>+C18*$C$7</f>
        <v>75</v>
      </c>
      <c r="E18" s="297">
        <v>0</v>
      </c>
      <c r="F18" s="272">
        <f>+E18*$C$7</f>
        <v>0</v>
      </c>
      <c r="G18" s="297">
        <v>0</v>
      </c>
      <c r="H18" s="272">
        <f>+G18*$C$7</f>
        <v>0</v>
      </c>
      <c r="I18" s="297">
        <v>0</v>
      </c>
      <c r="J18" s="272">
        <f>+I18*$C$7</f>
        <v>0</v>
      </c>
      <c r="K18" s="271"/>
      <c r="L18" s="272"/>
      <c r="M18" s="16"/>
      <c r="N18" s="14"/>
      <c r="O18" s="16"/>
      <c r="P18" s="14"/>
      <c r="Q18" s="16"/>
      <c r="R18" s="14"/>
      <c r="S18" s="16"/>
      <c r="T18" s="14"/>
    </row>
    <row r="19" spans="2:92" ht="14.95" customHeight="1" thickBot="1" x14ac:dyDescent="0.3">
      <c r="B19" s="17" t="s">
        <v>8</v>
      </c>
      <c r="C19" s="298">
        <v>0</v>
      </c>
      <c r="D19" s="272">
        <f>+C19*$C$8</f>
        <v>0</v>
      </c>
      <c r="E19" s="298">
        <v>0</v>
      </c>
      <c r="F19" s="272">
        <f>+E19*$C$8</f>
        <v>0</v>
      </c>
      <c r="G19" s="298">
        <v>0</v>
      </c>
      <c r="H19" s="272">
        <f>+G19*$C$8</f>
        <v>0</v>
      </c>
      <c r="I19" s="298">
        <v>40000</v>
      </c>
      <c r="J19" s="272">
        <f>+I19*$C$8</f>
        <v>100</v>
      </c>
      <c r="K19" s="273"/>
      <c r="L19" s="274"/>
      <c r="M19" s="18"/>
      <c r="N19" s="19"/>
      <c r="O19" s="18"/>
      <c r="P19" s="19"/>
      <c r="Q19" s="18"/>
      <c r="R19" s="19"/>
      <c r="S19" s="18"/>
      <c r="T19" s="19"/>
    </row>
    <row r="20" spans="2:92" ht="3.25" customHeight="1" x14ac:dyDescent="0.25">
      <c r="M20"/>
    </row>
    <row r="21" spans="2:92" ht="7.5" customHeight="1" thickBot="1" x14ac:dyDescent="0.3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8" customHeight="1" thickBot="1" x14ac:dyDescent="0.3">
      <c r="B22" s="569" t="s">
        <v>7</v>
      </c>
      <c r="C22" s="541" t="s">
        <v>25</v>
      </c>
      <c r="D22" s="542"/>
      <c r="E22" s="542"/>
      <c r="F22" s="542"/>
      <c r="G22" s="542"/>
      <c r="H22" s="542"/>
      <c r="I22" s="542"/>
      <c r="J22" s="542"/>
      <c r="K22" s="542"/>
      <c r="L22" s="542"/>
      <c r="M22" s="542"/>
      <c r="N22" s="542"/>
      <c r="O22" s="542"/>
      <c r="P22" s="542"/>
      <c r="Q22" s="542"/>
      <c r="R22" s="542"/>
      <c r="S22" s="542"/>
      <c r="T22" s="542"/>
      <c r="U22" s="542"/>
      <c r="V22" s="542"/>
      <c r="W22" s="542"/>
      <c r="X22" s="542"/>
      <c r="Y22" s="542"/>
      <c r="Z22" s="542"/>
      <c r="AA22" s="542"/>
      <c r="AB22" s="542"/>
      <c r="AC22" s="542"/>
      <c r="AD22" s="542"/>
      <c r="AE22" s="542"/>
      <c r="AF22" s="542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8" customHeight="1" thickBot="1" x14ac:dyDescent="0.3">
      <c r="B23" s="570"/>
      <c r="C23" s="538">
        <v>2</v>
      </c>
      <c r="D23" s="539"/>
      <c r="E23" s="540"/>
      <c r="F23" s="538">
        <v>3</v>
      </c>
      <c r="G23" s="539"/>
      <c r="H23" s="540"/>
      <c r="I23" s="538">
        <v>4</v>
      </c>
      <c r="J23" s="539"/>
      <c r="K23" s="540"/>
      <c r="L23" s="538">
        <v>45667</v>
      </c>
      <c r="M23" s="539"/>
      <c r="N23" s="540"/>
      <c r="O23" s="538">
        <v>45668</v>
      </c>
      <c r="P23" s="539"/>
      <c r="Q23" s="540"/>
      <c r="R23" s="538">
        <v>45670</v>
      </c>
      <c r="S23" s="539"/>
      <c r="T23" s="540"/>
      <c r="U23" s="538">
        <v>45672</v>
      </c>
      <c r="V23" s="539"/>
      <c r="W23" s="540"/>
      <c r="X23" s="538">
        <v>45673</v>
      </c>
      <c r="Y23" s="539"/>
      <c r="Z23" s="540"/>
      <c r="AA23" s="538">
        <v>45674</v>
      </c>
      <c r="AB23" s="539"/>
      <c r="AC23" s="540"/>
      <c r="AD23" s="538">
        <v>45677</v>
      </c>
      <c r="AE23" s="539"/>
      <c r="AF23" s="540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99999999999997" customHeight="1" thickBot="1" x14ac:dyDescent="0.3">
      <c r="B24" s="571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25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299">
        <v>2</v>
      </c>
      <c r="M25" s="53"/>
      <c r="N25" s="4">
        <f>L25*M25</f>
        <v>0</v>
      </c>
      <c r="O25" s="13"/>
      <c r="P25" s="53"/>
      <c r="Q25" s="4">
        <f>O25*P25</f>
        <v>0</v>
      </c>
      <c r="R25" s="299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25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25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25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4.95" thickBot="1" x14ac:dyDescent="0.3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25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25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25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25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25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25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25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25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25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25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25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25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25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25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25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25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25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25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25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25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25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25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25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25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25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25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25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25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25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25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25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25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25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25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25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25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25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25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25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25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25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25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25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25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25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25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25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25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25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25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25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25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25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25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25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25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25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25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25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25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25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25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25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25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25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25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25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25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25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25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25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25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25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25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25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25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25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25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25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25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25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25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25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25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25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25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25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25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25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25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25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25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25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25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25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25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25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25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25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25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25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25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25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25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25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25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25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25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25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25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25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25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25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25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25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25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25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25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25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25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25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25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25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25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25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25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25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25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25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25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25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25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25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25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25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25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25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25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25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25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25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25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25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25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25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25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25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25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25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25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25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25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25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25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25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25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25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25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25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25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25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25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25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25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25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25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25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25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25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25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25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25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25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25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25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25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25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25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25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25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25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25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25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25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25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25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25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25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25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25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25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25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25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25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25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25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25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25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25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25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25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25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25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25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25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25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25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25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25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25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25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25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25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25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25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25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25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25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25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25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25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25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25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25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25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25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25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25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25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25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25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25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25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25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25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25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25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25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25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25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25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25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25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25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25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25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25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25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25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25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25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25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25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25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25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25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25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25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25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25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25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25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25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25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25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25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25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25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25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25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25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25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25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25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25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25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25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25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25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25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25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25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25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25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25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25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25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25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25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25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25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25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25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25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25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25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25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25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25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25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25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25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25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25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25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25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25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25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25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25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25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25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25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25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25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25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25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25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25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25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25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25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25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25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25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25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25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25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25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25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25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25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25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25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25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25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25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25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25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25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25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25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25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25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25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25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25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25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25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25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25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25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25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25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25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25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25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25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25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25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25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25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25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25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25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25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25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25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25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25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25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25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25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25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25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25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25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25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25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25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25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25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25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25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25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25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>
    <tabColor rgb="FFFFFF00"/>
  </sheetPr>
  <dimension ref="A1:BH97"/>
  <sheetViews>
    <sheetView tabSelected="1" zoomScale="70" zoomScaleNormal="70" workbookViewId="0">
      <pane xSplit="8" ySplit="1" topLeftCell="AO2" activePane="bottomRight" state="frozen"/>
      <selection pane="topRight" activeCell="I1" sqref="I1"/>
      <selection pane="bottomLeft" activeCell="A2" sqref="A2"/>
      <selection pane="bottomRight" activeCell="AY21" sqref="AY21"/>
    </sheetView>
  </sheetViews>
  <sheetFormatPr baseColWidth="10" defaultRowHeight="14.3" x14ac:dyDescent="0.25"/>
  <cols>
    <col min="2" max="2" width="8.75" customWidth="1"/>
    <col min="3" max="3" width="12.25" bestFit="1" customWidth="1"/>
    <col min="4" max="8" width="11.375" hidden="1" customWidth="1"/>
    <col min="9" max="9" width="15.25" style="233" bestFit="1" customWidth="1"/>
    <col min="10" max="10" width="9.875" style="70" customWidth="1"/>
    <col min="11" max="11" width="10.125" style="70" customWidth="1"/>
    <col min="12" max="12" width="10.625" style="70" customWidth="1"/>
    <col min="13" max="13" width="9.75" style="70" hidden="1" customWidth="1"/>
    <col min="14" max="14" width="13.75" style="70" customWidth="1"/>
    <col min="15" max="15" width="10.875" style="70" customWidth="1"/>
    <col min="16" max="16" width="19.125" style="70" customWidth="1"/>
    <col min="17" max="17" width="17" style="70" customWidth="1"/>
    <col min="18" max="18" width="19.625" style="70" hidden="1" customWidth="1"/>
    <col min="19" max="19" width="15.25" style="70" customWidth="1"/>
    <col min="20" max="20" width="12.875" style="70" customWidth="1"/>
    <col min="21" max="21" width="17.25" style="70" customWidth="1"/>
    <col min="22" max="22" width="17.875" style="70" customWidth="1"/>
    <col min="23" max="23" width="16.125" style="70" hidden="1" customWidth="1"/>
    <col min="24" max="24" width="16.75" style="70" customWidth="1"/>
    <col min="25" max="29" width="11.375" style="70" customWidth="1"/>
    <col min="30" max="30" width="16.25" style="70" customWidth="1"/>
    <col min="31" max="31" width="25.25" style="70" customWidth="1"/>
    <col min="32" max="32" width="19.625" style="70" customWidth="1"/>
    <col min="33" max="33" width="21.625" style="70" hidden="1" customWidth="1"/>
    <col min="34" max="34" width="20.375" style="70" customWidth="1"/>
    <col min="35" max="35" width="19.625" style="70" customWidth="1"/>
    <col min="36" max="36" width="16.375" customWidth="1"/>
    <col min="37" max="38" width="17.375" customWidth="1"/>
    <col min="39" max="39" width="17.375" hidden="1" customWidth="1"/>
    <col min="40" max="40" width="17.375" customWidth="1"/>
    <col min="41" max="45" width="16.125" customWidth="1"/>
    <col min="46" max="46" width="18.125" customWidth="1"/>
    <col min="47" max="48" width="18.375" customWidth="1"/>
    <col min="49" max="49" width="17.875" hidden="1" customWidth="1"/>
    <col min="50" max="50" width="19.625" customWidth="1"/>
    <col min="51" max="51" width="13.875" bestFit="1" customWidth="1"/>
    <col min="52" max="52" width="12.25" customWidth="1"/>
    <col min="53" max="53" width="13.125" customWidth="1"/>
    <col min="54" max="54" width="13" hidden="1" customWidth="1"/>
    <col min="55" max="55" width="11.25" hidden="1" customWidth="1"/>
  </cols>
  <sheetData>
    <row r="1" spans="1:60" s="184" customFormat="1" ht="57.75" thickBot="1" x14ac:dyDescent="0.3">
      <c r="A1" s="162" t="s">
        <v>27</v>
      </c>
      <c r="B1" s="162" t="s">
        <v>79</v>
      </c>
      <c r="C1" s="163" t="s">
        <v>26</v>
      </c>
      <c r="D1" s="164" t="s">
        <v>23</v>
      </c>
      <c r="E1" s="165" t="s">
        <v>22</v>
      </c>
      <c r="F1" s="166" t="s">
        <v>21</v>
      </c>
      <c r="G1" s="166" t="s">
        <v>20</v>
      </c>
      <c r="H1" s="165" t="s">
        <v>19</v>
      </c>
      <c r="I1" s="232" t="s">
        <v>174</v>
      </c>
      <c r="J1" s="231" t="s">
        <v>132</v>
      </c>
      <c r="K1" s="167" t="s">
        <v>133</v>
      </c>
      <c r="L1" s="167" t="s">
        <v>134</v>
      </c>
      <c r="M1" s="167" t="s">
        <v>135</v>
      </c>
      <c r="N1" s="168" t="s">
        <v>136</v>
      </c>
      <c r="O1" s="169" t="s">
        <v>137</v>
      </c>
      <c r="P1" s="170" t="s">
        <v>138</v>
      </c>
      <c r="Q1" s="170" t="s">
        <v>139</v>
      </c>
      <c r="R1" s="170" t="s">
        <v>140</v>
      </c>
      <c r="S1" s="170" t="s">
        <v>141</v>
      </c>
      <c r="T1" s="171" t="s">
        <v>143</v>
      </c>
      <c r="U1" s="172" t="s">
        <v>144</v>
      </c>
      <c r="V1" s="173" t="s">
        <v>145</v>
      </c>
      <c r="W1" s="173" t="s">
        <v>146</v>
      </c>
      <c r="X1" s="174" t="s">
        <v>142</v>
      </c>
      <c r="Y1" s="175" t="s">
        <v>97</v>
      </c>
      <c r="Z1" s="176" t="s">
        <v>98</v>
      </c>
      <c r="AA1" s="177" t="s">
        <v>99</v>
      </c>
      <c r="AB1" s="177" t="s">
        <v>100</v>
      </c>
      <c r="AC1" s="178" t="s">
        <v>101</v>
      </c>
      <c r="AD1" s="179" t="s">
        <v>147</v>
      </c>
      <c r="AE1" s="180" t="s">
        <v>151</v>
      </c>
      <c r="AF1" s="181" t="s">
        <v>150</v>
      </c>
      <c r="AG1" s="181" t="s">
        <v>149</v>
      </c>
      <c r="AH1" s="182" t="s">
        <v>148</v>
      </c>
      <c r="AI1" s="303" t="s">
        <v>102</v>
      </c>
      <c r="AJ1" s="157" t="s">
        <v>103</v>
      </c>
      <c r="AK1" s="158" t="s">
        <v>104</v>
      </c>
      <c r="AL1" s="158" t="s">
        <v>105</v>
      </c>
      <c r="AM1" s="158" t="s">
        <v>106</v>
      </c>
      <c r="AN1" s="159" t="s">
        <v>107</v>
      </c>
      <c r="AO1" s="183" t="s">
        <v>131</v>
      </c>
      <c r="AP1" s="176" t="s">
        <v>130</v>
      </c>
      <c r="AQ1" s="177" t="s">
        <v>129</v>
      </c>
      <c r="AR1" s="177" t="s">
        <v>128</v>
      </c>
      <c r="AS1" s="178" t="s">
        <v>127</v>
      </c>
      <c r="AT1" s="183" t="s">
        <v>108</v>
      </c>
      <c r="AU1" s="177" t="s">
        <v>109</v>
      </c>
      <c r="AV1" s="177" t="s">
        <v>110</v>
      </c>
      <c r="AW1" s="177" t="s">
        <v>111</v>
      </c>
      <c r="AX1" s="178" t="s">
        <v>112</v>
      </c>
      <c r="AY1" s="160" t="s">
        <v>73</v>
      </c>
      <c r="AZ1" s="160" t="s">
        <v>74</v>
      </c>
      <c r="BA1" s="160" t="s">
        <v>115</v>
      </c>
      <c r="BB1" s="160" t="s">
        <v>113</v>
      </c>
      <c r="BC1" s="161" t="s">
        <v>114</v>
      </c>
    </row>
    <row r="2" spans="1:60" ht="14.95" thickBot="1" x14ac:dyDescent="0.3">
      <c r="A2" s="121">
        <v>46023</v>
      </c>
      <c r="B2" s="207">
        <f>DAY(Tabla2[[#This Row],[FECHA]])</f>
        <v>1</v>
      </c>
      <c r="C2" s="122" t="s">
        <v>28</v>
      </c>
      <c r="D2" s="123"/>
      <c r="E2" s="124"/>
      <c r="F2" s="125"/>
      <c r="G2" s="125"/>
      <c r="H2" s="124"/>
      <c r="I2" s="290">
        <f>((Tabla2[[#This Row],[VOLUMEN ENVIADO A RO (m3)]]/80)/3)*60</f>
        <v>0</v>
      </c>
      <c r="J2" s="276">
        <v>0</v>
      </c>
      <c r="K2" s="276">
        <v>52</v>
      </c>
      <c r="L2" s="278">
        <v>32</v>
      </c>
      <c r="M2" s="277">
        <v>0</v>
      </c>
      <c r="N2" s="278">
        <v>0</v>
      </c>
      <c r="O2" s="185">
        <f t="shared" ref="O2:O65" si="0">J2*(1000/114)</f>
        <v>0</v>
      </c>
      <c r="P2" s="186">
        <f t="shared" ref="P2:P33" si="1">K2*(1000/114)</f>
        <v>456.14035087719299</v>
      </c>
      <c r="Q2" s="186">
        <f t="shared" ref="Q2:Q65" si="2">L2*(1000/114)</f>
        <v>280.70175438596493</v>
      </c>
      <c r="R2" s="186">
        <f t="shared" ref="R2:R33" si="3">M2*(1000/114)</f>
        <v>0</v>
      </c>
      <c r="S2" s="187">
        <f t="shared" ref="S2:S33" si="4">N2*(1000/114)</f>
        <v>0</v>
      </c>
      <c r="T2" s="188">
        <f>O2-O3</f>
        <v>0</v>
      </c>
      <c r="U2" s="189">
        <f>P2-P3</f>
        <v>0</v>
      </c>
      <c r="V2" s="189">
        <f>Q2-Q3</f>
        <v>0</v>
      </c>
      <c r="W2" s="189">
        <f>R2-R3</f>
        <v>0</v>
      </c>
      <c r="X2" s="190">
        <f>S2-S3</f>
        <v>0</v>
      </c>
      <c r="Y2" s="191">
        <v>1.18</v>
      </c>
      <c r="Z2" s="191">
        <v>1.28</v>
      </c>
      <c r="AA2" s="191">
        <v>1.2</v>
      </c>
      <c r="AB2" s="191">
        <v>1.53</v>
      </c>
      <c r="AC2" s="191">
        <v>1.2</v>
      </c>
      <c r="AD2" s="188">
        <f t="shared" ref="AD2:AD33" si="5">T2*Y2</f>
        <v>0</v>
      </c>
      <c r="AE2" s="189">
        <f t="shared" ref="AE2:AE33" si="6">U2*Z2</f>
        <v>0</v>
      </c>
      <c r="AF2" s="189">
        <f t="shared" ref="AF2:AF33" si="7">V2*AA2</f>
        <v>0</v>
      </c>
      <c r="AG2" s="189">
        <f t="shared" ref="AG2:AG33" si="8">W2*AB2</f>
        <v>0</v>
      </c>
      <c r="AH2" s="190">
        <f t="shared" ref="AH2:AH33" si="9">X2*AC2</f>
        <v>0</v>
      </c>
      <c r="AI2" s="309">
        <v>0</v>
      </c>
      <c r="AJ2" s="126" t="e">
        <f t="shared" ref="AJ2:AN6" si="10">(AD2*1000)/$AI2</f>
        <v>#DIV/0!</v>
      </c>
      <c r="AK2" s="127" t="e">
        <f t="shared" si="10"/>
        <v>#DIV/0!</v>
      </c>
      <c r="AL2" s="127" t="e">
        <f t="shared" si="10"/>
        <v>#DIV/0!</v>
      </c>
      <c r="AM2" s="127" t="e">
        <f t="shared" si="10"/>
        <v>#DIV/0!</v>
      </c>
      <c r="AN2" s="128" t="e">
        <f t="shared" si="10"/>
        <v>#DIV/0!</v>
      </c>
      <c r="AO2" s="107">
        <v>1550</v>
      </c>
      <c r="AP2" s="108">
        <v>19160</v>
      </c>
      <c r="AQ2" s="108">
        <v>36239</v>
      </c>
      <c r="AR2" s="108">
        <v>1560</v>
      </c>
      <c r="AS2" s="109">
        <v>3640</v>
      </c>
      <c r="AT2" s="107">
        <f t="shared" ref="AT2:AT33" si="11">AO2*(AD2*0.8)</f>
        <v>0</v>
      </c>
      <c r="AU2" s="108">
        <f>AP2*(AE2*0.012)</f>
        <v>0</v>
      </c>
      <c r="AV2" s="108">
        <f>AQ2*(AF2*0.044)</f>
        <v>0</v>
      </c>
      <c r="AW2" s="108">
        <f t="shared" ref="AW2:AW33" si="12">AR2*AG2</f>
        <v>0</v>
      </c>
      <c r="AX2" s="109">
        <f t="shared" ref="AX2:AX33" si="13">AS2*(AH2*0.025)</f>
        <v>0</v>
      </c>
      <c r="AY2" s="107">
        <f t="shared" ref="AY2:AY33" si="14">AT2+AU2+AV2+AW2+AX2</f>
        <v>0</v>
      </c>
      <c r="AZ2" s="108">
        <v>1000</v>
      </c>
      <c r="BA2" s="108" t="e">
        <f>$AY2/AI2</f>
        <v>#DIV/0!</v>
      </c>
      <c r="BB2" s="105" t="e">
        <f>$AY2/#REF!</f>
        <v>#REF!</v>
      </c>
      <c r="BC2" s="106" t="e">
        <f>$AY2/#REF!</f>
        <v>#REF!</v>
      </c>
    </row>
    <row r="3" spans="1:60" ht="14.95" thickBot="1" x14ac:dyDescent="0.3">
      <c r="A3" s="129">
        <f>+A2</f>
        <v>46023</v>
      </c>
      <c r="B3" s="208">
        <f>DAY(Tabla2[[#This Row],[FECHA]])</f>
        <v>1</v>
      </c>
      <c r="C3" s="130" t="s">
        <v>29</v>
      </c>
      <c r="D3" s="131"/>
      <c r="E3" s="132"/>
      <c r="F3" s="133"/>
      <c r="G3" s="133"/>
      <c r="H3" s="132"/>
      <c r="I3" s="290">
        <f>((Tabla2[[#This Row],[VOLUMEN ENVIADO A RO (m3)]]/80)/3)*60</f>
        <v>0</v>
      </c>
      <c r="J3" s="276">
        <v>0</v>
      </c>
      <c r="K3" s="280">
        <v>52</v>
      </c>
      <c r="L3" s="281">
        <v>32</v>
      </c>
      <c r="M3" s="280">
        <v>0</v>
      </c>
      <c r="N3" s="281">
        <v>0</v>
      </c>
      <c r="O3" s="192">
        <f t="shared" si="0"/>
        <v>0</v>
      </c>
      <c r="P3" s="193">
        <f t="shared" si="1"/>
        <v>456.14035087719299</v>
      </c>
      <c r="Q3" s="193">
        <f t="shared" si="2"/>
        <v>280.70175438596493</v>
      </c>
      <c r="R3" s="193">
        <f t="shared" si="3"/>
        <v>0</v>
      </c>
      <c r="S3" s="194">
        <f t="shared" si="4"/>
        <v>0</v>
      </c>
      <c r="T3" s="188">
        <f t="shared" ref="T3:T66" si="15">O3-O4</f>
        <v>0</v>
      </c>
      <c r="U3" s="189">
        <f t="shared" ref="U3:U66" si="16">P3-P4</f>
        <v>0</v>
      </c>
      <c r="V3" s="189">
        <f t="shared" ref="V3:V66" si="17">Q3-Q4</f>
        <v>0</v>
      </c>
      <c r="W3" s="189">
        <f t="shared" ref="W3:W66" si="18">R3-R4</f>
        <v>0</v>
      </c>
      <c r="X3" s="190">
        <f t="shared" ref="X3:X66" si="19">S3-S4</f>
        <v>0</v>
      </c>
      <c r="Y3" s="195">
        <v>1.18</v>
      </c>
      <c r="Z3" s="195">
        <v>1.28</v>
      </c>
      <c r="AA3" s="195">
        <v>1.2</v>
      </c>
      <c r="AB3" s="195">
        <v>1.53</v>
      </c>
      <c r="AC3" s="195">
        <v>1.2</v>
      </c>
      <c r="AD3" s="188">
        <f t="shared" si="5"/>
        <v>0</v>
      </c>
      <c r="AE3" s="189">
        <f t="shared" si="6"/>
        <v>0</v>
      </c>
      <c r="AF3" s="189">
        <f t="shared" si="7"/>
        <v>0</v>
      </c>
      <c r="AG3" s="189">
        <f t="shared" si="8"/>
        <v>0</v>
      </c>
      <c r="AH3" s="190">
        <f t="shared" si="9"/>
        <v>0</v>
      </c>
      <c r="AI3" s="310">
        <v>0</v>
      </c>
      <c r="AJ3" s="126" t="e">
        <f t="shared" si="10"/>
        <v>#DIV/0!</v>
      </c>
      <c r="AK3" s="127" t="e">
        <f t="shared" si="10"/>
        <v>#DIV/0!</v>
      </c>
      <c r="AL3" s="127" t="e">
        <f t="shared" si="10"/>
        <v>#DIV/0!</v>
      </c>
      <c r="AM3" s="127" t="e">
        <f t="shared" si="10"/>
        <v>#DIV/0!</v>
      </c>
      <c r="AN3" s="128" t="e">
        <f t="shared" si="10"/>
        <v>#DIV/0!</v>
      </c>
      <c r="AO3" s="107">
        <f t="shared" ref="AO3:AO34" si="20">AO2</f>
        <v>1550</v>
      </c>
      <c r="AP3" s="108">
        <f t="shared" ref="AP3:AP34" si="21">AP2</f>
        <v>19160</v>
      </c>
      <c r="AQ3" s="108">
        <f t="shared" ref="AQ3:AQ34" si="22">AQ2</f>
        <v>36239</v>
      </c>
      <c r="AR3" s="108">
        <f t="shared" ref="AR3:AR34" si="23">AR2</f>
        <v>1560</v>
      </c>
      <c r="AS3" s="109">
        <f t="shared" ref="AS3:AS34" si="24">AS2</f>
        <v>3640</v>
      </c>
      <c r="AT3" s="107">
        <f t="shared" si="11"/>
        <v>0</v>
      </c>
      <c r="AU3" s="108">
        <f t="shared" ref="AU3:AU66" si="25">AP3*(AE3*0.012)</f>
        <v>0</v>
      </c>
      <c r="AV3" s="108">
        <f t="shared" ref="AV3:AV66" si="26">AQ3*(AF3*0.044)</f>
        <v>0</v>
      </c>
      <c r="AW3" s="108">
        <f t="shared" si="12"/>
        <v>0</v>
      </c>
      <c r="AX3" s="109">
        <f t="shared" si="13"/>
        <v>0</v>
      </c>
      <c r="AY3" s="107">
        <f t="shared" si="14"/>
        <v>0</v>
      </c>
      <c r="AZ3" s="108">
        <v>1000</v>
      </c>
      <c r="BA3" s="108" t="e">
        <f>AY3/AI3</f>
        <v>#DIV/0!</v>
      </c>
      <c r="BB3" s="105" t="e">
        <f>$AY3/#REF!</f>
        <v>#REF!</v>
      </c>
      <c r="BC3" s="106" t="e">
        <f>$AY3/#REF!</f>
        <v>#REF!</v>
      </c>
    </row>
    <row r="4" spans="1:60" ht="14.95" thickBot="1" x14ac:dyDescent="0.3">
      <c r="A4" s="134">
        <f>+A3</f>
        <v>46023</v>
      </c>
      <c r="B4" s="209">
        <f>DAY(Tabla2[[#This Row],[FECHA]])</f>
        <v>1</v>
      </c>
      <c r="C4" s="135" t="s">
        <v>30</v>
      </c>
      <c r="D4" s="136"/>
      <c r="E4" s="137"/>
      <c r="F4" s="138"/>
      <c r="G4" s="139"/>
      <c r="H4" s="140"/>
      <c r="I4" s="290">
        <f>((Tabla2[[#This Row],[VOLUMEN ENVIADO A RO (m3)]]/80)/3)*60</f>
        <v>0</v>
      </c>
      <c r="J4" s="276">
        <v>0</v>
      </c>
      <c r="K4" s="283">
        <v>52</v>
      </c>
      <c r="L4" s="284">
        <v>32</v>
      </c>
      <c r="M4" s="283">
        <v>0</v>
      </c>
      <c r="N4" s="284">
        <v>0</v>
      </c>
      <c r="O4" s="196">
        <f t="shared" si="0"/>
        <v>0</v>
      </c>
      <c r="P4" s="197">
        <f t="shared" si="1"/>
        <v>456.14035087719299</v>
      </c>
      <c r="Q4" s="197">
        <f t="shared" si="2"/>
        <v>280.70175438596493</v>
      </c>
      <c r="R4" s="197">
        <f t="shared" si="3"/>
        <v>0</v>
      </c>
      <c r="S4" s="198">
        <f t="shared" si="4"/>
        <v>0</v>
      </c>
      <c r="T4" s="188">
        <f t="shared" si="15"/>
        <v>0</v>
      </c>
      <c r="U4" s="189">
        <f t="shared" si="16"/>
        <v>0</v>
      </c>
      <c r="V4" s="189">
        <f t="shared" si="17"/>
        <v>0</v>
      </c>
      <c r="W4" s="189">
        <f t="shared" si="18"/>
        <v>0</v>
      </c>
      <c r="X4" s="190">
        <f t="shared" si="19"/>
        <v>0</v>
      </c>
      <c r="Y4" s="195">
        <v>1.18</v>
      </c>
      <c r="Z4" s="195">
        <v>1.28</v>
      </c>
      <c r="AA4" s="195">
        <v>1.2</v>
      </c>
      <c r="AB4" s="195">
        <v>1.53</v>
      </c>
      <c r="AC4" s="195">
        <v>1.2</v>
      </c>
      <c r="AD4" s="199">
        <f t="shared" si="5"/>
        <v>0</v>
      </c>
      <c r="AE4" s="200">
        <f t="shared" si="6"/>
        <v>0</v>
      </c>
      <c r="AF4" s="200">
        <f t="shared" si="7"/>
        <v>0</v>
      </c>
      <c r="AG4" s="200">
        <f t="shared" si="8"/>
        <v>0</v>
      </c>
      <c r="AH4" s="201">
        <f t="shared" si="9"/>
        <v>0</v>
      </c>
      <c r="AI4" s="311">
        <v>0</v>
      </c>
      <c r="AJ4" s="141" t="e">
        <f t="shared" si="10"/>
        <v>#DIV/0!</v>
      </c>
      <c r="AK4" s="142" t="e">
        <f t="shared" si="10"/>
        <v>#DIV/0!</v>
      </c>
      <c r="AL4" s="142" t="e">
        <f t="shared" si="10"/>
        <v>#DIV/0!</v>
      </c>
      <c r="AM4" s="142" t="e">
        <f t="shared" si="10"/>
        <v>#DIV/0!</v>
      </c>
      <c r="AN4" s="143" t="e">
        <f t="shared" si="10"/>
        <v>#DIV/0!</v>
      </c>
      <c r="AO4" s="107">
        <f t="shared" si="20"/>
        <v>1550</v>
      </c>
      <c r="AP4" s="108">
        <f t="shared" si="21"/>
        <v>19160</v>
      </c>
      <c r="AQ4" s="108">
        <f t="shared" si="22"/>
        <v>36239</v>
      </c>
      <c r="AR4" s="108">
        <f t="shared" si="23"/>
        <v>1560</v>
      </c>
      <c r="AS4" s="109">
        <f t="shared" si="24"/>
        <v>3640</v>
      </c>
      <c r="AT4" s="110">
        <f t="shared" si="11"/>
        <v>0</v>
      </c>
      <c r="AU4" s="111">
        <f t="shared" si="25"/>
        <v>0</v>
      </c>
      <c r="AV4" s="111">
        <f t="shared" si="26"/>
        <v>0</v>
      </c>
      <c r="AW4" s="111">
        <f t="shared" si="12"/>
        <v>0</v>
      </c>
      <c r="AX4" s="112">
        <f t="shared" si="13"/>
        <v>0</v>
      </c>
      <c r="AY4" s="110">
        <f t="shared" si="14"/>
        <v>0</v>
      </c>
      <c r="AZ4" s="111">
        <v>1000</v>
      </c>
      <c r="BA4" s="111" t="e">
        <f>AY4/AI4</f>
        <v>#DIV/0!</v>
      </c>
      <c r="BB4" s="101"/>
      <c r="BC4" s="104"/>
      <c r="BE4" s="306"/>
      <c r="BG4" s="307"/>
      <c r="BH4" s="306"/>
    </row>
    <row r="5" spans="1:60" ht="14.95" thickBot="1" x14ac:dyDescent="0.3">
      <c r="A5" s="144">
        <f>+A4+1</f>
        <v>46024</v>
      </c>
      <c r="B5" s="99">
        <f>DAY(Tabla2[[#This Row],[FECHA]])</f>
        <v>2</v>
      </c>
      <c r="C5" s="122" t="s">
        <v>28</v>
      </c>
      <c r="D5" s="145"/>
      <c r="E5" s="146"/>
      <c r="F5" s="147"/>
      <c r="G5" s="147"/>
      <c r="H5" s="146"/>
      <c r="I5" s="290">
        <f>((Tabla2[[#This Row],[VOLUMEN ENVIADO A RO (m3)]]/80)/3)*60</f>
        <v>0</v>
      </c>
      <c r="J5" s="276">
        <v>0</v>
      </c>
      <c r="K5" s="277">
        <v>52</v>
      </c>
      <c r="L5" s="278">
        <v>32</v>
      </c>
      <c r="M5" s="277">
        <v>0</v>
      </c>
      <c r="N5" s="278">
        <v>0</v>
      </c>
      <c r="O5" s="202">
        <f t="shared" si="0"/>
        <v>0</v>
      </c>
      <c r="P5" s="203">
        <f t="shared" si="1"/>
        <v>456.14035087719299</v>
      </c>
      <c r="Q5" s="186">
        <f t="shared" si="2"/>
        <v>280.70175438596493</v>
      </c>
      <c r="R5" s="203">
        <f t="shared" si="3"/>
        <v>0</v>
      </c>
      <c r="S5" s="203">
        <f t="shared" si="4"/>
        <v>0</v>
      </c>
      <c r="T5" s="188">
        <f t="shared" si="15"/>
        <v>0</v>
      </c>
      <c r="U5" s="189">
        <f t="shared" si="16"/>
        <v>0</v>
      </c>
      <c r="V5" s="189">
        <f t="shared" si="17"/>
        <v>0</v>
      </c>
      <c r="W5" s="189">
        <f t="shared" si="18"/>
        <v>0</v>
      </c>
      <c r="X5" s="190">
        <f t="shared" si="19"/>
        <v>0</v>
      </c>
      <c r="Y5" s="195">
        <v>1.18</v>
      </c>
      <c r="Z5" s="195">
        <v>1.28</v>
      </c>
      <c r="AA5" s="195">
        <v>1.2</v>
      </c>
      <c r="AB5" s="195">
        <v>1.53</v>
      </c>
      <c r="AC5" s="195">
        <v>1.2</v>
      </c>
      <c r="AD5" s="204">
        <f t="shared" si="5"/>
        <v>0</v>
      </c>
      <c r="AE5" s="205">
        <f t="shared" si="6"/>
        <v>0</v>
      </c>
      <c r="AF5" s="205">
        <f t="shared" si="7"/>
        <v>0</v>
      </c>
      <c r="AG5" s="205">
        <f t="shared" si="8"/>
        <v>0</v>
      </c>
      <c r="AH5" s="206">
        <f t="shared" si="9"/>
        <v>0</v>
      </c>
      <c r="AI5" s="309">
        <v>0</v>
      </c>
      <c r="AJ5" s="148" t="e">
        <f t="shared" si="10"/>
        <v>#DIV/0!</v>
      </c>
      <c r="AK5" s="149" t="e">
        <f t="shared" si="10"/>
        <v>#DIV/0!</v>
      </c>
      <c r="AL5" s="149" t="e">
        <f t="shared" si="10"/>
        <v>#DIV/0!</v>
      </c>
      <c r="AM5" s="149" t="e">
        <f t="shared" si="10"/>
        <v>#DIV/0!</v>
      </c>
      <c r="AN5" s="150" t="e">
        <f t="shared" si="10"/>
        <v>#DIV/0!</v>
      </c>
      <c r="AO5" s="107">
        <f t="shared" si="20"/>
        <v>1550</v>
      </c>
      <c r="AP5" s="108">
        <f t="shared" si="21"/>
        <v>19160</v>
      </c>
      <c r="AQ5" s="108">
        <f t="shared" si="22"/>
        <v>36239</v>
      </c>
      <c r="AR5" s="108">
        <f t="shared" si="23"/>
        <v>1560</v>
      </c>
      <c r="AS5" s="109">
        <f t="shared" si="24"/>
        <v>3640</v>
      </c>
      <c r="AT5" s="107">
        <f t="shared" si="11"/>
        <v>0</v>
      </c>
      <c r="AU5" s="108">
        <f t="shared" si="25"/>
        <v>0</v>
      </c>
      <c r="AV5" s="108">
        <f t="shared" si="26"/>
        <v>0</v>
      </c>
      <c r="AW5" s="108">
        <f t="shared" si="12"/>
        <v>0</v>
      </c>
      <c r="AX5" s="109">
        <f t="shared" si="13"/>
        <v>0</v>
      </c>
      <c r="AY5" s="107">
        <f t="shared" si="14"/>
        <v>0</v>
      </c>
      <c r="AZ5" s="108">
        <v>1000</v>
      </c>
      <c r="BA5" s="108" t="e">
        <f>AY5/AI5</f>
        <v>#DIV/0!</v>
      </c>
      <c r="BB5" s="102"/>
      <c r="BC5" s="103"/>
      <c r="BE5" s="306"/>
      <c r="BG5" s="307"/>
      <c r="BH5" s="306"/>
    </row>
    <row r="6" spans="1:60" ht="14.95" thickBot="1" x14ac:dyDescent="0.3">
      <c r="A6" s="151">
        <f>+A5</f>
        <v>46024</v>
      </c>
      <c r="B6" s="210">
        <f>DAY(Tabla2[[#This Row],[FECHA]])</f>
        <v>2</v>
      </c>
      <c r="C6" s="130" t="s">
        <v>29</v>
      </c>
      <c r="D6" s="131"/>
      <c r="E6" s="132"/>
      <c r="F6" s="133"/>
      <c r="G6" s="133"/>
      <c r="H6" s="132"/>
      <c r="I6" s="290">
        <f>((Tabla2[[#This Row],[VOLUMEN ENVIADO A RO (m3)]]/80)/3)*60</f>
        <v>64.362250000000003</v>
      </c>
      <c r="J6" s="276">
        <v>0</v>
      </c>
      <c r="K6" s="280">
        <v>52</v>
      </c>
      <c r="L6" s="281">
        <v>32</v>
      </c>
      <c r="M6" s="280">
        <v>0</v>
      </c>
      <c r="N6" s="281">
        <v>0</v>
      </c>
      <c r="O6" s="192">
        <f t="shared" si="0"/>
        <v>0</v>
      </c>
      <c r="P6" s="193">
        <f t="shared" si="1"/>
        <v>456.14035087719299</v>
      </c>
      <c r="Q6" s="193">
        <f t="shared" si="2"/>
        <v>280.70175438596493</v>
      </c>
      <c r="R6" s="193">
        <f t="shared" si="3"/>
        <v>0</v>
      </c>
      <c r="S6" s="193">
        <f t="shared" si="4"/>
        <v>0</v>
      </c>
      <c r="T6" s="188">
        <f t="shared" si="15"/>
        <v>0</v>
      </c>
      <c r="U6" s="189">
        <f t="shared" si="16"/>
        <v>0</v>
      </c>
      <c r="V6" s="189">
        <f t="shared" si="17"/>
        <v>0</v>
      </c>
      <c r="W6" s="189">
        <f t="shared" si="18"/>
        <v>0</v>
      </c>
      <c r="X6" s="190">
        <f t="shared" si="19"/>
        <v>0</v>
      </c>
      <c r="Y6" s="195">
        <v>1.18</v>
      </c>
      <c r="Z6" s="195">
        <v>1.28</v>
      </c>
      <c r="AA6" s="195">
        <v>1.2</v>
      </c>
      <c r="AB6" s="195">
        <v>1.53</v>
      </c>
      <c r="AC6" s="195">
        <v>1.2</v>
      </c>
      <c r="AD6" s="188">
        <f t="shared" si="5"/>
        <v>0</v>
      </c>
      <c r="AE6" s="189">
        <f t="shared" si="6"/>
        <v>0</v>
      </c>
      <c r="AF6" s="189">
        <f t="shared" si="7"/>
        <v>0</v>
      </c>
      <c r="AG6" s="189">
        <f t="shared" si="8"/>
        <v>0</v>
      </c>
      <c r="AH6" s="190">
        <f t="shared" si="9"/>
        <v>0</v>
      </c>
      <c r="AI6" s="310">
        <v>257.44900000000001</v>
      </c>
      <c r="AJ6" s="126">
        <f t="shared" si="10"/>
        <v>0</v>
      </c>
      <c r="AK6" s="127">
        <f t="shared" si="10"/>
        <v>0</v>
      </c>
      <c r="AL6" s="127">
        <f t="shared" si="10"/>
        <v>0</v>
      </c>
      <c r="AM6" s="127">
        <f t="shared" si="10"/>
        <v>0</v>
      </c>
      <c r="AN6" s="128">
        <f t="shared" si="10"/>
        <v>0</v>
      </c>
      <c r="AO6" s="107">
        <f t="shared" si="20"/>
        <v>1550</v>
      </c>
      <c r="AP6" s="108">
        <f t="shared" si="21"/>
        <v>19160</v>
      </c>
      <c r="AQ6" s="108">
        <f t="shared" si="22"/>
        <v>36239</v>
      </c>
      <c r="AR6" s="108">
        <f t="shared" si="23"/>
        <v>1560</v>
      </c>
      <c r="AS6" s="109">
        <f t="shared" si="24"/>
        <v>3640</v>
      </c>
      <c r="AT6" s="107">
        <f t="shared" si="11"/>
        <v>0</v>
      </c>
      <c r="AU6" s="108">
        <f t="shared" si="25"/>
        <v>0</v>
      </c>
      <c r="AV6" s="108">
        <f t="shared" si="26"/>
        <v>0</v>
      </c>
      <c r="AW6" s="108">
        <f t="shared" si="12"/>
        <v>0</v>
      </c>
      <c r="AX6" s="109">
        <f t="shared" si="13"/>
        <v>0</v>
      </c>
      <c r="AY6" s="107">
        <f t="shared" si="14"/>
        <v>0</v>
      </c>
      <c r="AZ6" s="108">
        <v>1000</v>
      </c>
      <c r="BA6" s="108">
        <f>AY6/AI6</f>
        <v>0</v>
      </c>
      <c r="BB6" s="102"/>
      <c r="BC6" s="103"/>
      <c r="BE6" s="306"/>
      <c r="BG6" s="307"/>
      <c r="BH6" s="306"/>
    </row>
    <row r="7" spans="1:60" ht="14.95" thickBot="1" x14ac:dyDescent="0.3">
      <c r="A7" s="152">
        <f>+A6</f>
        <v>46024</v>
      </c>
      <c r="B7" s="211">
        <f>DAY(Tabla2[[#This Row],[FECHA]])</f>
        <v>2</v>
      </c>
      <c r="C7" s="135" t="s">
        <v>30</v>
      </c>
      <c r="D7" s="136"/>
      <c r="E7" s="137"/>
      <c r="F7" s="138"/>
      <c r="G7" s="139"/>
      <c r="H7" s="140"/>
      <c r="I7" s="290">
        <f>((Tabla2[[#This Row],[VOLUMEN ENVIADO A RO (m3)]]/80)/3)*60</f>
        <v>0</v>
      </c>
      <c r="J7" s="276">
        <v>0</v>
      </c>
      <c r="K7" s="283">
        <v>52</v>
      </c>
      <c r="L7" s="284">
        <v>32</v>
      </c>
      <c r="M7" s="283">
        <v>0</v>
      </c>
      <c r="N7" s="284">
        <v>0</v>
      </c>
      <c r="O7" s="196">
        <f t="shared" si="0"/>
        <v>0</v>
      </c>
      <c r="P7" s="197">
        <f t="shared" si="1"/>
        <v>456.14035087719299</v>
      </c>
      <c r="Q7" s="197">
        <f t="shared" si="2"/>
        <v>280.70175438596493</v>
      </c>
      <c r="R7" s="197">
        <f t="shared" si="3"/>
        <v>0</v>
      </c>
      <c r="S7" s="197">
        <f t="shared" si="4"/>
        <v>0</v>
      </c>
      <c r="T7" s="188">
        <f t="shared" si="15"/>
        <v>0</v>
      </c>
      <c r="U7" s="189">
        <f t="shared" si="16"/>
        <v>0</v>
      </c>
      <c r="V7" s="189">
        <f t="shared" si="17"/>
        <v>0</v>
      </c>
      <c r="W7" s="189">
        <f t="shared" si="18"/>
        <v>0</v>
      </c>
      <c r="X7" s="190">
        <f t="shared" si="19"/>
        <v>0</v>
      </c>
      <c r="Y7" s="195">
        <v>1.18</v>
      </c>
      <c r="Z7" s="195">
        <v>1.28</v>
      </c>
      <c r="AA7" s="195">
        <v>1.2</v>
      </c>
      <c r="AB7" s="195">
        <v>1.53</v>
      </c>
      <c r="AC7" s="195">
        <v>1.2</v>
      </c>
      <c r="AD7" s="199">
        <f t="shared" si="5"/>
        <v>0</v>
      </c>
      <c r="AE7" s="200">
        <f t="shared" si="6"/>
        <v>0</v>
      </c>
      <c r="AF7" s="200">
        <f t="shared" si="7"/>
        <v>0</v>
      </c>
      <c r="AG7" s="200">
        <f t="shared" si="8"/>
        <v>0</v>
      </c>
      <c r="AH7" s="201">
        <f t="shared" si="9"/>
        <v>0</v>
      </c>
      <c r="AI7" s="311">
        <v>0</v>
      </c>
      <c r="AJ7" s="141" t="e">
        <f>(AD7*1000)/$AI9</f>
        <v>#DIV/0!</v>
      </c>
      <c r="AK7" s="142" t="e">
        <f>(AE7*1000)/$AI9</f>
        <v>#DIV/0!</v>
      </c>
      <c r="AL7" s="142" t="e">
        <f>(AF7*1000)/$AI9</f>
        <v>#DIV/0!</v>
      </c>
      <c r="AM7" s="142" t="e">
        <f>(AG7*1000)/$AI9</f>
        <v>#DIV/0!</v>
      </c>
      <c r="AN7" s="143" t="e">
        <f>(AH7*1000)/$AI9</f>
        <v>#DIV/0!</v>
      </c>
      <c r="AO7" s="107">
        <f t="shared" si="20"/>
        <v>1550</v>
      </c>
      <c r="AP7" s="108">
        <f t="shared" si="21"/>
        <v>19160</v>
      </c>
      <c r="AQ7" s="108">
        <f t="shared" si="22"/>
        <v>36239</v>
      </c>
      <c r="AR7" s="108">
        <f t="shared" si="23"/>
        <v>1560</v>
      </c>
      <c r="AS7" s="109">
        <f t="shared" si="24"/>
        <v>3640</v>
      </c>
      <c r="AT7" s="110">
        <f t="shared" si="11"/>
        <v>0</v>
      </c>
      <c r="AU7" s="111">
        <f t="shared" si="25"/>
        <v>0</v>
      </c>
      <c r="AV7" s="111">
        <f t="shared" si="26"/>
        <v>0</v>
      </c>
      <c r="AW7" s="111">
        <f t="shared" si="12"/>
        <v>0</v>
      </c>
      <c r="AX7" s="112">
        <f t="shared" si="13"/>
        <v>0</v>
      </c>
      <c r="AY7" s="110">
        <f t="shared" si="14"/>
        <v>0</v>
      </c>
      <c r="AZ7" s="111">
        <v>1000</v>
      </c>
      <c r="BA7" s="111" t="e">
        <f>AY7/AI9</f>
        <v>#DIV/0!</v>
      </c>
      <c r="BB7" s="101"/>
      <c r="BC7" s="104"/>
      <c r="BE7" s="306"/>
      <c r="BG7" s="307"/>
      <c r="BH7" s="306"/>
    </row>
    <row r="8" spans="1:60" ht="14.95" thickBot="1" x14ac:dyDescent="0.3">
      <c r="A8" s="144">
        <f>+A7+1</f>
        <v>46025</v>
      </c>
      <c r="B8" s="99">
        <f>DAY(Tabla2[[#This Row],[FECHA]])</f>
        <v>3</v>
      </c>
      <c r="C8" s="122" t="s">
        <v>28</v>
      </c>
      <c r="D8" s="145"/>
      <c r="E8" s="146"/>
      <c r="F8" s="147"/>
      <c r="G8" s="147"/>
      <c r="H8" s="146"/>
      <c r="I8" s="290">
        <f>((Tabla2[[#This Row],[VOLUMEN ENVIADO A RO (m3)]]/80)/3)*60</f>
        <v>0</v>
      </c>
      <c r="J8" s="276">
        <v>0</v>
      </c>
      <c r="K8" s="277">
        <v>52</v>
      </c>
      <c r="L8" s="278">
        <v>32</v>
      </c>
      <c r="M8" s="277">
        <v>0</v>
      </c>
      <c r="N8" s="278">
        <v>0</v>
      </c>
      <c r="O8" s="202">
        <f t="shared" si="0"/>
        <v>0</v>
      </c>
      <c r="P8" s="203">
        <f t="shared" si="1"/>
        <v>456.14035087719299</v>
      </c>
      <c r="Q8" s="186">
        <f t="shared" si="2"/>
        <v>280.70175438596493</v>
      </c>
      <c r="R8" s="203">
        <f t="shared" si="3"/>
        <v>0</v>
      </c>
      <c r="S8" s="203">
        <f t="shared" si="4"/>
        <v>0</v>
      </c>
      <c r="T8" s="188">
        <f t="shared" si="15"/>
        <v>0</v>
      </c>
      <c r="U8" s="189">
        <f t="shared" si="16"/>
        <v>0</v>
      </c>
      <c r="V8" s="189">
        <f t="shared" si="17"/>
        <v>0</v>
      </c>
      <c r="W8" s="189">
        <f t="shared" si="18"/>
        <v>0</v>
      </c>
      <c r="X8" s="190">
        <f t="shared" si="19"/>
        <v>0</v>
      </c>
      <c r="Y8" s="195">
        <v>1.18</v>
      </c>
      <c r="Z8" s="195">
        <v>1.28</v>
      </c>
      <c r="AA8" s="195">
        <v>1.2</v>
      </c>
      <c r="AB8" s="195">
        <v>1.53</v>
      </c>
      <c r="AC8" s="195">
        <v>1.2</v>
      </c>
      <c r="AD8" s="204">
        <f t="shared" si="5"/>
        <v>0</v>
      </c>
      <c r="AE8" s="205">
        <f t="shared" si="6"/>
        <v>0</v>
      </c>
      <c r="AF8" s="205">
        <f t="shared" si="7"/>
        <v>0</v>
      </c>
      <c r="AG8" s="205">
        <f t="shared" si="8"/>
        <v>0</v>
      </c>
      <c r="AH8" s="206">
        <f t="shared" si="9"/>
        <v>0</v>
      </c>
      <c r="AI8" s="309">
        <v>0</v>
      </c>
      <c r="AJ8" s="148" t="e">
        <f>(AD8*1000)/$AI12</f>
        <v>#DIV/0!</v>
      </c>
      <c r="AK8" s="149" t="e">
        <f>(AE8*1000)/$AI12</f>
        <v>#DIV/0!</v>
      </c>
      <c r="AL8" s="149" t="e">
        <f>(AF8*1000)/$AI12</f>
        <v>#DIV/0!</v>
      </c>
      <c r="AM8" s="149" t="e">
        <f>(AG8*1000)/$AI12</f>
        <v>#DIV/0!</v>
      </c>
      <c r="AN8" s="150" t="e">
        <f>(AH8*1000)/$AI12</f>
        <v>#DIV/0!</v>
      </c>
      <c r="AO8" s="107">
        <f t="shared" si="20"/>
        <v>1550</v>
      </c>
      <c r="AP8" s="108">
        <f t="shared" si="21"/>
        <v>19160</v>
      </c>
      <c r="AQ8" s="108">
        <f t="shared" si="22"/>
        <v>36239</v>
      </c>
      <c r="AR8" s="108">
        <f t="shared" si="23"/>
        <v>1560</v>
      </c>
      <c r="AS8" s="109">
        <f t="shared" si="24"/>
        <v>3640</v>
      </c>
      <c r="AT8" s="107">
        <f t="shared" si="11"/>
        <v>0</v>
      </c>
      <c r="AU8" s="108">
        <f t="shared" si="25"/>
        <v>0</v>
      </c>
      <c r="AV8" s="108">
        <f t="shared" si="26"/>
        <v>0</v>
      </c>
      <c r="AW8" s="108">
        <f t="shared" si="12"/>
        <v>0</v>
      </c>
      <c r="AX8" s="109">
        <f t="shared" si="13"/>
        <v>0</v>
      </c>
      <c r="AY8" s="107">
        <f t="shared" si="14"/>
        <v>0</v>
      </c>
      <c r="AZ8" s="108">
        <v>1000</v>
      </c>
      <c r="BA8" s="108" t="e">
        <f>AY8/AI12</f>
        <v>#DIV/0!</v>
      </c>
      <c r="BB8" s="102"/>
      <c r="BC8" s="103"/>
      <c r="BE8" s="306"/>
      <c r="BG8" s="307"/>
      <c r="BH8" s="306"/>
    </row>
    <row r="9" spans="1:60" ht="14.95" thickBot="1" x14ac:dyDescent="0.3">
      <c r="A9" s="151">
        <f>+A8</f>
        <v>46025</v>
      </c>
      <c r="B9" s="210">
        <f>DAY(Tabla2[[#This Row],[FECHA]])</f>
        <v>3</v>
      </c>
      <c r="C9" s="130" t="s">
        <v>29</v>
      </c>
      <c r="D9" s="131"/>
      <c r="E9" s="132"/>
      <c r="F9" s="133"/>
      <c r="G9" s="133"/>
      <c r="H9" s="132"/>
      <c r="I9" s="290">
        <f>((Tabla2[[#This Row],[VOLUMEN ENVIADO A RO (m3)]]/80)/3)*60</f>
        <v>0</v>
      </c>
      <c r="J9" s="276">
        <v>0</v>
      </c>
      <c r="K9" s="280">
        <v>52</v>
      </c>
      <c r="L9" s="281">
        <v>32</v>
      </c>
      <c r="M9" s="280">
        <v>0</v>
      </c>
      <c r="N9" s="281">
        <v>0</v>
      </c>
      <c r="O9" s="192">
        <f t="shared" si="0"/>
        <v>0</v>
      </c>
      <c r="P9" s="193">
        <f t="shared" si="1"/>
        <v>456.14035087719299</v>
      </c>
      <c r="Q9" s="193">
        <f t="shared" si="2"/>
        <v>280.70175438596493</v>
      </c>
      <c r="R9" s="193">
        <f t="shared" si="3"/>
        <v>0</v>
      </c>
      <c r="S9" s="193">
        <f t="shared" si="4"/>
        <v>0</v>
      </c>
      <c r="T9" s="188">
        <f t="shared" si="15"/>
        <v>0</v>
      </c>
      <c r="U9" s="189">
        <f t="shared" si="16"/>
        <v>0</v>
      </c>
      <c r="V9" s="189">
        <f t="shared" si="17"/>
        <v>0</v>
      </c>
      <c r="W9" s="189">
        <f t="shared" si="18"/>
        <v>0</v>
      </c>
      <c r="X9" s="190">
        <f t="shared" si="19"/>
        <v>0</v>
      </c>
      <c r="Y9" s="195">
        <v>1.18</v>
      </c>
      <c r="Z9" s="195">
        <v>1.28</v>
      </c>
      <c r="AA9" s="195">
        <v>1.2</v>
      </c>
      <c r="AB9" s="195">
        <v>1.53</v>
      </c>
      <c r="AC9" s="195">
        <v>1.2</v>
      </c>
      <c r="AD9" s="188">
        <f t="shared" si="5"/>
        <v>0</v>
      </c>
      <c r="AE9" s="189">
        <f t="shared" si="6"/>
        <v>0</v>
      </c>
      <c r="AF9" s="189">
        <f t="shared" si="7"/>
        <v>0</v>
      </c>
      <c r="AG9" s="189">
        <f t="shared" si="8"/>
        <v>0</v>
      </c>
      <c r="AH9" s="190">
        <f t="shared" si="9"/>
        <v>0</v>
      </c>
      <c r="AI9" s="310">
        <v>0</v>
      </c>
      <c r="AJ9" s="126" t="e">
        <f>(AD9*1000)/$AI15</f>
        <v>#DIV/0!</v>
      </c>
      <c r="AK9" s="127" t="e">
        <f>(AE9*1000)/$AI15</f>
        <v>#DIV/0!</v>
      </c>
      <c r="AL9" s="127" t="e">
        <f>(AF9*1000)/$AI15</f>
        <v>#DIV/0!</v>
      </c>
      <c r="AM9" s="127" t="e">
        <f>(AG9*1000)/$AI15</f>
        <v>#DIV/0!</v>
      </c>
      <c r="AN9" s="128" t="e">
        <f>(AH9*1000)/$AI15</f>
        <v>#DIV/0!</v>
      </c>
      <c r="AO9" s="107">
        <f t="shared" si="20"/>
        <v>1550</v>
      </c>
      <c r="AP9" s="108">
        <f t="shared" si="21"/>
        <v>19160</v>
      </c>
      <c r="AQ9" s="108">
        <f t="shared" si="22"/>
        <v>36239</v>
      </c>
      <c r="AR9" s="108">
        <f t="shared" si="23"/>
        <v>1560</v>
      </c>
      <c r="AS9" s="109">
        <f t="shared" si="24"/>
        <v>3640</v>
      </c>
      <c r="AT9" s="107">
        <f t="shared" si="11"/>
        <v>0</v>
      </c>
      <c r="AU9" s="108">
        <f t="shared" si="25"/>
        <v>0</v>
      </c>
      <c r="AV9" s="108">
        <f t="shared" si="26"/>
        <v>0</v>
      </c>
      <c r="AW9" s="108">
        <f t="shared" si="12"/>
        <v>0</v>
      </c>
      <c r="AX9" s="109">
        <f t="shared" si="13"/>
        <v>0</v>
      </c>
      <c r="AY9" s="107">
        <f t="shared" si="14"/>
        <v>0</v>
      </c>
      <c r="AZ9" s="108">
        <v>1000</v>
      </c>
      <c r="BA9" s="108" t="e">
        <f>AY9/AI15</f>
        <v>#DIV/0!</v>
      </c>
      <c r="BB9" s="102"/>
      <c r="BC9" s="103"/>
      <c r="BE9" s="306"/>
      <c r="BG9" s="307"/>
      <c r="BH9" s="306"/>
    </row>
    <row r="10" spans="1:60" ht="14.95" thickBot="1" x14ac:dyDescent="0.3">
      <c r="A10" s="152">
        <f>+A9</f>
        <v>46025</v>
      </c>
      <c r="B10" s="211">
        <f>DAY(Tabla2[[#This Row],[FECHA]])</f>
        <v>3</v>
      </c>
      <c r="C10" s="135" t="s">
        <v>30</v>
      </c>
      <c r="D10" s="136"/>
      <c r="E10" s="137"/>
      <c r="F10" s="138"/>
      <c r="G10" s="139"/>
      <c r="H10" s="140"/>
      <c r="I10" s="290">
        <f>((Tabla2[[#This Row],[VOLUMEN ENVIADO A RO (m3)]]/80)/3)*60</f>
        <v>0</v>
      </c>
      <c r="J10" s="276">
        <v>0</v>
      </c>
      <c r="K10" s="283">
        <v>52</v>
      </c>
      <c r="L10" s="284">
        <v>32</v>
      </c>
      <c r="M10" s="283">
        <v>0</v>
      </c>
      <c r="N10" s="284">
        <v>0</v>
      </c>
      <c r="O10" s="192">
        <f t="shared" si="0"/>
        <v>0</v>
      </c>
      <c r="P10" s="197">
        <f t="shared" si="1"/>
        <v>456.14035087719299</v>
      </c>
      <c r="Q10" s="197">
        <f t="shared" si="2"/>
        <v>280.70175438596493</v>
      </c>
      <c r="R10" s="197">
        <f t="shared" si="3"/>
        <v>0</v>
      </c>
      <c r="S10" s="197">
        <f t="shared" si="4"/>
        <v>0</v>
      </c>
      <c r="T10" s="188">
        <f t="shared" si="15"/>
        <v>0</v>
      </c>
      <c r="U10" s="189">
        <f t="shared" si="16"/>
        <v>0</v>
      </c>
      <c r="V10" s="189">
        <f t="shared" si="17"/>
        <v>0</v>
      </c>
      <c r="W10" s="189">
        <f t="shared" si="18"/>
        <v>0</v>
      </c>
      <c r="X10" s="190">
        <f t="shared" si="19"/>
        <v>0</v>
      </c>
      <c r="Y10" s="195">
        <v>1.18</v>
      </c>
      <c r="Z10" s="195">
        <v>1.28</v>
      </c>
      <c r="AA10" s="195">
        <v>1.2</v>
      </c>
      <c r="AB10" s="195">
        <v>1.53</v>
      </c>
      <c r="AC10" s="195">
        <v>1.2</v>
      </c>
      <c r="AD10" s="199">
        <f t="shared" si="5"/>
        <v>0</v>
      </c>
      <c r="AE10" s="200">
        <f t="shared" si="6"/>
        <v>0</v>
      </c>
      <c r="AF10" s="200">
        <f t="shared" si="7"/>
        <v>0</v>
      </c>
      <c r="AG10" s="200">
        <f t="shared" si="8"/>
        <v>0</v>
      </c>
      <c r="AH10" s="201">
        <f t="shared" si="9"/>
        <v>0</v>
      </c>
      <c r="AI10" s="311">
        <v>0</v>
      </c>
      <c r="AJ10" s="141">
        <f>(AD10*1000)/$AI18</f>
        <v>0</v>
      </c>
      <c r="AK10" s="142">
        <f>(AE10*1000)/$AI18</f>
        <v>0</v>
      </c>
      <c r="AL10" s="142">
        <f>(AF10*1000)/$AI18</f>
        <v>0</v>
      </c>
      <c r="AM10" s="142">
        <f>(AG10*1000)/$AI18</f>
        <v>0</v>
      </c>
      <c r="AN10" s="143">
        <f>(AH10*1000)/$AI18</f>
        <v>0</v>
      </c>
      <c r="AO10" s="107">
        <f t="shared" si="20"/>
        <v>1550</v>
      </c>
      <c r="AP10" s="108">
        <f t="shared" si="21"/>
        <v>19160</v>
      </c>
      <c r="AQ10" s="108">
        <f t="shared" si="22"/>
        <v>36239</v>
      </c>
      <c r="AR10" s="108">
        <f t="shared" si="23"/>
        <v>1560</v>
      </c>
      <c r="AS10" s="109">
        <f t="shared" si="24"/>
        <v>3640</v>
      </c>
      <c r="AT10" s="110">
        <f t="shared" si="11"/>
        <v>0</v>
      </c>
      <c r="AU10" s="111">
        <f t="shared" si="25"/>
        <v>0</v>
      </c>
      <c r="AV10" s="111">
        <f t="shared" si="26"/>
        <v>0</v>
      </c>
      <c r="AW10" s="111">
        <f t="shared" si="12"/>
        <v>0</v>
      </c>
      <c r="AX10" s="112">
        <f t="shared" si="13"/>
        <v>0</v>
      </c>
      <c r="AY10" s="110">
        <f t="shared" si="14"/>
        <v>0</v>
      </c>
      <c r="AZ10" s="111">
        <v>1000</v>
      </c>
      <c r="BA10" s="111">
        <f>AY10/AI18</f>
        <v>0</v>
      </c>
      <c r="BB10" s="101"/>
      <c r="BC10" s="104"/>
      <c r="BE10" s="306"/>
      <c r="BG10" s="307"/>
      <c r="BH10" s="306"/>
    </row>
    <row r="11" spans="1:60" ht="14.95" thickBot="1" x14ac:dyDescent="0.3">
      <c r="A11" s="144">
        <f>+A10+1</f>
        <v>46026</v>
      </c>
      <c r="B11" s="99">
        <f>DAY(Tabla2[[#This Row],[FECHA]])</f>
        <v>4</v>
      </c>
      <c r="C11" s="122" t="s">
        <v>28</v>
      </c>
      <c r="D11" s="145"/>
      <c r="E11" s="146"/>
      <c r="F11" s="147"/>
      <c r="G11" s="147"/>
      <c r="H11" s="146"/>
      <c r="I11" s="290">
        <f>((Tabla2[[#This Row],[VOLUMEN ENVIADO A RO (m3)]]/80)/3)*60</f>
        <v>0</v>
      </c>
      <c r="J11" s="276">
        <v>0</v>
      </c>
      <c r="K11" s="280">
        <v>52</v>
      </c>
      <c r="L11" s="281">
        <v>32</v>
      </c>
      <c r="M11" s="277">
        <v>0</v>
      </c>
      <c r="N11" s="281">
        <v>0</v>
      </c>
      <c r="O11" s="192">
        <f t="shared" si="0"/>
        <v>0</v>
      </c>
      <c r="P11" s="203">
        <f t="shared" si="1"/>
        <v>456.14035087719299</v>
      </c>
      <c r="Q11" s="186">
        <f t="shared" si="2"/>
        <v>280.70175438596493</v>
      </c>
      <c r="R11" s="203">
        <f t="shared" si="3"/>
        <v>0</v>
      </c>
      <c r="S11" s="203">
        <f t="shared" si="4"/>
        <v>0</v>
      </c>
      <c r="T11" s="188">
        <f t="shared" si="15"/>
        <v>0</v>
      </c>
      <c r="U11" s="189">
        <f t="shared" si="16"/>
        <v>0</v>
      </c>
      <c r="V11" s="189">
        <f t="shared" si="17"/>
        <v>0</v>
      </c>
      <c r="W11" s="189">
        <f t="shared" si="18"/>
        <v>0</v>
      </c>
      <c r="X11" s="190">
        <f t="shared" si="19"/>
        <v>0</v>
      </c>
      <c r="Y11" s="195">
        <v>1.18</v>
      </c>
      <c r="Z11" s="195">
        <v>1.28</v>
      </c>
      <c r="AA11" s="195">
        <v>1.2</v>
      </c>
      <c r="AB11" s="195">
        <v>1.53</v>
      </c>
      <c r="AC11" s="195">
        <v>1.2</v>
      </c>
      <c r="AD11" s="204">
        <f t="shared" si="5"/>
        <v>0</v>
      </c>
      <c r="AE11" s="205">
        <f t="shared" si="6"/>
        <v>0</v>
      </c>
      <c r="AF11" s="205">
        <f t="shared" si="7"/>
        <v>0</v>
      </c>
      <c r="AG11" s="205">
        <f t="shared" si="8"/>
        <v>0</v>
      </c>
      <c r="AH11" s="206">
        <f t="shared" si="9"/>
        <v>0</v>
      </c>
      <c r="AI11" s="309">
        <v>0</v>
      </c>
      <c r="AJ11" s="148">
        <f>(AD11*1000)/$AI21</f>
        <v>0</v>
      </c>
      <c r="AK11" s="149">
        <f>(AE11*1000)/$AI21</f>
        <v>0</v>
      </c>
      <c r="AL11" s="149">
        <f>(AF11*1000)/$AI21</f>
        <v>0</v>
      </c>
      <c r="AM11" s="149">
        <f>(AG11*1000)/$AI21</f>
        <v>0</v>
      </c>
      <c r="AN11" s="150">
        <f>(AH11*1000)/$AI21</f>
        <v>0</v>
      </c>
      <c r="AO11" s="107">
        <f t="shared" si="20"/>
        <v>1550</v>
      </c>
      <c r="AP11" s="108">
        <f t="shared" si="21"/>
        <v>19160</v>
      </c>
      <c r="AQ11" s="108">
        <f t="shared" si="22"/>
        <v>36239</v>
      </c>
      <c r="AR11" s="108">
        <f t="shared" si="23"/>
        <v>1560</v>
      </c>
      <c r="AS11" s="109">
        <f t="shared" si="24"/>
        <v>3640</v>
      </c>
      <c r="AT11" s="107">
        <f t="shared" si="11"/>
        <v>0</v>
      </c>
      <c r="AU11" s="108">
        <f t="shared" si="25"/>
        <v>0</v>
      </c>
      <c r="AV11" s="108">
        <f t="shared" si="26"/>
        <v>0</v>
      </c>
      <c r="AW11" s="108">
        <f t="shared" si="12"/>
        <v>0</v>
      </c>
      <c r="AX11" s="109">
        <f t="shared" si="13"/>
        <v>0</v>
      </c>
      <c r="AY11" s="107">
        <f t="shared" si="14"/>
        <v>0</v>
      </c>
      <c r="AZ11" s="108">
        <v>1000</v>
      </c>
      <c r="BA11" s="108">
        <f>AY11/AI21</f>
        <v>0</v>
      </c>
      <c r="BB11" s="102"/>
      <c r="BC11" s="103"/>
      <c r="BE11" s="306"/>
      <c r="BG11" s="307"/>
      <c r="BH11" s="306"/>
    </row>
    <row r="12" spans="1:60" ht="14.95" thickBot="1" x14ac:dyDescent="0.3">
      <c r="A12" s="151">
        <f>+A11</f>
        <v>46026</v>
      </c>
      <c r="B12" s="210">
        <f>DAY(Tabla2[[#This Row],[FECHA]])</f>
        <v>4</v>
      </c>
      <c r="C12" s="130" t="s">
        <v>29</v>
      </c>
      <c r="D12" s="131"/>
      <c r="E12" s="132"/>
      <c r="F12" s="133"/>
      <c r="G12" s="133"/>
      <c r="H12" s="132"/>
      <c r="I12" s="290">
        <f>((Tabla2[[#This Row],[VOLUMEN ENVIADO A RO (m3)]]/80)/3)*60</f>
        <v>0</v>
      </c>
      <c r="J12" s="276">
        <v>0</v>
      </c>
      <c r="K12" s="280">
        <v>52</v>
      </c>
      <c r="L12" s="281">
        <v>32</v>
      </c>
      <c r="M12" s="280">
        <v>0</v>
      </c>
      <c r="N12" s="281">
        <v>0</v>
      </c>
      <c r="O12" s="192">
        <f t="shared" si="0"/>
        <v>0</v>
      </c>
      <c r="P12" s="193">
        <f t="shared" si="1"/>
        <v>456.14035087719299</v>
      </c>
      <c r="Q12" s="193">
        <f t="shared" si="2"/>
        <v>280.70175438596493</v>
      </c>
      <c r="R12" s="193">
        <f t="shared" si="3"/>
        <v>0</v>
      </c>
      <c r="S12" s="193">
        <f t="shared" si="4"/>
        <v>0</v>
      </c>
      <c r="T12" s="188">
        <f t="shared" si="15"/>
        <v>0</v>
      </c>
      <c r="U12" s="189">
        <f t="shared" si="16"/>
        <v>0</v>
      </c>
      <c r="V12" s="189">
        <f t="shared" si="17"/>
        <v>0</v>
      </c>
      <c r="W12" s="189">
        <f t="shared" si="18"/>
        <v>0</v>
      </c>
      <c r="X12" s="190">
        <f t="shared" si="19"/>
        <v>0</v>
      </c>
      <c r="Y12" s="195">
        <v>1.18</v>
      </c>
      <c r="Z12" s="195">
        <v>1.28</v>
      </c>
      <c r="AA12" s="195">
        <v>1.2</v>
      </c>
      <c r="AB12" s="195">
        <v>1.53</v>
      </c>
      <c r="AC12" s="195">
        <v>1.2</v>
      </c>
      <c r="AD12" s="188">
        <f t="shared" si="5"/>
        <v>0</v>
      </c>
      <c r="AE12" s="189">
        <f t="shared" si="6"/>
        <v>0</v>
      </c>
      <c r="AF12" s="189">
        <f t="shared" si="7"/>
        <v>0</v>
      </c>
      <c r="AG12" s="189">
        <f t="shared" si="8"/>
        <v>0</v>
      </c>
      <c r="AH12" s="190">
        <f t="shared" si="9"/>
        <v>0</v>
      </c>
      <c r="AI12" s="310">
        <v>0</v>
      </c>
      <c r="AJ12" s="126">
        <f>(AD12*1000)/$AI24</f>
        <v>0</v>
      </c>
      <c r="AK12" s="127">
        <f>(AE12*1000)/$AI24</f>
        <v>0</v>
      </c>
      <c r="AL12" s="127">
        <f>(AF12*1000)/$AI24</f>
        <v>0</v>
      </c>
      <c r="AM12" s="127">
        <f>(AG12*1000)/$AI24</f>
        <v>0</v>
      </c>
      <c r="AN12" s="128">
        <f>(AH12*1000)/$AI24</f>
        <v>0</v>
      </c>
      <c r="AO12" s="107">
        <f t="shared" si="20"/>
        <v>1550</v>
      </c>
      <c r="AP12" s="108">
        <f t="shared" si="21"/>
        <v>19160</v>
      </c>
      <c r="AQ12" s="108">
        <f t="shared" si="22"/>
        <v>36239</v>
      </c>
      <c r="AR12" s="108">
        <f t="shared" si="23"/>
        <v>1560</v>
      </c>
      <c r="AS12" s="109">
        <f t="shared" si="24"/>
        <v>3640</v>
      </c>
      <c r="AT12" s="107">
        <f t="shared" si="11"/>
        <v>0</v>
      </c>
      <c r="AU12" s="108">
        <f t="shared" si="25"/>
        <v>0</v>
      </c>
      <c r="AV12" s="108">
        <f t="shared" si="26"/>
        <v>0</v>
      </c>
      <c r="AW12" s="108">
        <f t="shared" si="12"/>
        <v>0</v>
      </c>
      <c r="AX12" s="109">
        <f t="shared" si="13"/>
        <v>0</v>
      </c>
      <c r="AY12" s="107">
        <f t="shared" si="14"/>
        <v>0</v>
      </c>
      <c r="AZ12" s="108">
        <v>1000</v>
      </c>
      <c r="BA12" s="108">
        <f>AY12/AI24</f>
        <v>0</v>
      </c>
      <c r="BB12" s="102"/>
      <c r="BC12" s="103"/>
      <c r="BE12" s="306"/>
      <c r="BG12" s="307"/>
      <c r="BH12" s="306"/>
    </row>
    <row r="13" spans="1:60" ht="14.95" thickBot="1" x14ac:dyDescent="0.3">
      <c r="A13" s="152">
        <f>+A12</f>
        <v>46026</v>
      </c>
      <c r="B13" s="211">
        <f>DAY(Tabla2[[#This Row],[FECHA]])</f>
        <v>4</v>
      </c>
      <c r="C13" s="135" t="s">
        <v>30</v>
      </c>
      <c r="D13" s="136"/>
      <c r="E13" s="137"/>
      <c r="F13" s="138"/>
      <c r="G13" s="139"/>
      <c r="H13" s="140"/>
      <c r="I13" s="290">
        <f>((Tabla2[[#This Row],[VOLUMEN ENVIADO A RO (m3)]]/80)/3)*60</f>
        <v>0</v>
      </c>
      <c r="J13" s="276">
        <v>0</v>
      </c>
      <c r="K13" s="283">
        <v>52</v>
      </c>
      <c r="L13" s="284">
        <v>32</v>
      </c>
      <c r="M13" s="283">
        <v>0</v>
      </c>
      <c r="N13" s="284">
        <v>0</v>
      </c>
      <c r="O13" s="192">
        <f t="shared" si="0"/>
        <v>0</v>
      </c>
      <c r="P13" s="197">
        <f t="shared" si="1"/>
        <v>456.14035087719299</v>
      </c>
      <c r="Q13" s="197">
        <f t="shared" si="2"/>
        <v>280.70175438596493</v>
      </c>
      <c r="R13" s="197">
        <f t="shared" si="3"/>
        <v>0</v>
      </c>
      <c r="S13" s="197">
        <f t="shared" si="4"/>
        <v>0</v>
      </c>
      <c r="T13" s="188">
        <f t="shared" si="15"/>
        <v>0</v>
      </c>
      <c r="U13" s="189">
        <f>P13-P14</f>
        <v>0</v>
      </c>
      <c r="V13" s="189">
        <f>Q13-Q14</f>
        <v>0</v>
      </c>
      <c r="W13" s="189">
        <f t="shared" si="18"/>
        <v>0</v>
      </c>
      <c r="X13" s="190">
        <f t="shared" si="19"/>
        <v>0</v>
      </c>
      <c r="Y13" s="195">
        <v>1.18</v>
      </c>
      <c r="Z13" s="195">
        <v>1.28</v>
      </c>
      <c r="AA13" s="195">
        <v>1.2</v>
      </c>
      <c r="AB13" s="195">
        <v>1.53</v>
      </c>
      <c r="AC13" s="195">
        <v>1.2</v>
      </c>
      <c r="AD13" s="199">
        <f t="shared" si="5"/>
        <v>0</v>
      </c>
      <c r="AE13" s="200">
        <f t="shared" si="6"/>
        <v>0</v>
      </c>
      <c r="AF13" s="200">
        <f t="shared" si="7"/>
        <v>0</v>
      </c>
      <c r="AG13" s="200">
        <f t="shared" si="8"/>
        <v>0</v>
      </c>
      <c r="AH13" s="201">
        <f t="shared" si="9"/>
        <v>0</v>
      </c>
      <c r="AI13" s="311">
        <v>0</v>
      </c>
      <c r="AJ13" s="141">
        <f>(AD13*1000)/$AI27</f>
        <v>0</v>
      </c>
      <c r="AK13" s="142">
        <f>(AE13*1000)/$AI27</f>
        <v>0</v>
      </c>
      <c r="AL13" s="142">
        <f>(AF13*1000)/$AI27</f>
        <v>0</v>
      </c>
      <c r="AM13" s="142">
        <f>(AG13*1000)/$AI27</f>
        <v>0</v>
      </c>
      <c r="AN13" s="143">
        <f>(AH13*1000)/$AI27</f>
        <v>0</v>
      </c>
      <c r="AO13" s="107">
        <f t="shared" si="20"/>
        <v>1550</v>
      </c>
      <c r="AP13" s="108">
        <f t="shared" si="21"/>
        <v>19160</v>
      </c>
      <c r="AQ13" s="108">
        <f t="shared" si="22"/>
        <v>36239</v>
      </c>
      <c r="AR13" s="108">
        <f t="shared" si="23"/>
        <v>1560</v>
      </c>
      <c r="AS13" s="109">
        <f t="shared" si="24"/>
        <v>3640</v>
      </c>
      <c r="AT13" s="110">
        <f t="shared" si="11"/>
        <v>0</v>
      </c>
      <c r="AU13" s="111">
        <f t="shared" si="25"/>
        <v>0</v>
      </c>
      <c r="AV13" s="111">
        <f t="shared" si="26"/>
        <v>0</v>
      </c>
      <c r="AW13" s="111">
        <f t="shared" si="12"/>
        <v>0</v>
      </c>
      <c r="AX13" s="112">
        <f t="shared" si="13"/>
        <v>0</v>
      </c>
      <c r="AY13" s="110">
        <f t="shared" si="14"/>
        <v>0</v>
      </c>
      <c r="AZ13" s="111">
        <v>1000</v>
      </c>
      <c r="BA13" s="111">
        <f>AY13/AI27</f>
        <v>0</v>
      </c>
      <c r="BB13" s="101"/>
      <c r="BC13" s="104"/>
      <c r="BE13" s="306"/>
      <c r="BG13" s="307"/>
      <c r="BH13" s="306"/>
    </row>
    <row r="14" spans="1:60" ht="14.95" thickBot="1" x14ac:dyDescent="0.3">
      <c r="A14" s="144">
        <f>+A13+1</f>
        <v>46027</v>
      </c>
      <c r="B14" s="99">
        <f>DAY(Tabla2[[#This Row],[FECHA]])</f>
        <v>5</v>
      </c>
      <c r="C14" s="122" t="s">
        <v>28</v>
      </c>
      <c r="D14" s="145"/>
      <c r="E14" s="146"/>
      <c r="F14" s="147"/>
      <c r="G14" s="147"/>
      <c r="H14" s="146"/>
      <c r="I14" s="290">
        <f>((Tabla2[[#This Row],[VOLUMEN ENVIADO A RO (m3)]]/80)/3)*60</f>
        <v>0</v>
      </c>
      <c r="J14" s="276">
        <v>0</v>
      </c>
      <c r="K14" s="277">
        <v>52</v>
      </c>
      <c r="L14" s="278">
        <v>32</v>
      </c>
      <c r="M14" s="277">
        <v>0</v>
      </c>
      <c r="N14" s="278">
        <v>0</v>
      </c>
      <c r="O14" s="192">
        <f t="shared" si="0"/>
        <v>0</v>
      </c>
      <c r="P14" s="203">
        <f t="shared" si="1"/>
        <v>456.14035087719299</v>
      </c>
      <c r="Q14" s="186">
        <f t="shared" si="2"/>
        <v>280.70175438596493</v>
      </c>
      <c r="R14" s="203">
        <f t="shared" si="3"/>
        <v>0</v>
      </c>
      <c r="S14" s="203">
        <f t="shared" si="4"/>
        <v>0</v>
      </c>
      <c r="T14" s="188">
        <f t="shared" si="15"/>
        <v>0</v>
      </c>
      <c r="U14" s="189">
        <f t="shared" si="16"/>
        <v>0</v>
      </c>
      <c r="V14" s="189">
        <f t="shared" si="17"/>
        <v>0</v>
      </c>
      <c r="W14" s="189">
        <f t="shared" si="18"/>
        <v>0</v>
      </c>
      <c r="X14" s="190">
        <f t="shared" si="19"/>
        <v>0</v>
      </c>
      <c r="Y14" s="195">
        <v>1.18</v>
      </c>
      <c r="Z14" s="195">
        <v>1.28</v>
      </c>
      <c r="AA14" s="195">
        <v>1.2</v>
      </c>
      <c r="AB14" s="195">
        <v>1.53</v>
      </c>
      <c r="AC14" s="195">
        <v>1.2</v>
      </c>
      <c r="AD14" s="204">
        <f t="shared" si="5"/>
        <v>0</v>
      </c>
      <c r="AE14" s="205">
        <f t="shared" si="6"/>
        <v>0</v>
      </c>
      <c r="AF14" s="205">
        <f t="shared" si="7"/>
        <v>0</v>
      </c>
      <c r="AG14" s="205">
        <f t="shared" si="8"/>
        <v>0</v>
      </c>
      <c r="AH14" s="206">
        <f t="shared" si="9"/>
        <v>0</v>
      </c>
      <c r="AI14" s="309">
        <v>0</v>
      </c>
      <c r="AJ14" s="148">
        <f>(AD14*1000)/$AI30</f>
        <v>0</v>
      </c>
      <c r="AK14" s="149">
        <f>(AE14*1000)/$AI30</f>
        <v>0</v>
      </c>
      <c r="AL14" s="149">
        <f>(AF14*1000)/$AI30</f>
        <v>0</v>
      </c>
      <c r="AM14" s="149">
        <f>(AG14*1000)/$AI30</f>
        <v>0</v>
      </c>
      <c r="AN14" s="150">
        <f>(AH14*1000)/$AI30</f>
        <v>0</v>
      </c>
      <c r="AO14" s="107">
        <f t="shared" si="20"/>
        <v>1550</v>
      </c>
      <c r="AP14" s="108">
        <f t="shared" si="21"/>
        <v>19160</v>
      </c>
      <c r="AQ14" s="108">
        <f t="shared" si="22"/>
        <v>36239</v>
      </c>
      <c r="AR14" s="108">
        <f t="shared" si="23"/>
        <v>1560</v>
      </c>
      <c r="AS14" s="109">
        <f t="shared" si="24"/>
        <v>3640</v>
      </c>
      <c r="AT14" s="107">
        <f t="shared" si="11"/>
        <v>0</v>
      </c>
      <c r="AU14" s="108">
        <f t="shared" si="25"/>
        <v>0</v>
      </c>
      <c r="AV14" s="108">
        <f t="shared" si="26"/>
        <v>0</v>
      </c>
      <c r="AW14" s="108">
        <f t="shared" si="12"/>
        <v>0</v>
      </c>
      <c r="AX14" s="109">
        <f t="shared" si="13"/>
        <v>0</v>
      </c>
      <c r="AY14" s="107">
        <f t="shared" si="14"/>
        <v>0</v>
      </c>
      <c r="AZ14" s="108">
        <v>1000</v>
      </c>
      <c r="BA14" s="108">
        <f>AY14/AI30</f>
        <v>0</v>
      </c>
      <c r="BB14" s="102"/>
      <c r="BC14" s="103"/>
      <c r="BE14" s="306"/>
      <c r="BG14" s="307"/>
      <c r="BH14" s="306"/>
    </row>
    <row r="15" spans="1:60" ht="14.95" thickBot="1" x14ac:dyDescent="0.3">
      <c r="A15" s="151">
        <f>+A14</f>
        <v>46027</v>
      </c>
      <c r="B15" s="210">
        <f>DAY(Tabla2[[#This Row],[FECHA]])</f>
        <v>5</v>
      </c>
      <c r="C15" s="130" t="s">
        <v>29</v>
      </c>
      <c r="D15" s="123"/>
      <c r="E15" s="124"/>
      <c r="F15" s="125"/>
      <c r="G15" s="125"/>
      <c r="H15" s="124"/>
      <c r="I15" s="290">
        <f>((Tabla2[[#This Row],[VOLUMEN ENVIADO A RO (m3)]]/80)/3)*60</f>
        <v>0</v>
      </c>
      <c r="J15" s="276">
        <v>0</v>
      </c>
      <c r="K15" s="280">
        <v>52</v>
      </c>
      <c r="L15" s="281">
        <v>32</v>
      </c>
      <c r="M15" s="280">
        <v>0</v>
      </c>
      <c r="N15" s="281">
        <v>0</v>
      </c>
      <c r="O15" s="192">
        <f t="shared" si="0"/>
        <v>0</v>
      </c>
      <c r="P15" s="193">
        <f t="shared" si="1"/>
        <v>456.14035087719299</v>
      </c>
      <c r="Q15" s="193">
        <f t="shared" si="2"/>
        <v>280.70175438596493</v>
      </c>
      <c r="R15" s="193">
        <f t="shared" si="3"/>
        <v>0</v>
      </c>
      <c r="S15" s="193">
        <f t="shared" si="4"/>
        <v>0</v>
      </c>
      <c r="T15" s="188">
        <f t="shared" si="15"/>
        <v>0</v>
      </c>
      <c r="U15" s="189">
        <f t="shared" si="16"/>
        <v>0</v>
      </c>
      <c r="V15" s="189">
        <f t="shared" si="17"/>
        <v>0</v>
      </c>
      <c r="W15" s="189">
        <f t="shared" si="18"/>
        <v>0</v>
      </c>
      <c r="X15" s="190">
        <f t="shared" si="19"/>
        <v>0</v>
      </c>
      <c r="Y15" s="195">
        <v>1.18</v>
      </c>
      <c r="Z15" s="195">
        <v>1.28</v>
      </c>
      <c r="AA15" s="195">
        <v>1.2</v>
      </c>
      <c r="AB15" s="195">
        <v>1.53</v>
      </c>
      <c r="AC15" s="195">
        <v>1.2</v>
      </c>
      <c r="AD15" s="188">
        <f t="shared" si="5"/>
        <v>0</v>
      </c>
      <c r="AE15" s="189">
        <f t="shared" si="6"/>
        <v>0</v>
      </c>
      <c r="AF15" s="189">
        <f t="shared" si="7"/>
        <v>0</v>
      </c>
      <c r="AG15" s="189">
        <f t="shared" si="8"/>
        <v>0</v>
      </c>
      <c r="AH15" s="190">
        <f t="shared" si="9"/>
        <v>0</v>
      </c>
      <c r="AI15" s="310">
        <v>0</v>
      </c>
      <c r="AJ15" s="126" t="e">
        <f>(AD15*1000)/$AI33</f>
        <v>#DIV/0!</v>
      </c>
      <c r="AK15" s="127" t="e">
        <f>(AE15*1000)/$AI33</f>
        <v>#DIV/0!</v>
      </c>
      <c r="AL15" s="127" t="e">
        <f>(AF15*1000)/$AI33</f>
        <v>#DIV/0!</v>
      </c>
      <c r="AM15" s="127" t="e">
        <f>(AG15*1000)/$AI33</f>
        <v>#DIV/0!</v>
      </c>
      <c r="AN15" s="128" t="e">
        <f>(AH15*1000)/$AI33</f>
        <v>#DIV/0!</v>
      </c>
      <c r="AO15" s="107">
        <f t="shared" si="20"/>
        <v>1550</v>
      </c>
      <c r="AP15" s="108">
        <f t="shared" si="21"/>
        <v>19160</v>
      </c>
      <c r="AQ15" s="108">
        <f t="shared" si="22"/>
        <v>36239</v>
      </c>
      <c r="AR15" s="108">
        <f t="shared" si="23"/>
        <v>1560</v>
      </c>
      <c r="AS15" s="109">
        <f t="shared" si="24"/>
        <v>3640</v>
      </c>
      <c r="AT15" s="107">
        <f t="shared" si="11"/>
        <v>0</v>
      </c>
      <c r="AU15" s="108">
        <f t="shared" si="25"/>
        <v>0</v>
      </c>
      <c r="AV15" s="108">
        <f t="shared" si="26"/>
        <v>0</v>
      </c>
      <c r="AW15" s="108">
        <f t="shared" si="12"/>
        <v>0</v>
      </c>
      <c r="AX15" s="109">
        <f t="shared" si="13"/>
        <v>0</v>
      </c>
      <c r="AY15" s="107">
        <f t="shared" si="14"/>
        <v>0</v>
      </c>
      <c r="AZ15" s="108">
        <v>1000</v>
      </c>
      <c r="BA15" s="108" t="e">
        <f>AY15/AI33</f>
        <v>#DIV/0!</v>
      </c>
      <c r="BB15" s="102"/>
      <c r="BC15" s="103"/>
      <c r="BE15" s="306"/>
      <c r="BG15" s="307"/>
      <c r="BH15" s="306"/>
    </row>
    <row r="16" spans="1:60" ht="14.95" thickBot="1" x14ac:dyDescent="0.3">
      <c r="A16" s="152">
        <f>+A15</f>
        <v>46027</v>
      </c>
      <c r="B16" s="211">
        <f>DAY(Tabla2[[#This Row],[FECHA]])</f>
        <v>5</v>
      </c>
      <c r="C16" s="135" t="s">
        <v>30</v>
      </c>
      <c r="D16" s="153"/>
      <c r="E16" s="154"/>
      <c r="F16" s="155"/>
      <c r="G16" s="155"/>
      <c r="H16" s="154"/>
      <c r="I16" s="290">
        <f>((Tabla2[[#This Row],[VOLUMEN ENVIADO A RO (m3)]]/80)/3)*60</f>
        <v>69.555750000000003</v>
      </c>
      <c r="J16" s="276">
        <v>0</v>
      </c>
      <c r="K16" s="283">
        <v>52</v>
      </c>
      <c r="L16" s="284">
        <v>32</v>
      </c>
      <c r="M16" s="283">
        <v>0</v>
      </c>
      <c r="N16" s="284">
        <v>0</v>
      </c>
      <c r="O16" s="192">
        <f t="shared" si="0"/>
        <v>0</v>
      </c>
      <c r="P16" s="197">
        <f t="shared" si="1"/>
        <v>456.14035087719299</v>
      </c>
      <c r="Q16" s="197">
        <f t="shared" si="2"/>
        <v>280.70175438596493</v>
      </c>
      <c r="R16" s="197">
        <f t="shared" si="3"/>
        <v>0</v>
      </c>
      <c r="S16" s="197">
        <f t="shared" si="4"/>
        <v>0</v>
      </c>
      <c r="T16" s="188">
        <f t="shared" si="15"/>
        <v>0</v>
      </c>
      <c r="U16" s="189">
        <f t="shared" si="16"/>
        <v>0</v>
      </c>
      <c r="V16" s="189">
        <f t="shared" si="17"/>
        <v>0</v>
      </c>
      <c r="W16" s="189">
        <f t="shared" si="18"/>
        <v>0</v>
      </c>
      <c r="X16" s="190">
        <f t="shared" si="19"/>
        <v>0</v>
      </c>
      <c r="Y16" s="195">
        <v>1.18</v>
      </c>
      <c r="Z16" s="195">
        <v>1.28</v>
      </c>
      <c r="AA16" s="195">
        <v>1.2</v>
      </c>
      <c r="AB16" s="195">
        <v>1.53</v>
      </c>
      <c r="AC16" s="195">
        <v>1.2</v>
      </c>
      <c r="AD16" s="199">
        <f t="shared" si="5"/>
        <v>0</v>
      </c>
      <c r="AE16" s="200">
        <f t="shared" si="6"/>
        <v>0</v>
      </c>
      <c r="AF16" s="200">
        <f t="shared" si="7"/>
        <v>0</v>
      </c>
      <c r="AG16" s="200">
        <f t="shared" si="8"/>
        <v>0</v>
      </c>
      <c r="AH16" s="201">
        <f t="shared" si="9"/>
        <v>0</v>
      </c>
      <c r="AI16" s="311">
        <v>278.22300000000001</v>
      </c>
      <c r="AJ16" s="141" t="e">
        <f>(AD16*1000)/$AI36</f>
        <v>#DIV/0!</v>
      </c>
      <c r="AK16" s="142" t="e">
        <f>(AE16*1000)/$AI36</f>
        <v>#DIV/0!</v>
      </c>
      <c r="AL16" s="142" t="e">
        <f>(AF16*1000)/$AI36</f>
        <v>#DIV/0!</v>
      </c>
      <c r="AM16" s="142" t="e">
        <f>(AG16*1000)/$AI36</f>
        <v>#DIV/0!</v>
      </c>
      <c r="AN16" s="143" t="e">
        <f>(AH16*1000)/$AI36</f>
        <v>#DIV/0!</v>
      </c>
      <c r="AO16" s="107">
        <f t="shared" si="20"/>
        <v>1550</v>
      </c>
      <c r="AP16" s="108">
        <f t="shared" si="21"/>
        <v>19160</v>
      </c>
      <c r="AQ16" s="108">
        <f t="shared" si="22"/>
        <v>36239</v>
      </c>
      <c r="AR16" s="108">
        <f t="shared" si="23"/>
        <v>1560</v>
      </c>
      <c r="AS16" s="109">
        <f t="shared" si="24"/>
        <v>3640</v>
      </c>
      <c r="AT16" s="110">
        <f t="shared" si="11"/>
        <v>0</v>
      </c>
      <c r="AU16" s="111">
        <f t="shared" si="25"/>
        <v>0</v>
      </c>
      <c r="AV16" s="111">
        <f t="shared" si="26"/>
        <v>0</v>
      </c>
      <c r="AW16" s="111">
        <f t="shared" si="12"/>
        <v>0</v>
      </c>
      <c r="AX16" s="112">
        <f t="shared" si="13"/>
        <v>0</v>
      </c>
      <c r="AY16" s="110">
        <f t="shared" si="14"/>
        <v>0</v>
      </c>
      <c r="AZ16" s="111">
        <v>1000</v>
      </c>
      <c r="BA16" s="111" t="e">
        <f>AY16/AI36</f>
        <v>#DIV/0!</v>
      </c>
      <c r="BB16" s="101"/>
      <c r="BC16" s="104"/>
      <c r="BE16" s="306"/>
      <c r="BG16" s="307"/>
      <c r="BH16" s="306"/>
    </row>
    <row r="17" spans="1:60" ht="14.95" thickBot="1" x14ac:dyDescent="0.3">
      <c r="A17" s="144">
        <f>+A16+1</f>
        <v>46028</v>
      </c>
      <c r="B17" s="212">
        <f>DAY(Tabla2[[#This Row],[FECHA]])</f>
        <v>6</v>
      </c>
      <c r="C17" s="156" t="s">
        <v>28</v>
      </c>
      <c r="D17" s="145"/>
      <c r="E17" s="146"/>
      <c r="F17" s="147"/>
      <c r="G17" s="147"/>
      <c r="H17" s="146"/>
      <c r="I17" s="290">
        <f>((Tabla2[[#This Row],[VOLUMEN ENVIADO A RO (m3)]]/80)/3)*60</f>
        <v>33.51</v>
      </c>
      <c r="J17" s="276">
        <v>0</v>
      </c>
      <c r="K17" s="277">
        <v>52</v>
      </c>
      <c r="L17" s="278">
        <v>32</v>
      </c>
      <c r="M17" s="277">
        <v>0</v>
      </c>
      <c r="N17" s="278">
        <v>0</v>
      </c>
      <c r="O17" s="192">
        <f t="shared" si="0"/>
        <v>0</v>
      </c>
      <c r="P17" s="203">
        <f t="shared" si="1"/>
        <v>456.14035087719299</v>
      </c>
      <c r="Q17" s="186">
        <f t="shared" si="2"/>
        <v>280.70175438596493</v>
      </c>
      <c r="R17" s="203">
        <f t="shared" si="3"/>
        <v>0</v>
      </c>
      <c r="S17" s="203">
        <f t="shared" si="4"/>
        <v>0</v>
      </c>
      <c r="T17" s="188">
        <f t="shared" si="15"/>
        <v>0</v>
      </c>
      <c r="U17" s="189">
        <f t="shared" si="16"/>
        <v>0</v>
      </c>
      <c r="V17" s="189">
        <f t="shared" si="17"/>
        <v>0</v>
      </c>
      <c r="W17" s="189">
        <f t="shared" si="18"/>
        <v>0</v>
      </c>
      <c r="X17" s="190">
        <f t="shared" si="19"/>
        <v>0</v>
      </c>
      <c r="Y17" s="195">
        <v>1.18</v>
      </c>
      <c r="Z17" s="195">
        <v>1.28</v>
      </c>
      <c r="AA17" s="195">
        <v>1.2</v>
      </c>
      <c r="AB17" s="195">
        <v>1.53</v>
      </c>
      <c r="AC17" s="195">
        <v>1.2</v>
      </c>
      <c r="AD17" s="204">
        <f t="shared" si="5"/>
        <v>0</v>
      </c>
      <c r="AE17" s="205">
        <f t="shared" si="6"/>
        <v>0</v>
      </c>
      <c r="AF17" s="205">
        <f t="shared" si="7"/>
        <v>0</v>
      </c>
      <c r="AG17" s="205">
        <f t="shared" si="8"/>
        <v>0</v>
      </c>
      <c r="AH17" s="206">
        <f t="shared" si="9"/>
        <v>0</v>
      </c>
      <c r="AI17" s="309">
        <v>134.04</v>
      </c>
      <c r="AJ17" s="148" t="e">
        <f>(AD17*1000)/$AI39</f>
        <v>#DIV/0!</v>
      </c>
      <c r="AK17" s="149" t="e">
        <f>(AE17*1000)/$AI39</f>
        <v>#DIV/0!</v>
      </c>
      <c r="AL17" s="149" t="e">
        <f>(AF17*1000)/$AI39</f>
        <v>#DIV/0!</v>
      </c>
      <c r="AM17" s="149" t="e">
        <f>(AG17*1000)/$AI39</f>
        <v>#DIV/0!</v>
      </c>
      <c r="AN17" s="150" t="e">
        <f>(AH17*1000)/$AI39</f>
        <v>#DIV/0!</v>
      </c>
      <c r="AO17" s="107">
        <f t="shared" si="20"/>
        <v>1550</v>
      </c>
      <c r="AP17" s="108">
        <f t="shared" si="21"/>
        <v>19160</v>
      </c>
      <c r="AQ17" s="108">
        <f t="shared" si="22"/>
        <v>36239</v>
      </c>
      <c r="AR17" s="108">
        <f t="shared" si="23"/>
        <v>1560</v>
      </c>
      <c r="AS17" s="109">
        <f t="shared" si="24"/>
        <v>3640</v>
      </c>
      <c r="AT17" s="107">
        <f t="shared" si="11"/>
        <v>0</v>
      </c>
      <c r="AU17" s="108">
        <f t="shared" si="25"/>
        <v>0</v>
      </c>
      <c r="AV17" s="108">
        <f t="shared" si="26"/>
        <v>0</v>
      </c>
      <c r="AW17" s="108">
        <f t="shared" si="12"/>
        <v>0</v>
      </c>
      <c r="AX17" s="109">
        <f t="shared" si="13"/>
        <v>0</v>
      </c>
      <c r="AY17" s="107">
        <f t="shared" si="14"/>
        <v>0</v>
      </c>
      <c r="AZ17" s="108">
        <v>1000</v>
      </c>
      <c r="BA17" s="108" t="e">
        <f>AY17/AI39</f>
        <v>#DIV/0!</v>
      </c>
      <c r="BB17" s="102"/>
      <c r="BC17" s="103"/>
      <c r="BE17" s="306"/>
      <c r="BG17" s="307"/>
      <c r="BH17" s="306"/>
    </row>
    <row r="18" spans="1:60" ht="14.95" thickBot="1" x14ac:dyDescent="0.3">
      <c r="A18" s="151">
        <f>+A17</f>
        <v>46028</v>
      </c>
      <c r="B18" s="210">
        <f>DAY(Tabla2[[#This Row],[FECHA]])</f>
        <v>6</v>
      </c>
      <c r="C18" s="130" t="s">
        <v>29</v>
      </c>
      <c r="D18" s="123"/>
      <c r="E18" s="124"/>
      <c r="F18" s="125"/>
      <c r="G18" s="125"/>
      <c r="H18" s="124"/>
      <c r="I18" s="290">
        <f>((Tabla2[[#This Row],[VOLUMEN ENVIADO A RO (m3)]]/80)/3)*60</f>
        <v>45.02924999999999</v>
      </c>
      <c r="J18" s="276">
        <v>0</v>
      </c>
      <c r="K18" s="280">
        <v>52</v>
      </c>
      <c r="L18" s="281">
        <v>32</v>
      </c>
      <c r="M18" s="280">
        <v>0</v>
      </c>
      <c r="N18" s="281">
        <v>0</v>
      </c>
      <c r="O18" s="192">
        <f t="shared" si="0"/>
        <v>0</v>
      </c>
      <c r="P18" s="193">
        <f t="shared" si="1"/>
        <v>456.14035087719299</v>
      </c>
      <c r="Q18" s="193">
        <f t="shared" si="2"/>
        <v>280.70175438596493</v>
      </c>
      <c r="R18" s="193">
        <f t="shared" si="3"/>
        <v>0</v>
      </c>
      <c r="S18" s="193">
        <f t="shared" si="4"/>
        <v>0</v>
      </c>
      <c r="T18" s="188">
        <f t="shared" si="15"/>
        <v>0</v>
      </c>
      <c r="U18" s="189">
        <f t="shared" si="16"/>
        <v>17.543859649122794</v>
      </c>
      <c r="V18" s="189">
        <f t="shared" si="17"/>
        <v>0</v>
      </c>
      <c r="W18" s="189">
        <f t="shared" si="18"/>
        <v>0</v>
      </c>
      <c r="X18" s="190">
        <f t="shared" si="19"/>
        <v>0</v>
      </c>
      <c r="Y18" s="195">
        <v>1.18</v>
      </c>
      <c r="Z18" s="195">
        <v>1.28</v>
      </c>
      <c r="AA18" s="195">
        <v>1.2</v>
      </c>
      <c r="AB18" s="195">
        <v>1.53</v>
      </c>
      <c r="AC18" s="195">
        <v>1.2</v>
      </c>
      <c r="AD18" s="188">
        <f t="shared" si="5"/>
        <v>0</v>
      </c>
      <c r="AE18" s="189">
        <f t="shared" si="6"/>
        <v>22.456140350877178</v>
      </c>
      <c r="AF18" s="189">
        <f t="shared" si="7"/>
        <v>0</v>
      </c>
      <c r="AG18" s="189">
        <f t="shared" si="8"/>
        <v>0</v>
      </c>
      <c r="AH18" s="190">
        <f t="shared" si="9"/>
        <v>0</v>
      </c>
      <c r="AI18" s="310">
        <v>180.11699999999999</v>
      </c>
      <c r="AJ18" s="126">
        <f>(AD18*1000)/$AI42</f>
        <v>0</v>
      </c>
      <c r="AK18" s="127">
        <f>(AE18*1000)/$AI42</f>
        <v>96.851318244805867</v>
      </c>
      <c r="AL18" s="127">
        <f>(AF18*1000)/$AI42</f>
        <v>0</v>
      </c>
      <c r="AM18" s="127">
        <f>(AG18*1000)/$AI42</f>
        <v>0</v>
      </c>
      <c r="AN18" s="128">
        <f>(AH18*1000)/$AI42</f>
        <v>0</v>
      </c>
      <c r="AO18" s="107">
        <f t="shared" si="20"/>
        <v>1550</v>
      </c>
      <c r="AP18" s="108">
        <f t="shared" si="21"/>
        <v>19160</v>
      </c>
      <c r="AQ18" s="108">
        <f t="shared" si="22"/>
        <v>36239</v>
      </c>
      <c r="AR18" s="108">
        <f t="shared" si="23"/>
        <v>1560</v>
      </c>
      <c r="AS18" s="109">
        <f t="shared" si="24"/>
        <v>3640</v>
      </c>
      <c r="AT18" s="107">
        <f t="shared" si="11"/>
        <v>0</v>
      </c>
      <c r="AU18" s="108">
        <f t="shared" si="25"/>
        <v>5163.1157894736807</v>
      </c>
      <c r="AV18" s="108">
        <f t="shared" si="26"/>
        <v>0</v>
      </c>
      <c r="AW18" s="108">
        <f t="shared" si="12"/>
        <v>0</v>
      </c>
      <c r="AX18" s="109">
        <f t="shared" si="13"/>
        <v>0</v>
      </c>
      <c r="AY18" s="107">
        <f t="shared" si="14"/>
        <v>5163.1157894736807</v>
      </c>
      <c r="AZ18" s="108">
        <v>1000</v>
      </c>
      <c r="BA18" s="108">
        <f>AY18/AI42</f>
        <v>22.268055090845767</v>
      </c>
      <c r="BB18" s="102"/>
      <c r="BC18" s="103"/>
      <c r="BE18" s="306"/>
      <c r="BG18" s="307"/>
      <c r="BH18" s="306"/>
    </row>
    <row r="19" spans="1:60" ht="14.95" thickBot="1" x14ac:dyDescent="0.3">
      <c r="A19" s="152">
        <f>+A18</f>
        <v>46028</v>
      </c>
      <c r="B19" s="211">
        <f>DAY(Tabla2[[#This Row],[FECHA]])</f>
        <v>6</v>
      </c>
      <c r="C19" s="135" t="s">
        <v>30</v>
      </c>
      <c r="D19" s="153"/>
      <c r="E19" s="154"/>
      <c r="F19" s="155"/>
      <c r="G19" s="155"/>
      <c r="H19" s="154"/>
      <c r="I19" s="290">
        <f>((Tabla2[[#This Row],[VOLUMEN ENVIADO A RO (m3)]]/80)/3)*60</f>
        <v>66.415499999999994</v>
      </c>
      <c r="J19" s="276">
        <v>0</v>
      </c>
      <c r="K19" s="283">
        <v>50</v>
      </c>
      <c r="L19" s="284">
        <v>32</v>
      </c>
      <c r="M19" s="283">
        <v>0</v>
      </c>
      <c r="N19" s="284">
        <v>0</v>
      </c>
      <c r="O19" s="192">
        <f t="shared" si="0"/>
        <v>0</v>
      </c>
      <c r="P19" s="197">
        <f t="shared" si="1"/>
        <v>438.59649122807019</v>
      </c>
      <c r="Q19" s="197">
        <f t="shared" si="2"/>
        <v>280.70175438596493</v>
      </c>
      <c r="R19" s="197">
        <f t="shared" si="3"/>
        <v>0</v>
      </c>
      <c r="S19" s="197">
        <f t="shared" si="4"/>
        <v>0</v>
      </c>
      <c r="T19" s="188">
        <f t="shared" si="15"/>
        <v>0</v>
      </c>
      <c r="U19" s="189">
        <f t="shared" si="16"/>
        <v>0</v>
      </c>
      <c r="V19" s="189">
        <f t="shared" si="17"/>
        <v>0</v>
      </c>
      <c r="W19" s="189">
        <f t="shared" si="18"/>
        <v>0</v>
      </c>
      <c r="X19" s="190">
        <f t="shared" si="19"/>
        <v>0</v>
      </c>
      <c r="Y19" s="195">
        <v>1.18</v>
      </c>
      <c r="Z19" s="195">
        <v>1.28</v>
      </c>
      <c r="AA19" s="195">
        <v>1.2</v>
      </c>
      <c r="AB19" s="195">
        <v>1.53</v>
      </c>
      <c r="AC19" s="195">
        <v>1.2</v>
      </c>
      <c r="AD19" s="199">
        <f t="shared" si="5"/>
        <v>0</v>
      </c>
      <c r="AE19" s="200">
        <f t="shared" si="6"/>
        <v>0</v>
      </c>
      <c r="AF19" s="200">
        <f t="shared" si="7"/>
        <v>0</v>
      </c>
      <c r="AG19" s="200">
        <f t="shared" si="8"/>
        <v>0</v>
      </c>
      <c r="AH19" s="201">
        <f t="shared" si="9"/>
        <v>0</v>
      </c>
      <c r="AI19" s="311">
        <v>265.66199999999998</v>
      </c>
      <c r="AJ19" s="141">
        <f>(AD19*1000)/$AI45</f>
        <v>0</v>
      </c>
      <c r="AK19" s="142">
        <f>(AE19*1000)/$AI45</f>
        <v>0</v>
      </c>
      <c r="AL19" s="142">
        <f>(AF19*1000)/$AI45</f>
        <v>0</v>
      </c>
      <c r="AM19" s="142">
        <f>(AG19*1000)/$AI45</f>
        <v>0</v>
      </c>
      <c r="AN19" s="143">
        <f>(AH19*1000)/$AI45</f>
        <v>0</v>
      </c>
      <c r="AO19" s="107">
        <f t="shared" si="20"/>
        <v>1550</v>
      </c>
      <c r="AP19" s="108">
        <f t="shared" si="21"/>
        <v>19160</v>
      </c>
      <c r="AQ19" s="108">
        <f t="shared" si="22"/>
        <v>36239</v>
      </c>
      <c r="AR19" s="108">
        <f t="shared" si="23"/>
        <v>1560</v>
      </c>
      <c r="AS19" s="109">
        <f t="shared" si="24"/>
        <v>3640</v>
      </c>
      <c r="AT19" s="110">
        <f t="shared" si="11"/>
        <v>0</v>
      </c>
      <c r="AU19" s="111">
        <f t="shared" si="25"/>
        <v>0</v>
      </c>
      <c r="AV19" s="111">
        <f t="shared" si="26"/>
        <v>0</v>
      </c>
      <c r="AW19" s="111">
        <f t="shared" si="12"/>
        <v>0</v>
      </c>
      <c r="AX19" s="112">
        <f t="shared" si="13"/>
        <v>0</v>
      </c>
      <c r="AY19" s="110">
        <f t="shared" si="14"/>
        <v>0</v>
      </c>
      <c r="AZ19" s="111">
        <v>1000</v>
      </c>
      <c r="BA19" s="111">
        <f>AY19/AI45</f>
        <v>0</v>
      </c>
      <c r="BB19" s="101"/>
      <c r="BC19" s="104"/>
      <c r="BE19" s="306"/>
      <c r="BG19" s="307"/>
      <c r="BH19" s="306"/>
    </row>
    <row r="20" spans="1:60" ht="14.95" thickBot="1" x14ac:dyDescent="0.3">
      <c r="A20" s="144">
        <f>+A19+1</f>
        <v>46029</v>
      </c>
      <c r="B20" s="212">
        <f>DAY(Tabla2[[#This Row],[FECHA]])</f>
        <v>7</v>
      </c>
      <c r="C20" s="156" t="s">
        <v>28</v>
      </c>
      <c r="D20" s="145"/>
      <c r="E20" s="146"/>
      <c r="F20" s="147"/>
      <c r="G20" s="147"/>
      <c r="H20" s="146"/>
      <c r="I20" s="290">
        <f>((Tabla2[[#This Row],[VOLUMEN ENVIADO A RO (m3)]]/80)/3)*60</f>
        <v>18.344750000000001</v>
      </c>
      <c r="J20" s="276">
        <v>0</v>
      </c>
      <c r="K20" s="277">
        <v>50</v>
      </c>
      <c r="L20" s="278">
        <v>32</v>
      </c>
      <c r="M20" s="277">
        <v>0</v>
      </c>
      <c r="N20" s="278">
        <v>0</v>
      </c>
      <c r="O20" s="192">
        <f t="shared" si="0"/>
        <v>0</v>
      </c>
      <c r="P20" s="203">
        <f t="shared" si="1"/>
        <v>438.59649122807019</v>
      </c>
      <c r="Q20" s="186">
        <f t="shared" si="2"/>
        <v>280.70175438596493</v>
      </c>
      <c r="R20" s="203">
        <f t="shared" si="3"/>
        <v>0</v>
      </c>
      <c r="S20" s="203">
        <f t="shared" si="4"/>
        <v>0</v>
      </c>
      <c r="T20" s="188">
        <f t="shared" si="15"/>
        <v>0</v>
      </c>
      <c r="U20" s="189">
        <f t="shared" si="16"/>
        <v>43.859649122807014</v>
      </c>
      <c r="V20" s="189">
        <f t="shared" si="17"/>
        <v>0</v>
      </c>
      <c r="W20" s="189">
        <f t="shared" si="18"/>
        <v>0</v>
      </c>
      <c r="X20" s="190">
        <f t="shared" si="19"/>
        <v>0</v>
      </c>
      <c r="Y20" s="195">
        <v>1.18</v>
      </c>
      <c r="Z20" s="195">
        <v>1.28</v>
      </c>
      <c r="AA20" s="195">
        <v>1.2</v>
      </c>
      <c r="AB20" s="195">
        <v>1.53</v>
      </c>
      <c r="AC20" s="195">
        <v>1.2</v>
      </c>
      <c r="AD20" s="204">
        <f t="shared" si="5"/>
        <v>0</v>
      </c>
      <c r="AE20" s="205">
        <f t="shared" si="6"/>
        <v>56.140350877192979</v>
      </c>
      <c r="AF20" s="205">
        <f t="shared" si="7"/>
        <v>0</v>
      </c>
      <c r="AG20" s="205">
        <f t="shared" si="8"/>
        <v>0</v>
      </c>
      <c r="AH20" s="206">
        <f t="shared" si="9"/>
        <v>0</v>
      </c>
      <c r="AI20" s="309">
        <v>73.379000000000005</v>
      </c>
      <c r="AJ20" s="148">
        <f>(AD20*1000)/$AI48</f>
        <v>0</v>
      </c>
      <c r="AK20" s="149">
        <f>(AE20*1000)/$AI48</f>
        <v>214.89294033712403</v>
      </c>
      <c r="AL20" s="149">
        <f>(AF20*1000)/$AI48</f>
        <v>0</v>
      </c>
      <c r="AM20" s="149">
        <f>(AG20*1000)/$AI48</f>
        <v>0</v>
      </c>
      <c r="AN20" s="150">
        <f>(AH20*1000)/$AI48</f>
        <v>0</v>
      </c>
      <c r="AO20" s="107">
        <f t="shared" si="20"/>
        <v>1550</v>
      </c>
      <c r="AP20" s="108">
        <f t="shared" si="21"/>
        <v>19160</v>
      </c>
      <c r="AQ20" s="108">
        <f t="shared" si="22"/>
        <v>36239</v>
      </c>
      <c r="AR20" s="108">
        <f t="shared" si="23"/>
        <v>1560</v>
      </c>
      <c r="AS20" s="109">
        <f t="shared" si="24"/>
        <v>3640</v>
      </c>
      <c r="AT20" s="107">
        <f t="shared" si="11"/>
        <v>0</v>
      </c>
      <c r="AU20" s="108">
        <f t="shared" si="25"/>
        <v>12907.78947368421</v>
      </c>
      <c r="AV20" s="108">
        <f t="shared" si="26"/>
        <v>0</v>
      </c>
      <c r="AW20" s="108">
        <f t="shared" si="12"/>
        <v>0</v>
      </c>
      <c r="AX20" s="109">
        <f t="shared" si="13"/>
        <v>0</v>
      </c>
      <c r="AY20" s="107">
        <f t="shared" si="14"/>
        <v>12907.78947368421</v>
      </c>
      <c r="AZ20" s="108">
        <v>1000</v>
      </c>
      <c r="BA20" s="108">
        <f>AY20/AI48</f>
        <v>49.408184842311563</v>
      </c>
      <c r="BB20" s="102"/>
      <c r="BC20" s="103"/>
      <c r="BE20" s="306"/>
      <c r="BG20" s="307"/>
      <c r="BH20" s="306"/>
    </row>
    <row r="21" spans="1:60" ht="14.95" thickBot="1" x14ac:dyDescent="0.3">
      <c r="A21" s="151">
        <f>+A20</f>
        <v>46029</v>
      </c>
      <c r="B21" s="210">
        <f>DAY(Tabla2[[#This Row],[FECHA]])</f>
        <v>7</v>
      </c>
      <c r="C21" s="130" t="s">
        <v>29</v>
      </c>
      <c r="D21" s="123"/>
      <c r="E21" s="124"/>
      <c r="F21" s="125"/>
      <c r="G21" s="125"/>
      <c r="H21" s="124"/>
      <c r="I21" s="290">
        <f>((Tabla2[[#This Row],[VOLUMEN ENVIADO A RO (m3)]]/80)/3)*60</f>
        <v>18.344750000000001</v>
      </c>
      <c r="J21" s="276">
        <v>0</v>
      </c>
      <c r="K21" s="280">
        <v>45</v>
      </c>
      <c r="L21" s="281">
        <v>32</v>
      </c>
      <c r="M21" s="280">
        <v>0</v>
      </c>
      <c r="N21" s="281">
        <v>0</v>
      </c>
      <c r="O21" s="192">
        <f t="shared" si="0"/>
        <v>0</v>
      </c>
      <c r="P21" s="193">
        <f t="shared" si="1"/>
        <v>394.73684210526318</v>
      </c>
      <c r="Q21" s="193">
        <f t="shared" si="2"/>
        <v>280.70175438596493</v>
      </c>
      <c r="R21" s="193">
        <f t="shared" si="3"/>
        <v>0</v>
      </c>
      <c r="S21" s="193">
        <f t="shared" si="4"/>
        <v>0</v>
      </c>
      <c r="T21" s="188">
        <f t="shared" si="15"/>
        <v>0</v>
      </c>
      <c r="U21" s="189">
        <f t="shared" si="16"/>
        <v>26.31578947368422</v>
      </c>
      <c r="V21" s="189">
        <f t="shared" si="17"/>
        <v>0</v>
      </c>
      <c r="W21" s="189">
        <f t="shared" si="18"/>
        <v>0</v>
      </c>
      <c r="X21" s="190">
        <f t="shared" si="19"/>
        <v>0</v>
      </c>
      <c r="Y21" s="195">
        <v>1.18</v>
      </c>
      <c r="Z21" s="195">
        <v>1.28</v>
      </c>
      <c r="AA21" s="195">
        <v>1.2</v>
      </c>
      <c r="AB21" s="195">
        <v>1.53</v>
      </c>
      <c r="AC21" s="195">
        <v>1.2</v>
      </c>
      <c r="AD21" s="188">
        <f t="shared" si="5"/>
        <v>0</v>
      </c>
      <c r="AE21" s="189">
        <f t="shared" si="6"/>
        <v>33.684210526315802</v>
      </c>
      <c r="AF21" s="189">
        <f t="shared" si="7"/>
        <v>0</v>
      </c>
      <c r="AG21" s="189">
        <f t="shared" si="8"/>
        <v>0</v>
      </c>
      <c r="AH21" s="190">
        <f t="shared" si="9"/>
        <v>0</v>
      </c>
      <c r="AI21" s="310">
        <v>73.379000000000005</v>
      </c>
      <c r="AJ21" s="126">
        <f>(AD21*1000)/$AI51</f>
        <v>0</v>
      </c>
      <c r="AK21" s="127">
        <f>(AE21*1000)/$AI51</f>
        <v>299.70825274771602</v>
      </c>
      <c r="AL21" s="127">
        <f>(AF21*1000)/$AI51</f>
        <v>0</v>
      </c>
      <c r="AM21" s="127">
        <f>(AG21*1000)/$AI51</f>
        <v>0</v>
      </c>
      <c r="AN21" s="128">
        <f>(AH21*1000)/$AI51</f>
        <v>0</v>
      </c>
      <c r="AO21" s="107">
        <f t="shared" si="20"/>
        <v>1550</v>
      </c>
      <c r="AP21" s="108">
        <f t="shared" si="21"/>
        <v>19160</v>
      </c>
      <c r="AQ21" s="108">
        <f t="shared" si="22"/>
        <v>36239</v>
      </c>
      <c r="AR21" s="108">
        <f t="shared" si="23"/>
        <v>1560</v>
      </c>
      <c r="AS21" s="109">
        <f t="shared" si="24"/>
        <v>3640</v>
      </c>
      <c r="AT21" s="107">
        <f t="shared" si="11"/>
        <v>0</v>
      </c>
      <c r="AU21" s="108">
        <f t="shared" si="25"/>
        <v>7744.6736842105292</v>
      </c>
      <c r="AV21" s="108">
        <f t="shared" si="26"/>
        <v>0</v>
      </c>
      <c r="AW21" s="108">
        <f t="shared" si="12"/>
        <v>0</v>
      </c>
      <c r="AX21" s="109">
        <f t="shared" si="13"/>
        <v>0</v>
      </c>
      <c r="AY21" s="107">
        <f t="shared" si="14"/>
        <v>7744.6736842105292</v>
      </c>
      <c r="AZ21" s="108">
        <v>1000</v>
      </c>
      <c r="BA21" s="108">
        <f>AY21/AI51</f>
        <v>68.908921471754866</v>
      </c>
      <c r="BB21" s="102"/>
      <c r="BC21" s="103"/>
      <c r="BE21" s="306"/>
      <c r="BG21" s="307"/>
      <c r="BH21" s="306"/>
    </row>
    <row r="22" spans="1:60" ht="14.95" thickBot="1" x14ac:dyDescent="0.3">
      <c r="A22" s="152">
        <f>+A21</f>
        <v>46029</v>
      </c>
      <c r="B22" s="211">
        <f>DAY(Tabla2[[#This Row],[FECHA]])</f>
        <v>7</v>
      </c>
      <c r="C22" s="135" t="s">
        <v>30</v>
      </c>
      <c r="D22" s="153"/>
      <c r="E22" s="154"/>
      <c r="F22" s="155"/>
      <c r="G22" s="155"/>
      <c r="H22" s="154"/>
      <c r="I22" s="290">
        <f>((Tabla2[[#This Row],[VOLUMEN ENVIADO A RO (m3)]]/80)/3)*60</f>
        <v>36.690249999999999</v>
      </c>
      <c r="J22" s="276">
        <v>0</v>
      </c>
      <c r="K22" s="283">
        <v>42</v>
      </c>
      <c r="L22" s="284">
        <v>32</v>
      </c>
      <c r="M22" s="283">
        <v>0</v>
      </c>
      <c r="N22" s="284">
        <v>0</v>
      </c>
      <c r="O22" s="192">
        <f t="shared" si="0"/>
        <v>0</v>
      </c>
      <c r="P22" s="197">
        <f t="shared" si="1"/>
        <v>368.42105263157896</v>
      </c>
      <c r="Q22" s="197">
        <f t="shared" si="2"/>
        <v>280.70175438596493</v>
      </c>
      <c r="R22" s="197">
        <f t="shared" si="3"/>
        <v>0</v>
      </c>
      <c r="S22" s="197">
        <f t="shared" si="4"/>
        <v>0</v>
      </c>
      <c r="T22" s="188">
        <f t="shared" si="15"/>
        <v>0</v>
      </c>
      <c r="U22" s="189">
        <f t="shared" si="16"/>
        <v>0</v>
      </c>
      <c r="V22" s="189">
        <f>Q22-Q23+300</f>
        <v>71.929824561403507</v>
      </c>
      <c r="W22" s="189">
        <f t="shared" si="18"/>
        <v>0</v>
      </c>
      <c r="X22" s="190">
        <f t="shared" si="19"/>
        <v>0</v>
      </c>
      <c r="Y22" s="195">
        <v>1.18</v>
      </c>
      <c r="Z22" s="195">
        <v>1.28</v>
      </c>
      <c r="AA22" s="195">
        <v>1.2</v>
      </c>
      <c r="AB22" s="195">
        <v>1.53</v>
      </c>
      <c r="AC22" s="195">
        <v>1.2</v>
      </c>
      <c r="AD22" s="199">
        <f t="shared" si="5"/>
        <v>0</v>
      </c>
      <c r="AE22" s="200">
        <f t="shared" si="6"/>
        <v>0</v>
      </c>
      <c r="AF22" s="200">
        <f t="shared" si="7"/>
        <v>86.315789473684205</v>
      </c>
      <c r="AG22" s="200">
        <f t="shared" si="8"/>
        <v>0</v>
      </c>
      <c r="AH22" s="201">
        <f t="shared" si="9"/>
        <v>0</v>
      </c>
      <c r="AI22" s="311">
        <v>146.761</v>
      </c>
      <c r="AJ22" s="141" t="e">
        <f>(AD22*1000)/$AI54</f>
        <v>#DIV/0!</v>
      </c>
      <c r="AK22" s="142" t="e">
        <f>(AE22*1000)/$AI54</f>
        <v>#DIV/0!</v>
      </c>
      <c r="AL22" s="142" t="e">
        <f>(AF22*1000)/$AI54</f>
        <v>#DIV/0!</v>
      </c>
      <c r="AM22" s="142" t="e">
        <f>(AG22*1000)/$AI54</f>
        <v>#DIV/0!</v>
      </c>
      <c r="AN22" s="143" t="e">
        <f>(AH22*1000)/$AI54</f>
        <v>#DIV/0!</v>
      </c>
      <c r="AO22" s="107">
        <f t="shared" si="20"/>
        <v>1550</v>
      </c>
      <c r="AP22" s="108">
        <f t="shared" si="21"/>
        <v>19160</v>
      </c>
      <c r="AQ22" s="108">
        <f t="shared" si="22"/>
        <v>36239</v>
      </c>
      <c r="AR22" s="108">
        <f t="shared" si="23"/>
        <v>1560</v>
      </c>
      <c r="AS22" s="109">
        <f t="shared" si="24"/>
        <v>3640</v>
      </c>
      <c r="AT22" s="110">
        <f t="shared" si="11"/>
        <v>0</v>
      </c>
      <c r="AU22" s="111">
        <f t="shared" si="25"/>
        <v>0</v>
      </c>
      <c r="AV22" s="111">
        <f t="shared" si="26"/>
        <v>137631.90736842103</v>
      </c>
      <c r="AW22" s="111">
        <f t="shared" si="12"/>
        <v>0</v>
      </c>
      <c r="AX22" s="112">
        <f t="shared" si="13"/>
        <v>0</v>
      </c>
      <c r="AY22" s="110">
        <f t="shared" si="14"/>
        <v>137631.90736842103</v>
      </c>
      <c r="AZ22" s="111">
        <v>1000</v>
      </c>
      <c r="BA22" s="111" t="e">
        <f>AY22/AI54</f>
        <v>#DIV/0!</v>
      </c>
      <c r="BB22" s="101"/>
      <c r="BC22" s="104"/>
      <c r="BE22" s="306"/>
      <c r="BG22" s="307"/>
      <c r="BH22" s="306"/>
    </row>
    <row r="23" spans="1:60" ht="14.95" thickBot="1" x14ac:dyDescent="0.3">
      <c r="A23" s="144">
        <f>+A22+1</f>
        <v>46030</v>
      </c>
      <c r="B23" s="212">
        <f>DAY(Tabla2[[#This Row],[FECHA]])</f>
        <v>8</v>
      </c>
      <c r="C23" s="156" t="s">
        <v>28</v>
      </c>
      <c r="D23" s="145"/>
      <c r="E23" s="146"/>
      <c r="F23" s="147"/>
      <c r="G23" s="147"/>
      <c r="H23" s="146"/>
      <c r="I23" s="290">
        <f>((Tabla2[[#This Row],[VOLUMEN ENVIADO A RO (m3)]]/80)/3)*60</f>
        <v>2.6255000000000002</v>
      </c>
      <c r="J23" s="276">
        <v>0</v>
      </c>
      <c r="K23" s="277">
        <v>42</v>
      </c>
      <c r="L23" s="278">
        <v>58</v>
      </c>
      <c r="M23" s="277">
        <v>0</v>
      </c>
      <c r="N23" s="278">
        <v>0</v>
      </c>
      <c r="O23" s="192">
        <f t="shared" si="0"/>
        <v>0</v>
      </c>
      <c r="P23" s="203">
        <f t="shared" si="1"/>
        <v>368.42105263157896</v>
      </c>
      <c r="Q23" s="186">
        <f t="shared" si="2"/>
        <v>508.77192982456143</v>
      </c>
      <c r="R23" s="203">
        <f t="shared" si="3"/>
        <v>0</v>
      </c>
      <c r="S23" s="203">
        <f t="shared" si="4"/>
        <v>0</v>
      </c>
      <c r="T23" s="188">
        <f t="shared" si="15"/>
        <v>0</v>
      </c>
      <c r="U23" s="189">
        <f t="shared" si="16"/>
        <v>0</v>
      </c>
      <c r="V23" s="189">
        <f t="shared" si="17"/>
        <v>0</v>
      </c>
      <c r="W23" s="189">
        <f t="shared" si="18"/>
        <v>0</v>
      </c>
      <c r="X23" s="190">
        <f t="shared" si="19"/>
        <v>0</v>
      </c>
      <c r="Y23" s="195">
        <v>1.18</v>
      </c>
      <c r="Z23" s="195">
        <v>1.28</v>
      </c>
      <c r="AA23" s="195">
        <v>1.2</v>
      </c>
      <c r="AB23" s="195">
        <v>1.53</v>
      </c>
      <c r="AC23" s="195">
        <v>1.2</v>
      </c>
      <c r="AD23" s="204">
        <f t="shared" si="5"/>
        <v>0</v>
      </c>
      <c r="AE23" s="205">
        <f t="shared" si="6"/>
        <v>0</v>
      </c>
      <c r="AF23" s="205">
        <f t="shared" si="7"/>
        <v>0</v>
      </c>
      <c r="AG23" s="205">
        <f t="shared" si="8"/>
        <v>0</v>
      </c>
      <c r="AH23" s="206">
        <f t="shared" si="9"/>
        <v>0</v>
      </c>
      <c r="AI23" s="309">
        <v>10.502000000000001</v>
      </c>
      <c r="AJ23" s="148">
        <f>(AD23*1000)/$AI57</f>
        <v>0</v>
      </c>
      <c r="AK23" s="149">
        <f>(AE23*1000)/$AI57</f>
        <v>0</v>
      </c>
      <c r="AL23" s="149">
        <f>(AF23*1000)/$AI57</f>
        <v>0</v>
      </c>
      <c r="AM23" s="149">
        <f>(AG23*1000)/$AI57</f>
        <v>0</v>
      </c>
      <c r="AN23" s="150">
        <f>(AH23*1000)/$AI57</f>
        <v>0</v>
      </c>
      <c r="AO23" s="107">
        <f t="shared" si="20"/>
        <v>1550</v>
      </c>
      <c r="AP23" s="108">
        <f t="shared" si="21"/>
        <v>19160</v>
      </c>
      <c r="AQ23" s="108">
        <f t="shared" si="22"/>
        <v>36239</v>
      </c>
      <c r="AR23" s="108">
        <f t="shared" si="23"/>
        <v>1560</v>
      </c>
      <c r="AS23" s="109">
        <f t="shared" si="24"/>
        <v>3640</v>
      </c>
      <c r="AT23" s="107">
        <f t="shared" si="11"/>
        <v>0</v>
      </c>
      <c r="AU23" s="108">
        <f t="shared" si="25"/>
        <v>0</v>
      </c>
      <c r="AV23" s="108">
        <f t="shared" si="26"/>
        <v>0</v>
      </c>
      <c r="AW23" s="108">
        <f t="shared" si="12"/>
        <v>0</v>
      </c>
      <c r="AX23" s="109">
        <f t="shared" si="13"/>
        <v>0</v>
      </c>
      <c r="AY23" s="107">
        <f t="shared" si="14"/>
        <v>0</v>
      </c>
      <c r="AZ23" s="108">
        <v>1000</v>
      </c>
      <c r="BA23" s="108">
        <f>AY23/AI57</f>
        <v>0</v>
      </c>
      <c r="BB23" s="102"/>
      <c r="BC23" s="103"/>
      <c r="BE23" s="306"/>
      <c r="BG23" s="307"/>
      <c r="BH23" s="306"/>
    </row>
    <row r="24" spans="1:60" ht="14.95" thickBot="1" x14ac:dyDescent="0.3">
      <c r="A24" s="151">
        <f>+A23</f>
        <v>46030</v>
      </c>
      <c r="B24" s="210">
        <f>DAY(Tabla2[[#This Row],[FECHA]])</f>
        <v>8</v>
      </c>
      <c r="C24" s="130" t="s">
        <v>29</v>
      </c>
      <c r="D24" s="123"/>
      <c r="E24" s="124"/>
      <c r="F24" s="125"/>
      <c r="G24" s="125"/>
      <c r="H24" s="124"/>
      <c r="I24" s="290">
        <f>((Tabla2[[#This Row],[VOLUMEN ENVIADO A RO (m3)]]/80)/3)*60</f>
        <v>54.697499999999991</v>
      </c>
      <c r="J24" s="276">
        <v>0</v>
      </c>
      <c r="K24" s="280">
        <v>42</v>
      </c>
      <c r="L24" s="281">
        <v>58</v>
      </c>
      <c r="M24" s="280">
        <v>0</v>
      </c>
      <c r="N24" s="281">
        <v>0</v>
      </c>
      <c r="O24" s="192">
        <f t="shared" si="0"/>
        <v>0</v>
      </c>
      <c r="P24" s="193">
        <f t="shared" si="1"/>
        <v>368.42105263157896</v>
      </c>
      <c r="Q24" s="193">
        <f t="shared" si="2"/>
        <v>508.77192982456143</v>
      </c>
      <c r="R24" s="193">
        <f t="shared" si="3"/>
        <v>0</v>
      </c>
      <c r="S24" s="193">
        <f t="shared" si="4"/>
        <v>0</v>
      </c>
      <c r="T24" s="188">
        <f t="shared" si="15"/>
        <v>0</v>
      </c>
      <c r="U24" s="189">
        <f t="shared" si="16"/>
        <v>17.543859649122794</v>
      </c>
      <c r="V24" s="189">
        <f t="shared" si="17"/>
        <v>0</v>
      </c>
      <c r="W24" s="189">
        <f t="shared" si="18"/>
        <v>0</v>
      </c>
      <c r="X24" s="190">
        <f t="shared" si="19"/>
        <v>0</v>
      </c>
      <c r="Y24" s="195">
        <v>1.18</v>
      </c>
      <c r="Z24" s="195">
        <v>1.28</v>
      </c>
      <c r="AA24" s="195">
        <v>1.2</v>
      </c>
      <c r="AB24" s="195">
        <v>1.53</v>
      </c>
      <c r="AC24" s="195">
        <v>1.2</v>
      </c>
      <c r="AD24" s="188">
        <f t="shared" si="5"/>
        <v>0</v>
      </c>
      <c r="AE24" s="189">
        <f t="shared" si="6"/>
        <v>22.456140350877178</v>
      </c>
      <c r="AF24" s="189">
        <f t="shared" si="7"/>
        <v>0</v>
      </c>
      <c r="AG24" s="189">
        <f t="shared" si="8"/>
        <v>0</v>
      </c>
      <c r="AH24" s="190">
        <f t="shared" si="9"/>
        <v>0</v>
      </c>
      <c r="AI24" s="310">
        <v>218.79</v>
      </c>
      <c r="AJ24" s="126">
        <f>(AD24*1000)/$AI60</f>
        <v>0</v>
      </c>
      <c r="AK24" s="127">
        <f>(AE24*1000)/$AI60</f>
        <v>147.90708015015332</v>
      </c>
      <c r="AL24" s="127">
        <f>(AF24*1000)/$AI60</f>
        <v>0</v>
      </c>
      <c r="AM24" s="127">
        <f>(AG24*1000)/$AI60</f>
        <v>0</v>
      </c>
      <c r="AN24" s="128">
        <f>(AH24*1000)/$AI60</f>
        <v>0</v>
      </c>
      <c r="AO24" s="107">
        <f t="shared" si="20"/>
        <v>1550</v>
      </c>
      <c r="AP24" s="108">
        <f t="shared" si="21"/>
        <v>19160</v>
      </c>
      <c r="AQ24" s="108">
        <f t="shared" si="22"/>
        <v>36239</v>
      </c>
      <c r="AR24" s="108">
        <f t="shared" si="23"/>
        <v>1560</v>
      </c>
      <c r="AS24" s="109">
        <f t="shared" si="24"/>
        <v>3640</v>
      </c>
      <c r="AT24" s="107">
        <f t="shared" si="11"/>
        <v>0</v>
      </c>
      <c r="AU24" s="108">
        <f t="shared" si="25"/>
        <v>5163.1157894736807</v>
      </c>
      <c r="AV24" s="108">
        <f t="shared" si="26"/>
        <v>0</v>
      </c>
      <c r="AW24" s="108">
        <f t="shared" si="12"/>
        <v>0</v>
      </c>
      <c r="AX24" s="109">
        <f t="shared" si="13"/>
        <v>0</v>
      </c>
      <c r="AY24" s="107">
        <f t="shared" si="14"/>
        <v>5163.1157894736807</v>
      </c>
      <c r="AZ24" s="108">
        <v>1000</v>
      </c>
      <c r="BA24" s="108">
        <f>AY24/AI60</f>
        <v>34.006795868123255</v>
      </c>
      <c r="BB24" s="102"/>
      <c r="BC24" s="103"/>
      <c r="BE24" s="306"/>
      <c r="BG24" s="307"/>
      <c r="BH24" s="306"/>
    </row>
    <row r="25" spans="1:60" ht="14.95" thickBot="1" x14ac:dyDescent="0.3">
      <c r="A25" s="152">
        <f>+A24</f>
        <v>46030</v>
      </c>
      <c r="B25" s="211">
        <f>DAY(Tabla2[[#This Row],[FECHA]])</f>
        <v>8</v>
      </c>
      <c r="C25" s="135" t="s">
        <v>30</v>
      </c>
      <c r="D25" s="153"/>
      <c r="E25" s="154"/>
      <c r="F25" s="155"/>
      <c r="G25" s="155"/>
      <c r="H25" s="154"/>
      <c r="I25" s="290">
        <f>((Tabla2[[#This Row],[VOLUMEN ENVIADO A RO (m3)]]/80)/3)*60</f>
        <v>82.83150000000002</v>
      </c>
      <c r="J25" s="276">
        <v>0</v>
      </c>
      <c r="K25" s="283">
        <v>40</v>
      </c>
      <c r="L25" s="284">
        <v>58</v>
      </c>
      <c r="M25" s="283">
        <v>0</v>
      </c>
      <c r="N25" s="284">
        <v>0</v>
      </c>
      <c r="O25" s="192">
        <f t="shared" si="0"/>
        <v>0</v>
      </c>
      <c r="P25" s="197">
        <f t="shared" si="1"/>
        <v>350.87719298245617</v>
      </c>
      <c r="Q25" s="197">
        <f t="shared" si="2"/>
        <v>508.77192982456143</v>
      </c>
      <c r="R25" s="197">
        <f t="shared" si="3"/>
        <v>0</v>
      </c>
      <c r="S25" s="197">
        <f t="shared" si="4"/>
        <v>0</v>
      </c>
      <c r="T25" s="188">
        <f t="shared" si="15"/>
        <v>0</v>
      </c>
      <c r="U25" s="189">
        <f t="shared" si="16"/>
        <v>0</v>
      </c>
      <c r="V25" s="189">
        <f t="shared" si="17"/>
        <v>35.087719298245588</v>
      </c>
      <c r="W25" s="189">
        <f t="shared" si="18"/>
        <v>0</v>
      </c>
      <c r="X25" s="190">
        <f t="shared" si="19"/>
        <v>0</v>
      </c>
      <c r="Y25" s="195">
        <v>1.18</v>
      </c>
      <c r="Z25" s="195">
        <v>1.28</v>
      </c>
      <c r="AA25" s="195">
        <v>1.2</v>
      </c>
      <c r="AB25" s="195">
        <v>1.53</v>
      </c>
      <c r="AC25" s="195">
        <v>1.2</v>
      </c>
      <c r="AD25" s="199">
        <f t="shared" si="5"/>
        <v>0</v>
      </c>
      <c r="AE25" s="200">
        <f t="shared" si="6"/>
        <v>0</v>
      </c>
      <c r="AF25" s="200">
        <f t="shared" si="7"/>
        <v>42.105263157894704</v>
      </c>
      <c r="AG25" s="200">
        <f t="shared" si="8"/>
        <v>0</v>
      </c>
      <c r="AH25" s="201">
        <f t="shared" si="9"/>
        <v>0</v>
      </c>
      <c r="AI25" s="311">
        <v>331.32600000000002</v>
      </c>
      <c r="AJ25" s="141">
        <f>(AD25*1000)/$AI63</f>
        <v>0</v>
      </c>
      <c r="AK25" s="142">
        <f>(AE25*1000)/$AI63</f>
        <v>0</v>
      </c>
      <c r="AL25" s="142">
        <f>(AF25*1000)/$AI63</f>
        <v>153.41632261458221</v>
      </c>
      <c r="AM25" s="142">
        <f>(AG25*1000)/$AI63</f>
        <v>0</v>
      </c>
      <c r="AN25" s="143">
        <f>(AH25*1000)/$AI63</f>
        <v>0</v>
      </c>
      <c r="AO25" s="107">
        <f t="shared" si="20"/>
        <v>1550</v>
      </c>
      <c r="AP25" s="108">
        <f t="shared" si="21"/>
        <v>19160</v>
      </c>
      <c r="AQ25" s="108">
        <f t="shared" si="22"/>
        <v>36239</v>
      </c>
      <c r="AR25" s="108">
        <f t="shared" si="23"/>
        <v>1560</v>
      </c>
      <c r="AS25" s="109">
        <f t="shared" si="24"/>
        <v>3640</v>
      </c>
      <c r="AT25" s="110">
        <f t="shared" si="11"/>
        <v>0</v>
      </c>
      <c r="AU25" s="111">
        <f t="shared" si="25"/>
        <v>0</v>
      </c>
      <c r="AV25" s="111">
        <f t="shared" si="26"/>
        <v>67137.515789473633</v>
      </c>
      <c r="AW25" s="111">
        <f t="shared" si="12"/>
        <v>0</v>
      </c>
      <c r="AX25" s="112">
        <f t="shared" si="13"/>
        <v>0</v>
      </c>
      <c r="AY25" s="110">
        <f t="shared" si="14"/>
        <v>67137.515789473633</v>
      </c>
      <c r="AZ25" s="111">
        <v>1000</v>
      </c>
      <c r="BA25" s="111">
        <f>AY25/AI63</f>
        <v>244.62478107011316</v>
      </c>
      <c r="BB25" s="101"/>
      <c r="BC25" s="104"/>
    </row>
    <row r="26" spans="1:60" ht="14.95" thickBot="1" x14ac:dyDescent="0.3">
      <c r="A26" s="144">
        <f>+A25+1</f>
        <v>46031</v>
      </c>
      <c r="B26" s="212">
        <f>DAY(Tabla2[[#This Row],[FECHA]])</f>
        <v>9</v>
      </c>
      <c r="C26" s="156" t="s">
        <v>28</v>
      </c>
      <c r="D26" s="145"/>
      <c r="E26" s="146"/>
      <c r="F26" s="147"/>
      <c r="G26" s="147"/>
      <c r="H26" s="146"/>
      <c r="I26" s="290">
        <f>((Tabla2[[#This Row],[VOLUMEN ENVIADO A RO (m3)]]/80)/3)*60</f>
        <v>11.694875</v>
      </c>
      <c r="J26" s="276">
        <v>0</v>
      </c>
      <c r="K26" s="277">
        <v>40</v>
      </c>
      <c r="L26" s="278">
        <v>54</v>
      </c>
      <c r="M26" s="277">
        <v>0</v>
      </c>
      <c r="N26" s="278">
        <v>0</v>
      </c>
      <c r="O26" s="192">
        <f t="shared" si="0"/>
        <v>0</v>
      </c>
      <c r="P26" s="203">
        <f t="shared" si="1"/>
        <v>350.87719298245617</v>
      </c>
      <c r="Q26" s="186">
        <f t="shared" si="2"/>
        <v>473.68421052631584</v>
      </c>
      <c r="R26" s="203">
        <f t="shared" si="3"/>
        <v>0</v>
      </c>
      <c r="S26" s="203">
        <f t="shared" si="4"/>
        <v>0</v>
      </c>
      <c r="T26" s="188">
        <f t="shared" si="15"/>
        <v>0</v>
      </c>
      <c r="U26" s="189">
        <f>P26-P27</f>
        <v>0</v>
      </c>
      <c r="V26" s="189">
        <f>Q26-Q27</f>
        <v>0</v>
      </c>
      <c r="W26" s="189">
        <f t="shared" si="18"/>
        <v>0</v>
      </c>
      <c r="X26" s="190">
        <f t="shared" si="19"/>
        <v>0</v>
      </c>
      <c r="Y26" s="195">
        <v>1.18</v>
      </c>
      <c r="Z26" s="195">
        <v>1.28</v>
      </c>
      <c r="AA26" s="195">
        <v>1.2</v>
      </c>
      <c r="AB26" s="195">
        <v>1.53</v>
      </c>
      <c r="AC26" s="195">
        <v>1.2</v>
      </c>
      <c r="AD26" s="204">
        <f t="shared" si="5"/>
        <v>0</v>
      </c>
      <c r="AE26" s="205">
        <f t="shared" si="6"/>
        <v>0</v>
      </c>
      <c r="AF26" s="205">
        <f t="shared" si="7"/>
        <v>0</v>
      </c>
      <c r="AG26" s="205">
        <f t="shared" si="8"/>
        <v>0</v>
      </c>
      <c r="AH26" s="206">
        <f t="shared" si="9"/>
        <v>0</v>
      </c>
      <c r="AI26" s="309">
        <v>46.779499999999999</v>
      </c>
      <c r="AJ26" s="148" t="e">
        <f>(AD26*1000)/#REF!</f>
        <v>#REF!</v>
      </c>
      <c r="AK26" s="149" t="e">
        <f>(AE26*1000)/#REF!</f>
        <v>#REF!</v>
      </c>
      <c r="AL26" s="149" t="e">
        <f>(AF26*1000)/#REF!</f>
        <v>#REF!</v>
      </c>
      <c r="AM26" s="149" t="e">
        <f>(AG26*1000)/#REF!</f>
        <v>#REF!</v>
      </c>
      <c r="AN26" s="150" t="e">
        <f>(AH26*1000)/#REF!</f>
        <v>#REF!</v>
      </c>
      <c r="AO26" s="107">
        <f t="shared" si="20"/>
        <v>1550</v>
      </c>
      <c r="AP26" s="108">
        <f t="shared" si="21"/>
        <v>19160</v>
      </c>
      <c r="AQ26" s="108">
        <f t="shared" si="22"/>
        <v>36239</v>
      </c>
      <c r="AR26" s="108">
        <f t="shared" si="23"/>
        <v>1560</v>
      </c>
      <c r="AS26" s="109">
        <f t="shared" si="24"/>
        <v>3640</v>
      </c>
      <c r="AT26" s="107">
        <f t="shared" si="11"/>
        <v>0</v>
      </c>
      <c r="AU26" s="108">
        <f t="shared" si="25"/>
        <v>0</v>
      </c>
      <c r="AV26" s="108">
        <f t="shared" si="26"/>
        <v>0</v>
      </c>
      <c r="AW26" s="108">
        <f t="shared" si="12"/>
        <v>0</v>
      </c>
      <c r="AX26" s="109">
        <f t="shared" si="13"/>
        <v>0</v>
      </c>
      <c r="AY26" s="107">
        <f t="shared" si="14"/>
        <v>0</v>
      </c>
      <c r="AZ26" s="108">
        <v>1000</v>
      </c>
      <c r="BA26" s="108" t="e">
        <f>AY26/#REF!</f>
        <v>#REF!</v>
      </c>
      <c r="BB26" s="102"/>
      <c r="BC26" s="103"/>
    </row>
    <row r="27" spans="1:60" ht="14.95" thickBot="1" x14ac:dyDescent="0.3">
      <c r="A27" s="151">
        <f>+A26</f>
        <v>46031</v>
      </c>
      <c r="B27" s="210">
        <f>DAY(Tabla2[[#This Row],[FECHA]])</f>
        <v>9</v>
      </c>
      <c r="C27" s="130" t="s">
        <v>29</v>
      </c>
      <c r="D27" s="123"/>
      <c r="E27" s="124"/>
      <c r="F27" s="125"/>
      <c r="G27" s="125"/>
      <c r="H27" s="124"/>
      <c r="I27" s="290">
        <f>((Tabla2[[#This Row],[VOLUMEN ENVIADO A RO (m3)]]/80)/3)*60</f>
        <v>11.694875</v>
      </c>
      <c r="J27" s="276">
        <v>0</v>
      </c>
      <c r="K27" s="280">
        <v>40</v>
      </c>
      <c r="L27" s="281">
        <v>54</v>
      </c>
      <c r="M27" s="280">
        <v>0</v>
      </c>
      <c r="N27" s="281">
        <v>0</v>
      </c>
      <c r="O27" s="192">
        <f t="shared" si="0"/>
        <v>0</v>
      </c>
      <c r="P27" s="193">
        <f t="shared" si="1"/>
        <v>350.87719298245617</v>
      </c>
      <c r="Q27" s="193">
        <f t="shared" si="2"/>
        <v>473.68421052631584</v>
      </c>
      <c r="R27" s="193">
        <f t="shared" si="3"/>
        <v>0</v>
      </c>
      <c r="S27" s="193">
        <f t="shared" si="4"/>
        <v>0</v>
      </c>
      <c r="T27" s="188">
        <f t="shared" si="15"/>
        <v>0</v>
      </c>
      <c r="U27" s="189">
        <f t="shared" si="16"/>
        <v>17.543859649122794</v>
      </c>
      <c r="V27" s="189">
        <f t="shared" si="17"/>
        <v>0</v>
      </c>
      <c r="W27" s="189">
        <f t="shared" si="18"/>
        <v>0</v>
      </c>
      <c r="X27" s="190">
        <f t="shared" si="19"/>
        <v>0</v>
      </c>
      <c r="Y27" s="195">
        <v>1.18</v>
      </c>
      <c r="Z27" s="195">
        <v>1.28</v>
      </c>
      <c r="AA27" s="195">
        <v>1.2</v>
      </c>
      <c r="AB27" s="195">
        <v>1.53</v>
      </c>
      <c r="AC27" s="195">
        <v>1.2</v>
      </c>
      <c r="AD27" s="188">
        <f t="shared" si="5"/>
        <v>0</v>
      </c>
      <c r="AE27" s="189">
        <f t="shared" si="6"/>
        <v>22.456140350877178</v>
      </c>
      <c r="AF27" s="189">
        <f t="shared" si="7"/>
        <v>0</v>
      </c>
      <c r="AG27" s="189">
        <f t="shared" si="8"/>
        <v>0</v>
      </c>
      <c r="AH27" s="190">
        <f t="shared" si="9"/>
        <v>0</v>
      </c>
      <c r="AI27" s="310">
        <v>46.779499999999999</v>
      </c>
      <c r="AJ27" s="126" t="e">
        <f>(AD27*1000)/#REF!</f>
        <v>#REF!</v>
      </c>
      <c r="AK27" s="127" t="e">
        <f>(AE27*1000)/#REF!</f>
        <v>#REF!</v>
      </c>
      <c r="AL27" s="127" t="e">
        <f>(AF27*1000)/#REF!</f>
        <v>#REF!</v>
      </c>
      <c r="AM27" s="127" t="e">
        <f>(AG27*1000)/#REF!</f>
        <v>#REF!</v>
      </c>
      <c r="AN27" s="128" t="e">
        <f>(AH27*1000)/#REF!</f>
        <v>#REF!</v>
      </c>
      <c r="AO27" s="107">
        <f t="shared" si="20"/>
        <v>1550</v>
      </c>
      <c r="AP27" s="108">
        <f t="shared" si="21"/>
        <v>19160</v>
      </c>
      <c r="AQ27" s="108">
        <f t="shared" si="22"/>
        <v>36239</v>
      </c>
      <c r="AR27" s="108">
        <f t="shared" si="23"/>
        <v>1560</v>
      </c>
      <c r="AS27" s="109">
        <f t="shared" si="24"/>
        <v>3640</v>
      </c>
      <c r="AT27" s="107">
        <f t="shared" si="11"/>
        <v>0</v>
      </c>
      <c r="AU27" s="108">
        <f t="shared" si="25"/>
        <v>5163.1157894736807</v>
      </c>
      <c r="AV27" s="108">
        <f t="shared" si="26"/>
        <v>0</v>
      </c>
      <c r="AW27" s="108">
        <f t="shared" si="12"/>
        <v>0</v>
      </c>
      <c r="AX27" s="109">
        <f t="shared" si="13"/>
        <v>0</v>
      </c>
      <c r="AY27" s="107">
        <f t="shared" si="14"/>
        <v>5163.1157894736807</v>
      </c>
      <c r="AZ27" s="108">
        <v>1000</v>
      </c>
      <c r="BA27" s="108" t="e">
        <f>AY27/#REF!</f>
        <v>#REF!</v>
      </c>
      <c r="BB27" s="102"/>
      <c r="BC27" s="103"/>
    </row>
    <row r="28" spans="1:60" ht="14.95" thickBot="1" x14ac:dyDescent="0.3">
      <c r="A28" s="152">
        <f>+A27</f>
        <v>46031</v>
      </c>
      <c r="B28" s="211">
        <f>DAY(Tabla2[[#This Row],[FECHA]])</f>
        <v>9</v>
      </c>
      <c r="C28" s="135" t="s">
        <v>30</v>
      </c>
      <c r="D28" s="153"/>
      <c r="E28" s="154"/>
      <c r="F28" s="155"/>
      <c r="G28" s="155"/>
      <c r="H28" s="154"/>
      <c r="I28" s="290">
        <f>((Tabla2[[#This Row],[VOLUMEN ENVIADO A RO (m3)]]/80)/3)*60</f>
        <v>63.177500000000009</v>
      </c>
      <c r="J28" s="276">
        <v>0</v>
      </c>
      <c r="K28" s="283">
        <v>38</v>
      </c>
      <c r="L28" s="284">
        <v>54</v>
      </c>
      <c r="M28" s="277">
        <v>0</v>
      </c>
      <c r="N28" s="284">
        <v>0</v>
      </c>
      <c r="O28" s="192">
        <f t="shared" si="0"/>
        <v>0</v>
      </c>
      <c r="P28" s="197">
        <f t="shared" si="1"/>
        <v>333.33333333333337</v>
      </c>
      <c r="Q28" s="197">
        <f t="shared" si="2"/>
        <v>473.68421052631584</v>
      </c>
      <c r="R28" s="197">
        <f t="shared" si="3"/>
        <v>0</v>
      </c>
      <c r="S28" s="197">
        <f t="shared" si="4"/>
        <v>0</v>
      </c>
      <c r="T28" s="188">
        <f t="shared" si="15"/>
        <v>0</v>
      </c>
      <c r="U28" s="189">
        <f t="shared" si="16"/>
        <v>289.47368421052636</v>
      </c>
      <c r="V28" s="189">
        <f t="shared" si="17"/>
        <v>17.543859649122851</v>
      </c>
      <c r="W28" s="189">
        <f t="shared" si="18"/>
        <v>0</v>
      </c>
      <c r="X28" s="190">
        <f t="shared" si="19"/>
        <v>0</v>
      </c>
      <c r="Y28" s="195">
        <v>1.18</v>
      </c>
      <c r="Z28" s="195">
        <v>1.28</v>
      </c>
      <c r="AA28" s="195">
        <v>1.2</v>
      </c>
      <c r="AB28" s="195">
        <v>1.53</v>
      </c>
      <c r="AC28" s="195">
        <v>1.2</v>
      </c>
      <c r="AD28" s="199">
        <f t="shared" si="5"/>
        <v>0</v>
      </c>
      <c r="AE28" s="200">
        <f t="shared" si="6"/>
        <v>370.52631578947376</v>
      </c>
      <c r="AF28" s="200">
        <f t="shared" si="7"/>
        <v>21.05263157894742</v>
      </c>
      <c r="AG28" s="200">
        <f t="shared" si="8"/>
        <v>0</v>
      </c>
      <c r="AH28" s="201">
        <f t="shared" si="9"/>
        <v>0</v>
      </c>
      <c r="AI28" s="311">
        <v>252.71</v>
      </c>
      <c r="AJ28" s="141" t="e">
        <f>(AD28*1000)/#REF!</f>
        <v>#REF!</v>
      </c>
      <c r="AK28" s="142" t="e">
        <f>(AE28*1000)/#REF!</f>
        <v>#REF!</v>
      </c>
      <c r="AL28" s="142" t="e">
        <f>(AF28*1000)/#REF!</f>
        <v>#REF!</v>
      </c>
      <c r="AM28" s="142" t="e">
        <f>(AG28*1000)/#REF!</f>
        <v>#REF!</v>
      </c>
      <c r="AN28" s="143" t="e">
        <f>(AH28*1000)/#REF!</f>
        <v>#REF!</v>
      </c>
      <c r="AO28" s="107">
        <f t="shared" si="20"/>
        <v>1550</v>
      </c>
      <c r="AP28" s="108">
        <f t="shared" si="21"/>
        <v>19160</v>
      </c>
      <c r="AQ28" s="108">
        <f t="shared" si="22"/>
        <v>36239</v>
      </c>
      <c r="AR28" s="108">
        <f t="shared" si="23"/>
        <v>1560</v>
      </c>
      <c r="AS28" s="109">
        <f t="shared" si="24"/>
        <v>3640</v>
      </c>
      <c r="AT28" s="110">
        <f t="shared" si="11"/>
        <v>0</v>
      </c>
      <c r="AU28" s="111">
        <f t="shared" si="25"/>
        <v>85191.410526315798</v>
      </c>
      <c r="AV28" s="111">
        <f t="shared" si="26"/>
        <v>33568.757894736926</v>
      </c>
      <c r="AW28" s="111">
        <f t="shared" si="12"/>
        <v>0</v>
      </c>
      <c r="AX28" s="112">
        <f t="shared" si="13"/>
        <v>0</v>
      </c>
      <c r="AY28" s="110">
        <f t="shared" si="14"/>
        <v>118760.16842105272</v>
      </c>
      <c r="AZ28" s="111">
        <v>1000</v>
      </c>
      <c r="BA28" s="111" t="e">
        <f>AY28/#REF!</f>
        <v>#REF!</v>
      </c>
      <c r="BB28" s="101"/>
      <c r="BC28" s="104"/>
    </row>
    <row r="29" spans="1:60" ht="14.95" thickBot="1" x14ac:dyDescent="0.3">
      <c r="A29" s="144">
        <f>+A28+1</f>
        <v>46032</v>
      </c>
      <c r="B29" s="212">
        <f>DAY(Tabla2[[#This Row],[FECHA]])</f>
        <v>10</v>
      </c>
      <c r="C29" s="156" t="s">
        <v>28</v>
      </c>
      <c r="D29" s="145"/>
      <c r="E29" s="146"/>
      <c r="F29" s="147"/>
      <c r="G29" s="147"/>
      <c r="H29" s="146"/>
      <c r="I29" s="290">
        <f>((Tabla2[[#This Row],[VOLUMEN ENVIADO A RO (m3)]]/80)/3)*60</f>
        <v>36.378</v>
      </c>
      <c r="J29" s="276">
        <v>0</v>
      </c>
      <c r="K29" s="277">
        <v>5</v>
      </c>
      <c r="L29" s="278">
        <v>52</v>
      </c>
      <c r="M29" s="277">
        <v>0</v>
      </c>
      <c r="N29" s="278">
        <v>0</v>
      </c>
      <c r="O29" s="192">
        <f t="shared" si="0"/>
        <v>0</v>
      </c>
      <c r="P29" s="203">
        <f t="shared" si="1"/>
        <v>43.859649122807021</v>
      </c>
      <c r="Q29" s="186">
        <f t="shared" si="2"/>
        <v>456.14035087719299</v>
      </c>
      <c r="R29" s="203">
        <f t="shared" si="3"/>
        <v>0</v>
      </c>
      <c r="S29" s="203">
        <f t="shared" si="4"/>
        <v>0</v>
      </c>
      <c r="T29" s="188">
        <f t="shared" si="15"/>
        <v>0</v>
      </c>
      <c r="U29" s="189">
        <f t="shared" si="16"/>
        <v>0</v>
      </c>
      <c r="V29" s="189">
        <f t="shared" si="17"/>
        <v>0</v>
      </c>
      <c r="W29" s="189">
        <f t="shared" si="18"/>
        <v>0</v>
      </c>
      <c r="X29" s="190">
        <f t="shared" si="19"/>
        <v>0</v>
      </c>
      <c r="Y29" s="195">
        <v>1.18</v>
      </c>
      <c r="Z29" s="195">
        <v>1.28</v>
      </c>
      <c r="AA29" s="195">
        <v>1.2</v>
      </c>
      <c r="AB29" s="195">
        <v>1.53</v>
      </c>
      <c r="AC29" s="195">
        <v>1.2</v>
      </c>
      <c r="AD29" s="204">
        <f t="shared" si="5"/>
        <v>0</v>
      </c>
      <c r="AE29" s="205">
        <f t="shared" si="6"/>
        <v>0</v>
      </c>
      <c r="AF29" s="205">
        <f t="shared" si="7"/>
        <v>0</v>
      </c>
      <c r="AG29" s="205">
        <f t="shared" si="8"/>
        <v>0</v>
      </c>
      <c r="AH29" s="206">
        <f t="shared" si="9"/>
        <v>0</v>
      </c>
      <c r="AI29" s="309">
        <v>145.512</v>
      </c>
      <c r="AJ29" s="148" t="e">
        <f>(AD29*1000)/#REF!</f>
        <v>#REF!</v>
      </c>
      <c r="AK29" s="149" t="e">
        <f>(AE29*1000)/#REF!</f>
        <v>#REF!</v>
      </c>
      <c r="AL29" s="149" t="e">
        <f>(AF29*1000)/#REF!</f>
        <v>#REF!</v>
      </c>
      <c r="AM29" s="149" t="e">
        <f>(AG29*1000)/#REF!</f>
        <v>#REF!</v>
      </c>
      <c r="AN29" s="150" t="e">
        <f>(AH29*1000)/#REF!</f>
        <v>#REF!</v>
      </c>
      <c r="AO29" s="107">
        <f t="shared" si="20"/>
        <v>1550</v>
      </c>
      <c r="AP29" s="108">
        <f t="shared" si="21"/>
        <v>19160</v>
      </c>
      <c r="AQ29" s="108">
        <f t="shared" si="22"/>
        <v>36239</v>
      </c>
      <c r="AR29" s="108">
        <f t="shared" si="23"/>
        <v>1560</v>
      </c>
      <c r="AS29" s="109">
        <f t="shared" si="24"/>
        <v>3640</v>
      </c>
      <c r="AT29" s="107">
        <f t="shared" si="11"/>
        <v>0</v>
      </c>
      <c r="AU29" s="108">
        <f t="shared" si="25"/>
        <v>0</v>
      </c>
      <c r="AV29" s="108">
        <f t="shared" si="26"/>
        <v>0</v>
      </c>
      <c r="AW29" s="108">
        <f t="shared" si="12"/>
        <v>0</v>
      </c>
      <c r="AX29" s="109">
        <f t="shared" si="13"/>
        <v>0</v>
      </c>
      <c r="AY29" s="107">
        <f t="shared" si="14"/>
        <v>0</v>
      </c>
      <c r="AZ29" s="108">
        <v>1000</v>
      </c>
      <c r="BA29" s="108" t="e">
        <f>AY29/#REF!</f>
        <v>#REF!</v>
      </c>
      <c r="BB29" s="102"/>
      <c r="BC29" s="103"/>
    </row>
    <row r="30" spans="1:60" ht="14.95" thickBot="1" x14ac:dyDescent="0.3">
      <c r="A30" s="151">
        <f>+A29</f>
        <v>46032</v>
      </c>
      <c r="B30" s="210">
        <f>DAY(Tabla2[[#This Row],[FECHA]])</f>
        <v>10</v>
      </c>
      <c r="C30" s="130" t="s">
        <v>29</v>
      </c>
      <c r="D30" s="123"/>
      <c r="E30" s="124"/>
      <c r="F30" s="125"/>
      <c r="G30" s="125"/>
      <c r="H30" s="124"/>
      <c r="I30" s="290">
        <f>((Tabla2[[#This Row],[VOLUMEN ENVIADO A RO (m3)]]/80)/3)*60</f>
        <v>27.78875</v>
      </c>
      <c r="J30" s="276">
        <v>0</v>
      </c>
      <c r="K30" s="280">
        <v>5</v>
      </c>
      <c r="L30" s="278">
        <v>52</v>
      </c>
      <c r="M30" s="277">
        <v>0</v>
      </c>
      <c r="N30" s="281">
        <v>0</v>
      </c>
      <c r="O30" s="192">
        <f t="shared" si="0"/>
        <v>0</v>
      </c>
      <c r="P30" s="193">
        <f t="shared" si="1"/>
        <v>43.859649122807021</v>
      </c>
      <c r="Q30" s="193">
        <f t="shared" si="2"/>
        <v>456.14035087719299</v>
      </c>
      <c r="R30" s="193">
        <f t="shared" si="3"/>
        <v>0</v>
      </c>
      <c r="S30" s="193">
        <f t="shared" si="4"/>
        <v>0</v>
      </c>
      <c r="T30" s="188">
        <f t="shared" si="15"/>
        <v>0</v>
      </c>
      <c r="U30" s="189">
        <f t="shared" si="16"/>
        <v>0</v>
      </c>
      <c r="V30" s="189">
        <f t="shared" si="17"/>
        <v>0</v>
      </c>
      <c r="W30" s="189">
        <f t="shared" si="18"/>
        <v>0</v>
      </c>
      <c r="X30" s="190">
        <f t="shared" si="19"/>
        <v>0</v>
      </c>
      <c r="Y30" s="195">
        <v>1.18</v>
      </c>
      <c r="Z30" s="195">
        <v>1.28</v>
      </c>
      <c r="AA30" s="195">
        <v>1.2</v>
      </c>
      <c r="AB30" s="195">
        <v>1.53</v>
      </c>
      <c r="AC30" s="195">
        <v>1.2</v>
      </c>
      <c r="AD30" s="188">
        <f t="shared" si="5"/>
        <v>0</v>
      </c>
      <c r="AE30" s="189">
        <f t="shared" si="6"/>
        <v>0</v>
      </c>
      <c r="AF30" s="189">
        <f t="shared" si="7"/>
        <v>0</v>
      </c>
      <c r="AG30" s="189">
        <f t="shared" si="8"/>
        <v>0</v>
      </c>
      <c r="AH30" s="190">
        <f t="shared" si="9"/>
        <v>0</v>
      </c>
      <c r="AI30" s="310">
        <v>111.155</v>
      </c>
      <c r="AJ30" s="126" t="e">
        <f>(AD30*1000)/#REF!</f>
        <v>#REF!</v>
      </c>
      <c r="AK30" s="127" t="e">
        <f>(AE30*1000)/#REF!</f>
        <v>#REF!</v>
      </c>
      <c r="AL30" s="127" t="e">
        <f>(AF30*1000)/#REF!</f>
        <v>#REF!</v>
      </c>
      <c r="AM30" s="127" t="e">
        <f>(AG30*1000)/#REF!</f>
        <v>#REF!</v>
      </c>
      <c r="AN30" s="128" t="e">
        <f>(AH30*1000)/#REF!</f>
        <v>#REF!</v>
      </c>
      <c r="AO30" s="107">
        <f t="shared" si="20"/>
        <v>1550</v>
      </c>
      <c r="AP30" s="108">
        <f t="shared" si="21"/>
        <v>19160</v>
      </c>
      <c r="AQ30" s="108">
        <f t="shared" si="22"/>
        <v>36239</v>
      </c>
      <c r="AR30" s="108">
        <f t="shared" si="23"/>
        <v>1560</v>
      </c>
      <c r="AS30" s="109">
        <f t="shared" si="24"/>
        <v>3640</v>
      </c>
      <c r="AT30" s="107">
        <f t="shared" si="11"/>
        <v>0</v>
      </c>
      <c r="AU30" s="108">
        <f t="shared" si="25"/>
        <v>0</v>
      </c>
      <c r="AV30" s="108">
        <f t="shared" si="26"/>
        <v>0</v>
      </c>
      <c r="AW30" s="108">
        <f t="shared" si="12"/>
        <v>0</v>
      </c>
      <c r="AX30" s="109">
        <f t="shared" si="13"/>
        <v>0</v>
      </c>
      <c r="AY30" s="107">
        <f t="shared" si="14"/>
        <v>0</v>
      </c>
      <c r="AZ30" s="108">
        <v>1000</v>
      </c>
      <c r="BA30" s="108" t="e">
        <f>AY30/#REF!</f>
        <v>#REF!</v>
      </c>
      <c r="BB30" s="102"/>
      <c r="BC30" s="103"/>
    </row>
    <row r="31" spans="1:60" ht="14.95" thickBot="1" x14ac:dyDescent="0.3">
      <c r="A31" s="152">
        <f>+A30</f>
        <v>46032</v>
      </c>
      <c r="B31" s="211">
        <f>DAY(Tabla2[[#This Row],[FECHA]])</f>
        <v>10</v>
      </c>
      <c r="C31" s="135" t="s">
        <v>30</v>
      </c>
      <c r="D31" s="153"/>
      <c r="E31" s="154"/>
      <c r="F31" s="155"/>
      <c r="G31" s="155"/>
      <c r="H31" s="154"/>
      <c r="I31" s="290">
        <f>((Tabla2[[#This Row],[VOLUMEN ENVIADO A RO (m3)]]/80)/3)*60</f>
        <v>0</v>
      </c>
      <c r="J31" s="276">
        <v>0</v>
      </c>
      <c r="K31" s="283">
        <v>5</v>
      </c>
      <c r="L31" s="278">
        <v>52</v>
      </c>
      <c r="M31" s="277">
        <v>0</v>
      </c>
      <c r="N31" s="284">
        <v>0</v>
      </c>
      <c r="O31" s="192">
        <f t="shared" si="0"/>
        <v>0</v>
      </c>
      <c r="P31" s="197">
        <f t="shared" si="1"/>
        <v>43.859649122807021</v>
      </c>
      <c r="Q31" s="197">
        <f t="shared" si="2"/>
        <v>456.14035087719299</v>
      </c>
      <c r="R31" s="197">
        <f t="shared" si="3"/>
        <v>0</v>
      </c>
      <c r="S31" s="197">
        <f t="shared" si="4"/>
        <v>0</v>
      </c>
      <c r="T31" s="188">
        <f t="shared" si="15"/>
        <v>0</v>
      </c>
      <c r="U31" s="189">
        <f t="shared" si="16"/>
        <v>0</v>
      </c>
      <c r="V31" s="189">
        <f t="shared" si="17"/>
        <v>35.087719298245588</v>
      </c>
      <c r="W31" s="189">
        <f t="shared" si="18"/>
        <v>0</v>
      </c>
      <c r="X31" s="190">
        <f t="shared" si="19"/>
        <v>0</v>
      </c>
      <c r="Y31" s="195">
        <v>1.18</v>
      </c>
      <c r="Z31" s="195">
        <v>1.28</v>
      </c>
      <c r="AA31" s="195">
        <v>1.2</v>
      </c>
      <c r="AB31" s="195">
        <v>1.53</v>
      </c>
      <c r="AC31" s="195">
        <v>1.2</v>
      </c>
      <c r="AD31" s="199">
        <f t="shared" si="5"/>
        <v>0</v>
      </c>
      <c r="AE31" s="200">
        <f t="shared" si="6"/>
        <v>0</v>
      </c>
      <c r="AF31" s="200">
        <f t="shared" si="7"/>
        <v>42.105263157894704</v>
      </c>
      <c r="AG31" s="200">
        <f t="shared" si="8"/>
        <v>0</v>
      </c>
      <c r="AH31" s="201">
        <f t="shared" si="9"/>
        <v>0</v>
      </c>
      <c r="AI31" s="311">
        <v>0</v>
      </c>
      <c r="AJ31" s="141" t="e">
        <f>(AD31*1000)/#REF!</f>
        <v>#REF!</v>
      </c>
      <c r="AK31" s="142" t="e">
        <f>(AE31*1000)/#REF!</f>
        <v>#REF!</v>
      </c>
      <c r="AL31" s="142" t="e">
        <f>(AF31*1000)/#REF!</f>
        <v>#REF!</v>
      </c>
      <c r="AM31" s="142" t="e">
        <f>(AG31*1000)/#REF!</f>
        <v>#REF!</v>
      </c>
      <c r="AN31" s="143" t="e">
        <f>(AH31*1000)/#REF!</f>
        <v>#REF!</v>
      </c>
      <c r="AO31" s="107">
        <f t="shared" si="20"/>
        <v>1550</v>
      </c>
      <c r="AP31" s="108">
        <f t="shared" si="21"/>
        <v>19160</v>
      </c>
      <c r="AQ31" s="108">
        <f t="shared" si="22"/>
        <v>36239</v>
      </c>
      <c r="AR31" s="108">
        <f t="shared" si="23"/>
        <v>1560</v>
      </c>
      <c r="AS31" s="109">
        <f t="shared" si="24"/>
        <v>3640</v>
      </c>
      <c r="AT31" s="110">
        <f t="shared" si="11"/>
        <v>0</v>
      </c>
      <c r="AU31" s="111">
        <f t="shared" si="25"/>
        <v>0</v>
      </c>
      <c r="AV31" s="111">
        <f t="shared" si="26"/>
        <v>67137.515789473633</v>
      </c>
      <c r="AW31" s="111">
        <f t="shared" si="12"/>
        <v>0</v>
      </c>
      <c r="AX31" s="112">
        <f t="shared" si="13"/>
        <v>0</v>
      </c>
      <c r="AY31" s="110">
        <f t="shared" si="14"/>
        <v>67137.515789473633</v>
      </c>
      <c r="AZ31" s="111">
        <v>1000</v>
      </c>
      <c r="BA31" s="111" t="e">
        <f>AY31/#REF!</f>
        <v>#REF!</v>
      </c>
      <c r="BB31" s="101"/>
      <c r="BC31" s="104"/>
    </row>
    <row r="32" spans="1:60" ht="14.95" thickBot="1" x14ac:dyDescent="0.3">
      <c r="A32" s="144">
        <f>+A31+1</f>
        <v>46033</v>
      </c>
      <c r="B32" s="212">
        <f>DAY(Tabla2[[#This Row],[FECHA]])</f>
        <v>11</v>
      </c>
      <c r="C32" s="156" t="s">
        <v>28</v>
      </c>
      <c r="D32" s="145"/>
      <c r="E32" s="146"/>
      <c r="F32" s="147"/>
      <c r="G32" s="147"/>
      <c r="H32" s="146"/>
      <c r="I32" s="290">
        <f>((Tabla2[[#This Row],[VOLUMEN ENVIADO A RO (m3)]]/80)/3)*60</f>
        <v>0</v>
      </c>
      <c r="J32" s="276">
        <v>0</v>
      </c>
      <c r="K32" s="277">
        <v>5</v>
      </c>
      <c r="L32" s="278">
        <v>48</v>
      </c>
      <c r="M32" s="277">
        <v>0</v>
      </c>
      <c r="N32" s="278">
        <v>0</v>
      </c>
      <c r="O32" s="192">
        <f t="shared" si="0"/>
        <v>0</v>
      </c>
      <c r="P32" s="203">
        <f t="shared" si="1"/>
        <v>43.859649122807021</v>
      </c>
      <c r="Q32" s="186">
        <f t="shared" si="2"/>
        <v>421.0526315789474</v>
      </c>
      <c r="R32" s="203">
        <f t="shared" si="3"/>
        <v>0</v>
      </c>
      <c r="S32" s="203">
        <f t="shared" si="4"/>
        <v>0</v>
      </c>
      <c r="T32" s="188">
        <f t="shared" si="15"/>
        <v>0</v>
      </c>
      <c r="U32" s="189">
        <f t="shared" si="16"/>
        <v>0</v>
      </c>
      <c r="V32" s="189">
        <f t="shared" si="17"/>
        <v>377.19298245614038</v>
      </c>
      <c r="W32" s="189">
        <f t="shared" si="18"/>
        <v>0</v>
      </c>
      <c r="X32" s="190">
        <f t="shared" si="19"/>
        <v>0</v>
      </c>
      <c r="Y32" s="195">
        <v>1.18</v>
      </c>
      <c r="Z32" s="195">
        <v>1.28</v>
      </c>
      <c r="AA32" s="195">
        <v>1.2</v>
      </c>
      <c r="AB32" s="195">
        <v>1.53</v>
      </c>
      <c r="AC32" s="195">
        <v>1.2</v>
      </c>
      <c r="AD32" s="204">
        <f t="shared" si="5"/>
        <v>0</v>
      </c>
      <c r="AE32" s="205">
        <f t="shared" si="6"/>
        <v>0</v>
      </c>
      <c r="AF32" s="205">
        <f t="shared" si="7"/>
        <v>452.63157894736844</v>
      </c>
      <c r="AG32" s="205">
        <f t="shared" si="8"/>
        <v>0</v>
      </c>
      <c r="AH32" s="206">
        <f t="shared" si="9"/>
        <v>0</v>
      </c>
      <c r="AI32" s="309">
        <v>0</v>
      </c>
      <c r="AJ32" s="148" t="e">
        <f>(AD32*1000)/#REF!</f>
        <v>#REF!</v>
      </c>
      <c r="AK32" s="149" t="e">
        <f>(AE32*1000)/#REF!</f>
        <v>#REF!</v>
      </c>
      <c r="AL32" s="149" t="e">
        <f>(AF32*1000)/#REF!</f>
        <v>#REF!</v>
      </c>
      <c r="AM32" s="149" t="e">
        <f>(AG32*1000)/#REF!</f>
        <v>#REF!</v>
      </c>
      <c r="AN32" s="150" t="e">
        <f>(AH32*1000)/#REF!</f>
        <v>#REF!</v>
      </c>
      <c r="AO32" s="107">
        <f t="shared" si="20"/>
        <v>1550</v>
      </c>
      <c r="AP32" s="108">
        <f t="shared" si="21"/>
        <v>19160</v>
      </c>
      <c r="AQ32" s="108">
        <f t="shared" si="22"/>
        <v>36239</v>
      </c>
      <c r="AR32" s="108">
        <f t="shared" si="23"/>
        <v>1560</v>
      </c>
      <c r="AS32" s="109">
        <f t="shared" si="24"/>
        <v>3640</v>
      </c>
      <c r="AT32" s="107">
        <f t="shared" si="11"/>
        <v>0</v>
      </c>
      <c r="AU32" s="108">
        <f t="shared" si="25"/>
        <v>0</v>
      </c>
      <c r="AV32" s="108">
        <f t="shared" si="26"/>
        <v>721728.29473684204</v>
      </c>
      <c r="AW32" s="108">
        <f t="shared" si="12"/>
        <v>0</v>
      </c>
      <c r="AX32" s="109">
        <f t="shared" si="13"/>
        <v>0</v>
      </c>
      <c r="AY32" s="107">
        <f t="shared" si="14"/>
        <v>721728.29473684204</v>
      </c>
      <c r="AZ32" s="108">
        <v>1000</v>
      </c>
      <c r="BA32" s="108" t="e">
        <f>AY32/#REF!</f>
        <v>#REF!</v>
      </c>
      <c r="BB32" s="102"/>
      <c r="BC32" s="103"/>
    </row>
    <row r="33" spans="1:55" ht="14.95" thickBot="1" x14ac:dyDescent="0.3">
      <c r="A33" s="151">
        <f>+A32</f>
        <v>46033</v>
      </c>
      <c r="B33" s="210">
        <f>DAY(Tabla2[[#This Row],[FECHA]])</f>
        <v>11</v>
      </c>
      <c r="C33" s="130" t="s">
        <v>29</v>
      </c>
      <c r="D33" s="123"/>
      <c r="E33" s="124"/>
      <c r="F33" s="125"/>
      <c r="G33" s="125"/>
      <c r="H33" s="124"/>
      <c r="I33" s="290">
        <f>((Tabla2[[#This Row],[VOLUMEN ENVIADO A RO (m3)]]/80)/3)*60</f>
        <v>0</v>
      </c>
      <c r="J33" s="276">
        <v>0</v>
      </c>
      <c r="K33" s="280">
        <v>5</v>
      </c>
      <c r="L33" s="278">
        <v>5</v>
      </c>
      <c r="M33" s="280">
        <v>0</v>
      </c>
      <c r="N33" s="281">
        <v>0</v>
      </c>
      <c r="O33" s="192">
        <f t="shared" si="0"/>
        <v>0</v>
      </c>
      <c r="P33" s="193">
        <f t="shared" si="1"/>
        <v>43.859649122807021</v>
      </c>
      <c r="Q33" s="193">
        <f t="shared" si="2"/>
        <v>43.859649122807021</v>
      </c>
      <c r="R33" s="193">
        <f t="shared" si="3"/>
        <v>0</v>
      </c>
      <c r="S33" s="193">
        <f t="shared" si="4"/>
        <v>0</v>
      </c>
      <c r="T33" s="188">
        <f t="shared" si="15"/>
        <v>0</v>
      </c>
      <c r="U33" s="189">
        <f>P33-P34</f>
        <v>0</v>
      </c>
      <c r="V33" s="189">
        <f>Q33-Q34</f>
        <v>0</v>
      </c>
      <c r="W33" s="189">
        <f t="shared" si="18"/>
        <v>0</v>
      </c>
      <c r="X33" s="190">
        <f t="shared" si="19"/>
        <v>0</v>
      </c>
      <c r="Y33" s="195">
        <v>1.18</v>
      </c>
      <c r="Z33" s="195">
        <v>1.28</v>
      </c>
      <c r="AA33" s="195">
        <v>1.2</v>
      </c>
      <c r="AB33" s="195">
        <v>1.53</v>
      </c>
      <c r="AC33" s="195">
        <v>1.2</v>
      </c>
      <c r="AD33" s="188">
        <f t="shared" si="5"/>
        <v>0</v>
      </c>
      <c r="AE33" s="189">
        <f t="shared" si="6"/>
        <v>0</v>
      </c>
      <c r="AF33" s="189">
        <f t="shared" si="7"/>
        <v>0</v>
      </c>
      <c r="AG33" s="189">
        <f t="shared" si="8"/>
        <v>0</v>
      </c>
      <c r="AH33" s="190">
        <f t="shared" si="9"/>
        <v>0</v>
      </c>
      <c r="AI33" s="310">
        <v>0</v>
      </c>
      <c r="AJ33" s="126" t="e">
        <f>(AD33*1000)/#REF!</f>
        <v>#REF!</v>
      </c>
      <c r="AK33" s="127" t="e">
        <f>(AE33*1000)/#REF!</f>
        <v>#REF!</v>
      </c>
      <c r="AL33" s="127" t="e">
        <f>(AF33*1000)/#REF!</f>
        <v>#REF!</v>
      </c>
      <c r="AM33" s="127" t="e">
        <f>(AG33*1000)/#REF!</f>
        <v>#REF!</v>
      </c>
      <c r="AN33" s="128" t="e">
        <f>(AH33*1000)/#REF!</f>
        <v>#REF!</v>
      </c>
      <c r="AO33" s="107">
        <f t="shared" si="20"/>
        <v>1550</v>
      </c>
      <c r="AP33" s="108">
        <f t="shared" si="21"/>
        <v>19160</v>
      </c>
      <c r="AQ33" s="108">
        <f t="shared" si="22"/>
        <v>36239</v>
      </c>
      <c r="AR33" s="108">
        <f t="shared" si="23"/>
        <v>1560</v>
      </c>
      <c r="AS33" s="109">
        <f t="shared" si="24"/>
        <v>3640</v>
      </c>
      <c r="AT33" s="107">
        <f t="shared" si="11"/>
        <v>0</v>
      </c>
      <c r="AU33" s="108">
        <f t="shared" si="25"/>
        <v>0</v>
      </c>
      <c r="AV33" s="108">
        <f t="shared" si="26"/>
        <v>0</v>
      </c>
      <c r="AW33" s="108">
        <f t="shared" si="12"/>
        <v>0</v>
      </c>
      <c r="AX33" s="109">
        <f t="shared" si="13"/>
        <v>0</v>
      </c>
      <c r="AY33" s="107">
        <f t="shared" si="14"/>
        <v>0</v>
      </c>
      <c r="AZ33" s="108">
        <v>1000</v>
      </c>
      <c r="BA33" s="108" t="e">
        <f>AY33/#REF!</f>
        <v>#REF!</v>
      </c>
      <c r="BB33" s="102"/>
      <c r="BC33" s="103"/>
    </row>
    <row r="34" spans="1:55" ht="14.95" thickBot="1" x14ac:dyDescent="0.3">
      <c r="A34" s="152">
        <f>+A33</f>
        <v>46033</v>
      </c>
      <c r="B34" s="211">
        <f>DAY(Tabla2[[#This Row],[FECHA]])</f>
        <v>11</v>
      </c>
      <c r="C34" s="135" t="s">
        <v>30</v>
      </c>
      <c r="D34" s="153"/>
      <c r="E34" s="154"/>
      <c r="F34" s="155"/>
      <c r="G34" s="155"/>
      <c r="H34" s="154"/>
      <c r="I34" s="290">
        <f>((Tabla2[[#This Row],[VOLUMEN ENVIADO A RO (m3)]]/80)/3)*60</f>
        <v>0</v>
      </c>
      <c r="J34" s="276">
        <v>0</v>
      </c>
      <c r="K34" s="283">
        <v>5</v>
      </c>
      <c r="L34" s="278">
        <v>5</v>
      </c>
      <c r="M34" s="283">
        <v>0</v>
      </c>
      <c r="N34" s="284">
        <v>0</v>
      </c>
      <c r="O34" s="192">
        <f t="shared" si="0"/>
        <v>0</v>
      </c>
      <c r="P34" s="197">
        <f t="shared" ref="P34:P65" si="27">K34*(1000/114)</f>
        <v>43.859649122807021</v>
      </c>
      <c r="Q34" s="197">
        <f t="shared" si="2"/>
        <v>43.859649122807021</v>
      </c>
      <c r="R34" s="197">
        <f t="shared" ref="R34:R65" si="28">M34*(1000/114)</f>
        <v>0</v>
      </c>
      <c r="S34" s="197">
        <f t="shared" ref="S34:S65" si="29">N34*(1000/114)</f>
        <v>0</v>
      </c>
      <c r="T34" s="188">
        <f t="shared" si="15"/>
        <v>0</v>
      </c>
      <c r="U34" s="189">
        <f t="shared" si="16"/>
        <v>0</v>
      </c>
      <c r="V34" s="189">
        <f t="shared" si="17"/>
        <v>0</v>
      </c>
      <c r="W34" s="189">
        <f t="shared" si="18"/>
        <v>0</v>
      </c>
      <c r="X34" s="190">
        <f t="shared" si="19"/>
        <v>0</v>
      </c>
      <c r="Y34" s="195">
        <v>1.18</v>
      </c>
      <c r="Z34" s="195">
        <v>1.28</v>
      </c>
      <c r="AA34" s="195">
        <v>1.2</v>
      </c>
      <c r="AB34" s="195">
        <v>1.53</v>
      </c>
      <c r="AC34" s="195">
        <v>1.2</v>
      </c>
      <c r="AD34" s="199">
        <f t="shared" ref="AD34:AD65" si="30">T34*Y34</f>
        <v>0</v>
      </c>
      <c r="AE34" s="200">
        <f t="shared" ref="AE34:AE65" si="31">U34*Z34</f>
        <v>0</v>
      </c>
      <c r="AF34" s="200">
        <f t="shared" ref="AF34:AF65" si="32">V34*AA34</f>
        <v>0</v>
      </c>
      <c r="AG34" s="200">
        <f t="shared" ref="AG34:AG65" si="33">W34*AB34</f>
        <v>0</v>
      </c>
      <c r="AH34" s="201">
        <f t="shared" ref="AH34:AH65" si="34">X34*AC34</f>
        <v>0</v>
      </c>
      <c r="AI34" s="311">
        <v>0</v>
      </c>
      <c r="AJ34" s="141" t="e">
        <f>(AD34*1000)/#REF!</f>
        <v>#REF!</v>
      </c>
      <c r="AK34" s="142" t="e">
        <f>(AE34*1000)/#REF!</f>
        <v>#REF!</v>
      </c>
      <c r="AL34" s="142" t="e">
        <f>(AF34*1000)/#REF!</f>
        <v>#REF!</v>
      </c>
      <c r="AM34" s="142" t="e">
        <f>(AG34*1000)/#REF!</f>
        <v>#REF!</v>
      </c>
      <c r="AN34" s="143" t="e">
        <f>(AH34*1000)/#REF!</f>
        <v>#REF!</v>
      </c>
      <c r="AO34" s="107">
        <f t="shared" si="20"/>
        <v>1550</v>
      </c>
      <c r="AP34" s="108">
        <f t="shared" si="21"/>
        <v>19160</v>
      </c>
      <c r="AQ34" s="108">
        <f t="shared" si="22"/>
        <v>36239</v>
      </c>
      <c r="AR34" s="108">
        <f t="shared" si="23"/>
        <v>1560</v>
      </c>
      <c r="AS34" s="109">
        <f t="shared" si="24"/>
        <v>3640</v>
      </c>
      <c r="AT34" s="110">
        <f t="shared" ref="AT34:AT65" si="35">AO34*(AD34*0.8)</f>
        <v>0</v>
      </c>
      <c r="AU34" s="111">
        <f t="shared" si="25"/>
        <v>0</v>
      </c>
      <c r="AV34" s="111">
        <f t="shared" si="26"/>
        <v>0</v>
      </c>
      <c r="AW34" s="111">
        <f t="shared" ref="AW34:AW65" si="36">AR34*AG34</f>
        <v>0</v>
      </c>
      <c r="AX34" s="112">
        <f t="shared" ref="AX34:AX65" si="37">AS34*(AH34*0.025)</f>
        <v>0</v>
      </c>
      <c r="AY34" s="110">
        <f t="shared" ref="AY34:AY83" si="38">AT34+AU34+AV34+AW34+AX34</f>
        <v>0</v>
      </c>
      <c r="AZ34" s="111">
        <v>1000</v>
      </c>
      <c r="BA34" s="111" t="e">
        <f>AY34/#REF!</f>
        <v>#REF!</v>
      </c>
      <c r="BB34" s="101"/>
      <c r="BC34" s="104"/>
    </row>
    <row r="35" spans="1:55" ht="14.95" thickBot="1" x14ac:dyDescent="0.3">
      <c r="A35" s="144">
        <f>+A34+1</f>
        <v>46034</v>
      </c>
      <c r="B35" s="212">
        <f>DAY(Tabla2[[#This Row],[FECHA]])</f>
        <v>12</v>
      </c>
      <c r="C35" s="156" t="s">
        <v>28</v>
      </c>
      <c r="D35" s="145"/>
      <c r="E35" s="146"/>
      <c r="F35" s="147"/>
      <c r="G35" s="147"/>
      <c r="H35" s="146"/>
      <c r="I35" s="290">
        <f>((Tabla2[[#This Row],[VOLUMEN ENVIADO A RO (m3)]]/80)/3)*60</f>
        <v>0</v>
      </c>
      <c r="J35" s="276">
        <v>0</v>
      </c>
      <c r="K35" s="277">
        <v>5</v>
      </c>
      <c r="L35" s="278">
        <v>5</v>
      </c>
      <c r="M35" s="277">
        <v>0</v>
      </c>
      <c r="N35" s="278">
        <v>0</v>
      </c>
      <c r="O35" s="192">
        <f t="shared" si="0"/>
        <v>0</v>
      </c>
      <c r="P35" s="203">
        <f t="shared" si="27"/>
        <v>43.859649122807021</v>
      </c>
      <c r="Q35" s="186">
        <f t="shared" si="2"/>
        <v>43.859649122807021</v>
      </c>
      <c r="R35" s="203">
        <f t="shared" si="28"/>
        <v>0</v>
      </c>
      <c r="S35" s="203">
        <f t="shared" si="29"/>
        <v>0</v>
      </c>
      <c r="T35" s="188">
        <f t="shared" si="15"/>
        <v>0</v>
      </c>
      <c r="U35" s="189">
        <f t="shared" si="16"/>
        <v>0</v>
      </c>
      <c r="V35" s="189">
        <f t="shared" si="17"/>
        <v>0</v>
      </c>
      <c r="W35" s="189">
        <f t="shared" si="18"/>
        <v>0</v>
      </c>
      <c r="X35" s="190">
        <f t="shared" si="19"/>
        <v>0</v>
      </c>
      <c r="Y35" s="195">
        <v>1.18</v>
      </c>
      <c r="Z35" s="195">
        <v>1.28</v>
      </c>
      <c r="AA35" s="195">
        <v>1.2</v>
      </c>
      <c r="AB35" s="195">
        <v>1.53</v>
      </c>
      <c r="AC35" s="195">
        <v>1.2</v>
      </c>
      <c r="AD35" s="204">
        <f t="shared" si="30"/>
        <v>0</v>
      </c>
      <c r="AE35" s="205">
        <f t="shared" si="31"/>
        <v>0</v>
      </c>
      <c r="AF35" s="205">
        <f t="shared" si="32"/>
        <v>0</v>
      </c>
      <c r="AG35" s="205">
        <f t="shared" si="33"/>
        <v>0</v>
      </c>
      <c r="AH35" s="206">
        <f t="shared" si="34"/>
        <v>0</v>
      </c>
      <c r="AI35" s="309">
        <v>0</v>
      </c>
      <c r="AJ35" s="148" t="e">
        <f>(AD35*1000)/#REF!</f>
        <v>#REF!</v>
      </c>
      <c r="AK35" s="149" t="e">
        <f>(AE35*1000)/#REF!</f>
        <v>#REF!</v>
      </c>
      <c r="AL35" s="149" t="e">
        <f>(AF35*1000)/#REF!</f>
        <v>#REF!</v>
      </c>
      <c r="AM35" s="149" t="e">
        <f>(AG35*1000)/#REF!</f>
        <v>#REF!</v>
      </c>
      <c r="AN35" s="150" t="e">
        <f>(AH35*1000)/#REF!</f>
        <v>#REF!</v>
      </c>
      <c r="AO35" s="107">
        <f t="shared" ref="AO35:AO66" si="39">AO34</f>
        <v>1550</v>
      </c>
      <c r="AP35" s="108">
        <f t="shared" ref="AP35:AP66" si="40">AP34</f>
        <v>19160</v>
      </c>
      <c r="AQ35" s="108">
        <f t="shared" ref="AQ35:AQ66" si="41">AQ34</f>
        <v>36239</v>
      </c>
      <c r="AR35" s="108">
        <f t="shared" ref="AR35:AR66" si="42">AR34</f>
        <v>1560</v>
      </c>
      <c r="AS35" s="109">
        <f t="shared" ref="AS35:AS66" si="43">AS34</f>
        <v>3640</v>
      </c>
      <c r="AT35" s="107">
        <f t="shared" si="35"/>
        <v>0</v>
      </c>
      <c r="AU35" s="108">
        <f t="shared" si="25"/>
        <v>0</v>
      </c>
      <c r="AV35" s="108">
        <f t="shared" si="26"/>
        <v>0</v>
      </c>
      <c r="AW35" s="108">
        <f t="shared" si="36"/>
        <v>0</v>
      </c>
      <c r="AX35" s="109">
        <f t="shared" si="37"/>
        <v>0</v>
      </c>
      <c r="AY35" s="107">
        <f t="shared" si="38"/>
        <v>0</v>
      </c>
      <c r="AZ35" s="108">
        <v>1000</v>
      </c>
      <c r="BA35" s="108" t="e">
        <f>AY35/#REF!</f>
        <v>#REF!</v>
      </c>
      <c r="BB35" s="102"/>
      <c r="BC35" s="103"/>
    </row>
    <row r="36" spans="1:55" ht="14.95" thickBot="1" x14ac:dyDescent="0.3">
      <c r="A36" s="151">
        <f>+A35</f>
        <v>46034</v>
      </c>
      <c r="B36" s="210">
        <f>DAY(Tabla2[[#This Row],[FECHA]])</f>
        <v>12</v>
      </c>
      <c r="C36" s="130" t="s">
        <v>29</v>
      </c>
      <c r="D36" s="123"/>
      <c r="E36" s="124"/>
      <c r="F36" s="125"/>
      <c r="G36" s="125"/>
      <c r="H36" s="124"/>
      <c r="I36" s="290">
        <f>((Tabla2[[#This Row],[VOLUMEN ENVIADO A RO (m3)]]/80)/3)*60</f>
        <v>0</v>
      </c>
      <c r="J36" s="279">
        <v>0</v>
      </c>
      <c r="K36" s="280">
        <v>5</v>
      </c>
      <c r="L36" s="278">
        <v>5</v>
      </c>
      <c r="M36" s="280">
        <v>0</v>
      </c>
      <c r="N36" s="281">
        <v>0</v>
      </c>
      <c r="O36" s="192">
        <f t="shared" si="0"/>
        <v>0</v>
      </c>
      <c r="P36" s="193">
        <f t="shared" si="27"/>
        <v>43.859649122807021</v>
      </c>
      <c r="Q36" s="193">
        <f t="shared" si="2"/>
        <v>43.859649122807021</v>
      </c>
      <c r="R36" s="193">
        <f t="shared" si="28"/>
        <v>0</v>
      </c>
      <c r="S36" s="193">
        <f t="shared" si="29"/>
        <v>0</v>
      </c>
      <c r="T36" s="188">
        <f t="shared" si="15"/>
        <v>0</v>
      </c>
      <c r="U36" s="189">
        <f t="shared" si="16"/>
        <v>0</v>
      </c>
      <c r="V36" s="189">
        <f t="shared" si="17"/>
        <v>0</v>
      </c>
      <c r="W36" s="189">
        <f t="shared" si="18"/>
        <v>0</v>
      </c>
      <c r="X36" s="190">
        <f t="shared" si="19"/>
        <v>0</v>
      </c>
      <c r="Y36" s="195">
        <v>1.18</v>
      </c>
      <c r="Z36" s="195">
        <v>1.28</v>
      </c>
      <c r="AA36" s="195">
        <v>1.2</v>
      </c>
      <c r="AB36" s="195">
        <v>1.53</v>
      </c>
      <c r="AC36" s="195">
        <v>1.2</v>
      </c>
      <c r="AD36" s="188">
        <f t="shared" si="30"/>
        <v>0</v>
      </c>
      <c r="AE36" s="189">
        <f t="shared" si="31"/>
        <v>0</v>
      </c>
      <c r="AF36" s="189">
        <f t="shared" si="32"/>
        <v>0</v>
      </c>
      <c r="AG36" s="189">
        <f t="shared" si="33"/>
        <v>0</v>
      </c>
      <c r="AH36" s="190">
        <f t="shared" si="34"/>
        <v>0</v>
      </c>
      <c r="AI36" s="310">
        <v>0</v>
      </c>
      <c r="AJ36" s="126" t="e">
        <f>(AD36*1000)/#REF!</f>
        <v>#REF!</v>
      </c>
      <c r="AK36" s="127" t="e">
        <f>(AE36*1000)/#REF!</f>
        <v>#REF!</v>
      </c>
      <c r="AL36" s="127" t="e">
        <f>(AF36*1000)/#REF!</f>
        <v>#REF!</v>
      </c>
      <c r="AM36" s="127" t="e">
        <f>(AG36*1000)/#REF!</f>
        <v>#REF!</v>
      </c>
      <c r="AN36" s="128" t="e">
        <f>(AH36*1000)/#REF!</f>
        <v>#REF!</v>
      </c>
      <c r="AO36" s="107">
        <f t="shared" si="39"/>
        <v>1550</v>
      </c>
      <c r="AP36" s="108">
        <f t="shared" si="40"/>
        <v>19160</v>
      </c>
      <c r="AQ36" s="108">
        <f t="shared" si="41"/>
        <v>36239</v>
      </c>
      <c r="AR36" s="108">
        <f t="shared" si="42"/>
        <v>1560</v>
      </c>
      <c r="AS36" s="109">
        <f t="shared" si="43"/>
        <v>3640</v>
      </c>
      <c r="AT36" s="107">
        <f t="shared" si="35"/>
        <v>0</v>
      </c>
      <c r="AU36" s="108">
        <f t="shared" si="25"/>
        <v>0</v>
      </c>
      <c r="AV36" s="108">
        <f t="shared" si="26"/>
        <v>0</v>
      </c>
      <c r="AW36" s="108">
        <f t="shared" si="36"/>
        <v>0</v>
      </c>
      <c r="AX36" s="109">
        <f t="shared" si="37"/>
        <v>0</v>
      </c>
      <c r="AY36" s="107">
        <f t="shared" si="38"/>
        <v>0</v>
      </c>
      <c r="AZ36" s="108">
        <v>1000</v>
      </c>
      <c r="BA36" s="108" t="e">
        <f>AY36/#REF!</f>
        <v>#REF!</v>
      </c>
      <c r="BB36" s="102"/>
      <c r="BC36" s="103"/>
    </row>
    <row r="37" spans="1:55" ht="14.95" thickBot="1" x14ac:dyDescent="0.3">
      <c r="A37" s="152">
        <f>+A36</f>
        <v>46034</v>
      </c>
      <c r="B37" s="211">
        <f>DAY(Tabla2[[#This Row],[FECHA]])</f>
        <v>12</v>
      </c>
      <c r="C37" s="135" t="s">
        <v>30</v>
      </c>
      <c r="D37" s="153"/>
      <c r="E37" s="154">
        <v>0</v>
      </c>
      <c r="F37" s="155">
        <v>0</v>
      </c>
      <c r="G37" s="155"/>
      <c r="H37" s="154"/>
      <c r="I37" s="290">
        <f>((Tabla2[[#This Row],[VOLUMEN ENVIADO A RO (m3)]]/80)/3)*60</f>
        <v>0</v>
      </c>
      <c r="J37" s="282">
        <v>0</v>
      </c>
      <c r="K37" s="283">
        <v>5</v>
      </c>
      <c r="L37" s="278">
        <v>5</v>
      </c>
      <c r="M37" s="283">
        <v>0</v>
      </c>
      <c r="N37" s="284">
        <v>0</v>
      </c>
      <c r="O37" s="192">
        <f t="shared" si="0"/>
        <v>0</v>
      </c>
      <c r="P37" s="197">
        <f t="shared" si="27"/>
        <v>43.859649122807021</v>
      </c>
      <c r="Q37" s="197">
        <f t="shared" si="2"/>
        <v>43.859649122807021</v>
      </c>
      <c r="R37" s="197">
        <f t="shared" si="28"/>
        <v>0</v>
      </c>
      <c r="S37" s="197">
        <f t="shared" si="29"/>
        <v>0</v>
      </c>
      <c r="T37" s="188">
        <f t="shared" si="15"/>
        <v>0</v>
      </c>
      <c r="U37" s="189">
        <f>P37-P38+20</f>
        <v>20</v>
      </c>
      <c r="V37" s="189">
        <f>Q37-Q38+30</f>
        <v>30</v>
      </c>
      <c r="W37" s="189">
        <f t="shared" si="18"/>
        <v>0</v>
      </c>
      <c r="X37" s="190">
        <f t="shared" si="19"/>
        <v>0</v>
      </c>
      <c r="Y37" s="195">
        <v>1.18</v>
      </c>
      <c r="Z37" s="195">
        <v>1.28</v>
      </c>
      <c r="AA37" s="195">
        <v>1.2</v>
      </c>
      <c r="AB37" s="195">
        <v>1.53</v>
      </c>
      <c r="AC37" s="195">
        <v>1.2</v>
      </c>
      <c r="AD37" s="199">
        <f t="shared" si="30"/>
        <v>0</v>
      </c>
      <c r="AE37" s="200">
        <f t="shared" si="31"/>
        <v>25.6</v>
      </c>
      <c r="AF37" s="200">
        <f t="shared" si="32"/>
        <v>36</v>
      </c>
      <c r="AG37" s="200">
        <f t="shared" si="33"/>
        <v>0</v>
      </c>
      <c r="AH37" s="201">
        <f t="shared" si="34"/>
        <v>0</v>
      </c>
      <c r="AI37" s="311">
        <v>0</v>
      </c>
      <c r="AJ37" s="141" t="e">
        <f>(AD37*1000)/#REF!</f>
        <v>#REF!</v>
      </c>
      <c r="AK37" s="142" t="e">
        <f>(AE37*1000)/#REF!</f>
        <v>#REF!</v>
      </c>
      <c r="AL37" s="142" t="e">
        <f>(AF37*1000)/#REF!</f>
        <v>#REF!</v>
      </c>
      <c r="AM37" s="142" t="e">
        <f>(AG37*1000)/#REF!</f>
        <v>#REF!</v>
      </c>
      <c r="AN37" s="143" t="e">
        <f>(AH37*1000)/#REF!</f>
        <v>#REF!</v>
      </c>
      <c r="AO37" s="107">
        <f t="shared" si="39"/>
        <v>1550</v>
      </c>
      <c r="AP37" s="108">
        <f t="shared" si="40"/>
        <v>19160</v>
      </c>
      <c r="AQ37" s="108">
        <f t="shared" si="41"/>
        <v>36239</v>
      </c>
      <c r="AR37" s="108">
        <f t="shared" si="42"/>
        <v>1560</v>
      </c>
      <c r="AS37" s="109">
        <f t="shared" si="43"/>
        <v>3640</v>
      </c>
      <c r="AT37" s="110">
        <f t="shared" si="35"/>
        <v>0</v>
      </c>
      <c r="AU37" s="111">
        <f t="shared" si="25"/>
        <v>5885.9520000000002</v>
      </c>
      <c r="AV37" s="111">
        <f t="shared" si="26"/>
        <v>57402.575999999994</v>
      </c>
      <c r="AW37" s="111">
        <f t="shared" si="36"/>
        <v>0</v>
      </c>
      <c r="AX37" s="112">
        <f t="shared" si="37"/>
        <v>0</v>
      </c>
      <c r="AY37" s="110">
        <f t="shared" si="38"/>
        <v>63288.527999999991</v>
      </c>
      <c r="AZ37" s="111">
        <v>1000</v>
      </c>
      <c r="BA37" s="111" t="e">
        <f>AY37/#REF!</f>
        <v>#REF!</v>
      </c>
      <c r="BB37" s="101"/>
      <c r="BC37" s="104"/>
    </row>
    <row r="38" spans="1:55" ht="14.95" thickBot="1" x14ac:dyDescent="0.3">
      <c r="A38" s="144">
        <f>+A37+1</f>
        <v>46035</v>
      </c>
      <c r="B38" s="212">
        <f>DAY(Tabla2[[#This Row],[FECHA]])</f>
        <v>13</v>
      </c>
      <c r="C38" s="156" t="s">
        <v>28</v>
      </c>
      <c r="D38" s="145"/>
      <c r="E38" s="146"/>
      <c r="F38" s="147"/>
      <c r="G38" s="147"/>
      <c r="H38" s="146"/>
      <c r="I38" s="290">
        <f>((Tabla2[[#This Row],[VOLUMEN ENVIADO A RO (m3)]]/80)/3)*60</f>
        <v>0</v>
      </c>
      <c r="J38" s="276">
        <v>0</v>
      </c>
      <c r="K38" s="277">
        <v>5</v>
      </c>
      <c r="L38" s="278">
        <v>5</v>
      </c>
      <c r="M38" s="277">
        <v>0</v>
      </c>
      <c r="N38" s="278">
        <v>0</v>
      </c>
      <c r="O38" s="192">
        <f t="shared" si="0"/>
        <v>0</v>
      </c>
      <c r="P38" s="203">
        <f>K38*(1000/114)</f>
        <v>43.859649122807021</v>
      </c>
      <c r="Q38" s="186">
        <f t="shared" si="2"/>
        <v>43.859649122807021</v>
      </c>
      <c r="R38" s="203">
        <f t="shared" si="28"/>
        <v>0</v>
      </c>
      <c r="S38" s="203">
        <f t="shared" si="29"/>
        <v>0</v>
      </c>
      <c r="T38" s="188">
        <f t="shared" si="15"/>
        <v>0</v>
      </c>
      <c r="U38" s="189">
        <f t="shared" si="16"/>
        <v>0</v>
      </c>
      <c r="V38" s="189">
        <f t="shared" si="17"/>
        <v>0</v>
      </c>
      <c r="W38" s="189">
        <f t="shared" si="18"/>
        <v>0</v>
      </c>
      <c r="X38" s="190">
        <f t="shared" si="19"/>
        <v>0</v>
      </c>
      <c r="Y38" s="195">
        <v>1.18</v>
      </c>
      <c r="Z38" s="195">
        <v>1.28</v>
      </c>
      <c r="AA38" s="195">
        <v>1.2</v>
      </c>
      <c r="AB38" s="195">
        <v>1.53</v>
      </c>
      <c r="AC38" s="195">
        <v>1.2</v>
      </c>
      <c r="AD38" s="204">
        <f t="shared" si="30"/>
        <v>0</v>
      </c>
      <c r="AE38" s="205">
        <f t="shared" si="31"/>
        <v>0</v>
      </c>
      <c r="AF38" s="205">
        <f t="shared" si="32"/>
        <v>0</v>
      </c>
      <c r="AG38" s="205">
        <f t="shared" si="33"/>
        <v>0</v>
      </c>
      <c r="AH38" s="206">
        <f t="shared" si="34"/>
        <v>0</v>
      </c>
      <c r="AI38" s="309">
        <v>0</v>
      </c>
      <c r="AJ38" s="148" t="e">
        <f>(AD38*1000)/#REF!</f>
        <v>#REF!</v>
      </c>
      <c r="AK38" s="149" t="e">
        <f>(AE38*1000)/#REF!</f>
        <v>#REF!</v>
      </c>
      <c r="AL38" s="149" t="e">
        <f>(AF38*1000)/#REF!</f>
        <v>#REF!</v>
      </c>
      <c r="AM38" s="149" t="e">
        <f>(AG38*1000)/#REF!</f>
        <v>#REF!</v>
      </c>
      <c r="AN38" s="150" t="e">
        <f>(AH38*1000)/#REF!</f>
        <v>#REF!</v>
      </c>
      <c r="AO38" s="107">
        <f t="shared" si="39"/>
        <v>1550</v>
      </c>
      <c r="AP38" s="108">
        <f t="shared" si="40"/>
        <v>19160</v>
      </c>
      <c r="AQ38" s="108">
        <f t="shared" si="41"/>
        <v>36239</v>
      </c>
      <c r="AR38" s="108">
        <f t="shared" si="42"/>
        <v>1560</v>
      </c>
      <c r="AS38" s="109">
        <f t="shared" si="43"/>
        <v>3640</v>
      </c>
      <c r="AT38" s="107">
        <f t="shared" si="35"/>
        <v>0</v>
      </c>
      <c r="AU38" s="108">
        <f t="shared" si="25"/>
        <v>0</v>
      </c>
      <c r="AV38" s="108">
        <f t="shared" si="26"/>
        <v>0</v>
      </c>
      <c r="AW38" s="108">
        <f t="shared" si="36"/>
        <v>0</v>
      </c>
      <c r="AX38" s="109">
        <f t="shared" si="37"/>
        <v>0</v>
      </c>
      <c r="AY38" s="107">
        <f t="shared" si="38"/>
        <v>0</v>
      </c>
      <c r="AZ38" s="108">
        <v>1000</v>
      </c>
      <c r="BA38" s="108" t="e">
        <f>AY38/#REF!</f>
        <v>#REF!</v>
      </c>
      <c r="BB38" s="102"/>
      <c r="BC38" s="103"/>
    </row>
    <row r="39" spans="1:55" ht="14.95" thickBot="1" x14ac:dyDescent="0.3">
      <c r="A39" s="151">
        <f>+A38</f>
        <v>46035</v>
      </c>
      <c r="B39" s="210">
        <f>DAY(Tabla2[[#This Row],[FECHA]])</f>
        <v>13</v>
      </c>
      <c r="C39" s="130" t="s">
        <v>29</v>
      </c>
      <c r="D39" s="123"/>
      <c r="E39" s="124"/>
      <c r="F39" s="125"/>
      <c r="G39" s="125"/>
      <c r="H39" s="124"/>
      <c r="I39" s="290">
        <f>((Tabla2[[#This Row],[VOLUMEN ENVIADO A RO (m3)]]/80)/3)*60</f>
        <v>0</v>
      </c>
      <c r="J39" s="279">
        <v>0</v>
      </c>
      <c r="K39" s="280">
        <v>5</v>
      </c>
      <c r="L39" s="278">
        <v>5</v>
      </c>
      <c r="M39" s="280">
        <v>0</v>
      </c>
      <c r="N39" s="281">
        <v>0</v>
      </c>
      <c r="O39" s="192">
        <f t="shared" si="0"/>
        <v>0</v>
      </c>
      <c r="P39" s="193">
        <f>K39*(1000/114)</f>
        <v>43.859649122807021</v>
      </c>
      <c r="Q39" s="193">
        <f t="shared" si="2"/>
        <v>43.859649122807021</v>
      </c>
      <c r="R39" s="193">
        <f t="shared" si="28"/>
        <v>0</v>
      </c>
      <c r="S39" s="193">
        <f t="shared" si="29"/>
        <v>0</v>
      </c>
      <c r="T39" s="188">
        <f t="shared" si="15"/>
        <v>0</v>
      </c>
      <c r="U39" s="189">
        <f t="shared" si="16"/>
        <v>8.7719298245614041</v>
      </c>
      <c r="V39" s="189">
        <f t="shared" si="17"/>
        <v>8.7719298245614041</v>
      </c>
      <c r="W39" s="189">
        <f t="shared" si="18"/>
        <v>0</v>
      </c>
      <c r="X39" s="190">
        <f t="shared" si="19"/>
        <v>0</v>
      </c>
      <c r="Y39" s="195">
        <v>1.18</v>
      </c>
      <c r="Z39" s="195">
        <v>1.28</v>
      </c>
      <c r="AA39" s="195">
        <v>1.2</v>
      </c>
      <c r="AB39" s="195">
        <v>1.53</v>
      </c>
      <c r="AC39" s="195">
        <v>1.2</v>
      </c>
      <c r="AD39" s="188">
        <f t="shared" si="30"/>
        <v>0</v>
      </c>
      <c r="AE39" s="189">
        <f t="shared" si="31"/>
        <v>11.228070175438598</v>
      </c>
      <c r="AF39" s="189">
        <f t="shared" si="32"/>
        <v>10.526315789473685</v>
      </c>
      <c r="AG39" s="189">
        <f t="shared" si="33"/>
        <v>0</v>
      </c>
      <c r="AH39" s="190">
        <f t="shared" si="34"/>
        <v>0</v>
      </c>
      <c r="AI39" s="310">
        <v>0</v>
      </c>
      <c r="AJ39" s="126" t="e">
        <f>(AD39*1000)/#REF!</f>
        <v>#REF!</v>
      </c>
      <c r="AK39" s="127" t="e">
        <f>(AE39*1000)/#REF!</f>
        <v>#REF!</v>
      </c>
      <c r="AL39" s="127" t="e">
        <f>(AF39*1000)/#REF!</f>
        <v>#REF!</v>
      </c>
      <c r="AM39" s="127" t="e">
        <f>(AG39*1000)/#REF!</f>
        <v>#REF!</v>
      </c>
      <c r="AN39" s="128" t="e">
        <f>(AH39*1000)/#REF!</f>
        <v>#REF!</v>
      </c>
      <c r="AO39" s="107">
        <f t="shared" si="39"/>
        <v>1550</v>
      </c>
      <c r="AP39" s="108">
        <f t="shared" si="40"/>
        <v>19160</v>
      </c>
      <c r="AQ39" s="108">
        <f t="shared" si="41"/>
        <v>36239</v>
      </c>
      <c r="AR39" s="108">
        <f t="shared" si="42"/>
        <v>1560</v>
      </c>
      <c r="AS39" s="109">
        <f t="shared" si="43"/>
        <v>3640</v>
      </c>
      <c r="AT39" s="107">
        <f t="shared" si="35"/>
        <v>0</v>
      </c>
      <c r="AU39" s="108">
        <f t="shared" si="25"/>
        <v>2581.5578947368426</v>
      </c>
      <c r="AV39" s="108">
        <f t="shared" si="26"/>
        <v>16784.378947368419</v>
      </c>
      <c r="AW39" s="108">
        <f t="shared" si="36"/>
        <v>0</v>
      </c>
      <c r="AX39" s="109">
        <f t="shared" si="37"/>
        <v>0</v>
      </c>
      <c r="AY39" s="107">
        <f t="shared" si="38"/>
        <v>19365.93684210526</v>
      </c>
      <c r="AZ39" s="108">
        <v>1000</v>
      </c>
      <c r="BA39" s="108" t="e">
        <f>AY39/#REF!</f>
        <v>#REF!</v>
      </c>
      <c r="BB39" s="102"/>
      <c r="BC39" s="103"/>
    </row>
    <row r="40" spans="1:55" ht="14.95" thickBot="1" x14ac:dyDescent="0.3">
      <c r="A40" s="152">
        <f>+A39</f>
        <v>46035</v>
      </c>
      <c r="B40" s="211">
        <f>DAY(Tabla2[[#This Row],[FECHA]])</f>
        <v>13</v>
      </c>
      <c r="C40" s="135" t="s">
        <v>30</v>
      </c>
      <c r="D40" s="153"/>
      <c r="E40" s="154"/>
      <c r="F40" s="155"/>
      <c r="G40" s="155"/>
      <c r="H40" s="154"/>
      <c r="I40" s="290">
        <f>((Tabla2[[#This Row],[VOLUMEN ENVIADO A RO (m3)]]/80)/3)*60</f>
        <v>38.350499999999997</v>
      </c>
      <c r="J40" s="282">
        <v>0</v>
      </c>
      <c r="K40" s="283">
        <v>4</v>
      </c>
      <c r="L40" s="278">
        <v>4</v>
      </c>
      <c r="M40" s="283">
        <v>0</v>
      </c>
      <c r="N40" s="284">
        <v>0</v>
      </c>
      <c r="O40" s="192">
        <f t="shared" si="0"/>
        <v>0</v>
      </c>
      <c r="P40" s="197">
        <f t="shared" si="27"/>
        <v>35.087719298245617</v>
      </c>
      <c r="Q40" s="197">
        <f t="shared" si="2"/>
        <v>35.087719298245617</v>
      </c>
      <c r="R40" s="197">
        <f t="shared" si="28"/>
        <v>0</v>
      </c>
      <c r="S40" s="197">
        <f t="shared" si="29"/>
        <v>0</v>
      </c>
      <c r="T40" s="188">
        <f t="shared" si="15"/>
        <v>0</v>
      </c>
      <c r="U40" s="189">
        <f>P40-P41+500</f>
        <v>61.403508771929751</v>
      </c>
      <c r="V40" s="189">
        <f>Q40-Q41+500</f>
        <v>61.403508771929751</v>
      </c>
      <c r="W40" s="189">
        <f t="shared" si="18"/>
        <v>0</v>
      </c>
      <c r="X40" s="190">
        <f t="shared" si="19"/>
        <v>0</v>
      </c>
      <c r="Y40" s="195">
        <v>1.18</v>
      </c>
      <c r="Z40" s="195">
        <v>1.28</v>
      </c>
      <c r="AA40" s="195">
        <v>1.2</v>
      </c>
      <c r="AB40" s="195">
        <v>1.53</v>
      </c>
      <c r="AC40" s="195">
        <v>1.2</v>
      </c>
      <c r="AD40" s="199">
        <f t="shared" si="30"/>
        <v>0</v>
      </c>
      <c r="AE40" s="200">
        <f t="shared" si="31"/>
        <v>78.596491228070079</v>
      </c>
      <c r="AF40" s="200">
        <f t="shared" si="32"/>
        <v>73.684210526315695</v>
      </c>
      <c r="AG40" s="200">
        <f t="shared" si="33"/>
        <v>0</v>
      </c>
      <c r="AH40" s="201">
        <f t="shared" si="34"/>
        <v>0</v>
      </c>
      <c r="AI40" s="311">
        <v>153.40199999999999</v>
      </c>
      <c r="AJ40" s="141" t="e">
        <f>(AD40*1000)/#REF!</f>
        <v>#REF!</v>
      </c>
      <c r="AK40" s="142" t="e">
        <f>(AE40*1000)/#REF!</f>
        <v>#REF!</v>
      </c>
      <c r="AL40" s="142" t="e">
        <f>(AF40*1000)/#REF!</f>
        <v>#REF!</v>
      </c>
      <c r="AM40" s="142" t="e">
        <f>(AG40*1000)/#REF!</f>
        <v>#REF!</v>
      </c>
      <c r="AN40" s="143" t="e">
        <f>(AH40*1000)/#REF!</f>
        <v>#REF!</v>
      </c>
      <c r="AO40" s="107">
        <f t="shared" si="39"/>
        <v>1550</v>
      </c>
      <c r="AP40" s="108">
        <f t="shared" si="40"/>
        <v>19160</v>
      </c>
      <c r="AQ40" s="108">
        <f t="shared" si="41"/>
        <v>36239</v>
      </c>
      <c r="AR40" s="108">
        <f t="shared" si="42"/>
        <v>1560</v>
      </c>
      <c r="AS40" s="109">
        <f t="shared" si="43"/>
        <v>3640</v>
      </c>
      <c r="AT40" s="110">
        <f t="shared" si="35"/>
        <v>0</v>
      </c>
      <c r="AU40" s="111">
        <f t="shared" si="25"/>
        <v>18070.905263157874</v>
      </c>
      <c r="AV40" s="111">
        <f t="shared" si="26"/>
        <v>117490.65263157879</v>
      </c>
      <c r="AW40" s="111">
        <f t="shared" si="36"/>
        <v>0</v>
      </c>
      <c r="AX40" s="112">
        <f t="shared" si="37"/>
        <v>0</v>
      </c>
      <c r="AY40" s="110">
        <f t="shared" si="38"/>
        <v>135561.55789473667</v>
      </c>
      <c r="AZ40" s="111">
        <v>1000</v>
      </c>
      <c r="BA40" s="111" t="e">
        <f>AY40/#REF!</f>
        <v>#REF!</v>
      </c>
      <c r="BB40" s="101"/>
      <c r="BC40" s="104"/>
    </row>
    <row r="41" spans="1:55" ht="14.95" thickBot="1" x14ac:dyDescent="0.3">
      <c r="A41" s="144">
        <f>+A40+1</f>
        <v>46036</v>
      </c>
      <c r="B41" s="212">
        <f>DAY(Tabla2[[#This Row],[FECHA]])</f>
        <v>14</v>
      </c>
      <c r="C41" s="156" t="s">
        <v>28</v>
      </c>
      <c r="D41" s="145"/>
      <c r="E41" s="146"/>
      <c r="F41" s="147"/>
      <c r="G41" s="147"/>
      <c r="H41" s="146"/>
      <c r="I41" s="290">
        <f>((Tabla2[[#This Row],[VOLUMEN ENVIADO A RO (m3)]]/80)/3)*60</f>
        <v>74.099500000000006</v>
      </c>
      <c r="J41" s="276">
        <v>0</v>
      </c>
      <c r="K41" s="277">
        <v>54</v>
      </c>
      <c r="L41" s="278">
        <v>54</v>
      </c>
      <c r="M41" s="277">
        <v>0</v>
      </c>
      <c r="N41" s="278">
        <v>0</v>
      </c>
      <c r="O41" s="192">
        <f t="shared" si="0"/>
        <v>0</v>
      </c>
      <c r="P41" s="203">
        <f t="shared" si="27"/>
        <v>473.68421052631584</v>
      </c>
      <c r="Q41" s="186">
        <f t="shared" si="2"/>
        <v>473.68421052631584</v>
      </c>
      <c r="R41" s="203">
        <f t="shared" si="28"/>
        <v>0</v>
      </c>
      <c r="S41" s="203">
        <f t="shared" si="29"/>
        <v>0</v>
      </c>
      <c r="T41" s="188">
        <f t="shared" si="15"/>
        <v>0</v>
      </c>
      <c r="U41" s="189">
        <f t="shared" si="16"/>
        <v>0</v>
      </c>
      <c r="V41" s="189">
        <f t="shared" si="17"/>
        <v>0</v>
      </c>
      <c r="W41" s="189">
        <f t="shared" si="18"/>
        <v>0</v>
      </c>
      <c r="X41" s="190">
        <f t="shared" si="19"/>
        <v>0</v>
      </c>
      <c r="Y41" s="195">
        <v>1.18</v>
      </c>
      <c r="Z41" s="195">
        <v>1.28</v>
      </c>
      <c r="AA41" s="195">
        <v>1.2</v>
      </c>
      <c r="AB41" s="195">
        <v>1.53</v>
      </c>
      <c r="AC41" s="195">
        <v>1.2</v>
      </c>
      <c r="AD41" s="204">
        <f t="shared" si="30"/>
        <v>0</v>
      </c>
      <c r="AE41" s="205">
        <f t="shared" si="31"/>
        <v>0</v>
      </c>
      <c r="AF41" s="205">
        <f t="shared" si="32"/>
        <v>0</v>
      </c>
      <c r="AG41" s="205">
        <f t="shared" si="33"/>
        <v>0</v>
      </c>
      <c r="AH41" s="206">
        <f t="shared" si="34"/>
        <v>0</v>
      </c>
      <c r="AI41" s="309">
        <v>296.39800000000002</v>
      </c>
      <c r="AJ41" s="148" t="e">
        <f>(AD41*1000)/#REF!</f>
        <v>#REF!</v>
      </c>
      <c r="AK41" s="149" t="e">
        <f>(AE41*1000)/#REF!</f>
        <v>#REF!</v>
      </c>
      <c r="AL41" s="149" t="e">
        <f>(AF41*1000)/#REF!</f>
        <v>#REF!</v>
      </c>
      <c r="AM41" s="149" t="e">
        <f>(AG41*1000)/#REF!</f>
        <v>#REF!</v>
      </c>
      <c r="AN41" s="150" t="e">
        <f>(AH41*1000)/#REF!</f>
        <v>#REF!</v>
      </c>
      <c r="AO41" s="107">
        <f t="shared" si="39"/>
        <v>1550</v>
      </c>
      <c r="AP41" s="108">
        <f t="shared" si="40"/>
        <v>19160</v>
      </c>
      <c r="AQ41" s="108">
        <f t="shared" si="41"/>
        <v>36239</v>
      </c>
      <c r="AR41" s="108">
        <f t="shared" si="42"/>
        <v>1560</v>
      </c>
      <c r="AS41" s="109">
        <f t="shared" si="43"/>
        <v>3640</v>
      </c>
      <c r="AT41" s="107">
        <f t="shared" si="35"/>
        <v>0</v>
      </c>
      <c r="AU41" s="108">
        <f t="shared" si="25"/>
        <v>0</v>
      </c>
      <c r="AV41" s="108">
        <f t="shared" si="26"/>
        <v>0</v>
      </c>
      <c r="AW41" s="108">
        <f t="shared" si="36"/>
        <v>0</v>
      </c>
      <c r="AX41" s="109">
        <f t="shared" si="37"/>
        <v>0</v>
      </c>
      <c r="AY41" s="107">
        <f t="shared" si="38"/>
        <v>0</v>
      </c>
      <c r="AZ41" s="108">
        <v>1000</v>
      </c>
      <c r="BA41" s="108" t="e">
        <f>AY41/#REF!</f>
        <v>#REF!</v>
      </c>
      <c r="BB41" s="102"/>
      <c r="BC41" s="103"/>
    </row>
    <row r="42" spans="1:55" ht="14.95" thickBot="1" x14ac:dyDescent="0.3">
      <c r="A42" s="151">
        <f>+A41</f>
        <v>46036</v>
      </c>
      <c r="B42" s="210">
        <f>DAY(Tabla2[[#This Row],[FECHA]])</f>
        <v>14</v>
      </c>
      <c r="C42" s="130" t="s">
        <v>29</v>
      </c>
      <c r="D42" s="123"/>
      <c r="E42" s="124"/>
      <c r="F42" s="125"/>
      <c r="G42" s="125"/>
      <c r="H42" s="124"/>
      <c r="I42" s="290">
        <f>((Tabla2[[#This Row],[VOLUMEN ENVIADO A RO (m3)]]/80)/3)*60</f>
        <v>57.965499999999999</v>
      </c>
      <c r="J42" s="279">
        <v>0</v>
      </c>
      <c r="K42" s="280">
        <v>54</v>
      </c>
      <c r="L42" s="281">
        <v>54</v>
      </c>
      <c r="M42" s="280">
        <v>0</v>
      </c>
      <c r="N42" s="281">
        <v>0</v>
      </c>
      <c r="O42" s="192">
        <f t="shared" si="0"/>
        <v>0</v>
      </c>
      <c r="P42" s="193">
        <f t="shared" si="27"/>
        <v>473.68421052631584</v>
      </c>
      <c r="Q42" s="193">
        <f t="shared" si="2"/>
        <v>473.68421052631584</v>
      </c>
      <c r="R42" s="193">
        <f t="shared" si="28"/>
        <v>0</v>
      </c>
      <c r="S42" s="193">
        <f t="shared" si="29"/>
        <v>0</v>
      </c>
      <c r="T42" s="188">
        <f t="shared" si="15"/>
        <v>0</v>
      </c>
      <c r="U42" s="189">
        <f t="shared" si="16"/>
        <v>35.087719298245645</v>
      </c>
      <c r="V42" s="189">
        <f t="shared" si="17"/>
        <v>140.35087719298247</v>
      </c>
      <c r="W42" s="189">
        <f t="shared" si="18"/>
        <v>0</v>
      </c>
      <c r="X42" s="190">
        <f t="shared" si="19"/>
        <v>0</v>
      </c>
      <c r="Y42" s="195">
        <v>1.18</v>
      </c>
      <c r="Z42" s="195">
        <v>1.28</v>
      </c>
      <c r="AA42" s="195">
        <v>1.2</v>
      </c>
      <c r="AB42" s="195">
        <v>1.53</v>
      </c>
      <c r="AC42" s="195">
        <v>1.2</v>
      </c>
      <c r="AD42" s="188">
        <f t="shared" si="30"/>
        <v>0</v>
      </c>
      <c r="AE42" s="189">
        <f t="shared" si="31"/>
        <v>44.912280701754426</v>
      </c>
      <c r="AF42" s="189">
        <f t="shared" si="32"/>
        <v>168.42105263157896</v>
      </c>
      <c r="AG42" s="189">
        <f t="shared" si="33"/>
        <v>0</v>
      </c>
      <c r="AH42" s="190">
        <f t="shared" si="34"/>
        <v>0</v>
      </c>
      <c r="AI42" s="310">
        <v>231.86199999999999</v>
      </c>
      <c r="AJ42" s="126" t="e">
        <f>(AD42*1000)/#REF!</f>
        <v>#REF!</v>
      </c>
      <c r="AK42" s="127" t="e">
        <f>(AE42*1000)/#REF!</f>
        <v>#REF!</v>
      </c>
      <c r="AL42" s="127" t="e">
        <f>(AF42*1000)/#REF!</f>
        <v>#REF!</v>
      </c>
      <c r="AM42" s="127" t="e">
        <f>(AG42*1000)/#REF!</f>
        <v>#REF!</v>
      </c>
      <c r="AN42" s="128" t="e">
        <f>(AH42*1000)/#REF!</f>
        <v>#REF!</v>
      </c>
      <c r="AO42" s="107">
        <f t="shared" si="39"/>
        <v>1550</v>
      </c>
      <c r="AP42" s="108">
        <f t="shared" si="40"/>
        <v>19160</v>
      </c>
      <c r="AQ42" s="108">
        <f t="shared" si="41"/>
        <v>36239</v>
      </c>
      <c r="AR42" s="108">
        <f t="shared" si="42"/>
        <v>1560</v>
      </c>
      <c r="AS42" s="109">
        <f t="shared" si="43"/>
        <v>3640</v>
      </c>
      <c r="AT42" s="107">
        <f t="shared" si="35"/>
        <v>0</v>
      </c>
      <c r="AU42" s="108">
        <f t="shared" si="25"/>
        <v>10326.23157894738</v>
      </c>
      <c r="AV42" s="108">
        <f t="shared" si="26"/>
        <v>268550.06315789471</v>
      </c>
      <c r="AW42" s="108">
        <f t="shared" si="36"/>
        <v>0</v>
      </c>
      <c r="AX42" s="109">
        <f t="shared" si="37"/>
        <v>0</v>
      </c>
      <c r="AY42" s="107">
        <f t="shared" si="38"/>
        <v>278876.2947368421</v>
      </c>
      <c r="AZ42" s="108">
        <v>1000</v>
      </c>
      <c r="BA42" s="108" t="e">
        <f>AY42/#REF!</f>
        <v>#REF!</v>
      </c>
      <c r="BB42" s="102"/>
      <c r="BC42" s="103"/>
    </row>
    <row r="43" spans="1:55" ht="14.95" thickBot="1" x14ac:dyDescent="0.3">
      <c r="A43" s="152">
        <f>+A42</f>
        <v>46036</v>
      </c>
      <c r="B43" s="211">
        <f>DAY(Tabla2[[#This Row],[FECHA]])</f>
        <v>14</v>
      </c>
      <c r="C43" s="135" t="s">
        <v>30</v>
      </c>
      <c r="D43" s="153"/>
      <c r="E43" s="154"/>
      <c r="F43" s="155"/>
      <c r="G43" s="155"/>
      <c r="H43" s="154"/>
      <c r="I43" s="290">
        <f>((Tabla2[[#This Row],[VOLUMEN ENVIADO A RO (m3)]]/80)/3)*60</f>
        <v>101.30449999999999</v>
      </c>
      <c r="J43" s="282">
        <v>0</v>
      </c>
      <c r="K43" s="283">
        <v>50</v>
      </c>
      <c r="L43" s="284">
        <v>38</v>
      </c>
      <c r="M43" s="283">
        <v>0</v>
      </c>
      <c r="N43" s="284">
        <v>0</v>
      </c>
      <c r="O43" s="192">
        <f t="shared" si="0"/>
        <v>0</v>
      </c>
      <c r="P43" s="197">
        <f t="shared" si="27"/>
        <v>438.59649122807019</v>
      </c>
      <c r="Q43" s="197">
        <f t="shared" si="2"/>
        <v>333.33333333333337</v>
      </c>
      <c r="R43" s="197">
        <f t="shared" si="28"/>
        <v>0</v>
      </c>
      <c r="S43" s="197">
        <f t="shared" si="29"/>
        <v>0</v>
      </c>
      <c r="T43" s="188">
        <f t="shared" si="15"/>
        <v>0</v>
      </c>
      <c r="U43" s="189">
        <f>P43-P44+10</f>
        <v>71.403508771929808</v>
      </c>
      <c r="V43" s="189">
        <f t="shared" si="17"/>
        <v>61.403508771929864</v>
      </c>
      <c r="W43" s="189">
        <f t="shared" si="18"/>
        <v>0</v>
      </c>
      <c r="X43" s="190">
        <f t="shared" si="19"/>
        <v>0</v>
      </c>
      <c r="Y43" s="195">
        <v>1.18</v>
      </c>
      <c r="Z43" s="195">
        <v>1.28</v>
      </c>
      <c r="AA43" s="195">
        <v>1.2</v>
      </c>
      <c r="AB43" s="195">
        <v>1.53</v>
      </c>
      <c r="AC43" s="195">
        <v>1.2</v>
      </c>
      <c r="AD43" s="199">
        <f t="shared" si="30"/>
        <v>0</v>
      </c>
      <c r="AE43" s="200">
        <f t="shared" si="31"/>
        <v>91.396491228070161</v>
      </c>
      <c r="AF43" s="200">
        <f t="shared" si="32"/>
        <v>73.684210526315837</v>
      </c>
      <c r="AG43" s="200">
        <f t="shared" si="33"/>
        <v>0</v>
      </c>
      <c r="AH43" s="201">
        <f t="shared" si="34"/>
        <v>0</v>
      </c>
      <c r="AI43" s="311">
        <v>405.21800000000002</v>
      </c>
      <c r="AJ43" s="141" t="e">
        <f>(AD43*1000)/#REF!</f>
        <v>#REF!</v>
      </c>
      <c r="AK43" s="142" t="e">
        <f>(AE43*1000)/#REF!</f>
        <v>#REF!</v>
      </c>
      <c r="AL43" s="142" t="e">
        <f>(AF43*1000)/#REF!</f>
        <v>#REF!</v>
      </c>
      <c r="AM43" s="142" t="e">
        <f>(AG43*1000)/#REF!</f>
        <v>#REF!</v>
      </c>
      <c r="AN43" s="143" t="e">
        <f>(AH43*1000)/#REF!</f>
        <v>#REF!</v>
      </c>
      <c r="AO43" s="107">
        <f t="shared" si="39"/>
        <v>1550</v>
      </c>
      <c r="AP43" s="108">
        <f t="shared" si="40"/>
        <v>19160</v>
      </c>
      <c r="AQ43" s="108">
        <f t="shared" si="41"/>
        <v>36239</v>
      </c>
      <c r="AR43" s="108">
        <f t="shared" si="42"/>
        <v>1560</v>
      </c>
      <c r="AS43" s="109">
        <f t="shared" si="43"/>
        <v>3640</v>
      </c>
      <c r="AT43" s="110">
        <f t="shared" si="35"/>
        <v>0</v>
      </c>
      <c r="AU43" s="111">
        <f t="shared" si="25"/>
        <v>21013.881263157891</v>
      </c>
      <c r="AV43" s="111">
        <f t="shared" si="26"/>
        <v>117490.65263157903</v>
      </c>
      <c r="AW43" s="111">
        <f t="shared" si="36"/>
        <v>0</v>
      </c>
      <c r="AX43" s="112">
        <f t="shared" si="37"/>
        <v>0</v>
      </c>
      <c r="AY43" s="110">
        <f t="shared" si="38"/>
        <v>138504.5338947369</v>
      </c>
      <c r="AZ43" s="111">
        <v>1000</v>
      </c>
      <c r="BA43" s="111" t="e">
        <f>AY43/#REF!</f>
        <v>#REF!</v>
      </c>
      <c r="BB43" s="101"/>
      <c r="BC43" s="104"/>
    </row>
    <row r="44" spans="1:55" ht="14.95" thickBot="1" x14ac:dyDescent="0.3">
      <c r="A44" s="144">
        <f>+A43+1</f>
        <v>46037</v>
      </c>
      <c r="B44" s="212">
        <f>DAY(Tabla2[[#This Row],[FECHA]])</f>
        <v>15</v>
      </c>
      <c r="C44" s="156" t="s">
        <v>28</v>
      </c>
      <c r="D44" s="145"/>
      <c r="E44" s="146"/>
      <c r="F44" s="147"/>
      <c r="G44" s="147"/>
      <c r="H44" s="146"/>
      <c r="I44" s="290">
        <f>((Tabla2[[#This Row],[VOLUMEN ENVIADO A RO (m3)]]/80)/3)*60</f>
        <v>114.5</v>
      </c>
      <c r="J44" s="276">
        <v>0</v>
      </c>
      <c r="K44" s="277">
        <v>43</v>
      </c>
      <c r="L44" s="278">
        <v>31</v>
      </c>
      <c r="M44" s="277">
        <v>0</v>
      </c>
      <c r="N44" s="278">
        <v>0</v>
      </c>
      <c r="O44" s="192">
        <f t="shared" si="0"/>
        <v>0</v>
      </c>
      <c r="P44" s="203">
        <f t="shared" si="27"/>
        <v>377.19298245614038</v>
      </c>
      <c r="Q44" s="186">
        <f t="shared" si="2"/>
        <v>271.92982456140351</v>
      </c>
      <c r="R44" s="203">
        <f t="shared" si="28"/>
        <v>0</v>
      </c>
      <c r="S44" s="203">
        <f t="shared" si="29"/>
        <v>0</v>
      </c>
      <c r="T44" s="188">
        <f t="shared" si="15"/>
        <v>0</v>
      </c>
      <c r="U44" s="189">
        <f t="shared" si="16"/>
        <v>26.31578947368422</v>
      </c>
      <c r="V44" s="189">
        <f t="shared" si="17"/>
        <v>17.543859649122794</v>
      </c>
      <c r="W44" s="189">
        <f t="shared" si="18"/>
        <v>0</v>
      </c>
      <c r="X44" s="190">
        <f t="shared" si="19"/>
        <v>0</v>
      </c>
      <c r="Y44" s="195">
        <v>1.18</v>
      </c>
      <c r="Z44" s="195">
        <v>1.28</v>
      </c>
      <c r="AA44" s="195">
        <v>1.2</v>
      </c>
      <c r="AB44" s="195">
        <v>1.53</v>
      </c>
      <c r="AC44" s="195">
        <v>1.2</v>
      </c>
      <c r="AD44" s="204">
        <f t="shared" si="30"/>
        <v>0</v>
      </c>
      <c r="AE44" s="205">
        <f t="shared" si="31"/>
        <v>33.684210526315802</v>
      </c>
      <c r="AF44" s="205">
        <f t="shared" si="32"/>
        <v>21.052631578947352</v>
      </c>
      <c r="AG44" s="205">
        <f t="shared" si="33"/>
        <v>0</v>
      </c>
      <c r="AH44" s="206">
        <f t="shared" si="34"/>
        <v>0</v>
      </c>
      <c r="AI44" s="309">
        <v>458</v>
      </c>
      <c r="AJ44" s="148" t="e">
        <f>(AD44*1000)/#REF!</f>
        <v>#REF!</v>
      </c>
      <c r="AK44" s="149" t="e">
        <f>(AE44*1000)/#REF!</f>
        <v>#REF!</v>
      </c>
      <c r="AL44" s="149" t="e">
        <f>(AF44*1000)/#REF!</f>
        <v>#REF!</v>
      </c>
      <c r="AM44" s="149" t="e">
        <f>(AG44*1000)/#REF!</f>
        <v>#REF!</v>
      </c>
      <c r="AN44" s="150" t="e">
        <f>(AH44*1000)/#REF!</f>
        <v>#REF!</v>
      </c>
      <c r="AO44" s="107">
        <f t="shared" si="39"/>
        <v>1550</v>
      </c>
      <c r="AP44" s="108">
        <f t="shared" si="40"/>
        <v>19160</v>
      </c>
      <c r="AQ44" s="108">
        <f t="shared" si="41"/>
        <v>36239</v>
      </c>
      <c r="AR44" s="108">
        <f t="shared" si="42"/>
        <v>1560</v>
      </c>
      <c r="AS44" s="109">
        <f t="shared" si="43"/>
        <v>3640</v>
      </c>
      <c r="AT44" s="107">
        <f t="shared" si="35"/>
        <v>0</v>
      </c>
      <c r="AU44" s="108">
        <f t="shared" si="25"/>
        <v>7744.6736842105292</v>
      </c>
      <c r="AV44" s="108">
        <f t="shared" si="26"/>
        <v>33568.757894736817</v>
      </c>
      <c r="AW44" s="108">
        <f t="shared" si="36"/>
        <v>0</v>
      </c>
      <c r="AX44" s="109">
        <f t="shared" si="37"/>
        <v>0</v>
      </c>
      <c r="AY44" s="107">
        <f t="shared" si="38"/>
        <v>41313.431578947348</v>
      </c>
      <c r="AZ44" s="108">
        <v>1000</v>
      </c>
      <c r="BA44" s="108" t="e">
        <f>AY44/#REF!</f>
        <v>#REF!</v>
      </c>
      <c r="BB44" s="102"/>
      <c r="BC44" s="103"/>
    </row>
    <row r="45" spans="1:55" ht="14.95" thickBot="1" x14ac:dyDescent="0.3">
      <c r="A45" s="151">
        <f>+A44</f>
        <v>46037</v>
      </c>
      <c r="B45" s="210">
        <f>DAY(Tabla2[[#This Row],[FECHA]])</f>
        <v>15</v>
      </c>
      <c r="C45" s="130" t="s">
        <v>29</v>
      </c>
      <c r="D45" s="131"/>
      <c r="E45" s="132"/>
      <c r="F45" s="133"/>
      <c r="G45" s="133"/>
      <c r="H45" s="132"/>
      <c r="I45" s="290">
        <f>((Tabla2[[#This Row],[VOLUMEN ENVIADO A RO (m3)]]/80)/3)*60</f>
        <v>109.5</v>
      </c>
      <c r="J45" s="279">
        <v>0</v>
      </c>
      <c r="K45" s="280">
        <v>40</v>
      </c>
      <c r="L45" s="281">
        <v>29</v>
      </c>
      <c r="M45" s="280">
        <v>0</v>
      </c>
      <c r="N45" s="281">
        <v>0</v>
      </c>
      <c r="O45" s="192">
        <f t="shared" si="0"/>
        <v>0</v>
      </c>
      <c r="P45" s="193">
        <f t="shared" si="27"/>
        <v>350.87719298245617</v>
      </c>
      <c r="Q45" s="193">
        <f t="shared" si="2"/>
        <v>254.38596491228071</v>
      </c>
      <c r="R45" s="193">
        <f t="shared" si="28"/>
        <v>0</v>
      </c>
      <c r="S45" s="193">
        <f t="shared" si="29"/>
        <v>0</v>
      </c>
      <c r="T45" s="188">
        <f t="shared" si="15"/>
        <v>0</v>
      </c>
      <c r="U45" s="189">
        <f t="shared" si="16"/>
        <v>35.087719298245645</v>
      </c>
      <c r="V45" s="189">
        <f t="shared" si="17"/>
        <v>78.94736842105263</v>
      </c>
      <c r="W45" s="189">
        <f t="shared" si="18"/>
        <v>0</v>
      </c>
      <c r="X45" s="190">
        <f t="shared" si="19"/>
        <v>0</v>
      </c>
      <c r="Y45" s="195">
        <v>1.18</v>
      </c>
      <c r="Z45" s="195">
        <v>1.28</v>
      </c>
      <c r="AA45" s="195">
        <v>1.2</v>
      </c>
      <c r="AB45" s="195">
        <v>1.53</v>
      </c>
      <c r="AC45" s="195">
        <v>1.2</v>
      </c>
      <c r="AD45" s="188">
        <f t="shared" si="30"/>
        <v>0</v>
      </c>
      <c r="AE45" s="189">
        <f t="shared" si="31"/>
        <v>44.912280701754426</v>
      </c>
      <c r="AF45" s="189">
        <f t="shared" si="32"/>
        <v>94.73684210526315</v>
      </c>
      <c r="AG45" s="189">
        <f t="shared" si="33"/>
        <v>0</v>
      </c>
      <c r="AH45" s="190">
        <f t="shared" si="34"/>
        <v>0</v>
      </c>
      <c r="AI45" s="310">
        <v>438</v>
      </c>
      <c r="AJ45" s="126" t="e">
        <f>(AD45*1000)/#REF!</f>
        <v>#REF!</v>
      </c>
      <c r="AK45" s="127" t="e">
        <f>(AE45*1000)/#REF!</f>
        <v>#REF!</v>
      </c>
      <c r="AL45" s="127" t="e">
        <f>(AF45*1000)/#REF!</f>
        <v>#REF!</v>
      </c>
      <c r="AM45" s="127" t="e">
        <f>(AG45*1000)/#REF!</f>
        <v>#REF!</v>
      </c>
      <c r="AN45" s="128" t="e">
        <f>(AH45*1000)/#REF!</f>
        <v>#REF!</v>
      </c>
      <c r="AO45" s="107">
        <f t="shared" si="39"/>
        <v>1550</v>
      </c>
      <c r="AP45" s="108">
        <f t="shared" si="40"/>
        <v>19160</v>
      </c>
      <c r="AQ45" s="108">
        <f t="shared" si="41"/>
        <v>36239</v>
      </c>
      <c r="AR45" s="108">
        <f t="shared" si="42"/>
        <v>1560</v>
      </c>
      <c r="AS45" s="109">
        <f t="shared" si="43"/>
        <v>3640</v>
      </c>
      <c r="AT45" s="107">
        <f t="shared" si="35"/>
        <v>0</v>
      </c>
      <c r="AU45" s="108">
        <f t="shared" si="25"/>
        <v>10326.23157894738</v>
      </c>
      <c r="AV45" s="108">
        <f t="shared" si="26"/>
        <v>151059.41052631577</v>
      </c>
      <c r="AW45" s="108">
        <f t="shared" si="36"/>
        <v>0</v>
      </c>
      <c r="AX45" s="109">
        <f t="shared" si="37"/>
        <v>0</v>
      </c>
      <c r="AY45" s="107">
        <f t="shared" si="38"/>
        <v>161385.64210526313</v>
      </c>
      <c r="AZ45" s="108">
        <v>1000</v>
      </c>
      <c r="BA45" s="108" t="e">
        <f>AY45/#REF!</f>
        <v>#REF!</v>
      </c>
      <c r="BB45" s="102"/>
      <c r="BC45" s="103"/>
    </row>
    <row r="46" spans="1:55" ht="14.95" thickBot="1" x14ac:dyDescent="0.3">
      <c r="A46" s="152">
        <f>+A45</f>
        <v>46037</v>
      </c>
      <c r="B46" s="211">
        <f>DAY(Tabla2[[#This Row],[FECHA]])</f>
        <v>15</v>
      </c>
      <c r="C46" s="135" t="s">
        <v>30</v>
      </c>
      <c r="D46" s="136"/>
      <c r="E46" s="137"/>
      <c r="F46" s="138"/>
      <c r="G46" s="139"/>
      <c r="H46" s="140"/>
      <c r="I46" s="290">
        <f>((Tabla2[[#This Row],[VOLUMEN ENVIADO A RO (m3)]]/80)/3)*60</f>
        <v>112.11574999999999</v>
      </c>
      <c r="J46" s="282">
        <v>0</v>
      </c>
      <c r="K46" s="283">
        <v>36</v>
      </c>
      <c r="L46" s="284">
        <v>20</v>
      </c>
      <c r="M46" s="283">
        <v>0</v>
      </c>
      <c r="N46" s="284">
        <v>0</v>
      </c>
      <c r="O46" s="192">
        <f t="shared" si="0"/>
        <v>0</v>
      </c>
      <c r="P46" s="197">
        <f t="shared" si="27"/>
        <v>315.78947368421052</v>
      </c>
      <c r="Q46" s="197">
        <f t="shared" si="2"/>
        <v>175.43859649122808</v>
      </c>
      <c r="R46" s="197">
        <f t="shared" si="28"/>
        <v>0</v>
      </c>
      <c r="S46" s="197">
        <f t="shared" si="29"/>
        <v>0</v>
      </c>
      <c r="T46" s="188">
        <f t="shared" si="15"/>
        <v>0</v>
      </c>
      <c r="U46" s="189">
        <f>P46-P47</f>
        <v>35.087719298245588</v>
      </c>
      <c r="V46" s="189">
        <f t="shared" si="17"/>
        <v>43.859649122807014</v>
      </c>
      <c r="W46" s="189">
        <f t="shared" si="18"/>
        <v>0</v>
      </c>
      <c r="X46" s="190">
        <f t="shared" si="19"/>
        <v>0</v>
      </c>
      <c r="Y46" s="195">
        <v>1.18</v>
      </c>
      <c r="Z46" s="195">
        <v>1.28</v>
      </c>
      <c r="AA46" s="195">
        <v>1.2</v>
      </c>
      <c r="AB46" s="195">
        <v>1.53</v>
      </c>
      <c r="AC46" s="195">
        <v>1.2</v>
      </c>
      <c r="AD46" s="199">
        <f t="shared" si="30"/>
        <v>0</v>
      </c>
      <c r="AE46" s="200">
        <f t="shared" si="31"/>
        <v>44.912280701754355</v>
      </c>
      <c r="AF46" s="200">
        <f t="shared" si="32"/>
        <v>52.631578947368418</v>
      </c>
      <c r="AG46" s="200">
        <f t="shared" si="33"/>
        <v>0</v>
      </c>
      <c r="AH46" s="201">
        <f t="shared" si="34"/>
        <v>0</v>
      </c>
      <c r="AI46" s="311">
        <v>448.46300000000002</v>
      </c>
      <c r="AJ46" s="141" t="e">
        <f>(AD46*1000)/#REF!</f>
        <v>#REF!</v>
      </c>
      <c r="AK46" s="142" t="e">
        <f>(AE46*1000)/#REF!</f>
        <v>#REF!</v>
      </c>
      <c r="AL46" s="142" t="e">
        <f>(AF46*1000)/#REF!</f>
        <v>#REF!</v>
      </c>
      <c r="AM46" s="142" t="e">
        <f>(AG46*1000)/#REF!</f>
        <v>#REF!</v>
      </c>
      <c r="AN46" s="143" t="e">
        <f>(AH46*1000)/#REF!</f>
        <v>#REF!</v>
      </c>
      <c r="AO46" s="107">
        <f t="shared" si="39"/>
        <v>1550</v>
      </c>
      <c r="AP46" s="108">
        <f t="shared" si="40"/>
        <v>19160</v>
      </c>
      <c r="AQ46" s="108">
        <f t="shared" si="41"/>
        <v>36239</v>
      </c>
      <c r="AR46" s="108">
        <f t="shared" si="42"/>
        <v>1560</v>
      </c>
      <c r="AS46" s="109">
        <f t="shared" si="43"/>
        <v>3640</v>
      </c>
      <c r="AT46" s="110">
        <f t="shared" si="35"/>
        <v>0</v>
      </c>
      <c r="AU46" s="111">
        <f t="shared" si="25"/>
        <v>10326.231578947361</v>
      </c>
      <c r="AV46" s="111">
        <f t="shared" si="26"/>
        <v>83921.894736842092</v>
      </c>
      <c r="AW46" s="111">
        <f t="shared" si="36"/>
        <v>0</v>
      </c>
      <c r="AX46" s="112">
        <f t="shared" si="37"/>
        <v>0</v>
      </c>
      <c r="AY46" s="110">
        <f t="shared" si="38"/>
        <v>94248.126315789457</v>
      </c>
      <c r="AZ46" s="111">
        <v>1000</v>
      </c>
      <c r="BA46" s="111" t="e">
        <f>AY46/#REF!</f>
        <v>#REF!</v>
      </c>
      <c r="BB46" s="101"/>
      <c r="BC46" s="104"/>
    </row>
    <row r="47" spans="1:55" ht="14.95" thickBot="1" x14ac:dyDescent="0.3">
      <c r="A47" s="144">
        <f>+A46+1</f>
        <v>46038</v>
      </c>
      <c r="B47" s="212">
        <f>DAY(Tabla2[[#This Row],[FECHA]])</f>
        <v>16</v>
      </c>
      <c r="C47" s="156" t="s">
        <v>28</v>
      </c>
      <c r="D47" s="145"/>
      <c r="E47" s="146"/>
      <c r="F47" s="147"/>
      <c r="G47" s="147"/>
      <c r="H47" s="146"/>
      <c r="I47" s="290">
        <f>((Tabla2[[#This Row],[VOLUMEN ENVIADO A RO (m3)]]/80)/3)*60</f>
        <v>91.487250000000017</v>
      </c>
      <c r="J47" s="276">
        <v>0</v>
      </c>
      <c r="K47" s="277">
        <v>32</v>
      </c>
      <c r="L47" s="278">
        <v>15</v>
      </c>
      <c r="M47" s="277">
        <v>0</v>
      </c>
      <c r="N47" s="278">
        <v>0</v>
      </c>
      <c r="O47" s="192">
        <f t="shared" si="0"/>
        <v>0</v>
      </c>
      <c r="P47" s="203">
        <f t="shared" si="27"/>
        <v>280.70175438596493</v>
      </c>
      <c r="Q47" s="186">
        <f t="shared" si="2"/>
        <v>131.57894736842107</v>
      </c>
      <c r="R47" s="203">
        <f t="shared" si="28"/>
        <v>0</v>
      </c>
      <c r="S47" s="203">
        <f t="shared" si="29"/>
        <v>0</v>
      </c>
      <c r="T47" s="188">
        <f t="shared" si="15"/>
        <v>0</v>
      </c>
      <c r="U47" s="189">
        <f t="shared" si="16"/>
        <v>17.543859649122794</v>
      </c>
      <c r="V47" s="189">
        <f t="shared" si="17"/>
        <v>35.087719298245617</v>
      </c>
      <c r="W47" s="189">
        <f t="shared" si="18"/>
        <v>0</v>
      </c>
      <c r="X47" s="190">
        <f t="shared" si="19"/>
        <v>0</v>
      </c>
      <c r="Y47" s="195">
        <v>1.18</v>
      </c>
      <c r="Z47" s="195">
        <v>1.28</v>
      </c>
      <c r="AA47" s="195">
        <v>1.2</v>
      </c>
      <c r="AB47" s="195">
        <v>1.53</v>
      </c>
      <c r="AC47" s="195">
        <v>1.2</v>
      </c>
      <c r="AD47" s="204">
        <f t="shared" si="30"/>
        <v>0</v>
      </c>
      <c r="AE47" s="205">
        <f t="shared" si="31"/>
        <v>22.456140350877178</v>
      </c>
      <c r="AF47" s="205">
        <f t="shared" si="32"/>
        <v>42.10526315789474</v>
      </c>
      <c r="AG47" s="205">
        <f t="shared" si="33"/>
        <v>0</v>
      </c>
      <c r="AH47" s="206">
        <f t="shared" si="34"/>
        <v>0</v>
      </c>
      <c r="AI47" s="309">
        <v>365.94900000000001</v>
      </c>
      <c r="AJ47" s="148" t="e">
        <f>(AD47*1000)/#REF!</f>
        <v>#REF!</v>
      </c>
      <c r="AK47" s="149" t="e">
        <f>(AE47*1000)/#REF!</f>
        <v>#REF!</v>
      </c>
      <c r="AL47" s="149" t="e">
        <f>(AF47*1000)/#REF!</f>
        <v>#REF!</v>
      </c>
      <c r="AM47" s="149" t="e">
        <f>(AG47*1000)/#REF!</f>
        <v>#REF!</v>
      </c>
      <c r="AN47" s="150" t="e">
        <f>(AH47*1000)/#REF!</f>
        <v>#REF!</v>
      </c>
      <c r="AO47" s="107">
        <f t="shared" si="39"/>
        <v>1550</v>
      </c>
      <c r="AP47" s="108">
        <f t="shared" si="40"/>
        <v>19160</v>
      </c>
      <c r="AQ47" s="108">
        <f t="shared" si="41"/>
        <v>36239</v>
      </c>
      <c r="AR47" s="108">
        <f t="shared" si="42"/>
        <v>1560</v>
      </c>
      <c r="AS47" s="109">
        <f t="shared" si="43"/>
        <v>3640</v>
      </c>
      <c r="AT47" s="107">
        <f t="shared" si="35"/>
        <v>0</v>
      </c>
      <c r="AU47" s="108">
        <f t="shared" si="25"/>
        <v>5163.1157894736807</v>
      </c>
      <c r="AV47" s="108">
        <f t="shared" si="26"/>
        <v>67137.515789473677</v>
      </c>
      <c r="AW47" s="108">
        <f t="shared" si="36"/>
        <v>0</v>
      </c>
      <c r="AX47" s="109">
        <f t="shared" si="37"/>
        <v>0</v>
      </c>
      <c r="AY47" s="107">
        <f t="shared" si="38"/>
        <v>72300.631578947359</v>
      </c>
      <c r="AZ47" s="108">
        <v>1000</v>
      </c>
      <c r="BA47" s="108" t="e">
        <f>AY47/#REF!</f>
        <v>#REF!</v>
      </c>
      <c r="BB47" s="102"/>
      <c r="BC47" s="103"/>
    </row>
    <row r="48" spans="1:55" ht="14.95" thickBot="1" x14ac:dyDescent="0.3">
      <c r="A48" s="151">
        <f>+A47</f>
        <v>46038</v>
      </c>
      <c r="B48" s="210">
        <f>DAY(Tabla2[[#This Row],[FECHA]])</f>
        <v>16</v>
      </c>
      <c r="C48" s="130" t="s">
        <v>29</v>
      </c>
      <c r="D48" s="131"/>
      <c r="E48" s="132"/>
      <c r="F48" s="133"/>
      <c r="G48" s="133"/>
      <c r="H48" s="132"/>
      <c r="I48" s="290">
        <f>((Tabla2[[#This Row],[VOLUMEN ENVIADO A RO (m3)]]/80)/3)*60</f>
        <v>65.311999999999998</v>
      </c>
      <c r="J48" s="279">
        <v>0</v>
      </c>
      <c r="K48" s="280">
        <v>30</v>
      </c>
      <c r="L48" s="281">
        <v>11</v>
      </c>
      <c r="M48" s="280">
        <v>0</v>
      </c>
      <c r="N48" s="281">
        <v>0</v>
      </c>
      <c r="O48" s="192">
        <f t="shared" si="0"/>
        <v>0</v>
      </c>
      <c r="P48" s="193">
        <f t="shared" si="27"/>
        <v>263.15789473684214</v>
      </c>
      <c r="Q48" s="193">
        <f t="shared" si="2"/>
        <v>96.491228070175453</v>
      </c>
      <c r="R48" s="193">
        <f t="shared" si="28"/>
        <v>0</v>
      </c>
      <c r="S48" s="193">
        <f t="shared" si="29"/>
        <v>0</v>
      </c>
      <c r="T48" s="188">
        <f t="shared" si="15"/>
        <v>0</v>
      </c>
      <c r="U48" s="189">
        <f t="shared" si="16"/>
        <v>26.31578947368422</v>
      </c>
      <c r="V48" s="189">
        <f t="shared" si="17"/>
        <v>17.543859649122822</v>
      </c>
      <c r="W48" s="189">
        <f t="shared" si="18"/>
        <v>0</v>
      </c>
      <c r="X48" s="190">
        <f t="shared" si="19"/>
        <v>0</v>
      </c>
      <c r="Y48" s="195">
        <v>1.18</v>
      </c>
      <c r="Z48" s="195">
        <v>1.28</v>
      </c>
      <c r="AA48" s="195">
        <v>1.2</v>
      </c>
      <c r="AB48" s="195">
        <v>1.53</v>
      </c>
      <c r="AC48" s="195">
        <v>1.2</v>
      </c>
      <c r="AD48" s="188">
        <f t="shared" si="30"/>
        <v>0</v>
      </c>
      <c r="AE48" s="189">
        <f t="shared" si="31"/>
        <v>33.684210526315802</v>
      </c>
      <c r="AF48" s="189">
        <f t="shared" si="32"/>
        <v>21.052631578947388</v>
      </c>
      <c r="AG48" s="189">
        <f t="shared" si="33"/>
        <v>0</v>
      </c>
      <c r="AH48" s="190">
        <f t="shared" si="34"/>
        <v>0</v>
      </c>
      <c r="AI48" s="310">
        <v>261.24799999999999</v>
      </c>
      <c r="AJ48" s="126" t="e">
        <f>(AD48*1000)/#REF!</f>
        <v>#REF!</v>
      </c>
      <c r="AK48" s="127" t="e">
        <f>(AE48*1000)/#REF!</f>
        <v>#REF!</v>
      </c>
      <c r="AL48" s="127" t="e">
        <f>(AF48*1000)/#REF!</f>
        <v>#REF!</v>
      </c>
      <c r="AM48" s="127" t="e">
        <f>(AG48*1000)/#REF!</f>
        <v>#REF!</v>
      </c>
      <c r="AN48" s="128" t="e">
        <f>(AH48*1000)/#REF!</f>
        <v>#REF!</v>
      </c>
      <c r="AO48" s="107">
        <f t="shared" si="39"/>
        <v>1550</v>
      </c>
      <c r="AP48" s="108">
        <f t="shared" si="40"/>
        <v>19160</v>
      </c>
      <c r="AQ48" s="108">
        <f t="shared" si="41"/>
        <v>36239</v>
      </c>
      <c r="AR48" s="108">
        <f t="shared" si="42"/>
        <v>1560</v>
      </c>
      <c r="AS48" s="109">
        <f t="shared" si="43"/>
        <v>3640</v>
      </c>
      <c r="AT48" s="107">
        <f t="shared" si="35"/>
        <v>0</v>
      </c>
      <c r="AU48" s="108">
        <f t="shared" si="25"/>
        <v>7744.6736842105292</v>
      </c>
      <c r="AV48" s="108">
        <f t="shared" si="26"/>
        <v>33568.757894736867</v>
      </c>
      <c r="AW48" s="108">
        <f t="shared" si="36"/>
        <v>0</v>
      </c>
      <c r="AX48" s="109">
        <f t="shared" si="37"/>
        <v>0</v>
      </c>
      <c r="AY48" s="107">
        <f t="shared" si="38"/>
        <v>41313.431578947399</v>
      </c>
      <c r="AZ48" s="108">
        <v>1000</v>
      </c>
      <c r="BA48" s="108" t="e">
        <f>AY48/#REF!</f>
        <v>#REF!</v>
      </c>
      <c r="BB48" s="102"/>
      <c r="BC48" s="103"/>
    </row>
    <row r="49" spans="1:55" ht="14.95" thickBot="1" x14ac:dyDescent="0.3">
      <c r="A49" s="152">
        <f>+A48</f>
        <v>46038</v>
      </c>
      <c r="B49" s="211">
        <f>DAY(Tabla2[[#This Row],[FECHA]])</f>
        <v>16</v>
      </c>
      <c r="C49" s="135" t="s">
        <v>30</v>
      </c>
      <c r="D49" s="136"/>
      <c r="E49" s="137"/>
      <c r="F49" s="138"/>
      <c r="G49" s="139"/>
      <c r="H49" s="140"/>
      <c r="I49" s="290">
        <f>((Tabla2[[#This Row],[VOLUMEN ENVIADO A RO (m3)]]/80)/3)*60</f>
        <v>53.514000000000003</v>
      </c>
      <c r="J49" s="279">
        <v>0</v>
      </c>
      <c r="K49" s="280">
        <v>27</v>
      </c>
      <c r="L49" s="281">
        <v>9</v>
      </c>
      <c r="M49" s="280">
        <v>0</v>
      </c>
      <c r="N49" s="281">
        <v>0</v>
      </c>
      <c r="O49" s="192">
        <f t="shared" si="0"/>
        <v>0</v>
      </c>
      <c r="P49" s="197">
        <f t="shared" si="27"/>
        <v>236.84210526315792</v>
      </c>
      <c r="Q49" s="197">
        <f t="shared" si="2"/>
        <v>78.94736842105263</v>
      </c>
      <c r="R49" s="197">
        <f t="shared" si="28"/>
        <v>0</v>
      </c>
      <c r="S49" s="197">
        <f t="shared" si="29"/>
        <v>0</v>
      </c>
      <c r="T49" s="188">
        <f t="shared" si="15"/>
        <v>0</v>
      </c>
      <c r="U49" s="189">
        <f>P49-P50</f>
        <v>8.7719298245614254</v>
      </c>
      <c r="V49" s="189">
        <f t="shared" si="17"/>
        <v>17.543859649122801</v>
      </c>
      <c r="W49" s="189">
        <f t="shared" si="18"/>
        <v>0</v>
      </c>
      <c r="X49" s="190">
        <f t="shared" si="19"/>
        <v>0</v>
      </c>
      <c r="Y49" s="195">
        <v>1.18</v>
      </c>
      <c r="Z49" s="195">
        <v>1.28</v>
      </c>
      <c r="AA49" s="195">
        <v>1.2</v>
      </c>
      <c r="AB49" s="195">
        <v>1.53</v>
      </c>
      <c r="AC49" s="195">
        <v>1.2</v>
      </c>
      <c r="AD49" s="199">
        <f t="shared" si="30"/>
        <v>0</v>
      </c>
      <c r="AE49" s="200">
        <f t="shared" si="31"/>
        <v>11.228070175438624</v>
      </c>
      <c r="AF49" s="200">
        <f t="shared" si="32"/>
        <v>21.052631578947359</v>
      </c>
      <c r="AG49" s="200">
        <f t="shared" si="33"/>
        <v>0</v>
      </c>
      <c r="AH49" s="201">
        <f t="shared" si="34"/>
        <v>0</v>
      </c>
      <c r="AI49" s="311">
        <v>214.05600000000001</v>
      </c>
      <c r="AJ49" s="141" t="e">
        <f>(AD49*1000)/#REF!</f>
        <v>#REF!</v>
      </c>
      <c r="AK49" s="142" t="e">
        <f>(AE49*1000)/#REF!</f>
        <v>#REF!</v>
      </c>
      <c r="AL49" s="142" t="e">
        <f>(AF49*1000)/#REF!</f>
        <v>#REF!</v>
      </c>
      <c r="AM49" s="142" t="e">
        <f>(AG49*1000)/#REF!</f>
        <v>#REF!</v>
      </c>
      <c r="AN49" s="143" t="e">
        <f>(AH49*1000)/#REF!</f>
        <v>#REF!</v>
      </c>
      <c r="AO49" s="107">
        <f t="shared" si="39"/>
        <v>1550</v>
      </c>
      <c r="AP49" s="108">
        <f t="shared" si="40"/>
        <v>19160</v>
      </c>
      <c r="AQ49" s="108">
        <f t="shared" si="41"/>
        <v>36239</v>
      </c>
      <c r="AR49" s="108">
        <f t="shared" si="42"/>
        <v>1560</v>
      </c>
      <c r="AS49" s="109">
        <f t="shared" si="43"/>
        <v>3640</v>
      </c>
      <c r="AT49" s="110">
        <f t="shared" si="35"/>
        <v>0</v>
      </c>
      <c r="AU49" s="111">
        <f t="shared" si="25"/>
        <v>2581.5578947368485</v>
      </c>
      <c r="AV49" s="111">
        <f t="shared" si="26"/>
        <v>33568.757894736824</v>
      </c>
      <c r="AW49" s="111">
        <f t="shared" si="36"/>
        <v>0</v>
      </c>
      <c r="AX49" s="112">
        <f t="shared" si="37"/>
        <v>0</v>
      </c>
      <c r="AY49" s="110">
        <f t="shared" si="38"/>
        <v>36150.315789473672</v>
      </c>
      <c r="AZ49" s="111">
        <v>1000</v>
      </c>
      <c r="BA49" s="111" t="e">
        <f>AY49/#REF!</f>
        <v>#REF!</v>
      </c>
      <c r="BB49" s="101"/>
      <c r="BC49" s="104"/>
    </row>
    <row r="50" spans="1:55" ht="14.95" thickBot="1" x14ac:dyDescent="0.3">
      <c r="A50" s="144">
        <f>+A49+1</f>
        <v>46039</v>
      </c>
      <c r="B50" s="212">
        <f>DAY(Tabla2[[#This Row],[FECHA]])</f>
        <v>17</v>
      </c>
      <c r="C50" s="156" t="s">
        <v>28</v>
      </c>
      <c r="D50" s="145"/>
      <c r="E50" s="146"/>
      <c r="F50" s="147"/>
      <c r="G50" s="147"/>
      <c r="H50" s="146"/>
      <c r="I50" s="290">
        <f>((Tabla2[[#This Row],[VOLUMEN ENVIADO A RO (m3)]]/80)/3)*60</f>
        <v>87.716499999999982</v>
      </c>
      <c r="J50" s="276">
        <v>0</v>
      </c>
      <c r="K50" s="277">
        <v>26</v>
      </c>
      <c r="L50" s="278">
        <v>7</v>
      </c>
      <c r="M50" s="277">
        <v>0</v>
      </c>
      <c r="N50" s="278">
        <v>0</v>
      </c>
      <c r="O50" s="192">
        <f t="shared" si="0"/>
        <v>0</v>
      </c>
      <c r="P50" s="203">
        <f t="shared" si="27"/>
        <v>228.07017543859649</v>
      </c>
      <c r="Q50" s="186">
        <f t="shared" si="2"/>
        <v>61.403508771929829</v>
      </c>
      <c r="R50" s="203">
        <f t="shared" si="28"/>
        <v>0</v>
      </c>
      <c r="S50" s="203">
        <f t="shared" si="29"/>
        <v>0</v>
      </c>
      <c r="T50" s="188">
        <f t="shared" si="15"/>
        <v>0</v>
      </c>
      <c r="U50" s="189">
        <f t="shared" si="16"/>
        <v>17.543859649122794</v>
      </c>
      <c r="V50" s="189">
        <f t="shared" si="17"/>
        <v>0</v>
      </c>
      <c r="W50" s="189">
        <f t="shared" si="18"/>
        <v>0</v>
      </c>
      <c r="X50" s="190">
        <f t="shared" si="19"/>
        <v>0</v>
      </c>
      <c r="Y50" s="195">
        <v>1.18</v>
      </c>
      <c r="Z50" s="195">
        <v>1.28</v>
      </c>
      <c r="AA50" s="195">
        <v>1.2</v>
      </c>
      <c r="AB50" s="195">
        <v>1.53</v>
      </c>
      <c r="AC50" s="195">
        <v>1.2</v>
      </c>
      <c r="AD50" s="204">
        <f t="shared" si="30"/>
        <v>0</v>
      </c>
      <c r="AE50" s="205">
        <f t="shared" si="31"/>
        <v>22.456140350877178</v>
      </c>
      <c r="AF50" s="205">
        <f t="shared" si="32"/>
        <v>0</v>
      </c>
      <c r="AG50" s="205">
        <f t="shared" si="33"/>
        <v>0</v>
      </c>
      <c r="AH50" s="206">
        <f t="shared" si="34"/>
        <v>0</v>
      </c>
      <c r="AI50" s="309">
        <v>350.86599999999999</v>
      </c>
      <c r="AJ50" s="148" t="e">
        <f>(AD50*1000)/#REF!</f>
        <v>#REF!</v>
      </c>
      <c r="AK50" s="149" t="e">
        <f>(AE50*1000)/#REF!</f>
        <v>#REF!</v>
      </c>
      <c r="AL50" s="149" t="e">
        <f>(AF50*1000)/#REF!</f>
        <v>#REF!</v>
      </c>
      <c r="AM50" s="149" t="e">
        <f>(AG50*1000)/#REF!</f>
        <v>#REF!</v>
      </c>
      <c r="AN50" s="150" t="e">
        <f>(AH50*1000)/#REF!</f>
        <v>#REF!</v>
      </c>
      <c r="AO50" s="107">
        <f t="shared" si="39"/>
        <v>1550</v>
      </c>
      <c r="AP50" s="108">
        <f t="shared" si="40"/>
        <v>19160</v>
      </c>
      <c r="AQ50" s="108">
        <f t="shared" si="41"/>
        <v>36239</v>
      </c>
      <c r="AR50" s="108">
        <f t="shared" si="42"/>
        <v>1560</v>
      </c>
      <c r="AS50" s="109">
        <f t="shared" si="43"/>
        <v>3640</v>
      </c>
      <c r="AT50" s="107">
        <f t="shared" si="35"/>
        <v>0</v>
      </c>
      <c r="AU50" s="108">
        <f t="shared" si="25"/>
        <v>5163.1157894736807</v>
      </c>
      <c r="AV50" s="108">
        <f t="shared" si="26"/>
        <v>0</v>
      </c>
      <c r="AW50" s="108">
        <f t="shared" si="36"/>
        <v>0</v>
      </c>
      <c r="AX50" s="109">
        <f t="shared" si="37"/>
        <v>0</v>
      </c>
      <c r="AY50" s="107">
        <f t="shared" si="38"/>
        <v>5163.1157894736807</v>
      </c>
      <c r="AZ50" s="108">
        <v>1000</v>
      </c>
      <c r="BA50" s="108" t="e">
        <f>AY50/#REF!</f>
        <v>#REF!</v>
      </c>
      <c r="BB50" s="102"/>
      <c r="BC50" s="103"/>
    </row>
    <row r="51" spans="1:55" ht="14.95" thickBot="1" x14ac:dyDescent="0.3">
      <c r="A51" s="151">
        <f>+A50</f>
        <v>46039</v>
      </c>
      <c r="B51" s="210">
        <f>DAY(Tabla2[[#This Row],[FECHA]])</f>
        <v>17</v>
      </c>
      <c r="C51" s="130" t="s">
        <v>29</v>
      </c>
      <c r="D51" s="131"/>
      <c r="E51" s="132"/>
      <c r="F51" s="133"/>
      <c r="G51" s="133"/>
      <c r="H51" s="132"/>
      <c r="I51" s="290">
        <f>((Tabla2[[#This Row],[VOLUMEN ENVIADO A RO (m3)]]/80)/3)*60</f>
        <v>28.097500000000004</v>
      </c>
      <c r="J51" s="279">
        <v>0</v>
      </c>
      <c r="K51" s="280">
        <v>24</v>
      </c>
      <c r="L51" s="281">
        <v>7</v>
      </c>
      <c r="M51" s="280">
        <v>0</v>
      </c>
      <c r="N51" s="281">
        <v>0</v>
      </c>
      <c r="O51" s="192">
        <f t="shared" si="0"/>
        <v>0</v>
      </c>
      <c r="P51" s="193">
        <f t="shared" si="27"/>
        <v>210.5263157894737</v>
      </c>
      <c r="Q51" s="193">
        <f t="shared" si="2"/>
        <v>61.403508771929829</v>
      </c>
      <c r="R51" s="193">
        <f t="shared" si="28"/>
        <v>0</v>
      </c>
      <c r="S51" s="193">
        <f t="shared" si="29"/>
        <v>0</v>
      </c>
      <c r="T51" s="188">
        <f t="shared" si="15"/>
        <v>0</v>
      </c>
      <c r="U51" s="189">
        <f t="shared" si="16"/>
        <v>17.543859649122794</v>
      </c>
      <c r="V51" s="189">
        <f t="shared" si="17"/>
        <v>17.543859649122808</v>
      </c>
      <c r="W51" s="189">
        <f t="shared" si="18"/>
        <v>0</v>
      </c>
      <c r="X51" s="190">
        <f t="shared" si="19"/>
        <v>0</v>
      </c>
      <c r="Y51" s="195">
        <v>1.18</v>
      </c>
      <c r="Z51" s="195">
        <v>1.28</v>
      </c>
      <c r="AA51" s="195">
        <v>1.2</v>
      </c>
      <c r="AB51" s="195">
        <v>1.53</v>
      </c>
      <c r="AC51" s="195">
        <v>1.2</v>
      </c>
      <c r="AD51" s="188">
        <f t="shared" si="30"/>
        <v>0</v>
      </c>
      <c r="AE51" s="189">
        <f t="shared" si="31"/>
        <v>22.456140350877178</v>
      </c>
      <c r="AF51" s="189">
        <f t="shared" si="32"/>
        <v>21.05263157894737</v>
      </c>
      <c r="AG51" s="189">
        <f t="shared" si="33"/>
        <v>0</v>
      </c>
      <c r="AH51" s="190">
        <f t="shared" si="34"/>
        <v>0</v>
      </c>
      <c r="AI51" s="310">
        <v>112.39</v>
      </c>
      <c r="AJ51" s="126" t="e">
        <f>(AD51*1000)/#REF!</f>
        <v>#REF!</v>
      </c>
      <c r="AK51" s="127" t="e">
        <f>(AE51*1000)/#REF!</f>
        <v>#REF!</v>
      </c>
      <c r="AL51" s="127" t="e">
        <f>(AF51*1000)/#REF!</f>
        <v>#REF!</v>
      </c>
      <c r="AM51" s="127" t="e">
        <f>(AG51*1000)/#REF!</f>
        <v>#REF!</v>
      </c>
      <c r="AN51" s="128" t="e">
        <f>(AH51*1000)/#REF!</f>
        <v>#REF!</v>
      </c>
      <c r="AO51" s="107">
        <f t="shared" si="39"/>
        <v>1550</v>
      </c>
      <c r="AP51" s="108">
        <f t="shared" si="40"/>
        <v>19160</v>
      </c>
      <c r="AQ51" s="108">
        <f t="shared" si="41"/>
        <v>36239</v>
      </c>
      <c r="AR51" s="108">
        <f t="shared" si="42"/>
        <v>1560</v>
      </c>
      <c r="AS51" s="109">
        <f t="shared" si="43"/>
        <v>3640</v>
      </c>
      <c r="AT51" s="107">
        <f t="shared" si="35"/>
        <v>0</v>
      </c>
      <c r="AU51" s="108">
        <f t="shared" si="25"/>
        <v>5163.1157894736807</v>
      </c>
      <c r="AV51" s="108">
        <f t="shared" si="26"/>
        <v>33568.757894736838</v>
      </c>
      <c r="AW51" s="108">
        <f t="shared" si="36"/>
        <v>0</v>
      </c>
      <c r="AX51" s="109">
        <f t="shared" si="37"/>
        <v>0</v>
      </c>
      <c r="AY51" s="107">
        <f t="shared" si="38"/>
        <v>38731.873684210521</v>
      </c>
      <c r="AZ51" s="108">
        <v>1000</v>
      </c>
      <c r="BA51" s="108" t="e">
        <f>AY51/#REF!</f>
        <v>#REF!</v>
      </c>
      <c r="BB51" s="102"/>
      <c r="BC51" s="103"/>
    </row>
    <row r="52" spans="1:55" ht="14.95" thickBot="1" x14ac:dyDescent="0.3">
      <c r="A52" s="152">
        <f>+A51</f>
        <v>46039</v>
      </c>
      <c r="B52" s="211">
        <f>DAY(Tabla2[[#This Row],[FECHA]])</f>
        <v>17</v>
      </c>
      <c r="C52" s="135" t="s">
        <v>30</v>
      </c>
      <c r="D52" s="136"/>
      <c r="E52" s="137"/>
      <c r="F52" s="138"/>
      <c r="G52" s="139"/>
      <c r="H52" s="140"/>
      <c r="I52" s="290">
        <f>((Tabla2[[#This Row],[VOLUMEN ENVIADO A RO (m3)]]/80)/3)*60</f>
        <v>0</v>
      </c>
      <c r="J52" s="282">
        <v>0</v>
      </c>
      <c r="K52" s="283">
        <v>22</v>
      </c>
      <c r="L52" s="284">
        <v>5</v>
      </c>
      <c r="M52" s="283">
        <v>0</v>
      </c>
      <c r="N52" s="284">
        <v>0</v>
      </c>
      <c r="O52" s="192">
        <f t="shared" si="0"/>
        <v>0</v>
      </c>
      <c r="P52" s="197">
        <f t="shared" si="27"/>
        <v>192.98245614035091</v>
      </c>
      <c r="Q52" s="197">
        <f t="shared" si="2"/>
        <v>43.859649122807021</v>
      </c>
      <c r="R52" s="197">
        <f t="shared" si="28"/>
        <v>0</v>
      </c>
      <c r="S52" s="197">
        <f t="shared" si="29"/>
        <v>0</v>
      </c>
      <c r="T52" s="188">
        <f t="shared" si="15"/>
        <v>0</v>
      </c>
      <c r="U52" s="189">
        <f t="shared" si="16"/>
        <v>0</v>
      </c>
      <c r="V52" s="189">
        <f t="shared" si="17"/>
        <v>0</v>
      </c>
      <c r="W52" s="189">
        <f t="shared" si="18"/>
        <v>0</v>
      </c>
      <c r="X52" s="190">
        <f t="shared" si="19"/>
        <v>0</v>
      </c>
      <c r="Y52" s="195">
        <v>1.18</v>
      </c>
      <c r="Z52" s="195">
        <v>1.28</v>
      </c>
      <c r="AA52" s="195">
        <v>1.2</v>
      </c>
      <c r="AB52" s="195">
        <v>1.53</v>
      </c>
      <c r="AC52" s="195">
        <v>1.2</v>
      </c>
      <c r="AD52" s="199">
        <f t="shared" si="30"/>
        <v>0</v>
      </c>
      <c r="AE52" s="200">
        <f t="shared" si="31"/>
        <v>0</v>
      </c>
      <c r="AF52" s="200">
        <f t="shared" si="32"/>
        <v>0</v>
      </c>
      <c r="AG52" s="200">
        <f t="shared" si="33"/>
        <v>0</v>
      </c>
      <c r="AH52" s="201">
        <f t="shared" si="34"/>
        <v>0</v>
      </c>
      <c r="AI52" s="311">
        <v>0</v>
      </c>
      <c r="AJ52" s="141" t="e">
        <f>(AD52*1000)/#REF!</f>
        <v>#REF!</v>
      </c>
      <c r="AK52" s="142" t="e">
        <f>(AE52*1000)/#REF!</f>
        <v>#REF!</v>
      </c>
      <c r="AL52" s="142" t="e">
        <f>(AF52*1000)/#REF!</f>
        <v>#REF!</v>
      </c>
      <c r="AM52" s="142" t="e">
        <f>(AG52*1000)/#REF!</f>
        <v>#REF!</v>
      </c>
      <c r="AN52" s="143" t="e">
        <f>(AH52*1000)/#REF!</f>
        <v>#REF!</v>
      </c>
      <c r="AO52" s="107">
        <f t="shared" si="39"/>
        <v>1550</v>
      </c>
      <c r="AP52" s="108">
        <f t="shared" si="40"/>
        <v>19160</v>
      </c>
      <c r="AQ52" s="108">
        <f t="shared" si="41"/>
        <v>36239</v>
      </c>
      <c r="AR52" s="108">
        <f t="shared" si="42"/>
        <v>1560</v>
      </c>
      <c r="AS52" s="109">
        <f t="shared" si="43"/>
        <v>3640</v>
      </c>
      <c r="AT52" s="110">
        <f t="shared" si="35"/>
        <v>0</v>
      </c>
      <c r="AU52" s="111">
        <f t="shared" si="25"/>
        <v>0</v>
      </c>
      <c r="AV52" s="111">
        <f t="shared" si="26"/>
        <v>0</v>
      </c>
      <c r="AW52" s="111">
        <f t="shared" si="36"/>
        <v>0</v>
      </c>
      <c r="AX52" s="112">
        <f t="shared" si="37"/>
        <v>0</v>
      </c>
      <c r="AY52" s="110">
        <f t="shared" si="38"/>
        <v>0</v>
      </c>
      <c r="AZ52" s="111">
        <v>1000</v>
      </c>
      <c r="BA52" s="111" t="e">
        <f>AY52/#REF!</f>
        <v>#REF!</v>
      </c>
      <c r="BB52" s="101"/>
      <c r="BC52" s="104"/>
    </row>
    <row r="53" spans="1:55" ht="14.95" thickBot="1" x14ac:dyDescent="0.3">
      <c r="A53" s="144">
        <f>+A52+1</f>
        <v>46040</v>
      </c>
      <c r="B53" s="212">
        <f>DAY(Tabla2[[#This Row],[FECHA]])</f>
        <v>18</v>
      </c>
      <c r="C53" s="156" t="s">
        <v>28</v>
      </c>
      <c r="D53" s="145"/>
      <c r="E53" s="146"/>
      <c r="F53" s="147"/>
      <c r="G53" s="147"/>
      <c r="H53" s="146"/>
      <c r="I53" s="290">
        <f>((Tabla2[[#This Row],[VOLUMEN ENVIADO A RO (m3)]]/80)/3)*60</f>
        <v>0</v>
      </c>
      <c r="J53" s="276">
        <v>0</v>
      </c>
      <c r="K53" s="277">
        <v>22</v>
      </c>
      <c r="L53" s="278">
        <v>5</v>
      </c>
      <c r="M53" s="277">
        <v>0</v>
      </c>
      <c r="N53" s="278">
        <v>0</v>
      </c>
      <c r="O53" s="192">
        <f t="shared" si="0"/>
        <v>0</v>
      </c>
      <c r="P53" s="203">
        <f t="shared" si="27"/>
        <v>192.98245614035091</v>
      </c>
      <c r="Q53" s="186">
        <f t="shared" si="2"/>
        <v>43.859649122807021</v>
      </c>
      <c r="R53" s="203">
        <f t="shared" si="28"/>
        <v>0</v>
      </c>
      <c r="S53" s="203">
        <f t="shared" si="29"/>
        <v>0</v>
      </c>
      <c r="T53" s="188">
        <f t="shared" si="15"/>
        <v>0</v>
      </c>
      <c r="U53" s="189">
        <f t="shared" si="16"/>
        <v>0</v>
      </c>
      <c r="V53" s="189">
        <f t="shared" si="17"/>
        <v>0</v>
      </c>
      <c r="W53" s="189">
        <f t="shared" si="18"/>
        <v>0</v>
      </c>
      <c r="X53" s="190">
        <f t="shared" si="19"/>
        <v>0</v>
      </c>
      <c r="Y53" s="195">
        <v>1.18</v>
      </c>
      <c r="Z53" s="195">
        <v>1.28</v>
      </c>
      <c r="AA53" s="195">
        <v>1.2</v>
      </c>
      <c r="AB53" s="195">
        <v>1.53</v>
      </c>
      <c r="AC53" s="195">
        <v>1.2</v>
      </c>
      <c r="AD53" s="204">
        <f t="shared" si="30"/>
        <v>0</v>
      </c>
      <c r="AE53" s="205">
        <f t="shared" si="31"/>
        <v>0</v>
      </c>
      <c r="AF53" s="205">
        <f t="shared" si="32"/>
        <v>0</v>
      </c>
      <c r="AG53" s="205">
        <f t="shared" si="33"/>
        <v>0</v>
      </c>
      <c r="AH53" s="206">
        <f t="shared" si="34"/>
        <v>0</v>
      </c>
      <c r="AI53" s="309">
        <v>0</v>
      </c>
      <c r="AJ53" s="148" t="e">
        <f>(AD53*1000)/#REF!</f>
        <v>#REF!</v>
      </c>
      <c r="AK53" s="149" t="e">
        <f>(AE53*1000)/#REF!</f>
        <v>#REF!</v>
      </c>
      <c r="AL53" s="149" t="e">
        <f>(AF53*1000)/#REF!</f>
        <v>#REF!</v>
      </c>
      <c r="AM53" s="149" t="e">
        <f>(AG53*1000)/#REF!</f>
        <v>#REF!</v>
      </c>
      <c r="AN53" s="150" t="e">
        <f>(AH53*1000)/#REF!</f>
        <v>#REF!</v>
      </c>
      <c r="AO53" s="107">
        <f t="shared" si="39"/>
        <v>1550</v>
      </c>
      <c r="AP53" s="108">
        <f t="shared" si="40"/>
        <v>19160</v>
      </c>
      <c r="AQ53" s="108">
        <f t="shared" si="41"/>
        <v>36239</v>
      </c>
      <c r="AR53" s="108">
        <f t="shared" si="42"/>
        <v>1560</v>
      </c>
      <c r="AS53" s="109">
        <f t="shared" si="43"/>
        <v>3640</v>
      </c>
      <c r="AT53" s="107">
        <f t="shared" si="35"/>
        <v>0</v>
      </c>
      <c r="AU53" s="108">
        <f t="shared" si="25"/>
        <v>0</v>
      </c>
      <c r="AV53" s="108">
        <f t="shared" si="26"/>
        <v>0</v>
      </c>
      <c r="AW53" s="108">
        <f t="shared" si="36"/>
        <v>0</v>
      </c>
      <c r="AX53" s="109">
        <f t="shared" si="37"/>
        <v>0</v>
      </c>
      <c r="AY53" s="107">
        <f t="shared" si="38"/>
        <v>0</v>
      </c>
      <c r="AZ53" s="108">
        <v>1000</v>
      </c>
      <c r="BA53" s="108" t="e">
        <f>AY53/#REF!</f>
        <v>#REF!</v>
      </c>
      <c r="BB53" s="102"/>
      <c r="BC53" s="103"/>
    </row>
    <row r="54" spans="1:55" ht="14.95" thickBot="1" x14ac:dyDescent="0.3">
      <c r="A54" s="151">
        <f>+A53</f>
        <v>46040</v>
      </c>
      <c r="B54" s="210">
        <f>DAY(Tabla2[[#This Row],[FECHA]])</f>
        <v>18</v>
      </c>
      <c r="C54" s="130" t="s">
        <v>29</v>
      </c>
      <c r="D54" s="131"/>
      <c r="E54" s="132"/>
      <c r="F54" s="133"/>
      <c r="G54" s="133"/>
      <c r="H54" s="132"/>
      <c r="I54" s="290">
        <f>((Tabla2[[#This Row],[VOLUMEN ENVIADO A RO (m3)]]/80)/3)*60</f>
        <v>0</v>
      </c>
      <c r="J54" s="279">
        <v>0</v>
      </c>
      <c r="K54" s="280">
        <v>22</v>
      </c>
      <c r="L54" s="281">
        <v>5</v>
      </c>
      <c r="M54" s="280">
        <v>0</v>
      </c>
      <c r="N54" s="281">
        <v>0</v>
      </c>
      <c r="O54" s="192">
        <f t="shared" si="0"/>
        <v>0</v>
      </c>
      <c r="P54" s="193">
        <f t="shared" si="27"/>
        <v>192.98245614035091</v>
      </c>
      <c r="Q54" s="193">
        <f t="shared" si="2"/>
        <v>43.859649122807021</v>
      </c>
      <c r="R54" s="193">
        <f t="shared" si="28"/>
        <v>0</v>
      </c>
      <c r="S54" s="193">
        <f t="shared" si="29"/>
        <v>0</v>
      </c>
      <c r="T54" s="188">
        <f t="shared" si="15"/>
        <v>0</v>
      </c>
      <c r="U54" s="189">
        <f t="shared" si="16"/>
        <v>0</v>
      </c>
      <c r="V54" s="189">
        <f t="shared" si="17"/>
        <v>0</v>
      </c>
      <c r="W54" s="189">
        <f t="shared" si="18"/>
        <v>0</v>
      </c>
      <c r="X54" s="190">
        <f t="shared" si="19"/>
        <v>0</v>
      </c>
      <c r="Y54" s="195">
        <v>1.18</v>
      </c>
      <c r="Z54" s="195">
        <v>1.28</v>
      </c>
      <c r="AA54" s="195">
        <v>1.2</v>
      </c>
      <c r="AB54" s="195">
        <v>1.53</v>
      </c>
      <c r="AC54" s="195">
        <v>1.2</v>
      </c>
      <c r="AD54" s="188">
        <f t="shared" si="30"/>
        <v>0</v>
      </c>
      <c r="AE54" s="189">
        <f t="shared" si="31"/>
        <v>0</v>
      </c>
      <c r="AF54" s="189">
        <f t="shared" si="32"/>
        <v>0</v>
      </c>
      <c r="AG54" s="189">
        <f t="shared" si="33"/>
        <v>0</v>
      </c>
      <c r="AH54" s="190">
        <f t="shared" si="34"/>
        <v>0</v>
      </c>
      <c r="AI54" s="310">
        <v>0</v>
      </c>
      <c r="AJ54" s="126" t="e">
        <f>(AD54*1000)/#REF!</f>
        <v>#REF!</v>
      </c>
      <c r="AK54" s="127" t="e">
        <f>(AE54*1000)/#REF!</f>
        <v>#REF!</v>
      </c>
      <c r="AL54" s="127" t="e">
        <f>(AF54*1000)/#REF!</f>
        <v>#REF!</v>
      </c>
      <c r="AM54" s="127" t="e">
        <f>(AG54*1000)/#REF!</f>
        <v>#REF!</v>
      </c>
      <c r="AN54" s="128" t="e">
        <f>(AH54*1000)/#REF!</f>
        <v>#REF!</v>
      </c>
      <c r="AO54" s="107">
        <f t="shared" si="39"/>
        <v>1550</v>
      </c>
      <c r="AP54" s="108">
        <f t="shared" si="40"/>
        <v>19160</v>
      </c>
      <c r="AQ54" s="108">
        <f t="shared" si="41"/>
        <v>36239</v>
      </c>
      <c r="AR54" s="108">
        <f t="shared" si="42"/>
        <v>1560</v>
      </c>
      <c r="AS54" s="109">
        <f t="shared" si="43"/>
        <v>3640</v>
      </c>
      <c r="AT54" s="107">
        <f t="shared" si="35"/>
        <v>0</v>
      </c>
      <c r="AU54" s="108">
        <f t="shared" si="25"/>
        <v>0</v>
      </c>
      <c r="AV54" s="108">
        <f t="shared" si="26"/>
        <v>0</v>
      </c>
      <c r="AW54" s="108">
        <f t="shared" si="36"/>
        <v>0</v>
      </c>
      <c r="AX54" s="109">
        <f t="shared" si="37"/>
        <v>0</v>
      </c>
      <c r="AY54" s="107">
        <f t="shared" si="38"/>
        <v>0</v>
      </c>
      <c r="AZ54" s="108">
        <v>1000</v>
      </c>
      <c r="BA54" s="108" t="e">
        <f>AY54/#REF!</f>
        <v>#REF!</v>
      </c>
      <c r="BB54" s="102"/>
      <c r="BC54" s="103"/>
    </row>
    <row r="55" spans="1:55" ht="14.95" thickBot="1" x14ac:dyDescent="0.3">
      <c r="A55" s="152">
        <f>+A54</f>
        <v>46040</v>
      </c>
      <c r="B55" s="211">
        <f>DAY(Tabla2[[#This Row],[FECHA]])</f>
        <v>18</v>
      </c>
      <c r="C55" s="135" t="s">
        <v>30</v>
      </c>
      <c r="D55" s="136"/>
      <c r="E55" s="137"/>
      <c r="F55" s="138"/>
      <c r="G55" s="139"/>
      <c r="H55" s="140"/>
      <c r="I55" s="290">
        <f>((Tabla2[[#This Row],[VOLUMEN ENVIADO A RO (m3)]]/80)/3)*60</f>
        <v>0</v>
      </c>
      <c r="J55" s="282">
        <v>0</v>
      </c>
      <c r="K55" s="283">
        <v>22</v>
      </c>
      <c r="L55" s="284">
        <v>5</v>
      </c>
      <c r="M55" s="283">
        <v>0</v>
      </c>
      <c r="N55" s="284">
        <v>0</v>
      </c>
      <c r="O55" s="192">
        <f t="shared" si="0"/>
        <v>0</v>
      </c>
      <c r="P55" s="197">
        <f t="shared" si="27"/>
        <v>192.98245614035091</v>
      </c>
      <c r="Q55" s="197">
        <f t="shared" si="2"/>
        <v>43.859649122807021</v>
      </c>
      <c r="R55" s="197">
        <f t="shared" si="28"/>
        <v>0</v>
      </c>
      <c r="S55" s="197">
        <f t="shared" si="29"/>
        <v>0</v>
      </c>
      <c r="T55" s="188">
        <f t="shared" si="15"/>
        <v>0</v>
      </c>
      <c r="U55" s="189">
        <f t="shared" si="16"/>
        <v>0</v>
      </c>
      <c r="V55" s="189">
        <f t="shared" si="17"/>
        <v>17.543859649122808</v>
      </c>
      <c r="W55" s="189">
        <f t="shared" si="18"/>
        <v>0</v>
      </c>
      <c r="X55" s="190">
        <f t="shared" si="19"/>
        <v>0</v>
      </c>
      <c r="Y55" s="195">
        <v>1.18</v>
      </c>
      <c r="Z55" s="195">
        <v>1.28</v>
      </c>
      <c r="AA55" s="195">
        <v>1.2</v>
      </c>
      <c r="AB55" s="195">
        <v>1.53</v>
      </c>
      <c r="AC55" s="195">
        <v>1.2</v>
      </c>
      <c r="AD55" s="199">
        <f t="shared" si="30"/>
        <v>0</v>
      </c>
      <c r="AE55" s="200">
        <f t="shared" si="31"/>
        <v>0</v>
      </c>
      <c r="AF55" s="200">
        <f>V55*AA55</f>
        <v>21.05263157894737</v>
      </c>
      <c r="AG55" s="200">
        <f t="shared" si="33"/>
        <v>0</v>
      </c>
      <c r="AH55" s="201">
        <f t="shared" si="34"/>
        <v>0</v>
      </c>
      <c r="AI55" s="311">
        <v>0</v>
      </c>
      <c r="AJ55" s="141" t="e">
        <f>(AD55*1000)/#REF!</f>
        <v>#REF!</v>
      </c>
      <c r="AK55" s="142" t="e">
        <f>(AE55*1000)/#REF!</f>
        <v>#REF!</v>
      </c>
      <c r="AL55" s="142" t="e">
        <f>(AF55*1000)/#REF!</f>
        <v>#REF!</v>
      </c>
      <c r="AM55" s="142" t="e">
        <f>(AG55*1000)/#REF!</f>
        <v>#REF!</v>
      </c>
      <c r="AN55" s="143" t="e">
        <f>(AH55*1000)/#REF!</f>
        <v>#REF!</v>
      </c>
      <c r="AO55" s="107">
        <f t="shared" si="39"/>
        <v>1550</v>
      </c>
      <c r="AP55" s="108">
        <f t="shared" si="40"/>
        <v>19160</v>
      </c>
      <c r="AQ55" s="108">
        <f t="shared" si="41"/>
        <v>36239</v>
      </c>
      <c r="AR55" s="108">
        <f t="shared" si="42"/>
        <v>1560</v>
      </c>
      <c r="AS55" s="109">
        <f t="shared" si="43"/>
        <v>3640</v>
      </c>
      <c r="AT55" s="110">
        <f t="shared" si="35"/>
        <v>0</v>
      </c>
      <c r="AU55" s="111">
        <f t="shared" si="25"/>
        <v>0</v>
      </c>
      <c r="AV55" s="111">
        <f t="shared" si="26"/>
        <v>33568.757894736838</v>
      </c>
      <c r="AW55" s="111">
        <f t="shared" si="36"/>
        <v>0</v>
      </c>
      <c r="AX55" s="112">
        <f t="shared" si="37"/>
        <v>0</v>
      </c>
      <c r="AY55" s="110">
        <f t="shared" si="38"/>
        <v>33568.757894736838</v>
      </c>
      <c r="AZ55" s="111">
        <v>1000</v>
      </c>
      <c r="BA55" s="111" t="e">
        <f>AY55/#REF!</f>
        <v>#REF!</v>
      </c>
      <c r="BB55" s="101"/>
      <c r="BC55" s="104"/>
    </row>
    <row r="56" spans="1:55" ht="14.95" thickBot="1" x14ac:dyDescent="0.3">
      <c r="A56" s="144">
        <f>+A55+1</f>
        <v>46041</v>
      </c>
      <c r="B56" s="212">
        <f>DAY(Tabla2[[#This Row],[FECHA]])</f>
        <v>19</v>
      </c>
      <c r="C56" s="156" t="s">
        <v>28</v>
      </c>
      <c r="D56" s="145"/>
      <c r="E56" s="146"/>
      <c r="F56" s="147"/>
      <c r="G56" s="147"/>
      <c r="H56" s="146"/>
      <c r="I56" s="290">
        <f>((Tabla2[[#This Row],[VOLUMEN ENVIADO A RO (m3)]]/80)/3)*60</f>
        <v>0</v>
      </c>
      <c r="J56" s="276">
        <v>0</v>
      </c>
      <c r="K56" s="277">
        <v>22</v>
      </c>
      <c r="L56" s="278">
        <v>3</v>
      </c>
      <c r="M56" s="277">
        <v>0</v>
      </c>
      <c r="N56" s="278">
        <v>0</v>
      </c>
      <c r="O56" s="192">
        <f t="shared" si="0"/>
        <v>0</v>
      </c>
      <c r="P56" s="203">
        <f t="shared" si="27"/>
        <v>192.98245614035091</v>
      </c>
      <c r="Q56" s="186">
        <f t="shared" si="2"/>
        <v>26.315789473684212</v>
      </c>
      <c r="R56" s="203">
        <f t="shared" si="28"/>
        <v>0</v>
      </c>
      <c r="S56" s="203">
        <f t="shared" si="29"/>
        <v>0</v>
      </c>
      <c r="T56" s="188">
        <f t="shared" si="15"/>
        <v>0</v>
      </c>
      <c r="U56" s="189">
        <f t="shared" si="16"/>
        <v>0</v>
      </c>
      <c r="V56" s="189">
        <f>Q56-Q57</f>
        <v>0</v>
      </c>
      <c r="W56" s="189">
        <f t="shared" si="18"/>
        <v>0</v>
      </c>
      <c r="X56" s="190">
        <f t="shared" si="19"/>
        <v>0</v>
      </c>
      <c r="Y56" s="195">
        <v>1.18</v>
      </c>
      <c r="Z56" s="195">
        <v>1.28</v>
      </c>
      <c r="AA56" s="195">
        <v>1.2</v>
      </c>
      <c r="AB56" s="195">
        <v>1.53</v>
      </c>
      <c r="AC56" s="195">
        <v>1.2</v>
      </c>
      <c r="AD56" s="204">
        <f t="shared" si="30"/>
        <v>0</v>
      </c>
      <c r="AE56" s="205">
        <f t="shared" si="31"/>
        <v>0</v>
      </c>
      <c r="AF56" s="205">
        <f t="shared" si="32"/>
        <v>0</v>
      </c>
      <c r="AG56" s="205">
        <f t="shared" si="33"/>
        <v>0</v>
      </c>
      <c r="AH56" s="206">
        <f t="shared" si="34"/>
        <v>0</v>
      </c>
      <c r="AI56" s="309">
        <v>0</v>
      </c>
      <c r="AJ56" s="148" t="e">
        <f>(AD56*1000)/#REF!</f>
        <v>#REF!</v>
      </c>
      <c r="AK56" s="149" t="e">
        <f>(AE56*1000)/#REF!</f>
        <v>#REF!</v>
      </c>
      <c r="AL56" s="149" t="e">
        <f>(AF56*1000)/#REF!</f>
        <v>#REF!</v>
      </c>
      <c r="AM56" s="149" t="e">
        <f>(AG56*1000)/#REF!</f>
        <v>#REF!</v>
      </c>
      <c r="AN56" s="150" t="e">
        <f>(AH56*1000)/#REF!</f>
        <v>#REF!</v>
      </c>
      <c r="AO56" s="107">
        <f t="shared" si="39"/>
        <v>1550</v>
      </c>
      <c r="AP56" s="108">
        <f t="shared" si="40"/>
        <v>19160</v>
      </c>
      <c r="AQ56" s="108">
        <f t="shared" si="41"/>
        <v>36239</v>
      </c>
      <c r="AR56" s="108">
        <f t="shared" si="42"/>
        <v>1560</v>
      </c>
      <c r="AS56" s="109">
        <f t="shared" si="43"/>
        <v>3640</v>
      </c>
      <c r="AT56" s="107">
        <f t="shared" si="35"/>
        <v>0</v>
      </c>
      <c r="AU56" s="108">
        <f t="shared" si="25"/>
        <v>0</v>
      </c>
      <c r="AV56" s="108">
        <f t="shared" si="26"/>
        <v>0</v>
      </c>
      <c r="AW56" s="108">
        <f t="shared" si="36"/>
        <v>0</v>
      </c>
      <c r="AX56" s="109">
        <f t="shared" si="37"/>
        <v>0</v>
      </c>
      <c r="AY56" s="107">
        <f t="shared" si="38"/>
        <v>0</v>
      </c>
      <c r="AZ56" s="108">
        <v>1000</v>
      </c>
      <c r="BA56" s="108" t="e">
        <f>AY56/#REF!</f>
        <v>#REF!</v>
      </c>
      <c r="BB56" s="102"/>
      <c r="BC56" s="103"/>
    </row>
    <row r="57" spans="1:55" ht="14.95" thickBot="1" x14ac:dyDescent="0.3">
      <c r="A57" s="151">
        <f>+A56</f>
        <v>46041</v>
      </c>
      <c r="B57" s="210">
        <f>DAY(Tabla2[[#This Row],[FECHA]])</f>
        <v>19</v>
      </c>
      <c r="C57" s="130" t="s">
        <v>29</v>
      </c>
      <c r="D57" s="131"/>
      <c r="E57" s="132"/>
      <c r="F57" s="133"/>
      <c r="G57" s="133"/>
      <c r="H57" s="132"/>
      <c r="I57" s="290">
        <f>((Tabla2[[#This Row],[VOLUMEN ENVIADO A RO (m3)]]/80)/3)*60</f>
        <v>64.333749999999995</v>
      </c>
      <c r="J57" s="279">
        <v>0</v>
      </c>
      <c r="K57" s="280">
        <v>22</v>
      </c>
      <c r="L57" s="281">
        <v>3</v>
      </c>
      <c r="M57" s="280">
        <v>0</v>
      </c>
      <c r="N57" s="281">
        <v>0</v>
      </c>
      <c r="O57" s="192">
        <f t="shared" si="0"/>
        <v>0</v>
      </c>
      <c r="P57" s="193">
        <f t="shared" si="27"/>
        <v>192.98245614035091</v>
      </c>
      <c r="Q57" s="193">
        <f t="shared" si="2"/>
        <v>26.315789473684212</v>
      </c>
      <c r="R57" s="193">
        <f t="shared" si="28"/>
        <v>0</v>
      </c>
      <c r="S57" s="193">
        <f t="shared" si="29"/>
        <v>0</v>
      </c>
      <c r="T57" s="188">
        <f t="shared" si="15"/>
        <v>0</v>
      </c>
      <c r="U57" s="189">
        <f t="shared" si="16"/>
        <v>0</v>
      </c>
      <c r="V57" s="189">
        <f t="shared" si="17"/>
        <v>0</v>
      </c>
      <c r="W57" s="189">
        <f t="shared" si="18"/>
        <v>0</v>
      </c>
      <c r="X57" s="190">
        <f t="shared" si="19"/>
        <v>0</v>
      </c>
      <c r="Y57" s="195">
        <v>1.18</v>
      </c>
      <c r="Z57" s="195">
        <v>1.28</v>
      </c>
      <c r="AA57" s="195">
        <v>1.2</v>
      </c>
      <c r="AB57" s="195">
        <v>1.53</v>
      </c>
      <c r="AC57" s="195">
        <v>1.2</v>
      </c>
      <c r="AD57" s="188">
        <f t="shared" si="30"/>
        <v>0</v>
      </c>
      <c r="AE57" s="189">
        <f t="shared" si="31"/>
        <v>0</v>
      </c>
      <c r="AF57" s="189">
        <f t="shared" si="32"/>
        <v>0</v>
      </c>
      <c r="AG57" s="189">
        <f t="shared" si="33"/>
        <v>0</v>
      </c>
      <c r="AH57" s="190">
        <f t="shared" si="34"/>
        <v>0</v>
      </c>
      <c r="AI57" s="310">
        <v>257.33499999999998</v>
      </c>
      <c r="AJ57" s="126" t="e">
        <f>(AD57*1000)/#REF!</f>
        <v>#REF!</v>
      </c>
      <c r="AK57" s="127" t="e">
        <f>(AE57*1000)/#REF!</f>
        <v>#REF!</v>
      </c>
      <c r="AL57" s="127" t="e">
        <f>(AF57*1000)/#REF!</f>
        <v>#REF!</v>
      </c>
      <c r="AM57" s="127" t="e">
        <f>(AG57*1000)/#REF!</f>
        <v>#REF!</v>
      </c>
      <c r="AN57" s="128" t="e">
        <f>(AH57*1000)/#REF!</f>
        <v>#REF!</v>
      </c>
      <c r="AO57" s="107">
        <f t="shared" si="39"/>
        <v>1550</v>
      </c>
      <c r="AP57" s="108">
        <f t="shared" si="40"/>
        <v>19160</v>
      </c>
      <c r="AQ57" s="108">
        <f t="shared" si="41"/>
        <v>36239</v>
      </c>
      <c r="AR57" s="108">
        <f t="shared" si="42"/>
        <v>1560</v>
      </c>
      <c r="AS57" s="109">
        <f t="shared" si="43"/>
        <v>3640</v>
      </c>
      <c r="AT57" s="107">
        <f t="shared" si="35"/>
        <v>0</v>
      </c>
      <c r="AU57" s="108">
        <f t="shared" si="25"/>
        <v>0</v>
      </c>
      <c r="AV57" s="108">
        <f t="shared" si="26"/>
        <v>0</v>
      </c>
      <c r="AW57" s="108">
        <f t="shared" si="36"/>
        <v>0</v>
      </c>
      <c r="AX57" s="109">
        <f t="shared" si="37"/>
        <v>0</v>
      </c>
      <c r="AY57" s="107">
        <f t="shared" si="38"/>
        <v>0</v>
      </c>
      <c r="AZ57" s="108">
        <v>1000</v>
      </c>
      <c r="BA57" s="108" t="e">
        <f>AY57/#REF!</f>
        <v>#REF!</v>
      </c>
      <c r="BB57" s="102"/>
      <c r="BC57" s="103"/>
    </row>
    <row r="58" spans="1:55" ht="14.95" thickBot="1" x14ac:dyDescent="0.3">
      <c r="A58" s="152">
        <f>+A57</f>
        <v>46041</v>
      </c>
      <c r="B58" s="211">
        <f>DAY(Tabla2[[#This Row],[FECHA]])</f>
        <v>19</v>
      </c>
      <c r="C58" s="135" t="s">
        <v>30</v>
      </c>
      <c r="D58" s="136"/>
      <c r="E58" s="137"/>
      <c r="F58" s="138"/>
      <c r="G58" s="139"/>
      <c r="H58" s="140"/>
      <c r="I58" s="290">
        <f>((Tabla2[[#This Row],[VOLUMEN ENVIADO A RO (m3)]]/80)/3)*60</f>
        <v>0</v>
      </c>
      <c r="J58" s="282">
        <v>0</v>
      </c>
      <c r="K58" s="283">
        <v>22</v>
      </c>
      <c r="L58" s="284">
        <v>3</v>
      </c>
      <c r="M58" s="283">
        <v>0</v>
      </c>
      <c r="N58" s="284">
        <v>0</v>
      </c>
      <c r="O58" s="192">
        <f t="shared" si="0"/>
        <v>0</v>
      </c>
      <c r="P58" s="197">
        <f t="shared" si="27"/>
        <v>192.98245614035091</v>
      </c>
      <c r="Q58" s="197">
        <f t="shared" si="2"/>
        <v>26.315789473684212</v>
      </c>
      <c r="R58" s="197">
        <f t="shared" si="28"/>
        <v>0</v>
      </c>
      <c r="S58" s="197">
        <f t="shared" si="29"/>
        <v>0</v>
      </c>
      <c r="T58" s="188">
        <f t="shared" si="15"/>
        <v>0</v>
      </c>
      <c r="U58" s="189">
        <f t="shared" si="16"/>
        <v>0</v>
      </c>
      <c r="V58" s="189">
        <f t="shared" si="17"/>
        <v>0</v>
      </c>
      <c r="W58" s="189">
        <f t="shared" si="18"/>
        <v>0</v>
      </c>
      <c r="X58" s="190">
        <f t="shared" si="19"/>
        <v>0</v>
      </c>
      <c r="Y58" s="195">
        <v>1.18</v>
      </c>
      <c r="Z58" s="195">
        <v>1.28</v>
      </c>
      <c r="AA58" s="195">
        <v>1.2</v>
      </c>
      <c r="AB58" s="195">
        <v>1.53</v>
      </c>
      <c r="AC58" s="195">
        <v>1.2</v>
      </c>
      <c r="AD58" s="199">
        <f t="shared" si="30"/>
        <v>0</v>
      </c>
      <c r="AE58" s="200">
        <f t="shared" si="31"/>
        <v>0</v>
      </c>
      <c r="AF58" s="200">
        <f t="shared" si="32"/>
        <v>0</v>
      </c>
      <c r="AG58" s="200">
        <f t="shared" si="33"/>
        <v>0</v>
      </c>
      <c r="AH58" s="201">
        <f t="shared" si="34"/>
        <v>0</v>
      </c>
      <c r="AI58" s="311">
        <v>0</v>
      </c>
      <c r="AJ58" s="141" t="e">
        <f>(AD58*1000)/#REF!</f>
        <v>#REF!</v>
      </c>
      <c r="AK58" s="142" t="e">
        <f>(AE58*1000)/#REF!</f>
        <v>#REF!</v>
      </c>
      <c r="AL58" s="142" t="e">
        <f>(AF58*1000)/#REF!</f>
        <v>#REF!</v>
      </c>
      <c r="AM58" s="142" t="e">
        <f>(AG58*1000)/#REF!</f>
        <v>#REF!</v>
      </c>
      <c r="AN58" s="143" t="e">
        <f>(AH58*1000)/#REF!</f>
        <v>#REF!</v>
      </c>
      <c r="AO58" s="107">
        <f t="shared" si="39"/>
        <v>1550</v>
      </c>
      <c r="AP58" s="108">
        <f t="shared" si="40"/>
        <v>19160</v>
      </c>
      <c r="AQ58" s="108">
        <f t="shared" si="41"/>
        <v>36239</v>
      </c>
      <c r="AR58" s="108">
        <f t="shared" si="42"/>
        <v>1560</v>
      </c>
      <c r="AS58" s="109">
        <f t="shared" si="43"/>
        <v>3640</v>
      </c>
      <c r="AT58" s="110">
        <f t="shared" si="35"/>
        <v>0</v>
      </c>
      <c r="AU58" s="111">
        <f t="shared" si="25"/>
        <v>0</v>
      </c>
      <c r="AV58" s="111">
        <f t="shared" si="26"/>
        <v>0</v>
      </c>
      <c r="AW58" s="111">
        <f t="shared" si="36"/>
        <v>0</v>
      </c>
      <c r="AX58" s="112">
        <f t="shared" si="37"/>
        <v>0</v>
      </c>
      <c r="AY58" s="110">
        <f t="shared" si="38"/>
        <v>0</v>
      </c>
      <c r="AZ58" s="111">
        <v>1000</v>
      </c>
      <c r="BA58" s="111" t="e">
        <f>AY58/#REF!</f>
        <v>#REF!</v>
      </c>
      <c r="BB58" s="101"/>
      <c r="BC58" s="104"/>
    </row>
    <row r="59" spans="1:55" ht="14.95" thickBot="1" x14ac:dyDescent="0.3">
      <c r="A59" s="144">
        <f>+A58+1</f>
        <v>46042</v>
      </c>
      <c r="B59" s="212">
        <f>DAY(Tabla2[[#This Row],[FECHA]])</f>
        <v>20</v>
      </c>
      <c r="C59" s="156" t="s">
        <v>28</v>
      </c>
      <c r="D59" s="145"/>
      <c r="E59" s="146"/>
      <c r="F59" s="147"/>
      <c r="G59" s="147"/>
      <c r="H59" s="146"/>
      <c r="I59" s="290">
        <f>((Tabla2[[#This Row],[VOLUMEN ENVIADO A RO (m3)]]/80)/3)*60</f>
        <v>37.956499999999998</v>
      </c>
      <c r="J59" s="276">
        <v>0</v>
      </c>
      <c r="K59" s="277">
        <v>22</v>
      </c>
      <c r="L59" s="278">
        <v>3</v>
      </c>
      <c r="M59" s="277">
        <v>0</v>
      </c>
      <c r="N59" s="278">
        <v>0</v>
      </c>
      <c r="O59" s="192">
        <f t="shared" si="0"/>
        <v>0</v>
      </c>
      <c r="P59" s="203">
        <f t="shared" si="27"/>
        <v>192.98245614035091</v>
      </c>
      <c r="Q59" s="186">
        <f t="shared" si="2"/>
        <v>26.315789473684212</v>
      </c>
      <c r="R59" s="203">
        <f t="shared" si="28"/>
        <v>0</v>
      </c>
      <c r="S59" s="203">
        <f t="shared" si="29"/>
        <v>0</v>
      </c>
      <c r="T59" s="188">
        <f t="shared" si="15"/>
        <v>0</v>
      </c>
      <c r="U59" s="189">
        <f t="shared" si="16"/>
        <v>0</v>
      </c>
      <c r="V59" s="189">
        <f t="shared" si="17"/>
        <v>0</v>
      </c>
      <c r="W59" s="189">
        <f t="shared" si="18"/>
        <v>0</v>
      </c>
      <c r="X59" s="190">
        <f t="shared" si="19"/>
        <v>0</v>
      </c>
      <c r="Y59" s="195">
        <v>1.18</v>
      </c>
      <c r="Z59" s="195">
        <v>1.28</v>
      </c>
      <c r="AA59" s="195">
        <v>1.2</v>
      </c>
      <c r="AB59" s="195">
        <v>1.53</v>
      </c>
      <c r="AC59" s="195">
        <v>1.2</v>
      </c>
      <c r="AD59" s="204">
        <f t="shared" si="30"/>
        <v>0</v>
      </c>
      <c r="AE59" s="205">
        <f t="shared" si="31"/>
        <v>0</v>
      </c>
      <c r="AF59" s="205">
        <f t="shared" si="32"/>
        <v>0</v>
      </c>
      <c r="AG59" s="205">
        <f t="shared" si="33"/>
        <v>0</v>
      </c>
      <c r="AH59" s="206">
        <f t="shared" si="34"/>
        <v>0</v>
      </c>
      <c r="AI59" s="309">
        <v>151.82599999999999</v>
      </c>
      <c r="AJ59" s="148" t="e">
        <f>(AD59*1000)/#REF!</f>
        <v>#REF!</v>
      </c>
      <c r="AK59" s="149" t="e">
        <f>(AE59*1000)/#REF!</f>
        <v>#REF!</v>
      </c>
      <c r="AL59" s="149" t="e">
        <f>(AF59*1000)/#REF!</f>
        <v>#REF!</v>
      </c>
      <c r="AM59" s="149" t="e">
        <f>(AG59*1000)/#REF!</f>
        <v>#REF!</v>
      </c>
      <c r="AN59" s="150" t="e">
        <f>(AH59*1000)/#REF!</f>
        <v>#REF!</v>
      </c>
      <c r="AO59" s="107">
        <f t="shared" si="39"/>
        <v>1550</v>
      </c>
      <c r="AP59" s="108">
        <f t="shared" si="40"/>
        <v>19160</v>
      </c>
      <c r="AQ59" s="108">
        <f t="shared" si="41"/>
        <v>36239</v>
      </c>
      <c r="AR59" s="108">
        <f t="shared" si="42"/>
        <v>1560</v>
      </c>
      <c r="AS59" s="109">
        <f t="shared" si="43"/>
        <v>3640</v>
      </c>
      <c r="AT59" s="107">
        <f t="shared" si="35"/>
        <v>0</v>
      </c>
      <c r="AU59" s="108">
        <f t="shared" si="25"/>
        <v>0</v>
      </c>
      <c r="AV59" s="108">
        <f t="shared" si="26"/>
        <v>0</v>
      </c>
      <c r="AW59" s="108">
        <f t="shared" si="36"/>
        <v>0</v>
      </c>
      <c r="AX59" s="109">
        <f t="shared" si="37"/>
        <v>0</v>
      </c>
      <c r="AY59" s="107">
        <f t="shared" si="38"/>
        <v>0</v>
      </c>
      <c r="AZ59" s="108">
        <v>1000</v>
      </c>
      <c r="BA59" s="108" t="e">
        <f>AY59/#REF!</f>
        <v>#REF!</v>
      </c>
      <c r="BB59" s="102"/>
      <c r="BC59" s="103"/>
    </row>
    <row r="60" spans="1:55" ht="14.95" thickBot="1" x14ac:dyDescent="0.3">
      <c r="A60" s="151">
        <f>+A59</f>
        <v>46042</v>
      </c>
      <c r="B60" s="210">
        <f>DAY(Tabla2[[#This Row],[FECHA]])</f>
        <v>20</v>
      </c>
      <c r="C60" s="130" t="s">
        <v>29</v>
      </c>
      <c r="D60" s="131"/>
      <c r="E60" s="132"/>
      <c r="F60" s="133"/>
      <c r="G60" s="133"/>
      <c r="H60" s="132"/>
      <c r="I60" s="290">
        <f>((Tabla2[[#This Row],[VOLUMEN ENVIADO A RO (m3)]]/80)/3)*60</f>
        <v>37.956499999999998</v>
      </c>
      <c r="J60" s="279">
        <v>0</v>
      </c>
      <c r="K60" s="280">
        <v>22</v>
      </c>
      <c r="L60" s="281">
        <v>3</v>
      </c>
      <c r="M60" s="280">
        <v>0</v>
      </c>
      <c r="N60" s="281">
        <v>0</v>
      </c>
      <c r="O60" s="192">
        <f t="shared" si="0"/>
        <v>0</v>
      </c>
      <c r="P60" s="193">
        <f t="shared" si="27"/>
        <v>192.98245614035091</v>
      </c>
      <c r="Q60" s="193">
        <f t="shared" si="2"/>
        <v>26.315789473684212</v>
      </c>
      <c r="R60" s="193">
        <f t="shared" si="28"/>
        <v>0</v>
      </c>
      <c r="S60" s="193">
        <f t="shared" si="29"/>
        <v>0</v>
      </c>
      <c r="T60" s="188">
        <f t="shared" si="15"/>
        <v>0</v>
      </c>
      <c r="U60" s="189">
        <f t="shared" si="16"/>
        <v>0</v>
      </c>
      <c r="V60" s="189">
        <f t="shared" si="17"/>
        <v>0</v>
      </c>
      <c r="W60" s="189">
        <f t="shared" si="18"/>
        <v>0</v>
      </c>
      <c r="X60" s="190">
        <f t="shared" si="19"/>
        <v>0</v>
      </c>
      <c r="Y60" s="195">
        <v>1.18</v>
      </c>
      <c r="Z60" s="195">
        <v>1.28</v>
      </c>
      <c r="AA60" s="195">
        <v>1.2</v>
      </c>
      <c r="AB60" s="195">
        <v>1.53</v>
      </c>
      <c r="AC60" s="195">
        <v>1.2</v>
      </c>
      <c r="AD60" s="188">
        <f t="shared" si="30"/>
        <v>0</v>
      </c>
      <c r="AE60" s="189">
        <f t="shared" si="31"/>
        <v>0</v>
      </c>
      <c r="AF60" s="189">
        <f t="shared" si="32"/>
        <v>0</v>
      </c>
      <c r="AG60" s="189">
        <f t="shared" si="33"/>
        <v>0</v>
      </c>
      <c r="AH60" s="190">
        <f t="shared" si="34"/>
        <v>0</v>
      </c>
      <c r="AI60" s="310">
        <v>151.82599999999999</v>
      </c>
      <c r="AJ60" s="126" t="e">
        <f>(AD60*1000)/#REF!</f>
        <v>#REF!</v>
      </c>
      <c r="AK60" s="127" t="e">
        <f>(AE60*1000)/#REF!</f>
        <v>#REF!</v>
      </c>
      <c r="AL60" s="127" t="e">
        <f>(AF60*1000)/#REF!</f>
        <v>#REF!</v>
      </c>
      <c r="AM60" s="127" t="e">
        <f>(AG60*1000)/#REF!</f>
        <v>#REF!</v>
      </c>
      <c r="AN60" s="128" t="e">
        <f>(AH60*1000)/#REF!</f>
        <v>#REF!</v>
      </c>
      <c r="AO60" s="107">
        <f t="shared" si="39"/>
        <v>1550</v>
      </c>
      <c r="AP60" s="108">
        <f t="shared" si="40"/>
        <v>19160</v>
      </c>
      <c r="AQ60" s="108">
        <f t="shared" si="41"/>
        <v>36239</v>
      </c>
      <c r="AR60" s="108">
        <f t="shared" si="42"/>
        <v>1560</v>
      </c>
      <c r="AS60" s="109">
        <f t="shared" si="43"/>
        <v>3640</v>
      </c>
      <c r="AT60" s="107">
        <f t="shared" si="35"/>
        <v>0</v>
      </c>
      <c r="AU60" s="108">
        <f t="shared" si="25"/>
        <v>0</v>
      </c>
      <c r="AV60" s="108">
        <f t="shared" si="26"/>
        <v>0</v>
      </c>
      <c r="AW60" s="108">
        <f t="shared" si="36"/>
        <v>0</v>
      </c>
      <c r="AX60" s="109">
        <f t="shared" si="37"/>
        <v>0</v>
      </c>
      <c r="AY60" s="107">
        <f t="shared" si="38"/>
        <v>0</v>
      </c>
      <c r="AZ60" s="108">
        <v>1000</v>
      </c>
      <c r="BA60" s="108" t="e">
        <f>AY60/#REF!</f>
        <v>#REF!</v>
      </c>
      <c r="BB60" s="102"/>
      <c r="BC60" s="103"/>
    </row>
    <row r="61" spans="1:55" ht="14.95" thickBot="1" x14ac:dyDescent="0.3">
      <c r="A61" s="152">
        <f>+A60</f>
        <v>46042</v>
      </c>
      <c r="B61" s="211">
        <f>DAY(Tabla2[[#This Row],[FECHA]])</f>
        <v>20</v>
      </c>
      <c r="C61" s="135" t="s">
        <v>30</v>
      </c>
      <c r="D61" s="136"/>
      <c r="E61" s="137"/>
      <c r="F61" s="138"/>
      <c r="G61" s="139"/>
      <c r="H61" s="140"/>
      <c r="I61" s="290">
        <f>((Tabla2[[#This Row],[VOLUMEN ENVIADO A RO (m3)]]/80)/3)*60</f>
        <v>73.274500000000003</v>
      </c>
      <c r="J61" s="282">
        <v>0</v>
      </c>
      <c r="K61" s="283">
        <v>22</v>
      </c>
      <c r="L61" s="284">
        <v>3</v>
      </c>
      <c r="M61" s="283">
        <v>0</v>
      </c>
      <c r="N61" s="284">
        <v>0</v>
      </c>
      <c r="O61" s="192">
        <f t="shared" si="0"/>
        <v>0</v>
      </c>
      <c r="P61" s="197">
        <f t="shared" si="27"/>
        <v>192.98245614035091</v>
      </c>
      <c r="Q61" s="197">
        <f t="shared" si="2"/>
        <v>26.315789473684212</v>
      </c>
      <c r="R61" s="197">
        <f t="shared" si="28"/>
        <v>0</v>
      </c>
      <c r="S61" s="197">
        <f t="shared" si="29"/>
        <v>0</v>
      </c>
      <c r="T61" s="188">
        <f t="shared" si="15"/>
        <v>0</v>
      </c>
      <c r="U61" s="189">
        <f t="shared" si="16"/>
        <v>0</v>
      </c>
      <c r="V61" s="189">
        <f t="shared" si="17"/>
        <v>0</v>
      </c>
      <c r="W61" s="189">
        <f t="shared" si="18"/>
        <v>0</v>
      </c>
      <c r="X61" s="190">
        <f t="shared" si="19"/>
        <v>0</v>
      </c>
      <c r="Y61" s="195">
        <v>1.18</v>
      </c>
      <c r="Z61" s="195">
        <v>1.28</v>
      </c>
      <c r="AA61" s="195">
        <v>1.2</v>
      </c>
      <c r="AB61" s="195">
        <v>1.53</v>
      </c>
      <c r="AC61" s="195">
        <v>1.2</v>
      </c>
      <c r="AD61" s="199">
        <f t="shared" si="30"/>
        <v>0</v>
      </c>
      <c r="AE61" s="200">
        <f t="shared" si="31"/>
        <v>0</v>
      </c>
      <c r="AF61" s="200">
        <f t="shared" si="32"/>
        <v>0</v>
      </c>
      <c r="AG61" s="200">
        <f t="shared" si="33"/>
        <v>0</v>
      </c>
      <c r="AH61" s="201">
        <f t="shared" si="34"/>
        <v>0</v>
      </c>
      <c r="AI61" s="311">
        <v>293.09800000000001</v>
      </c>
      <c r="AJ61" s="141" t="e">
        <f>(AD61*1000)/#REF!</f>
        <v>#REF!</v>
      </c>
      <c r="AK61" s="142" t="e">
        <f>(AE61*1000)/#REF!</f>
        <v>#REF!</v>
      </c>
      <c r="AL61" s="142" t="e">
        <f>(AF61*1000)/#REF!</f>
        <v>#REF!</v>
      </c>
      <c r="AM61" s="142" t="e">
        <f>(AG61*1000)/#REF!</f>
        <v>#REF!</v>
      </c>
      <c r="AN61" s="143" t="e">
        <f>(AH61*1000)/#REF!</f>
        <v>#REF!</v>
      </c>
      <c r="AO61" s="107">
        <f t="shared" si="39"/>
        <v>1550</v>
      </c>
      <c r="AP61" s="108">
        <f t="shared" si="40"/>
        <v>19160</v>
      </c>
      <c r="AQ61" s="108">
        <f t="shared" si="41"/>
        <v>36239</v>
      </c>
      <c r="AR61" s="108">
        <f t="shared" si="42"/>
        <v>1560</v>
      </c>
      <c r="AS61" s="109">
        <f t="shared" si="43"/>
        <v>3640</v>
      </c>
      <c r="AT61" s="110">
        <f t="shared" si="35"/>
        <v>0</v>
      </c>
      <c r="AU61" s="111">
        <f t="shared" si="25"/>
        <v>0</v>
      </c>
      <c r="AV61" s="111">
        <f t="shared" si="26"/>
        <v>0</v>
      </c>
      <c r="AW61" s="111">
        <f t="shared" si="36"/>
        <v>0</v>
      </c>
      <c r="AX61" s="112">
        <f t="shared" si="37"/>
        <v>0</v>
      </c>
      <c r="AY61" s="110">
        <f t="shared" si="38"/>
        <v>0</v>
      </c>
      <c r="AZ61" s="111">
        <v>1000</v>
      </c>
      <c r="BA61" s="111" t="e">
        <f>AY61/#REF!</f>
        <v>#REF!</v>
      </c>
      <c r="BB61" s="101"/>
      <c r="BC61" s="104"/>
    </row>
    <row r="62" spans="1:55" ht="14.95" thickBot="1" x14ac:dyDescent="0.3">
      <c r="A62" s="144">
        <f>+A61+1</f>
        <v>46043</v>
      </c>
      <c r="B62" s="212">
        <f>DAY(Tabla2[[#This Row],[FECHA]])</f>
        <v>21</v>
      </c>
      <c r="C62" s="156" t="s">
        <v>28</v>
      </c>
      <c r="D62" s="145"/>
      <c r="E62" s="146"/>
      <c r="F62" s="147"/>
      <c r="G62" s="147"/>
      <c r="H62" s="146"/>
      <c r="I62" s="290">
        <f>((Tabla2[[#This Row],[VOLUMEN ENVIADO A RO (m3)]]/80)/3)*60</f>
        <v>115.41774999999998</v>
      </c>
      <c r="J62" s="276">
        <v>0</v>
      </c>
      <c r="K62" s="277">
        <v>22</v>
      </c>
      <c r="L62" s="278">
        <v>3</v>
      </c>
      <c r="M62" s="277">
        <v>0</v>
      </c>
      <c r="N62" s="278">
        <v>0</v>
      </c>
      <c r="O62" s="192">
        <f t="shared" si="0"/>
        <v>0</v>
      </c>
      <c r="P62" s="203">
        <f t="shared" si="27"/>
        <v>192.98245614035091</v>
      </c>
      <c r="Q62" s="186">
        <f t="shared" si="2"/>
        <v>26.315789473684212</v>
      </c>
      <c r="R62" s="203">
        <f t="shared" si="28"/>
        <v>0</v>
      </c>
      <c r="S62" s="203">
        <f t="shared" si="29"/>
        <v>0</v>
      </c>
      <c r="T62" s="188">
        <f t="shared" si="15"/>
        <v>0</v>
      </c>
      <c r="U62" s="189">
        <f t="shared" si="16"/>
        <v>26.31578947368422</v>
      </c>
      <c r="V62" s="189">
        <f t="shared" si="17"/>
        <v>0</v>
      </c>
      <c r="W62" s="189">
        <f t="shared" si="18"/>
        <v>0</v>
      </c>
      <c r="X62" s="190">
        <f t="shared" si="19"/>
        <v>0</v>
      </c>
      <c r="Y62" s="195">
        <v>1.18</v>
      </c>
      <c r="Z62" s="195">
        <v>1.28</v>
      </c>
      <c r="AA62" s="195">
        <v>1.2</v>
      </c>
      <c r="AB62" s="195">
        <v>1.53</v>
      </c>
      <c r="AC62" s="195">
        <v>1.2</v>
      </c>
      <c r="AD62" s="204">
        <f t="shared" si="30"/>
        <v>0</v>
      </c>
      <c r="AE62" s="205">
        <f t="shared" si="31"/>
        <v>33.684210526315802</v>
      </c>
      <c r="AF62" s="205">
        <f t="shared" si="32"/>
        <v>0</v>
      </c>
      <c r="AG62" s="205">
        <f t="shared" si="33"/>
        <v>0</v>
      </c>
      <c r="AH62" s="206">
        <f t="shared" si="34"/>
        <v>0</v>
      </c>
      <c r="AI62" s="309">
        <v>461.67099999999999</v>
      </c>
      <c r="AJ62" s="148">
        <f>(AD62*1000)/$AI62</f>
        <v>0</v>
      </c>
      <c r="AK62" s="149">
        <f>(AE62*1000)/$AI62</f>
        <v>72.961504028444068</v>
      </c>
      <c r="AL62" s="149">
        <f>(AF62*1000)/$AI62</f>
        <v>0</v>
      </c>
      <c r="AM62" s="149">
        <f>(AG62*1000)/$AI62</f>
        <v>0</v>
      </c>
      <c r="AN62" s="150">
        <f>(AH62*1000)/$AI62</f>
        <v>0</v>
      </c>
      <c r="AO62" s="107">
        <f t="shared" si="39"/>
        <v>1550</v>
      </c>
      <c r="AP62" s="108">
        <f t="shared" si="40"/>
        <v>19160</v>
      </c>
      <c r="AQ62" s="108">
        <f t="shared" si="41"/>
        <v>36239</v>
      </c>
      <c r="AR62" s="108">
        <f t="shared" si="42"/>
        <v>1560</v>
      </c>
      <c r="AS62" s="109">
        <f t="shared" si="43"/>
        <v>3640</v>
      </c>
      <c r="AT62" s="107">
        <f t="shared" si="35"/>
        <v>0</v>
      </c>
      <c r="AU62" s="108">
        <f t="shared" si="25"/>
        <v>7744.6736842105292</v>
      </c>
      <c r="AV62" s="108">
        <f t="shared" si="26"/>
        <v>0</v>
      </c>
      <c r="AW62" s="108">
        <f t="shared" si="36"/>
        <v>0</v>
      </c>
      <c r="AX62" s="109">
        <f t="shared" si="37"/>
        <v>0</v>
      </c>
      <c r="AY62" s="107">
        <f t="shared" si="38"/>
        <v>7744.6736842105292</v>
      </c>
      <c r="AZ62" s="108">
        <v>1000</v>
      </c>
      <c r="BA62" s="108">
        <f>AY62/AI62</f>
        <v>16.77530900621986</v>
      </c>
      <c r="BB62" s="102"/>
      <c r="BC62" s="103"/>
    </row>
    <row r="63" spans="1:55" ht="14.95" thickBot="1" x14ac:dyDescent="0.3">
      <c r="A63" s="151">
        <f>+A62</f>
        <v>46043</v>
      </c>
      <c r="B63" s="210">
        <f>DAY(Tabla2[[#This Row],[FECHA]])</f>
        <v>21</v>
      </c>
      <c r="C63" s="130" t="s">
        <v>29</v>
      </c>
      <c r="D63" s="131"/>
      <c r="E63" s="132"/>
      <c r="F63" s="133"/>
      <c r="G63" s="133"/>
      <c r="H63" s="132"/>
      <c r="I63" s="290">
        <f>((Tabla2[[#This Row],[VOLUMEN ENVIADO A RO (m3)]]/80)/3)*60</f>
        <v>68.612750000000005</v>
      </c>
      <c r="J63" s="279">
        <v>0</v>
      </c>
      <c r="K63" s="280">
        <v>19</v>
      </c>
      <c r="L63" s="281">
        <v>3</v>
      </c>
      <c r="M63" s="280">
        <v>0</v>
      </c>
      <c r="N63" s="281">
        <v>0</v>
      </c>
      <c r="O63" s="192">
        <f t="shared" si="0"/>
        <v>0</v>
      </c>
      <c r="P63" s="193">
        <f t="shared" si="27"/>
        <v>166.66666666666669</v>
      </c>
      <c r="Q63" s="193">
        <f t="shared" si="2"/>
        <v>26.315789473684212</v>
      </c>
      <c r="R63" s="193">
        <f t="shared" si="28"/>
        <v>0</v>
      </c>
      <c r="S63" s="193">
        <f t="shared" si="29"/>
        <v>0</v>
      </c>
      <c r="T63" s="188">
        <f t="shared" si="15"/>
        <v>0</v>
      </c>
      <c r="U63" s="189">
        <f t="shared" si="16"/>
        <v>0</v>
      </c>
      <c r="V63" s="189">
        <f t="shared" si="17"/>
        <v>0</v>
      </c>
      <c r="W63" s="189">
        <f t="shared" si="18"/>
        <v>0</v>
      </c>
      <c r="X63" s="190">
        <f t="shared" si="19"/>
        <v>0</v>
      </c>
      <c r="Y63" s="195">
        <v>1.18</v>
      </c>
      <c r="Z63" s="195">
        <v>1.28</v>
      </c>
      <c r="AA63" s="195">
        <v>1.2</v>
      </c>
      <c r="AB63" s="195">
        <v>1.53</v>
      </c>
      <c r="AC63" s="195">
        <v>1.2</v>
      </c>
      <c r="AD63" s="188">
        <f t="shared" si="30"/>
        <v>0</v>
      </c>
      <c r="AE63" s="189">
        <f t="shared" si="31"/>
        <v>0</v>
      </c>
      <c r="AF63" s="189">
        <f t="shared" si="32"/>
        <v>0</v>
      </c>
      <c r="AG63" s="189">
        <f t="shared" si="33"/>
        <v>0</v>
      </c>
      <c r="AH63" s="190">
        <f t="shared" si="34"/>
        <v>0</v>
      </c>
      <c r="AI63" s="310">
        <v>274.45100000000002</v>
      </c>
      <c r="AJ63" s="126" t="e">
        <f>(AD63*1000)/#REF!</f>
        <v>#REF!</v>
      </c>
      <c r="AK63" s="127" t="e">
        <f>(AE63*1000)/#REF!</f>
        <v>#REF!</v>
      </c>
      <c r="AL63" s="127" t="e">
        <f>(AF63*1000)/#REF!</f>
        <v>#REF!</v>
      </c>
      <c r="AM63" s="127" t="e">
        <f>(AG63*1000)/#REF!</f>
        <v>#REF!</v>
      </c>
      <c r="AN63" s="128" t="e">
        <f>(AH63*1000)/#REF!</f>
        <v>#REF!</v>
      </c>
      <c r="AO63" s="107">
        <f t="shared" si="39"/>
        <v>1550</v>
      </c>
      <c r="AP63" s="108">
        <f t="shared" si="40"/>
        <v>19160</v>
      </c>
      <c r="AQ63" s="108">
        <f t="shared" si="41"/>
        <v>36239</v>
      </c>
      <c r="AR63" s="108">
        <f t="shared" si="42"/>
        <v>1560</v>
      </c>
      <c r="AS63" s="109">
        <f t="shared" si="43"/>
        <v>3640</v>
      </c>
      <c r="AT63" s="107">
        <f t="shared" si="35"/>
        <v>0</v>
      </c>
      <c r="AU63" s="108">
        <f t="shared" si="25"/>
        <v>0</v>
      </c>
      <c r="AV63" s="108">
        <f t="shared" si="26"/>
        <v>0</v>
      </c>
      <c r="AW63" s="108">
        <f t="shared" si="36"/>
        <v>0</v>
      </c>
      <c r="AX63" s="109">
        <f t="shared" si="37"/>
        <v>0</v>
      </c>
      <c r="AY63" s="107">
        <f t="shared" si="38"/>
        <v>0</v>
      </c>
      <c r="AZ63" s="108">
        <v>1000</v>
      </c>
      <c r="BA63" s="108" t="e">
        <f>AY63/#REF!</f>
        <v>#REF!</v>
      </c>
      <c r="BB63" s="102"/>
      <c r="BC63" s="103"/>
    </row>
    <row r="64" spans="1:55" ht="14.95" thickBot="1" x14ac:dyDescent="0.3">
      <c r="A64" s="152">
        <f>+A63</f>
        <v>46043</v>
      </c>
      <c r="B64" s="211">
        <f>DAY(Tabla2[[#This Row],[FECHA]])</f>
        <v>21</v>
      </c>
      <c r="C64" s="135" t="s">
        <v>30</v>
      </c>
      <c r="D64" s="136"/>
      <c r="E64" s="137"/>
      <c r="F64" s="138"/>
      <c r="G64" s="139"/>
      <c r="H64" s="140"/>
      <c r="I64" s="290">
        <f>((Tabla2[[#This Row],[VOLUMEN ENVIADO A RO (m3)]]/80)/3)*60</f>
        <v>42.873250000000006</v>
      </c>
      <c r="J64" s="282">
        <v>0</v>
      </c>
      <c r="K64" s="283">
        <v>19</v>
      </c>
      <c r="L64" s="284">
        <v>3</v>
      </c>
      <c r="M64" s="283">
        <v>0</v>
      </c>
      <c r="N64" s="284">
        <v>0</v>
      </c>
      <c r="O64" s="192">
        <f t="shared" si="0"/>
        <v>0</v>
      </c>
      <c r="P64" s="197">
        <f t="shared" si="27"/>
        <v>166.66666666666669</v>
      </c>
      <c r="Q64" s="197">
        <f t="shared" si="2"/>
        <v>26.315789473684212</v>
      </c>
      <c r="R64" s="197">
        <f t="shared" si="28"/>
        <v>0</v>
      </c>
      <c r="S64" s="197">
        <f t="shared" si="29"/>
        <v>0</v>
      </c>
      <c r="T64" s="188">
        <f t="shared" si="15"/>
        <v>0</v>
      </c>
      <c r="U64" s="189">
        <f t="shared" si="16"/>
        <v>0</v>
      </c>
      <c r="V64" s="189">
        <f t="shared" si="17"/>
        <v>0</v>
      </c>
      <c r="W64" s="189">
        <f t="shared" si="18"/>
        <v>0</v>
      </c>
      <c r="X64" s="190">
        <f t="shared" si="19"/>
        <v>0</v>
      </c>
      <c r="Y64" s="195">
        <v>1.18</v>
      </c>
      <c r="Z64" s="195">
        <v>1.28</v>
      </c>
      <c r="AA64" s="195">
        <v>1.2</v>
      </c>
      <c r="AB64" s="195">
        <v>1.53</v>
      </c>
      <c r="AC64" s="195">
        <v>1.2</v>
      </c>
      <c r="AD64" s="199">
        <f t="shared" si="30"/>
        <v>0</v>
      </c>
      <c r="AE64" s="200">
        <f t="shared" si="31"/>
        <v>0</v>
      </c>
      <c r="AF64" s="200">
        <f t="shared" si="32"/>
        <v>0</v>
      </c>
      <c r="AG64" s="200">
        <f t="shared" si="33"/>
        <v>0</v>
      </c>
      <c r="AH64" s="201">
        <f t="shared" si="34"/>
        <v>0</v>
      </c>
      <c r="AI64" s="311">
        <v>171.49299999999999</v>
      </c>
      <c r="AJ64" s="141">
        <f t="shared" ref="AJ64:AN65" si="44">(AD64*1000)/$AI64</f>
        <v>0</v>
      </c>
      <c r="AK64" s="142">
        <f t="shared" si="44"/>
        <v>0</v>
      </c>
      <c r="AL64" s="142">
        <f t="shared" si="44"/>
        <v>0</v>
      </c>
      <c r="AM64" s="142">
        <f t="shared" si="44"/>
        <v>0</v>
      </c>
      <c r="AN64" s="143">
        <f t="shared" si="44"/>
        <v>0</v>
      </c>
      <c r="AO64" s="107">
        <f t="shared" si="39"/>
        <v>1550</v>
      </c>
      <c r="AP64" s="108">
        <f t="shared" si="40"/>
        <v>19160</v>
      </c>
      <c r="AQ64" s="108">
        <f t="shared" si="41"/>
        <v>36239</v>
      </c>
      <c r="AR64" s="108">
        <f t="shared" si="42"/>
        <v>1560</v>
      </c>
      <c r="AS64" s="109">
        <f t="shared" si="43"/>
        <v>3640</v>
      </c>
      <c r="AT64" s="110">
        <f t="shared" si="35"/>
        <v>0</v>
      </c>
      <c r="AU64" s="111">
        <f t="shared" si="25"/>
        <v>0</v>
      </c>
      <c r="AV64" s="111">
        <f t="shared" si="26"/>
        <v>0</v>
      </c>
      <c r="AW64" s="111">
        <f t="shared" si="36"/>
        <v>0</v>
      </c>
      <c r="AX64" s="112">
        <f t="shared" si="37"/>
        <v>0</v>
      </c>
      <c r="AY64" s="110">
        <f t="shared" si="38"/>
        <v>0</v>
      </c>
      <c r="AZ64" s="111">
        <v>1000</v>
      </c>
      <c r="BA64" s="111">
        <f>AY64/AI64</f>
        <v>0</v>
      </c>
      <c r="BB64" s="101"/>
      <c r="BC64" s="104"/>
    </row>
    <row r="65" spans="1:55" ht="14.95" thickBot="1" x14ac:dyDescent="0.3">
      <c r="A65" s="144">
        <f>+A64+1</f>
        <v>46044</v>
      </c>
      <c r="B65" s="212">
        <f>DAY(Tabla2[[#This Row],[FECHA]])</f>
        <v>22</v>
      </c>
      <c r="C65" s="156" t="s">
        <v>28</v>
      </c>
      <c r="D65" s="145"/>
      <c r="E65" s="146"/>
      <c r="F65" s="147"/>
      <c r="G65" s="147"/>
      <c r="H65" s="146"/>
      <c r="I65" s="290">
        <f>((Tabla2[[#This Row],[VOLUMEN ENVIADO A RO (m3)]]/80)/3)*60</f>
        <v>62.895499999999998</v>
      </c>
      <c r="J65" s="276">
        <v>0</v>
      </c>
      <c r="K65" s="277">
        <v>19</v>
      </c>
      <c r="L65" s="278">
        <v>3</v>
      </c>
      <c r="M65" s="277">
        <v>0</v>
      </c>
      <c r="N65" s="278">
        <v>0</v>
      </c>
      <c r="O65" s="192">
        <f t="shared" si="0"/>
        <v>0</v>
      </c>
      <c r="P65" s="203">
        <f t="shared" si="27"/>
        <v>166.66666666666669</v>
      </c>
      <c r="Q65" s="186">
        <f t="shared" si="2"/>
        <v>26.315789473684212</v>
      </c>
      <c r="R65" s="203">
        <f t="shared" si="28"/>
        <v>0</v>
      </c>
      <c r="S65" s="203">
        <f t="shared" si="29"/>
        <v>0</v>
      </c>
      <c r="T65" s="188">
        <f t="shared" si="15"/>
        <v>0</v>
      </c>
      <c r="U65" s="189">
        <f t="shared" si="16"/>
        <v>0</v>
      </c>
      <c r="V65" s="189">
        <f t="shared" si="17"/>
        <v>0</v>
      </c>
      <c r="W65" s="189">
        <f t="shared" si="18"/>
        <v>0</v>
      </c>
      <c r="X65" s="190">
        <f t="shared" si="19"/>
        <v>0</v>
      </c>
      <c r="Y65" s="195">
        <v>1.18</v>
      </c>
      <c r="Z65" s="195">
        <v>1.28</v>
      </c>
      <c r="AA65" s="195">
        <v>1.2</v>
      </c>
      <c r="AB65" s="195">
        <v>1.53</v>
      </c>
      <c r="AC65" s="195">
        <v>1.2</v>
      </c>
      <c r="AD65" s="204">
        <f t="shared" si="30"/>
        <v>0</v>
      </c>
      <c r="AE65" s="205">
        <f t="shared" si="31"/>
        <v>0</v>
      </c>
      <c r="AF65" s="205">
        <f t="shared" si="32"/>
        <v>0</v>
      </c>
      <c r="AG65" s="205">
        <f t="shared" si="33"/>
        <v>0</v>
      </c>
      <c r="AH65" s="206">
        <f t="shared" si="34"/>
        <v>0</v>
      </c>
      <c r="AI65" s="309">
        <v>251.58199999999999</v>
      </c>
      <c r="AJ65" s="148">
        <f t="shared" si="44"/>
        <v>0</v>
      </c>
      <c r="AK65" s="149">
        <f t="shared" si="44"/>
        <v>0</v>
      </c>
      <c r="AL65" s="149">
        <f t="shared" si="44"/>
        <v>0</v>
      </c>
      <c r="AM65" s="149">
        <f t="shared" si="44"/>
        <v>0</v>
      </c>
      <c r="AN65" s="150">
        <f t="shared" si="44"/>
        <v>0</v>
      </c>
      <c r="AO65" s="107">
        <f t="shared" si="39"/>
        <v>1550</v>
      </c>
      <c r="AP65" s="108">
        <f t="shared" si="40"/>
        <v>19160</v>
      </c>
      <c r="AQ65" s="108">
        <f t="shared" si="41"/>
        <v>36239</v>
      </c>
      <c r="AR65" s="108">
        <f t="shared" si="42"/>
        <v>1560</v>
      </c>
      <c r="AS65" s="109">
        <f t="shared" si="43"/>
        <v>3640</v>
      </c>
      <c r="AT65" s="107">
        <f t="shared" si="35"/>
        <v>0</v>
      </c>
      <c r="AU65" s="108">
        <f t="shared" si="25"/>
        <v>0</v>
      </c>
      <c r="AV65" s="108">
        <f t="shared" si="26"/>
        <v>0</v>
      </c>
      <c r="AW65" s="108">
        <f t="shared" si="36"/>
        <v>0</v>
      </c>
      <c r="AX65" s="109">
        <f t="shared" si="37"/>
        <v>0</v>
      </c>
      <c r="AY65" s="107">
        <f t="shared" si="38"/>
        <v>0</v>
      </c>
      <c r="AZ65" s="108">
        <v>1000</v>
      </c>
      <c r="BA65" s="108">
        <f>AY65/AI65</f>
        <v>0</v>
      </c>
      <c r="BB65" s="102"/>
      <c r="BC65" s="103"/>
    </row>
    <row r="66" spans="1:55" ht="14.95" thickBot="1" x14ac:dyDescent="0.3">
      <c r="A66" s="151">
        <f>+A65</f>
        <v>46044</v>
      </c>
      <c r="B66" s="210">
        <f>DAY(Tabla2[[#This Row],[FECHA]])</f>
        <v>22</v>
      </c>
      <c r="C66" s="130" t="s">
        <v>29</v>
      </c>
      <c r="D66" s="131"/>
      <c r="E66" s="132"/>
      <c r="F66" s="133"/>
      <c r="G66" s="133"/>
      <c r="H66" s="132"/>
      <c r="I66" s="290">
        <f>((Tabla2[[#This Row],[VOLUMEN ENVIADO A RO (m3)]]/80)/3)*60</f>
        <v>91.029499999999999</v>
      </c>
      <c r="J66" s="279">
        <v>0</v>
      </c>
      <c r="K66" s="280">
        <v>19</v>
      </c>
      <c r="L66" s="281">
        <v>3</v>
      </c>
      <c r="M66" s="280">
        <v>0</v>
      </c>
      <c r="N66" s="281">
        <v>0</v>
      </c>
      <c r="O66" s="192">
        <f t="shared" ref="O66:O86" si="45">J66*(1000/114)</f>
        <v>0</v>
      </c>
      <c r="P66" s="193">
        <f t="shared" ref="P66:Q95" si="46">K66*(1000/114)</f>
        <v>166.66666666666669</v>
      </c>
      <c r="Q66" s="193">
        <f t="shared" si="46"/>
        <v>26.315789473684212</v>
      </c>
      <c r="R66" s="193">
        <f t="shared" ref="R66:R95" si="47">M66*(1000/114)</f>
        <v>0</v>
      </c>
      <c r="S66" s="193">
        <f t="shared" ref="S66:S95" si="48">N66*(1000/114)</f>
        <v>0</v>
      </c>
      <c r="T66" s="188">
        <f t="shared" si="15"/>
        <v>0</v>
      </c>
      <c r="U66" s="189">
        <f t="shared" si="16"/>
        <v>0</v>
      </c>
      <c r="V66" s="189">
        <f t="shared" si="17"/>
        <v>0</v>
      </c>
      <c r="W66" s="189">
        <f t="shared" si="18"/>
        <v>0</v>
      </c>
      <c r="X66" s="190">
        <f t="shared" si="19"/>
        <v>0</v>
      </c>
      <c r="Y66" s="195">
        <v>1.18</v>
      </c>
      <c r="Z66" s="195">
        <v>1.28</v>
      </c>
      <c r="AA66" s="195">
        <v>1.2</v>
      </c>
      <c r="AB66" s="195">
        <v>1.53</v>
      </c>
      <c r="AC66" s="195">
        <v>1.2</v>
      </c>
      <c r="AD66" s="188">
        <f t="shared" ref="AD66:AD95" si="49">T66*Y66</f>
        <v>0</v>
      </c>
      <c r="AE66" s="189">
        <f t="shared" ref="AE66:AE95" si="50">U66*Z66</f>
        <v>0</v>
      </c>
      <c r="AF66" s="189">
        <f t="shared" ref="AF66:AF95" si="51">V66*AA66</f>
        <v>0</v>
      </c>
      <c r="AG66" s="189">
        <f t="shared" ref="AG66:AG95" si="52">W66*AB66</f>
        <v>0</v>
      </c>
      <c r="AH66" s="190">
        <f t="shared" ref="AH66:AH95" si="53">X66*AC66</f>
        <v>0</v>
      </c>
      <c r="AI66" s="310">
        <v>364.11799999999999</v>
      </c>
      <c r="AJ66" s="126">
        <f t="shared" ref="AJ66:AJ95" si="54">(AD66*1000)/$AI66</f>
        <v>0</v>
      </c>
      <c r="AK66" s="127">
        <f t="shared" ref="AK66:AK95" si="55">(AE66*1000)/$AI66</f>
        <v>0</v>
      </c>
      <c r="AL66" s="127">
        <f t="shared" ref="AL66:AL95" si="56">(AF66*1000)/$AI66</f>
        <v>0</v>
      </c>
      <c r="AM66" s="127">
        <f t="shared" ref="AM66:AM95" si="57">(AG66*1000)/$AI66</f>
        <v>0</v>
      </c>
      <c r="AN66" s="128">
        <f t="shared" ref="AN66:AN95" si="58">(AH66*1000)/$AI66</f>
        <v>0</v>
      </c>
      <c r="AO66" s="107">
        <f t="shared" si="39"/>
        <v>1550</v>
      </c>
      <c r="AP66" s="108">
        <f t="shared" si="40"/>
        <v>19160</v>
      </c>
      <c r="AQ66" s="108">
        <f t="shared" si="41"/>
        <v>36239</v>
      </c>
      <c r="AR66" s="108">
        <f t="shared" si="42"/>
        <v>1560</v>
      </c>
      <c r="AS66" s="109">
        <f t="shared" si="43"/>
        <v>3640</v>
      </c>
      <c r="AT66" s="107">
        <f t="shared" ref="AT66:AT95" si="59">AO66*(AD66*0.8)</f>
        <v>0</v>
      </c>
      <c r="AU66" s="108">
        <f t="shared" si="25"/>
        <v>0</v>
      </c>
      <c r="AV66" s="108">
        <f t="shared" si="26"/>
        <v>0</v>
      </c>
      <c r="AW66" s="108">
        <f t="shared" ref="AW66:AW95" si="60">AR66*AG66</f>
        <v>0</v>
      </c>
      <c r="AX66" s="109">
        <f t="shared" ref="AX66:AX95" si="61">AS66*(AH66*0.025)</f>
        <v>0</v>
      </c>
      <c r="AY66" s="107">
        <f t="shared" si="38"/>
        <v>0</v>
      </c>
      <c r="AZ66" s="108">
        <v>1000</v>
      </c>
      <c r="BA66" s="108">
        <f>AY66/AI66</f>
        <v>0</v>
      </c>
      <c r="BB66" s="102"/>
      <c r="BC66" s="103"/>
    </row>
    <row r="67" spans="1:55" ht="14.95" thickBot="1" x14ac:dyDescent="0.3">
      <c r="A67" s="152">
        <f>+A66</f>
        <v>46044</v>
      </c>
      <c r="B67" s="211">
        <f>DAY(Tabla2[[#This Row],[FECHA]])</f>
        <v>22</v>
      </c>
      <c r="C67" s="135" t="s">
        <v>30</v>
      </c>
      <c r="D67" s="136"/>
      <c r="E67" s="137"/>
      <c r="F67" s="138"/>
      <c r="G67" s="139"/>
      <c r="H67" s="140"/>
      <c r="I67" s="290">
        <f>((Tabla2[[#This Row],[VOLUMEN ENVIADO A RO (m3)]]/80)/3)*60</f>
        <v>65.81525000000002</v>
      </c>
      <c r="J67" s="282">
        <v>0</v>
      </c>
      <c r="K67" s="283">
        <v>19</v>
      </c>
      <c r="L67" s="284">
        <v>3</v>
      </c>
      <c r="M67" s="283">
        <v>0</v>
      </c>
      <c r="N67" s="284">
        <v>0</v>
      </c>
      <c r="O67" s="192">
        <f t="shared" si="45"/>
        <v>0</v>
      </c>
      <c r="P67" s="197">
        <f t="shared" si="46"/>
        <v>166.66666666666669</v>
      </c>
      <c r="Q67" s="197">
        <f t="shared" si="46"/>
        <v>26.315789473684212</v>
      </c>
      <c r="R67" s="197">
        <f t="shared" si="47"/>
        <v>0</v>
      </c>
      <c r="S67" s="197">
        <f t="shared" si="48"/>
        <v>0</v>
      </c>
      <c r="T67" s="188">
        <f t="shared" ref="T67:T94" si="62">O67-O68</f>
        <v>0</v>
      </c>
      <c r="U67" s="189">
        <f t="shared" ref="U67:U94" si="63">P67-P68</f>
        <v>0</v>
      </c>
      <c r="V67" s="189">
        <f t="shared" ref="V67:V94" si="64">Q67-Q68</f>
        <v>0</v>
      </c>
      <c r="W67" s="189">
        <f t="shared" ref="W67:W94" si="65">R67-R68</f>
        <v>0</v>
      </c>
      <c r="X67" s="190">
        <f t="shared" ref="X67:X94" si="66">S67-S68</f>
        <v>0</v>
      </c>
      <c r="Y67" s="195">
        <v>1.18</v>
      </c>
      <c r="Z67" s="195">
        <v>1.28</v>
      </c>
      <c r="AA67" s="195">
        <v>1.2</v>
      </c>
      <c r="AB67" s="195">
        <v>1.53</v>
      </c>
      <c r="AC67" s="195">
        <v>1.2</v>
      </c>
      <c r="AD67" s="199">
        <f t="shared" si="49"/>
        <v>0</v>
      </c>
      <c r="AE67" s="200">
        <f t="shared" si="50"/>
        <v>0</v>
      </c>
      <c r="AF67" s="200">
        <f t="shared" si="51"/>
        <v>0</v>
      </c>
      <c r="AG67" s="200">
        <f t="shared" si="52"/>
        <v>0</v>
      </c>
      <c r="AH67" s="201">
        <f t="shared" si="53"/>
        <v>0</v>
      </c>
      <c r="AI67" s="311">
        <v>263.26100000000002</v>
      </c>
      <c r="AJ67" s="141">
        <f t="shared" si="54"/>
        <v>0</v>
      </c>
      <c r="AK67" s="142">
        <f t="shared" si="55"/>
        <v>0</v>
      </c>
      <c r="AL67" s="142">
        <f t="shared" si="56"/>
        <v>0</v>
      </c>
      <c r="AM67" s="142">
        <f t="shared" si="57"/>
        <v>0</v>
      </c>
      <c r="AN67" s="143">
        <f t="shared" si="58"/>
        <v>0</v>
      </c>
      <c r="AO67" s="107">
        <f t="shared" ref="AO67:AO95" si="67">AO66</f>
        <v>1550</v>
      </c>
      <c r="AP67" s="108">
        <f t="shared" ref="AP67:AP95" si="68">AP66</f>
        <v>19160</v>
      </c>
      <c r="AQ67" s="108">
        <f t="shared" ref="AQ67:AQ95" si="69">AQ66</f>
        <v>36239</v>
      </c>
      <c r="AR67" s="108">
        <f t="shared" ref="AR67:AR95" si="70">AR66</f>
        <v>1560</v>
      </c>
      <c r="AS67" s="109">
        <f t="shared" ref="AS67:AS95" si="71">AS66</f>
        <v>3640</v>
      </c>
      <c r="AT67" s="110">
        <f t="shared" si="59"/>
        <v>0</v>
      </c>
      <c r="AU67" s="111">
        <f t="shared" ref="AU67:AU95" si="72">AP67*(AE67*0.012)</f>
        <v>0</v>
      </c>
      <c r="AV67" s="111">
        <f t="shared" ref="AV67:AV95" si="73">AQ67*(AF67*0.044)</f>
        <v>0</v>
      </c>
      <c r="AW67" s="111">
        <f t="shared" si="60"/>
        <v>0</v>
      </c>
      <c r="AX67" s="112">
        <f t="shared" si="61"/>
        <v>0</v>
      </c>
      <c r="AY67" s="110">
        <f t="shared" si="38"/>
        <v>0</v>
      </c>
      <c r="AZ67" s="111">
        <v>1000</v>
      </c>
      <c r="BA67" s="111">
        <f t="shared" ref="BA67:BA95" si="74">AY67/AI67</f>
        <v>0</v>
      </c>
      <c r="BB67" s="101"/>
      <c r="BC67" s="104"/>
    </row>
    <row r="68" spans="1:55" ht="14.95" thickBot="1" x14ac:dyDescent="0.3">
      <c r="A68" s="144">
        <f>+A67+1</f>
        <v>46045</v>
      </c>
      <c r="B68" s="212">
        <f>DAY(Tabla2[[#This Row],[FECHA]])</f>
        <v>23</v>
      </c>
      <c r="C68" s="156" t="s">
        <v>28</v>
      </c>
      <c r="D68" s="145"/>
      <c r="E68" s="146"/>
      <c r="F68" s="147"/>
      <c r="G68" s="147"/>
      <c r="H68" s="146"/>
      <c r="I68" s="290">
        <f>((Tabla2[[#This Row],[VOLUMEN ENVIADO A RO (m3)]]/80)/3)*60</f>
        <v>27.495249999999999</v>
      </c>
      <c r="J68" s="276">
        <v>0</v>
      </c>
      <c r="K68" s="277">
        <v>19</v>
      </c>
      <c r="L68" s="278">
        <v>3</v>
      </c>
      <c r="M68" s="277">
        <v>0</v>
      </c>
      <c r="N68" s="278">
        <v>0</v>
      </c>
      <c r="O68" s="192">
        <f t="shared" si="45"/>
        <v>0</v>
      </c>
      <c r="P68" s="203">
        <f t="shared" si="46"/>
        <v>166.66666666666669</v>
      </c>
      <c r="Q68" s="186">
        <f t="shared" si="46"/>
        <v>26.315789473684212</v>
      </c>
      <c r="R68" s="203">
        <f t="shared" si="47"/>
        <v>0</v>
      </c>
      <c r="S68" s="203">
        <f t="shared" si="48"/>
        <v>0</v>
      </c>
      <c r="T68" s="188">
        <f t="shared" si="62"/>
        <v>0</v>
      </c>
      <c r="U68" s="189">
        <f t="shared" si="63"/>
        <v>0</v>
      </c>
      <c r="V68" s="189">
        <f t="shared" si="64"/>
        <v>0</v>
      </c>
      <c r="W68" s="189">
        <f t="shared" si="65"/>
        <v>0</v>
      </c>
      <c r="X68" s="190">
        <f t="shared" si="66"/>
        <v>0</v>
      </c>
      <c r="Y68" s="195">
        <v>1.18</v>
      </c>
      <c r="Z68" s="195">
        <v>1.28</v>
      </c>
      <c r="AA68" s="195">
        <v>1.2</v>
      </c>
      <c r="AB68" s="195">
        <v>1.53</v>
      </c>
      <c r="AC68" s="195">
        <v>1.2</v>
      </c>
      <c r="AD68" s="204">
        <f t="shared" si="49"/>
        <v>0</v>
      </c>
      <c r="AE68" s="205">
        <f t="shared" si="50"/>
        <v>0</v>
      </c>
      <c r="AF68" s="205">
        <f t="shared" si="51"/>
        <v>0</v>
      </c>
      <c r="AG68" s="205">
        <f t="shared" si="52"/>
        <v>0</v>
      </c>
      <c r="AH68" s="206">
        <f t="shared" si="53"/>
        <v>0</v>
      </c>
      <c r="AI68" s="309">
        <v>109.98099999999999</v>
      </c>
      <c r="AJ68" s="148">
        <f t="shared" si="54"/>
        <v>0</v>
      </c>
      <c r="AK68" s="149">
        <f t="shared" si="55"/>
        <v>0</v>
      </c>
      <c r="AL68" s="149">
        <f t="shared" si="56"/>
        <v>0</v>
      </c>
      <c r="AM68" s="149">
        <f t="shared" si="57"/>
        <v>0</v>
      </c>
      <c r="AN68" s="150">
        <f t="shared" si="58"/>
        <v>0</v>
      </c>
      <c r="AO68" s="107">
        <f t="shared" si="67"/>
        <v>1550</v>
      </c>
      <c r="AP68" s="108">
        <f t="shared" si="68"/>
        <v>19160</v>
      </c>
      <c r="AQ68" s="108">
        <f t="shared" si="69"/>
        <v>36239</v>
      </c>
      <c r="AR68" s="108">
        <f t="shared" si="70"/>
        <v>1560</v>
      </c>
      <c r="AS68" s="109">
        <f t="shared" si="71"/>
        <v>3640</v>
      </c>
      <c r="AT68" s="107">
        <f t="shared" si="59"/>
        <v>0</v>
      </c>
      <c r="AU68" s="108">
        <f t="shared" si="72"/>
        <v>0</v>
      </c>
      <c r="AV68" s="108">
        <f t="shared" si="73"/>
        <v>0</v>
      </c>
      <c r="AW68" s="108">
        <f t="shared" si="60"/>
        <v>0</v>
      </c>
      <c r="AX68" s="109">
        <f t="shared" si="61"/>
        <v>0</v>
      </c>
      <c r="AY68" s="107">
        <f t="shared" si="38"/>
        <v>0</v>
      </c>
      <c r="AZ68" s="108">
        <v>1000</v>
      </c>
      <c r="BA68" s="108">
        <f t="shared" si="74"/>
        <v>0</v>
      </c>
      <c r="BB68" s="102"/>
      <c r="BC68" s="103"/>
    </row>
    <row r="69" spans="1:55" ht="14.95" thickBot="1" x14ac:dyDescent="0.3">
      <c r="A69" s="151">
        <f>+A68</f>
        <v>46045</v>
      </c>
      <c r="B69" s="210">
        <f>DAY(Tabla2[[#This Row],[FECHA]])</f>
        <v>23</v>
      </c>
      <c r="C69" s="130" t="s">
        <v>29</v>
      </c>
      <c r="D69" s="131"/>
      <c r="E69" s="132"/>
      <c r="F69" s="133"/>
      <c r="G69" s="133"/>
      <c r="H69" s="132"/>
      <c r="I69" s="290">
        <f>((Tabla2[[#This Row],[VOLUMEN ENVIADO A RO (m3)]]/80)/3)*60</f>
        <v>15.653999999999998</v>
      </c>
      <c r="J69" s="279">
        <v>0</v>
      </c>
      <c r="K69" s="280">
        <v>19</v>
      </c>
      <c r="L69" s="281">
        <v>3</v>
      </c>
      <c r="M69" s="280">
        <v>0</v>
      </c>
      <c r="N69" s="281">
        <v>0</v>
      </c>
      <c r="O69" s="192">
        <f t="shared" si="45"/>
        <v>0</v>
      </c>
      <c r="P69" s="193">
        <f t="shared" si="46"/>
        <v>166.66666666666669</v>
      </c>
      <c r="Q69" s="193">
        <f t="shared" si="46"/>
        <v>26.315789473684212</v>
      </c>
      <c r="R69" s="193">
        <f t="shared" si="47"/>
        <v>0</v>
      </c>
      <c r="S69" s="193">
        <f t="shared" si="48"/>
        <v>0</v>
      </c>
      <c r="T69" s="188">
        <f t="shared" si="62"/>
        <v>0</v>
      </c>
      <c r="U69" s="189">
        <f t="shared" si="63"/>
        <v>0</v>
      </c>
      <c r="V69" s="189">
        <f t="shared" si="64"/>
        <v>0</v>
      </c>
      <c r="W69" s="189">
        <f t="shared" si="65"/>
        <v>0</v>
      </c>
      <c r="X69" s="190">
        <f t="shared" si="66"/>
        <v>0</v>
      </c>
      <c r="Y69" s="195">
        <v>1.18</v>
      </c>
      <c r="Z69" s="195">
        <v>1.28</v>
      </c>
      <c r="AA69" s="195">
        <v>1.2</v>
      </c>
      <c r="AB69" s="195">
        <v>1.53</v>
      </c>
      <c r="AC69" s="195">
        <v>1.2</v>
      </c>
      <c r="AD69" s="188">
        <f t="shared" si="49"/>
        <v>0</v>
      </c>
      <c r="AE69" s="189">
        <f t="shared" si="50"/>
        <v>0</v>
      </c>
      <c r="AF69" s="189">
        <f t="shared" si="51"/>
        <v>0</v>
      </c>
      <c r="AG69" s="189">
        <f t="shared" si="52"/>
        <v>0</v>
      </c>
      <c r="AH69" s="190">
        <f t="shared" si="53"/>
        <v>0</v>
      </c>
      <c r="AI69" s="310">
        <v>62.616</v>
      </c>
      <c r="AJ69" s="126">
        <f t="shared" si="54"/>
        <v>0</v>
      </c>
      <c r="AK69" s="127">
        <f t="shared" si="55"/>
        <v>0</v>
      </c>
      <c r="AL69" s="127">
        <f t="shared" si="56"/>
        <v>0</v>
      </c>
      <c r="AM69" s="127">
        <f t="shared" si="57"/>
        <v>0</v>
      </c>
      <c r="AN69" s="128">
        <f t="shared" si="58"/>
        <v>0</v>
      </c>
      <c r="AO69" s="107">
        <f t="shared" si="67"/>
        <v>1550</v>
      </c>
      <c r="AP69" s="108">
        <f t="shared" si="68"/>
        <v>19160</v>
      </c>
      <c r="AQ69" s="108">
        <f t="shared" si="69"/>
        <v>36239</v>
      </c>
      <c r="AR69" s="108">
        <f t="shared" si="70"/>
        <v>1560</v>
      </c>
      <c r="AS69" s="109">
        <f t="shared" si="71"/>
        <v>3640</v>
      </c>
      <c r="AT69" s="107">
        <f t="shared" si="59"/>
        <v>0</v>
      </c>
      <c r="AU69" s="108">
        <f t="shared" si="72"/>
        <v>0</v>
      </c>
      <c r="AV69" s="108">
        <f t="shared" si="73"/>
        <v>0</v>
      </c>
      <c r="AW69" s="108">
        <f t="shared" si="60"/>
        <v>0</v>
      </c>
      <c r="AX69" s="109">
        <f t="shared" si="61"/>
        <v>0</v>
      </c>
      <c r="AY69" s="107">
        <f t="shared" si="38"/>
        <v>0</v>
      </c>
      <c r="AZ69" s="108">
        <v>1000</v>
      </c>
      <c r="BA69" s="108">
        <f t="shared" si="74"/>
        <v>0</v>
      </c>
      <c r="BB69" s="102"/>
      <c r="BC69" s="103"/>
    </row>
    <row r="70" spans="1:55" ht="14.95" thickBot="1" x14ac:dyDescent="0.3">
      <c r="A70" s="152">
        <f>+A69</f>
        <v>46045</v>
      </c>
      <c r="B70" s="211">
        <f>DAY(Tabla2[[#This Row],[FECHA]])</f>
        <v>23</v>
      </c>
      <c r="C70" s="135" t="s">
        <v>30</v>
      </c>
      <c r="D70" s="136"/>
      <c r="E70" s="137"/>
      <c r="F70" s="138"/>
      <c r="G70" s="139"/>
      <c r="H70" s="140"/>
      <c r="I70" s="290">
        <f>((Tabla2[[#This Row],[VOLUMEN ENVIADO A RO (m3)]]/80)/3)*60</f>
        <v>100.9085</v>
      </c>
      <c r="J70" s="282">
        <v>0</v>
      </c>
      <c r="K70" s="283">
        <v>19</v>
      </c>
      <c r="L70" s="284">
        <v>3</v>
      </c>
      <c r="M70" s="283">
        <v>0</v>
      </c>
      <c r="N70" s="284">
        <v>0</v>
      </c>
      <c r="O70" s="192">
        <f t="shared" si="45"/>
        <v>0</v>
      </c>
      <c r="P70" s="197">
        <f t="shared" si="46"/>
        <v>166.66666666666669</v>
      </c>
      <c r="Q70" s="197">
        <f t="shared" si="46"/>
        <v>26.315789473684212</v>
      </c>
      <c r="R70" s="197">
        <f t="shared" si="47"/>
        <v>0</v>
      </c>
      <c r="S70" s="197">
        <f t="shared" si="48"/>
        <v>0</v>
      </c>
      <c r="T70" s="188">
        <f t="shared" si="62"/>
        <v>0</v>
      </c>
      <c r="U70" s="189">
        <f t="shared" si="63"/>
        <v>0</v>
      </c>
      <c r="V70" s="189">
        <f t="shared" si="64"/>
        <v>0</v>
      </c>
      <c r="W70" s="189">
        <f t="shared" si="65"/>
        <v>0</v>
      </c>
      <c r="X70" s="190">
        <f t="shared" si="66"/>
        <v>0</v>
      </c>
      <c r="Y70" s="195">
        <v>1.18</v>
      </c>
      <c r="Z70" s="195">
        <v>1.28</v>
      </c>
      <c r="AA70" s="195">
        <v>1.2</v>
      </c>
      <c r="AB70" s="195">
        <v>1.53</v>
      </c>
      <c r="AC70" s="195">
        <v>1.2</v>
      </c>
      <c r="AD70" s="199">
        <f t="shared" si="49"/>
        <v>0</v>
      </c>
      <c r="AE70" s="200">
        <f t="shared" si="50"/>
        <v>0</v>
      </c>
      <c r="AF70" s="200">
        <f t="shared" si="51"/>
        <v>0</v>
      </c>
      <c r="AG70" s="200">
        <f t="shared" si="52"/>
        <v>0</v>
      </c>
      <c r="AH70" s="201">
        <f t="shared" si="53"/>
        <v>0</v>
      </c>
      <c r="AI70" s="311">
        <v>403.63400000000001</v>
      </c>
      <c r="AJ70" s="141">
        <f t="shared" si="54"/>
        <v>0</v>
      </c>
      <c r="AK70" s="142">
        <f t="shared" si="55"/>
        <v>0</v>
      </c>
      <c r="AL70" s="142">
        <f t="shared" si="56"/>
        <v>0</v>
      </c>
      <c r="AM70" s="142">
        <f t="shared" si="57"/>
        <v>0</v>
      </c>
      <c r="AN70" s="143">
        <f t="shared" si="58"/>
        <v>0</v>
      </c>
      <c r="AO70" s="107">
        <f t="shared" si="67"/>
        <v>1550</v>
      </c>
      <c r="AP70" s="108">
        <f t="shared" si="68"/>
        <v>19160</v>
      </c>
      <c r="AQ70" s="108">
        <f t="shared" si="69"/>
        <v>36239</v>
      </c>
      <c r="AR70" s="108">
        <f t="shared" si="70"/>
        <v>1560</v>
      </c>
      <c r="AS70" s="109">
        <f t="shared" si="71"/>
        <v>3640</v>
      </c>
      <c r="AT70" s="110">
        <f t="shared" si="59"/>
        <v>0</v>
      </c>
      <c r="AU70" s="111">
        <f t="shared" si="72"/>
        <v>0</v>
      </c>
      <c r="AV70" s="111">
        <f t="shared" si="73"/>
        <v>0</v>
      </c>
      <c r="AW70" s="111">
        <f t="shared" si="60"/>
        <v>0</v>
      </c>
      <c r="AX70" s="112">
        <f t="shared" si="61"/>
        <v>0</v>
      </c>
      <c r="AY70" s="110">
        <f t="shared" si="38"/>
        <v>0</v>
      </c>
      <c r="AZ70" s="111">
        <v>1000</v>
      </c>
      <c r="BA70" s="111">
        <f t="shared" si="74"/>
        <v>0</v>
      </c>
      <c r="BB70" s="101"/>
      <c r="BC70" s="104"/>
    </row>
    <row r="71" spans="1:55" ht="14.95" thickBot="1" x14ac:dyDescent="0.3">
      <c r="A71" s="144">
        <f>+A70+1</f>
        <v>46046</v>
      </c>
      <c r="B71" s="212">
        <f>DAY(Tabla2[[#This Row],[FECHA]])</f>
        <v>24</v>
      </c>
      <c r="C71" s="156" t="s">
        <v>28</v>
      </c>
      <c r="D71" s="145"/>
      <c r="E71" s="146"/>
      <c r="F71" s="147"/>
      <c r="G71" s="147"/>
      <c r="H71" s="146"/>
      <c r="I71" s="290">
        <f>((Tabla2[[#This Row],[VOLUMEN ENVIADO A RO (m3)]]/80)/3)*60</f>
        <v>0</v>
      </c>
      <c r="J71" s="276">
        <v>0</v>
      </c>
      <c r="K71" s="277">
        <v>19</v>
      </c>
      <c r="L71" s="278">
        <v>3</v>
      </c>
      <c r="M71" s="277">
        <v>0</v>
      </c>
      <c r="N71" s="278">
        <v>0</v>
      </c>
      <c r="O71" s="192">
        <f t="shared" si="45"/>
        <v>0</v>
      </c>
      <c r="P71" s="203">
        <f t="shared" si="46"/>
        <v>166.66666666666669</v>
      </c>
      <c r="Q71" s="186">
        <f t="shared" si="46"/>
        <v>26.315789473684212</v>
      </c>
      <c r="R71" s="203">
        <f t="shared" si="47"/>
        <v>0</v>
      </c>
      <c r="S71" s="203">
        <f t="shared" si="48"/>
        <v>0</v>
      </c>
      <c r="T71" s="188">
        <f t="shared" si="62"/>
        <v>0</v>
      </c>
      <c r="U71" s="189">
        <f t="shared" si="63"/>
        <v>0</v>
      </c>
      <c r="V71" s="189">
        <f t="shared" si="64"/>
        <v>0</v>
      </c>
      <c r="W71" s="189">
        <f t="shared" si="65"/>
        <v>0</v>
      </c>
      <c r="X71" s="190">
        <f t="shared" si="66"/>
        <v>0</v>
      </c>
      <c r="Y71" s="195">
        <v>1.18</v>
      </c>
      <c r="Z71" s="195">
        <v>1.28</v>
      </c>
      <c r="AA71" s="195">
        <v>1.2</v>
      </c>
      <c r="AB71" s="195">
        <v>1.53</v>
      </c>
      <c r="AC71" s="195">
        <v>1.2</v>
      </c>
      <c r="AD71" s="204">
        <f t="shared" si="49"/>
        <v>0</v>
      </c>
      <c r="AE71" s="205">
        <f t="shared" si="50"/>
        <v>0</v>
      </c>
      <c r="AF71" s="205">
        <f t="shared" si="51"/>
        <v>0</v>
      </c>
      <c r="AG71" s="205">
        <f t="shared" si="52"/>
        <v>0</v>
      </c>
      <c r="AH71" s="206">
        <f t="shared" si="53"/>
        <v>0</v>
      </c>
      <c r="AI71" s="309">
        <v>0</v>
      </c>
      <c r="AJ71" s="148" t="e">
        <f t="shared" si="54"/>
        <v>#DIV/0!</v>
      </c>
      <c r="AK71" s="149" t="e">
        <f t="shared" si="55"/>
        <v>#DIV/0!</v>
      </c>
      <c r="AL71" s="149" t="e">
        <f t="shared" si="56"/>
        <v>#DIV/0!</v>
      </c>
      <c r="AM71" s="149" t="e">
        <f t="shared" si="57"/>
        <v>#DIV/0!</v>
      </c>
      <c r="AN71" s="150" t="e">
        <f t="shared" si="58"/>
        <v>#DIV/0!</v>
      </c>
      <c r="AO71" s="107">
        <f t="shared" si="67"/>
        <v>1550</v>
      </c>
      <c r="AP71" s="108">
        <f t="shared" si="68"/>
        <v>19160</v>
      </c>
      <c r="AQ71" s="108">
        <f t="shared" si="69"/>
        <v>36239</v>
      </c>
      <c r="AR71" s="108">
        <f t="shared" si="70"/>
        <v>1560</v>
      </c>
      <c r="AS71" s="109">
        <f t="shared" si="71"/>
        <v>3640</v>
      </c>
      <c r="AT71" s="107">
        <f t="shared" si="59"/>
        <v>0</v>
      </c>
      <c r="AU71" s="108">
        <f t="shared" si="72"/>
        <v>0</v>
      </c>
      <c r="AV71" s="108">
        <f t="shared" si="73"/>
        <v>0</v>
      </c>
      <c r="AW71" s="108">
        <f t="shared" si="60"/>
        <v>0</v>
      </c>
      <c r="AX71" s="109">
        <f t="shared" si="61"/>
        <v>0</v>
      </c>
      <c r="AY71" s="107">
        <f t="shared" si="38"/>
        <v>0</v>
      </c>
      <c r="AZ71" s="108">
        <v>1000</v>
      </c>
      <c r="BA71" s="108" t="e">
        <f t="shared" si="74"/>
        <v>#DIV/0!</v>
      </c>
      <c r="BB71" s="102"/>
      <c r="BC71" s="103"/>
    </row>
    <row r="72" spans="1:55" ht="14.95" thickBot="1" x14ac:dyDescent="0.3">
      <c r="A72" s="151">
        <f>+A71</f>
        <v>46046</v>
      </c>
      <c r="B72" s="210">
        <f>DAY(Tabla2[[#This Row],[FECHA]])</f>
        <v>24</v>
      </c>
      <c r="C72" s="130" t="s">
        <v>29</v>
      </c>
      <c r="D72" s="131"/>
      <c r="E72" s="132"/>
      <c r="F72" s="133"/>
      <c r="G72" s="133"/>
      <c r="H72" s="132"/>
      <c r="I72" s="290">
        <f>((Tabla2[[#This Row],[VOLUMEN ENVIADO A RO (m3)]]/80)/3)*60</f>
        <v>0</v>
      </c>
      <c r="J72" s="279">
        <v>0</v>
      </c>
      <c r="K72" s="280">
        <v>19</v>
      </c>
      <c r="L72" s="281">
        <v>3</v>
      </c>
      <c r="M72" s="280">
        <v>0</v>
      </c>
      <c r="N72" s="281">
        <v>0</v>
      </c>
      <c r="O72" s="192">
        <f t="shared" si="45"/>
        <v>0</v>
      </c>
      <c r="P72" s="193">
        <f t="shared" si="46"/>
        <v>166.66666666666669</v>
      </c>
      <c r="Q72" s="193">
        <f t="shared" si="46"/>
        <v>26.315789473684212</v>
      </c>
      <c r="R72" s="193">
        <f t="shared" si="47"/>
        <v>0</v>
      </c>
      <c r="S72" s="193">
        <f t="shared" si="48"/>
        <v>0</v>
      </c>
      <c r="T72" s="188">
        <f t="shared" si="62"/>
        <v>0</v>
      </c>
      <c r="U72" s="189">
        <f t="shared" si="63"/>
        <v>0</v>
      </c>
      <c r="V72" s="189">
        <f t="shared" si="64"/>
        <v>0</v>
      </c>
      <c r="W72" s="189">
        <f t="shared" si="65"/>
        <v>0</v>
      </c>
      <c r="X72" s="190">
        <f t="shared" si="66"/>
        <v>0</v>
      </c>
      <c r="Y72" s="195">
        <v>1.18</v>
      </c>
      <c r="Z72" s="195">
        <v>1.28</v>
      </c>
      <c r="AA72" s="195">
        <v>1.2</v>
      </c>
      <c r="AB72" s="195">
        <v>1.53</v>
      </c>
      <c r="AC72" s="195">
        <v>1.2</v>
      </c>
      <c r="AD72" s="188">
        <f t="shared" si="49"/>
        <v>0</v>
      </c>
      <c r="AE72" s="189">
        <f t="shared" si="50"/>
        <v>0</v>
      </c>
      <c r="AF72" s="189">
        <f t="shared" si="51"/>
        <v>0</v>
      </c>
      <c r="AG72" s="189">
        <f t="shared" si="52"/>
        <v>0</v>
      </c>
      <c r="AH72" s="190">
        <f t="shared" si="53"/>
        <v>0</v>
      </c>
      <c r="AI72" s="310">
        <v>0</v>
      </c>
      <c r="AJ72" s="126" t="e">
        <f t="shared" si="54"/>
        <v>#DIV/0!</v>
      </c>
      <c r="AK72" s="127" t="e">
        <f t="shared" si="55"/>
        <v>#DIV/0!</v>
      </c>
      <c r="AL72" s="127" t="e">
        <f t="shared" si="56"/>
        <v>#DIV/0!</v>
      </c>
      <c r="AM72" s="127" t="e">
        <f t="shared" si="57"/>
        <v>#DIV/0!</v>
      </c>
      <c r="AN72" s="128" t="e">
        <f t="shared" si="58"/>
        <v>#DIV/0!</v>
      </c>
      <c r="AO72" s="107">
        <f t="shared" si="67"/>
        <v>1550</v>
      </c>
      <c r="AP72" s="108">
        <f t="shared" si="68"/>
        <v>19160</v>
      </c>
      <c r="AQ72" s="108">
        <f t="shared" si="69"/>
        <v>36239</v>
      </c>
      <c r="AR72" s="108">
        <f t="shared" si="70"/>
        <v>1560</v>
      </c>
      <c r="AS72" s="109">
        <f t="shared" si="71"/>
        <v>3640</v>
      </c>
      <c r="AT72" s="107">
        <f t="shared" si="59"/>
        <v>0</v>
      </c>
      <c r="AU72" s="108">
        <f t="shared" si="72"/>
        <v>0</v>
      </c>
      <c r="AV72" s="108">
        <f t="shared" si="73"/>
        <v>0</v>
      </c>
      <c r="AW72" s="108">
        <f t="shared" si="60"/>
        <v>0</v>
      </c>
      <c r="AX72" s="109">
        <f t="shared" si="61"/>
        <v>0</v>
      </c>
      <c r="AY72" s="107">
        <f t="shared" si="38"/>
        <v>0</v>
      </c>
      <c r="AZ72" s="108">
        <v>1000</v>
      </c>
      <c r="BA72" s="108" t="e">
        <f t="shared" si="74"/>
        <v>#DIV/0!</v>
      </c>
      <c r="BB72" s="102"/>
      <c r="BC72" s="103"/>
    </row>
    <row r="73" spans="1:55" ht="14.95" thickBot="1" x14ac:dyDescent="0.3">
      <c r="A73" s="152">
        <f>+A72</f>
        <v>46046</v>
      </c>
      <c r="B73" s="211">
        <f>DAY(Tabla2[[#This Row],[FECHA]])</f>
        <v>24</v>
      </c>
      <c r="C73" s="135" t="s">
        <v>30</v>
      </c>
      <c r="D73" s="136"/>
      <c r="E73" s="137"/>
      <c r="F73" s="138"/>
      <c r="G73" s="139"/>
      <c r="H73" s="140"/>
      <c r="I73" s="290">
        <f>((Tabla2[[#This Row],[VOLUMEN ENVIADO A RO (m3)]]/80)/3)*60</f>
        <v>0</v>
      </c>
      <c r="J73" s="282">
        <v>0</v>
      </c>
      <c r="K73" s="283">
        <v>19</v>
      </c>
      <c r="L73" s="284">
        <v>3</v>
      </c>
      <c r="M73" s="283">
        <v>0</v>
      </c>
      <c r="N73" s="284">
        <v>0</v>
      </c>
      <c r="O73" s="192">
        <f t="shared" si="45"/>
        <v>0</v>
      </c>
      <c r="P73" s="197">
        <f t="shared" si="46"/>
        <v>166.66666666666669</v>
      </c>
      <c r="Q73" s="197">
        <f t="shared" si="46"/>
        <v>26.315789473684212</v>
      </c>
      <c r="R73" s="197">
        <f t="shared" si="47"/>
        <v>0</v>
      </c>
      <c r="S73" s="197">
        <f t="shared" si="48"/>
        <v>0</v>
      </c>
      <c r="T73" s="188">
        <f t="shared" si="62"/>
        <v>0</v>
      </c>
      <c r="U73" s="189">
        <f t="shared" si="63"/>
        <v>0</v>
      </c>
      <c r="V73" s="189">
        <f t="shared" si="64"/>
        <v>0</v>
      </c>
      <c r="W73" s="189">
        <f t="shared" si="65"/>
        <v>0</v>
      </c>
      <c r="X73" s="190">
        <f t="shared" si="66"/>
        <v>0</v>
      </c>
      <c r="Y73" s="195">
        <v>1.18</v>
      </c>
      <c r="Z73" s="195">
        <v>1.28</v>
      </c>
      <c r="AA73" s="195">
        <v>1.2</v>
      </c>
      <c r="AB73" s="195">
        <v>1.53</v>
      </c>
      <c r="AC73" s="195">
        <v>1.2</v>
      </c>
      <c r="AD73" s="199">
        <f t="shared" si="49"/>
        <v>0</v>
      </c>
      <c r="AE73" s="200">
        <f t="shared" si="50"/>
        <v>0</v>
      </c>
      <c r="AF73" s="200">
        <f t="shared" si="51"/>
        <v>0</v>
      </c>
      <c r="AG73" s="200">
        <f t="shared" si="52"/>
        <v>0</v>
      </c>
      <c r="AH73" s="201">
        <f t="shared" si="53"/>
        <v>0</v>
      </c>
      <c r="AI73" s="311">
        <v>0</v>
      </c>
      <c r="AJ73" s="141" t="e">
        <f t="shared" si="54"/>
        <v>#DIV/0!</v>
      </c>
      <c r="AK73" s="142" t="e">
        <f t="shared" si="55"/>
        <v>#DIV/0!</v>
      </c>
      <c r="AL73" s="142" t="e">
        <f t="shared" si="56"/>
        <v>#DIV/0!</v>
      </c>
      <c r="AM73" s="142" t="e">
        <f t="shared" si="57"/>
        <v>#DIV/0!</v>
      </c>
      <c r="AN73" s="143" t="e">
        <f t="shared" si="58"/>
        <v>#DIV/0!</v>
      </c>
      <c r="AO73" s="107">
        <f t="shared" si="67"/>
        <v>1550</v>
      </c>
      <c r="AP73" s="108">
        <f t="shared" si="68"/>
        <v>19160</v>
      </c>
      <c r="AQ73" s="108">
        <f t="shared" si="69"/>
        <v>36239</v>
      </c>
      <c r="AR73" s="108">
        <f t="shared" si="70"/>
        <v>1560</v>
      </c>
      <c r="AS73" s="109">
        <f t="shared" si="71"/>
        <v>3640</v>
      </c>
      <c r="AT73" s="110">
        <f t="shared" si="59"/>
        <v>0</v>
      </c>
      <c r="AU73" s="111">
        <f t="shared" si="72"/>
        <v>0</v>
      </c>
      <c r="AV73" s="111">
        <f t="shared" si="73"/>
        <v>0</v>
      </c>
      <c r="AW73" s="111">
        <f t="shared" si="60"/>
        <v>0</v>
      </c>
      <c r="AX73" s="112">
        <f t="shared" si="61"/>
        <v>0</v>
      </c>
      <c r="AY73" s="110">
        <f t="shared" si="38"/>
        <v>0</v>
      </c>
      <c r="AZ73" s="111">
        <v>1000</v>
      </c>
      <c r="BA73" s="111" t="e">
        <f>AY73/AI73</f>
        <v>#DIV/0!</v>
      </c>
      <c r="BB73" s="101"/>
      <c r="BC73" s="104"/>
    </row>
    <row r="74" spans="1:55" ht="14.95" thickBot="1" x14ac:dyDescent="0.3">
      <c r="A74" s="144">
        <f>+A73+1</f>
        <v>46047</v>
      </c>
      <c r="B74" s="212">
        <f>DAY(Tabla2[[#This Row],[FECHA]])</f>
        <v>25</v>
      </c>
      <c r="C74" s="156" t="s">
        <v>28</v>
      </c>
      <c r="D74" s="145"/>
      <c r="E74" s="146"/>
      <c r="F74" s="147"/>
      <c r="G74" s="147"/>
      <c r="H74" s="146"/>
      <c r="I74" s="290">
        <f>((Tabla2[[#This Row],[VOLUMEN ENVIADO A RO (m3)]]/80)/3)*60</f>
        <v>0</v>
      </c>
      <c r="J74" s="276">
        <v>0</v>
      </c>
      <c r="K74" s="277">
        <v>19</v>
      </c>
      <c r="L74" s="278">
        <v>3</v>
      </c>
      <c r="M74" s="277">
        <v>0</v>
      </c>
      <c r="N74" s="278">
        <v>0</v>
      </c>
      <c r="O74" s="192">
        <f t="shared" si="45"/>
        <v>0</v>
      </c>
      <c r="P74" s="203">
        <f t="shared" si="46"/>
        <v>166.66666666666669</v>
      </c>
      <c r="Q74" s="186">
        <f t="shared" si="46"/>
        <v>26.315789473684212</v>
      </c>
      <c r="R74" s="203">
        <f t="shared" si="47"/>
        <v>0</v>
      </c>
      <c r="S74" s="203">
        <f t="shared" si="48"/>
        <v>0</v>
      </c>
      <c r="T74" s="188">
        <f t="shared" si="62"/>
        <v>0</v>
      </c>
      <c r="U74" s="189">
        <f t="shared" si="63"/>
        <v>0</v>
      </c>
      <c r="V74" s="189">
        <f t="shared" si="64"/>
        <v>0</v>
      </c>
      <c r="W74" s="189">
        <f t="shared" si="65"/>
        <v>0</v>
      </c>
      <c r="X74" s="190">
        <f t="shared" si="66"/>
        <v>0</v>
      </c>
      <c r="Y74" s="195">
        <v>1.18</v>
      </c>
      <c r="Z74" s="195">
        <v>1.28</v>
      </c>
      <c r="AA74" s="195">
        <v>1.2</v>
      </c>
      <c r="AB74" s="195">
        <v>1.53</v>
      </c>
      <c r="AC74" s="195">
        <v>1.2</v>
      </c>
      <c r="AD74" s="204">
        <f t="shared" si="49"/>
        <v>0</v>
      </c>
      <c r="AE74" s="205">
        <f t="shared" si="50"/>
        <v>0</v>
      </c>
      <c r="AF74" s="205">
        <f t="shared" si="51"/>
        <v>0</v>
      </c>
      <c r="AG74" s="205">
        <f t="shared" si="52"/>
        <v>0</v>
      </c>
      <c r="AH74" s="206">
        <f t="shared" si="53"/>
        <v>0</v>
      </c>
      <c r="AI74" s="309">
        <v>0</v>
      </c>
      <c r="AJ74" s="148" t="e">
        <f t="shared" si="54"/>
        <v>#DIV/0!</v>
      </c>
      <c r="AK74" s="149" t="e">
        <f t="shared" si="55"/>
        <v>#DIV/0!</v>
      </c>
      <c r="AL74" s="149" t="e">
        <f t="shared" si="56"/>
        <v>#DIV/0!</v>
      </c>
      <c r="AM74" s="149" t="e">
        <f t="shared" si="57"/>
        <v>#DIV/0!</v>
      </c>
      <c r="AN74" s="150" t="e">
        <f t="shared" si="58"/>
        <v>#DIV/0!</v>
      </c>
      <c r="AO74" s="107">
        <f t="shared" si="67"/>
        <v>1550</v>
      </c>
      <c r="AP74" s="108">
        <f t="shared" si="68"/>
        <v>19160</v>
      </c>
      <c r="AQ74" s="108">
        <f t="shared" si="69"/>
        <v>36239</v>
      </c>
      <c r="AR74" s="108">
        <f t="shared" si="70"/>
        <v>1560</v>
      </c>
      <c r="AS74" s="109">
        <f t="shared" si="71"/>
        <v>3640</v>
      </c>
      <c r="AT74" s="107">
        <f t="shared" si="59"/>
        <v>0</v>
      </c>
      <c r="AU74" s="108">
        <f t="shared" si="72"/>
        <v>0</v>
      </c>
      <c r="AV74" s="108">
        <f t="shared" si="73"/>
        <v>0</v>
      </c>
      <c r="AW74" s="108">
        <f t="shared" si="60"/>
        <v>0</v>
      </c>
      <c r="AX74" s="109">
        <f t="shared" si="61"/>
        <v>0</v>
      </c>
      <c r="AY74" s="107">
        <f t="shared" si="38"/>
        <v>0</v>
      </c>
      <c r="AZ74" s="108">
        <v>1000</v>
      </c>
      <c r="BA74" s="108" t="e">
        <f t="shared" si="74"/>
        <v>#DIV/0!</v>
      </c>
      <c r="BB74" s="102"/>
      <c r="BC74" s="103"/>
    </row>
    <row r="75" spans="1:55" ht="14.95" thickBot="1" x14ac:dyDescent="0.3">
      <c r="A75" s="151">
        <f>+A74</f>
        <v>46047</v>
      </c>
      <c r="B75" s="210">
        <f>DAY(Tabla2[[#This Row],[FECHA]])</f>
        <v>25</v>
      </c>
      <c r="C75" s="130" t="s">
        <v>29</v>
      </c>
      <c r="D75" s="131"/>
      <c r="E75" s="132"/>
      <c r="F75" s="133"/>
      <c r="G75" s="133"/>
      <c r="H75" s="132"/>
      <c r="I75" s="290">
        <f>((Tabla2[[#This Row],[VOLUMEN ENVIADO A RO (m3)]]/80)/3)*60</f>
        <v>0</v>
      </c>
      <c r="J75" s="279">
        <v>0</v>
      </c>
      <c r="K75" s="280">
        <v>19</v>
      </c>
      <c r="L75" s="281">
        <v>3</v>
      </c>
      <c r="M75" s="280">
        <v>0</v>
      </c>
      <c r="N75" s="281">
        <v>0</v>
      </c>
      <c r="O75" s="192">
        <f t="shared" si="45"/>
        <v>0</v>
      </c>
      <c r="P75" s="193">
        <f t="shared" si="46"/>
        <v>166.66666666666669</v>
      </c>
      <c r="Q75" s="193">
        <f t="shared" si="46"/>
        <v>26.315789473684212</v>
      </c>
      <c r="R75" s="193">
        <f t="shared" si="47"/>
        <v>0</v>
      </c>
      <c r="S75" s="193">
        <f t="shared" si="48"/>
        <v>0</v>
      </c>
      <c r="T75" s="188">
        <f t="shared" si="62"/>
        <v>0</v>
      </c>
      <c r="U75" s="189">
        <f t="shared" si="63"/>
        <v>0</v>
      </c>
      <c r="V75" s="189">
        <f t="shared" si="64"/>
        <v>0</v>
      </c>
      <c r="W75" s="189">
        <f t="shared" si="65"/>
        <v>0</v>
      </c>
      <c r="X75" s="190">
        <f t="shared" si="66"/>
        <v>0</v>
      </c>
      <c r="Y75" s="195">
        <v>1.18</v>
      </c>
      <c r="Z75" s="195">
        <v>1.28</v>
      </c>
      <c r="AA75" s="195">
        <v>1.2</v>
      </c>
      <c r="AB75" s="195">
        <v>1.53</v>
      </c>
      <c r="AC75" s="195">
        <v>1.2</v>
      </c>
      <c r="AD75" s="188">
        <f t="shared" si="49"/>
        <v>0</v>
      </c>
      <c r="AE75" s="189">
        <f t="shared" si="50"/>
        <v>0</v>
      </c>
      <c r="AF75" s="189">
        <f t="shared" si="51"/>
        <v>0</v>
      </c>
      <c r="AG75" s="189">
        <f t="shared" si="52"/>
        <v>0</v>
      </c>
      <c r="AH75" s="190">
        <f t="shared" si="53"/>
        <v>0</v>
      </c>
      <c r="AI75" s="310">
        <v>0</v>
      </c>
      <c r="AJ75" s="126" t="e">
        <f t="shared" si="54"/>
        <v>#DIV/0!</v>
      </c>
      <c r="AK75" s="127" t="e">
        <f t="shared" si="55"/>
        <v>#DIV/0!</v>
      </c>
      <c r="AL75" s="127" t="e">
        <f t="shared" si="56"/>
        <v>#DIV/0!</v>
      </c>
      <c r="AM75" s="127" t="e">
        <f t="shared" si="57"/>
        <v>#DIV/0!</v>
      </c>
      <c r="AN75" s="128" t="e">
        <f t="shared" si="58"/>
        <v>#DIV/0!</v>
      </c>
      <c r="AO75" s="107">
        <f t="shared" si="67"/>
        <v>1550</v>
      </c>
      <c r="AP75" s="108">
        <f t="shared" si="68"/>
        <v>19160</v>
      </c>
      <c r="AQ75" s="108">
        <f t="shared" si="69"/>
        <v>36239</v>
      </c>
      <c r="AR75" s="108">
        <f t="shared" si="70"/>
        <v>1560</v>
      </c>
      <c r="AS75" s="109">
        <f t="shared" si="71"/>
        <v>3640</v>
      </c>
      <c r="AT75" s="107">
        <f t="shared" si="59"/>
        <v>0</v>
      </c>
      <c r="AU75" s="108">
        <f t="shared" si="72"/>
        <v>0</v>
      </c>
      <c r="AV75" s="108">
        <f t="shared" si="73"/>
        <v>0</v>
      </c>
      <c r="AW75" s="108">
        <f t="shared" si="60"/>
        <v>0</v>
      </c>
      <c r="AX75" s="109">
        <f t="shared" si="61"/>
        <v>0</v>
      </c>
      <c r="AY75" s="107">
        <f t="shared" si="38"/>
        <v>0</v>
      </c>
      <c r="AZ75" s="108">
        <v>1000</v>
      </c>
      <c r="BA75" s="108" t="e">
        <f>AY75/AI75</f>
        <v>#DIV/0!</v>
      </c>
      <c r="BB75" s="102"/>
      <c r="BC75" s="103"/>
    </row>
    <row r="76" spans="1:55" ht="14.95" thickBot="1" x14ac:dyDescent="0.3">
      <c r="A76" s="152">
        <f>+A75</f>
        <v>46047</v>
      </c>
      <c r="B76" s="211">
        <f>DAY(Tabla2[[#This Row],[FECHA]])</f>
        <v>25</v>
      </c>
      <c r="C76" s="135" t="s">
        <v>30</v>
      </c>
      <c r="D76" s="136"/>
      <c r="E76" s="137"/>
      <c r="F76" s="138"/>
      <c r="G76" s="139"/>
      <c r="H76" s="140"/>
      <c r="I76" s="290">
        <f>((Tabla2[[#This Row],[VOLUMEN ENVIADO A RO (m3)]]/80)/3)*60</f>
        <v>0</v>
      </c>
      <c r="J76" s="282">
        <v>0</v>
      </c>
      <c r="K76" s="283">
        <v>19</v>
      </c>
      <c r="L76" s="284">
        <v>3</v>
      </c>
      <c r="M76" s="283">
        <v>0</v>
      </c>
      <c r="N76" s="284">
        <v>0</v>
      </c>
      <c r="O76" s="192">
        <f t="shared" si="45"/>
        <v>0</v>
      </c>
      <c r="P76" s="197">
        <f t="shared" si="46"/>
        <v>166.66666666666669</v>
      </c>
      <c r="Q76" s="197">
        <f t="shared" si="46"/>
        <v>26.315789473684212</v>
      </c>
      <c r="R76" s="197">
        <f t="shared" si="47"/>
        <v>0</v>
      </c>
      <c r="S76" s="197">
        <f t="shared" si="48"/>
        <v>0</v>
      </c>
      <c r="T76" s="188">
        <f t="shared" si="62"/>
        <v>0</v>
      </c>
      <c r="U76" s="189">
        <f t="shared" si="63"/>
        <v>0</v>
      </c>
      <c r="V76" s="189">
        <f t="shared" si="64"/>
        <v>0</v>
      </c>
      <c r="W76" s="189">
        <f t="shared" si="65"/>
        <v>0</v>
      </c>
      <c r="X76" s="190">
        <f t="shared" si="66"/>
        <v>0</v>
      </c>
      <c r="Y76" s="195">
        <v>1.18</v>
      </c>
      <c r="Z76" s="195">
        <v>1.28</v>
      </c>
      <c r="AA76" s="195">
        <v>1.2</v>
      </c>
      <c r="AB76" s="195">
        <v>1.53</v>
      </c>
      <c r="AC76" s="195">
        <v>1.2</v>
      </c>
      <c r="AD76" s="199">
        <f t="shared" si="49"/>
        <v>0</v>
      </c>
      <c r="AE76" s="200">
        <f t="shared" si="50"/>
        <v>0</v>
      </c>
      <c r="AF76" s="200">
        <f t="shared" si="51"/>
        <v>0</v>
      </c>
      <c r="AG76" s="200">
        <f t="shared" si="52"/>
        <v>0</v>
      </c>
      <c r="AH76" s="201">
        <f t="shared" si="53"/>
        <v>0</v>
      </c>
      <c r="AI76" s="311">
        <v>0</v>
      </c>
      <c r="AJ76" s="141" t="e">
        <f t="shared" si="54"/>
        <v>#DIV/0!</v>
      </c>
      <c r="AK76" s="142" t="e">
        <f t="shared" si="55"/>
        <v>#DIV/0!</v>
      </c>
      <c r="AL76" s="142" t="e">
        <f t="shared" si="56"/>
        <v>#DIV/0!</v>
      </c>
      <c r="AM76" s="142" t="e">
        <f t="shared" si="57"/>
        <v>#DIV/0!</v>
      </c>
      <c r="AN76" s="143" t="e">
        <f t="shared" si="58"/>
        <v>#DIV/0!</v>
      </c>
      <c r="AO76" s="107">
        <f t="shared" si="67"/>
        <v>1550</v>
      </c>
      <c r="AP76" s="108">
        <f t="shared" si="68"/>
        <v>19160</v>
      </c>
      <c r="AQ76" s="108">
        <f t="shared" si="69"/>
        <v>36239</v>
      </c>
      <c r="AR76" s="108">
        <f t="shared" si="70"/>
        <v>1560</v>
      </c>
      <c r="AS76" s="109">
        <f t="shared" si="71"/>
        <v>3640</v>
      </c>
      <c r="AT76" s="110">
        <f t="shared" si="59"/>
        <v>0</v>
      </c>
      <c r="AU76" s="111">
        <f t="shared" si="72"/>
        <v>0</v>
      </c>
      <c r="AV76" s="111">
        <f t="shared" si="73"/>
        <v>0</v>
      </c>
      <c r="AW76" s="111">
        <f t="shared" si="60"/>
        <v>0</v>
      </c>
      <c r="AX76" s="112">
        <f t="shared" si="61"/>
        <v>0</v>
      </c>
      <c r="AY76" s="110">
        <f t="shared" si="38"/>
        <v>0</v>
      </c>
      <c r="AZ76" s="111">
        <v>1000</v>
      </c>
      <c r="BA76" s="111" t="e">
        <f t="shared" si="74"/>
        <v>#DIV/0!</v>
      </c>
      <c r="BB76" s="101"/>
      <c r="BC76" s="104"/>
    </row>
    <row r="77" spans="1:55" ht="14.95" thickBot="1" x14ac:dyDescent="0.3">
      <c r="A77" s="144">
        <f>+A76+1</f>
        <v>46048</v>
      </c>
      <c r="B77" s="212">
        <f>DAY(Tabla2[[#This Row],[FECHA]])</f>
        <v>26</v>
      </c>
      <c r="C77" s="156" t="s">
        <v>28</v>
      </c>
      <c r="D77" s="145"/>
      <c r="E77" s="146"/>
      <c r="F77" s="147"/>
      <c r="G77" s="147"/>
      <c r="H77" s="146"/>
      <c r="I77" s="290">
        <f>((Tabla2[[#This Row],[VOLUMEN ENVIADO A RO (m3)]]/80)/3)*60</f>
        <v>0</v>
      </c>
      <c r="J77" s="276">
        <v>0</v>
      </c>
      <c r="K77" s="277">
        <v>19</v>
      </c>
      <c r="L77" s="278">
        <v>3</v>
      </c>
      <c r="M77" s="277">
        <v>0</v>
      </c>
      <c r="N77" s="278">
        <v>0</v>
      </c>
      <c r="O77" s="192">
        <f t="shared" si="45"/>
        <v>0</v>
      </c>
      <c r="P77" s="203">
        <f t="shared" si="46"/>
        <v>166.66666666666669</v>
      </c>
      <c r="Q77" s="186">
        <f t="shared" si="46"/>
        <v>26.315789473684212</v>
      </c>
      <c r="R77" s="203">
        <f t="shared" si="47"/>
        <v>0</v>
      </c>
      <c r="S77" s="203">
        <f t="shared" si="48"/>
        <v>0</v>
      </c>
      <c r="T77" s="188">
        <f t="shared" si="62"/>
        <v>0</v>
      </c>
      <c r="U77" s="189">
        <f t="shared" si="63"/>
        <v>0</v>
      </c>
      <c r="V77" s="189">
        <f t="shared" si="64"/>
        <v>0</v>
      </c>
      <c r="W77" s="189">
        <f t="shared" si="65"/>
        <v>0</v>
      </c>
      <c r="X77" s="190">
        <f t="shared" si="66"/>
        <v>0</v>
      </c>
      <c r="Y77" s="195">
        <v>1.18</v>
      </c>
      <c r="Z77" s="195">
        <v>1.28</v>
      </c>
      <c r="AA77" s="195">
        <v>1.2</v>
      </c>
      <c r="AB77" s="195">
        <v>1.53</v>
      </c>
      <c r="AC77" s="195">
        <v>1.2</v>
      </c>
      <c r="AD77" s="204">
        <f t="shared" si="49"/>
        <v>0</v>
      </c>
      <c r="AE77" s="205">
        <f t="shared" si="50"/>
        <v>0</v>
      </c>
      <c r="AF77" s="205">
        <f t="shared" si="51"/>
        <v>0</v>
      </c>
      <c r="AG77" s="205">
        <f t="shared" si="52"/>
        <v>0</v>
      </c>
      <c r="AH77" s="206">
        <f t="shared" si="53"/>
        <v>0</v>
      </c>
      <c r="AI77" s="309">
        <v>0</v>
      </c>
      <c r="AJ77" s="148" t="e">
        <f t="shared" si="54"/>
        <v>#DIV/0!</v>
      </c>
      <c r="AK77" s="149" t="e">
        <f t="shared" si="55"/>
        <v>#DIV/0!</v>
      </c>
      <c r="AL77" s="149" t="e">
        <f t="shared" si="56"/>
        <v>#DIV/0!</v>
      </c>
      <c r="AM77" s="149" t="e">
        <f t="shared" si="57"/>
        <v>#DIV/0!</v>
      </c>
      <c r="AN77" s="150" t="e">
        <f t="shared" si="58"/>
        <v>#DIV/0!</v>
      </c>
      <c r="AO77" s="107">
        <f t="shared" si="67"/>
        <v>1550</v>
      </c>
      <c r="AP77" s="108">
        <f t="shared" si="68"/>
        <v>19160</v>
      </c>
      <c r="AQ77" s="108">
        <f t="shared" si="69"/>
        <v>36239</v>
      </c>
      <c r="AR77" s="108">
        <f t="shared" si="70"/>
        <v>1560</v>
      </c>
      <c r="AS77" s="109">
        <f t="shared" si="71"/>
        <v>3640</v>
      </c>
      <c r="AT77" s="107">
        <f t="shared" si="59"/>
        <v>0</v>
      </c>
      <c r="AU77" s="108">
        <f t="shared" si="72"/>
        <v>0</v>
      </c>
      <c r="AV77" s="108">
        <f t="shared" si="73"/>
        <v>0</v>
      </c>
      <c r="AW77" s="108">
        <f t="shared" si="60"/>
        <v>0</v>
      </c>
      <c r="AX77" s="109">
        <f t="shared" si="61"/>
        <v>0</v>
      </c>
      <c r="AY77" s="107">
        <f t="shared" si="38"/>
        <v>0</v>
      </c>
      <c r="AZ77" s="108">
        <v>1000</v>
      </c>
      <c r="BA77" s="108" t="e">
        <f t="shared" si="74"/>
        <v>#DIV/0!</v>
      </c>
      <c r="BB77" s="102"/>
      <c r="BC77" s="103"/>
    </row>
    <row r="78" spans="1:55" ht="14.95" thickBot="1" x14ac:dyDescent="0.3">
      <c r="A78" s="151">
        <f>+A77</f>
        <v>46048</v>
      </c>
      <c r="B78" s="210">
        <f>DAY(Tabla2[[#This Row],[FECHA]])</f>
        <v>26</v>
      </c>
      <c r="C78" s="130" t="s">
        <v>29</v>
      </c>
      <c r="D78" s="131"/>
      <c r="E78" s="132"/>
      <c r="F78" s="133"/>
      <c r="G78" s="133"/>
      <c r="H78" s="132"/>
      <c r="I78" s="290">
        <f>((Tabla2[[#This Row],[VOLUMEN ENVIADO A RO (m3)]]/80)/3)*60</f>
        <v>91.007999999999996</v>
      </c>
      <c r="J78" s="279">
        <v>0</v>
      </c>
      <c r="K78" s="280">
        <v>19</v>
      </c>
      <c r="L78" s="281">
        <v>3</v>
      </c>
      <c r="M78" s="280">
        <v>0</v>
      </c>
      <c r="N78" s="281">
        <v>0</v>
      </c>
      <c r="O78" s="192">
        <f t="shared" si="45"/>
        <v>0</v>
      </c>
      <c r="P78" s="193">
        <f t="shared" si="46"/>
        <v>166.66666666666669</v>
      </c>
      <c r="Q78" s="193">
        <f t="shared" si="46"/>
        <v>26.315789473684212</v>
      </c>
      <c r="R78" s="193">
        <f t="shared" si="47"/>
        <v>0</v>
      </c>
      <c r="S78" s="193">
        <f t="shared" si="48"/>
        <v>0</v>
      </c>
      <c r="T78" s="188">
        <f t="shared" si="62"/>
        <v>0</v>
      </c>
      <c r="U78" s="189">
        <f t="shared" si="63"/>
        <v>0</v>
      </c>
      <c r="V78" s="189">
        <f t="shared" si="64"/>
        <v>0</v>
      </c>
      <c r="W78" s="189">
        <f t="shared" si="65"/>
        <v>0</v>
      </c>
      <c r="X78" s="190">
        <f t="shared" si="66"/>
        <v>0</v>
      </c>
      <c r="Y78" s="195">
        <v>1.18</v>
      </c>
      <c r="Z78" s="195">
        <v>1.28</v>
      </c>
      <c r="AA78" s="195">
        <v>1.2</v>
      </c>
      <c r="AB78" s="195">
        <v>1.53</v>
      </c>
      <c r="AC78" s="195">
        <v>1.2</v>
      </c>
      <c r="AD78" s="188">
        <f t="shared" si="49"/>
        <v>0</v>
      </c>
      <c r="AE78" s="189">
        <f t="shared" si="50"/>
        <v>0</v>
      </c>
      <c r="AF78" s="189">
        <f t="shared" si="51"/>
        <v>0</v>
      </c>
      <c r="AG78" s="189">
        <f t="shared" si="52"/>
        <v>0</v>
      </c>
      <c r="AH78" s="190">
        <f t="shared" si="53"/>
        <v>0</v>
      </c>
      <c r="AI78" s="310">
        <v>364.03199999999998</v>
      </c>
      <c r="AJ78" s="126">
        <f t="shared" si="54"/>
        <v>0</v>
      </c>
      <c r="AK78" s="127">
        <f t="shared" si="55"/>
        <v>0</v>
      </c>
      <c r="AL78" s="127">
        <f t="shared" si="56"/>
        <v>0</v>
      </c>
      <c r="AM78" s="127">
        <f t="shared" si="57"/>
        <v>0</v>
      </c>
      <c r="AN78" s="128">
        <f t="shared" si="58"/>
        <v>0</v>
      </c>
      <c r="AO78" s="107">
        <f t="shared" si="67"/>
        <v>1550</v>
      </c>
      <c r="AP78" s="108">
        <f t="shared" si="68"/>
        <v>19160</v>
      </c>
      <c r="AQ78" s="108">
        <f t="shared" si="69"/>
        <v>36239</v>
      </c>
      <c r="AR78" s="108">
        <f t="shared" si="70"/>
        <v>1560</v>
      </c>
      <c r="AS78" s="109">
        <f t="shared" si="71"/>
        <v>3640</v>
      </c>
      <c r="AT78" s="107">
        <f t="shared" si="59"/>
        <v>0</v>
      </c>
      <c r="AU78" s="108">
        <f t="shared" si="72"/>
        <v>0</v>
      </c>
      <c r="AV78" s="108">
        <f t="shared" si="73"/>
        <v>0</v>
      </c>
      <c r="AW78" s="108">
        <f t="shared" si="60"/>
        <v>0</v>
      </c>
      <c r="AX78" s="109">
        <f t="shared" si="61"/>
        <v>0</v>
      </c>
      <c r="AY78" s="107">
        <f t="shared" si="38"/>
        <v>0</v>
      </c>
      <c r="AZ78" s="108">
        <v>1000</v>
      </c>
      <c r="BA78" s="108">
        <f t="shared" si="74"/>
        <v>0</v>
      </c>
      <c r="BB78" s="102"/>
      <c r="BC78" s="103"/>
    </row>
    <row r="79" spans="1:55" ht="14.95" thickBot="1" x14ac:dyDescent="0.3">
      <c r="A79" s="152">
        <f>+A78</f>
        <v>46048</v>
      </c>
      <c r="B79" s="211">
        <f>DAY(Tabla2[[#This Row],[FECHA]])</f>
        <v>26</v>
      </c>
      <c r="C79" s="135" t="s">
        <v>30</v>
      </c>
      <c r="D79" s="136"/>
      <c r="E79" s="137"/>
      <c r="F79" s="138"/>
      <c r="G79" s="139"/>
      <c r="H79" s="140"/>
      <c r="I79" s="290">
        <f>((Tabla2[[#This Row],[VOLUMEN ENVIADO A RO (m3)]]/80)/3)*60</f>
        <v>19.521999999999998</v>
      </c>
      <c r="J79" s="282">
        <v>0</v>
      </c>
      <c r="K79" s="283">
        <v>19</v>
      </c>
      <c r="L79" s="284">
        <v>3</v>
      </c>
      <c r="M79" s="283">
        <v>0</v>
      </c>
      <c r="N79" s="284">
        <v>0</v>
      </c>
      <c r="O79" s="192">
        <f t="shared" si="45"/>
        <v>0</v>
      </c>
      <c r="P79" s="197">
        <f t="shared" si="46"/>
        <v>166.66666666666669</v>
      </c>
      <c r="Q79" s="197">
        <f t="shared" si="46"/>
        <v>26.315789473684212</v>
      </c>
      <c r="R79" s="197">
        <f t="shared" si="47"/>
        <v>0</v>
      </c>
      <c r="S79" s="197">
        <f t="shared" si="48"/>
        <v>0</v>
      </c>
      <c r="T79" s="188">
        <f t="shared" si="62"/>
        <v>0</v>
      </c>
      <c r="U79" s="189">
        <f t="shared" si="63"/>
        <v>0</v>
      </c>
      <c r="V79" s="189">
        <f t="shared" si="64"/>
        <v>0</v>
      </c>
      <c r="W79" s="189">
        <f t="shared" si="65"/>
        <v>0</v>
      </c>
      <c r="X79" s="190">
        <f t="shared" si="66"/>
        <v>0</v>
      </c>
      <c r="Y79" s="195">
        <v>1.18</v>
      </c>
      <c r="Z79" s="195">
        <v>1.28</v>
      </c>
      <c r="AA79" s="195">
        <v>1.2</v>
      </c>
      <c r="AB79" s="195">
        <v>1.53</v>
      </c>
      <c r="AC79" s="195">
        <v>1.2</v>
      </c>
      <c r="AD79" s="199">
        <f t="shared" si="49"/>
        <v>0</v>
      </c>
      <c r="AE79" s="200">
        <f t="shared" si="50"/>
        <v>0</v>
      </c>
      <c r="AF79" s="200">
        <f t="shared" si="51"/>
        <v>0</v>
      </c>
      <c r="AG79" s="200">
        <f t="shared" si="52"/>
        <v>0</v>
      </c>
      <c r="AH79" s="201">
        <f t="shared" si="53"/>
        <v>0</v>
      </c>
      <c r="AI79" s="311">
        <v>78.087999999999994</v>
      </c>
      <c r="AJ79" s="141">
        <f t="shared" si="54"/>
        <v>0</v>
      </c>
      <c r="AK79" s="142">
        <f t="shared" si="55"/>
        <v>0</v>
      </c>
      <c r="AL79" s="142">
        <f t="shared" si="56"/>
        <v>0</v>
      </c>
      <c r="AM79" s="142">
        <f t="shared" si="57"/>
        <v>0</v>
      </c>
      <c r="AN79" s="143">
        <f t="shared" si="58"/>
        <v>0</v>
      </c>
      <c r="AO79" s="107">
        <f t="shared" si="67"/>
        <v>1550</v>
      </c>
      <c r="AP79" s="108">
        <f t="shared" si="68"/>
        <v>19160</v>
      </c>
      <c r="AQ79" s="108">
        <f t="shared" si="69"/>
        <v>36239</v>
      </c>
      <c r="AR79" s="108">
        <f t="shared" si="70"/>
        <v>1560</v>
      </c>
      <c r="AS79" s="109">
        <f t="shared" si="71"/>
        <v>3640</v>
      </c>
      <c r="AT79" s="110">
        <f t="shared" si="59"/>
        <v>0</v>
      </c>
      <c r="AU79" s="111">
        <f t="shared" si="72"/>
        <v>0</v>
      </c>
      <c r="AV79" s="111">
        <f t="shared" si="73"/>
        <v>0</v>
      </c>
      <c r="AW79" s="111">
        <f t="shared" si="60"/>
        <v>0</v>
      </c>
      <c r="AX79" s="112">
        <f t="shared" si="61"/>
        <v>0</v>
      </c>
      <c r="AY79" s="110">
        <f t="shared" si="38"/>
        <v>0</v>
      </c>
      <c r="AZ79" s="111">
        <v>1000</v>
      </c>
      <c r="BA79" s="111">
        <f t="shared" si="74"/>
        <v>0</v>
      </c>
      <c r="BB79" s="101"/>
      <c r="BC79" s="104"/>
    </row>
    <row r="80" spans="1:55" ht="14.95" thickBot="1" x14ac:dyDescent="0.3">
      <c r="A80" s="144">
        <f>+A79+1</f>
        <v>46049</v>
      </c>
      <c r="B80" s="212">
        <f>DAY(Tabla2[[#This Row],[FECHA]])</f>
        <v>27</v>
      </c>
      <c r="C80" s="156" t="s">
        <v>28</v>
      </c>
      <c r="D80" s="145"/>
      <c r="E80" s="146"/>
      <c r="F80" s="147"/>
      <c r="G80" s="147"/>
      <c r="H80" s="146"/>
      <c r="I80" s="290">
        <f>((Tabla2[[#This Row],[VOLUMEN ENVIADO A RO (m3)]]/80)/3)*60</f>
        <v>45.281000000000006</v>
      </c>
      <c r="J80" s="276">
        <v>0</v>
      </c>
      <c r="K80" s="277">
        <v>19</v>
      </c>
      <c r="L80" s="278">
        <v>3</v>
      </c>
      <c r="M80" s="277">
        <v>0</v>
      </c>
      <c r="N80" s="278">
        <v>0</v>
      </c>
      <c r="O80" s="192">
        <f t="shared" si="45"/>
        <v>0</v>
      </c>
      <c r="P80" s="203">
        <f t="shared" si="46"/>
        <v>166.66666666666669</v>
      </c>
      <c r="Q80" s="186">
        <f t="shared" si="46"/>
        <v>26.315789473684212</v>
      </c>
      <c r="R80" s="203">
        <f t="shared" si="47"/>
        <v>0</v>
      </c>
      <c r="S80" s="203">
        <f t="shared" si="48"/>
        <v>0</v>
      </c>
      <c r="T80" s="188">
        <f t="shared" si="62"/>
        <v>0</v>
      </c>
      <c r="U80" s="189">
        <f t="shared" si="63"/>
        <v>0</v>
      </c>
      <c r="V80" s="189">
        <f t="shared" si="64"/>
        <v>0</v>
      </c>
      <c r="W80" s="189">
        <f t="shared" si="65"/>
        <v>0</v>
      </c>
      <c r="X80" s="190">
        <f t="shared" si="66"/>
        <v>0</v>
      </c>
      <c r="Y80" s="195">
        <v>1.18</v>
      </c>
      <c r="Z80" s="195">
        <v>1.28</v>
      </c>
      <c r="AA80" s="195">
        <v>1.2</v>
      </c>
      <c r="AB80" s="195">
        <v>1.53</v>
      </c>
      <c r="AC80" s="195">
        <v>1.2</v>
      </c>
      <c r="AD80" s="204">
        <f t="shared" si="49"/>
        <v>0</v>
      </c>
      <c r="AE80" s="205">
        <f t="shared" si="50"/>
        <v>0</v>
      </c>
      <c r="AF80" s="205">
        <f t="shared" si="51"/>
        <v>0</v>
      </c>
      <c r="AG80" s="205">
        <f t="shared" si="52"/>
        <v>0</v>
      </c>
      <c r="AH80" s="206">
        <f t="shared" si="53"/>
        <v>0</v>
      </c>
      <c r="AI80" s="309">
        <v>181.124</v>
      </c>
      <c r="AJ80" s="148">
        <f t="shared" si="54"/>
        <v>0</v>
      </c>
      <c r="AK80" s="149">
        <f t="shared" si="55"/>
        <v>0</v>
      </c>
      <c r="AL80" s="149">
        <f t="shared" si="56"/>
        <v>0</v>
      </c>
      <c r="AM80" s="149">
        <f t="shared" si="57"/>
        <v>0</v>
      </c>
      <c r="AN80" s="150">
        <f t="shared" si="58"/>
        <v>0</v>
      </c>
      <c r="AO80" s="107">
        <f t="shared" si="67"/>
        <v>1550</v>
      </c>
      <c r="AP80" s="108">
        <f t="shared" si="68"/>
        <v>19160</v>
      </c>
      <c r="AQ80" s="108">
        <f t="shared" si="69"/>
        <v>36239</v>
      </c>
      <c r="AR80" s="108">
        <f t="shared" si="70"/>
        <v>1560</v>
      </c>
      <c r="AS80" s="109">
        <f t="shared" si="71"/>
        <v>3640</v>
      </c>
      <c r="AT80" s="107">
        <f t="shared" si="59"/>
        <v>0</v>
      </c>
      <c r="AU80" s="108">
        <f t="shared" si="72"/>
        <v>0</v>
      </c>
      <c r="AV80" s="108">
        <f t="shared" si="73"/>
        <v>0</v>
      </c>
      <c r="AW80" s="108">
        <f t="shared" si="60"/>
        <v>0</v>
      </c>
      <c r="AX80" s="109">
        <f t="shared" si="61"/>
        <v>0</v>
      </c>
      <c r="AY80" s="107">
        <f t="shared" si="38"/>
        <v>0</v>
      </c>
      <c r="AZ80" s="108">
        <v>1000</v>
      </c>
      <c r="BA80" s="108">
        <f t="shared" si="74"/>
        <v>0</v>
      </c>
      <c r="BB80" s="102"/>
      <c r="BC80" s="103"/>
    </row>
    <row r="81" spans="1:55" ht="14.95" thickBot="1" x14ac:dyDescent="0.3">
      <c r="A81" s="151">
        <f>+A80</f>
        <v>46049</v>
      </c>
      <c r="B81" s="210">
        <f>DAY(Tabla2[[#This Row],[FECHA]])</f>
        <v>27</v>
      </c>
      <c r="C81" s="130" t="s">
        <v>29</v>
      </c>
      <c r="D81" s="131"/>
      <c r="E81" s="132"/>
      <c r="F81" s="133"/>
      <c r="G81" s="133"/>
      <c r="H81" s="132"/>
      <c r="I81" s="290">
        <f>((Tabla2[[#This Row],[VOLUMEN ENVIADO A RO (m3)]]/80)/3)*60</f>
        <v>46.85575</v>
      </c>
      <c r="J81" s="279">
        <v>0</v>
      </c>
      <c r="K81" s="280">
        <v>19</v>
      </c>
      <c r="L81" s="281">
        <v>3</v>
      </c>
      <c r="M81" s="280">
        <v>0</v>
      </c>
      <c r="N81" s="281">
        <v>0</v>
      </c>
      <c r="O81" s="192">
        <f t="shared" si="45"/>
        <v>0</v>
      </c>
      <c r="P81" s="193">
        <f t="shared" si="46"/>
        <v>166.66666666666669</v>
      </c>
      <c r="Q81" s="193">
        <f t="shared" si="46"/>
        <v>26.315789473684212</v>
      </c>
      <c r="R81" s="193">
        <f t="shared" si="47"/>
        <v>0</v>
      </c>
      <c r="S81" s="193">
        <f t="shared" si="48"/>
        <v>0</v>
      </c>
      <c r="T81" s="188">
        <f t="shared" si="62"/>
        <v>0</v>
      </c>
      <c r="U81" s="189">
        <f t="shared" si="63"/>
        <v>0</v>
      </c>
      <c r="V81" s="189">
        <f>Q81-Q82</f>
        <v>0</v>
      </c>
      <c r="W81" s="189">
        <f t="shared" si="65"/>
        <v>0</v>
      </c>
      <c r="X81" s="190">
        <f t="shared" si="66"/>
        <v>0</v>
      </c>
      <c r="Y81" s="195">
        <v>1.18</v>
      </c>
      <c r="Z81" s="195">
        <v>1.28</v>
      </c>
      <c r="AA81" s="195">
        <v>1.2</v>
      </c>
      <c r="AB81" s="195">
        <v>1.53</v>
      </c>
      <c r="AC81" s="195">
        <v>1.2</v>
      </c>
      <c r="AD81" s="188">
        <f t="shared" si="49"/>
        <v>0</v>
      </c>
      <c r="AE81" s="189">
        <f t="shared" si="50"/>
        <v>0</v>
      </c>
      <c r="AF81" s="189">
        <f>V81*AA81</f>
        <v>0</v>
      </c>
      <c r="AG81" s="189">
        <f t="shared" si="52"/>
        <v>0</v>
      </c>
      <c r="AH81" s="190">
        <f t="shared" si="53"/>
        <v>0</v>
      </c>
      <c r="AI81" s="310">
        <v>187.423</v>
      </c>
      <c r="AJ81" s="126">
        <f t="shared" si="54"/>
        <v>0</v>
      </c>
      <c r="AK81" s="127">
        <f t="shared" si="55"/>
        <v>0</v>
      </c>
      <c r="AL81" s="127">
        <f t="shared" si="56"/>
        <v>0</v>
      </c>
      <c r="AM81" s="127">
        <f t="shared" si="57"/>
        <v>0</v>
      </c>
      <c r="AN81" s="128">
        <f t="shared" si="58"/>
        <v>0</v>
      </c>
      <c r="AO81" s="107">
        <f t="shared" si="67"/>
        <v>1550</v>
      </c>
      <c r="AP81" s="108">
        <f t="shared" si="68"/>
        <v>19160</v>
      </c>
      <c r="AQ81" s="108">
        <f t="shared" si="69"/>
        <v>36239</v>
      </c>
      <c r="AR81" s="108">
        <f t="shared" si="70"/>
        <v>1560</v>
      </c>
      <c r="AS81" s="109">
        <f t="shared" si="71"/>
        <v>3640</v>
      </c>
      <c r="AT81" s="107">
        <f t="shared" si="59"/>
        <v>0</v>
      </c>
      <c r="AU81" s="108">
        <f t="shared" si="72"/>
        <v>0</v>
      </c>
      <c r="AV81" s="108">
        <f>AQ81*(AF81*0.044)</f>
        <v>0</v>
      </c>
      <c r="AW81" s="108">
        <f t="shared" si="60"/>
        <v>0</v>
      </c>
      <c r="AX81" s="109">
        <f t="shared" si="61"/>
        <v>0</v>
      </c>
      <c r="AY81" s="107">
        <f t="shared" si="38"/>
        <v>0</v>
      </c>
      <c r="AZ81" s="108">
        <v>1000</v>
      </c>
      <c r="BA81" s="108">
        <f>AY81/AI81</f>
        <v>0</v>
      </c>
      <c r="BB81" s="102"/>
      <c r="BC81" s="103"/>
    </row>
    <row r="82" spans="1:55" ht="14.95" thickBot="1" x14ac:dyDescent="0.3">
      <c r="A82" s="152">
        <f>+A81</f>
        <v>46049</v>
      </c>
      <c r="B82" s="211">
        <f>DAY(Tabla2[[#This Row],[FECHA]])</f>
        <v>27</v>
      </c>
      <c r="C82" s="135" t="s">
        <v>30</v>
      </c>
      <c r="D82" s="136"/>
      <c r="E82" s="137"/>
      <c r="F82" s="138"/>
      <c r="G82" s="139"/>
      <c r="H82" s="140"/>
      <c r="I82" s="290">
        <f>((Tabla2[[#This Row],[VOLUMEN ENVIADO A RO (m3)]]/80)/3)*60</f>
        <v>67.867750000000001</v>
      </c>
      <c r="J82" s="282">
        <v>0</v>
      </c>
      <c r="K82" s="283">
        <v>19</v>
      </c>
      <c r="L82" s="284">
        <v>3</v>
      </c>
      <c r="M82" s="283">
        <v>0</v>
      </c>
      <c r="N82" s="284">
        <v>0</v>
      </c>
      <c r="O82" s="192">
        <f t="shared" si="45"/>
        <v>0</v>
      </c>
      <c r="P82" s="197">
        <f t="shared" si="46"/>
        <v>166.66666666666669</v>
      </c>
      <c r="Q82" s="197">
        <f t="shared" si="46"/>
        <v>26.315789473684212</v>
      </c>
      <c r="R82" s="197">
        <f t="shared" si="47"/>
        <v>0</v>
      </c>
      <c r="S82" s="197">
        <f t="shared" si="48"/>
        <v>0</v>
      </c>
      <c r="T82" s="188">
        <f t="shared" si="62"/>
        <v>0</v>
      </c>
      <c r="U82" s="189">
        <f t="shared" si="63"/>
        <v>0</v>
      </c>
      <c r="V82" s="189">
        <f t="shared" si="64"/>
        <v>0</v>
      </c>
      <c r="W82" s="189">
        <f t="shared" si="65"/>
        <v>0</v>
      </c>
      <c r="X82" s="190">
        <f t="shared" si="66"/>
        <v>0</v>
      </c>
      <c r="Y82" s="195">
        <v>1.18</v>
      </c>
      <c r="Z82" s="195">
        <v>1.28</v>
      </c>
      <c r="AA82" s="195">
        <v>1.2</v>
      </c>
      <c r="AB82" s="195">
        <v>1.53</v>
      </c>
      <c r="AC82" s="195">
        <v>1.2</v>
      </c>
      <c r="AD82" s="199">
        <f t="shared" si="49"/>
        <v>0</v>
      </c>
      <c r="AE82" s="200">
        <f t="shared" si="50"/>
        <v>0</v>
      </c>
      <c r="AF82" s="200">
        <f t="shared" si="51"/>
        <v>0</v>
      </c>
      <c r="AG82" s="200">
        <f t="shared" si="52"/>
        <v>0</v>
      </c>
      <c r="AH82" s="201">
        <f t="shared" si="53"/>
        <v>0</v>
      </c>
      <c r="AI82" s="311">
        <v>271.471</v>
      </c>
      <c r="AJ82" s="141">
        <f t="shared" si="54"/>
        <v>0</v>
      </c>
      <c r="AK82" s="142">
        <f t="shared" si="55"/>
        <v>0</v>
      </c>
      <c r="AL82" s="142">
        <f t="shared" si="56"/>
        <v>0</v>
      </c>
      <c r="AM82" s="142">
        <f t="shared" si="57"/>
        <v>0</v>
      </c>
      <c r="AN82" s="143">
        <f t="shared" si="58"/>
        <v>0</v>
      </c>
      <c r="AO82" s="107">
        <f t="shared" si="67"/>
        <v>1550</v>
      </c>
      <c r="AP82" s="108">
        <f t="shared" si="68"/>
        <v>19160</v>
      </c>
      <c r="AQ82" s="108">
        <f t="shared" si="69"/>
        <v>36239</v>
      </c>
      <c r="AR82" s="108">
        <f t="shared" si="70"/>
        <v>1560</v>
      </c>
      <c r="AS82" s="109">
        <f t="shared" si="71"/>
        <v>3640</v>
      </c>
      <c r="AT82" s="110">
        <f t="shared" si="59"/>
        <v>0</v>
      </c>
      <c r="AU82" s="111">
        <f t="shared" si="72"/>
        <v>0</v>
      </c>
      <c r="AV82" s="111">
        <f t="shared" si="73"/>
        <v>0</v>
      </c>
      <c r="AW82" s="111">
        <f t="shared" si="60"/>
        <v>0</v>
      </c>
      <c r="AX82" s="112">
        <f t="shared" si="61"/>
        <v>0</v>
      </c>
      <c r="AY82" s="110">
        <f t="shared" si="38"/>
        <v>0</v>
      </c>
      <c r="AZ82" s="111">
        <v>1000</v>
      </c>
      <c r="BA82" s="111">
        <f t="shared" si="74"/>
        <v>0</v>
      </c>
      <c r="BB82" s="101"/>
      <c r="BC82" s="104"/>
    </row>
    <row r="83" spans="1:55" ht="14.95" thickBot="1" x14ac:dyDescent="0.3">
      <c r="A83" s="144">
        <f>+A82+1</f>
        <v>46050</v>
      </c>
      <c r="B83" s="212">
        <f>DAY(Tabla2[[#This Row],[FECHA]])</f>
        <v>28</v>
      </c>
      <c r="C83" s="156" t="s">
        <v>28</v>
      </c>
      <c r="D83" s="145"/>
      <c r="E83" s="146"/>
      <c r="F83" s="147"/>
      <c r="G83" s="147"/>
      <c r="H83" s="146"/>
      <c r="I83" s="290">
        <f>((Tabla2[[#This Row],[VOLUMEN ENVIADO A RO (m3)]]/80)/3)*60</f>
        <v>128.60225</v>
      </c>
      <c r="J83" s="276">
        <v>0</v>
      </c>
      <c r="K83" s="277">
        <v>19</v>
      </c>
      <c r="L83" s="278">
        <v>3</v>
      </c>
      <c r="M83" s="277">
        <v>0</v>
      </c>
      <c r="N83" s="278">
        <v>0</v>
      </c>
      <c r="O83" s="192">
        <f t="shared" si="45"/>
        <v>0</v>
      </c>
      <c r="P83" s="203">
        <f t="shared" si="46"/>
        <v>166.66666666666669</v>
      </c>
      <c r="Q83" s="186">
        <f t="shared" si="46"/>
        <v>26.315789473684212</v>
      </c>
      <c r="R83" s="203">
        <f t="shared" si="47"/>
        <v>0</v>
      </c>
      <c r="S83" s="203">
        <f t="shared" si="48"/>
        <v>0</v>
      </c>
      <c r="T83" s="188">
        <f t="shared" si="62"/>
        <v>0</v>
      </c>
      <c r="U83" s="189">
        <f t="shared" si="63"/>
        <v>0</v>
      </c>
      <c r="V83" s="189">
        <f t="shared" si="64"/>
        <v>0</v>
      </c>
      <c r="W83" s="189">
        <f t="shared" si="65"/>
        <v>0</v>
      </c>
      <c r="X83" s="190">
        <f t="shared" si="66"/>
        <v>0</v>
      </c>
      <c r="Y83" s="195">
        <v>1.18</v>
      </c>
      <c r="Z83" s="195">
        <v>1.28</v>
      </c>
      <c r="AA83" s="195">
        <v>1.2</v>
      </c>
      <c r="AB83" s="195">
        <v>1.53</v>
      </c>
      <c r="AC83" s="195">
        <v>1.2</v>
      </c>
      <c r="AD83" s="204">
        <f t="shared" si="49"/>
        <v>0</v>
      </c>
      <c r="AE83" s="205">
        <f t="shared" si="50"/>
        <v>0</v>
      </c>
      <c r="AF83" s="205">
        <f t="shared" si="51"/>
        <v>0</v>
      </c>
      <c r="AG83" s="205">
        <f t="shared" si="52"/>
        <v>0</v>
      </c>
      <c r="AH83" s="206">
        <f t="shared" si="53"/>
        <v>0</v>
      </c>
      <c r="AI83" s="309">
        <v>514.40899999999999</v>
      </c>
      <c r="AJ83" s="148">
        <f t="shared" si="54"/>
        <v>0</v>
      </c>
      <c r="AK83" s="149">
        <f t="shared" si="55"/>
        <v>0</v>
      </c>
      <c r="AL83" s="149">
        <f t="shared" si="56"/>
        <v>0</v>
      </c>
      <c r="AM83" s="149">
        <f t="shared" si="57"/>
        <v>0</v>
      </c>
      <c r="AN83" s="150">
        <f t="shared" si="58"/>
        <v>0</v>
      </c>
      <c r="AO83" s="107">
        <f t="shared" si="67"/>
        <v>1550</v>
      </c>
      <c r="AP83" s="108">
        <f t="shared" si="68"/>
        <v>19160</v>
      </c>
      <c r="AQ83" s="108">
        <f t="shared" si="69"/>
        <v>36239</v>
      </c>
      <c r="AR83" s="108">
        <f t="shared" si="70"/>
        <v>1560</v>
      </c>
      <c r="AS83" s="109">
        <f t="shared" si="71"/>
        <v>3640</v>
      </c>
      <c r="AT83" s="107">
        <f t="shared" si="59"/>
        <v>0</v>
      </c>
      <c r="AU83" s="108">
        <f t="shared" si="72"/>
        <v>0</v>
      </c>
      <c r="AV83" s="108">
        <f t="shared" si="73"/>
        <v>0</v>
      </c>
      <c r="AW83" s="108">
        <f t="shared" si="60"/>
        <v>0</v>
      </c>
      <c r="AX83" s="109">
        <f t="shared" si="61"/>
        <v>0</v>
      </c>
      <c r="AY83" s="107">
        <f t="shared" si="38"/>
        <v>0</v>
      </c>
      <c r="AZ83" s="108">
        <v>1000</v>
      </c>
      <c r="BA83" s="108">
        <f t="shared" si="74"/>
        <v>0</v>
      </c>
      <c r="BB83" s="102"/>
      <c r="BC83" s="103"/>
    </row>
    <row r="84" spans="1:55" ht="14.95" thickBot="1" x14ac:dyDescent="0.3">
      <c r="A84" s="151">
        <f>+A83</f>
        <v>46050</v>
      </c>
      <c r="B84" s="210">
        <f>DAY(Tabla2[[#This Row],[FECHA]])</f>
        <v>28</v>
      </c>
      <c r="C84" s="130" t="s">
        <v>29</v>
      </c>
      <c r="D84" s="131"/>
      <c r="E84" s="132"/>
      <c r="F84" s="133"/>
      <c r="G84" s="133"/>
      <c r="H84" s="132"/>
      <c r="I84" s="290">
        <f>((Tabla2[[#This Row],[VOLUMEN ENVIADO A RO (m3)]]/80)/3)*60</f>
        <v>0</v>
      </c>
      <c r="J84" s="279">
        <v>0</v>
      </c>
      <c r="K84" s="283">
        <v>19</v>
      </c>
      <c r="L84" s="284">
        <v>3</v>
      </c>
      <c r="M84" s="280">
        <v>0</v>
      </c>
      <c r="N84" s="281">
        <v>0</v>
      </c>
      <c r="O84" s="192">
        <f t="shared" si="45"/>
        <v>0</v>
      </c>
      <c r="P84" s="193">
        <f t="shared" si="46"/>
        <v>166.66666666666669</v>
      </c>
      <c r="Q84" s="193">
        <f t="shared" si="46"/>
        <v>26.315789473684212</v>
      </c>
      <c r="R84" s="193">
        <f t="shared" si="47"/>
        <v>0</v>
      </c>
      <c r="S84" s="193">
        <f t="shared" si="48"/>
        <v>0</v>
      </c>
      <c r="T84" s="188">
        <f t="shared" si="62"/>
        <v>0</v>
      </c>
      <c r="U84" s="189">
        <f t="shared" si="63"/>
        <v>0</v>
      </c>
      <c r="V84" s="189">
        <f>Q84-Q85</f>
        <v>0</v>
      </c>
      <c r="W84" s="189">
        <f t="shared" si="65"/>
        <v>0</v>
      </c>
      <c r="X84" s="190">
        <f t="shared" si="66"/>
        <v>0</v>
      </c>
      <c r="Y84" s="195">
        <v>1.18</v>
      </c>
      <c r="Z84" s="195">
        <v>1.28</v>
      </c>
      <c r="AA84" s="195">
        <v>1.2</v>
      </c>
      <c r="AB84" s="195">
        <v>1.53</v>
      </c>
      <c r="AC84" s="195">
        <v>1.2</v>
      </c>
      <c r="AD84" s="188">
        <f t="shared" si="49"/>
        <v>0</v>
      </c>
      <c r="AE84" s="189">
        <f t="shared" si="50"/>
        <v>0</v>
      </c>
      <c r="AF84" s="189">
        <f t="shared" si="51"/>
        <v>0</v>
      </c>
      <c r="AG84" s="189">
        <f t="shared" si="52"/>
        <v>0</v>
      </c>
      <c r="AH84" s="190">
        <f t="shared" si="53"/>
        <v>0</v>
      </c>
      <c r="AI84" s="310">
        <v>0</v>
      </c>
      <c r="AJ84" s="126" t="e">
        <f t="shared" si="54"/>
        <v>#DIV/0!</v>
      </c>
      <c r="AK84" s="127" t="e">
        <f t="shared" si="55"/>
        <v>#DIV/0!</v>
      </c>
      <c r="AL84" s="127" t="e">
        <f t="shared" si="56"/>
        <v>#DIV/0!</v>
      </c>
      <c r="AM84" s="127" t="e">
        <f t="shared" si="57"/>
        <v>#DIV/0!</v>
      </c>
      <c r="AN84" s="128" t="e">
        <f t="shared" si="58"/>
        <v>#DIV/0!</v>
      </c>
      <c r="AO84" s="107">
        <f t="shared" si="67"/>
        <v>1550</v>
      </c>
      <c r="AP84" s="108">
        <f t="shared" si="68"/>
        <v>19160</v>
      </c>
      <c r="AQ84" s="108">
        <f t="shared" si="69"/>
        <v>36239</v>
      </c>
      <c r="AR84" s="108">
        <f t="shared" si="70"/>
        <v>1560</v>
      </c>
      <c r="AS84" s="109">
        <f t="shared" si="71"/>
        <v>3640</v>
      </c>
      <c r="AT84" s="107">
        <f t="shared" si="59"/>
        <v>0</v>
      </c>
      <c r="AU84" s="108">
        <f t="shared" si="72"/>
        <v>0</v>
      </c>
      <c r="AV84" s="108">
        <f t="shared" si="73"/>
        <v>0</v>
      </c>
      <c r="AW84" s="108">
        <f t="shared" si="60"/>
        <v>0</v>
      </c>
      <c r="AX84" s="109">
        <f t="shared" si="61"/>
        <v>0</v>
      </c>
      <c r="AY84" s="107">
        <f t="shared" ref="AY84:AY95" si="75">AT84+AU84+AV84+AW84+AX84</f>
        <v>0</v>
      </c>
      <c r="AZ84" s="108">
        <v>1000</v>
      </c>
      <c r="BA84" s="108" t="e">
        <f t="shared" si="74"/>
        <v>#DIV/0!</v>
      </c>
      <c r="BB84" s="102"/>
      <c r="BC84" s="103"/>
    </row>
    <row r="85" spans="1:55" ht="14.95" thickBot="1" x14ac:dyDescent="0.3">
      <c r="A85" s="152">
        <f>+A84</f>
        <v>46050</v>
      </c>
      <c r="B85" s="211">
        <f>DAY(Tabla2[[#This Row],[FECHA]])</f>
        <v>28</v>
      </c>
      <c r="C85" s="135" t="s">
        <v>30</v>
      </c>
      <c r="D85" s="136"/>
      <c r="E85" s="137"/>
      <c r="F85" s="138"/>
      <c r="G85" s="139"/>
      <c r="H85" s="140"/>
      <c r="I85" s="290">
        <f>((Tabla2[[#This Row],[VOLUMEN ENVIADO A RO (m3)]]/80)/3)*60</f>
        <v>131.13274999999996</v>
      </c>
      <c r="J85" s="282">
        <v>0</v>
      </c>
      <c r="K85" s="277">
        <v>19</v>
      </c>
      <c r="L85" s="278">
        <v>3</v>
      </c>
      <c r="M85" s="283">
        <v>0</v>
      </c>
      <c r="N85" s="284">
        <v>0</v>
      </c>
      <c r="O85" s="192">
        <f t="shared" si="45"/>
        <v>0</v>
      </c>
      <c r="P85" s="197">
        <f t="shared" si="46"/>
        <v>166.66666666666669</v>
      </c>
      <c r="Q85" s="197">
        <f t="shared" si="46"/>
        <v>26.315789473684212</v>
      </c>
      <c r="R85" s="197">
        <f t="shared" si="47"/>
        <v>0</v>
      </c>
      <c r="S85" s="197">
        <f t="shared" si="48"/>
        <v>0</v>
      </c>
      <c r="T85" s="188">
        <f t="shared" si="62"/>
        <v>0</v>
      </c>
      <c r="U85" s="189">
        <f t="shared" si="63"/>
        <v>0</v>
      </c>
      <c r="V85" s="189">
        <f t="shared" si="64"/>
        <v>0</v>
      </c>
      <c r="W85" s="189">
        <f t="shared" si="65"/>
        <v>0</v>
      </c>
      <c r="X85" s="190">
        <f t="shared" si="66"/>
        <v>0</v>
      </c>
      <c r="Y85" s="195">
        <v>1.18</v>
      </c>
      <c r="Z85" s="195">
        <v>1.28</v>
      </c>
      <c r="AA85" s="195">
        <v>1.2</v>
      </c>
      <c r="AB85" s="195">
        <v>1.53</v>
      </c>
      <c r="AC85" s="195">
        <v>1.2</v>
      </c>
      <c r="AD85" s="199">
        <f t="shared" si="49"/>
        <v>0</v>
      </c>
      <c r="AE85" s="200">
        <f t="shared" si="50"/>
        <v>0</v>
      </c>
      <c r="AF85" s="200">
        <f t="shared" si="51"/>
        <v>0</v>
      </c>
      <c r="AG85" s="200">
        <f t="shared" si="52"/>
        <v>0</v>
      </c>
      <c r="AH85" s="201">
        <f t="shared" si="53"/>
        <v>0</v>
      </c>
      <c r="AI85" s="311">
        <v>524.53099999999995</v>
      </c>
      <c r="AJ85" s="141">
        <f t="shared" si="54"/>
        <v>0</v>
      </c>
      <c r="AK85" s="142">
        <f t="shared" si="55"/>
        <v>0</v>
      </c>
      <c r="AL85" s="142">
        <f t="shared" si="56"/>
        <v>0</v>
      </c>
      <c r="AM85" s="142">
        <f t="shared" si="57"/>
        <v>0</v>
      </c>
      <c r="AN85" s="143">
        <f t="shared" si="58"/>
        <v>0</v>
      </c>
      <c r="AO85" s="107">
        <f t="shared" si="67"/>
        <v>1550</v>
      </c>
      <c r="AP85" s="108">
        <f t="shared" si="68"/>
        <v>19160</v>
      </c>
      <c r="AQ85" s="108">
        <f t="shared" si="69"/>
        <v>36239</v>
      </c>
      <c r="AR85" s="108">
        <f t="shared" si="70"/>
        <v>1560</v>
      </c>
      <c r="AS85" s="109">
        <f t="shared" si="71"/>
        <v>3640</v>
      </c>
      <c r="AT85" s="110">
        <f t="shared" si="59"/>
        <v>0</v>
      </c>
      <c r="AU85" s="111">
        <f t="shared" si="72"/>
        <v>0</v>
      </c>
      <c r="AV85" s="111">
        <f t="shared" si="73"/>
        <v>0</v>
      </c>
      <c r="AW85" s="111">
        <f t="shared" si="60"/>
        <v>0</v>
      </c>
      <c r="AX85" s="112">
        <f t="shared" si="61"/>
        <v>0</v>
      </c>
      <c r="AY85" s="110">
        <f t="shared" si="75"/>
        <v>0</v>
      </c>
      <c r="AZ85" s="111">
        <v>1000</v>
      </c>
      <c r="BA85" s="111">
        <f t="shared" si="74"/>
        <v>0</v>
      </c>
      <c r="BB85" s="101"/>
      <c r="BC85" s="104"/>
    </row>
    <row r="86" spans="1:55" ht="14.95" thickBot="1" x14ac:dyDescent="0.3">
      <c r="A86" s="144">
        <f>+A85+1</f>
        <v>46051</v>
      </c>
      <c r="B86" s="212">
        <f>DAY(Tabla2[[#This Row],[FECHA]])</f>
        <v>29</v>
      </c>
      <c r="C86" s="156" t="s">
        <v>28</v>
      </c>
      <c r="D86" s="145"/>
      <c r="E86" s="146"/>
      <c r="F86" s="147"/>
      <c r="G86" s="147"/>
      <c r="H86" s="146"/>
      <c r="I86" s="290">
        <f>((Tabla2[[#This Row],[VOLUMEN ENVIADO A RO (m3)]]/80)/3)*60</f>
        <v>110.45825000000001</v>
      </c>
      <c r="J86" s="282">
        <v>0</v>
      </c>
      <c r="K86" s="283">
        <v>19</v>
      </c>
      <c r="L86" s="284">
        <v>3</v>
      </c>
      <c r="M86" s="283">
        <v>0</v>
      </c>
      <c r="N86" s="284">
        <v>0</v>
      </c>
      <c r="O86" s="192">
        <f t="shared" si="45"/>
        <v>0</v>
      </c>
      <c r="P86" s="203">
        <f t="shared" si="46"/>
        <v>166.66666666666669</v>
      </c>
      <c r="Q86" s="186">
        <f t="shared" si="46"/>
        <v>26.315789473684212</v>
      </c>
      <c r="R86" s="203">
        <f t="shared" si="47"/>
        <v>0</v>
      </c>
      <c r="S86" s="203">
        <f t="shared" si="48"/>
        <v>0</v>
      </c>
      <c r="T86" s="188">
        <f t="shared" si="62"/>
        <v>0</v>
      </c>
      <c r="U86" s="189">
        <f t="shared" si="63"/>
        <v>0</v>
      </c>
      <c r="V86" s="189">
        <f t="shared" si="64"/>
        <v>0</v>
      </c>
      <c r="W86" s="189">
        <f t="shared" si="65"/>
        <v>0</v>
      </c>
      <c r="X86" s="190">
        <f t="shared" si="66"/>
        <v>0</v>
      </c>
      <c r="Y86" s="195">
        <v>1.18</v>
      </c>
      <c r="Z86" s="195">
        <v>1.28</v>
      </c>
      <c r="AA86" s="195">
        <v>1.2</v>
      </c>
      <c r="AB86" s="195">
        <v>1.53</v>
      </c>
      <c r="AC86" s="195">
        <v>1.2</v>
      </c>
      <c r="AD86" s="204">
        <f t="shared" si="49"/>
        <v>0</v>
      </c>
      <c r="AE86" s="205">
        <f t="shared" si="50"/>
        <v>0</v>
      </c>
      <c r="AF86" s="205">
        <f t="shared" si="51"/>
        <v>0</v>
      </c>
      <c r="AG86" s="205">
        <f t="shared" si="52"/>
        <v>0</v>
      </c>
      <c r="AH86" s="206">
        <f t="shared" si="53"/>
        <v>0</v>
      </c>
      <c r="AI86" s="309">
        <v>441.83300000000003</v>
      </c>
      <c r="AJ86" s="148">
        <f t="shared" si="54"/>
        <v>0</v>
      </c>
      <c r="AK86" s="149">
        <f t="shared" si="55"/>
        <v>0</v>
      </c>
      <c r="AL86" s="149">
        <f t="shared" si="56"/>
        <v>0</v>
      </c>
      <c r="AM86" s="149">
        <f t="shared" si="57"/>
        <v>0</v>
      </c>
      <c r="AN86" s="150">
        <f t="shared" si="58"/>
        <v>0</v>
      </c>
      <c r="AO86" s="107">
        <f t="shared" si="67"/>
        <v>1550</v>
      </c>
      <c r="AP86" s="108">
        <f t="shared" si="68"/>
        <v>19160</v>
      </c>
      <c r="AQ86" s="108">
        <f t="shared" si="69"/>
        <v>36239</v>
      </c>
      <c r="AR86" s="108">
        <f t="shared" si="70"/>
        <v>1560</v>
      </c>
      <c r="AS86" s="109">
        <f t="shared" si="71"/>
        <v>3640</v>
      </c>
      <c r="AT86" s="107">
        <f t="shared" si="59"/>
        <v>0</v>
      </c>
      <c r="AU86" s="108">
        <f t="shared" si="72"/>
        <v>0</v>
      </c>
      <c r="AV86" s="108">
        <f t="shared" si="73"/>
        <v>0</v>
      </c>
      <c r="AW86" s="108">
        <f t="shared" si="60"/>
        <v>0</v>
      </c>
      <c r="AX86" s="109">
        <f t="shared" si="61"/>
        <v>0</v>
      </c>
      <c r="AY86" s="107">
        <f t="shared" si="75"/>
        <v>0</v>
      </c>
      <c r="AZ86" s="108">
        <v>1000</v>
      </c>
      <c r="BA86" s="108">
        <f t="shared" si="74"/>
        <v>0</v>
      </c>
      <c r="BB86" s="102"/>
      <c r="BC86" s="103"/>
    </row>
    <row r="87" spans="1:55" ht="14.95" thickBot="1" x14ac:dyDescent="0.3">
      <c r="A87" s="151">
        <f>+A86</f>
        <v>46051</v>
      </c>
      <c r="B87" s="210">
        <f>DAY(Tabla2[[#This Row],[FECHA]])</f>
        <v>29</v>
      </c>
      <c r="C87" s="130" t="s">
        <v>29</v>
      </c>
      <c r="D87" s="131"/>
      <c r="E87" s="132"/>
      <c r="F87" s="133"/>
      <c r="G87" s="133"/>
      <c r="H87" s="132"/>
      <c r="I87" s="290">
        <f>((Tabla2[[#This Row],[VOLUMEN ENVIADO A RO (m3)]]/80)/3)*60</f>
        <v>79.222750000000019</v>
      </c>
      <c r="J87" s="282">
        <v>0</v>
      </c>
      <c r="K87" s="277">
        <v>19</v>
      </c>
      <c r="L87" s="278">
        <v>3</v>
      </c>
      <c r="M87" s="283">
        <v>0</v>
      </c>
      <c r="N87" s="284">
        <v>0</v>
      </c>
      <c r="O87" s="192">
        <f t="shared" ref="O87:O95" si="76">J87*(1000/114)</f>
        <v>0</v>
      </c>
      <c r="P87" s="193">
        <f t="shared" si="46"/>
        <v>166.66666666666669</v>
      </c>
      <c r="Q87" s="193">
        <f t="shared" si="46"/>
        <v>26.315789473684212</v>
      </c>
      <c r="R87" s="193">
        <f t="shared" si="47"/>
        <v>0</v>
      </c>
      <c r="S87" s="193">
        <f t="shared" si="48"/>
        <v>0</v>
      </c>
      <c r="T87" s="188">
        <f t="shared" si="62"/>
        <v>0</v>
      </c>
      <c r="U87" s="189">
        <f t="shared" si="63"/>
        <v>0</v>
      </c>
      <c r="V87" s="189">
        <f t="shared" si="64"/>
        <v>0</v>
      </c>
      <c r="W87" s="189">
        <f t="shared" si="65"/>
        <v>0</v>
      </c>
      <c r="X87" s="190">
        <f t="shared" si="66"/>
        <v>0</v>
      </c>
      <c r="Y87" s="195">
        <v>1.18</v>
      </c>
      <c r="Z87" s="195">
        <v>1.28</v>
      </c>
      <c r="AA87" s="195">
        <v>1.2</v>
      </c>
      <c r="AB87" s="195">
        <v>1.53</v>
      </c>
      <c r="AC87" s="195">
        <v>1.2</v>
      </c>
      <c r="AD87" s="188">
        <f t="shared" si="49"/>
        <v>0</v>
      </c>
      <c r="AE87" s="189">
        <f t="shared" si="50"/>
        <v>0</v>
      </c>
      <c r="AF87" s="189">
        <f t="shared" si="51"/>
        <v>0</v>
      </c>
      <c r="AG87" s="189">
        <f t="shared" si="52"/>
        <v>0</v>
      </c>
      <c r="AH87" s="190">
        <f t="shared" si="53"/>
        <v>0</v>
      </c>
      <c r="AI87" s="310">
        <v>316.89100000000002</v>
      </c>
      <c r="AJ87" s="126">
        <f t="shared" si="54"/>
        <v>0</v>
      </c>
      <c r="AK87" s="127">
        <f t="shared" si="55"/>
        <v>0</v>
      </c>
      <c r="AL87" s="127">
        <f t="shared" si="56"/>
        <v>0</v>
      </c>
      <c r="AM87" s="127">
        <f t="shared" si="57"/>
        <v>0</v>
      </c>
      <c r="AN87" s="128">
        <f t="shared" si="58"/>
        <v>0</v>
      </c>
      <c r="AO87" s="107">
        <f t="shared" si="67"/>
        <v>1550</v>
      </c>
      <c r="AP87" s="108">
        <f t="shared" si="68"/>
        <v>19160</v>
      </c>
      <c r="AQ87" s="108">
        <f t="shared" si="69"/>
        <v>36239</v>
      </c>
      <c r="AR87" s="108">
        <f t="shared" si="70"/>
        <v>1560</v>
      </c>
      <c r="AS87" s="109">
        <f t="shared" si="71"/>
        <v>3640</v>
      </c>
      <c r="AT87" s="107">
        <f t="shared" si="59"/>
        <v>0</v>
      </c>
      <c r="AU87" s="108">
        <f t="shared" si="72"/>
        <v>0</v>
      </c>
      <c r="AV87" s="108">
        <f t="shared" si="73"/>
        <v>0</v>
      </c>
      <c r="AW87" s="108">
        <f t="shared" si="60"/>
        <v>0</v>
      </c>
      <c r="AX87" s="109">
        <f t="shared" si="61"/>
        <v>0</v>
      </c>
      <c r="AY87" s="107">
        <f t="shared" si="75"/>
        <v>0</v>
      </c>
      <c r="AZ87" s="108">
        <v>1000</v>
      </c>
      <c r="BA87" s="108">
        <f t="shared" si="74"/>
        <v>0</v>
      </c>
      <c r="BB87" s="102"/>
      <c r="BC87" s="103"/>
    </row>
    <row r="88" spans="1:55" ht="14.95" thickBot="1" x14ac:dyDescent="0.3">
      <c r="A88" s="152">
        <f>+A87</f>
        <v>46051</v>
      </c>
      <c r="B88" s="211">
        <f>DAY(Tabla2[[#This Row],[FECHA]])</f>
        <v>29</v>
      </c>
      <c r="C88" s="135" t="s">
        <v>30</v>
      </c>
      <c r="D88" s="136"/>
      <c r="E88" s="137"/>
      <c r="F88" s="138"/>
      <c r="G88" s="139"/>
      <c r="H88" s="140"/>
      <c r="I88" s="290">
        <f>((Tabla2[[#This Row],[VOLUMEN ENVIADO A RO (m3)]]/80)/3)*60</f>
        <v>76.497249999999994</v>
      </c>
      <c r="J88" s="282">
        <v>0</v>
      </c>
      <c r="K88" s="283">
        <v>19</v>
      </c>
      <c r="L88" s="284">
        <v>3</v>
      </c>
      <c r="M88" s="283">
        <v>0</v>
      </c>
      <c r="N88" s="284">
        <v>0</v>
      </c>
      <c r="O88" s="196">
        <f t="shared" si="76"/>
        <v>0</v>
      </c>
      <c r="P88" s="197">
        <f t="shared" si="46"/>
        <v>166.66666666666669</v>
      </c>
      <c r="Q88" s="197">
        <f t="shared" si="46"/>
        <v>26.315789473684212</v>
      </c>
      <c r="R88" s="197">
        <f t="shared" si="47"/>
        <v>0</v>
      </c>
      <c r="S88" s="197">
        <f t="shared" si="48"/>
        <v>0</v>
      </c>
      <c r="T88" s="188">
        <f t="shared" si="62"/>
        <v>0</v>
      </c>
      <c r="U88" s="189">
        <f t="shared" si="63"/>
        <v>0</v>
      </c>
      <c r="V88" s="189">
        <f t="shared" si="64"/>
        <v>0</v>
      </c>
      <c r="W88" s="189">
        <f t="shared" si="65"/>
        <v>0</v>
      </c>
      <c r="X88" s="190">
        <f t="shared" si="66"/>
        <v>0</v>
      </c>
      <c r="Y88" s="195">
        <v>1.18</v>
      </c>
      <c r="Z88" s="195">
        <v>1.28</v>
      </c>
      <c r="AA88" s="195">
        <v>1.2</v>
      </c>
      <c r="AB88" s="195">
        <v>1.53</v>
      </c>
      <c r="AC88" s="195">
        <v>1.2</v>
      </c>
      <c r="AD88" s="199">
        <f t="shared" si="49"/>
        <v>0</v>
      </c>
      <c r="AE88" s="200">
        <f t="shared" si="50"/>
        <v>0</v>
      </c>
      <c r="AF88" s="200">
        <f t="shared" si="51"/>
        <v>0</v>
      </c>
      <c r="AG88" s="200">
        <f t="shared" si="52"/>
        <v>0</v>
      </c>
      <c r="AH88" s="201">
        <f t="shared" si="53"/>
        <v>0</v>
      </c>
      <c r="AI88" s="311">
        <v>305.98899999999998</v>
      </c>
      <c r="AJ88" s="141">
        <f t="shared" si="54"/>
        <v>0</v>
      </c>
      <c r="AK88" s="142">
        <f t="shared" si="55"/>
        <v>0</v>
      </c>
      <c r="AL88" s="142">
        <f t="shared" si="56"/>
        <v>0</v>
      </c>
      <c r="AM88" s="142">
        <f t="shared" si="57"/>
        <v>0</v>
      </c>
      <c r="AN88" s="143">
        <f t="shared" si="58"/>
        <v>0</v>
      </c>
      <c r="AO88" s="107">
        <f t="shared" si="67"/>
        <v>1550</v>
      </c>
      <c r="AP88" s="108">
        <f t="shared" si="68"/>
        <v>19160</v>
      </c>
      <c r="AQ88" s="108">
        <f t="shared" si="69"/>
        <v>36239</v>
      </c>
      <c r="AR88" s="108">
        <f t="shared" si="70"/>
        <v>1560</v>
      </c>
      <c r="AS88" s="109">
        <f t="shared" si="71"/>
        <v>3640</v>
      </c>
      <c r="AT88" s="110">
        <f t="shared" si="59"/>
        <v>0</v>
      </c>
      <c r="AU88" s="111">
        <f t="shared" si="72"/>
        <v>0</v>
      </c>
      <c r="AV88" s="111">
        <f t="shared" si="73"/>
        <v>0</v>
      </c>
      <c r="AW88" s="111">
        <f t="shared" si="60"/>
        <v>0</v>
      </c>
      <c r="AX88" s="112">
        <f t="shared" si="61"/>
        <v>0</v>
      </c>
      <c r="AY88" s="110">
        <f t="shared" si="75"/>
        <v>0</v>
      </c>
      <c r="AZ88" s="111">
        <v>1000</v>
      </c>
      <c r="BA88" s="111">
        <f t="shared" si="74"/>
        <v>0</v>
      </c>
      <c r="BB88" s="101"/>
      <c r="BC88" s="104"/>
    </row>
    <row r="89" spans="1:55" ht="14.95" thickBot="1" x14ac:dyDescent="0.3">
      <c r="A89" s="144">
        <f>+A88+1</f>
        <v>46052</v>
      </c>
      <c r="B89" s="212">
        <f>DAY(Tabla2[[#This Row],[FECHA]])</f>
        <v>30</v>
      </c>
      <c r="C89" s="156" t="s">
        <v>28</v>
      </c>
      <c r="D89" s="145"/>
      <c r="E89" s="146"/>
      <c r="F89" s="147"/>
      <c r="G89" s="147"/>
      <c r="H89" s="146"/>
      <c r="I89" s="290">
        <f>((Tabla2[[#This Row],[VOLUMEN ENVIADO A RO (m3)]]/80)/3)*60</f>
        <v>126.10325</v>
      </c>
      <c r="J89" s="282">
        <v>0</v>
      </c>
      <c r="K89" s="277">
        <v>19</v>
      </c>
      <c r="L89" s="278">
        <v>3</v>
      </c>
      <c r="M89" s="283">
        <v>0</v>
      </c>
      <c r="N89" s="284">
        <v>0</v>
      </c>
      <c r="O89" s="202">
        <f t="shared" si="76"/>
        <v>0</v>
      </c>
      <c r="P89" s="203">
        <f t="shared" si="46"/>
        <v>166.66666666666669</v>
      </c>
      <c r="Q89" s="186">
        <f t="shared" si="46"/>
        <v>26.315789473684212</v>
      </c>
      <c r="R89" s="203">
        <f t="shared" si="47"/>
        <v>0</v>
      </c>
      <c r="S89" s="203">
        <f t="shared" si="48"/>
        <v>0</v>
      </c>
      <c r="T89" s="188">
        <f t="shared" si="62"/>
        <v>0</v>
      </c>
      <c r="U89" s="189">
        <f t="shared" si="63"/>
        <v>0</v>
      </c>
      <c r="V89" s="189">
        <f t="shared" si="64"/>
        <v>0</v>
      </c>
      <c r="W89" s="189">
        <f t="shared" si="65"/>
        <v>0</v>
      </c>
      <c r="X89" s="190">
        <f t="shared" si="66"/>
        <v>0</v>
      </c>
      <c r="Y89" s="195">
        <v>1.18</v>
      </c>
      <c r="Z89" s="195">
        <v>1.28</v>
      </c>
      <c r="AA89" s="195">
        <v>1.2</v>
      </c>
      <c r="AB89" s="195">
        <v>1.53</v>
      </c>
      <c r="AC89" s="195">
        <v>1.2</v>
      </c>
      <c r="AD89" s="204">
        <f t="shared" si="49"/>
        <v>0</v>
      </c>
      <c r="AE89" s="205">
        <f t="shared" si="50"/>
        <v>0</v>
      </c>
      <c r="AF89" s="205">
        <f t="shared" si="51"/>
        <v>0</v>
      </c>
      <c r="AG89" s="205">
        <f t="shared" si="52"/>
        <v>0</v>
      </c>
      <c r="AH89" s="206">
        <f t="shared" si="53"/>
        <v>0</v>
      </c>
      <c r="AI89" s="309">
        <v>504.41300000000001</v>
      </c>
      <c r="AJ89" s="148">
        <f t="shared" si="54"/>
        <v>0</v>
      </c>
      <c r="AK89" s="149">
        <f t="shared" si="55"/>
        <v>0</v>
      </c>
      <c r="AL89" s="149">
        <f t="shared" si="56"/>
        <v>0</v>
      </c>
      <c r="AM89" s="149">
        <f t="shared" si="57"/>
        <v>0</v>
      </c>
      <c r="AN89" s="150">
        <f t="shared" si="58"/>
        <v>0</v>
      </c>
      <c r="AO89" s="107">
        <f t="shared" si="67"/>
        <v>1550</v>
      </c>
      <c r="AP89" s="108">
        <f t="shared" si="68"/>
        <v>19160</v>
      </c>
      <c r="AQ89" s="108">
        <f t="shared" si="69"/>
        <v>36239</v>
      </c>
      <c r="AR89" s="108">
        <f t="shared" si="70"/>
        <v>1560</v>
      </c>
      <c r="AS89" s="109">
        <f t="shared" si="71"/>
        <v>3640</v>
      </c>
      <c r="AT89" s="107">
        <f t="shared" si="59"/>
        <v>0</v>
      </c>
      <c r="AU89" s="108">
        <f t="shared" si="72"/>
        <v>0</v>
      </c>
      <c r="AV89" s="108">
        <f t="shared" si="73"/>
        <v>0</v>
      </c>
      <c r="AW89" s="108">
        <f t="shared" si="60"/>
        <v>0</v>
      </c>
      <c r="AX89" s="109">
        <f t="shared" si="61"/>
        <v>0</v>
      </c>
      <c r="AY89" s="107">
        <f t="shared" si="75"/>
        <v>0</v>
      </c>
      <c r="AZ89" s="108">
        <v>1000</v>
      </c>
      <c r="BA89" s="108">
        <f t="shared" si="74"/>
        <v>0</v>
      </c>
      <c r="BB89" s="102"/>
      <c r="BC89" s="103"/>
    </row>
    <row r="90" spans="1:55" ht="14.95" thickBot="1" x14ac:dyDescent="0.3">
      <c r="A90" s="151">
        <f>+A89</f>
        <v>46052</v>
      </c>
      <c r="B90" s="210">
        <f>DAY(Tabla2[[#This Row],[FECHA]])</f>
        <v>30</v>
      </c>
      <c r="C90" s="130" t="s">
        <v>29</v>
      </c>
      <c r="D90" s="131"/>
      <c r="E90" s="132"/>
      <c r="F90" s="133"/>
      <c r="G90" s="133"/>
      <c r="H90" s="132"/>
      <c r="I90" s="290">
        <f>((Tabla2[[#This Row],[VOLUMEN ENVIADO A RO (m3)]]/80)/3)*60</f>
        <v>76.626249999999999</v>
      </c>
      <c r="J90" s="282">
        <v>0</v>
      </c>
      <c r="K90" s="283">
        <v>19</v>
      </c>
      <c r="L90" s="284">
        <v>3</v>
      </c>
      <c r="M90" s="283">
        <v>0</v>
      </c>
      <c r="N90" s="284">
        <v>0</v>
      </c>
      <c r="O90" s="192">
        <f t="shared" si="76"/>
        <v>0</v>
      </c>
      <c r="P90" s="193">
        <f t="shared" si="46"/>
        <v>166.66666666666669</v>
      </c>
      <c r="Q90" s="193">
        <f t="shared" si="46"/>
        <v>26.315789473684212</v>
      </c>
      <c r="R90" s="193">
        <f t="shared" si="47"/>
        <v>0</v>
      </c>
      <c r="S90" s="193">
        <f t="shared" si="48"/>
        <v>0</v>
      </c>
      <c r="T90" s="188">
        <f t="shared" si="62"/>
        <v>0</v>
      </c>
      <c r="U90" s="189">
        <f t="shared" si="63"/>
        <v>0</v>
      </c>
      <c r="V90" s="189">
        <f t="shared" si="64"/>
        <v>0</v>
      </c>
      <c r="W90" s="189">
        <f t="shared" si="65"/>
        <v>0</v>
      </c>
      <c r="X90" s="190">
        <f t="shared" si="66"/>
        <v>0</v>
      </c>
      <c r="Y90" s="195">
        <v>1.18</v>
      </c>
      <c r="Z90" s="195">
        <v>1.28</v>
      </c>
      <c r="AA90" s="195">
        <v>1.2</v>
      </c>
      <c r="AB90" s="195">
        <v>1.53</v>
      </c>
      <c r="AC90" s="195">
        <v>1.2</v>
      </c>
      <c r="AD90" s="188">
        <f t="shared" si="49"/>
        <v>0</v>
      </c>
      <c r="AE90" s="189">
        <f t="shared" si="50"/>
        <v>0</v>
      </c>
      <c r="AF90" s="189">
        <f t="shared" si="51"/>
        <v>0</v>
      </c>
      <c r="AG90" s="189">
        <f t="shared" si="52"/>
        <v>0</v>
      </c>
      <c r="AH90" s="190">
        <f t="shared" si="53"/>
        <v>0</v>
      </c>
      <c r="AI90" s="310">
        <v>306.505</v>
      </c>
      <c r="AJ90" s="126">
        <f t="shared" si="54"/>
        <v>0</v>
      </c>
      <c r="AK90" s="127">
        <f t="shared" si="55"/>
        <v>0</v>
      </c>
      <c r="AL90" s="127">
        <f t="shared" si="56"/>
        <v>0</v>
      </c>
      <c r="AM90" s="127">
        <f t="shared" si="57"/>
        <v>0</v>
      </c>
      <c r="AN90" s="128">
        <f t="shared" si="58"/>
        <v>0</v>
      </c>
      <c r="AO90" s="107">
        <f t="shared" si="67"/>
        <v>1550</v>
      </c>
      <c r="AP90" s="108">
        <f t="shared" si="68"/>
        <v>19160</v>
      </c>
      <c r="AQ90" s="108">
        <f t="shared" si="69"/>
        <v>36239</v>
      </c>
      <c r="AR90" s="108">
        <f t="shared" si="70"/>
        <v>1560</v>
      </c>
      <c r="AS90" s="109">
        <f t="shared" si="71"/>
        <v>3640</v>
      </c>
      <c r="AT90" s="107">
        <f t="shared" si="59"/>
        <v>0</v>
      </c>
      <c r="AU90" s="108">
        <f t="shared" si="72"/>
        <v>0</v>
      </c>
      <c r="AV90" s="108">
        <f t="shared" si="73"/>
        <v>0</v>
      </c>
      <c r="AW90" s="108">
        <f t="shared" si="60"/>
        <v>0</v>
      </c>
      <c r="AX90" s="109">
        <f t="shared" si="61"/>
        <v>0</v>
      </c>
      <c r="AY90" s="107">
        <f t="shared" si="75"/>
        <v>0</v>
      </c>
      <c r="AZ90" s="108">
        <v>1000</v>
      </c>
      <c r="BA90" s="108">
        <f t="shared" si="74"/>
        <v>0</v>
      </c>
      <c r="BB90" s="102"/>
      <c r="BC90" s="103"/>
    </row>
    <row r="91" spans="1:55" ht="14.95" thickBot="1" x14ac:dyDescent="0.3">
      <c r="A91" s="152">
        <f>+A90</f>
        <v>46052</v>
      </c>
      <c r="B91" s="211">
        <f>DAY(Tabla2[[#This Row],[FECHA]])</f>
        <v>30</v>
      </c>
      <c r="C91" s="135" t="s">
        <v>30</v>
      </c>
      <c r="D91" s="136"/>
      <c r="E91" s="137"/>
      <c r="F91" s="138"/>
      <c r="G91" s="139"/>
      <c r="H91" s="140"/>
      <c r="I91" s="290">
        <f>((Tabla2[[#This Row],[VOLUMEN ENVIADO A RO (m3)]]/80)/3)*60</f>
        <v>111.55975000000001</v>
      </c>
      <c r="J91" s="282">
        <v>0</v>
      </c>
      <c r="K91" s="277">
        <v>19</v>
      </c>
      <c r="L91" s="278">
        <v>3</v>
      </c>
      <c r="M91" s="283">
        <v>0</v>
      </c>
      <c r="N91" s="284">
        <v>0</v>
      </c>
      <c r="O91" s="196">
        <f t="shared" si="76"/>
        <v>0</v>
      </c>
      <c r="P91" s="197">
        <f t="shared" si="46"/>
        <v>166.66666666666669</v>
      </c>
      <c r="Q91" s="197">
        <f t="shared" si="46"/>
        <v>26.315789473684212</v>
      </c>
      <c r="R91" s="197">
        <f t="shared" si="47"/>
        <v>0</v>
      </c>
      <c r="S91" s="197">
        <f t="shared" si="48"/>
        <v>0</v>
      </c>
      <c r="T91" s="188">
        <f t="shared" si="62"/>
        <v>0</v>
      </c>
      <c r="U91" s="189">
        <f t="shared" si="63"/>
        <v>0</v>
      </c>
      <c r="V91" s="189">
        <f t="shared" si="64"/>
        <v>0</v>
      </c>
      <c r="W91" s="189">
        <f t="shared" si="65"/>
        <v>0</v>
      </c>
      <c r="X91" s="190">
        <f t="shared" si="66"/>
        <v>0</v>
      </c>
      <c r="Y91" s="195">
        <v>1.18</v>
      </c>
      <c r="Z91" s="195">
        <v>1.28</v>
      </c>
      <c r="AA91" s="195">
        <v>1.2</v>
      </c>
      <c r="AB91" s="195">
        <v>1.53</v>
      </c>
      <c r="AC91" s="195">
        <v>1.2</v>
      </c>
      <c r="AD91" s="199">
        <f t="shared" si="49"/>
        <v>0</v>
      </c>
      <c r="AE91" s="200">
        <f t="shared" si="50"/>
        <v>0</v>
      </c>
      <c r="AF91" s="200">
        <f t="shared" si="51"/>
        <v>0</v>
      </c>
      <c r="AG91" s="200">
        <f t="shared" si="52"/>
        <v>0</v>
      </c>
      <c r="AH91" s="201">
        <f t="shared" si="53"/>
        <v>0</v>
      </c>
      <c r="AI91" s="311">
        <v>446.23899999999998</v>
      </c>
      <c r="AJ91" s="141">
        <f t="shared" si="54"/>
        <v>0</v>
      </c>
      <c r="AK91" s="142">
        <f t="shared" si="55"/>
        <v>0</v>
      </c>
      <c r="AL91" s="142">
        <f t="shared" si="56"/>
        <v>0</v>
      </c>
      <c r="AM91" s="142">
        <f t="shared" si="57"/>
        <v>0</v>
      </c>
      <c r="AN91" s="143">
        <f t="shared" si="58"/>
        <v>0</v>
      </c>
      <c r="AO91" s="107">
        <f t="shared" si="67"/>
        <v>1550</v>
      </c>
      <c r="AP91" s="108">
        <f t="shared" si="68"/>
        <v>19160</v>
      </c>
      <c r="AQ91" s="108">
        <f t="shared" si="69"/>
        <v>36239</v>
      </c>
      <c r="AR91" s="108">
        <f t="shared" si="70"/>
        <v>1560</v>
      </c>
      <c r="AS91" s="109">
        <f t="shared" si="71"/>
        <v>3640</v>
      </c>
      <c r="AT91" s="110">
        <f t="shared" si="59"/>
        <v>0</v>
      </c>
      <c r="AU91" s="111">
        <f t="shared" si="72"/>
        <v>0</v>
      </c>
      <c r="AV91" s="111">
        <f t="shared" si="73"/>
        <v>0</v>
      </c>
      <c r="AW91" s="111">
        <f t="shared" si="60"/>
        <v>0</v>
      </c>
      <c r="AX91" s="112">
        <f t="shared" si="61"/>
        <v>0</v>
      </c>
      <c r="AY91" s="110">
        <f t="shared" si="75"/>
        <v>0</v>
      </c>
      <c r="AZ91" s="111">
        <v>1000</v>
      </c>
      <c r="BA91" s="111">
        <f t="shared" si="74"/>
        <v>0</v>
      </c>
      <c r="BB91" s="101"/>
      <c r="BC91" s="104"/>
    </row>
    <row r="92" spans="1:55" ht="14.95" thickBot="1" x14ac:dyDescent="0.3">
      <c r="A92" s="144">
        <f>+A91+1</f>
        <v>46053</v>
      </c>
      <c r="B92" s="212">
        <f>DAY(Tabla2[[#This Row],[FECHA]])</f>
        <v>31</v>
      </c>
      <c r="C92" s="156" t="s">
        <v>28</v>
      </c>
      <c r="D92" s="145"/>
      <c r="E92" s="146"/>
      <c r="F92" s="147"/>
      <c r="G92" s="147"/>
      <c r="H92" s="146"/>
      <c r="I92" s="290">
        <f>((Tabla2[[#This Row],[VOLUMEN ENVIADO A RO (m3)]]/80)/3)*60</f>
        <v>110</v>
      </c>
      <c r="J92" s="282">
        <v>0</v>
      </c>
      <c r="K92" s="283">
        <v>19</v>
      </c>
      <c r="L92" s="284">
        <v>3</v>
      </c>
      <c r="M92" s="283">
        <v>0</v>
      </c>
      <c r="N92" s="284">
        <v>0</v>
      </c>
      <c r="O92" s="202">
        <f t="shared" si="76"/>
        <v>0</v>
      </c>
      <c r="P92" s="203">
        <f t="shared" si="46"/>
        <v>166.66666666666669</v>
      </c>
      <c r="Q92" s="186">
        <f t="shared" si="46"/>
        <v>26.315789473684212</v>
      </c>
      <c r="R92" s="203">
        <f t="shared" si="47"/>
        <v>0</v>
      </c>
      <c r="S92" s="203">
        <f t="shared" si="48"/>
        <v>0</v>
      </c>
      <c r="T92" s="188">
        <f t="shared" si="62"/>
        <v>0</v>
      </c>
      <c r="U92" s="189">
        <f t="shared" si="63"/>
        <v>0</v>
      </c>
      <c r="V92" s="189">
        <f t="shared" si="64"/>
        <v>0</v>
      </c>
      <c r="W92" s="189">
        <f t="shared" si="65"/>
        <v>0</v>
      </c>
      <c r="X92" s="190">
        <f t="shared" si="66"/>
        <v>0</v>
      </c>
      <c r="Y92" s="195">
        <v>1.18</v>
      </c>
      <c r="Z92" s="195">
        <v>1.28</v>
      </c>
      <c r="AA92" s="195">
        <v>1.2</v>
      </c>
      <c r="AB92" s="195">
        <v>1.53</v>
      </c>
      <c r="AC92" s="195">
        <v>1.2</v>
      </c>
      <c r="AD92" s="204">
        <f t="shared" si="49"/>
        <v>0</v>
      </c>
      <c r="AE92" s="205">
        <f t="shared" si="50"/>
        <v>0</v>
      </c>
      <c r="AF92" s="205">
        <f t="shared" si="51"/>
        <v>0</v>
      </c>
      <c r="AG92" s="205">
        <f t="shared" si="52"/>
        <v>0</v>
      </c>
      <c r="AH92" s="206">
        <f t="shared" si="53"/>
        <v>0</v>
      </c>
      <c r="AI92" s="309">
        <v>440</v>
      </c>
      <c r="AJ92" s="148">
        <f t="shared" si="54"/>
        <v>0</v>
      </c>
      <c r="AK92" s="149">
        <f t="shared" si="55"/>
        <v>0</v>
      </c>
      <c r="AL92" s="149">
        <f t="shared" si="56"/>
        <v>0</v>
      </c>
      <c r="AM92" s="149">
        <f t="shared" si="57"/>
        <v>0</v>
      </c>
      <c r="AN92" s="150">
        <f t="shared" si="58"/>
        <v>0</v>
      </c>
      <c r="AO92" s="107">
        <f t="shared" si="67"/>
        <v>1550</v>
      </c>
      <c r="AP92" s="108">
        <f t="shared" si="68"/>
        <v>19160</v>
      </c>
      <c r="AQ92" s="108">
        <f t="shared" si="69"/>
        <v>36239</v>
      </c>
      <c r="AR92" s="108">
        <f t="shared" si="70"/>
        <v>1560</v>
      </c>
      <c r="AS92" s="109">
        <f t="shared" si="71"/>
        <v>3640</v>
      </c>
      <c r="AT92" s="107">
        <f t="shared" si="59"/>
        <v>0</v>
      </c>
      <c r="AU92" s="108">
        <f t="shared" si="72"/>
        <v>0</v>
      </c>
      <c r="AV92" s="108">
        <f t="shared" si="73"/>
        <v>0</v>
      </c>
      <c r="AW92" s="108">
        <f t="shared" si="60"/>
        <v>0</v>
      </c>
      <c r="AX92" s="109">
        <f t="shared" si="61"/>
        <v>0</v>
      </c>
      <c r="AY92" s="107">
        <f t="shared" si="75"/>
        <v>0</v>
      </c>
      <c r="AZ92" s="108">
        <v>1000</v>
      </c>
      <c r="BA92" s="108">
        <f t="shared" si="74"/>
        <v>0</v>
      </c>
      <c r="BB92" s="102"/>
      <c r="BC92" s="103"/>
    </row>
    <row r="93" spans="1:55" ht="14.95" thickBot="1" x14ac:dyDescent="0.3">
      <c r="A93" s="151">
        <f>+A92</f>
        <v>46053</v>
      </c>
      <c r="B93" s="210">
        <f>DAY(Tabla2[[#This Row],[FECHA]])</f>
        <v>31</v>
      </c>
      <c r="C93" s="130" t="s">
        <v>29</v>
      </c>
      <c r="D93" s="131"/>
      <c r="E93" s="132"/>
      <c r="F93" s="133"/>
      <c r="G93" s="133"/>
      <c r="H93" s="132"/>
      <c r="I93" s="290">
        <f>((Tabla2[[#This Row],[VOLUMEN ENVIADO A RO (m3)]]/80)/3)*60</f>
        <v>56.330749999999995</v>
      </c>
      <c r="J93" s="282">
        <v>0</v>
      </c>
      <c r="K93" s="277">
        <v>19</v>
      </c>
      <c r="L93" s="278">
        <v>3</v>
      </c>
      <c r="M93" s="283">
        <v>0</v>
      </c>
      <c r="N93" s="284">
        <v>0</v>
      </c>
      <c r="O93" s="192">
        <f t="shared" si="76"/>
        <v>0</v>
      </c>
      <c r="P93" s="193">
        <f t="shared" si="46"/>
        <v>166.66666666666669</v>
      </c>
      <c r="Q93" s="193">
        <f t="shared" si="46"/>
        <v>26.315789473684212</v>
      </c>
      <c r="R93" s="193">
        <f t="shared" si="47"/>
        <v>0</v>
      </c>
      <c r="S93" s="193">
        <f t="shared" si="48"/>
        <v>0</v>
      </c>
      <c r="T93" s="188">
        <f t="shared" si="62"/>
        <v>0</v>
      </c>
      <c r="U93" s="189">
        <f t="shared" si="63"/>
        <v>0</v>
      </c>
      <c r="V93" s="189">
        <f t="shared" si="64"/>
        <v>0</v>
      </c>
      <c r="W93" s="189">
        <f t="shared" si="65"/>
        <v>0</v>
      </c>
      <c r="X93" s="190">
        <f t="shared" si="66"/>
        <v>0</v>
      </c>
      <c r="Y93" s="195">
        <v>1.18</v>
      </c>
      <c r="Z93" s="195">
        <v>1.28</v>
      </c>
      <c r="AA93" s="195">
        <v>1.2</v>
      </c>
      <c r="AB93" s="195">
        <v>1.53</v>
      </c>
      <c r="AC93" s="195">
        <v>1.2</v>
      </c>
      <c r="AD93" s="188">
        <f t="shared" si="49"/>
        <v>0</v>
      </c>
      <c r="AE93" s="189">
        <f t="shared" si="50"/>
        <v>0</v>
      </c>
      <c r="AF93" s="189">
        <f t="shared" si="51"/>
        <v>0</v>
      </c>
      <c r="AG93" s="189">
        <f t="shared" si="52"/>
        <v>0</v>
      </c>
      <c r="AH93" s="190">
        <f t="shared" si="53"/>
        <v>0</v>
      </c>
      <c r="AI93" s="310">
        <v>225.32300000000001</v>
      </c>
      <c r="AJ93" s="126">
        <f t="shared" si="54"/>
        <v>0</v>
      </c>
      <c r="AK93" s="127">
        <f t="shared" si="55"/>
        <v>0</v>
      </c>
      <c r="AL93" s="127">
        <f t="shared" si="56"/>
        <v>0</v>
      </c>
      <c r="AM93" s="127">
        <f t="shared" si="57"/>
        <v>0</v>
      </c>
      <c r="AN93" s="128">
        <f t="shared" si="58"/>
        <v>0</v>
      </c>
      <c r="AO93" s="107">
        <f t="shared" si="67"/>
        <v>1550</v>
      </c>
      <c r="AP93" s="108">
        <f t="shared" si="68"/>
        <v>19160</v>
      </c>
      <c r="AQ93" s="108">
        <f t="shared" si="69"/>
        <v>36239</v>
      </c>
      <c r="AR93" s="108">
        <f t="shared" si="70"/>
        <v>1560</v>
      </c>
      <c r="AS93" s="109">
        <f t="shared" si="71"/>
        <v>3640</v>
      </c>
      <c r="AT93" s="107">
        <f t="shared" si="59"/>
        <v>0</v>
      </c>
      <c r="AU93" s="108">
        <f t="shared" si="72"/>
        <v>0</v>
      </c>
      <c r="AV93" s="108">
        <f t="shared" si="73"/>
        <v>0</v>
      </c>
      <c r="AW93" s="108">
        <f t="shared" si="60"/>
        <v>0</v>
      </c>
      <c r="AX93" s="109">
        <f t="shared" si="61"/>
        <v>0</v>
      </c>
      <c r="AY93" s="107">
        <f t="shared" si="75"/>
        <v>0</v>
      </c>
      <c r="AZ93" s="108">
        <v>1000</v>
      </c>
      <c r="BA93" s="108">
        <f t="shared" si="74"/>
        <v>0</v>
      </c>
      <c r="BB93" s="102"/>
      <c r="BC93" s="103"/>
    </row>
    <row r="94" spans="1:55" ht="14.95" thickBot="1" x14ac:dyDescent="0.3">
      <c r="A94" s="152">
        <f>+A93</f>
        <v>46053</v>
      </c>
      <c r="B94" s="211">
        <f>DAY(Tabla2[[#This Row],[FECHA]])</f>
        <v>31</v>
      </c>
      <c r="C94" s="135" t="s">
        <v>30</v>
      </c>
      <c r="D94" s="136"/>
      <c r="E94" s="137"/>
      <c r="F94" s="138"/>
      <c r="G94" s="139"/>
      <c r="H94" s="140"/>
      <c r="I94" s="290">
        <f>((Tabla2[[#This Row],[VOLUMEN ENVIADO A RO (m3)]]/80)/3)*60</f>
        <v>0</v>
      </c>
      <c r="J94" s="282">
        <v>0</v>
      </c>
      <c r="K94" s="283">
        <v>19</v>
      </c>
      <c r="L94" s="284">
        <v>3</v>
      </c>
      <c r="M94" s="283">
        <v>0</v>
      </c>
      <c r="N94" s="284">
        <v>0</v>
      </c>
      <c r="O94" s="196">
        <f t="shared" si="76"/>
        <v>0</v>
      </c>
      <c r="P94" s="197">
        <f t="shared" si="46"/>
        <v>166.66666666666669</v>
      </c>
      <c r="Q94" s="197">
        <f t="shared" si="46"/>
        <v>26.315789473684212</v>
      </c>
      <c r="R94" s="197">
        <f t="shared" si="47"/>
        <v>0</v>
      </c>
      <c r="S94" s="197">
        <f t="shared" si="48"/>
        <v>0</v>
      </c>
      <c r="T94" s="188">
        <f t="shared" si="62"/>
        <v>0</v>
      </c>
      <c r="U94" s="189">
        <f t="shared" si="63"/>
        <v>0</v>
      </c>
      <c r="V94" s="189">
        <f t="shared" si="64"/>
        <v>0</v>
      </c>
      <c r="W94" s="189">
        <f t="shared" si="65"/>
        <v>0</v>
      </c>
      <c r="X94" s="190">
        <f t="shared" si="66"/>
        <v>0</v>
      </c>
      <c r="Y94" s="195">
        <v>1.18</v>
      </c>
      <c r="Z94" s="195">
        <v>1.28</v>
      </c>
      <c r="AA94" s="195">
        <v>1.2</v>
      </c>
      <c r="AB94" s="195">
        <v>1.53</v>
      </c>
      <c r="AC94" s="195">
        <v>1.2</v>
      </c>
      <c r="AD94" s="199">
        <f t="shared" si="49"/>
        <v>0</v>
      </c>
      <c r="AE94" s="200">
        <f t="shared" si="50"/>
        <v>0</v>
      </c>
      <c r="AF94" s="200">
        <f t="shared" si="51"/>
        <v>0</v>
      </c>
      <c r="AG94" s="200">
        <f t="shared" si="52"/>
        <v>0</v>
      </c>
      <c r="AH94" s="201">
        <f t="shared" si="53"/>
        <v>0</v>
      </c>
      <c r="AI94" s="311">
        <v>0</v>
      </c>
      <c r="AJ94" s="141" t="e">
        <f t="shared" si="54"/>
        <v>#DIV/0!</v>
      </c>
      <c r="AK94" s="142" t="e">
        <f t="shared" si="55"/>
        <v>#DIV/0!</v>
      </c>
      <c r="AL94" s="142" t="e">
        <f t="shared" si="56"/>
        <v>#DIV/0!</v>
      </c>
      <c r="AM94" s="142" t="e">
        <f t="shared" si="57"/>
        <v>#DIV/0!</v>
      </c>
      <c r="AN94" s="143" t="e">
        <f t="shared" si="58"/>
        <v>#DIV/0!</v>
      </c>
      <c r="AO94" s="107">
        <f t="shared" si="67"/>
        <v>1550</v>
      </c>
      <c r="AP94" s="108">
        <f t="shared" si="68"/>
        <v>19160</v>
      </c>
      <c r="AQ94" s="108">
        <f t="shared" si="69"/>
        <v>36239</v>
      </c>
      <c r="AR94" s="108">
        <f t="shared" si="70"/>
        <v>1560</v>
      </c>
      <c r="AS94" s="109">
        <f t="shared" si="71"/>
        <v>3640</v>
      </c>
      <c r="AT94" s="110">
        <f t="shared" si="59"/>
        <v>0</v>
      </c>
      <c r="AU94" s="111">
        <f t="shared" si="72"/>
        <v>0</v>
      </c>
      <c r="AV94" s="111">
        <f t="shared" si="73"/>
        <v>0</v>
      </c>
      <c r="AW94" s="111">
        <f t="shared" si="60"/>
        <v>0</v>
      </c>
      <c r="AX94" s="112">
        <f t="shared" si="61"/>
        <v>0</v>
      </c>
      <c r="AY94" s="110">
        <f t="shared" si="75"/>
        <v>0</v>
      </c>
      <c r="AZ94" s="111">
        <v>1000</v>
      </c>
      <c r="BA94" s="111" t="e">
        <f t="shared" si="74"/>
        <v>#DIV/0!</v>
      </c>
      <c r="BB94" s="101"/>
      <c r="BC94" s="104"/>
    </row>
    <row r="95" spans="1:55" ht="14.95" thickBot="1" x14ac:dyDescent="0.3">
      <c r="A95" s="151"/>
      <c r="B95" s="210">
        <f>DAY(Tabla2[[#This Row],[FECHA]])</f>
        <v>0</v>
      </c>
      <c r="D95" s="131"/>
      <c r="E95" s="132"/>
      <c r="F95" s="133"/>
      <c r="I95" s="290">
        <f>((Tabla2[[#This Row],[VOLUMEN ENVIADO A RO (m3)]]/80)/3)*60</f>
        <v>0</v>
      </c>
      <c r="J95" s="282">
        <v>0</v>
      </c>
      <c r="K95" s="283">
        <v>19</v>
      </c>
      <c r="L95" s="284">
        <v>3</v>
      </c>
      <c r="M95" s="283">
        <v>0</v>
      </c>
      <c r="N95" s="284">
        <v>0</v>
      </c>
      <c r="O95" s="192">
        <f t="shared" si="76"/>
        <v>0</v>
      </c>
      <c r="P95" s="193">
        <f t="shared" si="46"/>
        <v>166.66666666666669</v>
      </c>
      <c r="Q95" s="193">
        <f>L95*(1000/114)</f>
        <v>26.315789473684212</v>
      </c>
      <c r="R95" s="193">
        <f t="shared" si="47"/>
        <v>0</v>
      </c>
      <c r="S95" s="193">
        <f t="shared" si="48"/>
        <v>0</v>
      </c>
      <c r="T95" s="188">
        <f>O95-O96</f>
        <v>0</v>
      </c>
      <c r="U95" s="189">
        <f>P95-P96</f>
        <v>166.66666666666669</v>
      </c>
      <c r="V95" s="189">
        <f>Q95-Q96</f>
        <v>26.315789473684212</v>
      </c>
      <c r="W95" s="189">
        <f>R95-R96</f>
        <v>0</v>
      </c>
      <c r="X95" s="190">
        <f>S95-S96</f>
        <v>0</v>
      </c>
      <c r="Y95" s="195"/>
      <c r="Z95" s="195"/>
      <c r="AA95" s="195"/>
      <c r="AB95" s="195"/>
      <c r="AC95" s="195"/>
      <c r="AD95" s="188">
        <f t="shared" si="49"/>
        <v>0</v>
      </c>
      <c r="AE95" s="189">
        <f t="shared" si="50"/>
        <v>0</v>
      </c>
      <c r="AF95" s="189">
        <f t="shared" si="51"/>
        <v>0</v>
      </c>
      <c r="AG95" s="189">
        <f t="shared" si="52"/>
        <v>0</v>
      </c>
      <c r="AH95" s="190">
        <f t="shared" si="53"/>
        <v>0</v>
      </c>
      <c r="AI95" s="188"/>
      <c r="AJ95" s="126" t="e">
        <f t="shared" si="54"/>
        <v>#DIV/0!</v>
      </c>
      <c r="AK95" s="127" t="e">
        <f t="shared" si="55"/>
        <v>#DIV/0!</v>
      </c>
      <c r="AL95" s="127" t="e">
        <f t="shared" si="56"/>
        <v>#DIV/0!</v>
      </c>
      <c r="AM95" s="127" t="e">
        <f t="shared" si="57"/>
        <v>#DIV/0!</v>
      </c>
      <c r="AN95" s="128" t="e">
        <f t="shared" si="58"/>
        <v>#DIV/0!</v>
      </c>
      <c r="AO95" s="107">
        <f t="shared" si="67"/>
        <v>1550</v>
      </c>
      <c r="AP95" s="289">
        <f t="shared" si="68"/>
        <v>19160</v>
      </c>
      <c r="AQ95" s="289">
        <f t="shared" si="69"/>
        <v>36239</v>
      </c>
      <c r="AR95" s="289">
        <f t="shared" si="70"/>
        <v>1560</v>
      </c>
      <c r="AS95" s="109">
        <f t="shared" si="71"/>
        <v>3640</v>
      </c>
      <c r="AT95" s="107">
        <f t="shared" si="59"/>
        <v>0</v>
      </c>
      <c r="AU95" s="289">
        <f t="shared" si="72"/>
        <v>0</v>
      </c>
      <c r="AV95" s="289">
        <f t="shared" si="73"/>
        <v>0</v>
      </c>
      <c r="AW95" s="289">
        <f t="shared" si="60"/>
        <v>0</v>
      </c>
      <c r="AX95" s="109">
        <f t="shared" si="61"/>
        <v>0</v>
      </c>
      <c r="AY95" s="107">
        <f t="shared" si="75"/>
        <v>0</v>
      </c>
      <c r="AZ95" s="289"/>
      <c r="BA95" s="289" t="e">
        <f t="shared" si="74"/>
        <v>#DIV/0!</v>
      </c>
    </row>
    <row r="96" spans="1:55" ht="14.95" thickBot="1" x14ac:dyDescent="0.3">
      <c r="A96" s="255"/>
      <c r="B96" s="256"/>
      <c r="D96" s="257"/>
      <c r="E96" s="258"/>
      <c r="F96" s="374"/>
      <c r="I96" s="259"/>
      <c r="J96" s="285"/>
      <c r="K96" s="286"/>
      <c r="L96" s="286"/>
      <c r="M96" s="286"/>
      <c r="N96" s="287"/>
      <c r="O96" s="196">
        <f>J96*(1000/114)</f>
        <v>0</v>
      </c>
      <c r="P96" s="197">
        <f>K96*(1000/114)</f>
        <v>0</v>
      </c>
      <c r="Q96" s="197">
        <f>L96*(1000/114)</f>
        <v>0</v>
      </c>
      <c r="R96" s="197">
        <f>M96*(1000/114)</f>
        <v>0</v>
      </c>
      <c r="S96" s="197">
        <f>N96*(1000/114)</f>
        <v>0</v>
      </c>
      <c r="T96" s="188"/>
      <c r="U96" s="189"/>
      <c r="V96" s="189"/>
      <c r="W96" s="189"/>
      <c r="X96" s="190"/>
      <c r="Y96" s="260"/>
      <c r="Z96" s="260"/>
      <c r="AA96" s="260"/>
      <c r="AB96" s="260"/>
      <c r="AC96" s="260"/>
      <c r="AD96" s="188"/>
      <c r="AE96" s="189"/>
      <c r="AF96" s="189"/>
      <c r="AG96" s="189"/>
      <c r="AH96" s="190"/>
      <c r="AI96" s="188"/>
      <c r="AJ96" s="126"/>
      <c r="AK96" s="127"/>
      <c r="AL96" s="127"/>
      <c r="AM96" s="127"/>
      <c r="AN96" s="128"/>
      <c r="AO96" s="266"/>
      <c r="AP96" s="267"/>
      <c r="AQ96" s="267"/>
      <c r="AR96" s="267"/>
      <c r="AS96" s="268"/>
      <c r="AT96" s="266"/>
      <c r="AU96" s="267"/>
      <c r="AV96" s="267"/>
      <c r="AW96" s="267"/>
      <c r="AX96" s="268"/>
      <c r="AY96" s="266">
        <f>SUM(AY2:AY82)</f>
        <v>2316054.0639999993</v>
      </c>
      <c r="AZ96" s="267"/>
      <c r="BA96" s="267"/>
    </row>
    <row r="97" spans="35:35" x14ac:dyDescent="0.25">
      <c r="AI97" s="70">
        <f>+SUM(AI2:AI94)</f>
        <v>14633.578999999998</v>
      </c>
    </row>
  </sheetData>
  <conditionalFormatting sqref="J2:N95">
    <cfRule type="containsBlanks" dxfId="51" priority="2">
      <formula>LEN(TRIM(J2))=0</formula>
    </cfRule>
  </conditionalFormatting>
  <conditionalFormatting sqref="T1:X1048576">
    <cfRule type="cellIs" dxfId="50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dimension ref="A1:AH35"/>
  <sheetViews>
    <sheetView workbookViewId="0">
      <selection activeCell="A28" sqref="A24:A28"/>
      <pivotSelection pane="bottomRight" showHeader="1" axis="axisRow" activeRow="27" previousRow="27" click="1" r:id="rId4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3" x14ac:dyDescent="0.25"/>
  <cols>
    <col min="1" max="1" width="41" bestFit="1" customWidth="1"/>
    <col min="2" max="2" width="8.375" bestFit="1" customWidth="1"/>
    <col min="3" max="7" width="5.625" customWidth="1"/>
    <col min="8" max="12" width="8.375" bestFit="1" customWidth="1"/>
    <col min="13" max="30" width="5.625" customWidth="1"/>
    <col min="31" max="31" width="8.75" bestFit="1" customWidth="1"/>
    <col min="32" max="32" width="12.625" bestFit="1" customWidth="1"/>
    <col min="33" max="150" width="41.125" bestFit="1" customWidth="1"/>
    <col min="151" max="151" width="29" bestFit="1" customWidth="1"/>
    <col min="152" max="153" width="46.125" bestFit="1" customWidth="1"/>
    <col min="154" max="154" width="45" bestFit="1" customWidth="1"/>
    <col min="155" max="155" width="36.25" bestFit="1" customWidth="1"/>
    <col min="156" max="156" width="37.125" bestFit="1" customWidth="1"/>
    <col min="157" max="158" width="52.875" bestFit="1" customWidth="1"/>
    <col min="159" max="159" width="51.625" bestFit="1" customWidth="1"/>
    <col min="160" max="160" width="43" bestFit="1" customWidth="1"/>
  </cols>
  <sheetData>
    <row r="1" spans="1:34" ht="14.95" thickBot="1" x14ac:dyDescent="0.3">
      <c r="A1" s="578" t="s">
        <v>163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8"/>
      <c r="AA1" s="578"/>
      <c r="AB1" s="578"/>
      <c r="AC1" s="578"/>
      <c r="AD1" s="578"/>
      <c r="AE1" s="578"/>
      <c r="AF1" s="578"/>
    </row>
    <row r="2" spans="1:34" ht="14.95" thickBot="1" x14ac:dyDescent="0.3">
      <c r="A2" s="572" t="s">
        <v>5</v>
      </c>
      <c r="B2" s="573"/>
      <c r="C2" s="574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4" ht="14.95" thickBot="1" x14ac:dyDescent="0.3">
      <c r="A3" s="468"/>
      <c r="B3" s="468" t="s">
        <v>79</v>
      </c>
      <c r="C3" s="463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F3" s="464"/>
      <c r="AG3" s="464"/>
      <c r="AH3" s="465"/>
    </row>
    <row r="4" spans="1:34" ht="14.95" thickBot="1" x14ac:dyDescent="0.3">
      <c r="A4" s="468" t="s">
        <v>157</v>
      </c>
      <c r="B4" s="482">
        <v>1</v>
      </c>
      <c r="C4" s="483">
        <v>2</v>
      </c>
      <c r="D4" s="483">
        <v>3</v>
      </c>
      <c r="E4" s="483">
        <v>4</v>
      </c>
      <c r="F4" s="483">
        <v>5</v>
      </c>
      <c r="G4" s="483">
        <v>6</v>
      </c>
      <c r="H4" s="483">
        <v>7</v>
      </c>
      <c r="I4" s="483">
        <v>8</v>
      </c>
      <c r="J4" s="483">
        <v>9</v>
      </c>
      <c r="K4" s="483">
        <v>10</v>
      </c>
      <c r="L4" s="483">
        <v>11</v>
      </c>
      <c r="M4" s="483">
        <v>12</v>
      </c>
      <c r="N4" s="483">
        <v>13</v>
      </c>
      <c r="O4" s="483">
        <v>14</v>
      </c>
      <c r="P4" s="483">
        <v>15</v>
      </c>
      <c r="Q4" s="483">
        <v>16</v>
      </c>
      <c r="R4" s="483">
        <v>17</v>
      </c>
      <c r="S4" s="483">
        <v>18</v>
      </c>
      <c r="T4" s="483">
        <v>19</v>
      </c>
      <c r="U4" s="483">
        <v>20</v>
      </c>
      <c r="V4" s="483">
        <v>21</v>
      </c>
      <c r="W4" s="483">
        <v>22</v>
      </c>
      <c r="X4" s="483">
        <v>23</v>
      </c>
      <c r="Y4" s="483">
        <v>24</v>
      </c>
      <c r="Z4" s="483">
        <v>25</v>
      </c>
      <c r="AA4" s="483">
        <v>26</v>
      </c>
      <c r="AB4" s="483">
        <v>27</v>
      </c>
      <c r="AC4" s="483">
        <v>28</v>
      </c>
      <c r="AD4" s="483">
        <v>29</v>
      </c>
      <c r="AE4" s="483">
        <v>30</v>
      </c>
      <c r="AF4" s="483">
        <v>31</v>
      </c>
      <c r="AG4" s="484">
        <v>0</v>
      </c>
      <c r="AH4" s="485" t="s">
        <v>72</v>
      </c>
    </row>
    <row r="5" spans="1:34" x14ac:dyDescent="0.25">
      <c r="A5" s="479" t="s">
        <v>152</v>
      </c>
      <c r="B5" s="97">
        <v>0</v>
      </c>
      <c r="C5" s="402">
        <v>0</v>
      </c>
      <c r="D5" s="514">
        <v>0</v>
      </c>
      <c r="E5" s="514">
        <v>0</v>
      </c>
      <c r="F5" s="514">
        <v>0</v>
      </c>
      <c r="G5" s="514">
        <v>0</v>
      </c>
      <c r="H5" s="514">
        <v>0</v>
      </c>
      <c r="I5" s="514">
        <v>0</v>
      </c>
      <c r="J5" s="514">
        <v>0</v>
      </c>
      <c r="K5" s="514">
        <v>0</v>
      </c>
      <c r="L5" s="514">
        <v>0</v>
      </c>
      <c r="M5" s="514">
        <v>0</v>
      </c>
      <c r="N5" s="514">
        <v>0</v>
      </c>
      <c r="O5" s="514">
        <v>0</v>
      </c>
      <c r="P5" s="514">
        <v>0</v>
      </c>
      <c r="Q5" s="514">
        <v>0</v>
      </c>
      <c r="R5" s="514">
        <v>0</v>
      </c>
      <c r="S5" s="514">
        <v>0</v>
      </c>
      <c r="T5" s="514">
        <v>0</v>
      </c>
      <c r="U5" s="514">
        <v>0</v>
      </c>
      <c r="V5" s="514">
        <v>0</v>
      </c>
      <c r="W5" s="514">
        <v>0</v>
      </c>
      <c r="X5" s="514">
        <v>0</v>
      </c>
      <c r="Y5" s="514">
        <v>0</v>
      </c>
      <c r="Z5" s="514">
        <v>0</v>
      </c>
      <c r="AA5" s="514">
        <v>0</v>
      </c>
      <c r="AB5" s="514">
        <v>0</v>
      </c>
      <c r="AC5" s="514">
        <v>0</v>
      </c>
      <c r="AD5" s="514">
        <v>0</v>
      </c>
      <c r="AE5" s="514">
        <v>0</v>
      </c>
      <c r="AF5" s="402">
        <v>0</v>
      </c>
      <c r="AG5" s="402">
        <v>0</v>
      </c>
      <c r="AH5" s="466">
        <v>0</v>
      </c>
    </row>
    <row r="6" spans="1:34" x14ac:dyDescent="0.25">
      <c r="A6" s="480" t="s">
        <v>153</v>
      </c>
      <c r="B6" s="98">
        <v>0</v>
      </c>
      <c r="C6" s="93">
        <v>0</v>
      </c>
      <c r="D6" s="516">
        <v>0</v>
      </c>
      <c r="E6" s="516">
        <v>0</v>
      </c>
      <c r="F6" s="516">
        <v>0</v>
      </c>
      <c r="G6" s="516">
        <v>17.543859649122794</v>
      </c>
      <c r="H6" s="516">
        <v>70.175438596491233</v>
      </c>
      <c r="I6" s="516">
        <v>17.543859649122794</v>
      </c>
      <c r="J6" s="516">
        <v>307.01754385964915</v>
      </c>
      <c r="K6" s="516">
        <v>0</v>
      </c>
      <c r="L6" s="516">
        <v>0</v>
      </c>
      <c r="M6" s="516">
        <v>20</v>
      </c>
      <c r="N6" s="516">
        <v>70.175438596491148</v>
      </c>
      <c r="O6" s="516">
        <v>106.49122807017545</v>
      </c>
      <c r="P6" s="516">
        <v>96.491228070175453</v>
      </c>
      <c r="Q6" s="516">
        <v>52.631578947368439</v>
      </c>
      <c r="R6" s="516">
        <v>35.087719298245588</v>
      </c>
      <c r="S6" s="516">
        <v>0</v>
      </c>
      <c r="T6" s="516">
        <v>0</v>
      </c>
      <c r="U6" s="516">
        <v>0</v>
      </c>
      <c r="V6" s="516">
        <v>26.31578947368422</v>
      </c>
      <c r="W6" s="516">
        <v>0</v>
      </c>
      <c r="X6" s="516">
        <v>0</v>
      </c>
      <c r="Y6" s="516">
        <v>0</v>
      </c>
      <c r="Z6" s="516">
        <v>0</v>
      </c>
      <c r="AA6" s="516">
        <v>0</v>
      </c>
      <c r="AB6" s="516">
        <v>0</v>
      </c>
      <c r="AC6" s="516">
        <v>0</v>
      </c>
      <c r="AD6" s="516">
        <v>0</v>
      </c>
      <c r="AE6" s="516">
        <v>0</v>
      </c>
      <c r="AF6" s="93">
        <v>0</v>
      </c>
      <c r="AG6" s="93">
        <v>166.66666666666669</v>
      </c>
      <c r="AH6" s="467">
        <v>986.14035087719299</v>
      </c>
    </row>
    <row r="7" spans="1:34" x14ac:dyDescent="0.25">
      <c r="A7" s="480" t="s">
        <v>154</v>
      </c>
      <c r="B7" s="98">
        <v>0</v>
      </c>
      <c r="C7" s="93">
        <v>0</v>
      </c>
      <c r="D7" s="516">
        <v>0</v>
      </c>
      <c r="E7" s="516">
        <v>0</v>
      </c>
      <c r="F7" s="516">
        <v>0</v>
      </c>
      <c r="G7" s="516">
        <v>0</v>
      </c>
      <c r="H7" s="516">
        <v>71.929824561403507</v>
      </c>
      <c r="I7" s="516">
        <v>35.087719298245588</v>
      </c>
      <c r="J7" s="516">
        <v>17.543859649122851</v>
      </c>
      <c r="K7" s="516">
        <v>35.087719298245588</v>
      </c>
      <c r="L7" s="516">
        <v>377.19298245614038</v>
      </c>
      <c r="M7" s="516">
        <v>30</v>
      </c>
      <c r="N7" s="516">
        <v>70.175438596491148</v>
      </c>
      <c r="O7" s="516">
        <v>201.75438596491233</v>
      </c>
      <c r="P7" s="516">
        <v>140.35087719298244</v>
      </c>
      <c r="Q7" s="516">
        <v>70.175438596491233</v>
      </c>
      <c r="R7" s="516">
        <v>17.543859649122808</v>
      </c>
      <c r="S7" s="516">
        <v>17.543859649122808</v>
      </c>
      <c r="T7" s="516">
        <v>0</v>
      </c>
      <c r="U7" s="516">
        <v>0</v>
      </c>
      <c r="V7" s="516">
        <v>0</v>
      </c>
      <c r="W7" s="516">
        <v>0</v>
      </c>
      <c r="X7" s="516">
        <v>0</v>
      </c>
      <c r="Y7" s="516">
        <v>0</v>
      </c>
      <c r="Z7" s="516">
        <v>0</v>
      </c>
      <c r="AA7" s="516">
        <v>0</v>
      </c>
      <c r="AB7" s="516">
        <v>0</v>
      </c>
      <c r="AC7" s="516">
        <v>0</v>
      </c>
      <c r="AD7" s="516">
        <v>0</v>
      </c>
      <c r="AE7" s="516">
        <v>0</v>
      </c>
      <c r="AF7" s="93">
        <v>0</v>
      </c>
      <c r="AG7" s="93">
        <v>26.315789473684212</v>
      </c>
      <c r="AH7" s="467">
        <v>1110.7017543859649</v>
      </c>
    </row>
    <row r="8" spans="1:34" x14ac:dyDescent="0.25">
      <c r="A8" s="480" t="s">
        <v>155</v>
      </c>
      <c r="B8" s="98">
        <v>0</v>
      </c>
      <c r="C8" s="93">
        <v>0</v>
      </c>
      <c r="D8" s="516">
        <v>0</v>
      </c>
      <c r="E8" s="516">
        <v>0</v>
      </c>
      <c r="F8" s="516">
        <v>0</v>
      </c>
      <c r="G8" s="516">
        <v>0</v>
      </c>
      <c r="H8" s="516">
        <v>0</v>
      </c>
      <c r="I8" s="516">
        <v>0</v>
      </c>
      <c r="J8" s="516">
        <v>0</v>
      </c>
      <c r="K8" s="516">
        <v>0</v>
      </c>
      <c r="L8" s="516">
        <v>0</v>
      </c>
      <c r="M8" s="516">
        <v>0</v>
      </c>
      <c r="N8" s="516">
        <v>0</v>
      </c>
      <c r="O8" s="516">
        <v>0</v>
      </c>
      <c r="P8" s="516">
        <v>0</v>
      </c>
      <c r="Q8" s="516">
        <v>0</v>
      </c>
      <c r="R8" s="516">
        <v>0</v>
      </c>
      <c r="S8" s="516">
        <v>0</v>
      </c>
      <c r="T8" s="516">
        <v>0</v>
      </c>
      <c r="U8" s="516">
        <v>0</v>
      </c>
      <c r="V8" s="516">
        <v>0</v>
      </c>
      <c r="W8" s="516">
        <v>0</v>
      </c>
      <c r="X8" s="516">
        <v>0</v>
      </c>
      <c r="Y8" s="516">
        <v>0</v>
      </c>
      <c r="Z8" s="516">
        <v>0</v>
      </c>
      <c r="AA8" s="516">
        <v>0</v>
      </c>
      <c r="AB8" s="516">
        <v>0</v>
      </c>
      <c r="AC8" s="516">
        <v>0</v>
      </c>
      <c r="AD8" s="516">
        <v>0</v>
      </c>
      <c r="AE8" s="516">
        <v>0</v>
      </c>
      <c r="AF8" s="93">
        <v>0</v>
      </c>
      <c r="AG8" s="93">
        <v>0</v>
      </c>
      <c r="AH8" s="467">
        <v>0</v>
      </c>
    </row>
    <row r="9" spans="1:34" ht="14.95" thickBot="1" x14ac:dyDescent="0.3">
      <c r="A9" s="481" t="s">
        <v>156</v>
      </c>
      <c r="B9" s="96">
        <v>0</v>
      </c>
      <c r="C9" s="404">
        <v>0</v>
      </c>
      <c r="D9" s="517">
        <v>0</v>
      </c>
      <c r="E9" s="517">
        <v>0</v>
      </c>
      <c r="F9" s="517">
        <v>0</v>
      </c>
      <c r="G9" s="517">
        <v>0</v>
      </c>
      <c r="H9" s="517">
        <v>0</v>
      </c>
      <c r="I9" s="517">
        <v>0</v>
      </c>
      <c r="J9" s="517">
        <v>0</v>
      </c>
      <c r="K9" s="517">
        <v>0</v>
      </c>
      <c r="L9" s="517">
        <v>0</v>
      </c>
      <c r="M9" s="517">
        <v>0</v>
      </c>
      <c r="N9" s="517">
        <v>0</v>
      </c>
      <c r="O9" s="517">
        <v>0</v>
      </c>
      <c r="P9" s="517">
        <v>0</v>
      </c>
      <c r="Q9" s="517">
        <v>0</v>
      </c>
      <c r="R9" s="517">
        <v>0</v>
      </c>
      <c r="S9" s="517">
        <v>0</v>
      </c>
      <c r="T9" s="517">
        <v>0</v>
      </c>
      <c r="U9" s="517">
        <v>0</v>
      </c>
      <c r="V9" s="517">
        <v>0</v>
      </c>
      <c r="W9" s="517">
        <v>0</v>
      </c>
      <c r="X9" s="517">
        <v>0</v>
      </c>
      <c r="Y9" s="517">
        <v>0</v>
      </c>
      <c r="Z9" s="517">
        <v>0</v>
      </c>
      <c r="AA9" s="517">
        <v>0</v>
      </c>
      <c r="AB9" s="517">
        <v>0</v>
      </c>
      <c r="AC9" s="517">
        <v>0</v>
      </c>
      <c r="AD9" s="517">
        <v>0</v>
      </c>
      <c r="AE9" s="517">
        <v>0</v>
      </c>
      <c r="AF9" s="404">
        <v>0</v>
      </c>
      <c r="AG9" s="404">
        <v>0</v>
      </c>
      <c r="AH9" s="518">
        <v>0</v>
      </c>
    </row>
    <row r="10" spans="1:34" ht="14.95" thickBo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4" ht="14.95" thickBot="1" x14ac:dyDescent="0.3">
      <c r="A11" s="575" t="s">
        <v>4</v>
      </c>
      <c r="B11" s="576"/>
      <c r="C11" s="57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4" ht="14.95" thickBot="1" x14ac:dyDescent="0.3">
      <c r="A12" s="394"/>
      <c r="B12" s="394" t="s">
        <v>79</v>
      </c>
      <c r="C12" s="473"/>
      <c r="D12" s="452"/>
      <c r="E12" s="452"/>
      <c r="F12" s="452"/>
      <c r="G12" s="452"/>
      <c r="H12" s="452"/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  <c r="AA12" s="452"/>
      <c r="AB12" s="452"/>
      <c r="AC12" s="452"/>
      <c r="AD12" s="452"/>
      <c r="AE12" s="452"/>
      <c r="AF12" s="452"/>
      <c r="AG12" s="452"/>
      <c r="AH12" s="474"/>
    </row>
    <row r="13" spans="1:34" ht="14.95" thickBot="1" x14ac:dyDescent="0.3">
      <c r="A13" s="394" t="s">
        <v>157</v>
      </c>
      <c r="B13" s="478">
        <v>1</v>
      </c>
      <c r="C13" s="478">
        <v>2</v>
      </c>
      <c r="D13" s="478">
        <v>3</v>
      </c>
      <c r="E13" s="478">
        <v>4</v>
      </c>
      <c r="F13" s="478">
        <v>5</v>
      </c>
      <c r="G13" s="478">
        <v>6</v>
      </c>
      <c r="H13" s="478">
        <v>7</v>
      </c>
      <c r="I13" s="478">
        <v>8</v>
      </c>
      <c r="J13" s="478">
        <v>9</v>
      </c>
      <c r="K13" s="478">
        <v>10</v>
      </c>
      <c r="L13" s="478">
        <v>11</v>
      </c>
      <c r="M13" s="478">
        <v>12</v>
      </c>
      <c r="N13" s="478">
        <v>13</v>
      </c>
      <c r="O13" s="478">
        <v>14</v>
      </c>
      <c r="P13" s="478">
        <v>15</v>
      </c>
      <c r="Q13" s="478">
        <v>16</v>
      </c>
      <c r="R13" s="478">
        <v>17</v>
      </c>
      <c r="S13" s="478">
        <v>18</v>
      </c>
      <c r="T13" s="478">
        <v>19</v>
      </c>
      <c r="U13" s="478">
        <v>20</v>
      </c>
      <c r="V13" s="478">
        <v>21</v>
      </c>
      <c r="W13" s="478">
        <v>22</v>
      </c>
      <c r="X13" s="478">
        <v>23</v>
      </c>
      <c r="Y13" s="478">
        <v>24</v>
      </c>
      <c r="Z13" s="478">
        <v>25</v>
      </c>
      <c r="AA13" s="478">
        <v>26</v>
      </c>
      <c r="AB13" s="478">
        <v>27</v>
      </c>
      <c r="AC13" s="478">
        <v>28</v>
      </c>
      <c r="AD13" s="478">
        <v>29</v>
      </c>
      <c r="AE13" s="478">
        <v>30</v>
      </c>
      <c r="AF13" s="478">
        <v>31</v>
      </c>
      <c r="AG13" s="478">
        <v>0</v>
      </c>
      <c r="AH13" s="478" t="s">
        <v>72</v>
      </c>
    </row>
    <row r="14" spans="1:34" x14ac:dyDescent="0.25">
      <c r="A14" s="475" t="s">
        <v>158</v>
      </c>
      <c r="B14" s="396">
        <v>0</v>
      </c>
      <c r="C14" s="397">
        <v>0</v>
      </c>
      <c r="D14" s="469">
        <v>0</v>
      </c>
      <c r="E14" s="469">
        <v>0</v>
      </c>
      <c r="F14" s="469">
        <v>0</v>
      </c>
      <c r="G14" s="469">
        <v>0</v>
      </c>
      <c r="H14" s="469">
        <v>0</v>
      </c>
      <c r="I14" s="469">
        <v>0</v>
      </c>
      <c r="J14" s="469">
        <v>0</v>
      </c>
      <c r="K14" s="469">
        <v>0</v>
      </c>
      <c r="L14" s="469">
        <v>0</v>
      </c>
      <c r="M14" s="469">
        <v>0</v>
      </c>
      <c r="N14" s="469">
        <v>0</v>
      </c>
      <c r="O14" s="469">
        <v>0</v>
      </c>
      <c r="P14" s="469">
        <v>0</v>
      </c>
      <c r="Q14" s="469">
        <v>0</v>
      </c>
      <c r="R14" s="469">
        <v>0</v>
      </c>
      <c r="S14" s="469">
        <v>0</v>
      </c>
      <c r="T14" s="469">
        <v>0</v>
      </c>
      <c r="U14" s="469">
        <v>0</v>
      </c>
      <c r="V14" s="469">
        <v>0</v>
      </c>
      <c r="W14" s="469">
        <v>0</v>
      </c>
      <c r="X14" s="469">
        <v>0</v>
      </c>
      <c r="Y14" s="469">
        <v>0</v>
      </c>
      <c r="Z14" s="469">
        <v>0</v>
      </c>
      <c r="AA14" s="469">
        <v>0</v>
      </c>
      <c r="AB14" s="469">
        <v>0</v>
      </c>
      <c r="AC14" s="469">
        <v>0</v>
      </c>
      <c r="AD14" s="469">
        <v>0</v>
      </c>
      <c r="AE14" s="469">
        <v>0</v>
      </c>
      <c r="AF14" s="397">
        <v>0</v>
      </c>
      <c r="AG14" s="397">
        <v>0</v>
      </c>
      <c r="AH14" s="470">
        <v>0</v>
      </c>
    </row>
    <row r="15" spans="1:34" x14ac:dyDescent="0.25">
      <c r="A15" s="476" t="s">
        <v>159</v>
      </c>
      <c r="B15" s="410">
        <v>0</v>
      </c>
      <c r="C15" s="620">
        <v>0</v>
      </c>
      <c r="D15" s="621">
        <v>0</v>
      </c>
      <c r="E15" s="621">
        <v>0</v>
      </c>
      <c r="F15" s="621">
        <v>0</v>
      </c>
      <c r="G15" s="621">
        <v>22.456140350877178</v>
      </c>
      <c r="H15" s="621">
        <v>89.824561403508781</v>
      </c>
      <c r="I15" s="621">
        <v>22.456140350877178</v>
      </c>
      <c r="J15" s="621">
        <v>392.98245614035091</v>
      </c>
      <c r="K15" s="621">
        <v>0</v>
      </c>
      <c r="L15" s="621">
        <v>0</v>
      </c>
      <c r="M15" s="621">
        <v>25.6</v>
      </c>
      <c r="N15" s="621">
        <v>89.824561403508682</v>
      </c>
      <c r="O15" s="621">
        <v>136.30877192982459</v>
      </c>
      <c r="P15" s="621">
        <v>123.50877192982458</v>
      </c>
      <c r="Q15" s="621">
        <v>67.368421052631604</v>
      </c>
      <c r="R15" s="621">
        <v>44.912280701754355</v>
      </c>
      <c r="S15" s="621">
        <v>0</v>
      </c>
      <c r="T15" s="621">
        <v>0</v>
      </c>
      <c r="U15" s="621">
        <v>0</v>
      </c>
      <c r="V15" s="621">
        <v>33.684210526315802</v>
      </c>
      <c r="W15" s="621">
        <v>0</v>
      </c>
      <c r="X15" s="621">
        <v>0</v>
      </c>
      <c r="Y15" s="621">
        <v>0</v>
      </c>
      <c r="Z15" s="621">
        <v>0</v>
      </c>
      <c r="AA15" s="621">
        <v>0</v>
      </c>
      <c r="AB15" s="621">
        <v>0</v>
      </c>
      <c r="AC15" s="621">
        <v>0</v>
      </c>
      <c r="AD15" s="621">
        <v>0</v>
      </c>
      <c r="AE15" s="621">
        <v>0</v>
      </c>
      <c r="AF15" s="620">
        <v>0</v>
      </c>
      <c r="AG15" s="620">
        <v>0</v>
      </c>
      <c r="AH15" s="471">
        <v>1048.9263157894736</v>
      </c>
    </row>
    <row r="16" spans="1:34" x14ac:dyDescent="0.25">
      <c r="A16" s="476" t="s">
        <v>160</v>
      </c>
      <c r="B16" s="410">
        <v>0</v>
      </c>
      <c r="C16" s="620">
        <v>0</v>
      </c>
      <c r="D16" s="621">
        <v>0</v>
      </c>
      <c r="E16" s="621">
        <v>0</v>
      </c>
      <c r="F16" s="621">
        <v>0</v>
      </c>
      <c r="G16" s="621">
        <v>0</v>
      </c>
      <c r="H16" s="621">
        <v>86.315789473684205</v>
      </c>
      <c r="I16" s="621">
        <v>42.105263157894704</v>
      </c>
      <c r="J16" s="621">
        <v>21.05263157894742</v>
      </c>
      <c r="K16" s="621">
        <v>42.105263157894704</v>
      </c>
      <c r="L16" s="621">
        <v>452.63157894736844</v>
      </c>
      <c r="M16" s="621">
        <v>36</v>
      </c>
      <c r="N16" s="621">
        <v>84.21052631578938</v>
      </c>
      <c r="O16" s="621">
        <v>242.1052631578948</v>
      </c>
      <c r="P16" s="621">
        <v>168.42105263157893</v>
      </c>
      <c r="Q16" s="621">
        <v>84.21052631578948</v>
      </c>
      <c r="R16" s="621">
        <v>21.05263157894737</v>
      </c>
      <c r="S16" s="621">
        <v>21.05263157894737</v>
      </c>
      <c r="T16" s="621">
        <v>0</v>
      </c>
      <c r="U16" s="621">
        <v>0</v>
      </c>
      <c r="V16" s="621">
        <v>0</v>
      </c>
      <c r="W16" s="621">
        <v>0</v>
      </c>
      <c r="X16" s="621">
        <v>0</v>
      </c>
      <c r="Y16" s="621">
        <v>0</v>
      </c>
      <c r="Z16" s="621">
        <v>0</v>
      </c>
      <c r="AA16" s="621">
        <v>0</v>
      </c>
      <c r="AB16" s="621">
        <v>0</v>
      </c>
      <c r="AC16" s="621">
        <v>0</v>
      </c>
      <c r="AD16" s="621">
        <v>0</v>
      </c>
      <c r="AE16" s="621">
        <v>0</v>
      </c>
      <c r="AF16" s="620">
        <v>0</v>
      </c>
      <c r="AG16" s="620">
        <v>0</v>
      </c>
      <c r="AH16" s="471">
        <v>1301.2631578947367</v>
      </c>
    </row>
    <row r="17" spans="1:34" x14ac:dyDescent="0.25">
      <c r="A17" s="476" t="s">
        <v>161</v>
      </c>
      <c r="B17" s="410">
        <v>0</v>
      </c>
      <c r="C17" s="620">
        <v>0</v>
      </c>
      <c r="D17" s="621">
        <v>0</v>
      </c>
      <c r="E17" s="621">
        <v>0</v>
      </c>
      <c r="F17" s="621">
        <v>0</v>
      </c>
      <c r="G17" s="621">
        <v>0</v>
      </c>
      <c r="H17" s="621">
        <v>0</v>
      </c>
      <c r="I17" s="621">
        <v>0</v>
      </c>
      <c r="J17" s="621">
        <v>0</v>
      </c>
      <c r="K17" s="621">
        <v>0</v>
      </c>
      <c r="L17" s="621">
        <v>0</v>
      </c>
      <c r="M17" s="621">
        <v>0</v>
      </c>
      <c r="N17" s="621">
        <v>0</v>
      </c>
      <c r="O17" s="621">
        <v>0</v>
      </c>
      <c r="P17" s="621">
        <v>0</v>
      </c>
      <c r="Q17" s="621">
        <v>0</v>
      </c>
      <c r="R17" s="621">
        <v>0</v>
      </c>
      <c r="S17" s="621">
        <v>0</v>
      </c>
      <c r="T17" s="621">
        <v>0</v>
      </c>
      <c r="U17" s="621">
        <v>0</v>
      </c>
      <c r="V17" s="621">
        <v>0</v>
      </c>
      <c r="W17" s="621">
        <v>0</v>
      </c>
      <c r="X17" s="621">
        <v>0</v>
      </c>
      <c r="Y17" s="621">
        <v>0</v>
      </c>
      <c r="Z17" s="621">
        <v>0</v>
      </c>
      <c r="AA17" s="621">
        <v>0</v>
      </c>
      <c r="AB17" s="621">
        <v>0</v>
      </c>
      <c r="AC17" s="621">
        <v>0</v>
      </c>
      <c r="AD17" s="621">
        <v>0</v>
      </c>
      <c r="AE17" s="621">
        <v>0</v>
      </c>
      <c r="AF17" s="620">
        <v>0</v>
      </c>
      <c r="AG17" s="620">
        <v>0</v>
      </c>
      <c r="AH17" s="471">
        <v>0</v>
      </c>
    </row>
    <row r="18" spans="1:34" ht="14.95" thickBot="1" x14ac:dyDescent="0.3">
      <c r="A18" s="477" t="s">
        <v>162</v>
      </c>
      <c r="B18" s="399">
        <v>0</v>
      </c>
      <c r="C18" s="400">
        <v>0</v>
      </c>
      <c r="D18" s="460">
        <v>0</v>
      </c>
      <c r="E18" s="460">
        <v>0</v>
      </c>
      <c r="F18" s="460">
        <v>0</v>
      </c>
      <c r="G18" s="460">
        <v>0</v>
      </c>
      <c r="H18" s="460">
        <v>0</v>
      </c>
      <c r="I18" s="460">
        <v>0</v>
      </c>
      <c r="J18" s="460">
        <v>0</v>
      </c>
      <c r="K18" s="460">
        <v>0</v>
      </c>
      <c r="L18" s="460">
        <v>0</v>
      </c>
      <c r="M18" s="460">
        <v>0</v>
      </c>
      <c r="N18" s="460">
        <v>0</v>
      </c>
      <c r="O18" s="460">
        <v>0</v>
      </c>
      <c r="P18" s="460">
        <v>0</v>
      </c>
      <c r="Q18" s="460">
        <v>0</v>
      </c>
      <c r="R18" s="460">
        <v>0</v>
      </c>
      <c r="S18" s="460">
        <v>0</v>
      </c>
      <c r="T18" s="460">
        <v>0</v>
      </c>
      <c r="U18" s="460">
        <v>0</v>
      </c>
      <c r="V18" s="460">
        <v>0</v>
      </c>
      <c r="W18" s="460">
        <v>0</v>
      </c>
      <c r="X18" s="460">
        <v>0</v>
      </c>
      <c r="Y18" s="460">
        <v>0</v>
      </c>
      <c r="Z18" s="460">
        <v>0</v>
      </c>
      <c r="AA18" s="460">
        <v>0</v>
      </c>
      <c r="AB18" s="460">
        <v>0</v>
      </c>
      <c r="AC18" s="460">
        <v>0</v>
      </c>
      <c r="AD18" s="460">
        <v>0</v>
      </c>
      <c r="AE18" s="460">
        <v>0</v>
      </c>
      <c r="AF18" s="400">
        <v>0</v>
      </c>
      <c r="AG18" s="400">
        <v>0</v>
      </c>
      <c r="AH18" s="472">
        <v>0</v>
      </c>
    </row>
    <row r="19" spans="1:34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4" ht="14.95" thickBot="1" x14ac:dyDescent="0.3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4" ht="14.95" thickBot="1" x14ac:dyDescent="0.3">
      <c r="A21" s="580" t="s">
        <v>190</v>
      </c>
      <c r="B21" s="581"/>
      <c r="C21" s="582"/>
    </row>
    <row r="22" spans="1:34" ht="14.95" thickBot="1" x14ac:dyDescent="0.3">
      <c r="A22" s="499"/>
      <c r="B22" s="499" t="s">
        <v>79</v>
      </c>
      <c r="C22" s="500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1"/>
      <c r="V22" s="501"/>
      <c r="W22" s="501"/>
      <c r="X22" s="501"/>
      <c r="Y22" s="501"/>
      <c r="Z22" s="501"/>
      <c r="AA22" s="501"/>
      <c r="AB22" s="501"/>
      <c r="AC22" s="501"/>
      <c r="AD22" s="501"/>
      <c r="AE22" s="501"/>
      <c r="AF22" s="501"/>
      <c r="AG22" s="501"/>
      <c r="AH22" s="502"/>
    </row>
    <row r="23" spans="1:34" ht="14.95" thickBot="1" x14ac:dyDescent="0.3">
      <c r="A23" s="499" t="s">
        <v>157</v>
      </c>
      <c r="B23" s="503">
        <v>1</v>
      </c>
      <c r="C23" s="503">
        <v>2</v>
      </c>
      <c r="D23" s="503">
        <v>3</v>
      </c>
      <c r="E23" s="503">
        <v>4</v>
      </c>
      <c r="F23" s="503">
        <v>5</v>
      </c>
      <c r="G23" s="503">
        <v>6</v>
      </c>
      <c r="H23" s="503">
        <v>7</v>
      </c>
      <c r="I23" s="503">
        <v>8</v>
      </c>
      <c r="J23" s="503">
        <v>9</v>
      </c>
      <c r="K23" s="503">
        <v>10</v>
      </c>
      <c r="L23" s="503">
        <v>11</v>
      </c>
      <c r="M23" s="503">
        <v>12</v>
      </c>
      <c r="N23" s="503">
        <v>13</v>
      </c>
      <c r="O23" s="503">
        <v>14</v>
      </c>
      <c r="P23" s="503">
        <v>15</v>
      </c>
      <c r="Q23" s="503">
        <v>16</v>
      </c>
      <c r="R23" s="503">
        <v>17</v>
      </c>
      <c r="S23" s="503">
        <v>18</v>
      </c>
      <c r="T23" s="503">
        <v>19</v>
      </c>
      <c r="U23" s="503">
        <v>20</v>
      </c>
      <c r="V23" s="503">
        <v>21</v>
      </c>
      <c r="W23" s="503">
        <v>22</v>
      </c>
      <c r="X23" s="503">
        <v>23</v>
      </c>
      <c r="Y23" s="503">
        <v>24</v>
      </c>
      <c r="Z23" s="503">
        <v>25</v>
      </c>
      <c r="AA23" s="503">
        <v>26</v>
      </c>
      <c r="AB23" s="503">
        <v>27</v>
      </c>
      <c r="AC23" s="503">
        <v>28</v>
      </c>
      <c r="AD23" s="503">
        <v>29</v>
      </c>
      <c r="AE23" s="503">
        <v>30</v>
      </c>
      <c r="AF23" s="503">
        <v>31</v>
      </c>
      <c r="AG23" s="503">
        <v>0</v>
      </c>
      <c r="AH23" s="503" t="s">
        <v>72</v>
      </c>
    </row>
    <row r="24" spans="1:34" x14ac:dyDescent="0.25">
      <c r="A24" s="495" t="s">
        <v>191</v>
      </c>
      <c r="B24" s="396" t="e">
        <v>#DIV/0!</v>
      </c>
      <c r="C24" s="397">
        <v>0</v>
      </c>
      <c r="D24" s="469" t="e">
        <v>#DIV/0!</v>
      </c>
      <c r="E24" s="469" t="e">
        <v>#DIV/0!</v>
      </c>
      <c r="F24" s="469">
        <v>0</v>
      </c>
      <c r="G24" s="469">
        <v>0</v>
      </c>
      <c r="H24" s="469">
        <v>0</v>
      </c>
      <c r="I24" s="469">
        <v>0</v>
      </c>
      <c r="J24" s="469">
        <v>0</v>
      </c>
      <c r="K24" s="469">
        <v>0</v>
      </c>
      <c r="L24" s="469" t="e">
        <v>#DIV/0!</v>
      </c>
      <c r="M24" s="469" t="e">
        <v>#DIV/0!</v>
      </c>
      <c r="N24" s="469">
        <v>0</v>
      </c>
      <c r="O24" s="469">
        <v>0</v>
      </c>
      <c r="P24" s="469">
        <v>0</v>
      </c>
      <c r="Q24" s="469">
        <v>0</v>
      </c>
      <c r="R24" s="469">
        <v>0</v>
      </c>
      <c r="S24" s="469" t="e">
        <v>#DIV/0!</v>
      </c>
      <c r="T24" s="469">
        <v>0</v>
      </c>
      <c r="U24" s="469">
        <v>0</v>
      </c>
      <c r="V24" s="469">
        <v>0</v>
      </c>
      <c r="W24" s="469">
        <v>0</v>
      </c>
      <c r="X24" s="469">
        <v>0</v>
      </c>
      <c r="Y24" s="469" t="e">
        <v>#DIV/0!</v>
      </c>
      <c r="Z24" s="469" t="e">
        <v>#DIV/0!</v>
      </c>
      <c r="AA24" s="469">
        <v>0</v>
      </c>
      <c r="AB24" s="469">
        <v>0</v>
      </c>
      <c r="AC24" s="469">
        <v>0</v>
      </c>
      <c r="AD24" s="469">
        <v>0</v>
      </c>
      <c r="AE24" s="469">
        <v>0</v>
      </c>
      <c r="AF24" s="397">
        <v>0</v>
      </c>
      <c r="AG24" s="397" t="e">
        <v>#DIV/0!</v>
      </c>
      <c r="AH24" s="470">
        <v>0</v>
      </c>
    </row>
    <row r="25" spans="1:34" x14ac:dyDescent="0.25">
      <c r="A25" s="495" t="s">
        <v>193</v>
      </c>
      <c r="B25" s="410" t="e">
        <v>#DIV/0!</v>
      </c>
      <c r="C25" s="620">
        <v>0</v>
      </c>
      <c r="D25" s="621" t="e">
        <v>#DIV/0!</v>
      </c>
      <c r="E25" s="621" t="e">
        <v>#DIV/0!</v>
      </c>
      <c r="F25" s="621">
        <v>0</v>
      </c>
      <c r="G25" s="621">
        <v>38.729569660320166</v>
      </c>
      <c r="H25" s="621">
        <v>306.02639489610135</v>
      </c>
      <c r="I25" s="621">
        <v>40.056045918748907</v>
      </c>
      <c r="J25" s="621">
        <v>1134.9051059735375</v>
      </c>
      <c r="K25" s="621">
        <v>0</v>
      </c>
      <c r="L25" s="621" t="e">
        <v>#DIV/0!</v>
      </c>
      <c r="M25" s="621" t="e">
        <v>#DIV/0!</v>
      </c>
      <c r="N25" s="621">
        <v>585.55013235491504</v>
      </c>
      <c r="O25" s="621">
        <v>146.02247929766375</v>
      </c>
      <c r="P25" s="621">
        <v>91.864760822592061</v>
      </c>
      <c r="Q25" s="621">
        <v>80.08104702465441</v>
      </c>
      <c r="R25" s="621">
        <v>96.949161374605737</v>
      </c>
      <c r="S25" s="621" t="e">
        <v>#DIV/0!</v>
      </c>
      <c r="T25" s="621">
        <v>0</v>
      </c>
      <c r="U25" s="621">
        <v>0</v>
      </c>
      <c r="V25" s="621">
        <v>37.112884346684226</v>
      </c>
      <c r="W25" s="621">
        <v>0</v>
      </c>
      <c r="X25" s="621">
        <v>0</v>
      </c>
      <c r="Y25" s="621" t="e">
        <v>#DIV/0!</v>
      </c>
      <c r="Z25" s="621" t="e">
        <v>#DIV/0!</v>
      </c>
      <c r="AA25" s="621">
        <v>0</v>
      </c>
      <c r="AB25" s="621">
        <v>0</v>
      </c>
      <c r="AC25" s="621">
        <v>0</v>
      </c>
      <c r="AD25" s="621">
        <v>0</v>
      </c>
      <c r="AE25" s="621">
        <v>0</v>
      </c>
      <c r="AF25" s="620">
        <v>0</v>
      </c>
      <c r="AG25" s="620" t="e">
        <v>#DIV/0!</v>
      </c>
      <c r="AH25" s="471">
        <v>71.679410470225633</v>
      </c>
    </row>
    <row r="26" spans="1:34" x14ac:dyDescent="0.25">
      <c r="A26" s="495" t="s">
        <v>194</v>
      </c>
      <c r="B26" s="410" t="e">
        <v>#DIV/0!</v>
      </c>
      <c r="C26" s="620">
        <v>0</v>
      </c>
      <c r="D26" s="621" t="e">
        <v>#DIV/0!</v>
      </c>
      <c r="E26" s="621" t="e">
        <v>#DIV/0!</v>
      </c>
      <c r="F26" s="621">
        <v>0</v>
      </c>
      <c r="G26" s="621">
        <v>0</v>
      </c>
      <c r="H26" s="621">
        <v>294.07223884547233</v>
      </c>
      <c r="I26" s="621">
        <v>75.105086097654194</v>
      </c>
      <c r="J26" s="621">
        <v>60.79848782001109</v>
      </c>
      <c r="K26" s="621">
        <v>164.04626678885364</v>
      </c>
      <c r="L26" s="621" t="e">
        <v>#DIV/0!</v>
      </c>
      <c r="M26" s="621" t="e">
        <v>#DIV/0!</v>
      </c>
      <c r="N26" s="621">
        <v>548.9532490827329</v>
      </c>
      <c r="O26" s="621">
        <v>259.35829570476733</v>
      </c>
      <c r="P26" s="621">
        <v>125.27012839444369</v>
      </c>
      <c r="Q26" s="621">
        <v>100.10130878081799</v>
      </c>
      <c r="R26" s="621">
        <v>45.444919394346478</v>
      </c>
      <c r="S26" s="621" t="e">
        <v>#DIV/0!</v>
      </c>
      <c r="T26" s="621">
        <v>0</v>
      </c>
      <c r="U26" s="621">
        <v>0</v>
      </c>
      <c r="V26" s="621">
        <v>0</v>
      </c>
      <c r="W26" s="621">
        <v>0</v>
      </c>
      <c r="X26" s="621">
        <v>0</v>
      </c>
      <c r="Y26" s="621" t="e">
        <v>#DIV/0!</v>
      </c>
      <c r="Z26" s="621" t="e">
        <v>#DIV/0!</v>
      </c>
      <c r="AA26" s="621">
        <v>0</v>
      </c>
      <c r="AB26" s="621">
        <v>0</v>
      </c>
      <c r="AC26" s="621">
        <v>0</v>
      </c>
      <c r="AD26" s="621">
        <v>0</v>
      </c>
      <c r="AE26" s="621">
        <v>0</v>
      </c>
      <c r="AF26" s="620">
        <v>0</v>
      </c>
      <c r="AG26" s="620" t="e">
        <v>#DIV/0!</v>
      </c>
      <c r="AH26" s="471">
        <v>88.923096523054042</v>
      </c>
    </row>
    <row r="27" spans="1:34" x14ac:dyDescent="0.25">
      <c r="A27" s="495" t="s">
        <v>195</v>
      </c>
      <c r="B27" s="410" t="e">
        <v>#NAME?</v>
      </c>
      <c r="C27" s="620" t="e">
        <v>#NAME?</v>
      </c>
      <c r="D27" s="621" t="e">
        <v>#NAME?</v>
      </c>
      <c r="E27" s="621" t="e">
        <v>#NAME?</v>
      </c>
      <c r="F27" s="621" t="e">
        <v>#NAME?</v>
      </c>
      <c r="G27" s="621" t="e">
        <v>#NAME?</v>
      </c>
      <c r="H27" s="621" t="e">
        <v>#NAME?</v>
      </c>
      <c r="I27" s="621" t="e">
        <v>#NAME?</v>
      </c>
      <c r="J27" s="621" t="e">
        <v>#NAME?</v>
      </c>
      <c r="K27" s="621" t="e">
        <v>#NAME?</v>
      </c>
      <c r="L27" s="621" t="e">
        <v>#NAME?</v>
      </c>
      <c r="M27" s="621" t="e">
        <v>#NAME?</v>
      </c>
      <c r="N27" s="621" t="e">
        <v>#NAME?</v>
      </c>
      <c r="O27" s="621" t="e">
        <v>#NAME?</v>
      </c>
      <c r="P27" s="621" t="e">
        <v>#NAME?</v>
      </c>
      <c r="Q27" s="621" t="e">
        <v>#NAME?</v>
      </c>
      <c r="R27" s="621" t="e">
        <v>#NAME?</v>
      </c>
      <c r="S27" s="621" t="e">
        <v>#NAME?</v>
      </c>
      <c r="T27" s="621" t="e">
        <v>#NAME?</v>
      </c>
      <c r="U27" s="621" t="e">
        <v>#NAME?</v>
      </c>
      <c r="V27" s="621" t="e">
        <v>#NAME?</v>
      </c>
      <c r="W27" s="621" t="e">
        <v>#NAME?</v>
      </c>
      <c r="X27" s="621" t="e">
        <v>#NAME?</v>
      </c>
      <c r="Y27" s="621" t="e">
        <v>#NAME?</v>
      </c>
      <c r="Z27" s="621" t="e">
        <v>#NAME?</v>
      </c>
      <c r="AA27" s="621" t="e">
        <v>#NAME?</v>
      </c>
      <c r="AB27" s="621" t="e">
        <v>#NAME?</v>
      </c>
      <c r="AC27" s="621" t="e">
        <v>#NAME?</v>
      </c>
      <c r="AD27" s="621" t="e">
        <v>#NAME?</v>
      </c>
      <c r="AE27" s="621" t="e">
        <v>#NAME?</v>
      </c>
      <c r="AF27" s="620" t="e">
        <v>#NAME?</v>
      </c>
      <c r="AG27" s="620" t="e">
        <v>#NAME?</v>
      </c>
      <c r="AH27" s="471" t="e">
        <v>#NAME?</v>
      </c>
    </row>
    <row r="28" spans="1:34" ht="14.95" thickBot="1" x14ac:dyDescent="0.3">
      <c r="A28" s="496" t="s">
        <v>196</v>
      </c>
      <c r="B28" s="399" t="e">
        <v>#DIV/0!</v>
      </c>
      <c r="C28" s="400">
        <v>0</v>
      </c>
      <c r="D28" s="460" t="e">
        <v>#DIV/0!</v>
      </c>
      <c r="E28" s="460" t="e">
        <v>#DIV/0!</v>
      </c>
      <c r="F28" s="460">
        <v>0</v>
      </c>
      <c r="G28" s="460">
        <v>0</v>
      </c>
      <c r="H28" s="460">
        <v>0</v>
      </c>
      <c r="I28" s="460">
        <v>0</v>
      </c>
      <c r="J28" s="460">
        <v>0</v>
      </c>
      <c r="K28" s="460">
        <v>0</v>
      </c>
      <c r="L28" s="460" t="e">
        <v>#DIV/0!</v>
      </c>
      <c r="M28" s="460" t="e">
        <v>#DIV/0!</v>
      </c>
      <c r="N28" s="460">
        <v>0</v>
      </c>
      <c r="O28" s="460">
        <v>0</v>
      </c>
      <c r="P28" s="460">
        <v>0</v>
      </c>
      <c r="Q28" s="460">
        <v>0</v>
      </c>
      <c r="R28" s="460">
        <v>0</v>
      </c>
      <c r="S28" s="460" t="e">
        <v>#DIV/0!</v>
      </c>
      <c r="T28" s="460">
        <v>0</v>
      </c>
      <c r="U28" s="460">
        <v>0</v>
      </c>
      <c r="V28" s="460">
        <v>0</v>
      </c>
      <c r="W28" s="460">
        <v>0</v>
      </c>
      <c r="X28" s="460">
        <v>0</v>
      </c>
      <c r="Y28" s="460" t="e">
        <v>#DIV/0!</v>
      </c>
      <c r="Z28" s="460" t="e">
        <v>#DIV/0!</v>
      </c>
      <c r="AA28" s="460">
        <v>0</v>
      </c>
      <c r="AB28" s="460">
        <v>0</v>
      </c>
      <c r="AC28" s="460">
        <v>0</v>
      </c>
      <c r="AD28" s="460">
        <v>0</v>
      </c>
      <c r="AE28" s="460">
        <v>0</v>
      </c>
      <c r="AF28" s="400">
        <v>0</v>
      </c>
      <c r="AG28" s="400" t="e">
        <v>#DIV/0!</v>
      </c>
      <c r="AH28" s="472">
        <v>0</v>
      </c>
    </row>
    <row r="30" spans="1:34" ht="14.95" thickBot="1" x14ac:dyDescent="0.3"/>
    <row r="31" spans="1:34" ht="14.95" thickBot="1" x14ac:dyDescent="0.3">
      <c r="A31" s="579" t="s">
        <v>31</v>
      </c>
      <c r="B31" s="530"/>
      <c r="C31" s="531"/>
    </row>
    <row r="32" spans="1:34" ht="14.95" thickBot="1" x14ac:dyDescent="0.3">
      <c r="A32" s="486"/>
      <c r="B32" s="487" t="s">
        <v>79</v>
      </c>
      <c r="C32" s="488"/>
      <c r="D32" s="489"/>
      <c r="E32" s="489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9"/>
      <c r="Q32" s="489"/>
      <c r="R32" s="489"/>
      <c r="S32" s="489"/>
      <c r="T32" s="489"/>
      <c r="U32" s="489"/>
      <c r="V32" s="489"/>
      <c r="W32" s="489"/>
      <c r="X32" s="489"/>
      <c r="Y32" s="489"/>
      <c r="Z32" s="489"/>
      <c r="AA32" s="489"/>
      <c r="AB32" s="489"/>
      <c r="AC32" s="489"/>
      <c r="AD32" s="489"/>
      <c r="AE32" s="489"/>
      <c r="AF32" s="489"/>
      <c r="AG32" s="489"/>
      <c r="AH32" s="490"/>
    </row>
    <row r="33" spans="1:34" ht="14.95" thickBot="1" x14ac:dyDescent="0.3">
      <c r="A33" s="486"/>
      <c r="B33" s="492">
        <v>1</v>
      </c>
      <c r="C33" s="493">
        <v>2</v>
      </c>
      <c r="D33" s="493">
        <v>3</v>
      </c>
      <c r="E33" s="493">
        <v>4</v>
      </c>
      <c r="F33" s="493">
        <v>5</v>
      </c>
      <c r="G33" s="493">
        <v>6</v>
      </c>
      <c r="H33" s="493">
        <v>7</v>
      </c>
      <c r="I33" s="493">
        <v>8</v>
      </c>
      <c r="J33" s="493">
        <v>9</v>
      </c>
      <c r="K33" s="493">
        <v>10</v>
      </c>
      <c r="L33" s="493">
        <v>11</v>
      </c>
      <c r="M33" s="493">
        <v>12</v>
      </c>
      <c r="N33" s="493">
        <v>13</v>
      </c>
      <c r="O33" s="493">
        <v>14</v>
      </c>
      <c r="P33" s="493">
        <v>15</v>
      </c>
      <c r="Q33" s="493">
        <v>16</v>
      </c>
      <c r="R33" s="493">
        <v>17</v>
      </c>
      <c r="S33" s="493">
        <v>18</v>
      </c>
      <c r="T33" s="493">
        <v>19</v>
      </c>
      <c r="U33" s="493">
        <v>20</v>
      </c>
      <c r="V33" s="493">
        <v>21</v>
      </c>
      <c r="W33" s="493">
        <v>22</v>
      </c>
      <c r="X33" s="493">
        <v>23</v>
      </c>
      <c r="Y33" s="493">
        <v>24</v>
      </c>
      <c r="Z33" s="493">
        <v>25</v>
      </c>
      <c r="AA33" s="493">
        <v>26</v>
      </c>
      <c r="AB33" s="493">
        <v>27</v>
      </c>
      <c r="AC33" s="493">
        <v>28</v>
      </c>
      <c r="AD33" s="493">
        <v>29</v>
      </c>
      <c r="AE33" s="493">
        <v>30</v>
      </c>
      <c r="AF33" s="493">
        <v>31</v>
      </c>
      <c r="AG33" s="494">
        <v>0</v>
      </c>
      <c r="AH33" s="491" t="s">
        <v>72</v>
      </c>
    </row>
    <row r="34" spans="1:34" s="133" customFormat="1" ht="14.95" thickBot="1" x14ac:dyDescent="0.3">
      <c r="A34" s="625" t="s">
        <v>192</v>
      </c>
      <c r="B34" s="622">
        <v>0</v>
      </c>
      <c r="C34" s="623">
        <v>64.362250000000003</v>
      </c>
      <c r="D34" s="623">
        <v>0</v>
      </c>
      <c r="E34" s="623">
        <v>0</v>
      </c>
      <c r="F34" s="623">
        <v>69.555750000000003</v>
      </c>
      <c r="G34" s="623">
        <v>144.95474999999999</v>
      </c>
      <c r="H34" s="623">
        <v>73.379750000000001</v>
      </c>
      <c r="I34" s="623">
        <v>140.15450000000001</v>
      </c>
      <c r="J34" s="623">
        <v>86.567250000000001</v>
      </c>
      <c r="K34" s="623">
        <v>64.166750000000008</v>
      </c>
      <c r="L34" s="623">
        <v>0</v>
      </c>
      <c r="M34" s="623">
        <v>0</v>
      </c>
      <c r="N34" s="623">
        <v>38.350499999999997</v>
      </c>
      <c r="O34" s="623">
        <v>233.36949999999999</v>
      </c>
      <c r="P34" s="623">
        <v>336.11574999999999</v>
      </c>
      <c r="Q34" s="623">
        <v>210.31325000000004</v>
      </c>
      <c r="R34" s="623">
        <v>115.81399999999999</v>
      </c>
      <c r="S34" s="623">
        <v>0</v>
      </c>
      <c r="T34" s="623">
        <v>64.333749999999995</v>
      </c>
      <c r="U34" s="623">
        <v>149.1875</v>
      </c>
      <c r="V34" s="623">
        <v>226.90375</v>
      </c>
      <c r="W34" s="623">
        <v>219.74025000000003</v>
      </c>
      <c r="X34" s="623">
        <v>144.05775</v>
      </c>
      <c r="Y34" s="623">
        <v>0</v>
      </c>
      <c r="Z34" s="623">
        <v>0</v>
      </c>
      <c r="AA34" s="623">
        <v>110.53</v>
      </c>
      <c r="AB34" s="623">
        <v>160.00450000000001</v>
      </c>
      <c r="AC34" s="623">
        <v>259.73499999999996</v>
      </c>
      <c r="AD34" s="623">
        <v>266.17825000000005</v>
      </c>
      <c r="AE34" s="623">
        <v>314.28925000000004</v>
      </c>
      <c r="AF34" s="623">
        <v>166.33074999999999</v>
      </c>
      <c r="AG34" s="623">
        <v>0</v>
      </c>
      <c r="AH34" s="624">
        <v>3658.3947500000004</v>
      </c>
    </row>
    <row r="35" spans="1:34" s="261" customFormat="1" ht="14.95" thickBot="1" x14ac:dyDescent="0.3">
      <c r="A35" s="263" t="s">
        <v>197</v>
      </c>
      <c r="B35" s="264">
        <f>B34/60</f>
        <v>0</v>
      </c>
      <c r="C35" s="264">
        <f t="shared" ref="C35:AE35" si="0">C34/60</f>
        <v>1.0727041666666668</v>
      </c>
      <c r="D35" s="264">
        <f t="shared" si="0"/>
        <v>0</v>
      </c>
      <c r="E35" s="264">
        <f t="shared" si="0"/>
        <v>0</v>
      </c>
      <c r="F35" s="264">
        <f t="shared" si="0"/>
        <v>1.1592625000000001</v>
      </c>
      <c r="G35" s="264">
        <f t="shared" si="0"/>
        <v>2.4159124999999997</v>
      </c>
      <c r="H35" s="264">
        <f t="shared" si="0"/>
        <v>1.2229958333333333</v>
      </c>
      <c r="I35" s="264">
        <f t="shared" si="0"/>
        <v>2.3359083333333337</v>
      </c>
      <c r="J35" s="264">
        <f t="shared" si="0"/>
        <v>1.4427875000000001</v>
      </c>
      <c r="K35" s="264">
        <f t="shared" si="0"/>
        <v>1.0694458333333334</v>
      </c>
      <c r="L35" s="264">
        <f t="shared" si="0"/>
        <v>0</v>
      </c>
      <c r="M35" s="264">
        <f t="shared" si="0"/>
        <v>0</v>
      </c>
      <c r="N35" s="264">
        <f t="shared" si="0"/>
        <v>0.63917499999999994</v>
      </c>
      <c r="O35" s="264">
        <f t="shared" si="0"/>
        <v>3.8894916666666663</v>
      </c>
      <c r="P35" s="264">
        <f t="shared" si="0"/>
        <v>5.6019291666666664</v>
      </c>
      <c r="Q35" s="264">
        <f t="shared" si="0"/>
        <v>3.5052208333333339</v>
      </c>
      <c r="R35" s="264">
        <f t="shared" si="0"/>
        <v>1.9302333333333332</v>
      </c>
      <c r="S35" s="264">
        <f t="shared" si="0"/>
        <v>0</v>
      </c>
      <c r="T35" s="264">
        <f t="shared" si="0"/>
        <v>1.0722291666666666</v>
      </c>
      <c r="U35" s="264">
        <f t="shared" si="0"/>
        <v>2.4864583333333332</v>
      </c>
      <c r="V35" s="264">
        <f t="shared" si="0"/>
        <v>3.7817291666666666</v>
      </c>
      <c r="W35" s="264">
        <f t="shared" si="0"/>
        <v>3.6623375000000005</v>
      </c>
      <c r="X35" s="264">
        <f t="shared" si="0"/>
        <v>2.4009624999999999</v>
      </c>
      <c r="Y35" s="264">
        <f t="shared" si="0"/>
        <v>0</v>
      </c>
      <c r="Z35" s="264">
        <f t="shared" si="0"/>
        <v>0</v>
      </c>
      <c r="AA35" s="264">
        <f t="shared" si="0"/>
        <v>1.8421666666666667</v>
      </c>
      <c r="AB35" s="264">
        <f t="shared" si="0"/>
        <v>2.6667416666666668</v>
      </c>
      <c r="AC35" s="264">
        <f t="shared" si="0"/>
        <v>4.3289166666666663</v>
      </c>
      <c r="AD35" s="264">
        <f t="shared" si="0"/>
        <v>4.4363041666666678</v>
      </c>
      <c r="AE35" s="264">
        <f t="shared" si="0"/>
        <v>5.2381541666666669</v>
      </c>
      <c r="AF35" s="265"/>
      <c r="AG35" s="262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3" x14ac:dyDescent="0.25"/>
  <cols>
    <col min="1" max="1" width="0.375" customWidth="1"/>
    <col min="2" max="2" width="35.75" bestFit="1" customWidth="1"/>
    <col min="3" max="3" width="12.25" style="70" customWidth="1"/>
    <col min="4" max="4" width="18" customWidth="1"/>
    <col min="5" max="5" width="18.125" bestFit="1" customWidth="1"/>
    <col min="6" max="6" width="16.25" bestFit="1" customWidth="1"/>
    <col min="7" max="7" width="12.25" customWidth="1"/>
    <col min="8" max="8" width="4.75" customWidth="1"/>
    <col min="9" max="9" width="35.75" bestFit="1" customWidth="1"/>
    <col min="11" max="12" width="8.625" customWidth="1"/>
    <col min="13" max="14" width="9.375" customWidth="1"/>
    <col min="15" max="16" width="9.125" customWidth="1"/>
    <col min="17" max="18" width="8.625" customWidth="1"/>
    <col min="19" max="19" width="9.875" customWidth="1"/>
    <col min="20" max="20" width="9.375" customWidth="1"/>
  </cols>
  <sheetData>
    <row r="1" spans="2:19" ht="18" customHeight="1" thickBot="1" x14ac:dyDescent="0.4">
      <c r="I1" s="594" t="s">
        <v>165</v>
      </c>
      <c r="J1" s="594"/>
      <c r="K1" s="594"/>
      <c r="L1" s="594"/>
      <c r="M1" s="594"/>
      <c r="N1" s="594"/>
      <c r="O1" s="594"/>
      <c r="P1" s="594"/>
      <c r="Q1" s="594"/>
      <c r="R1" s="594"/>
    </row>
    <row r="2" spans="2:19" ht="43.5" customHeight="1" thickBot="1" x14ac:dyDescent="0.3">
      <c r="B2" s="589" t="s">
        <v>33</v>
      </c>
      <c r="C2" s="251" t="s">
        <v>12</v>
      </c>
      <c r="D2" s="229" t="s">
        <v>14</v>
      </c>
      <c r="E2" s="230" t="s">
        <v>35</v>
      </c>
      <c r="F2" s="227" t="s">
        <v>18</v>
      </c>
      <c r="G2" s="225" t="s">
        <v>13</v>
      </c>
      <c r="H2" s="30"/>
      <c r="I2" s="589" t="s">
        <v>32</v>
      </c>
      <c r="J2" s="603" t="s">
        <v>12</v>
      </c>
      <c r="K2" s="605" t="s">
        <v>14</v>
      </c>
      <c r="L2" s="606"/>
      <c r="M2" s="607" t="s">
        <v>34</v>
      </c>
      <c r="N2" s="608"/>
      <c r="O2" s="609" t="s">
        <v>36</v>
      </c>
      <c r="P2" s="610"/>
      <c r="Q2" s="601" t="s">
        <v>13</v>
      </c>
      <c r="R2" s="602"/>
    </row>
    <row r="3" spans="2:19" ht="14.95" thickBot="1" x14ac:dyDescent="0.3">
      <c r="B3" s="590"/>
      <c r="C3" s="226"/>
      <c r="D3" s="238" t="s">
        <v>11</v>
      </c>
      <c r="E3" s="239" t="s">
        <v>11</v>
      </c>
      <c r="F3" s="48" t="s">
        <v>11</v>
      </c>
      <c r="G3" s="49" t="s">
        <v>11</v>
      </c>
      <c r="H3" s="30"/>
      <c r="I3" s="590"/>
      <c r="J3" s="604"/>
      <c r="K3" s="216" t="s">
        <v>10</v>
      </c>
      <c r="L3" s="217" t="s">
        <v>11</v>
      </c>
      <c r="M3" s="218" t="s">
        <v>10</v>
      </c>
      <c r="N3" s="219" t="s">
        <v>11</v>
      </c>
      <c r="O3" s="220" t="s">
        <v>10</v>
      </c>
      <c r="P3" s="221" t="s">
        <v>11</v>
      </c>
      <c r="Q3" s="222" t="s">
        <v>10</v>
      </c>
      <c r="R3" s="223" t="s">
        <v>11</v>
      </c>
    </row>
    <row r="4" spans="2:19" ht="14.95" thickBot="1" x14ac:dyDescent="0.3">
      <c r="B4" s="3" t="s">
        <v>152</v>
      </c>
      <c r="C4" s="2">
        <v>1.24</v>
      </c>
      <c r="D4" s="46">
        <v>440</v>
      </c>
      <c r="E4" s="240">
        <f>C23+D23+E23+F23</f>
        <v>0</v>
      </c>
      <c r="F4" s="242">
        <f>+C14+D14+E14+F14</f>
        <v>0</v>
      </c>
      <c r="G4" s="242">
        <f>(D4+F4)-E4</f>
        <v>440</v>
      </c>
      <c r="H4" s="30"/>
      <c r="I4" s="3" t="s">
        <v>152</v>
      </c>
      <c r="J4" s="2">
        <v>1.24</v>
      </c>
      <c r="K4" s="46">
        <v>184.21052631578948</v>
      </c>
      <c r="L4" s="46">
        <f>K4*J4</f>
        <v>228.42105263157896</v>
      </c>
      <c r="M4" s="97">
        <f>GETPIVOTDATA(" CONSUMO (L) HCL (10%)",'CONSUMO QUÍMICA - CAUDALES RO'!$A3)</f>
        <v>0</v>
      </c>
      <c r="N4" s="213" t="e">
        <f>SUM(#REF!)</f>
        <v>#REF!</v>
      </c>
      <c r="O4" s="97">
        <f>J14+L14+N14</f>
        <v>360</v>
      </c>
      <c r="P4" s="213"/>
      <c r="Q4" s="50">
        <f>(K4+O4)-M4</f>
        <v>544.21052631578948</v>
      </c>
      <c r="R4" s="51">
        <f>Q4*J4</f>
        <v>674.82105263157894</v>
      </c>
    </row>
    <row r="5" spans="2:19" ht="15.8" customHeight="1" thickBot="1" x14ac:dyDescent="0.3">
      <c r="B5" s="5" t="s">
        <v>153</v>
      </c>
      <c r="C5" s="2">
        <v>1.29</v>
      </c>
      <c r="D5" s="46">
        <v>170</v>
      </c>
      <c r="E5" s="240">
        <f>C24+D24+E24+F24</f>
        <v>0</v>
      </c>
      <c r="F5" s="240">
        <f>+C15+D15+E15+F15</f>
        <v>700</v>
      </c>
      <c r="G5" s="240">
        <f>(D5+F5)-E5</f>
        <v>870</v>
      </c>
      <c r="H5" s="30"/>
      <c r="I5" s="5" t="s">
        <v>153</v>
      </c>
      <c r="J5" s="2">
        <v>1.29</v>
      </c>
      <c r="K5" s="46">
        <v>561.40350877192986</v>
      </c>
      <c r="L5" s="46">
        <f>K5*J5</f>
        <v>724.21052631578959</v>
      </c>
      <c r="M5" s="97">
        <f>GETPIVOTDATA(" CONSUMO (L) KURIVERTER IK-220 (Biocida)",'CONSUMO QUÍMICA - CAUDALES RO'!$A$3)</f>
        <v>986.14035087719299</v>
      </c>
      <c r="N5" s="214" t="e">
        <f>SUM(#REF!)</f>
        <v>#REF!</v>
      </c>
      <c r="O5" s="98">
        <f>J15+L15+N15</f>
        <v>0</v>
      </c>
      <c r="P5" s="214"/>
      <c r="Q5" s="20">
        <f>(K5+O5)-M5</f>
        <v>-424.73684210526312</v>
      </c>
      <c r="R5" s="4">
        <f>Q5*J5</f>
        <v>-547.91052631578941</v>
      </c>
    </row>
    <row r="6" spans="2:19" ht="14.95" thickBot="1" x14ac:dyDescent="0.3">
      <c r="B6" s="5" t="s">
        <v>154</v>
      </c>
      <c r="C6" s="2">
        <v>1.2</v>
      </c>
      <c r="D6" s="46">
        <v>83</v>
      </c>
      <c r="E6" s="240">
        <f>C25+D25+E25+F25</f>
        <v>0</v>
      </c>
      <c r="F6" s="240">
        <f>+C16+D16+E16+F16</f>
        <v>0</v>
      </c>
      <c r="G6" s="240">
        <f>(D6+F6)-E6</f>
        <v>83</v>
      </c>
      <c r="H6" s="30"/>
      <c r="I6" s="5" t="s">
        <v>154</v>
      </c>
      <c r="J6" s="2">
        <v>1.2</v>
      </c>
      <c r="K6" s="46">
        <v>929.82456140350882</v>
      </c>
      <c r="L6" s="46">
        <f>K6*J6</f>
        <v>1115.7894736842106</v>
      </c>
      <c r="M6" s="97">
        <f>GETPIVOTDATA("CONSUMO (L) VITEC 7000 (Antiincrustante) ",'CONSUMO QUÍMICA - CAUDALES RO'!$A$3)</f>
        <v>1110.7017543859649</v>
      </c>
      <c r="N6" s="214" t="e">
        <f>SUM(#REF!)</f>
        <v>#REF!</v>
      </c>
      <c r="O6" s="98">
        <f>J16+L16+N16</f>
        <v>580</v>
      </c>
      <c r="P6" s="214"/>
      <c r="Q6" s="20">
        <f>(K6+O6)-M6</f>
        <v>399.12280701754389</v>
      </c>
      <c r="R6" s="4">
        <f>Q6*J6</f>
        <v>478.94736842105266</v>
      </c>
    </row>
    <row r="7" spans="2:19" ht="14.95" thickBot="1" x14ac:dyDescent="0.3">
      <c r="B7" s="5" t="s">
        <v>155</v>
      </c>
      <c r="C7" s="2">
        <v>1.2</v>
      </c>
      <c r="D7" s="46">
        <v>50</v>
      </c>
      <c r="E7" s="240">
        <f>C26+D26+E26+F26</f>
        <v>0</v>
      </c>
      <c r="F7" s="240">
        <f>+C17+D17+E17+F17</f>
        <v>0</v>
      </c>
      <c r="G7" s="240">
        <f>(D7+F7)-E7</f>
        <v>50</v>
      </c>
      <c r="H7" s="30"/>
      <c r="I7" s="5" t="s">
        <v>155</v>
      </c>
      <c r="J7" s="2">
        <v>1.2</v>
      </c>
      <c r="K7" s="46">
        <v>0</v>
      </c>
      <c r="L7" s="46">
        <f>K7*J7</f>
        <v>0</v>
      </c>
      <c r="M7" s="97">
        <f>GETPIVOTDATA("CONSUMO (L) Hidróxido de Sodio (NaOH) ",'CONSUMO QUÍMICA - CAUDALES RO'!$A$3)</f>
        <v>0</v>
      </c>
      <c r="N7" s="214" t="e">
        <f>SUM(#REF!)</f>
        <v>#REF!</v>
      </c>
      <c r="O7" s="98">
        <f>J17+L17+N17</f>
        <v>0</v>
      </c>
      <c r="P7" s="214"/>
      <c r="Q7" s="20">
        <f>(K7+O7)-M7</f>
        <v>0</v>
      </c>
      <c r="R7" s="4">
        <f>Q7*J7</f>
        <v>0</v>
      </c>
    </row>
    <row r="8" spans="2:19" ht="14.95" thickBot="1" x14ac:dyDescent="0.3">
      <c r="B8" s="7" t="s">
        <v>156</v>
      </c>
      <c r="C8" s="29">
        <v>1.48</v>
      </c>
      <c r="D8" s="47">
        <v>60</v>
      </c>
      <c r="E8" s="241">
        <f>C27+D27+E27+F27</f>
        <v>25</v>
      </c>
      <c r="F8" s="241">
        <f>+C18+D18+E18+F18</f>
        <v>0</v>
      </c>
      <c r="G8" s="241">
        <f>(D8+F8)-E8</f>
        <v>35</v>
      </c>
      <c r="H8" s="30"/>
      <c r="I8" s="7" t="s">
        <v>156</v>
      </c>
      <c r="J8" s="29">
        <v>2.5000000000000001E-3</v>
      </c>
      <c r="K8" s="47">
        <v>245.61403508771932</v>
      </c>
      <c r="L8" s="47">
        <f>K8*J8</f>
        <v>0.61403508771929827</v>
      </c>
      <c r="M8" s="97">
        <f>GETPIVOTDATA("CONSUMO (L) Bisulfito de sodio ",'CONSUMO QUÍMICA - CAUDALES RO'!$A$3)</f>
        <v>0</v>
      </c>
      <c r="N8" s="215" t="e">
        <f>SUM(#REF!)</f>
        <v>#REF!</v>
      </c>
      <c r="O8" s="96">
        <f>J18+L18+N18</f>
        <v>0</v>
      </c>
      <c r="P8" s="215"/>
      <c r="Q8" s="21">
        <f>(K8+O8)-M8</f>
        <v>245.61403508771932</v>
      </c>
      <c r="R8" s="22">
        <f>Q8*J8</f>
        <v>0.61403508771929827</v>
      </c>
    </row>
    <row r="9" spans="2:19" ht="3.75" customHeight="1" x14ac:dyDescent="0.25">
      <c r="B9" s="9"/>
      <c r="C9" s="250">
        <v>2.5000000000000001E-3</v>
      </c>
      <c r="D9" s="9"/>
    </row>
    <row r="10" spans="2:19" ht="16.5" customHeight="1" thickBot="1" x14ac:dyDescent="0.3"/>
    <row r="11" spans="2:19" ht="15.8" customHeight="1" thickBot="1" x14ac:dyDescent="0.3">
      <c r="B11" s="591" t="s">
        <v>178</v>
      </c>
      <c r="C11" s="543" t="s">
        <v>24</v>
      </c>
      <c r="D11" s="544"/>
      <c r="E11" s="544"/>
      <c r="F11" s="545"/>
      <c r="I11" s="591" t="s">
        <v>7</v>
      </c>
      <c r="J11" s="595" t="s">
        <v>164</v>
      </c>
      <c r="K11" s="596"/>
      <c r="L11" s="596"/>
      <c r="M11" s="596"/>
      <c r="N11" s="596"/>
      <c r="O11" s="596"/>
      <c r="P11" s="596"/>
      <c r="Q11" s="596"/>
      <c r="R11" s="596"/>
      <c r="S11" s="597"/>
    </row>
    <row r="12" spans="2:19" ht="18" customHeight="1" x14ac:dyDescent="0.25">
      <c r="B12" s="592"/>
      <c r="C12" s="228">
        <v>45677</v>
      </c>
      <c r="D12" s="235"/>
      <c r="E12" s="235"/>
      <c r="F12" s="243"/>
      <c r="I12" s="592"/>
      <c r="J12" s="598">
        <v>45550</v>
      </c>
      <c r="K12" s="599"/>
      <c r="L12" s="598">
        <v>45559</v>
      </c>
      <c r="M12" s="599"/>
      <c r="N12" s="598"/>
      <c r="O12" s="599"/>
      <c r="P12" s="598"/>
      <c r="Q12" s="599"/>
      <c r="R12" s="600"/>
      <c r="S12" s="599"/>
    </row>
    <row r="13" spans="2:19" ht="14.95" thickBot="1" x14ac:dyDescent="0.3">
      <c r="B13" s="593"/>
      <c r="C13" s="40" t="s">
        <v>176</v>
      </c>
      <c r="D13" s="40" t="s">
        <v>176</v>
      </c>
      <c r="E13" s="40" t="s">
        <v>176</v>
      </c>
      <c r="F13" s="244" t="s">
        <v>176</v>
      </c>
      <c r="I13" s="593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25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245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25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246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25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246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4.95" customHeight="1" x14ac:dyDescent="0.25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246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" customHeight="1" thickBot="1" x14ac:dyDescent="0.3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247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4.95" thickBot="1" x14ac:dyDescent="0.3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8" customHeight="1" thickBot="1" x14ac:dyDescent="0.3">
      <c r="B20" s="586" t="s">
        <v>179</v>
      </c>
      <c r="C20" s="583" t="s">
        <v>177</v>
      </c>
      <c r="D20" s="584"/>
      <c r="E20" s="584"/>
      <c r="F20" s="58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25">
      <c r="B21" s="587"/>
      <c r="C21" s="236">
        <v>45568</v>
      </c>
      <c r="D21" s="237"/>
      <c r="E21" s="237"/>
      <c r="F21" s="248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4.95" thickBot="1" x14ac:dyDescent="0.3">
      <c r="B22" s="588"/>
      <c r="C22" s="234" t="s">
        <v>10</v>
      </c>
      <c r="D22" s="234" t="s">
        <v>10</v>
      </c>
      <c r="E22" s="234" t="s">
        <v>10</v>
      </c>
      <c r="F22" s="249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25">
      <c r="B23" s="3" t="s">
        <v>152</v>
      </c>
      <c r="C23" s="20">
        <v>0</v>
      </c>
      <c r="D23" s="20">
        <v>0</v>
      </c>
      <c r="E23" s="20">
        <v>0</v>
      </c>
      <c r="F23" s="245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25">
      <c r="B24" s="5" t="s">
        <v>153</v>
      </c>
      <c r="C24" s="27">
        <v>0</v>
      </c>
      <c r="D24" s="27">
        <v>0</v>
      </c>
      <c r="E24" s="27">
        <v>0</v>
      </c>
      <c r="F24" s="246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25">
      <c r="A25" s="9"/>
      <c r="B25" s="5" t="s">
        <v>154</v>
      </c>
      <c r="C25" s="27">
        <v>0</v>
      </c>
      <c r="D25" s="27">
        <v>0</v>
      </c>
      <c r="E25" s="27">
        <v>0</v>
      </c>
      <c r="F25" s="246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25">
      <c r="B26" s="5" t="s">
        <v>155</v>
      </c>
      <c r="C26" s="27">
        <v>0</v>
      </c>
      <c r="D26" s="27">
        <v>0</v>
      </c>
      <c r="E26" s="27">
        <v>0</v>
      </c>
      <c r="F26" s="246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4.95" thickBot="1" x14ac:dyDescent="0.3">
      <c r="B27" s="7" t="s">
        <v>156</v>
      </c>
      <c r="C27" s="28">
        <v>25</v>
      </c>
      <c r="D27" s="28">
        <v>0</v>
      </c>
      <c r="E27" s="28">
        <v>0</v>
      </c>
      <c r="F27" s="247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25">
      <c r="B28" s="9" t="s">
        <v>175</v>
      </c>
      <c r="C28" s="250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25">
      <c r="B29" s="9"/>
      <c r="C29" s="250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25">
      <c r="B30" s="9"/>
      <c r="C30" s="25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25">
      <c r="B31" s="9"/>
      <c r="C31" s="250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25">
      <c r="B32" s="9"/>
      <c r="C32" s="25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25">
      <c r="B33" s="9"/>
      <c r="C33" s="25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25">
      <c r="B34" s="9"/>
      <c r="C34" s="25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25">
      <c r="B35" s="9"/>
      <c r="C35" s="25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25">
      <c r="B36" s="9"/>
      <c r="C36" s="25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25">
      <c r="B37" s="9"/>
      <c r="C37" s="25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25">
      <c r="B38" s="9"/>
      <c r="C38" s="25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25">
      <c r="B39" s="9"/>
      <c r="C39" s="25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25">
      <c r="B40" s="9"/>
      <c r="C40" s="25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25">
      <c r="B41" s="9"/>
      <c r="C41" s="25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25">
      <c r="B42" s="9"/>
      <c r="C42" s="250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25">
      <c r="B43" s="9"/>
      <c r="C43" s="25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25">
      <c r="B44" s="9"/>
      <c r="C44" s="250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25">
      <c r="B45" s="9"/>
      <c r="C45" s="25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25">
      <c r="B46" s="9"/>
      <c r="C46" s="25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25">
      <c r="B47" s="9"/>
      <c r="C47" s="25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25">
      <c r="B48" s="9"/>
      <c r="C48" s="25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25">
      <c r="B49" s="9"/>
      <c r="C49" s="25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25">
      <c r="B50" s="9"/>
      <c r="C50" s="25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25">
      <c r="B51" s="9"/>
      <c r="C51" s="25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25">
      <c r="B52" s="9"/>
      <c r="C52" s="25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25">
      <c r="B53" s="9"/>
      <c r="C53" s="25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25">
      <c r="B54" s="9"/>
      <c r="C54" s="25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25">
      <c r="B55" s="9"/>
      <c r="C55" s="25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25">
      <c r="B56" s="9"/>
      <c r="C56" s="25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25">
      <c r="B57" s="9"/>
      <c r="C57" s="25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25">
      <c r="B58" s="9"/>
      <c r="C58" s="25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25">
      <c r="B59" s="9"/>
      <c r="C59" s="25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25">
      <c r="B60" s="9"/>
      <c r="C60" s="25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25">
      <c r="B61" s="9"/>
      <c r="C61" s="25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25">
      <c r="B62" s="9"/>
      <c r="C62" s="25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25">
      <c r="B63" s="9"/>
      <c r="C63" s="25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25">
      <c r="B64" s="9"/>
      <c r="C64" s="25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25">
      <c r="B65" s="9"/>
      <c r="C65" s="25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25">
      <c r="B66" s="9"/>
      <c r="C66" s="25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25">
      <c r="B67" s="9"/>
      <c r="C67" s="25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25">
      <c r="B68" s="9"/>
      <c r="C68" s="25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25">
      <c r="B69" s="9"/>
      <c r="C69" s="25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25">
      <c r="B70" s="9"/>
      <c r="C70" s="25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25">
      <c r="B71" s="9"/>
      <c r="C71" s="25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25">
      <c r="B72" s="9"/>
      <c r="C72" s="25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25">
      <c r="B73" s="9"/>
      <c r="C73" s="25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25">
      <c r="B74" s="9"/>
      <c r="C74" s="25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25">
      <c r="B75" s="9"/>
      <c r="C75" s="25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25">
      <c r="B76" s="9"/>
      <c r="C76" s="250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25">
      <c r="B77" s="9"/>
      <c r="C77" s="25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25">
      <c r="B78" s="9"/>
      <c r="C78" s="25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25">
      <c r="B79" s="9"/>
      <c r="C79" s="25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25">
      <c r="B80" s="9"/>
      <c r="C80" s="250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25">
      <c r="B81" s="9"/>
      <c r="C81" s="25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25">
      <c r="B82" s="9"/>
      <c r="C82" s="250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25">
      <c r="B83" s="9"/>
      <c r="C83" s="250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25">
      <c r="B84" s="9"/>
      <c r="C84" s="250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25">
      <c r="B85" s="9"/>
      <c r="C85" s="25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25">
      <c r="B86" s="9"/>
      <c r="C86" s="250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25">
      <c r="B87" s="9"/>
      <c r="C87" s="250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25">
      <c r="B88" s="9"/>
      <c r="C88" s="250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25">
      <c r="B89" s="9"/>
      <c r="C89" s="25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25">
      <c r="B90" s="9"/>
      <c r="C90" s="25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25">
      <c r="B91" s="9"/>
      <c r="C91" s="25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25">
      <c r="B92" s="9"/>
      <c r="C92" s="250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25">
      <c r="B93" s="9"/>
      <c r="C93" s="250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25">
      <c r="B94" s="9"/>
      <c r="C94" s="250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25">
      <c r="B95" s="9"/>
      <c r="C95" s="25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25">
      <c r="B96" s="9"/>
      <c r="C96" s="250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25">
      <c r="B97" s="9"/>
      <c r="C97" s="25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25">
      <c r="B98" s="9"/>
      <c r="C98" s="250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25">
      <c r="B99" s="9"/>
      <c r="C99" s="25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25">
      <c r="B100" s="9"/>
      <c r="C100" s="250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25">
      <c r="B101" s="9"/>
      <c r="C101" s="250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25">
      <c r="B102" s="9"/>
      <c r="C102" s="250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25">
      <c r="B103" s="9"/>
      <c r="C103" s="25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25">
      <c r="B104" s="9"/>
      <c r="C104" s="250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25">
      <c r="B105" s="9"/>
      <c r="C105" s="250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25">
      <c r="B106" s="9"/>
      <c r="C106" s="25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25">
      <c r="B107" s="9"/>
      <c r="C107" s="250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25">
      <c r="B108" s="9"/>
      <c r="C108" s="250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25">
      <c r="B109" s="9"/>
      <c r="C109" s="250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25">
      <c r="B110" s="9"/>
      <c r="C110" s="250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25">
      <c r="B111" s="9"/>
      <c r="C111" s="250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25">
      <c r="B112" s="9"/>
      <c r="C112" s="250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25">
      <c r="B113" s="9"/>
      <c r="C113" s="250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25">
      <c r="B114" s="9"/>
      <c r="C114" s="250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25">
      <c r="B115" s="9"/>
      <c r="C115" s="250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25">
      <c r="B116" s="9"/>
      <c r="C116" s="250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25">
      <c r="B117" s="9"/>
      <c r="C117" s="250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25">
      <c r="B118" s="9"/>
      <c r="C118" s="250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25">
      <c r="B119" s="9"/>
      <c r="C119" s="250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25">
      <c r="B120" s="9"/>
      <c r="C120" s="250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25">
      <c r="B121" s="9"/>
      <c r="C121" s="250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25">
      <c r="B122" s="9"/>
      <c r="C122" s="250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25">
      <c r="B123" s="9"/>
      <c r="C123" s="250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25">
      <c r="B124" s="9"/>
      <c r="C124" s="250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25">
      <c r="B125" s="9"/>
      <c r="C125" s="250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25">
      <c r="B126" s="9"/>
      <c r="C126" s="250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25">
      <c r="B127" s="9"/>
      <c r="C127" s="250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25">
      <c r="B128" s="9"/>
      <c r="C128" s="250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25">
      <c r="B129" s="9"/>
      <c r="C129" s="250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25">
      <c r="B130" s="9"/>
      <c r="C130" s="250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25">
      <c r="B131" s="9"/>
      <c r="C131" s="250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25">
      <c r="B132" s="9"/>
      <c r="C132" s="250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25">
      <c r="B133" s="9"/>
      <c r="C133" s="250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25">
      <c r="B134" s="9"/>
      <c r="C134" s="25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25">
      <c r="B135" s="9"/>
      <c r="C135" s="25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25">
      <c r="B136" s="9"/>
      <c r="C136" s="250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25">
      <c r="B137" s="9"/>
      <c r="C137" s="250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25">
      <c r="B138" s="9"/>
      <c r="C138" s="250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25">
      <c r="B139" s="9"/>
      <c r="C139" s="250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25">
      <c r="B140" s="9"/>
      <c r="C140" s="250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25">
      <c r="B141" s="9"/>
      <c r="C141" s="25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25">
      <c r="B142" s="9"/>
      <c r="C142" s="250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25">
      <c r="B143" s="9"/>
      <c r="C143" s="250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25">
      <c r="B144" s="9"/>
      <c r="C144" s="250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25">
      <c r="B145" s="9"/>
      <c r="C145" s="250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25">
      <c r="B146" s="9"/>
      <c r="C146" s="25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25">
      <c r="B147" s="9"/>
      <c r="C147" s="250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25">
      <c r="B148" s="9"/>
      <c r="C148" s="250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25">
      <c r="B149" s="9"/>
      <c r="C149" s="250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25">
      <c r="B150" s="9"/>
      <c r="C150" s="25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25">
      <c r="B151" s="9"/>
      <c r="C151" s="250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25">
      <c r="B152" s="9"/>
      <c r="C152" s="250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25">
      <c r="B153" s="9"/>
      <c r="C153" s="25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25">
      <c r="B154" s="9"/>
      <c r="C154" s="250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25">
      <c r="B155" s="9"/>
      <c r="C155" s="250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25">
      <c r="B156" s="9"/>
      <c r="C156" s="250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25">
      <c r="B157" s="9"/>
      <c r="C157" s="250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25">
      <c r="B158" s="9"/>
      <c r="C158" s="250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25">
      <c r="B159" s="9"/>
      <c r="C159" s="250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25">
      <c r="B160" s="9"/>
      <c r="C160" s="250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25">
      <c r="B161" s="9"/>
      <c r="C161" s="250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25">
      <c r="B162" s="9"/>
      <c r="C162" s="25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25">
      <c r="B163" s="9"/>
      <c r="C163" s="250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25">
      <c r="B164" s="9"/>
      <c r="C164" s="250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25">
      <c r="B165" s="9"/>
      <c r="C165" s="250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25">
      <c r="B166" s="9"/>
      <c r="C166" s="250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25">
      <c r="B167" s="9"/>
      <c r="C167" s="25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25">
      <c r="B168" s="9"/>
      <c r="C168" s="250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25">
      <c r="B169" s="9"/>
      <c r="C169" s="250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25">
      <c r="B170" s="9"/>
      <c r="C170" s="250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25">
      <c r="B171" s="9"/>
      <c r="C171" s="250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25">
      <c r="B172" s="9"/>
      <c r="C172" s="250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25">
      <c r="B173" s="9"/>
      <c r="C173" s="250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25">
      <c r="B174" s="9"/>
      <c r="C174" s="250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25">
      <c r="B175" s="9"/>
      <c r="C175" s="250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25">
      <c r="B176" s="9"/>
      <c r="C176" s="250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25">
      <c r="B177" s="9"/>
      <c r="C177" s="250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25">
      <c r="B178" s="9"/>
      <c r="C178" s="250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25">
      <c r="B179" s="9"/>
      <c r="C179" s="250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25">
      <c r="B180" s="9"/>
      <c r="C180" s="250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25">
      <c r="B181" s="9"/>
      <c r="C181" s="250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25">
      <c r="B182" s="9"/>
      <c r="C182" s="250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25">
      <c r="B183" s="9"/>
      <c r="C183" s="250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25">
      <c r="B184" s="9"/>
      <c r="C184" s="250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25">
      <c r="B185" s="9"/>
      <c r="C185" s="250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25">
      <c r="B186" s="9"/>
      <c r="C186" s="25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25">
      <c r="B187" s="9"/>
      <c r="C187" s="250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25">
      <c r="B188" s="9"/>
      <c r="C188" s="250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25">
      <c r="B189" s="9"/>
      <c r="C189" s="250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25">
      <c r="B190" s="9"/>
      <c r="C190" s="250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25">
      <c r="B191" s="9"/>
      <c r="C191" s="250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25">
      <c r="B192" s="9"/>
      <c r="C192" s="250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25">
      <c r="B193" s="9"/>
      <c r="C193" s="25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25">
      <c r="B194" s="9"/>
      <c r="C194" s="250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25">
      <c r="B195" s="9"/>
      <c r="C195" s="250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25">
      <c r="B196" s="9"/>
      <c r="C196" s="250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25">
      <c r="B197" s="9"/>
      <c r="C197" s="250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25">
      <c r="B198" s="9"/>
      <c r="C198" s="250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25">
      <c r="B199" s="9"/>
      <c r="C199" s="250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25">
      <c r="B200" s="9"/>
      <c r="C200" s="250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25">
      <c r="B201" s="9"/>
      <c r="C201" s="25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25">
      <c r="B202" s="9"/>
      <c r="C202" s="250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25">
      <c r="B203" s="9"/>
      <c r="C203" s="250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25">
      <c r="B204" s="9"/>
      <c r="C204" s="250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25">
      <c r="B205" s="9"/>
      <c r="C205" s="250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25">
      <c r="B206" s="9"/>
      <c r="C206" s="250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25">
      <c r="B207" s="9"/>
      <c r="C207" s="250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25">
      <c r="B208" s="9"/>
      <c r="C208" s="250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25">
      <c r="B209" s="9"/>
      <c r="C209" s="250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25">
      <c r="B210" s="9"/>
      <c r="C210" s="250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25">
      <c r="B211" s="9"/>
      <c r="C211" s="250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25">
      <c r="B212" s="9"/>
      <c r="C212" s="250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25">
      <c r="B213" s="9"/>
      <c r="C213" s="250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25">
      <c r="B214" s="9"/>
      <c r="C214" s="25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25">
      <c r="B215" s="9"/>
      <c r="C215" s="25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25">
      <c r="B216" s="9"/>
      <c r="C216" s="25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25">
      <c r="B217" s="9"/>
      <c r="C217" s="25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25">
      <c r="B218" s="9"/>
      <c r="C218" s="25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25">
      <c r="B219" s="9"/>
      <c r="C219" s="25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25">
      <c r="B220" s="9"/>
      <c r="C220" s="25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25">
      <c r="B221" s="9"/>
      <c r="C221" s="250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25">
      <c r="B222" s="9"/>
      <c r="C222" s="250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25">
      <c r="B223" s="9"/>
      <c r="C223" s="250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25">
      <c r="B224" s="9"/>
      <c r="C224" s="250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25">
      <c r="B225" s="9"/>
      <c r="C225" s="250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25">
      <c r="B226" s="9"/>
      <c r="C226" s="250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25">
      <c r="B227" s="9"/>
      <c r="C227" s="250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25">
      <c r="B228" s="9"/>
      <c r="C228" s="250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25">
      <c r="B229" s="9"/>
      <c r="C229" s="250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25">
      <c r="B230" s="9"/>
      <c r="C230" s="25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25">
      <c r="B231" s="9"/>
      <c r="C231" s="250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25">
      <c r="B232" s="9"/>
      <c r="C232" s="250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25">
      <c r="B233" s="9"/>
      <c r="C233" s="250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25">
      <c r="B234" s="9"/>
      <c r="C234" s="250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25">
      <c r="B235" s="9"/>
      <c r="C235" s="250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25">
      <c r="B236" s="9"/>
      <c r="C236" s="250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25">
      <c r="B237" s="9"/>
      <c r="C237" s="250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25">
      <c r="B238" s="9"/>
      <c r="C238" s="250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25">
      <c r="B239" s="9"/>
      <c r="C239" s="250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25">
      <c r="B240" s="9"/>
      <c r="C240" s="250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25">
      <c r="B241" s="9"/>
      <c r="C241" s="250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25">
      <c r="B242" s="9"/>
      <c r="C242" s="250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25">
      <c r="B243" s="9"/>
      <c r="C243" s="25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25">
      <c r="B244" s="9"/>
      <c r="C244" s="250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25">
      <c r="B245" s="9"/>
      <c r="C245" s="250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25">
      <c r="B246" s="9"/>
      <c r="C246" s="250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25">
      <c r="B247" s="9"/>
      <c r="C247" s="250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25">
      <c r="B248" s="9"/>
      <c r="C248" s="250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25">
      <c r="B249" s="9"/>
      <c r="C249" s="250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25">
      <c r="B250" s="9"/>
      <c r="C250" s="250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25">
      <c r="B251" s="9"/>
      <c r="C251" s="250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25">
      <c r="B252" s="9"/>
      <c r="C252" s="250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25">
      <c r="B253" s="9"/>
      <c r="C253" s="250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25">
      <c r="B254" s="9"/>
      <c r="C254" s="250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25">
      <c r="B255" s="9"/>
      <c r="C255" s="250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25">
      <c r="B256" s="9"/>
      <c r="C256" s="250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25">
      <c r="B257" s="9"/>
      <c r="C257" s="250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25">
      <c r="B258" s="9"/>
      <c r="C258" s="250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25">
      <c r="B259" s="9"/>
      <c r="C259" s="25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25">
      <c r="B260" s="9"/>
      <c r="C260" s="250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25">
      <c r="B261" s="9"/>
      <c r="C261" s="250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25">
      <c r="B262" s="9"/>
      <c r="C262" s="250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25">
      <c r="B263" s="9"/>
      <c r="C263" s="250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25">
      <c r="B264" s="9"/>
      <c r="C264" s="250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25">
      <c r="B265" s="9"/>
      <c r="C265" s="250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25">
      <c r="B266" s="9"/>
      <c r="C266" s="250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25">
      <c r="B267" s="9"/>
      <c r="C267" s="250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25">
      <c r="B268" s="9"/>
      <c r="C268" s="250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25">
      <c r="B269" s="9"/>
      <c r="C269" s="250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25">
      <c r="B270" s="9"/>
      <c r="C270" s="250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25">
      <c r="B271" s="9"/>
      <c r="C271" s="250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25">
      <c r="B272" s="9"/>
      <c r="C272" s="250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25">
      <c r="B273" s="9"/>
      <c r="C273" s="25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25">
      <c r="B274" s="9"/>
      <c r="C274" s="250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25">
      <c r="B275" s="9"/>
      <c r="C275" s="250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25">
      <c r="B276" s="9"/>
      <c r="C276" s="250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25">
      <c r="B277" s="9"/>
      <c r="C277" s="250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25">
      <c r="B278" s="9"/>
      <c r="C278" s="250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25">
      <c r="B279" s="9"/>
      <c r="C279" s="250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25">
      <c r="B280" s="9"/>
      <c r="C280" s="250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25">
      <c r="B281" s="9"/>
      <c r="C281" s="250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25">
      <c r="B282" s="9"/>
      <c r="C282" s="250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25">
      <c r="B283" s="9"/>
      <c r="C283" s="25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25">
      <c r="B284" s="9"/>
      <c r="C284" s="250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25">
      <c r="B285" s="9"/>
      <c r="C285" s="250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25">
      <c r="B286" s="9"/>
      <c r="C286" s="250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25">
      <c r="B287" s="9"/>
      <c r="C287" s="250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25">
      <c r="B288" s="9"/>
      <c r="C288" s="250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25">
      <c r="B289" s="9"/>
      <c r="C289" s="250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25">
      <c r="B290" s="9"/>
      <c r="C290" s="250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25">
      <c r="B291" s="9"/>
      <c r="C291" s="250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25">
      <c r="B292" s="9"/>
      <c r="C292" s="250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25">
      <c r="B293" s="9"/>
      <c r="C293" s="250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25">
      <c r="B294" s="9"/>
      <c r="C294" s="250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25">
      <c r="B295" s="9"/>
      <c r="C295" s="250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25">
      <c r="B296" s="9"/>
      <c r="C296" s="250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25">
      <c r="B297" s="9"/>
      <c r="C297" s="25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25">
      <c r="B298" s="9"/>
      <c r="C298" s="250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25">
      <c r="B299" s="9"/>
      <c r="C299" s="25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25">
      <c r="B300" s="9"/>
      <c r="C300" s="25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25">
      <c r="B301" s="9"/>
      <c r="C301" s="25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25">
      <c r="B302" s="9"/>
      <c r="C302" s="25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25">
      <c r="B303" s="9"/>
      <c r="C303" s="25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25">
      <c r="B304" s="9"/>
      <c r="C304" s="25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25">
      <c r="B305" s="9"/>
      <c r="C305" s="25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25">
      <c r="B306" s="9"/>
      <c r="C306" s="25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25">
      <c r="B307" s="9"/>
      <c r="C307" s="25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25">
      <c r="B308" s="9"/>
      <c r="C308" s="250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25">
      <c r="B309" s="9"/>
      <c r="C309" s="250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25">
      <c r="B310" s="9"/>
      <c r="C310" s="250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25">
      <c r="B311" s="9"/>
      <c r="C311" s="250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25">
      <c r="B312" s="9"/>
      <c r="C312" s="250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25">
      <c r="B313" s="9"/>
      <c r="C313" s="250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25">
      <c r="B314" s="9"/>
      <c r="C314" s="250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25">
      <c r="B315" s="9"/>
      <c r="C315" s="250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25">
      <c r="B316" s="9"/>
      <c r="C316" s="250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25">
      <c r="B317" s="9"/>
      <c r="C317" s="250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25">
      <c r="B318" s="9"/>
      <c r="C318" s="250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25">
      <c r="B319" s="9"/>
      <c r="C319" s="250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25">
      <c r="B320" s="9"/>
      <c r="C320" s="250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25">
      <c r="B321" s="9"/>
      <c r="C321" s="25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25">
      <c r="B322" s="9"/>
      <c r="C322" s="250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25">
      <c r="B323" s="9"/>
      <c r="C323" s="250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25">
      <c r="B324" s="9"/>
      <c r="C324" s="250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25">
      <c r="B325" s="9"/>
      <c r="C325" s="250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25">
      <c r="B326" s="9"/>
      <c r="C326" s="250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25">
      <c r="B327" s="9"/>
      <c r="C327" s="250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25">
      <c r="B328" s="9"/>
      <c r="C328" s="250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25">
      <c r="B329" s="9"/>
      <c r="C329" s="250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25">
      <c r="B330" s="9"/>
      <c r="C330" s="250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25">
      <c r="B331" s="9"/>
      <c r="C331" s="250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25">
      <c r="B332" s="9"/>
      <c r="C332" s="25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25">
      <c r="B333" s="9"/>
      <c r="C333" s="250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25">
      <c r="B334" s="9"/>
      <c r="C334" s="250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25">
      <c r="B335" s="9"/>
      <c r="C335" s="250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25">
      <c r="B336" s="9"/>
      <c r="C336" s="250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25">
      <c r="B337" s="9"/>
      <c r="C337" s="250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25">
      <c r="B338" s="9"/>
      <c r="C338" s="250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25">
      <c r="B339" s="9"/>
      <c r="C339" s="250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25">
      <c r="B340" s="9"/>
      <c r="C340" s="250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25">
      <c r="B341" s="9"/>
      <c r="C341" s="250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25">
      <c r="B342" s="9"/>
      <c r="C342" s="250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25">
      <c r="B343" s="9"/>
      <c r="C343" s="250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25">
      <c r="B344" s="9"/>
      <c r="C344" s="250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25">
      <c r="B345" s="9"/>
      <c r="C345" s="250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25">
      <c r="B346" s="9"/>
      <c r="C346" s="250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25">
      <c r="B347" s="9"/>
      <c r="C347" s="25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25">
      <c r="B348" s="9"/>
      <c r="C348" s="250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25">
      <c r="B349" s="9"/>
      <c r="C349" s="250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25">
      <c r="B350" s="9"/>
      <c r="C350" s="250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25">
      <c r="B351" s="9"/>
      <c r="C351" s="250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25">
      <c r="B352" s="9"/>
      <c r="C352" s="250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25">
      <c r="B353" s="9"/>
      <c r="C353" s="250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25">
      <c r="B354" s="9"/>
      <c r="C354" s="250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25">
      <c r="B355" s="9"/>
      <c r="C355" s="250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25">
      <c r="B356" s="9"/>
      <c r="C356" s="250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25">
      <c r="B357" s="9"/>
      <c r="C357" s="250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25">
      <c r="B358" s="9"/>
      <c r="C358" s="250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25">
      <c r="B359" s="9"/>
      <c r="C359" s="250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25">
      <c r="B360" s="9"/>
      <c r="C360" s="250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25">
      <c r="B361" s="9"/>
      <c r="C361" s="250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25">
      <c r="B362" s="9"/>
      <c r="C362" s="25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25">
      <c r="B363" s="9"/>
      <c r="C363" s="250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25">
      <c r="B364" s="9"/>
      <c r="C364" s="250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25">
      <c r="B365" s="9"/>
      <c r="C365" s="250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25">
      <c r="B366" s="9"/>
      <c r="C366" s="250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25">
      <c r="B367" s="9"/>
      <c r="C367" s="250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25">
      <c r="B368" s="9"/>
      <c r="C368" s="250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25">
      <c r="B369" s="9"/>
      <c r="C369" s="250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25">
      <c r="B370" s="9"/>
      <c r="C370" s="250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25">
      <c r="B371" s="9"/>
      <c r="C371" s="250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25">
      <c r="B372" s="9"/>
      <c r="C372" s="250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25">
      <c r="B373" s="9"/>
      <c r="C373" s="250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25">
      <c r="B374" s="9"/>
      <c r="C374" s="250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25">
      <c r="B375" s="9"/>
      <c r="C375" s="250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25">
      <c r="B376" s="9"/>
      <c r="C376" s="250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25">
      <c r="B377" s="9"/>
      <c r="C377" s="250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25">
      <c r="B378" s="9"/>
      <c r="C378" s="250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25">
      <c r="B379" s="9"/>
      <c r="C379" s="25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25">
      <c r="B380" s="9"/>
      <c r="C380" s="250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25">
      <c r="B381" s="9"/>
      <c r="C381" s="250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25">
      <c r="B382" s="9"/>
      <c r="C382" s="250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25">
      <c r="B383" s="9"/>
      <c r="C383" s="250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25">
      <c r="B384" s="9"/>
      <c r="C384" s="250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25">
      <c r="B385" s="9"/>
      <c r="C385" s="250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25">
      <c r="B386" s="9"/>
      <c r="C386" s="250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25">
      <c r="B387" s="9"/>
      <c r="C387" s="250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25">
      <c r="B388" s="9"/>
      <c r="C388" s="250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25">
      <c r="B389" s="9"/>
      <c r="C389" s="250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25">
      <c r="B390" s="9"/>
      <c r="C390" s="250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25">
      <c r="B391" s="9"/>
      <c r="C391" s="250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25">
      <c r="B392" s="9"/>
      <c r="C392" s="250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25">
      <c r="B393" s="9"/>
      <c r="C393" s="250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25">
      <c r="B394" s="9"/>
      <c r="C394" s="250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25">
      <c r="B395" s="9"/>
      <c r="C395" s="250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25">
      <c r="B396" s="9"/>
      <c r="C396" s="25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25">
      <c r="B397" s="9"/>
      <c r="C397" s="250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25">
      <c r="B398" s="9"/>
      <c r="C398" s="250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25">
      <c r="B399" s="9"/>
      <c r="C399" s="250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25">
      <c r="B400" s="9"/>
      <c r="C400" s="250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25">
      <c r="B401" s="9"/>
      <c r="C401" s="250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25">
      <c r="B402" s="9"/>
      <c r="C402" s="250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25">
      <c r="B403" s="9"/>
      <c r="C403" s="250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25">
      <c r="B404" s="9"/>
      <c r="C404" s="250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25">
      <c r="B405" s="9"/>
      <c r="C405" s="250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25">
      <c r="B406" s="9"/>
      <c r="C406" s="250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25">
      <c r="B407" s="9"/>
      <c r="C407" s="250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25">
      <c r="B408" s="9"/>
      <c r="C408" s="250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25">
      <c r="B409" s="9"/>
      <c r="C409" s="250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25">
      <c r="B410" s="9"/>
      <c r="C410" s="250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25">
      <c r="B411" s="9"/>
      <c r="C411" s="250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25">
      <c r="B412" s="9"/>
      <c r="C412" s="250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dimension ref="A1:F21"/>
  <sheetViews>
    <sheetView workbookViewId="0">
      <selection sqref="A1:F1"/>
    </sheetView>
  </sheetViews>
  <sheetFormatPr baseColWidth="10" defaultRowHeight="14.3" x14ac:dyDescent="0.25"/>
  <cols>
    <col min="1" max="1" width="37.375" bestFit="1" customWidth="1"/>
    <col min="2" max="3" width="20.875" customWidth="1"/>
    <col min="4" max="4" width="15.125" bestFit="1" customWidth="1"/>
    <col min="5" max="5" width="18" customWidth="1"/>
    <col min="6" max="6" width="20.375" customWidth="1"/>
  </cols>
  <sheetData>
    <row r="1" spans="1:6" x14ac:dyDescent="0.25">
      <c r="A1" s="612" t="s">
        <v>230</v>
      </c>
      <c r="B1" s="612"/>
      <c r="C1" s="612"/>
      <c r="D1" s="612"/>
      <c r="E1" s="612"/>
      <c r="F1" s="612"/>
    </row>
    <row r="2" spans="1:6" ht="28.2" customHeight="1" x14ac:dyDescent="0.25">
      <c r="A2" s="316" t="s">
        <v>157</v>
      </c>
      <c r="B2" s="316" t="s">
        <v>221</v>
      </c>
      <c r="C2" s="316" t="s">
        <v>225</v>
      </c>
      <c r="D2" s="316" t="s">
        <v>222</v>
      </c>
      <c r="E2" s="316" t="s">
        <v>226</v>
      </c>
      <c r="F2" s="318" t="s">
        <v>239</v>
      </c>
    </row>
    <row r="3" spans="1:6" x14ac:dyDescent="0.25">
      <c r="A3" s="314" t="s">
        <v>220</v>
      </c>
      <c r="B3" s="93">
        <f>+'INVENTARIO Y CONSUMO GEM  '!T97</f>
        <v>6760</v>
      </c>
      <c r="C3" s="93">
        <f>+B3/23</f>
        <v>293.91304347826087</v>
      </c>
      <c r="D3" s="315">
        <f>+'INVENTARIO Y CONSUMO GEM  '!AN97</f>
        <v>5610800</v>
      </c>
      <c r="E3" s="315">
        <f>+D3/23</f>
        <v>243947.82608695651</v>
      </c>
      <c r="F3" s="319">
        <f>+D3/$B$9</f>
        <v>139.14639287751407</v>
      </c>
    </row>
    <row r="4" spans="1:6" x14ac:dyDescent="0.25">
      <c r="A4" s="314" t="s">
        <v>218</v>
      </c>
      <c r="B4" s="93">
        <f>+'INVENTARIO Y CONSUMO GEM  '!U97</f>
        <v>15409.75</v>
      </c>
      <c r="C4" s="93">
        <f>+B4/23</f>
        <v>669.98913043478262</v>
      </c>
      <c r="D4" s="315">
        <f>+'INVENTARIO Y CONSUMO GEM  '!AO97</f>
        <v>44688275</v>
      </c>
      <c r="E4" s="315">
        <f>+D4/23</f>
        <v>1942968.4782608696</v>
      </c>
      <c r="F4" s="319">
        <f>+D4/$B$9</f>
        <v>1108.2576941199811</v>
      </c>
    </row>
    <row r="5" spans="1:6" x14ac:dyDescent="0.25">
      <c r="A5" s="314" t="s">
        <v>219</v>
      </c>
      <c r="B5" s="93">
        <f>+'INVENTARIO Y CONSUMO GEM  '!V97</f>
        <v>4712.5</v>
      </c>
      <c r="C5" s="93">
        <f>+B5/23</f>
        <v>204.89130434782609</v>
      </c>
      <c r="D5" s="315">
        <f>+'INVENTARIO Y CONSUMO GEM  '!AP97</f>
        <v>29665187.5</v>
      </c>
      <c r="E5" s="315">
        <f>+D5/23</f>
        <v>1289790.7608695652</v>
      </c>
      <c r="F5" s="319">
        <f>+D5/$B$9</f>
        <v>735.68899883441213</v>
      </c>
    </row>
    <row r="6" spans="1:6" x14ac:dyDescent="0.25">
      <c r="A6" s="314" t="s">
        <v>223</v>
      </c>
      <c r="B6" s="93">
        <f>+'INVENTARIO Y CONSUMO GEM  '!W97</f>
        <v>145</v>
      </c>
      <c r="C6" s="93">
        <f>+B6/23</f>
        <v>6.3043478260869561</v>
      </c>
      <c r="D6" s="315">
        <f>+'INVENTARIO Y CONSUMO GEM  '!AQ97</f>
        <v>2762250</v>
      </c>
      <c r="E6" s="315">
        <f>+D6/23</f>
        <v>120097.82608695653</v>
      </c>
      <c r="F6" s="319">
        <f>+D6/$B$9</f>
        <v>68.503087567889295</v>
      </c>
    </row>
    <row r="7" spans="1:6" x14ac:dyDescent="0.25">
      <c r="A7" s="314" t="s">
        <v>224</v>
      </c>
      <c r="B7" s="93">
        <f>+'INVENTARIO Y CONSUMO GEM  '!X97</f>
        <v>295</v>
      </c>
      <c r="C7" s="93">
        <f>+B7/23</f>
        <v>12.826086956521738</v>
      </c>
      <c r="D7" s="315">
        <f>+'INVENTARIO Y CONSUMO GEM  '!AR97</f>
        <v>6504750</v>
      </c>
      <c r="E7" s="315">
        <f>+D7/23</f>
        <v>282815.21739130432</v>
      </c>
      <c r="F7" s="319">
        <f>+D7/$B$9</f>
        <v>161.31612231232796</v>
      </c>
    </row>
    <row r="8" spans="1:6" x14ac:dyDescent="0.25">
      <c r="A8" s="313" t="s">
        <v>232</v>
      </c>
      <c r="B8" s="611">
        <f>+SUM(D3:D7)</f>
        <v>89231262.5</v>
      </c>
      <c r="C8" s="611"/>
      <c r="D8" s="611"/>
      <c r="E8" s="317"/>
      <c r="F8" s="320">
        <f>SUM(F3:F7)</f>
        <v>2212.9122957121244</v>
      </c>
    </row>
    <row r="9" spans="1:6" x14ac:dyDescent="0.25">
      <c r="A9" s="313" t="s">
        <v>233</v>
      </c>
      <c r="B9" s="613">
        <v>40323</v>
      </c>
      <c r="C9" s="614"/>
      <c r="D9" s="614"/>
      <c r="E9" s="614"/>
      <c r="F9" s="615"/>
    </row>
    <row r="10" spans="1:6" x14ac:dyDescent="0.25">
      <c r="A10" s="618" t="s">
        <v>231</v>
      </c>
      <c r="B10" s="618"/>
      <c r="C10" s="618"/>
      <c r="D10" s="618"/>
      <c r="E10" s="618"/>
    </row>
    <row r="11" spans="1:6" x14ac:dyDescent="0.25">
      <c r="A11" s="316" t="s">
        <v>157</v>
      </c>
      <c r="B11" s="316" t="s">
        <v>221</v>
      </c>
      <c r="C11" s="316" t="s">
        <v>225</v>
      </c>
      <c r="D11" s="316" t="s">
        <v>222</v>
      </c>
      <c r="E11" s="316" t="s">
        <v>226</v>
      </c>
    </row>
    <row r="12" spans="1:6" x14ac:dyDescent="0.25">
      <c r="A12" s="314" t="s">
        <v>227</v>
      </c>
      <c r="B12" s="93">
        <f>240*2</f>
        <v>480</v>
      </c>
      <c r="C12" s="93">
        <f>+B12/23</f>
        <v>20.869565217391305</v>
      </c>
      <c r="D12" s="315">
        <f>1780*B12</f>
        <v>854400</v>
      </c>
      <c r="E12" s="315">
        <f>+D12/23</f>
        <v>37147.82608695652</v>
      </c>
    </row>
    <row r="13" spans="1:6" x14ac:dyDescent="0.25">
      <c r="A13" s="314" t="s">
        <v>228</v>
      </c>
      <c r="B13" s="93">
        <v>200</v>
      </c>
      <c r="C13" s="93">
        <f>+B13/23</f>
        <v>8.695652173913043</v>
      </c>
      <c r="D13" s="315">
        <f>2100*B13</f>
        <v>420000</v>
      </c>
      <c r="E13" s="315">
        <f>+D13/23</f>
        <v>18260.869565217392</v>
      </c>
    </row>
    <row r="14" spans="1:6" x14ac:dyDescent="0.25">
      <c r="A14" s="314" t="s">
        <v>229</v>
      </c>
      <c r="B14" s="93">
        <v>160</v>
      </c>
      <c r="C14" s="93">
        <f>+B14/23</f>
        <v>6.9565217391304346</v>
      </c>
      <c r="D14" s="315">
        <f>3880*B14</f>
        <v>620800</v>
      </c>
      <c r="E14" s="315">
        <f>+D14/23</f>
        <v>26991.304347826088</v>
      </c>
    </row>
    <row r="15" spans="1:6" x14ac:dyDescent="0.25">
      <c r="A15" s="313" t="s">
        <v>232</v>
      </c>
      <c r="B15" s="616">
        <f>+SUM(D12:D14)</f>
        <v>1895200</v>
      </c>
      <c r="C15" s="617"/>
      <c r="D15" s="617"/>
      <c r="E15" s="617"/>
    </row>
    <row r="16" spans="1:6" x14ac:dyDescent="0.25">
      <c r="A16" s="313" t="s">
        <v>233</v>
      </c>
      <c r="B16" s="611">
        <v>12660</v>
      </c>
      <c r="C16" s="611"/>
      <c r="D16" s="611"/>
      <c r="E16" s="611"/>
    </row>
    <row r="17" spans="1:5" x14ac:dyDescent="0.25">
      <c r="A17" s="313" t="s">
        <v>234</v>
      </c>
      <c r="B17" s="613">
        <v>9612</v>
      </c>
      <c r="C17" s="614"/>
      <c r="D17" s="614"/>
      <c r="E17" s="615"/>
    </row>
    <row r="18" spans="1:5" x14ac:dyDescent="0.25">
      <c r="A18" s="313" t="s">
        <v>235</v>
      </c>
      <c r="B18" s="611">
        <f>+B15/B16</f>
        <v>149.69984202211691</v>
      </c>
      <c r="C18" s="611"/>
      <c r="D18" s="611"/>
      <c r="E18" s="611"/>
    </row>
    <row r="19" spans="1:5" x14ac:dyDescent="0.25">
      <c r="A19" s="313" t="s">
        <v>236</v>
      </c>
      <c r="B19" s="616">
        <f>+B15/B17</f>
        <v>197.17020391177695</v>
      </c>
      <c r="C19" s="617"/>
      <c r="D19" s="617"/>
      <c r="E19" s="617"/>
    </row>
    <row r="20" spans="1:5" x14ac:dyDescent="0.25">
      <c r="A20" s="313" t="s">
        <v>237</v>
      </c>
      <c r="B20" s="616">
        <f>F8+B18</f>
        <v>2362.6121377342415</v>
      </c>
      <c r="C20" s="617"/>
      <c r="D20" s="617"/>
      <c r="E20" s="617"/>
    </row>
    <row r="21" spans="1:5" x14ac:dyDescent="0.25">
      <c r="A21" s="313" t="s">
        <v>238</v>
      </c>
      <c r="B21" s="616">
        <f>F8+B19</f>
        <v>2410.0824996239012</v>
      </c>
      <c r="C21" s="617"/>
      <c r="D21" s="617"/>
      <c r="E21" s="617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INVENTARIO Y CONSUMO GEM  </vt:lpstr>
      <vt:lpstr>DB QUIMICA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Andrea Milena Landinez Ramirez</cp:lastModifiedBy>
  <dcterms:created xsi:type="dcterms:W3CDTF">2022-11-30T20:17:52Z</dcterms:created>
  <dcterms:modified xsi:type="dcterms:W3CDTF">2026-04-09T21:24:41Z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