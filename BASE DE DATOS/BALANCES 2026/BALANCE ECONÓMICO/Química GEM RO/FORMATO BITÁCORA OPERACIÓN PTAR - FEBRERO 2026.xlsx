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2026\BALANCES 2026\BALANCE ECONÓMICO\Química GEM RO\"/>
    </mc:Choice>
  </mc:AlternateContent>
  <xr:revisionPtr revIDLastSave="0" documentId="13_ncr:1_{4F11E563-4978-4630-9720-C9B8FDEB1F00}" xr6:coauthVersionLast="47" xr6:coauthVersionMax="47" xr10:uidLastSave="{00000000-0000-0000-0000-000000000000}"/>
  <bookViews>
    <workbookView xWindow="-109" yWindow="-109" windowWidth="21954" windowHeight="11724" tabRatio="766" xr2:uid="{E6F4B368-D079-49CA-BD04-88FCAF32A55F}"/>
  </bookViews>
  <sheets>
    <sheet name="INVENTARIO Y CONSUMO GEM  " sheetId="13" r:id="rId1"/>
    <sheet name="DB QUIMICA" sheetId="14" r:id="rId2"/>
    <sheet name="CONSUMO QUÍMICA-CAUDALES GEM  " sheetId="16" r:id="rId3"/>
    <sheet name="INVENTARIO INSUMOS QUÍMICOS GEM" sheetId="6" r:id="rId4"/>
    <sheet name="REGISTRO RO" sheetId="20" r:id="rId5"/>
    <sheet name="CONSUMO QUÍMICA - CAUDALES RO" sheetId="24" r:id="rId6"/>
    <sheet name="INVENTARIO INSUMOS QUÍMICOS RO" sheetId="9" r:id="rId7"/>
    <sheet name="Consumos" sheetId="25" r:id="rId8"/>
  </sheets>
  <definedNames>
    <definedName name="SegmentaciónDeDatos_FECHA">#N/A</definedName>
    <definedName name="SegmentaciónDeDatos_FECHA1">#N/A</definedName>
    <definedName name="SegmentaciónDeDatos_FECHA2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3" l="1"/>
  <c r="O13" i="13"/>
  <c r="O18" i="13"/>
  <c r="S97" i="13"/>
  <c r="E41" i="25"/>
  <c r="F41" i="25"/>
  <c r="G41" i="25"/>
  <c r="H41" i="25"/>
  <c r="D41" i="25"/>
  <c r="D42" i="25"/>
  <c r="E40" i="25"/>
  <c r="E42" i="25" s="1"/>
  <c r="F40" i="25"/>
  <c r="G40" i="25"/>
  <c r="H40" i="25"/>
  <c r="D40" i="25"/>
  <c r="I42" i="25"/>
  <c r="G42" i="25"/>
  <c r="F42" i="25"/>
  <c r="I37" i="25"/>
  <c r="H37" i="25"/>
  <c r="G37" i="25"/>
  <c r="F37" i="25"/>
  <c r="E37" i="25"/>
  <c r="D37" i="25"/>
  <c r="H42" i="25" l="1"/>
  <c r="E31" i="25" l="1"/>
  <c r="F31" i="25"/>
  <c r="G31" i="25"/>
  <c r="H31" i="25"/>
  <c r="D31" i="25"/>
  <c r="U97" i="13"/>
  <c r="V97" i="13"/>
  <c r="W97" i="13"/>
  <c r="V35" i="20" l="1"/>
  <c r="U35" i="20"/>
  <c r="V28" i="20"/>
  <c r="AF28" i="20" s="1"/>
  <c r="U28" i="20"/>
  <c r="V26" i="20"/>
  <c r="V40" i="20"/>
  <c r="AF40" i="20" s="1"/>
  <c r="U18" i="20"/>
  <c r="U14" i="20"/>
  <c r="AE14" i="20" s="1"/>
  <c r="V8" i="20"/>
  <c r="AF8" i="20" s="1"/>
  <c r="U8" i="20"/>
  <c r="V81" i="20"/>
  <c r="U81" i="20"/>
  <c r="AE81" i="20" s="1"/>
  <c r="U73" i="20"/>
  <c r="AE73" i="20" s="1"/>
  <c r="V50" i="20"/>
  <c r="AF50" i="20" s="1"/>
  <c r="U50" i="20"/>
  <c r="V18" i="20"/>
  <c r="U26" i="20"/>
  <c r="AE26" i="20" s="1"/>
  <c r="AF18" i="20"/>
  <c r="AF98" i="20"/>
  <c r="AE98" i="20"/>
  <c r="AF97" i="20"/>
  <c r="AE97" i="20"/>
  <c r="AF96" i="20"/>
  <c r="AE96" i="20"/>
  <c r="AF95" i="20"/>
  <c r="AE95" i="20"/>
  <c r="AF94" i="20"/>
  <c r="AE94" i="20"/>
  <c r="AF93" i="20"/>
  <c r="AE93" i="20"/>
  <c r="AF92" i="20"/>
  <c r="AE92" i="20"/>
  <c r="AF91" i="20"/>
  <c r="AE91" i="20"/>
  <c r="AF90" i="20"/>
  <c r="AE90" i="20"/>
  <c r="AF89" i="20"/>
  <c r="AE89" i="20"/>
  <c r="AF88" i="20"/>
  <c r="AE88" i="20"/>
  <c r="AF87" i="20"/>
  <c r="AE87" i="20"/>
  <c r="AF86" i="20"/>
  <c r="AE86" i="20"/>
  <c r="AF85" i="20"/>
  <c r="AE85" i="20"/>
  <c r="AF84" i="20"/>
  <c r="AE84" i="20"/>
  <c r="AF83" i="20"/>
  <c r="AE83" i="20"/>
  <c r="AF82" i="20"/>
  <c r="AE82" i="20"/>
  <c r="AF81" i="20"/>
  <c r="AF80" i="20"/>
  <c r="AE80" i="20"/>
  <c r="AF79" i="20"/>
  <c r="AE79" i="20"/>
  <c r="AF78" i="20"/>
  <c r="AE78" i="20"/>
  <c r="AF77" i="20"/>
  <c r="AE77" i="20"/>
  <c r="AF76" i="20"/>
  <c r="AE76" i="20"/>
  <c r="AF75" i="20"/>
  <c r="AE75" i="20"/>
  <c r="AF74" i="20"/>
  <c r="AE74" i="20"/>
  <c r="AF73" i="20"/>
  <c r="AF72" i="20"/>
  <c r="AE72" i="20"/>
  <c r="AF71" i="20"/>
  <c r="AE71" i="20"/>
  <c r="AF70" i="20"/>
  <c r="AE70" i="20"/>
  <c r="AF69" i="20"/>
  <c r="AE69" i="20"/>
  <c r="AF68" i="20"/>
  <c r="AE68" i="20"/>
  <c r="AF67" i="20"/>
  <c r="AE67" i="20"/>
  <c r="AF66" i="20"/>
  <c r="AE66" i="20"/>
  <c r="AF65" i="20"/>
  <c r="AE65" i="20"/>
  <c r="AF64" i="20"/>
  <c r="AE64" i="20"/>
  <c r="AF63" i="20"/>
  <c r="AE63" i="20"/>
  <c r="AF62" i="20"/>
  <c r="AE62" i="20"/>
  <c r="AF61" i="20"/>
  <c r="AE61" i="20"/>
  <c r="AF60" i="20"/>
  <c r="AE60" i="20"/>
  <c r="AF59" i="20"/>
  <c r="AE59" i="20"/>
  <c r="AF58" i="20"/>
  <c r="AE58" i="20"/>
  <c r="AF57" i="20"/>
  <c r="AE57" i="20"/>
  <c r="AF56" i="20"/>
  <c r="AE56" i="20"/>
  <c r="AF55" i="20"/>
  <c r="AE55" i="20"/>
  <c r="AF54" i="20"/>
  <c r="AE54" i="20"/>
  <c r="AF53" i="20"/>
  <c r="AE53" i="20"/>
  <c r="AF52" i="20"/>
  <c r="AE52" i="20"/>
  <c r="AF51" i="20"/>
  <c r="AE51" i="20"/>
  <c r="AE50" i="20"/>
  <c r="AF49" i="20"/>
  <c r="AE49" i="20"/>
  <c r="AF48" i="20"/>
  <c r="AE48" i="20"/>
  <c r="AF47" i="20"/>
  <c r="AE47" i="20"/>
  <c r="AF46" i="20"/>
  <c r="AE46" i="20"/>
  <c r="AF45" i="20"/>
  <c r="AE45" i="20"/>
  <c r="AF44" i="20"/>
  <c r="AE44" i="20"/>
  <c r="AF43" i="20"/>
  <c r="AE43" i="20"/>
  <c r="AF42" i="20"/>
  <c r="AE42" i="20"/>
  <c r="AF41" i="20"/>
  <c r="AE41" i="20"/>
  <c r="AE40" i="20"/>
  <c r="AF39" i="20"/>
  <c r="AE39" i="20"/>
  <c r="AF38" i="20"/>
  <c r="AE38" i="20"/>
  <c r="AF37" i="20"/>
  <c r="AE37" i="20"/>
  <c r="AF36" i="20"/>
  <c r="AE36" i="20"/>
  <c r="AF33" i="20"/>
  <c r="AE33" i="20"/>
  <c r="AF32" i="20"/>
  <c r="AE32" i="20"/>
  <c r="AF31" i="20"/>
  <c r="AE31" i="20"/>
  <c r="AF30" i="20"/>
  <c r="AE30" i="20"/>
  <c r="AF29" i="20"/>
  <c r="AE29" i="20"/>
  <c r="AE28" i="20"/>
  <c r="AF27" i="20"/>
  <c r="AE27" i="20"/>
  <c r="AF26" i="20"/>
  <c r="AF25" i="20"/>
  <c r="AE25" i="20"/>
  <c r="AF24" i="20"/>
  <c r="AE24" i="20"/>
  <c r="AF23" i="20"/>
  <c r="AE23" i="20"/>
  <c r="AF22" i="20"/>
  <c r="AE22" i="20"/>
  <c r="AF21" i="20"/>
  <c r="AE21" i="20"/>
  <c r="AF20" i="20"/>
  <c r="AE20" i="20"/>
  <c r="AF19" i="20"/>
  <c r="AE19" i="20"/>
  <c r="AE18" i="20"/>
  <c r="AF17" i="20"/>
  <c r="AE17" i="20"/>
  <c r="AF16" i="20"/>
  <c r="AE16" i="20"/>
  <c r="AF15" i="20"/>
  <c r="AE15" i="20"/>
  <c r="AF14" i="20"/>
  <c r="AF13" i="20"/>
  <c r="AE13" i="20"/>
  <c r="AF12" i="20"/>
  <c r="AE12" i="20"/>
  <c r="AF11" i="20"/>
  <c r="AE11" i="20"/>
  <c r="AF10" i="20"/>
  <c r="AE10" i="20"/>
  <c r="AF9" i="20"/>
  <c r="AE9" i="20"/>
  <c r="AE8" i="20"/>
  <c r="AF7" i="20"/>
  <c r="AE7" i="20"/>
  <c r="AF6" i="20"/>
  <c r="AE6" i="20"/>
  <c r="AF5" i="20"/>
  <c r="AE5" i="20"/>
  <c r="B96" i="20"/>
  <c r="B97" i="20"/>
  <c r="B98" i="20"/>
  <c r="O96" i="20"/>
  <c r="O97" i="20"/>
  <c r="T97" i="20" s="1"/>
  <c r="AD97" i="20" s="1"/>
  <c r="AJ97" i="20" s="1"/>
  <c r="O98" i="20"/>
  <c r="P96" i="20"/>
  <c r="U96" i="20" s="1"/>
  <c r="P97" i="20"/>
  <c r="U97" i="20" s="1"/>
  <c r="P98" i="20"/>
  <c r="Q96" i="20"/>
  <c r="V96" i="20" s="1"/>
  <c r="Q97" i="20"/>
  <c r="V97" i="20" s="1"/>
  <c r="Q98" i="20"/>
  <c r="R96" i="20"/>
  <c r="W96" i="20" s="1"/>
  <c r="AG96" i="20" s="1"/>
  <c r="AM96" i="20" s="1"/>
  <c r="R97" i="20"/>
  <c r="W97" i="20" s="1"/>
  <c r="AG97" i="20" s="1"/>
  <c r="AM97" i="20" s="1"/>
  <c r="R98" i="20"/>
  <c r="S96" i="20"/>
  <c r="X96" i="20" s="1"/>
  <c r="AH96" i="20" s="1"/>
  <c r="AN96" i="20" s="1"/>
  <c r="S97" i="20"/>
  <c r="S98" i="20"/>
  <c r="T96" i="20"/>
  <c r="AD96" i="20" s="1"/>
  <c r="AJ96" i="20" s="1"/>
  <c r="X97" i="20"/>
  <c r="AH97" i="20" s="1"/>
  <c r="AN97" i="20" s="1"/>
  <c r="AI96" i="20"/>
  <c r="I96" i="20" s="1"/>
  <c r="AI97" i="20"/>
  <c r="I97" i="20" s="1"/>
  <c r="AI98" i="20"/>
  <c r="I98" i="20" s="1"/>
  <c r="AK97" i="20"/>
  <c r="AL97" i="20"/>
  <c r="AL98" i="20"/>
  <c r="AL96" i="20" l="1"/>
  <c r="AK98" i="20"/>
  <c r="AK96" i="20"/>
  <c r="O83" i="13" l="1"/>
  <c r="O75" i="13"/>
  <c r="P69" i="13"/>
  <c r="N69" i="13"/>
  <c r="O68" i="13"/>
  <c r="P58" i="13"/>
  <c r="O58" i="13"/>
  <c r="N58" i="13"/>
  <c r="R53" i="13"/>
  <c r="C56" i="14"/>
  <c r="O42" i="13"/>
  <c r="O33" i="13"/>
  <c r="Q22" i="13"/>
  <c r="R20" i="13"/>
  <c r="O37" i="13"/>
  <c r="Q19" i="13" l="1"/>
  <c r="Q26" i="13"/>
  <c r="P2" i="13"/>
  <c r="P3" i="13"/>
  <c r="P4" i="13"/>
  <c r="P5" i="13"/>
  <c r="P6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9" i="13"/>
  <c r="P60" i="13"/>
  <c r="P61" i="13"/>
  <c r="P62" i="13"/>
  <c r="P63" i="13"/>
  <c r="P64" i="13"/>
  <c r="P65" i="13"/>
  <c r="P66" i="13"/>
  <c r="P67" i="13"/>
  <c r="P68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N2" i="13"/>
  <c r="N3" i="13"/>
  <c r="N4" i="13"/>
  <c r="N5" i="13"/>
  <c r="N6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9" i="13"/>
  <c r="N60" i="13"/>
  <c r="N61" i="13"/>
  <c r="N62" i="13"/>
  <c r="N63" i="13"/>
  <c r="N64" i="13"/>
  <c r="N65" i="13"/>
  <c r="N66" i="13"/>
  <c r="N67" i="13"/>
  <c r="N68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R19" i="13"/>
  <c r="O2" i="13"/>
  <c r="O3" i="13"/>
  <c r="O4" i="13"/>
  <c r="O5" i="13"/>
  <c r="O6" i="13"/>
  <c r="O9" i="13"/>
  <c r="O11" i="13"/>
  <c r="O12" i="13"/>
  <c r="O14" i="13"/>
  <c r="O15" i="13"/>
  <c r="O16" i="13"/>
  <c r="O17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4" i="13"/>
  <c r="O35" i="13"/>
  <c r="O36" i="13"/>
  <c r="O38" i="13"/>
  <c r="O39" i="13"/>
  <c r="O40" i="13"/>
  <c r="O41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9" i="13"/>
  <c r="O60" i="13"/>
  <c r="O61" i="13"/>
  <c r="O62" i="13"/>
  <c r="O63" i="13"/>
  <c r="O64" i="13"/>
  <c r="O65" i="13"/>
  <c r="O66" i="13"/>
  <c r="O67" i="13"/>
  <c r="O69" i="13"/>
  <c r="O70" i="13"/>
  <c r="O71" i="13"/>
  <c r="O72" i="13"/>
  <c r="O73" i="13"/>
  <c r="O74" i="13"/>
  <c r="O76" i="13"/>
  <c r="O77" i="13"/>
  <c r="O78" i="13"/>
  <c r="O79" i="13"/>
  <c r="O80" i="13"/>
  <c r="O81" i="13"/>
  <c r="O82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T95" i="13" s="1"/>
  <c r="A6" i="13"/>
  <c r="A7" i="13" s="1"/>
  <c r="A9" i="13"/>
  <c r="A10" i="13" s="1"/>
  <c r="A12" i="13"/>
  <c r="A13" i="13" s="1"/>
  <c r="A15" i="13"/>
  <c r="A16" i="13" s="1"/>
  <c r="A18" i="13"/>
  <c r="A19" i="13"/>
  <c r="A21" i="13"/>
  <c r="A22" i="13" s="1"/>
  <c r="A24" i="13"/>
  <c r="A25" i="13" s="1"/>
  <c r="A27" i="13"/>
  <c r="A28" i="13" s="1"/>
  <c r="A30" i="13"/>
  <c r="A31" i="13" s="1"/>
  <c r="A33" i="13"/>
  <c r="A34" i="13" s="1"/>
  <c r="A36" i="13"/>
  <c r="A37" i="13" s="1"/>
  <c r="A39" i="13"/>
  <c r="A40" i="13" s="1"/>
  <c r="A42" i="13"/>
  <c r="A43" i="13"/>
  <c r="A45" i="13"/>
  <c r="A46" i="13" s="1"/>
  <c r="A48" i="13"/>
  <c r="A49" i="13" s="1"/>
  <c r="A51" i="13"/>
  <c r="A52" i="13" s="1"/>
  <c r="A54" i="13"/>
  <c r="A55" i="13"/>
  <c r="A57" i="13"/>
  <c r="A58" i="13" s="1"/>
  <c r="A60" i="13"/>
  <c r="A61" i="13"/>
  <c r="A63" i="13"/>
  <c r="A64" i="13" s="1"/>
  <c r="A66" i="13"/>
  <c r="A67" i="13" s="1"/>
  <c r="A69" i="13"/>
  <c r="A70" i="13" s="1"/>
  <c r="A72" i="13"/>
  <c r="A73" i="13"/>
  <c r="A75" i="13"/>
  <c r="A76" i="13" s="1"/>
  <c r="A78" i="13"/>
  <c r="A79" i="13" s="1"/>
  <c r="A81" i="13"/>
  <c r="A82" i="13" s="1"/>
  <c r="A84" i="13"/>
  <c r="A85" i="13"/>
  <c r="A87" i="13"/>
  <c r="A88" i="13" s="1"/>
  <c r="A90" i="13"/>
  <c r="A91" i="13"/>
  <c r="A93" i="13"/>
  <c r="A94" i="13" s="1"/>
  <c r="R79" i="13"/>
  <c r="R52" i="13"/>
  <c r="Q52" i="13"/>
  <c r="J8" i="13"/>
  <c r="I8" i="13"/>
  <c r="H8" i="13"/>
  <c r="P8" i="13" s="1"/>
  <c r="G8" i="13"/>
  <c r="O7" i="13" s="1"/>
  <c r="F8" i="13"/>
  <c r="N7" i="13" s="1"/>
  <c r="Q94" i="13"/>
  <c r="R94" i="13"/>
  <c r="L94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5" i="13"/>
  <c r="S95" i="13"/>
  <c r="U95" i="13"/>
  <c r="Q95" i="13"/>
  <c r="V95" i="13" s="1"/>
  <c r="R95" i="13"/>
  <c r="W95" i="13" s="1"/>
  <c r="B55" i="14"/>
  <c r="P7" i="13" l="1"/>
  <c r="N8" i="13"/>
  <c r="O8" i="13"/>
  <c r="X95" i="13"/>
  <c r="AM95" i="13"/>
  <c r="Y95" i="13"/>
  <c r="AN95" i="13"/>
  <c r="AB95" i="13"/>
  <c r="AQ95" i="13"/>
  <c r="AA95" i="13"/>
  <c r="AP95" i="13"/>
  <c r="AO95" i="13"/>
  <c r="Z95" i="13"/>
  <c r="AR95" i="13" l="1"/>
  <c r="AT95" i="13" s="1"/>
  <c r="Q54" i="13"/>
  <c r="Q80" i="20"/>
  <c r="Q81" i="20"/>
  <c r="Q82" i="20"/>
  <c r="Q83" i="20"/>
  <c r="Q84" i="20"/>
  <c r="Q85" i="20"/>
  <c r="Q86" i="20"/>
  <c r="Q87" i="20"/>
  <c r="Q88" i="20"/>
  <c r="Q89" i="20"/>
  <c r="V84" i="20" l="1"/>
  <c r="T21" i="13"/>
  <c r="R26" i="13"/>
  <c r="Q6" i="13"/>
  <c r="Q8" i="13"/>
  <c r="R5" i="13"/>
  <c r="R6" i="13"/>
  <c r="R7" i="13"/>
  <c r="R15" i="13"/>
  <c r="R16" i="13"/>
  <c r="R17" i="13"/>
  <c r="R18" i="13"/>
  <c r="R21" i="13"/>
  <c r="R22" i="13"/>
  <c r="R23" i="13"/>
  <c r="R24" i="13"/>
  <c r="R25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8" i="13"/>
  <c r="Q2" i="13"/>
  <c r="Q3" i="13"/>
  <c r="Q4" i="13"/>
  <c r="Q5" i="13"/>
  <c r="Q7" i="13"/>
  <c r="Q15" i="13"/>
  <c r="Q16" i="13"/>
  <c r="Q17" i="13"/>
  <c r="Q18" i="13"/>
  <c r="Q20" i="13"/>
  <c r="Q21" i="13"/>
  <c r="Q23" i="13"/>
  <c r="Q24" i="13"/>
  <c r="Q25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3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R28" i="13"/>
  <c r="Q27" i="13"/>
  <c r="U9" i="13" l="1"/>
  <c r="AO9" i="13" s="1"/>
  <c r="T28" i="13"/>
  <c r="U27" i="13"/>
  <c r="AO27" i="13" s="1"/>
  <c r="U28" i="13"/>
  <c r="AO28" i="13" s="1"/>
  <c r="S9" i="13"/>
  <c r="T9" i="13"/>
  <c r="R27" i="13"/>
  <c r="W27" i="13" s="1"/>
  <c r="AQ27" i="13" s="1"/>
  <c r="R9" i="13"/>
  <c r="W9" i="13" s="1"/>
  <c r="AQ9" i="13" s="1"/>
  <c r="Q28" i="13"/>
  <c r="V28" i="13" s="1"/>
  <c r="Q9" i="13"/>
  <c r="V9" i="13" s="1"/>
  <c r="AP9" i="13" s="1"/>
  <c r="B5" i="13"/>
  <c r="S5" i="13"/>
  <c r="U5" i="13"/>
  <c r="V5" i="13"/>
  <c r="AP5" i="13" s="1"/>
  <c r="W5" i="13"/>
  <c r="T5" i="13"/>
  <c r="Y5" i="13" s="1"/>
  <c r="B7" i="13"/>
  <c r="S6" i="13"/>
  <c r="T6" i="13"/>
  <c r="V6" i="13"/>
  <c r="AP6" i="13" s="1"/>
  <c r="W6" i="13"/>
  <c r="U6" i="13"/>
  <c r="AO6" i="13" s="1"/>
  <c r="S7" i="13"/>
  <c r="T7" i="13"/>
  <c r="V7" i="13"/>
  <c r="AP7" i="13" s="1"/>
  <c r="W7" i="13"/>
  <c r="U7" i="13"/>
  <c r="AO7" i="13" s="1"/>
  <c r="B8" i="13"/>
  <c r="T8" i="13"/>
  <c r="W8" i="13"/>
  <c r="AQ8" i="13" s="1"/>
  <c r="S8" i="13"/>
  <c r="U8" i="13"/>
  <c r="AO8" i="13" s="1"/>
  <c r="V8" i="13"/>
  <c r="AP8" i="13" s="1"/>
  <c r="S10" i="13"/>
  <c r="T10" i="13"/>
  <c r="U10" i="13"/>
  <c r="AO10" i="13" s="1"/>
  <c r="V10" i="13"/>
  <c r="AP10" i="13" s="1"/>
  <c r="W10" i="13"/>
  <c r="AQ10" i="13" s="1"/>
  <c r="B11" i="13"/>
  <c r="S11" i="13"/>
  <c r="X11" i="13" s="1"/>
  <c r="T11" i="13"/>
  <c r="U11" i="13"/>
  <c r="V11" i="13"/>
  <c r="W11" i="13"/>
  <c r="B13" i="13"/>
  <c r="S12" i="13"/>
  <c r="X12" i="13" s="1"/>
  <c r="T12" i="13"/>
  <c r="U12" i="13"/>
  <c r="V12" i="13"/>
  <c r="AP12" i="13" s="1"/>
  <c r="W12" i="13"/>
  <c r="S13" i="13"/>
  <c r="T13" i="13"/>
  <c r="U13" i="13"/>
  <c r="V13" i="13"/>
  <c r="W13" i="13"/>
  <c r="B14" i="13"/>
  <c r="S14" i="13"/>
  <c r="X14" i="13" s="1"/>
  <c r="T14" i="13"/>
  <c r="U14" i="13"/>
  <c r="V14" i="13"/>
  <c r="W14" i="13"/>
  <c r="B16" i="13"/>
  <c r="S15" i="13"/>
  <c r="X15" i="13" s="1"/>
  <c r="T15" i="13"/>
  <c r="Y15" i="13" s="1"/>
  <c r="U15" i="13"/>
  <c r="V15" i="13"/>
  <c r="W15" i="13"/>
  <c r="AQ15" i="13" s="1"/>
  <c r="S16" i="13"/>
  <c r="X16" i="13" s="1"/>
  <c r="T16" i="13"/>
  <c r="U16" i="13"/>
  <c r="V16" i="13"/>
  <c r="W16" i="13"/>
  <c r="B17" i="13"/>
  <c r="S17" i="13"/>
  <c r="X17" i="13" s="1"/>
  <c r="T17" i="13"/>
  <c r="Y17" i="13" s="1"/>
  <c r="U17" i="13"/>
  <c r="Z17" i="13" s="1"/>
  <c r="W17" i="13"/>
  <c r="V17" i="13"/>
  <c r="B19" i="13"/>
  <c r="S18" i="13"/>
  <c r="X18" i="13" s="1"/>
  <c r="T18" i="13"/>
  <c r="Y18" i="13" s="1"/>
  <c r="U18" i="13"/>
  <c r="Z18" i="13" s="1"/>
  <c r="V18" i="13"/>
  <c r="W18" i="13"/>
  <c r="S19" i="13"/>
  <c r="T19" i="13"/>
  <c r="AN19" i="13" s="1"/>
  <c r="U19" i="13"/>
  <c r="V19" i="13"/>
  <c r="W19" i="13"/>
  <c r="AB19" i="13" s="1"/>
  <c r="B20" i="13"/>
  <c r="S20" i="13"/>
  <c r="AM20" i="13" s="1"/>
  <c r="T20" i="13"/>
  <c r="Y20" i="13" s="1"/>
  <c r="U20" i="13"/>
  <c r="Z20" i="13" s="1"/>
  <c r="V20" i="13"/>
  <c r="AA20" i="13" s="1"/>
  <c r="W20" i="13"/>
  <c r="B21" i="13"/>
  <c r="S21" i="13"/>
  <c r="AM21" i="13" s="1"/>
  <c r="Y21" i="13"/>
  <c r="U21" i="13"/>
  <c r="Z21" i="13" s="1"/>
  <c r="V21" i="13"/>
  <c r="W21" i="13"/>
  <c r="S22" i="13"/>
  <c r="AM22" i="13" s="1"/>
  <c r="T22" i="13"/>
  <c r="Y22" i="13" s="1"/>
  <c r="U22" i="13"/>
  <c r="Z22" i="13" s="1"/>
  <c r="V22" i="13"/>
  <c r="AA22" i="13" s="1"/>
  <c r="W22" i="13"/>
  <c r="B23" i="13"/>
  <c r="S23" i="13"/>
  <c r="AM23" i="13" s="1"/>
  <c r="T23" i="13"/>
  <c r="AN23" i="13" s="1"/>
  <c r="U23" i="13"/>
  <c r="Z23" i="13" s="1"/>
  <c r="V23" i="13"/>
  <c r="AA23" i="13" s="1"/>
  <c r="W23" i="13"/>
  <c r="B25" i="13"/>
  <c r="S24" i="13"/>
  <c r="AM24" i="13" s="1"/>
  <c r="T24" i="13"/>
  <c r="AN24" i="13" s="1"/>
  <c r="U24" i="13"/>
  <c r="Z24" i="13" s="1"/>
  <c r="V24" i="13"/>
  <c r="AA24" i="13" s="1"/>
  <c r="W24" i="13"/>
  <c r="S25" i="13"/>
  <c r="AM25" i="13" s="1"/>
  <c r="T25" i="13"/>
  <c r="AN25" i="13" s="1"/>
  <c r="U25" i="13"/>
  <c r="Z25" i="13" s="1"/>
  <c r="V25" i="13"/>
  <c r="AA25" i="13" s="1"/>
  <c r="W25" i="13"/>
  <c r="B26" i="13"/>
  <c r="S26" i="13"/>
  <c r="AM26" i="13" s="1"/>
  <c r="T26" i="13"/>
  <c r="U26" i="13"/>
  <c r="AO26" i="13" s="1"/>
  <c r="V26" i="13"/>
  <c r="AA26" i="13" s="1"/>
  <c r="W26" i="13"/>
  <c r="AB26" i="13" s="1"/>
  <c r="B27" i="13"/>
  <c r="S27" i="13"/>
  <c r="AM27" i="13" s="1"/>
  <c r="T27" i="13"/>
  <c r="V27" i="13"/>
  <c r="AA27" i="13" s="1"/>
  <c r="S28" i="13"/>
  <c r="AM28" i="13" s="1"/>
  <c r="W28" i="13"/>
  <c r="AQ28" i="13" s="1"/>
  <c r="B29" i="13"/>
  <c r="T29" i="13"/>
  <c r="AN29" i="13" s="1"/>
  <c r="U29" i="13"/>
  <c r="V29" i="13"/>
  <c r="AP29" i="13" s="1"/>
  <c r="W29" i="13"/>
  <c r="AB29" i="13" s="1"/>
  <c r="S29" i="13"/>
  <c r="B31" i="13"/>
  <c r="B30" i="13"/>
  <c r="S30" i="13"/>
  <c r="T30" i="13"/>
  <c r="AN30" i="13" s="1"/>
  <c r="U30" i="13"/>
  <c r="V30" i="13"/>
  <c r="AP30" i="13" s="1"/>
  <c r="W30" i="13"/>
  <c r="AB30" i="13" s="1"/>
  <c r="S31" i="13"/>
  <c r="T31" i="13"/>
  <c r="AN31" i="13" s="1"/>
  <c r="U31" i="13"/>
  <c r="V31" i="13"/>
  <c r="AP31" i="13" s="1"/>
  <c r="W31" i="13"/>
  <c r="AB31" i="13" s="1"/>
  <c r="B32" i="13"/>
  <c r="S32" i="13"/>
  <c r="T32" i="13"/>
  <c r="U32" i="13"/>
  <c r="AO32" i="13" s="1"/>
  <c r="V32" i="13"/>
  <c r="W32" i="13"/>
  <c r="AQ32" i="13" s="1"/>
  <c r="T33" i="13"/>
  <c r="Y33" i="13" s="1"/>
  <c r="U33" i="13"/>
  <c r="AO33" i="13" s="1"/>
  <c r="V33" i="13"/>
  <c r="W33" i="13"/>
  <c r="AQ33" i="13" s="1"/>
  <c r="S33" i="13"/>
  <c r="S34" i="13"/>
  <c r="T34" i="13"/>
  <c r="Y34" i="13" s="1"/>
  <c r="U34" i="13"/>
  <c r="AO34" i="13" s="1"/>
  <c r="W34" i="13"/>
  <c r="AQ34" i="13" s="1"/>
  <c r="V34" i="13"/>
  <c r="AP34" i="13" s="1"/>
  <c r="B35" i="13"/>
  <c r="S35" i="13"/>
  <c r="X35" i="13" s="1"/>
  <c r="T35" i="13"/>
  <c r="U35" i="13"/>
  <c r="Z35" i="13" s="1"/>
  <c r="V35" i="13"/>
  <c r="AP35" i="13" s="1"/>
  <c r="W35" i="13"/>
  <c r="AQ35" i="13" s="1"/>
  <c r="B37" i="13"/>
  <c r="S36" i="13"/>
  <c r="T36" i="13"/>
  <c r="V36" i="13"/>
  <c r="U36" i="13"/>
  <c r="Z36" i="13" s="1"/>
  <c r="W36" i="13"/>
  <c r="S37" i="13"/>
  <c r="X37" i="13" s="1"/>
  <c r="T37" i="13"/>
  <c r="V37" i="13"/>
  <c r="W37" i="13"/>
  <c r="U37" i="13"/>
  <c r="B38" i="13"/>
  <c r="S38" i="13"/>
  <c r="X38" i="13" s="1"/>
  <c r="T38" i="13"/>
  <c r="Y38" i="13" s="1"/>
  <c r="V38" i="13"/>
  <c r="AA38" i="13" s="1"/>
  <c r="W38" i="13"/>
  <c r="U38" i="13"/>
  <c r="B39" i="13"/>
  <c r="S39" i="13"/>
  <c r="X39" i="13" s="1"/>
  <c r="T39" i="13"/>
  <c r="U39" i="13"/>
  <c r="W39" i="13"/>
  <c r="V39" i="13"/>
  <c r="AP39" i="13" s="1"/>
  <c r="S40" i="13"/>
  <c r="U40" i="13"/>
  <c r="W40" i="13"/>
  <c r="AQ40" i="13" s="1"/>
  <c r="T40" i="13"/>
  <c r="Y40" i="13" s="1"/>
  <c r="V40" i="13"/>
  <c r="AP40" i="13" s="1"/>
  <c r="B41" i="13"/>
  <c r="S41" i="13"/>
  <c r="X41" i="13" s="1"/>
  <c r="T41" i="13"/>
  <c r="AN41" i="13" s="1"/>
  <c r="U41" i="13"/>
  <c r="V41" i="13"/>
  <c r="W41" i="13"/>
  <c r="AB41" i="13" s="1"/>
  <c r="B43" i="13"/>
  <c r="S42" i="13"/>
  <c r="U42" i="13"/>
  <c r="Z42" i="13" s="1"/>
  <c r="T42" i="13"/>
  <c r="Y42" i="13" s="1"/>
  <c r="V42" i="13"/>
  <c r="W42" i="13"/>
  <c r="S43" i="13"/>
  <c r="X43" i="13" s="1"/>
  <c r="U43" i="13"/>
  <c r="Z43" i="13" s="1"/>
  <c r="T43" i="13"/>
  <c r="Y43" i="13" s="1"/>
  <c r="V43" i="13"/>
  <c r="W43" i="13"/>
  <c r="AB43" i="13" s="1"/>
  <c r="B44" i="13"/>
  <c r="S44" i="13"/>
  <c r="X44" i="13" s="1"/>
  <c r="T44" i="13"/>
  <c r="Y44" i="13" s="1"/>
  <c r="U44" i="13"/>
  <c r="Z44" i="13" s="1"/>
  <c r="V44" i="13"/>
  <c r="AA44" i="13" s="1"/>
  <c r="W44" i="13"/>
  <c r="B45" i="13"/>
  <c r="S45" i="13"/>
  <c r="X45" i="13" s="1"/>
  <c r="U45" i="13"/>
  <c r="W45" i="13"/>
  <c r="T45" i="13"/>
  <c r="V45" i="13"/>
  <c r="AA45" i="13" s="1"/>
  <c r="U46" i="13"/>
  <c r="V46" i="13"/>
  <c r="W46" i="13"/>
  <c r="S46" i="13"/>
  <c r="X46" i="13" s="1"/>
  <c r="T46" i="13"/>
  <c r="AN46" i="13" s="1"/>
  <c r="B47" i="13"/>
  <c r="S47" i="13"/>
  <c r="U47" i="13"/>
  <c r="AO47" i="13" s="1"/>
  <c r="W47" i="13"/>
  <c r="T47" i="13"/>
  <c r="Y47" i="13" s="1"/>
  <c r="V47" i="13"/>
  <c r="B49" i="13"/>
  <c r="S48" i="13"/>
  <c r="U48" i="13"/>
  <c r="AO48" i="13" s="1"/>
  <c r="W48" i="13"/>
  <c r="T48" i="13"/>
  <c r="Y48" i="13" s="1"/>
  <c r="V48" i="13"/>
  <c r="S49" i="13"/>
  <c r="U49" i="13"/>
  <c r="AO49" i="13" s="1"/>
  <c r="W49" i="13"/>
  <c r="T49" i="13"/>
  <c r="Y49" i="13" s="1"/>
  <c r="V49" i="13"/>
  <c r="B50" i="13"/>
  <c r="S50" i="13"/>
  <c r="T50" i="13"/>
  <c r="U50" i="13"/>
  <c r="Z50" i="13" s="1"/>
  <c r="V50" i="13"/>
  <c r="AP50" i="13" s="1"/>
  <c r="W50" i="13"/>
  <c r="B52" i="13"/>
  <c r="S51" i="13"/>
  <c r="T51" i="13"/>
  <c r="U51" i="13"/>
  <c r="V51" i="13"/>
  <c r="AP51" i="13" s="1"/>
  <c r="W51" i="13"/>
  <c r="S52" i="13"/>
  <c r="T52" i="13"/>
  <c r="U52" i="13"/>
  <c r="V52" i="13"/>
  <c r="AP52" i="13" s="1"/>
  <c r="W52" i="13"/>
  <c r="B53" i="13"/>
  <c r="S53" i="13"/>
  <c r="AM53" i="13" s="1"/>
  <c r="T53" i="13"/>
  <c r="U53" i="13"/>
  <c r="V53" i="13"/>
  <c r="AA53" i="13" s="1"/>
  <c r="W53" i="13"/>
  <c r="AQ53" i="13" s="1"/>
  <c r="B54" i="13"/>
  <c r="S54" i="13"/>
  <c r="AM54" i="13" s="1"/>
  <c r="T54" i="13"/>
  <c r="U54" i="13"/>
  <c r="V54" i="13"/>
  <c r="AA54" i="13" s="1"/>
  <c r="W54" i="13"/>
  <c r="AQ54" i="13" s="1"/>
  <c r="B55" i="13"/>
  <c r="S55" i="13"/>
  <c r="AM55" i="13" s="1"/>
  <c r="T55" i="13"/>
  <c r="U55" i="13"/>
  <c r="V55" i="13"/>
  <c r="AA55" i="13" s="1"/>
  <c r="W55" i="13"/>
  <c r="AQ55" i="13" s="1"/>
  <c r="B56" i="13"/>
  <c r="T56" i="13"/>
  <c r="AN56" i="13" s="1"/>
  <c r="U56" i="13"/>
  <c r="V56" i="13"/>
  <c r="S56" i="13"/>
  <c r="X56" i="13" s="1"/>
  <c r="W56" i="13"/>
  <c r="AB56" i="13" s="1"/>
  <c r="B57" i="13"/>
  <c r="T57" i="13"/>
  <c r="AN57" i="13" s="1"/>
  <c r="U57" i="13"/>
  <c r="V57" i="13"/>
  <c r="S57" i="13"/>
  <c r="X57" i="13" s="1"/>
  <c r="W57" i="13"/>
  <c r="AB57" i="13" s="1"/>
  <c r="T58" i="13"/>
  <c r="AN58" i="13" s="1"/>
  <c r="U58" i="13"/>
  <c r="V58" i="13"/>
  <c r="S58" i="13"/>
  <c r="AM58" i="13" s="1"/>
  <c r="W58" i="13"/>
  <c r="AB58" i="13" s="1"/>
  <c r="B59" i="13"/>
  <c r="S59" i="13"/>
  <c r="U59" i="13"/>
  <c r="AO59" i="13" s="1"/>
  <c r="V59" i="13"/>
  <c r="W59" i="13"/>
  <c r="AB59" i="13" s="1"/>
  <c r="T59" i="13"/>
  <c r="Y59" i="13" s="1"/>
  <c r="B61" i="13"/>
  <c r="S60" i="13"/>
  <c r="U60" i="13"/>
  <c r="AO60" i="13" s="1"/>
  <c r="V60" i="13"/>
  <c r="W60" i="13"/>
  <c r="AB60" i="13" s="1"/>
  <c r="T60" i="13"/>
  <c r="AN60" i="13" s="1"/>
  <c r="S61" i="13"/>
  <c r="U61" i="13"/>
  <c r="AO61" i="13" s="1"/>
  <c r="V61" i="13"/>
  <c r="W61" i="13"/>
  <c r="AB61" i="13" s="1"/>
  <c r="T61" i="13"/>
  <c r="Y61" i="13" s="1"/>
  <c r="B62" i="13"/>
  <c r="T62" i="13"/>
  <c r="V62" i="13"/>
  <c r="AP62" i="13" s="1"/>
  <c r="W62" i="13"/>
  <c r="S62" i="13"/>
  <c r="U62" i="13"/>
  <c r="Z62" i="13" s="1"/>
  <c r="B64" i="13"/>
  <c r="T63" i="13"/>
  <c r="V63" i="13"/>
  <c r="AP63" i="13" s="1"/>
  <c r="W63" i="13"/>
  <c r="S63" i="13"/>
  <c r="U63" i="13"/>
  <c r="Z63" i="13" s="1"/>
  <c r="T64" i="13"/>
  <c r="AN64" i="13" s="1"/>
  <c r="V64" i="13"/>
  <c r="AP64" i="13" s="1"/>
  <c r="W64" i="13"/>
  <c r="AB64" i="13" s="1"/>
  <c r="S64" i="13"/>
  <c r="U64" i="13"/>
  <c r="Z64" i="13" s="1"/>
  <c r="B65" i="13"/>
  <c r="U65" i="13"/>
  <c r="AO65" i="13" s="1"/>
  <c r="W65" i="13"/>
  <c r="AQ65" i="13" s="1"/>
  <c r="S65" i="13"/>
  <c r="T65" i="13"/>
  <c r="V65" i="13"/>
  <c r="AP65" i="13" s="1"/>
  <c r="B66" i="13"/>
  <c r="U66" i="13"/>
  <c r="AO66" i="13" s="1"/>
  <c r="W66" i="13"/>
  <c r="AQ66" i="13" s="1"/>
  <c r="S66" i="13"/>
  <c r="T66" i="13"/>
  <c r="V66" i="13"/>
  <c r="AA66" i="13" s="1"/>
  <c r="U67" i="13"/>
  <c r="AO67" i="13" s="1"/>
  <c r="W67" i="13"/>
  <c r="AQ67" i="13" s="1"/>
  <c r="S67" i="13"/>
  <c r="T67" i="13"/>
  <c r="V67" i="13"/>
  <c r="AA67" i="13" s="1"/>
  <c r="B68" i="13"/>
  <c r="V68" i="13"/>
  <c r="AP68" i="13" s="1"/>
  <c r="S68" i="13"/>
  <c r="X68" i="13" s="1"/>
  <c r="T68" i="13"/>
  <c r="U68" i="13"/>
  <c r="W68" i="13"/>
  <c r="AQ68" i="13" s="1"/>
  <c r="B70" i="13"/>
  <c r="V69" i="13"/>
  <c r="AP69" i="13" s="1"/>
  <c r="S69" i="13"/>
  <c r="X69" i="13" s="1"/>
  <c r="T69" i="13"/>
  <c r="AN69" i="13" s="1"/>
  <c r="U69" i="13"/>
  <c r="W69" i="13"/>
  <c r="AB69" i="13" s="1"/>
  <c r="U70" i="13"/>
  <c r="V70" i="13"/>
  <c r="AP70" i="13" s="1"/>
  <c r="S70" i="13"/>
  <c r="X70" i="13" s="1"/>
  <c r="T70" i="13"/>
  <c r="AN70" i="13" s="1"/>
  <c r="W70" i="13"/>
  <c r="AB70" i="13" s="1"/>
  <c r="B71" i="13"/>
  <c r="S71" i="13"/>
  <c r="AM71" i="13" s="1"/>
  <c r="W71" i="13"/>
  <c r="AB71" i="13" s="1"/>
  <c r="T71" i="13"/>
  <c r="Y71" i="13" s="1"/>
  <c r="U71" i="13"/>
  <c r="AO71" i="13" s="1"/>
  <c r="V71" i="13"/>
  <c r="AA71" i="13" s="1"/>
  <c r="B72" i="13"/>
  <c r="S72" i="13"/>
  <c r="U72" i="13"/>
  <c r="V72" i="13"/>
  <c r="W72" i="13"/>
  <c r="AB72" i="13" s="1"/>
  <c r="T72" i="13"/>
  <c r="AN72" i="13" s="1"/>
  <c r="U73" i="13"/>
  <c r="V73" i="13"/>
  <c r="W73" i="13"/>
  <c r="AQ73" i="13" s="1"/>
  <c r="S73" i="13"/>
  <c r="X73" i="13" s="1"/>
  <c r="T73" i="13"/>
  <c r="AN73" i="13" s="1"/>
  <c r="B74" i="13"/>
  <c r="S74" i="13"/>
  <c r="W74" i="13"/>
  <c r="T74" i="13"/>
  <c r="Y74" i="13" s="1"/>
  <c r="U74" i="13"/>
  <c r="AO74" i="13" s="1"/>
  <c r="V74" i="13"/>
  <c r="B76" i="13"/>
  <c r="S75" i="13"/>
  <c r="W75" i="13"/>
  <c r="T75" i="13"/>
  <c r="Y75" i="13" s="1"/>
  <c r="U75" i="13"/>
  <c r="AO75" i="13" s="1"/>
  <c r="V75" i="13"/>
  <c r="S76" i="13"/>
  <c r="W76" i="13"/>
  <c r="T76" i="13"/>
  <c r="Y76" i="13" s="1"/>
  <c r="U76" i="13"/>
  <c r="AO76" i="13" s="1"/>
  <c r="V76" i="13"/>
  <c r="B77" i="13"/>
  <c r="S77" i="13"/>
  <c r="T77" i="13"/>
  <c r="U77" i="13"/>
  <c r="Z77" i="13" s="1"/>
  <c r="V77" i="13"/>
  <c r="AP77" i="13" s="1"/>
  <c r="W77" i="13"/>
  <c r="B78" i="13"/>
  <c r="S78" i="13"/>
  <c r="T78" i="13"/>
  <c r="U78" i="13"/>
  <c r="Z78" i="13" s="1"/>
  <c r="V78" i="13"/>
  <c r="AP78" i="13" s="1"/>
  <c r="W78" i="13"/>
  <c r="S79" i="13"/>
  <c r="T79" i="13"/>
  <c r="U79" i="13"/>
  <c r="Z79" i="13" s="1"/>
  <c r="V79" i="13"/>
  <c r="AP79" i="13" s="1"/>
  <c r="W79" i="13"/>
  <c r="B80" i="13"/>
  <c r="S80" i="13"/>
  <c r="AM80" i="13" s="1"/>
  <c r="T80" i="13"/>
  <c r="U80" i="13"/>
  <c r="V80" i="13"/>
  <c r="AA80" i="13" s="1"/>
  <c r="W80" i="13"/>
  <c r="AQ80" i="13" s="1"/>
  <c r="B82" i="13"/>
  <c r="B81" i="13"/>
  <c r="S81" i="13"/>
  <c r="AM81" i="13" s="1"/>
  <c r="T81" i="13"/>
  <c r="U81" i="13"/>
  <c r="V81" i="13"/>
  <c r="AA81" i="13" s="1"/>
  <c r="W81" i="13"/>
  <c r="AQ81" i="13" s="1"/>
  <c r="S82" i="13"/>
  <c r="AM82" i="13" s="1"/>
  <c r="T82" i="13"/>
  <c r="U82" i="13"/>
  <c r="V82" i="13"/>
  <c r="AA82" i="13" s="1"/>
  <c r="W82" i="13"/>
  <c r="AQ82" i="13" s="1"/>
  <c r="B83" i="13"/>
  <c r="S83" i="13"/>
  <c r="T83" i="13"/>
  <c r="AN83" i="13" s="1"/>
  <c r="U83" i="13"/>
  <c r="V83" i="13"/>
  <c r="W83" i="13"/>
  <c r="AB83" i="13" s="1"/>
  <c r="B85" i="13"/>
  <c r="S84" i="13"/>
  <c r="T84" i="13"/>
  <c r="AN84" i="13" s="1"/>
  <c r="U84" i="13"/>
  <c r="V84" i="13"/>
  <c r="W84" i="13"/>
  <c r="AB84" i="13" s="1"/>
  <c r="S85" i="13"/>
  <c r="T85" i="13"/>
  <c r="AN85" i="13" s="1"/>
  <c r="U85" i="13"/>
  <c r="V85" i="13"/>
  <c r="W85" i="13"/>
  <c r="AB85" i="13" s="1"/>
  <c r="B86" i="13"/>
  <c r="S86" i="13"/>
  <c r="T86" i="13"/>
  <c r="U86" i="13"/>
  <c r="AO86" i="13" s="1"/>
  <c r="V86" i="13"/>
  <c r="W86" i="13"/>
  <c r="B87" i="13"/>
  <c r="S87" i="13"/>
  <c r="T87" i="13"/>
  <c r="U87" i="13"/>
  <c r="AO87" i="13" s="1"/>
  <c r="V87" i="13"/>
  <c r="W87" i="13"/>
  <c r="S88" i="13"/>
  <c r="T88" i="13"/>
  <c r="U88" i="13"/>
  <c r="AO88" i="13" s="1"/>
  <c r="V88" i="13"/>
  <c r="W88" i="13"/>
  <c r="B89" i="13"/>
  <c r="T89" i="13"/>
  <c r="U89" i="13"/>
  <c r="V89" i="13"/>
  <c r="AP89" i="13" s="1"/>
  <c r="W89" i="13"/>
  <c r="S89" i="13"/>
  <c r="B91" i="13"/>
  <c r="B90" i="13"/>
  <c r="T90" i="13"/>
  <c r="U90" i="13"/>
  <c r="V90" i="13"/>
  <c r="AP90" i="13" s="1"/>
  <c r="W90" i="13"/>
  <c r="S90" i="13"/>
  <c r="T91" i="13"/>
  <c r="U91" i="13"/>
  <c r="V91" i="13"/>
  <c r="AP91" i="13" s="1"/>
  <c r="W91" i="13"/>
  <c r="S91" i="13"/>
  <c r="AM91" i="13" s="1"/>
  <c r="B92" i="13"/>
  <c r="U92" i="13"/>
  <c r="V92" i="13"/>
  <c r="W92" i="13"/>
  <c r="AB92" i="13" s="1"/>
  <c r="S92" i="13"/>
  <c r="AM92" i="13" s="1"/>
  <c r="T92" i="13"/>
  <c r="AN92" i="13" s="1"/>
  <c r="B93" i="13"/>
  <c r="U93" i="13"/>
  <c r="V93" i="13"/>
  <c r="W93" i="13"/>
  <c r="AB93" i="13" s="1"/>
  <c r="S93" i="13"/>
  <c r="AM93" i="13" s="1"/>
  <c r="T93" i="13"/>
  <c r="AN93" i="13" s="1"/>
  <c r="B94" i="13"/>
  <c r="U94" i="13"/>
  <c r="V94" i="13"/>
  <c r="W94" i="13"/>
  <c r="AB94" i="13" s="1"/>
  <c r="S94" i="13"/>
  <c r="AM94" i="13" s="1"/>
  <c r="T94" i="13"/>
  <c r="AN94" i="13" s="1"/>
  <c r="V82" i="20"/>
  <c r="AI100" i="20"/>
  <c r="T97" i="13" l="1"/>
  <c r="AQ43" i="13"/>
  <c r="B67" i="13"/>
  <c r="B36" i="13"/>
  <c r="B12" i="13"/>
  <c r="B69" i="13"/>
  <c r="B75" i="13"/>
  <c r="B63" i="13"/>
  <c r="B51" i="13"/>
  <c r="B6" i="13"/>
  <c r="B84" i="13"/>
  <c r="B60" i="13"/>
  <c r="B24" i="13"/>
  <c r="B15" i="13"/>
  <c r="B88" i="13"/>
  <c r="AA89" i="13"/>
  <c r="AQ94" i="13"/>
  <c r="AA65" i="13"/>
  <c r="B18" i="13"/>
  <c r="B73" i="13"/>
  <c r="B40" i="13"/>
  <c r="B46" i="13"/>
  <c r="B22" i="13"/>
  <c r="AB68" i="13"/>
  <c r="B48" i="13"/>
  <c r="B42" i="13"/>
  <c r="B79" i="13"/>
  <c r="B58" i="13"/>
  <c r="AA64" i="13"/>
  <c r="AA91" i="13"/>
  <c r="AQ61" i="13"/>
  <c r="AA70" i="13"/>
  <c r="Z88" i="13"/>
  <c r="AO64" i="13"/>
  <c r="AO62" i="13"/>
  <c r="Y72" i="13"/>
  <c r="AB40" i="13"/>
  <c r="AP44" i="13"/>
  <c r="AP53" i="13"/>
  <c r="Z86" i="13"/>
  <c r="Z66" i="13"/>
  <c r="AO63" i="13"/>
  <c r="AO77" i="13"/>
  <c r="Z61" i="13"/>
  <c r="AO78" i="13"/>
  <c r="AO79" i="13"/>
  <c r="Z34" i="13"/>
  <c r="Z7" i="13"/>
  <c r="AQ58" i="13"/>
  <c r="AQ57" i="13"/>
  <c r="Z52" i="13"/>
  <c r="AO52" i="13"/>
  <c r="Z51" i="13"/>
  <c r="AO51" i="13"/>
  <c r="AO50" i="13"/>
  <c r="AO45" i="13"/>
  <c r="Z45" i="13"/>
  <c r="AO44" i="13"/>
  <c r="Z41" i="13"/>
  <c r="AO41" i="13"/>
  <c r="AN40" i="13"/>
  <c r="AN18" i="13"/>
  <c r="AP23" i="13"/>
  <c r="AQ92" i="13"/>
  <c r="AQ56" i="13"/>
  <c r="AQ93" i="13"/>
  <c r="AQ71" i="13"/>
  <c r="AQ59" i="13"/>
  <c r="AB73" i="13"/>
  <c r="AQ70" i="13"/>
  <c r="AQ69" i="13"/>
  <c r="AB66" i="13"/>
  <c r="AB65" i="13"/>
  <c r="AQ85" i="13"/>
  <c r="AQ84" i="13"/>
  <c r="AQ83" i="13"/>
  <c r="Y84" i="13"/>
  <c r="Y70" i="13"/>
  <c r="AN47" i="13"/>
  <c r="AN21" i="13"/>
  <c r="Y94" i="13"/>
  <c r="AN76" i="13"/>
  <c r="Y69" i="13"/>
  <c r="AN75" i="13"/>
  <c r="AN74" i="13"/>
  <c r="Y60" i="13"/>
  <c r="AN59" i="13"/>
  <c r="AN44" i="13"/>
  <c r="AN71" i="13"/>
  <c r="AN61" i="13"/>
  <c r="AN49" i="13"/>
  <c r="AN42" i="13"/>
  <c r="Y56" i="13"/>
  <c r="Y83" i="13"/>
  <c r="AN48" i="13"/>
  <c r="AM73" i="13"/>
  <c r="AM44" i="13"/>
  <c r="AM57" i="13"/>
  <c r="Z9" i="13"/>
  <c r="X58" i="13"/>
  <c r="X91" i="13"/>
  <c r="X82" i="13"/>
  <c r="AM46" i="13"/>
  <c r="AM43" i="13"/>
  <c r="AM70" i="13"/>
  <c r="X81" i="13"/>
  <c r="AM38" i="13"/>
  <c r="AM16" i="13"/>
  <c r="AM56" i="13"/>
  <c r="AM45" i="13"/>
  <c r="AM39" i="13"/>
  <c r="AM17" i="13"/>
  <c r="X55" i="13"/>
  <c r="AA39" i="13"/>
  <c r="AP80" i="13"/>
  <c r="AP67" i="13"/>
  <c r="AA40" i="13"/>
  <c r="AP82" i="13"/>
  <c r="AP66" i="13"/>
  <c r="AP81" i="13"/>
  <c r="AP45" i="13"/>
  <c r="AP55" i="13"/>
  <c r="AA69" i="13"/>
  <c r="AP54" i="13"/>
  <c r="AA7" i="13"/>
  <c r="AN5" i="13"/>
  <c r="Z6" i="13"/>
  <c r="AO5" i="13"/>
  <c r="Z5" i="13"/>
  <c r="AB8" i="13"/>
  <c r="AA8" i="13"/>
  <c r="Z8" i="13"/>
  <c r="X13" i="13"/>
  <c r="AM13" i="13"/>
  <c r="AM14" i="13"/>
  <c r="AQ13" i="13"/>
  <c r="AB13" i="13"/>
  <c r="AP13" i="13"/>
  <c r="AA13" i="13"/>
  <c r="AQ12" i="13"/>
  <c r="AB12" i="13"/>
  <c r="AA12" i="13"/>
  <c r="AM12" i="13"/>
  <c r="AQ11" i="13"/>
  <c r="AB11" i="13"/>
  <c r="AP11" i="13"/>
  <c r="AA11" i="13"/>
  <c r="AM11" i="13"/>
  <c r="AA37" i="13"/>
  <c r="AP37" i="13"/>
  <c r="AQ37" i="13"/>
  <c r="AB37" i="13"/>
  <c r="X36" i="13"/>
  <c r="AM36" i="13"/>
  <c r="AP36" i="13"/>
  <c r="AA36" i="13"/>
  <c r="AA35" i="13"/>
  <c r="AB33" i="13"/>
  <c r="AP32" i="13"/>
  <c r="AA32" i="13"/>
  <c r="AO31" i="13"/>
  <c r="Z31" i="13"/>
  <c r="AQ26" i="13"/>
  <c r="X26" i="13"/>
  <c r="AB28" i="13"/>
  <c r="AB27" i="13"/>
  <c r="Z27" i="13"/>
  <c r="X28" i="13"/>
  <c r="AB38" i="13"/>
  <c r="AQ38" i="13"/>
  <c r="AQ39" i="13"/>
  <c r="AB39" i="13"/>
  <c r="AP38" i="13"/>
  <c r="Y39" i="13"/>
  <c r="AN39" i="13"/>
  <c r="AO30" i="13"/>
  <c r="Z30" i="13"/>
  <c r="AO29" i="13"/>
  <c r="Z29" i="13"/>
  <c r="AN28" i="13"/>
  <c r="Y28" i="13"/>
  <c r="AP27" i="13"/>
  <c r="AN27" i="13"/>
  <c r="Y27" i="13"/>
  <c r="AP26" i="13"/>
  <c r="AP25" i="13"/>
  <c r="AN26" i="13"/>
  <c r="Y26" i="13"/>
  <c r="AO25" i="13"/>
  <c r="AP24" i="13"/>
  <c r="AO24" i="13"/>
  <c r="AO23" i="13"/>
  <c r="X22" i="13"/>
  <c r="AP22" i="13"/>
  <c r="AO22" i="13"/>
  <c r="AN22" i="13"/>
  <c r="AA21" i="13"/>
  <c r="AP21" i="13"/>
  <c r="AO21" i="13"/>
  <c r="AO20" i="13"/>
  <c r="AN20" i="13"/>
  <c r="Z19" i="13"/>
  <c r="AO19" i="13"/>
  <c r="Y19" i="13"/>
  <c r="AB17" i="13"/>
  <c r="AQ17" i="13"/>
  <c r="AQ16" i="13"/>
  <c r="AB16" i="13"/>
  <c r="Y16" i="13"/>
  <c r="AN16" i="13"/>
  <c r="AQ14" i="13"/>
  <c r="AB14" i="13"/>
  <c r="AB15" i="13"/>
  <c r="Y14" i="13"/>
  <c r="AN14" i="13"/>
  <c r="AA10" i="13"/>
  <c r="AA9" i="13"/>
  <c r="Z10" i="13"/>
  <c r="AB91" i="13"/>
  <c r="AQ91" i="13"/>
  <c r="AN89" i="13"/>
  <c r="Y89" i="13"/>
  <c r="AA86" i="13"/>
  <c r="AP86" i="13"/>
  <c r="Z82" i="13"/>
  <c r="AO82" i="13"/>
  <c r="X76" i="13"/>
  <c r="AM76" i="13"/>
  <c r="AA90" i="13"/>
  <c r="AM88" i="13"/>
  <c r="X88" i="13"/>
  <c r="AN87" i="13"/>
  <c r="Y87" i="13"/>
  <c r="AA85" i="13"/>
  <c r="AP85" i="13"/>
  <c r="Y82" i="13"/>
  <c r="AN82" i="13"/>
  <c r="X80" i="13"/>
  <c r="Y79" i="13"/>
  <c r="AN79" i="13"/>
  <c r="AP76" i="13"/>
  <c r="AA76" i="13"/>
  <c r="X72" i="13"/>
  <c r="AM72" i="13"/>
  <c r="AN91" i="13"/>
  <c r="Y91" i="13"/>
  <c r="Y78" i="13"/>
  <c r="AN78" i="13"/>
  <c r="AO93" i="13"/>
  <c r="Z93" i="13"/>
  <c r="AP94" i="13"/>
  <c r="AA94" i="13"/>
  <c r="AN88" i="13"/>
  <c r="Y88" i="13"/>
  <c r="AM83" i="13"/>
  <c r="X83" i="13"/>
  <c r="AO94" i="13"/>
  <c r="Z94" i="13"/>
  <c r="Y92" i="13"/>
  <c r="AO91" i="13"/>
  <c r="Z91" i="13"/>
  <c r="AM90" i="13"/>
  <c r="X90" i="13"/>
  <c r="AM87" i="13"/>
  <c r="X87" i="13"/>
  <c r="AN86" i="13"/>
  <c r="Y86" i="13"/>
  <c r="Z85" i="13"/>
  <c r="AO85" i="13"/>
  <c r="X79" i="13"/>
  <c r="AM79" i="13"/>
  <c r="AQ74" i="13"/>
  <c r="AB74" i="13"/>
  <c r="AP93" i="13"/>
  <c r="AA93" i="13"/>
  <c r="AB90" i="13"/>
  <c r="AQ90" i="13"/>
  <c r="AM86" i="13"/>
  <c r="X86" i="13"/>
  <c r="Z81" i="13"/>
  <c r="AO81" i="13"/>
  <c r="AQ79" i="13"/>
  <c r="AB79" i="13"/>
  <c r="AM89" i="13"/>
  <c r="X89" i="13"/>
  <c r="AM85" i="13"/>
  <c r="X85" i="13"/>
  <c r="Z84" i="13"/>
  <c r="AO84" i="13"/>
  <c r="Y81" i="13"/>
  <c r="AN81" i="13"/>
  <c r="X78" i="13"/>
  <c r="AM78" i="13"/>
  <c r="AP75" i="13"/>
  <c r="AA75" i="13"/>
  <c r="AO70" i="13"/>
  <c r="Z70" i="13"/>
  <c r="AO90" i="13"/>
  <c r="Z90" i="13"/>
  <c r="AB89" i="13"/>
  <c r="AQ89" i="13"/>
  <c r="AB88" i="13"/>
  <c r="AQ88" i="13"/>
  <c r="Z87" i="13"/>
  <c r="AA83" i="13"/>
  <c r="AP83" i="13"/>
  <c r="AQ78" i="13"/>
  <c r="AB78" i="13"/>
  <c r="Y77" i="13"/>
  <c r="AN77" i="13"/>
  <c r="AP73" i="13"/>
  <c r="AA73" i="13"/>
  <c r="AA84" i="13"/>
  <c r="AP84" i="13"/>
  <c r="X75" i="13"/>
  <c r="AM75" i="13"/>
  <c r="AQ76" i="13"/>
  <c r="AB76" i="13"/>
  <c r="AP92" i="13"/>
  <c r="AA92" i="13"/>
  <c r="AN90" i="13"/>
  <c r="Y90" i="13"/>
  <c r="AA88" i="13"/>
  <c r="AP88" i="13"/>
  <c r="AB87" i="13"/>
  <c r="AQ87" i="13"/>
  <c r="Y85" i="13"/>
  <c r="AM84" i="13"/>
  <c r="X84" i="13"/>
  <c r="Z83" i="13"/>
  <c r="AO83" i="13"/>
  <c r="Z80" i="13"/>
  <c r="AO80" i="13"/>
  <c r="X77" i="13"/>
  <c r="AM77" i="13"/>
  <c r="X74" i="13"/>
  <c r="AM74" i="13"/>
  <c r="AO73" i="13"/>
  <c r="Z73" i="13"/>
  <c r="AP72" i="13"/>
  <c r="AA72" i="13"/>
  <c r="Y93" i="13"/>
  <c r="AO92" i="13"/>
  <c r="Z92" i="13"/>
  <c r="AO89" i="13"/>
  <c r="Z89" i="13"/>
  <c r="AA87" i="13"/>
  <c r="AP87" i="13"/>
  <c r="AB86" i="13"/>
  <c r="AQ86" i="13"/>
  <c r="Y80" i="13"/>
  <c r="AN80" i="13"/>
  <c r="AQ77" i="13"/>
  <c r="AB77" i="13"/>
  <c r="AQ75" i="13"/>
  <c r="AB75" i="13"/>
  <c r="AP74" i="13"/>
  <c r="AA74" i="13"/>
  <c r="AO72" i="13"/>
  <c r="Z72" i="13"/>
  <c r="X71" i="13"/>
  <c r="Z55" i="13"/>
  <c r="AO55" i="13"/>
  <c r="Y32" i="13"/>
  <c r="AN32" i="13"/>
  <c r="B9" i="13"/>
  <c r="B10" i="13"/>
  <c r="AB62" i="13"/>
  <c r="AQ62" i="13"/>
  <c r="AM61" i="13"/>
  <c r="X61" i="13"/>
  <c r="AA57" i="13"/>
  <c r="AP57" i="13"/>
  <c r="Y55" i="13"/>
  <c r="AN55" i="13"/>
  <c r="AQ52" i="13"/>
  <c r="AB52" i="13"/>
  <c r="AP49" i="13"/>
  <c r="AA49" i="13"/>
  <c r="AO46" i="13"/>
  <c r="Z46" i="13"/>
  <c r="AQ45" i="13"/>
  <c r="AB45" i="13"/>
  <c r="Y41" i="13"/>
  <c r="Z39" i="13"/>
  <c r="AO39" i="13"/>
  <c r="Y35" i="13"/>
  <c r="AN35" i="13"/>
  <c r="X29" i="13"/>
  <c r="AM29" i="13"/>
  <c r="AB22" i="13"/>
  <c r="AQ22" i="13"/>
  <c r="AA17" i="13"/>
  <c r="AP17" i="13"/>
  <c r="AM69" i="13"/>
  <c r="AM62" i="13"/>
  <c r="X62" i="13"/>
  <c r="AA59" i="13"/>
  <c r="AP59" i="13"/>
  <c r="X52" i="13"/>
  <c r="AM52" i="13"/>
  <c r="X49" i="13"/>
  <c r="AM49" i="13"/>
  <c r="AN45" i="13"/>
  <c r="Y45" i="13"/>
  <c r="AP71" i="13"/>
  <c r="AM68" i="13"/>
  <c r="AB67" i="13"/>
  <c r="Z65" i="13"/>
  <c r="Y64" i="13"/>
  <c r="AM63" i="13"/>
  <c r="X63" i="13"/>
  <c r="Z57" i="13"/>
  <c r="AO57" i="13"/>
  <c r="Z54" i="13"/>
  <c r="AO54" i="13"/>
  <c r="Y51" i="13"/>
  <c r="AN51" i="13"/>
  <c r="AQ47" i="13"/>
  <c r="AB47" i="13"/>
  <c r="AA43" i="13"/>
  <c r="AP43" i="13"/>
  <c r="Z40" i="13"/>
  <c r="AO40" i="13"/>
  <c r="Z37" i="13"/>
  <c r="AO37" i="13"/>
  <c r="Y54" i="13"/>
  <c r="AN54" i="13"/>
  <c r="X51" i="13"/>
  <c r="AM51" i="13"/>
  <c r="X94" i="13"/>
  <c r="X93" i="13"/>
  <c r="X92" i="13"/>
  <c r="AB82" i="13"/>
  <c r="AB81" i="13"/>
  <c r="AB80" i="13"/>
  <c r="AA79" i="13"/>
  <c r="AA78" i="13"/>
  <c r="AA77" i="13"/>
  <c r="Z76" i="13"/>
  <c r="Z75" i="13"/>
  <c r="Z74" i="13"/>
  <c r="Y73" i="13"/>
  <c r="AA68" i="13"/>
  <c r="Z67" i="13"/>
  <c r="AN65" i="13"/>
  <c r="Y65" i="13"/>
  <c r="AM64" i="13"/>
  <c r="X64" i="13"/>
  <c r="AN62" i="13"/>
  <c r="Y62" i="13"/>
  <c r="Z59" i="13"/>
  <c r="AA58" i="13"/>
  <c r="AP58" i="13"/>
  <c r="Y57" i="13"/>
  <c r="Z53" i="13"/>
  <c r="AO53" i="13"/>
  <c r="AQ51" i="13"/>
  <c r="AB51" i="13"/>
  <c r="AQ49" i="13"/>
  <c r="AB49" i="13"/>
  <c r="AP48" i="13"/>
  <c r="AA48" i="13"/>
  <c r="AQ46" i="13"/>
  <c r="AB46" i="13"/>
  <c r="AM40" i="13"/>
  <c r="X40" i="13"/>
  <c r="Z38" i="13"/>
  <c r="AO38" i="13"/>
  <c r="AB18" i="13"/>
  <c r="AQ18" i="13"/>
  <c r="X48" i="13"/>
  <c r="AM48" i="13"/>
  <c r="X31" i="13"/>
  <c r="AM31" i="13"/>
  <c r="AB25" i="13"/>
  <c r="AQ25" i="13"/>
  <c r="AN66" i="13"/>
  <c r="Y66" i="13"/>
  <c r="AM65" i="13"/>
  <c r="X65" i="13"/>
  <c r="AA62" i="13"/>
  <c r="AQ60" i="13"/>
  <c r="Z58" i="13"/>
  <c r="AO58" i="13"/>
  <c r="AA56" i="13"/>
  <c r="AP56" i="13"/>
  <c r="X54" i="13"/>
  <c r="Y53" i="13"/>
  <c r="AN53" i="13"/>
  <c r="Y50" i="13"/>
  <c r="AN50" i="13"/>
  <c r="AP46" i="13"/>
  <c r="AA46" i="13"/>
  <c r="AQ44" i="13"/>
  <c r="AB44" i="13"/>
  <c r="AB42" i="13"/>
  <c r="AQ42" i="13"/>
  <c r="X42" i="13"/>
  <c r="AM42" i="13"/>
  <c r="AP33" i="13"/>
  <c r="AA33" i="13"/>
  <c r="B33" i="13"/>
  <c r="B34" i="13"/>
  <c r="AQ72" i="13"/>
  <c r="AA60" i="13"/>
  <c r="AP60" i="13"/>
  <c r="Z71" i="13"/>
  <c r="AO69" i="13"/>
  <c r="Z69" i="13"/>
  <c r="AO68" i="13"/>
  <c r="Z68" i="13"/>
  <c r="AN67" i="13"/>
  <c r="Y67" i="13"/>
  <c r="AM66" i="13"/>
  <c r="X66" i="13"/>
  <c r="AQ64" i="13"/>
  <c r="AN63" i="13"/>
  <c r="Y63" i="13"/>
  <c r="AA61" i="13"/>
  <c r="AP61" i="13"/>
  <c r="AM60" i="13"/>
  <c r="X60" i="13"/>
  <c r="Z56" i="13"/>
  <c r="AO56" i="13"/>
  <c r="X50" i="13"/>
  <c r="AM50" i="13"/>
  <c r="X47" i="13"/>
  <c r="AM47" i="13"/>
  <c r="Y36" i="13"/>
  <c r="AN36" i="13"/>
  <c r="X30" i="13"/>
  <c r="AM30" i="13"/>
  <c r="AA28" i="13"/>
  <c r="AP28" i="13"/>
  <c r="AP14" i="13"/>
  <c r="AA14" i="13"/>
  <c r="AN7" i="13"/>
  <c r="Y7" i="13"/>
  <c r="AB63" i="13"/>
  <c r="AQ63" i="13"/>
  <c r="AM59" i="13"/>
  <c r="X59" i="13"/>
  <c r="X34" i="13"/>
  <c r="AM34" i="13"/>
  <c r="AB23" i="13"/>
  <c r="AQ23" i="13"/>
  <c r="AN68" i="13"/>
  <c r="Y68" i="13"/>
  <c r="AM67" i="13"/>
  <c r="X67" i="13"/>
  <c r="AA63" i="13"/>
  <c r="Z60" i="13"/>
  <c r="Y58" i="13"/>
  <c r="X53" i="13"/>
  <c r="Y52" i="13"/>
  <c r="AN52" i="13"/>
  <c r="AQ50" i="13"/>
  <c r="AB50" i="13"/>
  <c r="AQ48" i="13"/>
  <c r="AB48" i="13"/>
  <c r="AP47" i="13"/>
  <c r="AA47" i="13"/>
  <c r="AQ36" i="13"/>
  <c r="AB36" i="13"/>
  <c r="AB24" i="13"/>
  <c r="AQ24" i="13"/>
  <c r="X19" i="13"/>
  <c r="AM19" i="13"/>
  <c r="X8" i="13"/>
  <c r="AM8" i="13"/>
  <c r="AA42" i="13"/>
  <c r="AP42" i="13"/>
  <c r="Y37" i="13"/>
  <c r="AN37" i="13"/>
  <c r="X32" i="13"/>
  <c r="AM32" i="13"/>
  <c r="AA18" i="13"/>
  <c r="AP18" i="13"/>
  <c r="Z14" i="13"/>
  <c r="AO14" i="13"/>
  <c r="AN9" i="13"/>
  <c r="Y9" i="13"/>
  <c r="AM6" i="13"/>
  <c r="X6" i="13"/>
  <c r="AM5" i="13"/>
  <c r="X5" i="13"/>
  <c r="AO43" i="13"/>
  <c r="AA41" i="13"/>
  <c r="AP41" i="13"/>
  <c r="AN38" i="13"/>
  <c r="X33" i="13"/>
  <c r="AM33" i="13"/>
  <c r="AQ31" i="13"/>
  <c r="AQ30" i="13"/>
  <c r="AQ29" i="13"/>
  <c r="AA19" i="13"/>
  <c r="AP19" i="13"/>
  <c r="AP15" i="13"/>
  <c r="AA15" i="13"/>
  <c r="X9" i="13"/>
  <c r="AM9" i="13"/>
  <c r="AQ6" i="13"/>
  <c r="AB6" i="13"/>
  <c r="AQ5" i="13"/>
  <c r="AB5" i="13"/>
  <c r="AN43" i="13"/>
  <c r="AO42" i="13"/>
  <c r="AQ41" i="13"/>
  <c r="AM37" i="13"/>
  <c r="Z28" i="13"/>
  <c r="X27" i="13"/>
  <c r="X20" i="13"/>
  <c r="AO17" i="13"/>
  <c r="Z15" i="13"/>
  <c r="AO15" i="13"/>
  <c r="AN10" i="13"/>
  <c r="Y10" i="13"/>
  <c r="AB55" i="13"/>
  <c r="AB54" i="13"/>
  <c r="AB53" i="13"/>
  <c r="AA52" i="13"/>
  <c r="AA51" i="13"/>
  <c r="AA50" i="13"/>
  <c r="Z49" i="13"/>
  <c r="Z48" i="13"/>
  <c r="Z47" i="13"/>
  <c r="Y46" i="13"/>
  <c r="AO36" i="13"/>
  <c r="AN33" i="13"/>
  <c r="AB32" i="13"/>
  <c r="AA31" i="13"/>
  <c r="AA30" i="13"/>
  <c r="AA29" i="13"/>
  <c r="B28" i="13"/>
  <c r="X21" i="13"/>
  <c r="AB20" i="13"/>
  <c r="AQ20" i="13"/>
  <c r="AQ19" i="13"/>
  <c r="AO18" i="13"/>
  <c r="AN17" i="13"/>
  <c r="AP16" i="13"/>
  <c r="AA16" i="13"/>
  <c r="AO11" i="13"/>
  <c r="Z11" i="13"/>
  <c r="X10" i="13"/>
  <c r="AM10" i="13"/>
  <c r="AB9" i="13"/>
  <c r="AM7" i="13"/>
  <c r="X7" i="13"/>
  <c r="AA5" i="13"/>
  <c r="AO35" i="13"/>
  <c r="AN34" i="13"/>
  <c r="AB21" i="13"/>
  <c r="AQ21" i="13"/>
  <c r="Z16" i="13"/>
  <c r="AO16" i="13"/>
  <c r="AO12" i="13"/>
  <c r="Z12" i="13"/>
  <c r="Y11" i="13"/>
  <c r="AN11" i="13"/>
  <c r="AQ7" i="13"/>
  <c r="AB7" i="13"/>
  <c r="AN6" i="13"/>
  <c r="Y6" i="13"/>
  <c r="AM41" i="13"/>
  <c r="AM35" i="13"/>
  <c r="AB34" i="13"/>
  <c r="Z32" i="13"/>
  <c r="Y31" i="13"/>
  <c r="Y30" i="13"/>
  <c r="Y29" i="13"/>
  <c r="Y25" i="13"/>
  <c r="Y24" i="13"/>
  <c r="Y23" i="13"/>
  <c r="AM18" i="13"/>
  <c r="AN15" i="13"/>
  <c r="AO13" i="13"/>
  <c r="Z13" i="13"/>
  <c r="Y12" i="13"/>
  <c r="AN12" i="13"/>
  <c r="AB10" i="13"/>
  <c r="AA6" i="13"/>
  <c r="AB35" i="13"/>
  <c r="AA34" i="13"/>
  <c r="Z33" i="13"/>
  <c r="Z26" i="13"/>
  <c r="X25" i="13"/>
  <c r="X24" i="13"/>
  <c r="X23" i="13"/>
  <c r="AP20" i="13"/>
  <c r="AM15" i="13"/>
  <c r="Y13" i="13"/>
  <c r="AN13" i="13"/>
  <c r="AN8" i="13"/>
  <c r="Y8" i="13"/>
  <c r="C55" i="14"/>
  <c r="AR91" i="13" l="1"/>
  <c r="AT91" i="13" s="1"/>
  <c r="AR66" i="13"/>
  <c r="AT66" i="13" s="1"/>
  <c r="AR94" i="13"/>
  <c r="AT94" i="13" s="1"/>
  <c r="AR73" i="13"/>
  <c r="AT73" i="13" s="1"/>
  <c r="AR71" i="13"/>
  <c r="AT71" i="13" s="1"/>
  <c r="AR55" i="13"/>
  <c r="AT55" i="13" s="1"/>
  <c r="AR44" i="13"/>
  <c r="AT44" i="13" s="1"/>
  <c r="AR92" i="13"/>
  <c r="AT92" i="13" s="1"/>
  <c r="AR85" i="13"/>
  <c r="AT85" i="13" s="1"/>
  <c r="AR82" i="13"/>
  <c r="AT82" i="13" s="1"/>
  <c r="AR80" i="13"/>
  <c r="AT80" i="13" s="1"/>
  <c r="AR84" i="13"/>
  <c r="AT84" i="13" s="1"/>
  <c r="AR70" i="13"/>
  <c r="AT70" i="13" s="1"/>
  <c r="AR23" i="13"/>
  <c r="AT23" i="13" s="1"/>
  <c r="AR40" i="13"/>
  <c r="AR93" i="13"/>
  <c r="AT93" i="13" s="1"/>
  <c r="AR58" i="13"/>
  <c r="AT58" i="13" s="1"/>
  <c r="AR54" i="13"/>
  <c r="AT54" i="13" s="1"/>
  <c r="AR57" i="13"/>
  <c r="AT57" i="13" s="1"/>
  <c r="AR53" i="13"/>
  <c r="AT53" i="13" s="1"/>
  <c r="AR43" i="13"/>
  <c r="AT43" i="13" s="1"/>
  <c r="AR21" i="13"/>
  <c r="AT21" i="13" s="1"/>
  <c r="AR81" i="13"/>
  <c r="AT81" i="13" s="1"/>
  <c r="AR39" i="13"/>
  <c r="AT39" i="13" s="1"/>
  <c r="AR35" i="13"/>
  <c r="AT35" i="13" s="1"/>
  <c r="AR86" i="13"/>
  <c r="AT86" i="13" s="1"/>
  <c r="AR28" i="13"/>
  <c r="AT28" i="13" s="1"/>
  <c r="AR65" i="13"/>
  <c r="AT65" i="13" s="1"/>
  <c r="AR36" i="13"/>
  <c r="AT36" i="13" s="1"/>
  <c r="AR14" i="13"/>
  <c r="AT14" i="13" s="1"/>
  <c r="AR45" i="13"/>
  <c r="AT45" i="13" s="1"/>
  <c r="AR46" i="13"/>
  <c r="AT46" i="13" s="1"/>
  <c r="AR27" i="13"/>
  <c r="AT27" i="13" s="1"/>
  <c r="AR11" i="13"/>
  <c r="AT11" i="13" s="1"/>
  <c r="AR48" i="13"/>
  <c r="AT48" i="13" s="1"/>
  <c r="AR56" i="13"/>
  <c r="AT56" i="13" s="1"/>
  <c r="AR22" i="13"/>
  <c r="AT22" i="13" s="1"/>
  <c r="AR38" i="13"/>
  <c r="AT38" i="13" s="1"/>
  <c r="AR13" i="13"/>
  <c r="AT13" i="13" s="1"/>
  <c r="AR12" i="13"/>
  <c r="AT12" i="13" s="1"/>
  <c r="AR37" i="13"/>
  <c r="AT37" i="13" s="1"/>
  <c r="AR25" i="13"/>
  <c r="AT25" i="13" s="1"/>
  <c r="AR30" i="13"/>
  <c r="AT30" i="13" s="1"/>
  <c r="AR26" i="13"/>
  <c r="AT26" i="13" s="1"/>
  <c r="AR24" i="13"/>
  <c r="AT24" i="13" s="1"/>
  <c r="AR20" i="13"/>
  <c r="AT20" i="13" s="1"/>
  <c r="AR17" i="13"/>
  <c r="AT17" i="13" s="1"/>
  <c r="AR16" i="13"/>
  <c r="AT16" i="13" s="1"/>
  <c r="AR68" i="13"/>
  <c r="AT68" i="13" s="1"/>
  <c r="AR8" i="13"/>
  <c r="AT8" i="13" s="1"/>
  <c r="AR75" i="13"/>
  <c r="AT75" i="13" s="1"/>
  <c r="AR78" i="13"/>
  <c r="AT78" i="13" s="1"/>
  <c r="AR90" i="13"/>
  <c r="AT90" i="13" s="1"/>
  <c r="AR83" i="13"/>
  <c r="AT83" i="13" s="1"/>
  <c r="AR32" i="13"/>
  <c r="AT32" i="13" s="1"/>
  <c r="AR29" i="13"/>
  <c r="AT29" i="13" s="1"/>
  <c r="AR74" i="13"/>
  <c r="AT74" i="13" s="1"/>
  <c r="AR89" i="13"/>
  <c r="AT89" i="13" s="1"/>
  <c r="AR88" i="13"/>
  <c r="AT88" i="13" s="1"/>
  <c r="AR7" i="13"/>
  <c r="AR9" i="13"/>
  <c r="AT9" i="13" s="1"/>
  <c r="AR5" i="13"/>
  <c r="AT5" i="13" s="1"/>
  <c r="AR34" i="13"/>
  <c r="AT34" i="13" s="1"/>
  <c r="AR47" i="13"/>
  <c r="AT47" i="13" s="1"/>
  <c r="AR42" i="13"/>
  <c r="AT42" i="13" s="1"/>
  <c r="AR63" i="13"/>
  <c r="AT63" i="13" s="1"/>
  <c r="AR49" i="13"/>
  <c r="AT49" i="13" s="1"/>
  <c r="AR69" i="13"/>
  <c r="AT69" i="13" s="1"/>
  <c r="AR77" i="13"/>
  <c r="AT77" i="13" s="1"/>
  <c r="AR72" i="13"/>
  <c r="AT72" i="13" s="1"/>
  <c r="AR19" i="13"/>
  <c r="AT19" i="13" s="1"/>
  <c r="AR10" i="13"/>
  <c r="AR33" i="13"/>
  <c r="AT33" i="13" s="1"/>
  <c r="AR60" i="13"/>
  <c r="AT60" i="13" s="1"/>
  <c r="AR64" i="13"/>
  <c r="AT64" i="13" s="1"/>
  <c r="AR62" i="13"/>
  <c r="AT62" i="13" s="1"/>
  <c r="AR15" i="13"/>
  <c r="AT15" i="13" s="1"/>
  <c r="AR6" i="13"/>
  <c r="AT6" i="13" s="1"/>
  <c r="AR50" i="13"/>
  <c r="AT50" i="13" s="1"/>
  <c r="AR31" i="13"/>
  <c r="AT31" i="13" s="1"/>
  <c r="AR52" i="13"/>
  <c r="AT52" i="13" s="1"/>
  <c r="AR61" i="13"/>
  <c r="AT61" i="13" s="1"/>
  <c r="AR76" i="13"/>
  <c r="AT76" i="13" s="1"/>
  <c r="AR18" i="13"/>
  <c r="AT18" i="13" s="1"/>
  <c r="AR41" i="13"/>
  <c r="AT41" i="13" s="1"/>
  <c r="AR67" i="13"/>
  <c r="AT67" i="13" s="1"/>
  <c r="AR59" i="13"/>
  <c r="AT59" i="13" s="1"/>
  <c r="AR51" i="13"/>
  <c r="AT51" i="13" s="1"/>
  <c r="AR79" i="13"/>
  <c r="AT79" i="13" s="1"/>
  <c r="AR87" i="13"/>
  <c r="AT87" i="13" s="1"/>
  <c r="AT10" i="13" l="1"/>
  <c r="AR98" i="13"/>
  <c r="AT40" i="13"/>
  <c r="AT7" i="13"/>
  <c r="W4" i="13"/>
  <c r="V3" i="13"/>
  <c r="U3" i="13"/>
  <c r="E14" i="25"/>
  <c r="D14" i="25"/>
  <c r="C14" i="25"/>
  <c r="E13" i="25"/>
  <c r="D13" i="25"/>
  <c r="C13" i="25"/>
  <c r="D12" i="25"/>
  <c r="E12" i="25" s="1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S99" i="20"/>
  <c r="X98" i="20" s="1"/>
  <c r="AH98" i="20" s="1"/>
  <c r="AN98" i="20" s="1"/>
  <c r="R99" i="20"/>
  <c r="W98" i="20" s="1"/>
  <c r="AG98" i="20" s="1"/>
  <c r="AM98" i="20" s="1"/>
  <c r="Q99" i="20"/>
  <c r="V98" i="20" s="1"/>
  <c r="P99" i="20"/>
  <c r="U98" i="20" s="1"/>
  <c r="O99" i="20"/>
  <c r="T98" i="20" s="1"/>
  <c r="AD98" i="20" s="1"/>
  <c r="AJ98" i="20" s="1"/>
  <c r="S95" i="20"/>
  <c r="R95" i="20"/>
  <c r="W95" i="20" s="1"/>
  <c r="AG95" i="20" s="1"/>
  <c r="Q95" i="20"/>
  <c r="V95" i="20" s="1"/>
  <c r="P95" i="20"/>
  <c r="U95" i="20" s="1"/>
  <c r="O95" i="20"/>
  <c r="T95" i="20" s="1"/>
  <c r="AD95" i="20" s="1"/>
  <c r="I95" i="20"/>
  <c r="B95" i="20"/>
  <c r="S94" i="20"/>
  <c r="R94" i="20"/>
  <c r="Q94" i="20"/>
  <c r="P94" i="20"/>
  <c r="O94" i="20"/>
  <c r="I94" i="20"/>
  <c r="AJ93" i="20"/>
  <c r="AH93" i="20"/>
  <c r="AN93" i="20" s="1"/>
  <c r="S93" i="20"/>
  <c r="X93" i="20" s="1"/>
  <c r="R93" i="20"/>
  <c r="Q93" i="20"/>
  <c r="P93" i="20"/>
  <c r="O93" i="20"/>
  <c r="T93" i="20" s="1"/>
  <c r="AD93" i="20" s="1"/>
  <c r="I93" i="20"/>
  <c r="AH92" i="20"/>
  <c r="AN92" i="20" s="1"/>
  <c r="AD92" i="20"/>
  <c r="AJ92" i="20" s="1"/>
  <c r="S92" i="20"/>
  <c r="X92" i="20" s="1"/>
  <c r="R92" i="20"/>
  <c r="Q92" i="20"/>
  <c r="P92" i="20"/>
  <c r="O92" i="20"/>
  <c r="T92" i="20" s="1"/>
  <c r="I92" i="20"/>
  <c r="AG91" i="20"/>
  <c r="AM91" i="20" s="1"/>
  <c r="AD91" i="20"/>
  <c r="AJ91" i="20" s="1"/>
  <c r="X91" i="20"/>
  <c r="AH91" i="20" s="1"/>
  <c r="AN91" i="20" s="1"/>
  <c r="W91" i="20"/>
  <c r="S91" i="20"/>
  <c r="R91" i="20"/>
  <c r="Q91" i="20"/>
  <c r="P91" i="20"/>
  <c r="O91" i="20"/>
  <c r="T91" i="20" s="1"/>
  <c r="I91" i="20"/>
  <c r="X90" i="20"/>
  <c r="AH90" i="20" s="1"/>
  <c r="AN90" i="20" s="1"/>
  <c r="W90" i="20"/>
  <c r="AG90" i="20" s="1"/>
  <c r="AM90" i="20" s="1"/>
  <c r="S90" i="20"/>
  <c r="R90" i="20"/>
  <c r="Q90" i="20"/>
  <c r="V89" i="20" s="1"/>
  <c r="P90" i="20"/>
  <c r="O90" i="20"/>
  <c r="I90" i="20"/>
  <c r="X89" i="20"/>
  <c r="AH89" i="20" s="1"/>
  <c r="AN89" i="20" s="1"/>
  <c r="W89" i="20"/>
  <c r="AG89" i="20" s="1"/>
  <c r="AM89" i="20" s="1"/>
  <c r="T89" i="20"/>
  <c r="AD89" i="20" s="1"/>
  <c r="AJ89" i="20" s="1"/>
  <c r="S89" i="20"/>
  <c r="R89" i="20"/>
  <c r="P89" i="20"/>
  <c r="O89" i="20"/>
  <c r="I89" i="20"/>
  <c r="T88" i="20"/>
  <c r="AD88" i="20" s="1"/>
  <c r="AJ88" i="20" s="1"/>
  <c r="S88" i="20"/>
  <c r="X88" i="20" s="1"/>
  <c r="AH88" i="20" s="1"/>
  <c r="AN88" i="20" s="1"/>
  <c r="R88" i="20"/>
  <c r="W88" i="20" s="1"/>
  <c r="AG88" i="20" s="1"/>
  <c r="AM88" i="20" s="1"/>
  <c r="V88" i="20"/>
  <c r="P88" i="20"/>
  <c r="O88" i="20"/>
  <c r="I88" i="20"/>
  <c r="S87" i="20"/>
  <c r="R87" i="20"/>
  <c r="W86" i="20" s="1"/>
  <c r="AG86" i="20" s="1"/>
  <c r="AM86" i="20" s="1"/>
  <c r="P87" i="20"/>
  <c r="U87" i="20" s="1"/>
  <c r="AK87" i="20" s="1"/>
  <c r="O87" i="20"/>
  <c r="T87" i="20" s="1"/>
  <c r="AD87" i="20" s="1"/>
  <c r="AJ87" i="20" s="1"/>
  <c r="I87" i="20"/>
  <c r="X86" i="20"/>
  <c r="AH86" i="20" s="1"/>
  <c r="AN86" i="20" s="1"/>
  <c r="S86" i="20"/>
  <c r="R86" i="20"/>
  <c r="P86" i="20"/>
  <c r="O86" i="20"/>
  <c r="T86" i="20" s="1"/>
  <c r="AD86" i="20" s="1"/>
  <c r="AJ86" i="20" s="1"/>
  <c r="I86" i="20"/>
  <c r="AN85" i="20"/>
  <c r="AM85" i="20"/>
  <c r="W85" i="20"/>
  <c r="AG85" i="20" s="1"/>
  <c r="T85" i="20"/>
  <c r="AD85" i="20" s="1"/>
  <c r="AJ85" i="20" s="1"/>
  <c r="S85" i="20"/>
  <c r="X85" i="20" s="1"/>
  <c r="AH85" i="20" s="1"/>
  <c r="R85" i="20"/>
  <c r="V85" i="20"/>
  <c r="P85" i="20"/>
  <c r="O85" i="20"/>
  <c r="I85" i="20"/>
  <c r="T84" i="20"/>
  <c r="AD84" i="20" s="1"/>
  <c r="AJ84" i="20" s="1"/>
  <c r="S84" i="20"/>
  <c r="X84" i="20" s="1"/>
  <c r="AH84" i="20" s="1"/>
  <c r="AN84" i="20" s="1"/>
  <c r="R84" i="20"/>
  <c r="W84" i="20" s="1"/>
  <c r="AG84" i="20" s="1"/>
  <c r="AM84" i="20" s="1"/>
  <c r="P84" i="20"/>
  <c r="U84" i="20" s="1"/>
  <c r="O84" i="20"/>
  <c r="I84" i="20"/>
  <c r="AJ83" i="20"/>
  <c r="S83" i="20"/>
  <c r="R83" i="20"/>
  <c r="P83" i="20"/>
  <c r="O83" i="20"/>
  <c r="T83" i="20" s="1"/>
  <c r="AD83" i="20" s="1"/>
  <c r="I83" i="20"/>
  <c r="X82" i="20"/>
  <c r="AH82" i="20" s="1"/>
  <c r="AN82" i="20" s="1"/>
  <c r="S82" i="20"/>
  <c r="R82" i="20"/>
  <c r="P82" i="20"/>
  <c r="O82" i="20"/>
  <c r="I82" i="20"/>
  <c r="X81" i="20"/>
  <c r="AH81" i="20" s="1"/>
  <c r="AN81" i="20" s="1"/>
  <c r="W81" i="20"/>
  <c r="AG81" i="20" s="1"/>
  <c r="AM81" i="20" s="1"/>
  <c r="S81" i="20"/>
  <c r="R81" i="20"/>
  <c r="P81" i="20"/>
  <c r="O81" i="20"/>
  <c r="I81" i="20"/>
  <c r="AM80" i="20"/>
  <c r="T80" i="20"/>
  <c r="AD80" i="20" s="1"/>
  <c r="AJ80" i="20" s="1"/>
  <c r="S80" i="20"/>
  <c r="X80" i="20" s="1"/>
  <c r="AH80" i="20" s="1"/>
  <c r="AN80" i="20" s="1"/>
  <c r="R80" i="20"/>
  <c r="W80" i="20" s="1"/>
  <c r="AG80" i="20" s="1"/>
  <c r="V80" i="20"/>
  <c r="P80" i="20"/>
  <c r="O80" i="20"/>
  <c r="I80" i="20"/>
  <c r="AJ79" i="20"/>
  <c r="AH79" i="20"/>
  <c r="AN79" i="20" s="1"/>
  <c r="S79" i="20"/>
  <c r="X79" i="20" s="1"/>
  <c r="R79" i="20"/>
  <c r="W79" i="20" s="1"/>
  <c r="AG79" i="20" s="1"/>
  <c r="AM79" i="20" s="1"/>
  <c r="Q79" i="20"/>
  <c r="P79" i="20"/>
  <c r="O79" i="20"/>
  <c r="T79" i="20" s="1"/>
  <c r="AD79" i="20" s="1"/>
  <c r="I79" i="20"/>
  <c r="S78" i="20"/>
  <c r="R78" i="20"/>
  <c r="Q78" i="20"/>
  <c r="P78" i="20"/>
  <c r="O78" i="20"/>
  <c r="T78" i="20" s="1"/>
  <c r="AD78" i="20" s="1"/>
  <c r="AJ78" i="20" s="1"/>
  <c r="I78" i="20"/>
  <c r="AG77" i="20"/>
  <c r="AM77" i="20" s="1"/>
  <c r="AD77" i="20"/>
  <c r="AJ77" i="20" s="1"/>
  <c r="S77" i="20"/>
  <c r="X77" i="20" s="1"/>
  <c r="AH77" i="20" s="1"/>
  <c r="AN77" i="20" s="1"/>
  <c r="R77" i="20"/>
  <c r="W77" i="20" s="1"/>
  <c r="Q77" i="20"/>
  <c r="P77" i="20"/>
  <c r="O77" i="20"/>
  <c r="T77" i="20" s="1"/>
  <c r="I77" i="20"/>
  <c r="AG76" i="20"/>
  <c r="AM76" i="20" s="1"/>
  <c r="X76" i="20"/>
  <c r="AH76" i="20" s="1"/>
  <c r="AN76" i="20" s="1"/>
  <c r="S76" i="20"/>
  <c r="R76" i="20"/>
  <c r="W76" i="20" s="1"/>
  <c r="Q76" i="20"/>
  <c r="P76" i="20"/>
  <c r="O76" i="20"/>
  <c r="T76" i="20" s="1"/>
  <c r="AD76" i="20" s="1"/>
  <c r="AJ76" i="20" s="1"/>
  <c r="I76" i="20"/>
  <c r="X75" i="20"/>
  <c r="AH75" i="20" s="1"/>
  <c r="AN75" i="20" s="1"/>
  <c r="W75" i="20"/>
  <c r="AG75" i="20" s="1"/>
  <c r="AM75" i="20" s="1"/>
  <c r="S75" i="20"/>
  <c r="R75" i="20"/>
  <c r="Q75" i="20"/>
  <c r="V75" i="20" s="1"/>
  <c r="P75" i="20"/>
  <c r="O75" i="20"/>
  <c r="I75" i="20"/>
  <c r="AN74" i="20"/>
  <c r="X74" i="20"/>
  <c r="AH74" i="20" s="1"/>
  <c r="W74" i="20"/>
  <c r="AG74" i="20" s="1"/>
  <c r="AM74" i="20" s="1"/>
  <c r="T74" i="20"/>
  <c r="AD74" i="20" s="1"/>
  <c r="AJ74" i="20" s="1"/>
  <c r="S74" i="20"/>
  <c r="R74" i="20"/>
  <c r="Q74" i="20"/>
  <c r="P74" i="20"/>
  <c r="O74" i="20"/>
  <c r="I74" i="20"/>
  <c r="AN73" i="20"/>
  <c r="W73" i="20"/>
  <c r="AG73" i="20" s="1"/>
  <c r="AM73" i="20" s="1"/>
  <c r="T73" i="20"/>
  <c r="AD73" i="20" s="1"/>
  <c r="AJ73" i="20" s="1"/>
  <c r="S73" i="20"/>
  <c r="X73" i="20" s="1"/>
  <c r="AH73" i="20" s="1"/>
  <c r="R73" i="20"/>
  <c r="Q73" i="20"/>
  <c r="P73" i="20"/>
  <c r="O73" i="20"/>
  <c r="I73" i="20"/>
  <c r="T72" i="20"/>
  <c r="AD72" i="20" s="1"/>
  <c r="AJ72" i="20" s="1"/>
  <c r="S72" i="20"/>
  <c r="X72" i="20" s="1"/>
  <c r="AH72" i="20" s="1"/>
  <c r="AN72" i="20" s="1"/>
  <c r="R72" i="20"/>
  <c r="W72" i="20" s="1"/>
  <c r="AG72" i="20" s="1"/>
  <c r="AM72" i="20" s="1"/>
  <c r="Q72" i="20"/>
  <c r="P72" i="20"/>
  <c r="O72" i="20"/>
  <c r="I72" i="20"/>
  <c r="S71" i="20"/>
  <c r="R71" i="20"/>
  <c r="Q71" i="20"/>
  <c r="P71" i="20"/>
  <c r="O71" i="20"/>
  <c r="T71" i="20" s="1"/>
  <c r="AD71" i="20" s="1"/>
  <c r="AJ71" i="20" s="1"/>
  <c r="I71" i="20"/>
  <c r="AJ70" i="20"/>
  <c r="S70" i="20"/>
  <c r="X70" i="20" s="1"/>
  <c r="AH70" i="20" s="1"/>
  <c r="AN70" i="20" s="1"/>
  <c r="R70" i="20"/>
  <c r="Q70" i="20"/>
  <c r="P70" i="20"/>
  <c r="O70" i="20"/>
  <c r="T70" i="20" s="1"/>
  <c r="AD70" i="20" s="1"/>
  <c r="I70" i="20"/>
  <c r="S69" i="20"/>
  <c r="X69" i="20" s="1"/>
  <c r="AH69" i="20" s="1"/>
  <c r="AN69" i="20" s="1"/>
  <c r="R69" i="20"/>
  <c r="Q69" i="20"/>
  <c r="P69" i="20"/>
  <c r="O69" i="20"/>
  <c r="T69" i="20" s="1"/>
  <c r="AD69" i="20" s="1"/>
  <c r="AJ69" i="20" s="1"/>
  <c r="I69" i="20"/>
  <c r="AM68" i="20"/>
  <c r="AG68" i="20"/>
  <c r="S68" i="20"/>
  <c r="X68" i="20" s="1"/>
  <c r="AH68" i="20" s="1"/>
  <c r="AN68" i="20" s="1"/>
  <c r="R68" i="20"/>
  <c r="W68" i="20" s="1"/>
  <c r="Q68" i="20"/>
  <c r="P68" i="20"/>
  <c r="O68" i="20"/>
  <c r="T68" i="20" s="1"/>
  <c r="AD68" i="20" s="1"/>
  <c r="AJ68" i="20" s="1"/>
  <c r="I68" i="20"/>
  <c r="X67" i="20"/>
  <c r="AH67" i="20" s="1"/>
  <c r="AN67" i="20" s="1"/>
  <c r="S67" i="20"/>
  <c r="R67" i="20"/>
  <c r="W67" i="20" s="1"/>
  <c r="AG67" i="20" s="1"/>
  <c r="AM67" i="20" s="1"/>
  <c r="Q67" i="20"/>
  <c r="P67" i="20"/>
  <c r="O67" i="20"/>
  <c r="I67" i="20"/>
  <c r="X66" i="20"/>
  <c r="AH66" i="20" s="1"/>
  <c r="AN66" i="20" s="1"/>
  <c r="W66" i="20"/>
  <c r="AG66" i="20" s="1"/>
  <c r="AM66" i="20" s="1"/>
  <c r="T66" i="20"/>
  <c r="AD66" i="20" s="1"/>
  <c r="AJ66" i="20" s="1"/>
  <c r="S66" i="20"/>
  <c r="R66" i="20"/>
  <c r="Q66" i="20"/>
  <c r="P66" i="20"/>
  <c r="O66" i="20"/>
  <c r="I66" i="20"/>
  <c r="W65" i="20"/>
  <c r="AG65" i="20" s="1"/>
  <c r="AM65" i="20" s="1"/>
  <c r="T65" i="20"/>
  <c r="AD65" i="20" s="1"/>
  <c r="AJ65" i="20" s="1"/>
  <c r="S65" i="20"/>
  <c r="X65" i="20" s="1"/>
  <c r="AH65" i="20" s="1"/>
  <c r="AN65" i="20" s="1"/>
  <c r="R65" i="20"/>
  <c r="Q65" i="20"/>
  <c r="P65" i="20"/>
  <c r="O65" i="20"/>
  <c r="I65" i="20"/>
  <c r="T64" i="20"/>
  <c r="AD64" i="20" s="1"/>
  <c r="AJ64" i="20" s="1"/>
  <c r="S64" i="20"/>
  <c r="R64" i="20"/>
  <c r="W64" i="20" s="1"/>
  <c r="AG64" i="20" s="1"/>
  <c r="AM64" i="20" s="1"/>
  <c r="Q64" i="20"/>
  <c r="P64" i="20"/>
  <c r="O64" i="20"/>
  <c r="I64" i="20"/>
  <c r="S63" i="20"/>
  <c r="R63" i="20"/>
  <c r="Q63" i="20"/>
  <c r="P63" i="20"/>
  <c r="O63" i="20"/>
  <c r="T63" i="20" s="1"/>
  <c r="AD63" i="20" s="1"/>
  <c r="AJ63" i="20" s="1"/>
  <c r="I63" i="20"/>
  <c r="AJ62" i="20"/>
  <c r="AH62" i="20"/>
  <c r="AN62" i="20" s="1"/>
  <c r="S62" i="20"/>
  <c r="X62" i="20" s="1"/>
  <c r="R62" i="20"/>
  <c r="W62" i="20" s="1"/>
  <c r="AG62" i="20" s="1"/>
  <c r="AM62" i="20" s="1"/>
  <c r="Q62" i="20"/>
  <c r="P62" i="20"/>
  <c r="O62" i="20"/>
  <c r="T62" i="20" s="1"/>
  <c r="AD62" i="20" s="1"/>
  <c r="I62" i="20"/>
  <c r="AH61" i="20"/>
  <c r="AN61" i="20" s="1"/>
  <c r="S61" i="20"/>
  <c r="X61" i="20" s="1"/>
  <c r="R61" i="20"/>
  <c r="Q61" i="20"/>
  <c r="V61" i="20" s="1"/>
  <c r="P61" i="20"/>
  <c r="O61" i="20"/>
  <c r="T61" i="20" s="1"/>
  <c r="AD61" i="20" s="1"/>
  <c r="AJ61" i="20" s="1"/>
  <c r="I61" i="20"/>
  <c r="S60" i="20"/>
  <c r="X59" i="20" s="1"/>
  <c r="AH59" i="20" s="1"/>
  <c r="AN59" i="20" s="1"/>
  <c r="R60" i="20"/>
  <c r="W60" i="20" s="1"/>
  <c r="AG60" i="20" s="1"/>
  <c r="AM60" i="20" s="1"/>
  <c r="Q60" i="20"/>
  <c r="P60" i="20"/>
  <c r="O60" i="20"/>
  <c r="I60" i="20"/>
  <c r="S59" i="20"/>
  <c r="R59" i="20"/>
  <c r="Q59" i="20"/>
  <c r="P59" i="20"/>
  <c r="O59" i="20"/>
  <c r="I59" i="20"/>
  <c r="AN58" i="20"/>
  <c r="X58" i="20"/>
  <c r="AH58" i="20" s="1"/>
  <c r="T58" i="20"/>
  <c r="AD58" i="20" s="1"/>
  <c r="AJ58" i="20" s="1"/>
  <c r="S58" i="20"/>
  <c r="R58" i="20"/>
  <c r="Q58" i="20"/>
  <c r="P58" i="20"/>
  <c r="O58" i="20"/>
  <c r="I58" i="20"/>
  <c r="AN57" i="20"/>
  <c r="W57" i="20"/>
  <c r="AG57" i="20" s="1"/>
  <c r="AM57" i="20" s="1"/>
  <c r="T57" i="20"/>
  <c r="AD57" i="20" s="1"/>
  <c r="AJ57" i="20" s="1"/>
  <c r="S57" i="20"/>
  <c r="X57" i="20" s="1"/>
  <c r="AH57" i="20" s="1"/>
  <c r="R57" i="20"/>
  <c r="Q57" i="20"/>
  <c r="P57" i="20"/>
  <c r="O57" i="20"/>
  <c r="I57" i="20"/>
  <c r="AM56" i="20"/>
  <c r="AJ56" i="20"/>
  <c r="S56" i="20"/>
  <c r="R56" i="20"/>
  <c r="W56" i="20" s="1"/>
  <c r="AG56" i="20" s="1"/>
  <c r="Q56" i="20"/>
  <c r="P56" i="20"/>
  <c r="O56" i="20"/>
  <c r="T56" i="20" s="1"/>
  <c r="AD56" i="20" s="1"/>
  <c r="I56" i="20"/>
  <c r="AH55" i="20"/>
  <c r="AN55" i="20" s="1"/>
  <c r="X55" i="20"/>
  <c r="S55" i="20"/>
  <c r="R55" i="20"/>
  <c r="Q55" i="20"/>
  <c r="P55" i="20"/>
  <c r="O55" i="20"/>
  <c r="I55" i="20"/>
  <c r="AJ54" i="20"/>
  <c r="AH54" i="20"/>
  <c r="AN54" i="20" s="1"/>
  <c r="X54" i="20"/>
  <c r="T54" i="20"/>
  <c r="AD54" i="20" s="1"/>
  <c r="S54" i="20"/>
  <c r="R54" i="20"/>
  <c r="Q54" i="20"/>
  <c r="P54" i="20"/>
  <c r="O54" i="20"/>
  <c r="I54" i="20"/>
  <c r="AH53" i="20"/>
  <c r="AN53" i="20" s="1"/>
  <c r="AD53" i="20"/>
  <c r="AJ53" i="20" s="1"/>
  <c r="S53" i="20"/>
  <c r="X53" i="20" s="1"/>
  <c r="R53" i="20"/>
  <c r="Q53" i="20"/>
  <c r="P53" i="20"/>
  <c r="O53" i="20"/>
  <c r="T53" i="20" s="1"/>
  <c r="I53" i="20"/>
  <c r="X52" i="20"/>
  <c r="AH52" i="20" s="1"/>
  <c r="AN52" i="20" s="1"/>
  <c r="S52" i="20"/>
  <c r="R52" i="20"/>
  <c r="W52" i="20" s="1"/>
  <c r="AG52" i="20" s="1"/>
  <c r="AM52" i="20" s="1"/>
  <c r="Q52" i="20"/>
  <c r="P52" i="20"/>
  <c r="O52" i="20"/>
  <c r="I52" i="20"/>
  <c r="AD51" i="20"/>
  <c r="AJ51" i="20" s="1"/>
  <c r="X51" i="20"/>
  <c r="AH51" i="20" s="1"/>
  <c r="AN51" i="20" s="1"/>
  <c r="W51" i="20"/>
  <c r="AG51" i="20" s="1"/>
  <c r="AM51" i="20" s="1"/>
  <c r="S51" i="20"/>
  <c r="R51" i="20"/>
  <c r="Q51" i="20"/>
  <c r="P51" i="20"/>
  <c r="O51" i="20"/>
  <c r="T51" i="20" s="1"/>
  <c r="I51" i="20"/>
  <c r="X50" i="20"/>
  <c r="AH50" i="20" s="1"/>
  <c r="AN50" i="20" s="1"/>
  <c r="W50" i="20"/>
  <c r="AG50" i="20" s="1"/>
  <c r="AM50" i="20" s="1"/>
  <c r="T50" i="20"/>
  <c r="AD50" i="20" s="1"/>
  <c r="AJ50" i="20" s="1"/>
  <c r="S50" i="20"/>
  <c r="R50" i="20"/>
  <c r="Q50" i="20"/>
  <c r="P50" i="20"/>
  <c r="O50" i="20"/>
  <c r="I50" i="20"/>
  <c r="AN49" i="20"/>
  <c r="AM49" i="20"/>
  <c r="W49" i="20"/>
  <c r="AG49" i="20" s="1"/>
  <c r="T49" i="20"/>
  <c r="AD49" i="20" s="1"/>
  <c r="AJ49" i="20" s="1"/>
  <c r="S49" i="20"/>
  <c r="X49" i="20" s="1"/>
  <c r="AH49" i="20" s="1"/>
  <c r="R49" i="20"/>
  <c r="Q49" i="20"/>
  <c r="P49" i="20"/>
  <c r="O49" i="20"/>
  <c r="I49" i="20"/>
  <c r="AM48" i="20"/>
  <c r="T48" i="20"/>
  <c r="AD48" i="20" s="1"/>
  <c r="AJ48" i="20" s="1"/>
  <c r="S48" i="20"/>
  <c r="X48" i="20" s="1"/>
  <c r="AH48" i="20" s="1"/>
  <c r="AN48" i="20" s="1"/>
  <c r="R48" i="20"/>
  <c r="W48" i="20" s="1"/>
  <c r="AG48" i="20" s="1"/>
  <c r="Q48" i="20"/>
  <c r="P48" i="20"/>
  <c r="O48" i="20"/>
  <c r="I48" i="20"/>
  <c r="S47" i="20"/>
  <c r="R47" i="20"/>
  <c r="W47" i="20" s="1"/>
  <c r="AG47" i="20" s="1"/>
  <c r="AM47" i="20" s="1"/>
  <c r="Q47" i="20"/>
  <c r="P47" i="20"/>
  <c r="O47" i="20"/>
  <c r="T47" i="20" s="1"/>
  <c r="AD47" i="20" s="1"/>
  <c r="AJ47" i="20" s="1"/>
  <c r="I47" i="20"/>
  <c r="T46" i="20"/>
  <c r="AD46" i="20" s="1"/>
  <c r="AJ46" i="20" s="1"/>
  <c r="S46" i="20"/>
  <c r="R46" i="20"/>
  <c r="Q46" i="20"/>
  <c r="P46" i="20"/>
  <c r="O46" i="20"/>
  <c r="I46" i="20"/>
  <c r="AH45" i="20"/>
  <c r="AN45" i="20" s="1"/>
  <c r="AD45" i="20"/>
  <c r="AJ45" i="20" s="1"/>
  <c r="S45" i="20"/>
  <c r="X45" i="20" s="1"/>
  <c r="R45" i="20"/>
  <c r="Q45" i="20"/>
  <c r="P45" i="20"/>
  <c r="O45" i="20"/>
  <c r="T45" i="20" s="1"/>
  <c r="I45" i="20"/>
  <c r="AG44" i="20"/>
  <c r="AM44" i="20" s="1"/>
  <c r="AD44" i="20"/>
  <c r="AJ44" i="20" s="1"/>
  <c r="X44" i="20"/>
  <c r="AH44" i="20" s="1"/>
  <c r="AN44" i="20" s="1"/>
  <c r="S44" i="20"/>
  <c r="R44" i="20"/>
  <c r="W44" i="20" s="1"/>
  <c r="Q44" i="20"/>
  <c r="P44" i="20"/>
  <c r="O44" i="20"/>
  <c r="T44" i="20" s="1"/>
  <c r="I44" i="20"/>
  <c r="X43" i="20"/>
  <c r="AH43" i="20" s="1"/>
  <c r="AN43" i="20" s="1"/>
  <c r="W43" i="20"/>
  <c r="AG43" i="20" s="1"/>
  <c r="AM43" i="20" s="1"/>
  <c r="S43" i="20"/>
  <c r="R43" i="20"/>
  <c r="Q43" i="20"/>
  <c r="P43" i="20"/>
  <c r="O43" i="20"/>
  <c r="I43" i="20"/>
  <c r="X42" i="20"/>
  <c r="AH42" i="20" s="1"/>
  <c r="AN42" i="20" s="1"/>
  <c r="W42" i="20"/>
  <c r="AG42" i="20" s="1"/>
  <c r="AM42" i="20" s="1"/>
  <c r="T42" i="20"/>
  <c r="AD42" i="20" s="1"/>
  <c r="AJ42" i="20" s="1"/>
  <c r="S42" i="20"/>
  <c r="R42" i="20"/>
  <c r="Q42" i="20"/>
  <c r="P42" i="20"/>
  <c r="O42" i="20"/>
  <c r="I42" i="20"/>
  <c r="AM41" i="20"/>
  <c r="W41" i="20"/>
  <c r="AG41" i="20" s="1"/>
  <c r="T41" i="20"/>
  <c r="AD41" i="20" s="1"/>
  <c r="AJ41" i="20" s="1"/>
  <c r="S41" i="20"/>
  <c r="X41" i="20" s="1"/>
  <c r="AH41" i="20" s="1"/>
  <c r="AN41" i="20" s="1"/>
  <c r="R41" i="20"/>
  <c r="Q41" i="20"/>
  <c r="P41" i="20"/>
  <c r="O41" i="20"/>
  <c r="I41" i="20"/>
  <c r="AJ40" i="20"/>
  <c r="T40" i="20"/>
  <c r="AD40" i="20" s="1"/>
  <c r="S40" i="20"/>
  <c r="X40" i="20" s="1"/>
  <c r="AH40" i="20" s="1"/>
  <c r="AN40" i="20" s="1"/>
  <c r="R40" i="20"/>
  <c r="Q40" i="20"/>
  <c r="P40" i="20"/>
  <c r="O40" i="20"/>
  <c r="I40" i="20"/>
  <c r="S39" i="20"/>
  <c r="R39" i="20"/>
  <c r="Q39" i="20"/>
  <c r="P39" i="20"/>
  <c r="O39" i="20"/>
  <c r="T39" i="20" s="1"/>
  <c r="AD39" i="20" s="1"/>
  <c r="AJ39" i="20" s="1"/>
  <c r="I39" i="20"/>
  <c r="AJ38" i="20"/>
  <c r="T38" i="20"/>
  <c r="AD38" i="20" s="1"/>
  <c r="S38" i="20"/>
  <c r="R38" i="20"/>
  <c r="Q38" i="20"/>
  <c r="P38" i="20"/>
  <c r="O38" i="20"/>
  <c r="I38" i="20"/>
  <c r="AH37" i="20"/>
  <c r="AN37" i="20" s="1"/>
  <c r="AD37" i="20"/>
  <c r="AJ37" i="20" s="1"/>
  <c r="S37" i="20"/>
  <c r="X37" i="20" s="1"/>
  <c r="R37" i="20"/>
  <c r="Q37" i="20"/>
  <c r="P37" i="20"/>
  <c r="O37" i="20"/>
  <c r="T37" i="20" s="1"/>
  <c r="I37" i="20"/>
  <c r="X36" i="20"/>
  <c r="AH36" i="20" s="1"/>
  <c r="AN36" i="20" s="1"/>
  <c r="S36" i="20"/>
  <c r="R36" i="20"/>
  <c r="Q36" i="20"/>
  <c r="P36" i="20"/>
  <c r="O36" i="20"/>
  <c r="T36" i="20" s="1"/>
  <c r="AD36" i="20" s="1"/>
  <c r="AJ36" i="20" s="1"/>
  <c r="I36" i="20"/>
  <c r="X35" i="20"/>
  <c r="AH35" i="20" s="1"/>
  <c r="AN35" i="20" s="1"/>
  <c r="S35" i="20"/>
  <c r="R35" i="20"/>
  <c r="Q35" i="20"/>
  <c r="AF35" i="20" s="1"/>
  <c r="P35" i="20"/>
  <c r="AE35" i="20" s="1"/>
  <c r="O35" i="20"/>
  <c r="I35" i="20"/>
  <c r="AN34" i="20"/>
  <c r="AG34" i="20"/>
  <c r="AM34" i="20" s="1"/>
  <c r="X34" i="20"/>
  <c r="AH34" i="20" s="1"/>
  <c r="W34" i="20"/>
  <c r="T34" i="20"/>
  <c r="AD34" i="20" s="1"/>
  <c r="AJ34" i="20" s="1"/>
  <c r="S34" i="20"/>
  <c r="R34" i="20"/>
  <c r="Q34" i="20"/>
  <c r="P34" i="20"/>
  <c r="O34" i="20"/>
  <c r="I34" i="20"/>
  <c r="AN33" i="20"/>
  <c r="AM33" i="20"/>
  <c r="W33" i="20"/>
  <c r="AG33" i="20" s="1"/>
  <c r="S33" i="20"/>
  <c r="X33" i="20" s="1"/>
  <c r="AH33" i="20" s="1"/>
  <c r="R33" i="20"/>
  <c r="Q33" i="20"/>
  <c r="P33" i="20"/>
  <c r="O33" i="20"/>
  <c r="I33" i="20"/>
  <c r="AM32" i="20"/>
  <c r="X32" i="20"/>
  <c r="AH32" i="20" s="1"/>
  <c r="AN32" i="20" s="1"/>
  <c r="S32" i="20"/>
  <c r="R32" i="20"/>
  <c r="W32" i="20" s="1"/>
  <c r="AG32" i="20" s="1"/>
  <c r="Q32" i="20"/>
  <c r="P32" i="20"/>
  <c r="O32" i="20"/>
  <c r="I32" i="20"/>
  <c r="AH31" i="20"/>
  <c r="AN31" i="20" s="1"/>
  <c r="AD31" i="20"/>
  <c r="AJ31" i="20" s="1"/>
  <c r="X31" i="20"/>
  <c r="W31" i="20"/>
  <c r="AG31" i="20" s="1"/>
  <c r="AM31" i="20" s="1"/>
  <c r="S31" i="20"/>
  <c r="R31" i="20"/>
  <c r="Q31" i="20"/>
  <c r="P31" i="20"/>
  <c r="O31" i="20"/>
  <c r="T31" i="20" s="1"/>
  <c r="I31" i="20"/>
  <c r="AD30" i="20"/>
  <c r="AJ30" i="20" s="1"/>
  <c r="X30" i="20"/>
  <c r="AH30" i="20" s="1"/>
  <c r="AN30" i="20" s="1"/>
  <c r="W30" i="20"/>
  <c r="AG30" i="20" s="1"/>
  <c r="AM30" i="20" s="1"/>
  <c r="S30" i="20"/>
  <c r="R30" i="20"/>
  <c r="Q30" i="20"/>
  <c r="P30" i="20"/>
  <c r="O30" i="20"/>
  <c r="T30" i="20" s="1"/>
  <c r="I30" i="20"/>
  <c r="AN29" i="20"/>
  <c r="X29" i="20"/>
  <c r="AH29" i="20" s="1"/>
  <c r="W29" i="20"/>
  <c r="AG29" i="20" s="1"/>
  <c r="AM29" i="20" s="1"/>
  <c r="S29" i="20"/>
  <c r="R29" i="20"/>
  <c r="Q29" i="20"/>
  <c r="P29" i="20"/>
  <c r="O29" i="20"/>
  <c r="I29" i="20"/>
  <c r="AN28" i="20"/>
  <c r="AM28" i="20"/>
  <c r="W28" i="20"/>
  <c r="AG28" i="20" s="1"/>
  <c r="T28" i="20"/>
  <c r="AD28" i="20" s="1"/>
  <c r="AJ28" i="20" s="1"/>
  <c r="S28" i="20"/>
  <c r="X28" i="20" s="1"/>
  <c r="AH28" i="20" s="1"/>
  <c r="R28" i="20"/>
  <c r="Q28" i="20"/>
  <c r="P28" i="20"/>
  <c r="O28" i="20"/>
  <c r="I28" i="20"/>
  <c r="AN27" i="20"/>
  <c r="AM27" i="20"/>
  <c r="AJ27" i="20"/>
  <c r="T27" i="20"/>
  <c r="AD27" i="20" s="1"/>
  <c r="S27" i="20"/>
  <c r="X27" i="20" s="1"/>
  <c r="AH27" i="20" s="1"/>
  <c r="R27" i="20"/>
  <c r="W27" i="20" s="1"/>
  <c r="AG27" i="20" s="1"/>
  <c r="Q27" i="20"/>
  <c r="P27" i="20"/>
  <c r="O27" i="20"/>
  <c r="I27" i="20"/>
  <c r="AJ26" i="20"/>
  <c r="S26" i="20"/>
  <c r="R26" i="20"/>
  <c r="W26" i="20" s="1"/>
  <c r="AG26" i="20" s="1"/>
  <c r="AM26" i="20" s="1"/>
  <c r="Q26" i="20"/>
  <c r="P26" i="20"/>
  <c r="O26" i="20"/>
  <c r="T26" i="20" s="1"/>
  <c r="AD26" i="20" s="1"/>
  <c r="I26" i="20"/>
  <c r="AJ25" i="20"/>
  <c r="S25" i="20"/>
  <c r="R25" i="20"/>
  <c r="Q25" i="20"/>
  <c r="P25" i="20"/>
  <c r="O25" i="20"/>
  <c r="T25" i="20" s="1"/>
  <c r="AD25" i="20" s="1"/>
  <c r="I25" i="20"/>
  <c r="AH24" i="20"/>
  <c r="AN24" i="20" s="1"/>
  <c r="X24" i="20"/>
  <c r="S24" i="20"/>
  <c r="R24" i="20"/>
  <c r="Q24" i="20"/>
  <c r="P24" i="20"/>
  <c r="O24" i="20"/>
  <c r="T24" i="20" s="1"/>
  <c r="AD24" i="20" s="1"/>
  <c r="AJ24" i="20" s="1"/>
  <c r="I24" i="20"/>
  <c r="AG23" i="20"/>
  <c r="AM23" i="20" s="1"/>
  <c r="X23" i="20"/>
  <c r="AH23" i="20" s="1"/>
  <c r="AN23" i="20" s="1"/>
  <c r="W23" i="20"/>
  <c r="S23" i="20"/>
  <c r="R23" i="20"/>
  <c r="Q23" i="20"/>
  <c r="P23" i="20"/>
  <c r="O23" i="20"/>
  <c r="T23" i="20" s="1"/>
  <c r="AD23" i="20" s="1"/>
  <c r="AJ23" i="20" s="1"/>
  <c r="I23" i="20"/>
  <c r="X22" i="20"/>
  <c r="AH22" i="20" s="1"/>
  <c r="AN22" i="20" s="1"/>
  <c r="W22" i="20"/>
  <c r="AG22" i="20" s="1"/>
  <c r="AM22" i="20" s="1"/>
  <c r="S22" i="20"/>
  <c r="R22" i="20"/>
  <c r="Q22" i="20"/>
  <c r="P22" i="20"/>
  <c r="O22" i="20"/>
  <c r="I22" i="20"/>
  <c r="X21" i="20"/>
  <c r="AH21" i="20" s="1"/>
  <c r="AN21" i="20" s="1"/>
  <c r="W21" i="20"/>
  <c r="AG21" i="20" s="1"/>
  <c r="AM21" i="20" s="1"/>
  <c r="T21" i="20"/>
  <c r="AD21" i="20" s="1"/>
  <c r="AJ21" i="20" s="1"/>
  <c r="S21" i="20"/>
  <c r="R21" i="20"/>
  <c r="Q21" i="20"/>
  <c r="P21" i="20"/>
  <c r="O21" i="20"/>
  <c r="I21" i="20"/>
  <c r="AN20" i="20"/>
  <c r="W20" i="20"/>
  <c r="AG20" i="20" s="1"/>
  <c r="AM20" i="20" s="1"/>
  <c r="T20" i="20"/>
  <c r="AD20" i="20" s="1"/>
  <c r="AJ20" i="20" s="1"/>
  <c r="S20" i="20"/>
  <c r="X20" i="20" s="1"/>
  <c r="AH20" i="20" s="1"/>
  <c r="R20" i="20"/>
  <c r="Q20" i="20"/>
  <c r="P20" i="20"/>
  <c r="O20" i="20"/>
  <c r="I20" i="20"/>
  <c r="T19" i="20"/>
  <c r="AD19" i="20" s="1"/>
  <c r="AJ19" i="20" s="1"/>
  <c r="S19" i="20"/>
  <c r="X19" i="20" s="1"/>
  <c r="AH19" i="20" s="1"/>
  <c r="AN19" i="20" s="1"/>
  <c r="R19" i="20"/>
  <c r="W19" i="20" s="1"/>
  <c r="AG19" i="20" s="1"/>
  <c r="AM19" i="20" s="1"/>
  <c r="Q19" i="20"/>
  <c r="P19" i="20"/>
  <c r="O19" i="20"/>
  <c r="I19" i="20"/>
  <c r="S18" i="20"/>
  <c r="R18" i="20"/>
  <c r="Q18" i="20"/>
  <c r="P18" i="20"/>
  <c r="O18" i="20"/>
  <c r="T18" i="20" s="1"/>
  <c r="AD18" i="20" s="1"/>
  <c r="AJ18" i="20" s="1"/>
  <c r="I18" i="20"/>
  <c r="AJ17" i="20"/>
  <c r="S17" i="20"/>
  <c r="R17" i="20"/>
  <c r="Q17" i="20"/>
  <c r="P17" i="20"/>
  <c r="O17" i="20"/>
  <c r="T17" i="20" s="1"/>
  <c r="AD17" i="20" s="1"/>
  <c r="I17" i="20"/>
  <c r="AH16" i="20"/>
  <c r="AN16" i="20" s="1"/>
  <c r="X16" i="20"/>
  <c r="S16" i="20"/>
  <c r="R16" i="20"/>
  <c r="Q16" i="20"/>
  <c r="P16" i="20"/>
  <c r="O16" i="20"/>
  <c r="T16" i="20" s="1"/>
  <c r="AD16" i="20" s="1"/>
  <c r="AJ16" i="20" s="1"/>
  <c r="I16" i="20"/>
  <c r="AG15" i="20"/>
  <c r="AM15" i="20" s="1"/>
  <c r="X15" i="20"/>
  <c r="AH15" i="20" s="1"/>
  <c r="AN15" i="20" s="1"/>
  <c r="W15" i="20"/>
  <c r="S15" i="20"/>
  <c r="R15" i="20"/>
  <c r="Q15" i="20"/>
  <c r="P15" i="20"/>
  <c r="O15" i="20"/>
  <c r="I15" i="20"/>
  <c r="AD14" i="20"/>
  <c r="AJ14" i="20" s="1"/>
  <c r="X14" i="20"/>
  <c r="AH14" i="20" s="1"/>
  <c r="AN14" i="20" s="1"/>
  <c r="W14" i="20"/>
  <c r="AG14" i="20" s="1"/>
  <c r="AM14" i="20" s="1"/>
  <c r="S14" i="20"/>
  <c r="R14" i="20"/>
  <c r="Q14" i="20"/>
  <c r="P14" i="20"/>
  <c r="O14" i="20"/>
  <c r="T14" i="20" s="1"/>
  <c r="I14" i="20"/>
  <c r="X13" i="20"/>
  <c r="AH13" i="20" s="1"/>
  <c r="AN13" i="20" s="1"/>
  <c r="W13" i="20"/>
  <c r="AG13" i="20" s="1"/>
  <c r="AM13" i="20" s="1"/>
  <c r="T13" i="20"/>
  <c r="AD13" i="20" s="1"/>
  <c r="AJ13" i="20" s="1"/>
  <c r="S13" i="20"/>
  <c r="R13" i="20"/>
  <c r="Q13" i="20"/>
  <c r="V13" i="20" s="1"/>
  <c r="P13" i="20"/>
  <c r="O13" i="20"/>
  <c r="I13" i="20"/>
  <c r="AM12" i="20"/>
  <c r="W12" i="20"/>
  <c r="AG12" i="20" s="1"/>
  <c r="T12" i="20"/>
  <c r="AD12" i="20" s="1"/>
  <c r="AJ12" i="20" s="1"/>
  <c r="S12" i="20"/>
  <c r="X12" i="20" s="1"/>
  <c r="AH12" i="20" s="1"/>
  <c r="AN12" i="20" s="1"/>
  <c r="R12" i="20"/>
  <c r="Q12" i="20"/>
  <c r="P12" i="20"/>
  <c r="O12" i="20"/>
  <c r="I12" i="20"/>
  <c r="AJ11" i="20"/>
  <c r="T11" i="20"/>
  <c r="AD11" i="20" s="1"/>
  <c r="S11" i="20"/>
  <c r="R11" i="20"/>
  <c r="W11" i="20" s="1"/>
  <c r="AG11" i="20" s="1"/>
  <c r="AM11" i="20" s="1"/>
  <c r="Q11" i="20"/>
  <c r="P11" i="20"/>
  <c r="O11" i="20"/>
  <c r="I11" i="20"/>
  <c r="AJ10" i="20"/>
  <c r="S10" i="20"/>
  <c r="X10" i="20" s="1"/>
  <c r="AH10" i="20" s="1"/>
  <c r="AN10" i="20" s="1"/>
  <c r="R10" i="20"/>
  <c r="W10" i="20" s="1"/>
  <c r="AG10" i="20" s="1"/>
  <c r="AM10" i="20" s="1"/>
  <c r="Q10" i="20"/>
  <c r="P10" i="20"/>
  <c r="O10" i="20"/>
  <c r="T10" i="20" s="1"/>
  <c r="AD10" i="20" s="1"/>
  <c r="I10" i="20"/>
  <c r="S9" i="20"/>
  <c r="R9" i="20"/>
  <c r="W9" i="20" s="1"/>
  <c r="AG9" i="20" s="1"/>
  <c r="AM9" i="20" s="1"/>
  <c r="Q9" i="20"/>
  <c r="P9" i="20"/>
  <c r="U9" i="20" s="1"/>
  <c r="O9" i="20"/>
  <c r="T9" i="20" s="1"/>
  <c r="AD9" i="20" s="1"/>
  <c r="AJ9" i="20" s="1"/>
  <c r="I9" i="20"/>
  <c r="AH8" i="20"/>
  <c r="AN8" i="20" s="1"/>
  <c r="AG8" i="20"/>
  <c r="AM8" i="20" s="1"/>
  <c r="AD8" i="20"/>
  <c r="AJ8" i="20" s="1"/>
  <c r="X8" i="20"/>
  <c r="S8" i="20"/>
  <c r="R8" i="20"/>
  <c r="W8" i="20" s="1"/>
  <c r="Q8" i="20"/>
  <c r="P8" i="20"/>
  <c r="O8" i="20"/>
  <c r="T8" i="20" s="1"/>
  <c r="I8" i="20"/>
  <c r="AG7" i="20"/>
  <c r="AM7" i="20" s="1"/>
  <c r="X7" i="20"/>
  <c r="AH7" i="20" s="1"/>
  <c r="AN7" i="20" s="1"/>
  <c r="W7" i="20"/>
  <c r="S7" i="20"/>
  <c r="R7" i="20"/>
  <c r="Q7" i="20"/>
  <c r="P7" i="20"/>
  <c r="O7" i="20"/>
  <c r="T7" i="20" s="1"/>
  <c r="AD7" i="20" s="1"/>
  <c r="AJ7" i="20" s="1"/>
  <c r="I7" i="20"/>
  <c r="AD6" i="20"/>
  <c r="AJ6" i="20" s="1"/>
  <c r="X6" i="20"/>
  <c r="AH6" i="20" s="1"/>
  <c r="AN6" i="20" s="1"/>
  <c r="W6" i="20"/>
  <c r="AG6" i="20" s="1"/>
  <c r="AM6" i="20" s="1"/>
  <c r="S6" i="20"/>
  <c r="R6" i="20"/>
  <c r="Q6" i="20"/>
  <c r="P6" i="20"/>
  <c r="O6" i="20"/>
  <c r="T6" i="20" s="1"/>
  <c r="I6" i="20"/>
  <c r="AX5" i="20"/>
  <c r="X5" i="20"/>
  <c r="AH5" i="20" s="1"/>
  <c r="AN5" i="20" s="1"/>
  <c r="W5" i="20"/>
  <c r="AG5" i="20" s="1"/>
  <c r="AM5" i="20" s="1"/>
  <c r="S5" i="20"/>
  <c r="R5" i="20"/>
  <c r="Q5" i="20"/>
  <c r="P5" i="20"/>
  <c r="O5" i="20"/>
  <c r="I5" i="20"/>
  <c r="AO4" i="20"/>
  <c r="AT4" i="20" s="1"/>
  <c r="AN4" i="20"/>
  <c r="W4" i="20"/>
  <c r="AG4" i="20" s="1"/>
  <c r="AM4" i="20" s="1"/>
  <c r="T4" i="20"/>
  <c r="AD4" i="20" s="1"/>
  <c r="AJ4" i="20" s="1"/>
  <c r="S4" i="20"/>
  <c r="X4" i="20" s="1"/>
  <c r="AH4" i="20" s="1"/>
  <c r="R4" i="20"/>
  <c r="Q4" i="20"/>
  <c r="P4" i="20"/>
  <c r="O4" i="20"/>
  <c r="I4" i="20"/>
  <c r="AT3" i="20"/>
  <c r="AS3" i="20"/>
  <c r="AS4" i="20" s="1"/>
  <c r="AS5" i="20" s="1"/>
  <c r="AS6" i="20" s="1"/>
  <c r="AR3" i="20"/>
  <c r="AR4" i="20" s="1"/>
  <c r="AR5" i="20" s="1"/>
  <c r="AQ3" i="20"/>
  <c r="AQ4" i="20" s="1"/>
  <c r="AQ5" i="20" s="1"/>
  <c r="AQ6" i="20" s="1"/>
  <c r="AQ7" i="20" s="1"/>
  <c r="AQ8" i="20" s="1"/>
  <c r="AQ9" i="20" s="1"/>
  <c r="AQ10" i="20" s="1"/>
  <c r="AQ11" i="20" s="1"/>
  <c r="AQ12" i="20" s="1"/>
  <c r="AQ13" i="20" s="1"/>
  <c r="AQ14" i="20" s="1"/>
  <c r="AQ15" i="20" s="1"/>
  <c r="AQ16" i="20" s="1"/>
  <c r="AQ17" i="20" s="1"/>
  <c r="AQ18" i="20" s="1"/>
  <c r="AQ19" i="20" s="1"/>
  <c r="AQ20" i="20" s="1"/>
  <c r="AQ21" i="20" s="1"/>
  <c r="AQ22" i="20" s="1"/>
  <c r="AQ23" i="20" s="1"/>
  <c r="AQ24" i="20" s="1"/>
  <c r="AQ25" i="20" s="1"/>
  <c r="AQ26" i="20" s="1"/>
  <c r="AQ27" i="20" s="1"/>
  <c r="AQ28" i="20" s="1"/>
  <c r="AQ29" i="20" s="1"/>
  <c r="AQ30" i="20" s="1"/>
  <c r="AQ31" i="20" s="1"/>
  <c r="AQ32" i="20" s="1"/>
  <c r="AQ33" i="20" s="1"/>
  <c r="AQ34" i="20" s="1"/>
  <c r="AQ35" i="20" s="1"/>
  <c r="AQ36" i="20" s="1"/>
  <c r="AQ37" i="20" s="1"/>
  <c r="AQ38" i="20" s="1"/>
  <c r="AQ39" i="20" s="1"/>
  <c r="AQ40" i="20" s="1"/>
  <c r="AQ41" i="20" s="1"/>
  <c r="AQ42" i="20" s="1"/>
  <c r="AQ43" i="20" s="1"/>
  <c r="AQ44" i="20" s="1"/>
  <c r="AQ45" i="20" s="1"/>
  <c r="AQ46" i="20" s="1"/>
  <c r="AQ47" i="20" s="1"/>
  <c r="AQ48" i="20" s="1"/>
  <c r="AQ49" i="20" s="1"/>
  <c r="AQ50" i="20" s="1"/>
  <c r="AQ51" i="20" s="1"/>
  <c r="AQ52" i="20" s="1"/>
  <c r="AQ53" i="20" s="1"/>
  <c r="AQ54" i="20" s="1"/>
  <c r="AQ55" i="20" s="1"/>
  <c r="AQ56" i="20" s="1"/>
  <c r="AQ57" i="20" s="1"/>
  <c r="AQ58" i="20" s="1"/>
  <c r="AQ59" i="20" s="1"/>
  <c r="AQ60" i="20" s="1"/>
  <c r="AQ61" i="20" s="1"/>
  <c r="AQ62" i="20" s="1"/>
  <c r="AQ63" i="20" s="1"/>
  <c r="AQ64" i="20" s="1"/>
  <c r="AQ65" i="20" s="1"/>
  <c r="AQ66" i="20" s="1"/>
  <c r="AQ67" i="20" s="1"/>
  <c r="AQ68" i="20" s="1"/>
  <c r="AQ69" i="20" s="1"/>
  <c r="AQ70" i="20" s="1"/>
  <c r="AQ71" i="20" s="1"/>
  <c r="AQ72" i="20" s="1"/>
  <c r="AQ73" i="20" s="1"/>
  <c r="AQ74" i="20" s="1"/>
  <c r="AQ75" i="20" s="1"/>
  <c r="AQ76" i="20" s="1"/>
  <c r="AQ77" i="20" s="1"/>
  <c r="AQ78" i="20" s="1"/>
  <c r="AQ79" i="20" s="1"/>
  <c r="AQ80" i="20" s="1"/>
  <c r="AQ81" i="20" s="1"/>
  <c r="AP3" i="20"/>
  <c r="AP4" i="20" s="1"/>
  <c r="AP5" i="20" s="1"/>
  <c r="AP6" i="20" s="1"/>
  <c r="AP7" i="20" s="1"/>
  <c r="AP8" i="20" s="1"/>
  <c r="AP9" i="20" s="1"/>
  <c r="AP10" i="20" s="1"/>
  <c r="AP11" i="20" s="1"/>
  <c r="AP12" i="20" s="1"/>
  <c r="AP13" i="20" s="1"/>
  <c r="AP14" i="20" s="1"/>
  <c r="AP15" i="20" s="1"/>
  <c r="AP16" i="20" s="1"/>
  <c r="AP17" i="20" s="1"/>
  <c r="AP18" i="20" s="1"/>
  <c r="AP19" i="20" s="1"/>
  <c r="AP20" i="20" s="1"/>
  <c r="AP21" i="20" s="1"/>
  <c r="AP22" i="20" s="1"/>
  <c r="AP23" i="20" s="1"/>
  <c r="AP24" i="20" s="1"/>
  <c r="AP25" i="20" s="1"/>
  <c r="AP26" i="20" s="1"/>
  <c r="AP27" i="20" s="1"/>
  <c r="AP28" i="20" s="1"/>
  <c r="AP29" i="20" s="1"/>
  <c r="AP30" i="20" s="1"/>
  <c r="AP31" i="20" s="1"/>
  <c r="AP32" i="20" s="1"/>
  <c r="AP33" i="20" s="1"/>
  <c r="AP34" i="20" s="1"/>
  <c r="AP35" i="20" s="1"/>
  <c r="AP36" i="20" s="1"/>
  <c r="AP37" i="20" s="1"/>
  <c r="AP38" i="20" s="1"/>
  <c r="AP39" i="20" s="1"/>
  <c r="AP40" i="20" s="1"/>
  <c r="AP41" i="20" s="1"/>
  <c r="AP42" i="20" s="1"/>
  <c r="AP43" i="20" s="1"/>
  <c r="AP44" i="20" s="1"/>
  <c r="AP45" i="20" s="1"/>
  <c r="AP46" i="20" s="1"/>
  <c r="AP47" i="20" s="1"/>
  <c r="AP48" i="20" s="1"/>
  <c r="AP49" i="20" s="1"/>
  <c r="AP50" i="20" s="1"/>
  <c r="AP51" i="20" s="1"/>
  <c r="AP52" i="20" s="1"/>
  <c r="AP53" i="20" s="1"/>
  <c r="AP54" i="20" s="1"/>
  <c r="AP55" i="20" s="1"/>
  <c r="AP56" i="20" s="1"/>
  <c r="AP57" i="20" s="1"/>
  <c r="AP58" i="20" s="1"/>
  <c r="AP59" i="20" s="1"/>
  <c r="AP60" i="20" s="1"/>
  <c r="AP61" i="20" s="1"/>
  <c r="AP62" i="20" s="1"/>
  <c r="AP63" i="20" s="1"/>
  <c r="AP64" i="20" s="1"/>
  <c r="AP65" i="20" s="1"/>
  <c r="AP66" i="20" s="1"/>
  <c r="AP67" i="20" s="1"/>
  <c r="AP68" i="20" s="1"/>
  <c r="AP69" i="20" s="1"/>
  <c r="AP70" i="20" s="1"/>
  <c r="AP71" i="20" s="1"/>
  <c r="AP72" i="20" s="1"/>
  <c r="AP73" i="20" s="1"/>
  <c r="AP74" i="20" s="1"/>
  <c r="AP75" i="20" s="1"/>
  <c r="AP76" i="20" s="1"/>
  <c r="AP77" i="20" s="1"/>
  <c r="AP78" i="20" s="1"/>
  <c r="AP79" i="20" s="1"/>
  <c r="AP80" i="20" s="1"/>
  <c r="AP81" i="20" s="1"/>
  <c r="AP82" i="20" s="1"/>
  <c r="AP83" i="20" s="1"/>
  <c r="AP84" i="20" s="1"/>
  <c r="AP85" i="20" s="1"/>
  <c r="AP86" i="20" s="1"/>
  <c r="AP87" i="20" s="1"/>
  <c r="AP88" i="20" s="1"/>
  <c r="AP89" i="20" s="1"/>
  <c r="AP90" i="20" s="1"/>
  <c r="AP91" i="20" s="1"/>
  <c r="AP92" i="20" s="1"/>
  <c r="AP93" i="20" s="1"/>
  <c r="AP94" i="20" s="1"/>
  <c r="AP95" i="20" s="1"/>
  <c r="AP96" i="20" s="1"/>
  <c r="AO3" i="20"/>
  <c r="AJ3" i="20"/>
  <c r="T3" i="20"/>
  <c r="AD3" i="20" s="1"/>
  <c r="S3" i="20"/>
  <c r="X3" i="20" s="1"/>
  <c r="AH3" i="20" s="1"/>
  <c r="AX3" i="20" s="1"/>
  <c r="R3" i="20"/>
  <c r="W3" i="20" s="1"/>
  <c r="AG3" i="20" s="1"/>
  <c r="AW3" i="20" s="1"/>
  <c r="Q3" i="20"/>
  <c r="P3" i="20"/>
  <c r="O3" i="20"/>
  <c r="I3" i="20"/>
  <c r="A3" i="20"/>
  <c r="A4" i="20" s="1"/>
  <c r="T2" i="20"/>
  <c r="AD2" i="20" s="1"/>
  <c r="S2" i="20"/>
  <c r="R2" i="20"/>
  <c r="Q2" i="20"/>
  <c r="P2" i="20"/>
  <c r="O2" i="20"/>
  <c r="I2" i="20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6" i="13"/>
  <c r="S3" i="13"/>
  <c r="AM3" i="13" s="1"/>
  <c r="W3" i="13"/>
  <c r="T3" i="13"/>
  <c r="A3" i="13"/>
  <c r="B3" i="13" s="1"/>
  <c r="V2" i="13"/>
  <c r="AP2" i="13" s="1"/>
  <c r="T2" i="13"/>
  <c r="AN2" i="13" s="1"/>
  <c r="S2" i="13"/>
  <c r="AM2" i="13" s="1"/>
  <c r="B2" i="13"/>
  <c r="G4" i="6"/>
  <c r="M8" i="9"/>
  <c r="M6" i="9"/>
  <c r="M5" i="9"/>
  <c r="F4" i="6"/>
  <c r="F7" i="6"/>
  <c r="G5" i="6"/>
  <c r="G6" i="6"/>
  <c r="F55" i="14"/>
  <c r="F6" i="6"/>
  <c r="F5" i="6"/>
  <c r="M4" i="9"/>
  <c r="M7" i="9"/>
  <c r="G8" i="6"/>
  <c r="G7" i="6"/>
  <c r="G55" i="14" l="1"/>
  <c r="H55" i="14" s="1"/>
  <c r="B15" i="25"/>
  <c r="AJ2" i="20"/>
  <c r="AT2" i="20"/>
  <c r="AP97" i="20"/>
  <c r="AU96" i="20"/>
  <c r="AV81" i="20"/>
  <c r="AY81" i="20" s="1"/>
  <c r="AQ82" i="20"/>
  <c r="AQ83" i="20" s="1"/>
  <c r="AQ84" i="20" s="1"/>
  <c r="AQ85" i="20" s="1"/>
  <c r="AQ86" i="20" s="1"/>
  <c r="AQ87" i="20" s="1"/>
  <c r="AQ88" i="20" s="1"/>
  <c r="AQ89" i="20" s="1"/>
  <c r="AQ90" i="20" s="1"/>
  <c r="AQ91" i="20" s="1"/>
  <c r="AQ92" i="20" s="1"/>
  <c r="AQ93" i="20" s="1"/>
  <c r="AQ94" i="20" s="1"/>
  <c r="AQ95" i="20" s="1"/>
  <c r="AQ96" i="20" s="1"/>
  <c r="W16" i="20"/>
  <c r="AG16" i="20" s="1"/>
  <c r="AM16" i="20" s="1"/>
  <c r="W17" i="20"/>
  <c r="AG17" i="20" s="1"/>
  <c r="AM17" i="20" s="1"/>
  <c r="T32" i="20"/>
  <c r="AD32" i="20" s="1"/>
  <c r="AJ32" i="20" s="1"/>
  <c r="T33" i="20"/>
  <c r="AD33" i="20" s="1"/>
  <c r="AJ33" i="20" s="1"/>
  <c r="T82" i="20"/>
  <c r="AD82" i="20" s="1"/>
  <c r="AJ82" i="20" s="1"/>
  <c r="T81" i="20"/>
  <c r="AD81" i="20" s="1"/>
  <c r="AJ81" i="20" s="1"/>
  <c r="AX6" i="20"/>
  <c r="AS7" i="20"/>
  <c r="AX4" i="20"/>
  <c r="T15" i="20"/>
  <c r="AD15" i="20" s="1"/>
  <c r="AJ15" i="20" s="1"/>
  <c r="X60" i="20"/>
  <c r="AH60" i="20" s="1"/>
  <c r="AN60" i="20" s="1"/>
  <c r="T29" i="20"/>
  <c r="AD29" i="20" s="1"/>
  <c r="AJ29" i="20" s="1"/>
  <c r="W40" i="20"/>
  <c r="AG40" i="20" s="1"/>
  <c r="AM40" i="20" s="1"/>
  <c r="W39" i="20"/>
  <c r="AG39" i="20" s="1"/>
  <c r="AM39" i="20" s="1"/>
  <c r="AW4" i="20"/>
  <c r="X9" i="20"/>
  <c r="AH9" i="20" s="1"/>
  <c r="AN9" i="20" s="1"/>
  <c r="X11" i="20"/>
  <c r="AH11" i="20" s="1"/>
  <c r="AN11" i="20" s="1"/>
  <c r="W18" i="20"/>
  <c r="AG18" i="20" s="1"/>
  <c r="AM18" i="20" s="1"/>
  <c r="T22" i="20"/>
  <c r="AD22" i="20" s="1"/>
  <c r="AJ22" i="20" s="1"/>
  <c r="W36" i="20"/>
  <c r="AG36" i="20" s="1"/>
  <c r="AM36" i="20" s="1"/>
  <c r="W35" i="20"/>
  <c r="AG35" i="20" s="1"/>
  <c r="AM35" i="20" s="1"/>
  <c r="T5" i="20"/>
  <c r="AD5" i="20" s="1"/>
  <c r="AJ5" i="20" s="1"/>
  <c r="W2" i="20"/>
  <c r="AG2" i="20" s="1"/>
  <c r="AM3" i="20"/>
  <c r="X17" i="20"/>
  <c r="AH17" i="20" s="1"/>
  <c r="AN17" i="20" s="1"/>
  <c r="X18" i="20"/>
  <c r="AH18" i="20" s="1"/>
  <c r="AN18" i="20" s="1"/>
  <c r="W24" i="20"/>
  <c r="AG24" i="20" s="1"/>
  <c r="AM24" i="20" s="1"/>
  <c r="W25" i="20"/>
  <c r="AG25" i="20" s="1"/>
  <c r="AM25" i="20" s="1"/>
  <c r="W53" i="20"/>
  <c r="AG53" i="20" s="1"/>
  <c r="AM53" i="20" s="1"/>
  <c r="W54" i="20"/>
  <c r="AG54" i="20" s="1"/>
  <c r="AM54" i="20" s="1"/>
  <c r="AW5" i="20"/>
  <c r="AR6" i="20"/>
  <c r="X2" i="20"/>
  <c r="AH2" i="20" s="1"/>
  <c r="AN3" i="20"/>
  <c r="AO5" i="20"/>
  <c r="X25" i="20"/>
  <c r="AH25" i="20" s="1"/>
  <c r="AN25" i="20" s="1"/>
  <c r="X26" i="20"/>
  <c r="AH26" i="20" s="1"/>
  <c r="AN26" i="20" s="1"/>
  <c r="W63" i="20"/>
  <c r="AG63" i="20" s="1"/>
  <c r="AM63" i="20" s="1"/>
  <c r="W37" i="20"/>
  <c r="AG37" i="20" s="1"/>
  <c r="AM37" i="20" s="1"/>
  <c r="W38" i="20"/>
  <c r="AG38" i="20" s="1"/>
  <c r="AM38" i="20" s="1"/>
  <c r="X38" i="20"/>
  <c r="AH38" i="20" s="1"/>
  <c r="AN38" i="20" s="1"/>
  <c r="X39" i="20"/>
  <c r="AH39" i="20" s="1"/>
  <c r="AN39" i="20" s="1"/>
  <c r="X46" i="20"/>
  <c r="AH46" i="20" s="1"/>
  <c r="AN46" i="20" s="1"/>
  <c r="X47" i="20"/>
  <c r="AH47" i="20" s="1"/>
  <c r="AN47" i="20" s="1"/>
  <c r="X64" i="20"/>
  <c r="AH64" i="20" s="1"/>
  <c r="AN64" i="20" s="1"/>
  <c r="X63" i="20"/>
  <c r="AH63" i="20" s="1"/>
  <c r="AN63" i="20" s="1"/>
  <c r="W45" i="20"/>
  <c r="AG45" i="20" s="1"/>
  <c r="AM45" i="20" s="1"/>
  <c r="W46" i="20"/>
  <c r="AG46" i="20" s="1"/>
  <c r="AM46" i="20" s="1"/>
  <c r="W69" i="20"/>
  <c r="AG69" i="20" s="1"/>
  <c r="AM69" i="20" s="1"/>
  <c r="W70" i="20"/>
  <c r="AG70" i="20" s="1"/>
  <c r="AM70" i="20" s="1"/>
  <c r="T35" i="20"/>
  <c r="AD35" i="20" s="1"/>
  <c r="AJ35" i="20" s="1"/>
  <c r="T43" i="20"/>
  <c r="AD43" i="20" s="1"/>
  <c r="AJ43" i="20" s="1"/>
  <c r="T52" i="20"/>
  <c r="AD52" i="20" s="1"/>
  <c r="AJ52" i="20" s="1"/>
  <c r="W58" i="20"/>
  <c r="AG58" i="20" s="1"/>
  <c r="AM58" i="20" s="1"/>
  <c r="W59" i="20"/>
  <c r="AG59" i="20" s="1"/>
  <c r="AM59" i="20" s="1"/>
  <c r="T67" i="20"/>
  <c r="AD67" i="20" s="1"/>
  <c r="AJ67" i="20" s="1"/>
  <c r="T55" i="20"/>
  <c r="AD55" i="20" s="1"/>
  <c r="AJ55" i="20" s="1"/>
  <c r="W78" i="20"/>
  <c r="AG78" i="20" s="1"/>
  <c r="AM78" i="20" s="1"/>
  <c r="T60" i="20"/>
  <c r="AD60" i="20" s="1"/>
  <c r="AJ60" i="20" s="1"/>
  <c r="W71" i="20"/>
  <c r="AG71" i="20" s="1"/>
  <c r="AM71" i="20" s="1"/>
  <c r="T75" i="20"/>
  <c r="AD75" i="20" s="1"/>
  <c r="AJ75" i="20" s="1"/>
  <c r="X78" i="20"/>
  <c r="AH78" i="20" s="1"/>
  <c r="AN78" i="20" s="1"/>
  <c r="W87" i="20"/>
  <c r="AG87" i="20" s="1"/>
  <c r="AM87" i="20" s="1"/>
  <c r="X56" i="20"/>
  <c r="AH56" i="20" s="1"/>
  <c r="AN56" i="20" s="1"/>
  <c r="W61" i="20"/>
  <c r="AG61" i="20" s="1"/>
  <c r="AM61" i="20" s="1"/>
  <c r="X71" i="20"/>
  <c r="AH71" i="20" s="1"/>
  <c r="AN71" i="20" s="1"/>
  <c r="W82" i="20"/>
  <c r="AG82" i="20" s="1"/>
  <c r="AM82" i="20" s="1"/>
  <c r="W83" i="20"/>
  <c r="AG83" i="20" s="1"/>
  <c r="AM83" i="20" s="1"/>
  <c r="X87" i="20"/>
  <c r="AH87" i="20" s="1"/>
  <c r="AN87" i="20" s="1"/>
  <c r="W55" i="20"/>
  <c r="AG55" i="20" s="1"/>
  <c r="AM55" i="20" s="1"/>
  <c r="T59" i="20"/>
  <c r="AD59" i="20" s="1"/>
  <c r="AJ59" i="20" s="1"/>
  <c r="X83" i="20"/>
  <c r="AH83" i="20" s="1"/>
  <c r="AN83" i="20" s="1"/>
  <c r="T90" i="20"/>
  <c r="AD90" i="20" s="1"/>
  <c r="AJ90" i="20" s="1"/>
  <c r="W92" i="20"/>
  <c r="AG92" i="20" s="1"/>
  <c r="AM92" i="20" s="1"/>
  <c r="W93" i="20"/>
  <c r="AG93" i="20" s="1"/>
  <c r="AM93" i="20" s="1"/>
  <c r="X95" i="20"/>
  <c r="AH95" i="20" s="1"/>
  <c r="U77" i="20"/>
  <c r="U75" i="20"/>
  <c r="V33" i="20"/>
  <c r="U40" i="20"/>
  <c r="V73" i="20"/>
  <c r="U6" i="20"/>
  <c r="AU6" i="20" s="1"/>
  <c r="U3" i="20"/>
  <c r="AU3" i="20" s="1"/>
  <c r="U2" i="20"/>
  <c r="AK2" i="20" s="1"/>
  <c r="V64" i="20"/>
  <c r="U5" i="20"/>
  <c r="AU5" i="20" s="1"/>
  <c r="V6" i="20"/>
  <c r="AV6" i="20" s="1"/>
  <c r="AY6" i="20" s="1"/>
  <c r="U13" i="20"/>
  <c r="AK13" i="20" s="1"/>
  <c r="U21" i="20"/>
  <c r="AU21" i="20" s="1"/>
  <c r="V22" i="20"/>
  <c r="AV22" i="20" s="1"/>
  <c r="V38" i="20"/>
  <c r="AL38" i="20" s="1"/>
  <c r="U85" i="20"/>
  <c r="U90" i="20"/>
  <c r="V91" i="20"/>
  <c r="V56" i="20"/>
  <c r="V72" i="20"/>
  <c r="V47" i="20"/>
  <c r="U70" i="20"/>
  <c r="AU70" i="20" s="1"/>
  <c r="U58" i="20"/>
  <c r="V67" i="20"/>
  <c r="U15" i="20"/>
  <c r="AU15" i="20" s="1"/>
  <c r="V48" i="20"/>
  <c r="U33" i="20"/>
  <c r="V34" i="20"/>
  <c r="AF34" i="20" s="1"/>
  <c r="U49" i="20"/>
  <c r="U94" i="20"/>
  <c r="AU94" i="20" s="1"/>
  <c r="AJ95" i="20"/>
  <c r="AM95" i="20"/>
  <c r="AN95" i="20"/>
  <c r="T94" i="20"/>
  <c r="AD94" i="20" s="1"/>
  <c r="W94" i="20"/>
  <c r="AG94" i="20" s="1"/>
  <c r="X94" i="20"/>
  <c r="AH94" i="20" s="1"/>
  <c r="U86" i="20"/>
  <c r="AK86" i="20" s="1"/>
  <c r="U92" i="20"/>
  <c r="AU92" i="20" s="1"/>
  <c r="V93" i="20"/>
  <c r="U93" i="20"/>
  <c r="AK93" i="20" s="1"/>
  <c r="U91" i="20"/>
  <c r="AU91" i="20" s="1"/>
  <c r="U88" i="20"/>
  <c r="V63" i="20"/>
  <c r="U83" i="20"/>
  <c r="AK83" i="20" s="1"/>
  <c r="U80" i="20"/>
  <c r="U78" i="20"/>
  <c r="U76" i="20"/>
  <c r="AK76" i="20" s="1"/>
  <c r="U72" i="20"/>
  <c r="AU72" i="20" s="1"/>
  <c r="U71" i="20"/>
  <c r="AK71" i="20" s="1"/>
  <c r="U69" i="20"/>
  <c r="AU69" i="20" s="1"/>
  <c r="U68" i="20"/>
  <c r="AK68" i="20" s="1"/>
  <c r="U67" i="20"/>
  <c r="AU67" i="20" s="1"/>
  <c r="U63" i="20"/>
  <c r="AK63" i="20" s="1"/>
  <c r="U60" i="20"/>
  <c r="AU60" i="20" s="1"/>
  <c r="U59" i="20"/>
  <c r="AU59" i="20" s="1"/>
  <c r="U54" i="20"/>
  <c r="AU54" i="20" s="1"/>
  <c r="U52" i="20"/>
  <c r="AU52" i="20" s="1"/>
  <c r="V57" i="20"/>
  <c r="V44" i="20"/>
  <c r="U55" i="20"/>
  <c r="U51" i="20"/>
  <c r="AU51" i="20" s="1"/>
  <c r="U47" i="20"/>
  <c r="AK47" i="20" s="1"/>
  <c r="U46" i="20"/>
  <c r="U45" i="20"/>
  <c r="U44" i="20"/>
  <c r="V42" i="20"/>
  <c r="AV42" i="20" s="1"/>
  <c r="AY42" i="20" s="1"/>
  <c r="V41" i="20"/>
  <c r="AL41" i="20" s="1"/>
  <c r="V36" i="20"/>
  <c r="AV36" i="20" s="1"/>
  <c r="AY36" i="20" s="1"/>
  <c r="V32" i="20"/>
  <c r="V31" i="20"/>
  <c r="AV31" i="20" s="1"/>
  <c r="V30" i="20"/>
  <c r="AV30" i="20" s="1"/>
  <c r="V29" i="20"/>
  <c r="AV29" i="20" s="1"/>
  <c r="AV28" i="20"/>
  <c r="V24" i="20"/>
  <c r="AV24" i="20" s="1"/>
  <c r="AY24" i="20" s="1"/>
  <c r="V21" i="20"/>
  <c r="AV21" i="20" s="1"/>
  <c r="V19" i="20"/>
  <c r="AL19" i="20" s="1"/>
  <c r="V16" i="20"/>
  <c r="AL16" i="20" s="1"/>
  <c r="V12" i="20"/>
  <c r="AV12" i="20" s="1"/>
  <c r="V9" i="20"/>
  <c r="AL9" i="20" s="1"/>
  <c r="AV8" i="20"/>
  <c r="V5" i="20"/>
  <c r="AV5" i="20" s="1"/>
  <c r="AY5" i="20" s="1"/>
  <c r="V4" i="20"/>
  <c r="AV4" i="20" s="1"/>
  <c r="V3" i="20"/>
  <c r="AV3" i="20" s="1"/>
  <c r="U39" i="20"/>
  <c r="AK39" i="20" s="1"/>
  <c r="U38" i="20"/>
  <c r="AU38" i="20" s="1"/>
  <c r="U36" i="20"/>
  <c r="AU36" i="20" s="1"/>
  <c r="U31" i="20"/>
  <c r="AU31" i="20" s="1"/>
  <c r="U30" i="20"/>
  <c r="AU30" i="20" s="1"/>
  <c r="U25" i="20"/>
  <c r="AK25" i="20" s="1"/>
  <c r="U24" i="20"/>
  <c r="AU24" i="20" s="1"/>
  <c r="U22" i="20"/>
  <c r="AU22" i="20" s="1"/>
  <c r="AU18" i="20"/>
  <c r="AY18" i="20" s="1"/>
  <c r="U17" i="20"/>
  <c r="AK17" i="20" s="1"/>
  <c r="U16" i="20"/>
  <c r="AU16" i="20" s="1"/>
  <c r="U11" i="20"/>
  <c r="AU11" i="20" s="1"/>
  <c r="U10" i="20"/>
  <c r="AU10" i="20" s="1"/>
  <c r="AU9" i="20"/>
  <c r="AU8" i="20"/>
  <c r="U7" i="20"/>
  <c r="AU7" i="20" s="1"/>
  <c r="U4" i="20"/>
  <c r="V11" i="20"/>
  <c r="AV11" i="20" s="1"/>
  <c r="AY11" i="20" s="1"/>
  <c r="U12" i="20"/>
  <c r="AU12" i="20" s="1"/>
  <c r="V7" i="20"/>
  <c r="AV7" i="20" s="1"/>
  <c r="V2" i="20"/>
  <c r="AV2" i="20" s="1"/>
  <c r="V10" i="20"/>
  <c r="AV10" i="20" s="1"/>
  <c r="AY10" i="20" s="1"/>
  <c r="V70" i="20"/>
  <c r="V39" i="20"/>
  <c r="AV39" i="20" s="1"/>
  <c r="V54" i="20"/>
  <c r="V66" i="20"/>
  <c r="U20" i="20"/>
  <c r="V23" i="20"/>
  <c r="U34" i="20"/>
  <c r="AE34" i="20" s="1"/>
  <c r="V37" i="20"/>
  <c r="U48" i="20"/>
  <c r="V49" i="20"/>
  <c r="U64" i="20"/>
  <c r="V65" i="20"/>
  <c r="AU81" i="20"/>
  <c r="U27" i="20"/>
  <c r="U66" i="20"/>
  <c r="V83" i="20"/>
  <c r="U19" i="20"/>
  <c r="V20" i="20"/>
  <c r="AL20" i="20" s="1"/>
  <c r="U32" i="20"/>
  <c r="AK50" i="20"/>
  <c r="U53" i="20"/>
  <c r="AK53" i="20" s="1"/>
  <c r="V71" i="20"/>
  <c r="V87" i="20"/>
  <c r="V27" i="20"/>
  <c r="V52" i="20"/>
  <c r="AL52" i="20" s="1"/>
  <c r="U82" i="20"/>
  <c r="V17" i="20"/>
  <c r="AV17" i="20" s="1"/>
  <c r="AV18" i="20"/>
  <c r="U43" i="20"/>
  <c r="V45" i="20"/>
  <c r="V46" i="20"/>
  <c r="U62" i="20"/>
  <c r="U79" i="20"/>
  <c r="U23" i="20"/>
  <c r="AK23" i="20" s="1"/>
  <c r="U37" i="20"/>
  <c r="AK37" i="20" s="1"/>
  <c r="V51" i="20"/>
  <c r="AK14" i="20"/>
  <c r="V15" i="20"/>
  <c r="U42" i="20"/>
  <c r="AU42" i="20" s="1"/>
  <c r="V43" i="20"/>
  <c r="U61" i="20"/>
  <c r="AK61" i="20" s="1"/>
  <c r="V62" i="20"/>
  <c r="AL62" i="20" s="1"/>
  <c r="U74" i="20"/>
  <c r="AL75" i="20"/>
  <c r="V76" i="20"/>
  <c r="V77" i="20"/>
  <c r="V78" i="20"/>
  <c r="AV78" i="20" s="1"/>
  <c r="V79" i="20"/>
  <c r="V69" i="20"/>
  <c r="AV69" i="20" s="1"/>
  <c r="AY69" i="20" s="1"/>
  <c r="V55" i="20"/>
  <c r="AV55" i="20" s="1"/>
  <c r="V14" i="20"/>
  <c r="AV14" i="20" s="1"/>
  <c r="U29" i="20"/>
  <c r="U41" i="20"/>
  <c r="U57" i="20"/>
  <c r="AK57" i="20" s="1"/>
  <c r="V58" i="20"/>
  <c r="AV58" i="20" s="1"/>
  <c r="V59" i="20"/>
  <c r="AV59" i="20" s="1"/>
  <c r="AY59" i="20" s="1"/>
  <c r="V60" i="20"/>
  <c r="AU73" i="20"/>
  <c r="V74" i="20"/>
  <c r="U89" i="20"/>
  <c r="V90" i="20"/>
  <c r="V92" i="20"/>
  <c r="V94" i="20"/>
  <c r="AV67" i="20"/>
  <c r="V68" i="20"/>
  <c r="AL68" i="20" s="1"/>
  <c r="AV85" i="20"/>
  <c r="AY85" i="20" s="1"/>
  <c r="V86" i="20"/>
  <c r="V25" i="20"/>
  <c r="AV25" i="20" s="1"/>
  <c r="AK35" i="20"/>
  <c r="V53" i="20"/>
  <c r="U65" i="20"/>
  <c r="AK65" i="20" s="1"/>
  <c r="U56" i="20"/>
  <c r="AL95" i="20"/>
  <c r="AL89" i="20"/>
  <c r="AL88" i="20"/>
  <c r="AL82" i="20"/>
  <c r="AL81" i="20"/>
  <c r="AV80" i="20"/>
  <c r="AV73" i="20"/>
  <c r="AV72" i="20"/>
  <c r="AY72" i="20" s="1"/>
  <c r="AV65" i="20"/>
  <c r="AL64" i="20"/>
  <c r="AV63" i="20"/>
  <c r="AL61" i="20"/>
  <c r="AL48" i="20"/>
  <c r="AV47" i="20"/>
  <c r="AL44" i="20"/>
  <c r="AV40" i="20"/>
  <c r="AV32" i="20"/>
  <c r="AK6" i="20"/>
  <c r="AK9" i="20"/>
  <c r="AK95" i="20"/>
  <c r="AU95" i="20"/>
  <c r="AU93" i="20"/>
  <c r="AK90" i="20"/>
  <c r="AU90" i="20"/>
  <c r="AK88" i="20"/>
  <c r="AU87" i="20"/>
  <c r="AU86" i="20"/>
  <c r="AU85" i="20"/>
  <c r="AK85" i="20"/>
  <c r="AU84" i="20"/>
  <c r="AK84" i="20"/>
  <c r="AU78" i="20"/>
  <c r="AK78" i="20"/>
  <c r="AU77" i="20"/>
  <c r="AK77" i="20"/>
  <c r="AU75" i="20"/>
  <c r="AK75" i="20"/>
  <c r="AK70" i="20"/>
  <c r="AK59" i="20"/>
  <c r="AU58" i="20"/>
  <c r="AK58" i="20"/>
  <c r="AK52" i="20"/>
  <c r="AU45" i="20"/>
  <c r="AK45" i="20"/>
  <c r="AU44" i="20"/>
  <c r="AK44" i="20"/>
  <c r="AK40" i="20"/>
  <c r="AK36" i="20"/>
  <c r="A5" i="20"/>
  <c r="B4" i="20"/>
  <c r="B3" i="20"/>
  <c r="AK24" i="20"/>
  <c r="AK16" i="20"/>
  <c r="U4" i="13"/>
  <c r="A4" i="13"/>
  <c r="B4" i="13" s="1"/>
  <c r="L97" i="13"/>
  <c r="L98" i="13"/>
  <c r="L102" i="13" s="1"/>
  <c r="L104" i="13" s="1"/>
  <c r="T4" i="13"/>
  <c r="V4" i="13"/>
  <c r="AA2" i="13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R97" i="13"/>
  <c r="P98" i="13"/>
  <c r="Y3" i="13"/>
  <c r="AN3" i="13"/>
  <c r="AO3" i="13"/>
  <c r="Z3" i="13"/>
  <c r="AB3" i="13"/>
  <c r="AQ3" i="13"/>
  <c r="AB4" i="13"/>
  <c r="AQ4" i="13"/>
  <c r="AP3" i="13"/>
  <c r="AA3" i="13"/>
  <c r="W2" i="13"/>
  <c r="X2" i="13"/>
  <c r="Y2" i="13"/>
  <c r="X3" i="13"/>
  <c r="U2" i="13"/>
  <c r="AY21" i="20" l="1"/>
  <c r="AY40" i="20"/>
  <c r="AY73" i="20"/>
  <c r="AY58" i="20"/>
  <c r="AY78" i="20"/>
  <c r="AY29" i="20"/>
  <c r="AY7" i="20"/>
  <c r="AY30" i="20"/>
  <c r="AY17" i="20"/>
  <c r="AY12" i="20"/>
  <c r="AY31" i="20"/>
  <c r="AY67" i="20"/>
  <c r="AY25" i="20"/>
  <c r="AY22" i="20"/>
  <c r="AV95" i="20"/>
  <c r="AV83" i="20"/>
  <c r="AV82" i="20"/>
  <c r="AY82" i="20" s="1"/>
  <c r="AV88" i="20"/>
  <c r="B19" i="25"/>
  <c r="B18" i="25"/>
  <c r="AY8" i="20"/>
  <c r="AW6" i="20"/>
  <c r="AR7" i="20"/>
  <c r="AX7" i="20"/>
  <c r="AS8" i="20"/>
  <c r="AV96" i="20"/>
  <c r="AQ97" i="20"/>
  <c r="AV94" i="20"/>
  <c r="AV92" i="20"/>
  <c r="AY92" i="20" s="1"/>
  <c r="AT5" i="20"/>
  <c r="AO6" i="20"/>
  <c r="AU97" i="20"/>
  <c r="AP98" i="20"/>
  <c r="AU98" i="20" s="1"/>
  <c r="AV91" i="20"/>
  <c r="AY91" i="20" s="1"/>
  <c r="AM2" i="20"/>
  <c r="AW2" i="20"/>
  <c r="AV93" i="20"/>
  <c r="AY93" i="20" s="1"/>
  <c r="AN2" i="20"/>
  <c r="AX2" i="20"/>
  <c r="AK94" i="20"/>
  <c r="AL8" i="20"/>
  <c r="AU25" i="20"/>
  <c r="AK18" i="20"/>
  <c r="AU17" i="20"/>
  <c r="AK5" i="20"/>
  <c r="AK7" i="20"/>
  <c r="AL5" i="20"/>
  <c r="AL34" i="20"/>
  <c r="AV34" i="20"/>
  <c r="AK33" i="20"/>
  <c r="AU33" i="20"/>
  <c r="AK19" i="20"/>
  <c r="AU19" i="20"/>
  <c r="AV77" i="20"/>
  <c r="AY77" i="20" s="1"/>
  <c r="AL77" i="20"/>
  <c r="AU71" i="20"/>
  <c r="AK60" i="20"/>
  <c r="AK12" i="20"/>
  <c r="AU76" i="20"/>
  <c r="AK92" i="20"/>
  <c r="AK11" i="20"/>
  <c r="AK21" i="20"/>
  <c r="AK54" i="20"/>
  <c r="AV64" i="20"/>
  <c r="AY64" i="20" s="1"/>
  <c r="AL91" i="20"/>
  <c r="AL6" i="20"/>
  <c r="BA5" i="20"/>
  <c r="AK38" i="20"/>
  <c r="AK51" i="20"/>
  <c r="AV75" i="20"/>
  <c r="AY75" i="20" s="1"/>
  <c r="AK67" i="20"/>
  <c r="AK8" i="20"/>
  <c r="AL31" i="20"/>
  <c r="AM94" i="20"/>
  <c r="AJ94" i="20"/>
  <c r="AN94" i="20"/>
  <c r="AK91" i="20"/>
  <c r="AV76" i="20"/>
  <c r="AY76" i="20" s="1"/>
  <c r="AL76" i="20"/>
  <c r="AL67" i="20"/>
  <c r="AU83" i="20"/>
  <c r="AK69" i="20"/>
  <c r="AU68" i="20"/>
  <c r="AU64" i="20"/>
  <c r="AK64" i="20"/>
  <c r="AK55" i="20"/>
  <c r="AU55" i="20"/>
  <c r="AY55" i="20" s="1"/>
  <c r="AU53" i="20"/>
  <c r="AV57" i="20"/>
  <c r="AL57" i="20"/>
  <c r="AL50" i="20"/>
  <c r="AV50" i="20"/>
  <c r="AU50" i="20"/>
  <c r="AU47" i="20"/>
  <c r="AY47" i="20" s="1"/>
  <c r="AU46" i="20"/>
  <c r="AK46" i="20"/>
  <c r="AV86" i="20"/>
  <c r="AY86" i="20" s="1"/>
  <c r="AL86" i="20"/>
  <c r="AU13" i="20"/>
  <c r="AV41" i="20"/>
  <c r="AV38" i="20"/>
  <c r="AY38" i="20" s="1"/>
  <c r="AL35" i="20"/>
  <c r="AV35" i="20"/>
  <c r="AV16" i="20"/>
  <c r="AY16" i="20" s="1"/>
  <c r="AL12" i="20"/>
  <c r="AL11" i="20"/>
  <c r="AV9" i="20"/>
  <c r="AY9" i="20" s="1"/>
  <c r="AL4" i="20"/>
  <c r="AL3" i="20"/>
  <c r="AY3" i="20"/>
  <c r="BC3" i="20" s="1"/>
  <c r="AU35" i="20"/>
  <c r="AK22" i="20"/>
  <c r="AK10" i="20"/>
  <c r="AL7" i="20"/>
  <c r="AL10" i="20"/>
  <c r="AL2" i="20"/>
  <c r="AV87" i="20"/>
  <c r="AY87" i="20" s="1"/>
  <c r="AL87" i="20"/>
  <c r="AK89" i="20"/>
  <c r="AU89" i="20"/>
  <c r="AL56" i="20"/>
  <c r="AV56" i="20"/>
  <c r="AU43" i="20"/>
  <c r="AK43" i="20"/>
  <c r="AV90" i="20"/>
  <c r="AY90" i="20" s="1"/>
  <c r="AL90" i="20"/>
  <c r="AK28" i="20"/>
  <c r="AU28" i="20"/>
  <c r="AY28" i="20" s="1"/>
  <c r="AU74" i="20"/>
  <c r="AK74" i="20"/>
  <c r="AU79" i="20"/>
  <c r="AK79" i="20"/>
  <c r="AU66" i="20"/>
  <c r="AK66" i="20"/>
  <c r="AV26" i="20"/>
  <c r="AL26" i="20"/>
  <c r="AL49" i="20"/>
  <c r="AV49" i="20"/>
  <c r="AV74" i="20"/>
  <c r="AL74" i="20"/>
  <c r="AL79" i="20"/>
  <c r="AV79" i="20"/>
  <c r="AY79" i="20" s="1"/>
  <c r="AV51" i="20"/>
  <c r="AY51" i="20" s="1"/>
  <c r="AL51" i="20"/>
  <c r="AV33" i="20"/>
  <c r="AY33" i="20" s="1"/>
  <c r="AL33" i="20"/>
  <c r="AU27" i="20"/>
  <c r="AK27" i="20"/>
  <c r="AV37" i="20"/>
  <c r="AL37" i="20"/>
  <c r="AL66" i="20"/>
  <c r="AV66" i="20"/>
  <c r="AV23" i="20"/>
  <c r="AY23" i="20" s="1"/>
  <c r="AL23" i="20"/>
  <c r="AV53" i="20"/>
  <c r="AL53" i="20"/>
  <c r="AU41" i="20"/>
  <c r="AK41" i="20"/>
  <c r="AK82" i="20"/>
  <c r="AU82" i="20"/>
  <c r="AU32" i="20"/>
  <c r="AY32" i="20" s="1"/>
  <c r="AK32" i="20"/>
  <c r="AV54" i="20"/>
  <c r="AY54" i="20" s="1"/>
  <c r="AL54" i="20"/>
  <c r="AV71" i="20"/>
  <c r="AY71" i="20" s="1"/>
  <c r="AL71" i="20"/>
  <c r="AK49" i="20"/>
  <c r="AU49" i="20"/>
  <c r="AV60" i="20"/>
  <c r="AY60" i="20" s="1"/>
  <c r="AL60" i="20"/>
  <c r="AU29" i="20"/>
  <c r="AK29" i="20"/>
  <c r="AL43" i="20"/>
  <c r="AV43" i="20"/>
  <c r="AY43" i="20" s="1"/>
  <c r="AV46" i="20"/>
  <c r="AY46" i="20" s="1"/>
  <c r="AL46" i="20"/>
  <c r="AU26" i="20"/>
  <c r="AK26" i="20"/>
  <c r="AL15" i="20"/>
  <c r="AV15" i="20"/>
  <c r="AY15" i="20" s="1"/>
  <c r="AL45" i="20"/>
  <c r="AV45" i="20"/>
  <c r="AY45" i="20" s="1"/>
  <c r="AV27" i="20"/>
  <c r="AY27" i="20" s="1"/>
  <c r="AL27" i="20"/>
  <c r="AK34" i="20"/>
  <c r="AU34" i="20"/>
  <c r="AY34" i="20" s="1"/>
  <c r="AV70" i="20"/>
  <c r="AY70" i="20" s="1"/>
  <c r="AL70" i="20"/>
  <c r="AK42" i="20"/>
  <c r="AU37" i="20"/>
  <c r="AL83" i="20"/>
  <c r="AU61" i="20"/>
  <c r="AL17" i="20"/>
  <c r="AV68" i="20"/>
  <c r="AY68" i="20" s="1"/>
  <c r="AL92" i="20"/>
  <c r="AK73" i="20"/>
  <c r="AL24" i="20"/>
  <c r="AL85" i="20"/>
  <c r="AU57" i="20"/>
  <c r="AL39" i="20"/>
  <c r="AL58" i="20"/>
  <c r="AL93" i="20"/>
  <c r="AL25" i="20"/>
  <c r="P97" i="13"/>
  <c r="P99" i="13" s="1"/>
  <c r="AV20" i="20"/>
  <c r="AY20" i="20" s="1"/>
  <c r="AV62" i="20"/>
  <c r="AY62" i="20" s="1"/>
  <c r="AL21" i="20"/>
  <c r="AL73" i="20"/>
  <c r="AL28" i="20"/>
  <c r="AL32" i="20"/>
  <c r="AV48" i="20"/>
  <c r="AV52" i="20"/>
  <c r="AY52" i="20" s="1"/>
  <c r="AL80" i="20"/>
  <c r="AL36" i="20"/>
  <c r="AV44" i="20"/>
  <c r="AY44" i="20" s="1"/>
  <c r="AV89" i="20"/>
  <c r="AY89" i="20" s="1"/>
  <c r="AL22" i="20"/>
  <c r="AL29" i="20"/>
  <c r="AL59" i="20"/>
  <c r="AL94" i="20"/>
  <c r="AL14" i="20"/>
  <c r="AL40" i="20"/>
  <c r="AL47" i="20"/>
  <c r="AL63" i="20"/>
  <c r="AL72" i="20"/>
  <c r="AV84" i="20"/>
  <c r="AY84" i="20" s="1"/>
  <c r="AL84" i="20"/>
  <c r="AL78" i="20"/>
  <c r="AL69" i="20"/>
  <c r="AL65" i="20"/>
  <c r="AV61" i="20"/>
  <c r="AY61" i="20" s="1"/>
  <c r="AL55" i="20"/>
  <c r="AL42" i="20"/>
  <c r="AL30" i="20"/>
  <c r="AV19" i="20"/>
  <c r="AL18" i="20"/>
  <c r="AV13" i="20"/>
  <c r="AY13" i="20" s="1"/>
  <c r="AL13" i="20"/>
  <c r="AU65" i="20"/>
  <c r="AY65" i="20" s="1"/>
  <c r="AU23" i="20"/>
  <c r="AU39" i="20"/>
  <c r="AY39" i="20" s="1"/>
  <c r="AU14" i="20"/>
  <c r="AY14" i="20" s="1"/>
  <c r="AU2" i="20"/>
  <c r="AK3" i="20"/>
  <c r="AK15" i="20"/>
  <c r="AK72" i="20"/>
  <c r="AU88" i="20"/>
  <c r="AK81" i="20"/>
  <c r="AK80" i="20"/>
  <c r="AU80" i="20"/>
  <c r="AY80" i="20" s="1"/>
  <c r="AU63" i="20"/>
  <c r="AY63" i="20" s="1"/>
  <c r="AU62" i="20"/>
  <c r="AK62" i="20"/>
  <c r="AK56" i="20"/>
  <c r="AU56" i="20"/>
  <c r="AK48" i="20"/>
  <c r="AU48" i="20"/>
  <c r="AU40" i="20"/>
  <c r="A6" i="20"/>
  <c r="B5" i="20"/>
  <c r="AK31" i="20"/>
  <c r="AK30" i="20"/>
  <c r="AK20" i="20"/>
  <c r="AU20" i="20"/>
  <c r="AK4" i="20"/>
  <c r="AU4" i="20"/>
  <c r="AY4" i="20" s="1"/>
  <c r="BA4" i="20" s="1"/>
  <c r="AO4" i="13"/>
  <c r="Z4" i="13"/>
  <c r="Y4" i="13"/>
  <c r="AN4" i="13"/>
  <c r="AN97" i="13" s="1"/>
  <c r="B6" i="25"/>
  <c r="C6" i="25" s="1"/>
  <c r="Q97" i="13"/>
  <c r="V100" i="13"/>
  <c r="AA4" i="13"/>
  <c r="AP4" i="13"/>
  <c r="AP97" i="13" s="1"/>
  <c r="N5" i="6"/>
  <c r="O5" i="6" s="1"/>
  <c r="K5" i="6"/>
  <c r="K7" i="6"/>
  <c r="N7" i="6"/>
  <c r="O7" i="6" s="1"/>
  <c r="N6" i="6"/>
  <c r="O6" i="6" s="1"/>
  <c r="K6" i="6"/>
  <c r="K4" i="6"/>
  <c r="N4" i="6"/>
  <c r="O4" i="6" s="1"/>
  <c r="AR3" i="13"/>
  <c r="U100" i="13"/>
  <c r="Z2" i="13"/>
  <c r="AO2" i="13"/>
  <c r="B5" i="25"/>
  <c r="C5" i="25" s="1"/>
  <c r="W100" i="13"/>
  <c r="B7" i="25"/>
  <c r="C7" i="25" s="1"/>
  <c r="AQ2" i="13"/>
  <c r="AB2" i="13"/>
  <c r="AY57" i="20" l="1"/>
  <c r="AY66" i="20"/>
  <c r="AY83" i="20"/>
  <c r="AY37" i="20"/>
  <c r="AY41" i="20"/>
  <c r="AY50" i="20"/>
  <c r="AY19" i="20"/>
  <c r="AY48" i="20"/>
  <c r="AY53" i="20"/>
  <c r="AY74" i="20"/>
  <c r="AY26" i="20"/>
  <c r="AY49" i="20"/>
  <c r="AY56" i="20"/>
  <c r="AY88" i="20"/>
  <c r="AY35" i="20"/>
  <c r="AV97" i="20"/>
  <c r="AQ98" i="20"/>
  <c r="AV98" i="20" s="1"/>
  <c r="AX8" i="20"/>
  <c r="AS9" i="20"/>
  <c r="AY2" i="20"/>
  <c r="BA2" i="20" s="1"/>
  <c r="AO7" i="20"/>
  <c r="AT6" i="20"/>
  <c r="BA6" i="20" s="1"/>
  <c r="AW7" i="20"/>
  <c r="AR8" i="20"/>
  <c r="BB3" i="20"/>
  <c r="BA3" i="20"/>
  <c r="AQ97" i="13"/>
  <c r="D7" i="25" s="1"/>
  <c r="AO97" i="13"/>
  <c r="D5" i="25" s="1"/>
  <c r="BC2" i="20"/>
  <c r="A7" i="20"/>
  <c r="B6" i="20"/>
  <c r="B4" i="25"/>
  <c r="C4" i="25" s="1"/>
  <c r="O97" i="13"/>
  <c r="O99" i="13" s="1"/>
  <c r="D6" i="25"/>
  <c r="F6" i="25" s="1"/>
  <c r="AT3" i="13"/>
  <c r="AR2" i="13"/>
  <c r="AY99" i="20" l="1"/>
  <c r="AX9" i="20"/>
  <c r="AS10" i="20"/>
  <c r="BB2" i="20"/>
  <c r="AO8" i="20"/>
  <c r="AT7" i="20"/>
  <c r="BA7" i="20" s="1"/>
  <c r="AW8" i="20"/>
  <c r="AR9" i="20"/>
  <c r="E7" i="25"/>
  <c r="F7" i="25"/>
  <c r="A8" i="20"/>
  <c r="B7" i="20"/>
  <c r="T100" i="13"/>
  <c r="T103" i="13" s="1"/>
  <c r="D4" i="25"/>
  <c r="F4" i="25" s="1"/>
  <c r="E6" i="25"/>
  <c r="AT2" i="13"/>
  <c r="F5" i="25"/>
  <c r="E5" i="25"/>
  <c r="S4" i="13"/>
  <c r="X4" i="13" s="1"/>
  <c r="AR10" i="20" l="1"/>
  <c r="AW9" i="20"/>
  <c r="AO9" i="20"/>
  <c r="AT8" i="20"/>
  <c r="AS11" i="20"/>
  <c r="AX10" i="20"/>
  <c r="B8" i="20"/>
  <c r="A9" i="20"/>
  <c r="E4" i="25"/>
  <c r="AM4" i="13"/>
  <c r="AS12" i="20" l="1"/>
  <c r="AX11" i="20"/>
  <c r="BA8" i="20"/>
  <c r="AO10" i="20"/>
  <c r="AT9" i="20"/>
  <c r="BA9" i="20" s="1"/>
  <c r="AR11" i="20"/>
  <c r="AW10" i="20"/>
  <c r="AR4" i="13"/>
  <c r="AM97" i="13"/>
  <c r="A10" i="20"/>
  <c r="B9" i="20"/>
  <c r="N97" i="13"/>
  <c r="N99" i="13" s="1"/>
  <c r="D55" i="14"/>
  <c r="AR12" i="20" l="1"/>
  <c r="AW11" i="20"/>
  <c r="AO11" i="20"/>
  <c r="AT10" i="20"/>
  <c r="BA10" i="20" s="1"/>
  <c r="AS13" i="20"/>
  <c r="AX12" i="20"/>
  <c r="AR96" i="13"/>
  <c r="AT4" i="13"/>
  <c r="A11" i="20"/>
  <c r="B10" i="20"/>
  <c r="S100" i="13"/>
  <c r="B3" i="25"/>
  <c r="C3" i="25" s="1"/>
  <c r="AS14" i="20" l="1"/>
  <c r="AX13" i="20"/>
  <c r="AT11" i="20"/>
  <c r="AO12" i="20"/>
  <c r="AR13" i="20"/>
  <c r="AW12" i="20"/>
  <c r="B11" i="20"/>
  <c r="A12" i="20"/>
  <c r="D3" i="25"/>
  <c r="AW13" i="20" l="1"/>
  <c r="AR14" i="20"/>
  <c r="AT12" i="20"/>
  <c r="BA12" i="20" s="1"/>
  <c r="AO13" i="20"/>
  <c r="BA11" i="20"/>
  <c r="AX14" i="20"/>
  <c r="AS15" i="20"/>
  <c r="A13" i="20"/>
  <c r="B12" i="20"/>
  <c r="B8" i="25"/>
  <c r="E3" i="25"/>
  <c r="F3" i="25"/>
  <c r="F8" i="25" s="1"/>
  <c r="AT13" i="20" l="1"/>
  <c r="AO14" i="20"/>
  <c r="AX15" i="20"/>
  <c r="AS16" i="20"/>
  <c r="AW14" i="20"/>
  <c r="AR15" i="20"/>
  <c r="B13" i="20"/>
  <c r="A14" i="20"/>
  <c r="B21" i="25"/>
  <c r="B20" i="25"/>
  <c r="AW15" i="20" l="1"/>
  <c r="AR16" i="20"/>
  <c r="AX16" i="20"/>
  <c r="AS17" i="20"/>
  <c r="AO15" i="20"/>
  <c r="AT14" i="20"/>
  <c r="BA14" i="20" s="1"/>
  <c r="BA13" i="20"/>
  <c r="A15" i="20"/>
  <c r="B14" i="20"/>
  <c r="AO16" i="20" l="1"/>
  <c r="AT15" i="20"/>
  <c r="AX17" i="20"/>
  <c r="AS18" i="20"/>
  <c r="AW16" i="20"/>
  <c r="AR17" i="20"/>
  <c r="A16" i="20"/>
  <c r="B15" i="20"/>
  <c r="AS19" i="20" l="1"/>
  <c r="AX18" i="20"/>
  <c r="AR18" i="20"/>
  <c r="AW17" i="20"/>
  <c r="BA15" i="20"/>
  <c r="AO17" i="20"/>
  <c r="AT16" i="20"/>
  <c r="BA16" i="20" s="1"/>
  <c r="B16" i="20"/>
  <c r="A17" i="20"/>
  <c r="AO18" i="20" l="1"/>
  <c r="AT17" i="20"/>
  <c r="BA17" i="20" s="1"/>
  <c r="AR19" i="20"/>
  <c r="AW18" i="20"/>
  <c r="AS20" i="20"/>
  <c r="AX19" i="20"/>
  <c r="B17" i="20"/>
  <c r="A18" i="20"/>
  <c r="AO19" i="20" l="1"/>
  <c r="AT18" i="20"/>
  <c r="BA18" i="20" s="1"/>
  <c r="AS21" i="20"/>
  <c r="AX20" i="20"/>
  <c r="AR20" i="20"/>
  <c r="AW19" i="20"/>
  <c r="A19" i="20"/>
  <c r="B18" i="20"/>
  <c r="AT19" i="20" l="1"/>
  <c r="BA19" i="20" s="1"/>
  <c r="AO20" i="20"/>
  <c r="AR21" i="20"/>
  <c r="AW20" i="20"/>
  <c r="AS22" i="20"/>
  <c r="AX21" i="20"/>
  <c r="B19" i="20"/>
  <c r="A20" i="20"/>
  <c r="AT20" i="20" l="1"/>
  <c r="BA20" i="20" s="1"/>
  <c r="AO21" i="20"/>
  <c r="AX22" i="20"/>
  <c r="AS23" i="20"/>
  <c r="AW21" i="20"/>
  <c r="AR22" i="20"/>
  <c r="A21" i="20"/>
  <c r="B20" i="20"/>
  <c r="AX23" i="20" l="1"/>
  <c r="AS24" i="20"/>
  <c r="AT21" i="20"/>
  <c r="BA21" i="20" s="1"/>
  <c r="AO22" i="20"/>
  <c r="AW22" i="20"/>
  <c r="AR23" i="20"/>
  <c r="A22" i="20"/>
  <c r="B21" i="20"/>
  <c r="AW23" i="20" l="1"/>
  <c r="AR24" i="20"/>
  <c r="AO23" i="20"/>
  <c r="AT22" i="20"/>
  <c r="BA22" i="20" s="1"/>
  <c r="AX24" i="20"/>
  <c r="AS25" i="20"/>
  <c r="B22" i="20"/>
  <c r="A23" i="20"/>
  <c r="AX25" i="20" l="1"/>
  <c r="AS26" i="20"/>
  <c r="AO24" i="20"/>
  <c r="AT23" i="20"/>
  <c r="BA23" i="20" s="1"/>
  <c r="AW24" i="20"/>
  <c r="AR25" i="20"/>
  <c r="B23" i="20"/>
  <c r="A24" i="20"/>
  <c r="AR26" i="20" l="1"/>
  <c r="AW25" i="20"/>
  <c r="AO25" i="20"/>
  <c r="AT24" i="20"/>
  <c r="BA24" i="20" s="1"/>
  <c r="AS27" i="20"/>
  <c r="AX26" i="20"/>
  <c r="A25" i="20"/>
  <c r="B24" i="20"/>
  <c r="AS28" i="20" l="1"/>
  <c r="AX27" i="20"/>
  <c r="AO26" i="20"/>
  <c r="AT25" i="20"/>
  <c r="BA25" i="20" s="1"/>
  <c r="AR27" i="20"/>
  <c r="AW26" i="20"/>
  <c r="A26" i="20"/>
  <c r="B25" i="20"/>
  <c r="AR28" i="20" l="1"/>
  <c r="AW27" i="20"/>
  <c r="AO27" i="20"/>
  <c r="AT26" i="20"/>
  <c r="BA26" i="20" s="1"/>
  <c r="AS29" i="20"/>
  <c r="AX28" i="20"/>
  <c r="B26" i="20"/>
  <c r="A27" i="20"/>
  <c r="AS30" i="20" l="1"/>
  <c r="AX29" i="20"/>
  <c r="AT27" i="20"/>
  <c r="BA27" i="20" s="1"/>
  <c r="AO28" i="20"/>
  <c r="AR29" i="20"/>
  <c r="AW28" i="20"/>
  <c r="A28" i="20"/>
  <c r="B27" i="20"/>
  <c r="AW29" i="20" l="1"/>
  <c r="AR30" i="20"/>
  <c r="AT28" i="20"/>
  <c r="BA28" i="20" s="1"/>
  <c r="AO29" i="20"/>
  <c r="AX30" i="20"/>
  <c r="AS31" i="20"/>
  <c r="A29" i="20"/>
  <c r="B28" i="20"/>
  <c r="AS32" i="20" l="1"/>
  <c r="AX31" i="20"/>
  <c r="AT29" i="20"/>
  <c r="BA29" i="20" s="1"/>
  <c r="AO30" i="20"/>
  <c r="AR31" i="20"/>
  <c r="AW30" i="20"/>
  <c r="B29" i="20"/>
  <c r="A30" i="20"/>
  <c r="AR32" i="20" l="1"/>
  <c r="AW31" i="20"/>
  <c r="AO31" i="20"/>
  <c r="AT30" i="20"/>
  <c r="BA30" i="20" s="1"/>
  <c r="AS33" i="20"/>
  <c r="AX32" i="20"/>
  <c r="A31" i="20"/>
  <c r="B30" i="20"/>
  <c r="AS34" i="20" l="1"/>
  <c r="AX33" i="20"/>
  <c r="AO32" i="20"/>
  <c r="AT31" i="20"/>
  <c r="BA31" i="20" s="1"/>
  <c r="AR33" i="20"/>
  <c r="AW32" i="20"/>
  <c r="B31" i="20"/>
  <c r="A32" i="20"/>
  <c r="AW33" i="20" l="1"/>
  <c r="AR34" i="20"/>
  <c r="AT32" i="20"/>
  <c r="BA32" i="20" s="1"/>
  <c r="AO33" i="20"/>
  <c r="AX34" i="20"/>
  <c r="AS35" i="20"/>
  <c r="B32" i="20"/>
  <c r="A33" i="20"/>
  <c r="AX35" i="20" l="1"/>
  <c r="AS36" i="20"/>
  <c r="AT33" i="20"/>
  <c r="BA33" i="20" s="1"/>
  <c r="AO34" i="20"/>
  <c r="AW34" i="20"/>
  <c r="AR35" i="20"/>
  <c r="A34" i="20"/>
  <c r="B33" i="20"/>
  <c r="AT34" i="20" l="1"/>
  <c r="BA34" i="20" s="1"/>
  <c r="AO35" i="20"/>
  <c r="AW35" i="20"/>
  <c r="AR36" i="20"/>
  <c r="AX36" i="20"/>
  <c r="AS37" i="20"/>
  <c r="B34" i="20"/>
  <c r="A35" i="20"/>
  <c r="AO36" i="20" l="1"/>
  <c r="AT35" i="20"/>
  <c r="BA35" i="20" s="1"/>
  <c r="AX37" i="20"/>
  <c r="AS38" i="20"/>
  <c r="AW36" i="20"/>
  <c r="AR37" i="20"/>
  <c r="B35" i="20"/>
  <c r="A36" i="20"/>
  <c r="AW37" i="20" l="1"/>
  <c r="AR38" i="20"/>
  <c r="AX38" i="20"/>
  <c r="AS39" i="20"/>
  <c r="AO37" i="20"/>
  <c r="AT36" i="20"/>
  <c r="BA36" i="20" s="1"/>
  <c r="A37" i="20"/>
  <c r="B36" i="20"/>
  <c r="AO38" i="20" l="1"/>
  <c r="AT37" i="20"/>
  <c r="BA37" i="20" s="1"/>
  <c r="AR39" i="20"/>
  <c r="AW38" i="20"/>
  <c r="AS40" i="20"/>
  <c r="AX39" i="20"/>
  <c r="A38" i="20"/>
  <c r="B37" i="20"/>
  <c r="AS41" i="20" l="1"/>
  <c r="AX40" i="20"/>
  <c r="AR40" i="20"/>
  <c r="AW39" i="20"/>
  <c r="AT38" i="20"/>
  <c r="BA38" i="20" s="1"/>
  <c r="AO39" i="20"/>
  <c r="A39" i="20"/>
  <c r="B38" i="20"/>
  <c r="AO40" i="20" l="1"/>
  <c r="AT39" i="20"/>
  <c r="BA39" i="20" s="1"/>
  <c r="AR41" i="20"/>
  <c r="AW40" i="20"/>
  <c r="AS42" i="20"/>
  <c r="AX41" i="20"/>
  <c r="B39" i="20"/>
  <c r="A40" i="20"/>
  <c r="AS43" i="20" l="1"/>
  <c r="AX42" i="20"/>
  <c r="AR42" i="20"/>
  <c r="AW41" i="20"/>
  <c r="AO41" i="20"/>
  <c r="AT40" i="20"/>
  <c r="BA40" i="20" s="1"/>
  <c r="A41" i="20"/>
  <c r="B40" i="20"/>
  <c r="AW42" i="20" l="1"/>
  <c r="AR43" i="20"/>
  <c r="AT41" i="20"/>
  <c r="BA41" i="20" s="1"/>
  <c r="AO42" i="20"/>
  <c r="AX43" i="20"/>
  <c r="AS44" i="20"/>
  <c r="A42" i="20"/>
  <c r="B41" i="20"/>
  <c r="AX44" i="20" l="1"/>
  <c r="AS45" i="20"/>
  <c r="AT42" i="20"/>
  <c r="BA42" i="20" s="1"/>
  <c r="AO43" i="20"/>
  <c r="AW43" i="20"/>
  <c r="AR44" i="20"/>
  <c r="B42" i="20"/>
  <c r="A43" i="20"/>
  <c r="AO44" i="20" l="1"/>
  <c r="AT43" i="20"/>
  <c r="BA43" i="20" s="1"/>
  <c r="AW44" i="20"/>
  <c r="AR45" i="20"/>
  <c r="AX45" i="20"/>
  <c r="AS46" i="20"/>
  <c r="B43" i="20"/>
  <c r="A44" i="20"/>
  <c r="AX46" i="20" l="1"/>
  <c r="AS47" i="20"/>
  <c r="AW45" i="20"/>
  <c r="AR46" i="20"/>
  <c r="AO45" i="20"/>
  <c r="AT44" i="20"/>
  <c r="BA44" i="20" s="1"/>
  <c r="A45" i="20"/>
  <c r="B44" i="20"/>
  <c r="AO46" i="20" l="1"/>
  <c r="AT45" i="20"/>
  <c r="BA45" i="20" s="1"/>
  <c r="AR47" i="20"/>
  <c r="AW46" i="20"/>
  <c r="AS48" i="20"/>
  <c r="AX47" i="20"/>
  <c r="A46" i="20"/>
  <c r="B45" i="20"/>
  <c r="AS49" i="20" l="1"/>
  <c r="AX48" i="20"/>
  <c r="AR48" i="20"/>
  <c r="AW47" i="20"/>
  <c r="AO47" i="20"/>
  <c r="AT46" i="20"/>
  <c r="BA46" i="20" s="1"/>
  <c r="A47" i="20"/>
  <c r="B46" i="20"/>
  <c r="AO48" i="20" l="1"/>
  <c r="AT47" i="20"/>
  <c r="BA47" i="20" s="1"/>
  <c r="AR49" i="20"/>
  <c r="AW48" i="20"/>
  <c r="AS50" i="20"/>
  <c r="AX49" i="20"/>
  <c r="B47" i="20"/>
  <c r="A48" i="20"/>
  <c r="AS51" i="20" l="1"/>
  <c r="AX50" i="20"/>
  <c r="AR50" i="20"/>
  <c r="AW49" i="20"/>
  <c r="AT48" i="20"/>
  <c r="BA48" i="20" s="1"/>
  <c r="AO49" i="20"/>
  <c r="A49" i="20"/>
  <c r="B48" i="20"/>
  <c r="AT49" i="20" l="1"/>
  <c r="BA49" i="20" s="1"/>
  <c r="AO50" i="20"/>
  <c r="AW50" i="20"/>
  <c r="AR51" i="20"/>
  <c r="AX51" i="20"/>
  <c r="AS52" i="20"/>
  <c r="A50" i="20"/>
  <c r="B49" i="20"/>
  <c r="AX52" i="20" l="1"/>
  <c r="AS53" i="20"/>
  <c r="AW51" i="20"/>
  <c r="AR52" i="20"/>
  <c r="AT50" i="20"/>
  <c r="BA50" i="20" s="1"/>
  <c r="AO51" i="20"/>
  <c r="B50" i="20"/>
  <c r="A51" i="20"/>
  <c r="AO52" i="20" l="1"/>
  <c r="AT51" i="20"/>
  <c r="BA51" i="20" s="1"/>
  <c r="AW52" i="20"/>
  <c r="AR53" i="20"/>
  <c r="AS54" i="20"/>
  <c r="AX53" i="20"/>
  <c r="B51" i="20"/>
  <c r="A52" i="20"/>
  <c r="AX54" i="20" l="1"/>
  <c r="AS55" i="20"/>
  <c r="AR54" i="20"/>
  <c r="AW53" i="20"/>
  <c r="AO53" i="20"/>
  <c r="AT52" i="20"/>
  <c r="BA52" i="20" s="1"/>
  <c r="A53" i="20"/>
  <c r="B52" i="20"/>
  <c r="AO54" i="20" l="1"/>
  <c r="AT53" i="20"/>
  <c r="BA53" i="20" s="1"/>
  <c r="AR55" i="20"/>
  <c r="AW54" i="20"/>
  <c r="AS56" i="20"/>
  <c r="AX55" i="20"/>
  <c r="A54" i="20"/>
  <c r="B53" i="20"/>
  <c r="AS57" i="20" l="1"/>
  <c r="AX56" i="20"/>
  <c r="AR56" i="20"/>
  <c r="AW55" i="20"/>
  <c r="AO55" i="20"/>
  <c r="AT54" i="20"/>
  <c r="BA54" i="20" s="1"/>
  <c r="A55" i="20"/>
  <c r="B54" i="20"/>
  <c r="AO56" i="20" l="1"/>
  <c r="AT55" i="20"/>
  <c r="BA55" i="20" s="1"/>
  <c r="AW56" i="20"/>
  <c r="AR57" i="20"/>
  <c r="AX57" i="20"/>
  <c r="AS58" i="20"/>
  <c r="B55" i="20"/>
  <c r="A56" i="20"/>
  <c r="AS59" i="20" l="1"/>
  <c r="AX58" i="20"/>
  <c r="AR58" i="20"/>
  <c r="AW57" i="20"/>
  <c r="AT56" i="20"/>
  <c r="BA56" i="20" s="1"/>
  <c r="AO57" i="20"/>
  <c r="A57" i="20"/>
  <c r="B56" i="20"/>
  <c r="AT57" i="20" l="1"/>
  <c r="BA57" i="20" s="1"/>
  <c r="AO58" i="20"/>
  <c r="AW58" i="20"/>
  <c r="AR59" i="20"/>
  <c r="AX59" i="20"/>
  <c r="AS60" i="20"/>
  <c r="A58" i="20"/>
  <c r="B57" i="20"/>
  <c r="AX60" i="20" l="1"/>
  <c r="AS61" i="20"/>
  <c r="AW59" i="20"/>
  <c r="AR60" i="20"/>
  <c r="AT58" i="20"/>
  <c r="BA58" i="20" s="1"/>
  <c r="AO59" i="20"/>
  <c r="B58" i="20"/>
  <c r="A59" i="20"/>
  <c r="AO60" i="20" l="1"/>
  <c r="AT59" i="20"/>
  <c r="BA59" i="20" s="1"/>
  <c r="AR61" i="20"/>
  <c r="AW60" i="20"/>
  <c r="AX61" i="20"/>
  <c r="AS62" i="20"/>
  <c r="A60" i="20"/>
  <c r="B59" i="20"/>
  <c r="AX62" i="20" l="1"/>
  <c r="AS63" i="20"/>
  <c r="AW61" i="20"/>
  <c r="AR62" i="20"/>
  <c r="AO61" i="20"/>
  <c r="AT60" i="20"/>
  <c r="BA60" i="20" s="1"/>
  <c r="A61" i="20"/>
  <c r="B60" i="20"/>
  <c r="AT61" i="20" l="1"/>
  <c r="BA61" i="20" s="1"/>
  <c r="AO62" i="20"/>
  <c r="AR63" i="20"/>
  <c r="AW62" i="20"/>
  <c r="AS64" i="20"/>
  <c r="AX63" i="20"/>
  <c r="A62" i="20"/>
  <c r="B61" i="20"/>
  <c r="AS65" i="20" l="1"/>
  <c r="AX64" i="20"/>
  <c r="AR64" i="20"/>
  <c r="AW63" i="20"/>
  <c r="AO63" i="20"/>
  <c r="AT62" i="20"/>
  <c r="BA62" i="20" s="1"/>
  <c r="A63" i="20"/>
  <c r="B62" i="20"/>
  <c r="AO64" i="20" l="1"/>
  <c r="AT63" i="20"/>
  <c r="BA63" i="20" s="1"/>
  <c r="AR65" i="20"/>
  <c r="AW64" i="20"/>
  <c r="AS66" i="20"/>
  <c r="AX65" i="20"/>
  <c r="B63" i="20"/>
  <c r="A64" i="20"/>
  <c r="AS67" i="20" l="1"/>
  <c r="AX66" i="20"/>
  <c r="AR66" i="20"/>
  <c r="AW65" i="20"/>
  <c r="AO65" i="20"/>
  <c r="AT64" i="20"/>
  <c r="BA64" i="20" s="1"/>
  <c r="A65" i="20"/>
  <c r="B64" i="20"/>
  <c r="AW66" i="20" l="1"/>
  <c r="AR67" i="20"/>
  <c r="AT65" i="20"/>
  <c r="BA65" i="20" s="1"/>
  <c r="AO66" i="20"/>
  <c r="AX67" i="20"/>
  <c r="AS68" i="20"/>
  <c r="A66" i="20"/>
  <c r="B65" i="20"/>
  <c r="AT66" i="20" l="1"/>
  <c r="BA66" i="20" s="1"/>
  <c r="AO67" i="20"/>
  <c r="AW67" i="20"/>
  <c r="AR68" i="20"/>
  <c r="AX68" i="20"/>
  <c r="AS69" i="20"/>
  <c r="B66" i="20"/>
  <c r="A67" i="20"/>
  <c r="AW68" i="20" l="1"/>
  <c r="AR69" i="20"/>
  <c r="AS70" i="20"/>
  <c r="AX69" i="20"/>
  <c r="AO68" i="20"/>
  <c r="AT67" i="20"/>
  <c r="BA67" i="20" s="1"/>
  <c r="A68" i="20"/>
  <c r="B67" i="20"/>
  <c r="AO69" i="20" l="1"/>
  <c r="AT68" i="20"/>
  <c r="BA68" i="20" s="1"/>
  <c r="AX70" i="20"/>
  <c r="AS71" i="20"/>
  <c r="AW69" i="20"/>
  <c r="AR70" i="20"/>
  <c r="A69" i="20"/>
  <c r="B68" i="20"/>
  <c r="AR71" i="20" l="1"/>
  <c r="AW70" i="20"/>
  <c r="AS72" i="20"/>
  <c r="AX71" i="20"/>
  <c r="AO70" i="20"/>
  <c r="AT69" i="20"/>
  <c r="BA69" i="20" s="1"/>
  <c r="A70" i="20"/>
  <c r="B69" i="20"/>
  <c r="AO71" i="20" l="1"/>
  <c r="AT70" i="20"/>
  <c r="BA70" i="20" s="1"/>
  <c r="AS73" i="20"/>
  <c r="AX72" i="20"/>
  <c r="AR72" i="20"/>
  <c r="AW71" i="20"/>
  <c r="A71" i="20"/>
  <c r="B70" i="20"/>
  <c r="AR73" i="20" l="1"/>
  <c r="AW72" i="20"/>
  <c r="AS74" i="20"/>
  <c r="AX73" i="20"/>
  <c r="AO72" i="20"/>
  <c r="AT71" i="20"/>
  <c r="BA71" i="20" s="1"/>
  <c r="B71" i="20"/>
  <c r="A72" i="20"/>
  <c r="AT72" i="20" l="1"/>
  <c r="BA72" i="20" s="1"/>
  <c r="AO73" i="20"/>
  <c r="AS75" i="20"/>
  <c r="AX74" i="20"/>
  <c r="AR74" i="20"/>
  <c r="AW73" i="20"/>
  <c r="A73" i="20"/>
  <c r="B72" i="20"/>
  <c r="AW74" i="20" l="1"/>
  <c r="AR75" i="20"/>
  <c r="AX75" i="20"/>
  <c r="AS76" i="20"/>
  <c r="AT73" i="20"/>
  <c r="BA73" i="20" s="1"/>
  <c r="AO74" i="20"/>
  <c r="A74" i="20"/>
  <c r="B73" i="20"/>
  <c r="AT74" i="20" l="1"/>
  <c r="BA74" i="20" s="1"/>
  <c r="AO75" i="20"/>
  <c r="AX76" i="20"/>
  <c r="AS77" i="20"/>
  <c r="AW75" i="20"/>
  <c r="AR76" i="20"/>
  <c r="B74" i="20"/>
  <c r="A75" i="20"/>
  <c r="AW76" i="20" l="1"/>
  <c r="AR77" i="20"/>
  <c r="AX77" i="20"/>
  <c r="AS78" i="20"/>
  <c r="AO76" i="20"/>
  <c r="AT75" i="20"/>
  <c r="BA75" i="20" s="1"/>
  <c r="A76" i="20"/>
  <c r="B75" i="20"/>
  <c r="AX78" i="20" l="1"/>
  <c r="AS79" i="20"/>
  <c r="AO77" i="20"/>
  <c r="AT76" i="20"/>
  <c r="BA76" i="20" s="1"/>
  <c r="AW77" i="20"/>
  <c r="AR78" i="20"/>
  <c r="A77" i="20"/>
  <c r="B76" i="20"/>
  <c r="AR79" i="20" l="1"/>
  <c r="AW78" i="20"/>
  <c r="AO78" i="20"/>
  <c r="AT77" i="20"/>
  <c r="BA77" i="20" s="1"/>
  <c r="AS80" i="20"/>
  <c r="AX79" i="20"/>
  <c r="A78" i="20"/>
  <c r="B77" i="20"/>
  <c r="AS81" i="20" l="1"/>
  <c r="AX80" i="20"/>
  <c r="AO79" i="20"/>
  <c r="AT78" i="20"/>
  <c r="BA78" i="20" s="1"/>
  <c r="AR80" i="20"/>
  <c r="AW79" i="20"/>
  <c r="A79" i="20"/>
  <c r="B78" i="20"/>
  <c r="AR81" i="20" l="1"/>
  <c r="AW80" i="20"/>
  <c r="AT79" i="20"/>
  <c r="BA79" i="20" s="1"/>
  <c r="AO80" i="20"/>
  <c r="AS82" i="20"/>
  <c r="AX81" i="20"/>
  <c r="B79" i="20"/>
  <c r="A80" i="20"/>
  <c r="AX82" i="20" l="1"/>
  <c r="AS83" i="20"/>
  <c r="AT80" i="20"/>
  <c r="BA80" i="20" s="1"/>
  <c r="AO81" i="20"/>
  <c r="AW81" i="20"/>
  <c r="AR82" i="20"/>
  <c r="A81" i="20"/>
  <c r="B80" i="20"/>
  <c r="AO82" i="20" l="1"/>
  <c r="AT81" i="20"/>
  <c r="BA81" i="20" s="1"/>
  <c r="AW82" i="20"/>
  <c r="AR83" i="20"/>
  <c r="AS84" i="20"/>
  <c r="AX83" i="20"/>
  <c r="A82" i="20"/>
  <c r="B81" i="20"/>
  <c r="AR84" i="20" l="1"/>
  <c r="AW83" i="20"/>
  <c r="AS85" i="20"/>
  <c r="AX84" i="20"/>
  <c r="AO83" i="20"/>
  <c r="AT82" i="20"/>
  <c r="B82" i="20"/>
  <c r="A83" i="20"/>
  <c r="BA82" i="20" l="1"/>
  <c r="AO84" i="20"/>
  <c r="AT83" i="20"/>
  <c r="BA83" i="20" s="1"/>
  <c r="AX85" i="20"/>
  <c r="AS86" i="20"/>
  <c r="AR85" i="20"/>
  <c r="AW84" i="20"/>
  <c r="A84" i="20"/>
  <c r="B83" i="20"/>
  <c r="AR86" i="20" l="1"/>
  <c r="AW85" i="20"/>
  <c r="AX86" i="20"/>
  <c r="AS87" i="20"/>
  <c r="AT84" i="20"/>
  <c r="BA84" i="20" s="1"/>
  <c r="AO85" i="20"/>
  <c r="A85" i="20"/>
  <c r="B84" i="20"/>
  <c r="AT85" i="20" l="1"/>
  <c r="BA85" i="20" s="1"/>
  <c r="AO86" i="20"/>
  <c r="AS88" i="20"/>
  <c r="AX87" i="20"/>
  <c r="AR87" i="20"/>
  <c r="AW86" i="20"/>
  <c r="A86" i="20"/>
  <c r="B85" i="20"/>
  <c r="AR88" i="20" l="1"/>
  <c r="AW87" i="20"/>
  <c r="AS89" i="20"/>
  <c r="AX88" i="20"/>
  <c r="AO87" i="20"/>
  <c r="AT86" i="20"/>
  <c r="BA86" i="20" s="1"/>
  <c r="A87" i="20"/>
  <c r="B86" i="20"/>
  <c r="AO88" i="20" l="1"/>
  <c r="AT87" i="20"/>
  <c r="BA87" i="20" s="1"/>
  <c r="AS90" i="20"/>
  <c r="AX89" i="20"/>
  <c r="AR89" i="20"/>
  <c r="AW88" i="20"/>
  <c r="B87" i="20"/>
  <c r="A88" i="20"/>
  <c r="AW89" i="20" l="1"/>
  <c r="AR90" i="20"/>
  <c r="AX90" i="20"/>
  <c r="AS91" i="20"/>
  <c r="AT88" i="20"/>
  <c r="BA88" i="20" s="1"/>
  <c r="AO89" i="20"/>
  <c r="A89" i="20"/>
  <c r="B88" i="20"/>
  <c r="AT89" i="20" l="1"/>
  <c r="BA89" i="20" s="1"/>
  <c r="AO90" i="20"/>
  <c r="AX91" i="20"/>
  <c r="AS92" i="20"/>
  <c r="AW90" i="20"/>
  <c r="AR91" i="20"/>
  <c r="A90" i="20"/>
  <c r="B89" i="20"/>
  <c r="AX92" i="20" l="1"/>
  <c r="AS93" i="20"/>
  <c r="AW91" i="20"/>
  <c r="AR92" i="20"/>
  <c r="AO91" i="20"/>
  <c r="AT90" i="20"/>
  <c r="BA90" i="20" s="1"/>
  <c r="B90" i="20"/>
  <c r="A91" i="20"/>
  <c r="AO92" i="20" l="1"/>
  <c r="AT91" i="20"/>
  <c r="BA91" i="20" s="1"/>
  <c r="AW92" i="20"/>
  <c r="AR93" i="20"/>
  <c r="AS94" i="20"/>
  <c r="AX93" i="20"/>
  <c r="A92" i="20"/>
  <c r="B91" i="20"/>
  <c r="AS95" i="20" l="1"/>
  <c r="AX94" i="20"/>
  <c r="AR94" i="20"/>
  <c r="AW93" i="20"/>
  <c r="AO93" i="20"/>
  <c r="AT92" i="20"/>
  <c r="BA92" i="20" s="1"/>
  <c r="A93" i="20"/>
  <c r="B92" i="20"/>
  <c r="AO94" i="20" l="1"/>
  <c r="AT93" i="20"/>
  <c r="BA93" i="20" s="1"/>
  <c r="AR95" i="20"/>
  <c r="AW94" i="20"/>
  <c r="AS96" i="20"/>
  <c r="AX95" i="20"/>
  <c r="A94" i="20"/>
  <c r="B94" i="20" s="1"/>
  <c r="B93" i="20"/>
  <c r="AR96" i="20" l="1"/>
  <c r="AW95" i="20"/>
  <c r="AX96" i="20"/>
  <c r="AS97" i="20"/>
  <c r="AO95" i="20"/>
  <c r="AT94" i="20"/>
  <c r="AY94" i="20" s="1"/>
  <c r="BA94" i="20" s="1"/>
  <c r="AO96" i="20" l="1"/>
  <c r="AT95" i="20"/>
  <c r="AY95" i="20" s="1"/>
  <c r="BA95" i="20" s="1"/>
  <c r="AX97" i="20"/>
  <c r="AS98" i="20"/>
  <c r="AX98" i="20" s="1"/>
  <c r="AR97" i="20"/>
  <c r="AW96" i="20"/>
  <c r="AW97" i="20" l="1"/>
  <c r="AR98" i="20"/>
  <c r="AW98" i="20" s="1"/>
  <c r="AO97" i="20"/>
  <c r="AT96" i="20"/>
  <c r="AY96" i="20" s="1"/>
  <c r="BA96" i="20" s="1"/>
  <c r="AO98" i="20" l="1"/>
  <c r="AT98" i="20" s="1"/>
  <c r="AY98" i="20" s="1"/>
  <c r="BA98" i="20" s="1"/>
  <c r="AT97" i="20"/>
  <c r="AY97" i="20" s="1"/>
  <c r="BA9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tc={9764B4BE-0BF7-4407-A4AD-DF903FF26D4D}</author>
    <author>tc={CED1552D-68A5-48E4-98C9-1E8AD082FA7C}</author>
  </authors>
  <commentList>
    <comment ref="X9" authorId="0" shapeId="0" xr:uid="{9764B4BE-0BF7-4407-A4AD-DF903FF26D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CED1552D-68A5-48E4-98C9-1E8AD082FA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Y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<sst xmlns="http://schemas.openxmlformats.org/spreadsheetml/2006/main" count="730" uniqueCount="313">
  <si>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</si>
  <si>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</si>
  <si>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</si>
  <si>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</si>
  <si>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</si>
  <si>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</si>
  <si>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</si>
  <si>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</si>
  <si>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</si>
  <si>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</si>
  <si>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</si>
  <si>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</si>
  <si>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</si>
  <si>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</si>
  <si>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</si>
  <si>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</si>
  <si>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</si>
  <si>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</si>
  <si>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</si>
  <si>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</si>
  <si>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</si>
  <si>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</si>
  <si>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</si>
  <si>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</si>
  <si>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</si>
  <si>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</si>
  <si>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</si>
  <si>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</si>
  <si>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</si>
  <si>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</si>
  <si>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</si>
  <si>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</si>
  <si>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</si>
  <si>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</si>
  <si>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</si>
  <si>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</si>
  <si>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</si>
  <si>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</si>
  <si>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</si>
  <si>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</si>
  <si>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</si>
  <si>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</si>
  <si>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</si>
  <si>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</si>
  <si>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</si>
  <si>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</si>
  <si>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</si>
  <si>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</si>
  <si>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</si>
  <si>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</si>
  <si>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</si>
  <si>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</si>
  <si>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</si>
  <si>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</si>
  <si>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</si>
  <si>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</si>
  <si>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</si>
  <si>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</si>
  <si>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</si>
  <si>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</si>
  <si>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</si>
  <si>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</si>
  <si>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</si>
  <si>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</si>
  <si>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</si>
  <si>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</si>
  <si>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</si>
  <si>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</si>
  <si>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</si>
  <si>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</si>
  <si>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</si>
  <si>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</si>
  <si>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</si>
  <si>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</si>
  <si>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</si>
  <si>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</si>
  <si>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</si>
  <si>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</si>
  <si>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</si>
  <si>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</si>
  <si>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</si>
  <si>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</si>
  <si>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</si>
  <si>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</si>
  <si>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</si>
  <si>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</si>
  <si>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</si>
  <si>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</si>
  <si>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</si>
  <si>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</si>
  <si>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</si>
  <si>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</si>
  <si>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</si>
  <si>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</si>
  <si>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</si>
  <si>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</si>
  <si>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</si>
  <si>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</si>
  <si>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</si>
  <si>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</si>
  <si>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</si>
  <si>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</si>
  <si>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</si>
  <si>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</si>
  <si>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</si>
  <si>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</si>
  <si>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</si>
  <si>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</si>
  <si>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</si>
  <si>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</si>
  <si>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</si>
  <si>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</si>
  <si>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</si>
  <si>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RECHAZO (m3)</t>
  </si>
  <si>
    <t>$m3 PERMEADO RO (m3)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</si>
  <si>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</si>
  <si>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</si>
  <si>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</si>
  <si>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</si>
  <si>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</si>
  <si>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</si>
  <si>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ACUMULADO CAUDAL TRATADO GEM</t>
  </si>
  <si>
    <t>TOTAL CAUDAL TRATADO GEM</t>
  </si>
  <si>
    <t>$m3</t>
  </si>
  <si>
    <t># TURNO</t>
  </si>
  <si>
    <t>GEM</t>
  </si>
  <si>
    <t>TABLA GRAFICA 1 Y 2 . CONSUMO QUIMICO DETALLADO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</si>
  <si>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</si>
  <si>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</si>
  <si>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</si>
  <si>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</si>
  <si>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</si>
  <si>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</si>
  <si>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</si>
  <si>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         Vitec 7000</t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</si>
  <si>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</si>
  <si>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</si>
  <si>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</si>
  <si>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</si>
  <si>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</si>
  <si>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</si>
  <si>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</si>
  <si>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</si>
  <si>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</si>
  <si>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</si>
  <si>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</si>
  <si>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</si>
  <si>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</si>
  <si>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</si>
  <si>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</si>
  <si>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</si>
  <si>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</si>
  <si>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</si>
  <si>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</si>
  <si>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</si>
  <si>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</si>
  <si>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</si>
  <si>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</si>
  <si>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</si>
  <si>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</si>
  <si>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</si>
  <si>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</si>
  <si>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</si>
  <si>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</si>
  <si>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</si>
  <si>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</si>
  <si>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</si>
  <si>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</si>
  <si>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</si>
  <si>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 xml:space="preserve"> COF 235 - PPM COAGULANTE </t>
  </si>
  <si>
    <t xml:space="preserve"> COF 255 - PPM DECOLORANTE</t>
  </si>
  <si>
    <t>COF 280 - PPM ACIDO</t>
  </si>
  <si>
    <t xml:space="preserve"> COF 440 - PPM POL ANIONICO</t>
  </si>
  <si>
    <t xml:space="preserve"> COF 494 - PPM POL CATIONICO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</si>
  <si>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</si>
  <si>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</si>
  <si>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</si>
  <si>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</si>
  <si>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</si>
  <si>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</si>
  <si>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</si>
  <si>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</si>
  <si>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</si>
  <si>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</si>
  <si>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</si>
  <si>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</si>
  <si>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</si>
  <si>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</si>
  <si>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</si>
  <si>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</si>
  <si>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</si>
  <si>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</si>
  <si>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</si>
  <si>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</si>
  <si>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</si>
  <si>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</si>
  <si>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</si>
  <si>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</si>
  <si>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 xml:space="preserve"> PPM HCL</t>
  </si>
  <si>
    <t xml:space="preserve"> PPM KURIVERTER</t>
  </si>
  <si>
    <t xml:space="preserve"> PPM VITEC</t>
  </si>
  <si>
    <t xml:space="preserve"> PPM BISULFITO</t>
  </si>
  <si>
    <t xml:space="preserve">TABLA GRAFICA 4. RO PPM CONSUMO QUIMICO </t>
  </si>
  <si>
    <t>CONSUMO QUIMICO PPM</t>
  </si>
  <si>
    <t>FINAL ACIDO (L)</t>
  </si>
  <si>
    <t>FINAL COAGULANTE (L)</t>
  </si>
  <si>
    <t>FINAL DECOLORANTE (L)</t>
  </si>
  <si>
    <t>FINAL POL ANIONICO (KG)</t>
  </si>
  <si>
    <t>FINAL POL CATIONICO (KG)</t>
  </si>
  <si>
    <t>ACUMULADO CAUDAL TRATADO RO</t>
  </si>
  <si>
    <t>1.500</t>
  </si>
  <si>
    <t>420</t>
  </si>
  <si>
    <t>140</t>
  </si>
  <si>
    <t>155</t>
  </si>
  <si>
    <t>3/01/2025 - 4/01/2025</t>
  </si>
  <si>
    <t xml:space="preserve">  2024 $m3 GEM</t>
  </si>
  <si>
    <t xml:space="preserve">  2024-2 $m3 GEM 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</si>
  <si>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</si>
  <si>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</si>
  <si>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</si>
  <si>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</si>
  <si>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</si>
  <si>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</si>
  <si>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</si>
  <si>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</si>
  <si>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</si>
  <si>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</si>
  <si>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</si>
  <si>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</si>
  <si>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</si>
  <si>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</si>
  <si>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</si>
  <si>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</si>
  <si>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</si>
  <si>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</si>
  <si>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</si>
  <si>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</si>
  <si>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</si>
  <si>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</si>
  <si>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</si>
  <si>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</si>
  <si>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</si>
  <si>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</si>
  <si>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</si>
  <si>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</si>
  <si>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</si>
  <si>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</si>
  <si>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</si>
  <si>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</si>
  <si>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</si>
  <si>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</si>
  <si>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</si>
  <si>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</si>
  <si>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</si>
  <si>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</si>
  <si>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</si>
  <si>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</si>
  <si>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</si>
  <si>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</si>
  <si>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</si>
  <si>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</si>
  <si>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</si>
  <si>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</si>
  <si>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</si>
  <si>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</si>
  <si>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</si>
  <si>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</si>
  <si>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</si>
  <si>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</si>
  <si>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</si>
  <si>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</si>
  <si>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</si>
  <si>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</si>
  <si>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</si>
  <si>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</si>
  <si>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</si>
  <si>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</si>
  <si>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</si>
  <si>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</si>
  <si>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</si>
  <si>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</si>
  <si>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</si>
  <si>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</si>
  <si>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</si>
  <si>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</si>
  <si>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</si>
  <si>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</si>
  <si>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</si>
  <si>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</si>
  <si>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</si>
  <si>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</si>
  <si>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</si>
  <si>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</si>
  <si>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</si>
  <si>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</si>
  <si>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</si>
  <si>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</si>
  <si>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</si>
  <si>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</si>
  <si>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</si>
  <si>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</si>
  <si>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(en blanco)</t>
  </si>
  <si>
    <t>TH</t>
  </si>
  <si>
    <t>Consumido</t>
  </si>
  <si>
    <t>Proyectado</t>
  </si>
  <si>
    <t>Ácido</t>
  </si>
  <si>
    <t>Coagulante</t>
  </si>
  <si>
    <t>Decolorante</t>
  </si>
  <si>
    <t>P. Aniónico</t>
  </si>
  <si>
    <t>P. Catiónico</t>
  </si>
  <si>
    <t>Diferencia</t>
  </si>
  <si>
    <t>Producto Químico</t>
  </si>
  <si>
    <t>Caudal 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</si>
</sst>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2" fillId="0" borderId="0"/>
    <xf numFmtId="0" fontId="22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45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90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92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0" fontId="12" fillId="21" borderId="91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49" fontId="12" fillId="21" borderId="92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90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18" borderId="90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90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90" xfId="0" applyFill="1" applyBorder="1" applyAlignment="1">
      <alignment horizontal="center"/>
    </xf>
    <xf numFmtId="0" fontId="0" fillId="21" borderId="90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0" fontId="0" fillId="21" borderId="90" xfId="0" applyFill="1" applyBorder="1"/>
    <xf numFmtId="44" fontId="0" fillId="0" borderId="5" xfId="2" applyFont="1" applyBorder="1"/>
    <xf numFmtId="44" fontId="0" fillId="0" borderId="0" xfId="2" applyFont="1" applyBorder="1"/>
    <xf numFmtId="44" fontId="0" fillId="0" borderId="64" xfId="2" applyFont="1" applyBorder="1"/>
    <xf numFmtId="44" fontId="0" fillId="0" borderId="16" xfId="2" applyFont="1" applyBorder="1"/>
    <xf numFmtId="0" fontId="0" fillId="0" borderId="0" xfId="2" applyNumberFormat="1" applyFont="1" applyBorder="1"/>
    <xf numFmtId="0" fontId="0" fillId="0" borderId="64" xfId="2" applyNumberFormat="1" applyFont="1" applyBorder="1"/>
    <xf numFmtId="42" fontId="0" fillId="0" borderId="8" xfId="2" applyNumberFormat="1" applyFont="1" applyBorder="1"/>
    <xf numFmtId="42" fontId="0" fillId="0" borderId="0" xfId="2" applyNumberFormat="1" applyFont="1" applyBorder="1"/>
    <xf numFmtId="42" fontId="0" fillId="0" borderId="64" xfId="2" applyNumberFormat="1" applyFont="1" applyBorder="1"/>
    <xf numFmtId="42" fontId="0" fillId="0" borderId="9" xfId="2" applyNumberFormat="1" applyFont="1" applyBorder="1"/>
    <xf numFmtId="42" fontId="0" fillId="0" borderId="5" xfId="2" applyNumberFormat="1" applyFont="1" applyBorder="1"/>
    <xf numFmtId="42" fontId="0" fillId="0" borderId="16" xfId="2" applyNumberFormat="1" applyFont="1" applyBorder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3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3" xfId="0" applyNumberFormat="1" applyFont="1" applyFill="1" applyBorder="1"/>
    <xf numFmtId="3" fontId="0" fillId="8" borderId="5" xfId="0" applyNumberFormat="1" applyFill="1" applyBorder="1" applyAlignment="1">
      <alignment horizontal="center"/>
    </xf>
    <xf numFmtId="3" fontId="20" fillId="8" borderId="10" xfId="0" applyNumberFormat="1" applyFont="1" applyFill="1" applyBorder="1" applyAlignment="1">
      <alignment horizontal="center"/>
    </xf>
    <xf numFmtId="0" fontId="19" fillId="8" borderId="10" xfId="0" applyFont="1" applyFill="1" applyBorder="1" applyAlignment="1">
      <alignment horizontal="center"/>
    </xf>
    <xf numFmtId="165" fontId="20" fillId="8" borderId="10" xfId="0" applyNumberFormat="1" applyFont="1" applyFill="1" applyBorder="1" applyAlignment="1">
      <alignment horizontal="right"/>
    </xf>
    <xf numFmtId="14" fontId="0" fillId="8" borderId="10" xfId="0" applyNumberForma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14" fontId="0" fillId="0" borderId="62" xfId="0" applyNumberFormat="1" applyBorder="1" applyAlignment="1">
      <alignment horizontal="left"/>
    </xf>
    <xf numFmtId="0" fontId="0" fillId="18" borderId="29" xfId="0" applyFill="1" applyBorder="1"/>
    <xf numFmtId="0" fontId="0" fillId="0" borderId="29" xfId="0" applyBorder="1"/>
    <xf numFmtId="0" fontId="0" fillId="0" borderId="62" xfId="0" applyBorder="1"/>
    <xf numFmtId="0" fontId="0" fillId="0" borderId="51" xfId="0" applyBorder="1"/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14" fontId="0" fillId="0" borderId="26" xfId="0" applyNumberFormat="1" applyBorder="1" applyAlignment="1">
      <alignment horizontal="left"/>
    </xf>
    <xf numFmtId="0" fontId="0" fillId="21" borderId="27" xfId="0" applyFill="1" applyBorder="1"/>
    <xf numFmtId="0" fontId="0" fillId="0" borderId="27" xfId="0" applyBorder="1"/>
    <xf numFmtId="0" fontId="0" fillId="0" borderId="26" xfId="0" applyBorder="1"/>
    <xf numFmtId="0" fontId="0" fillId="0" borderId="10" xfId="0" applyBorder="1"/>
    <xf numFmtId="14" fontId="0" fillId="0" borderId="54" xfId="0" applyNumberFormat="1" applyBorder="1" applyAlignment="1">
      <alignment horizontal="left"/>
    </xf>
    <xf numFmtId="0" fontId="0" fillId="7" borderId="28" xfId="0" applyFill="1" applyBorder="1"/>
    <xf numFmtId="0" fontId="0" fillId="0" borderId="28" xfId="0" applyBorder="1"/>
    <xf numFmtId="0" fontId="0" fillId="0" borderId="54" xfId="0" applyBorder="1"/>
    <xf numFmtId="0" fontId="0" fillId="0" borderId="15" xfId="0" applyBorder="1"/>
    <xf numFmtId="0" fontId="0" fillId="0" borderId="21" xfId="0" applyBorder="1"/>
    <xf numFmtId="0" fontId="0" fillId="0" borderId="35" xfId="0" applyBorder="1"/>
    <xf numFmtId="1" fontId="0" fillId="0" borderId="9" xfId="0" applyNumberFormat="1" applyBorder="1"/>
    <xf numFmtId="1" fontId="0" fillId="0" borderId="5" xfId="0" applyNumberFormat="1" applyBorder="1"/>
    <xf numFmtId="1" fontId="0" fillId="0" borderId="16" xfId="0" applyNumberFormat="1" applyBorder="1"/>
    <xf numFmtId="14" fontId="0" fillId="0" borderId="22" xfId="0" applyNumberFormat="1" applyBorder="1" applyAlignment="1">
      <alignment horizontal="left"/>
    </xf>
    <xf numFmtId="0" fontId="0" fillId="0" borderId="49" xfId="0" applyBorder="1"/>
    <xf numFmtId="0" fontId="0" fillId="0" borderId="75" xfId="0" applyBorder="1"/>
    <xf numFmtId="0" fontId="0" fillId="0" borderId="12" xfId="0" applyBorder="1"/>
    <xf numFmtId="1" fontId="0" fillId="0" borderId="52" xfId="0" applyNumberFormat="1" applyBorder="1"/>
    <xf numFmtId="1" fontId="0" fillId="0" borderId="4" xfId="0" applyNumberFormat="1" applyBorder="1"/>
    <xf numFmtId="1" fontId="0" fillId="0" borderId="48" xfId="0" applyNumberFormat="1" applyBorder="1"/>
    <xf numFmtId="14" fontId="0" fillId="0" borderId="23" xfId="0" applyNumberFormat="1" applyBorder="1" applyAlignment="1">
      <alignment horizontal="left"/>
    </xf>
    <xf numFmtId="14" fontId="0" fillId="0" borderId="24" xfId="0" applyNumberFormat="1" applyBorder="1" applyAlignment="1">
      <alignment horizontal="left"/>
    </xf>
    <xf numFmtId="0" fontId="0" fillId="0" borderId="9" xfId="0" applyBorder="1"/>
    <xf numFmtId="0" fontId="0" fillId="0" borderId="59" xfId="0" applyBorder="1"/>
    <xf numFmtId="0" fontId="0" fillId="0" borderId="77" xfId="0" applyBorder="1"/>
    <xf numFmtId="0" fontId="0" fillId="18" borderId="49" xfId="0" applyFill="1" applyBorder="1"/>
    <xf numFmtId="49" fontId="18" fillId="25" borderId="60" xfId="0" applyNumberFormat="1" applyFont="1" applyFill="1" applyBorder="1" applyAlignment="1">
      <alignment horizontal="center" vertical="center" wrapText="1"/>
    </xf>
    <xf numFmtId="49" fontId="18" fillId="25" borderId="77" xfId="0" applyNumberFormat="1" applyFont="1" applyFill="1" applyBorder="1" applyAlignment="1">
      <alignment horizontal="center" vertical="center" wrapText="1"/>
    </xf>
    <xf numFmtId="49" fontId="18" fillId="25" borderId="25" xfId="0" applyNumberFormat="1" applyFont="1" applyFill="1" applyBorder="1" applyAlignment="1">
      <alignment horizontal="center" vertical="center" wrapText="1"/>
    </xf>
    <xf numFmtId="0" fontId="18" fillId="4" borderId="83" xfId="0" applyFont="1" applyFill="1" applyBorder="1" applyAlignment="1">
      <alignment horizontal="center" vertical="center" wrapText="1"/>
    </xf>
    <xf numFmtId="0" fontId="18" fillId="4" borderId="90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 wrapText="1"/>
    </xf>
    <xf numFmtId="0" fontId="18" fillId="23" borderId="59" xfId="0" applyFont="1" applyFill="1" applyBorder="1" applyAlignment="1">
      <alignment horizontal="center" vertical="center" wrapText="1"/>
    </xf>
    <xf numFmtId="0" fontId="18" fillId="23" borderId="77" xfId="0" applyFont="1" applyFill="1" applyBorder="1" applyAlignment="1">
      <alignment horizontal="center" vertical="center" wrapText="1"/>
    </xf>
    <xf numFmtId="0" fontId="18" fillId="24" borderId="84" xfId="0" applyFont="1" applyFill="1" applyBorder="1" applyAlignment="1">
      <alignment horizontal="center" vertical="center" wrapText="1"/>
    </xf>
    <xf numFmtId="0" fontId="18" fillId="24" borderId="85" xfId="0" applyFont="1" applyFill="1" applyBorder="1" applyAlignment="1">
      <alignment horizontal="center" vertical="center" wrapText="1"/>
    </xf>
    <xf numFmtId="0" fontId="18" fillId="20" borderId="87" xfId="0" applyFont="1" applyFill="1" applyBorder="1" applyAlignment="1">
      <alignment horizontal="center" vertical="center" wrapText="1"/>
    </xf>
    <xf numFmtId="0" fontId="18" fillId="20" borderId="77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center" vertical="center" wrapText="1"/>
    </xf>
    <xf numFmtId="0" fontId="18" fillId="21" borderId="5" xfId="0" applyFont="1" applyFill="1" applyBorder="1" applyAlignment="1">
      <alignment horizontal="center" vertical="center" wrapText="1"/>
    </xf>
    <xf numFmtId="0" fontId="18" fillId="21" borderId="59" xfId="0" applyFont="1" applyFill="1" applyBorder="1" applyAlignment="1">
      <alignment horizontal="center" vertical="center" wrapText="1"/>
    </xf>
    <xf numFmtId="0" fontId="18" fillId="21" borderId="77" xfId="0" applyFont="1" applyFill="1" applyBorder="1" applyAlignment="1">
      <alignment horizontal="center" vertical="center" wrapText="1"/>
    </xf>
    <xf numFmtId="0" fontId="18" fillId="21" borderId="2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59" xfId="0" applyFont="1" applyFill="1" applyBorder="1" applyAlignment="1">
      <alignment horizontal="center" vertical="center" wrapText="1"/>
    </xf>
    <xf numFmtId="0" fontId="18" fillId="5" borderId="77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21" borderId="9" xfId="0" applyFont="1" applyFill="1" applyBorder="1" applyAlignment="1">
      <alignment horizontal="center" vertical="center" wrapText="1"/>
    </xf>
    <xf numFmtId="0" fontId="18" fillId="0" borderId="0" xfId="0" applyFont="1"/>
    <xf numFmtId="1" fontId="0" fillId="0" borderId="63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0" fontId="0" fillId="21" borderId="5" xfId="0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21" borderId="1" xfId="0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" fontId="0" fillId="0" borderId="34" xfId="0" applyNumberFormat="1" applyBorder="1" applyAlignment="1">
      <alignment horizontal="left"/>
    </xf>
    <xf numFmtId="1" fontId="0" fillId="0" borderId="31" xfId="0" applyNumberFormat="1" applyBorder="1" applyAlignment="1">
      <alignment horizontal="left"/>
    </xf>
    <xf numFmtId="1" fontId="0" fillId="0" borderId="35" xfId="0" applyNumberFormat="1" applyBorder="1" applyAlignment="1">
      <alignment horizontal="left"/>
    </xf>
    <xf numFmtId="1" fontId="0" fillId="0" borderId="27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1" fontId="0" fillId="0" borderId="49" xfId="0" applyNumberFormat="1" applyBorder="1" applyAlignment="1">
      <alignment horizontal="left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90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90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8" fillId="24" borderId="74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90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89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0" fontId="0" fillId="11" borderId="10" xfId="0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3" fontId="0" fillId="11" borderId="10" xfId="0" applyNumberFormat="1" applyFill="1" applyBorder="1" applyAlignment="1">
      <alignment horizontal="center" vertical="center" wrapText="1"/>
    </xf>
    <xf numFmtId="0" fontId="0" fillId="20" borderId="10" xfId="0" applyFill="1" applyBorder="1" applyAlignment="1">
      <alignment horizontal="center" wrapText="1"/>
    </xf>
    <xf numFmtId="0" fontId="5" fillId="11" borderId="0" xfId="0" applyFont="1" applyFill="1" applyAlignment="1">
      <alignment horizontal="center"/>
    </xf>
    <xf numFmtId="0" fontId="0" fillId="11" borderId="0" xfId="0" applyFill="1"/>
    <xf numFmtId="14" fontId="0" fillId="0" borderId="94" xfId="0" applyNumberFormat="1" applyBorder="1" applyAlignment="1">
      <alignment horizontal="left"/>
    </xf>
    <xf numFmtId="1" fontId="0" fillId="0" borderId="86" xfId="0" applyNumberFormat="1" applyBorder="1" applyAlignment="1">
      <alignment horizontal="left"/>
    </xf>
    <xf numFmtId="0" fontId="0" fillId="0" borderId="86" xfId="0" applyBorder="1"/>
    <xf numFmtId="0" fontId="0" fillId="0" borderId="95" xfId="0" applyBorder="1"/>
    <xf numFmtId="1" fontId="0" fillId="0" borderId="94" xfId="0" applyNumberFormat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5" borderId="90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11" borderId="10" xfId="0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0" fontId="0" fillId="28" borderId="10" xfId="0" applyFill="1" applyBorder="1" applyAlignment="1">
      <alignment horizontal="center" wrapText="1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20" fillId="8" borderId="10" xfId="0" applyNumberFormat="1" applyFont="1" applyFill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71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42" fontId="0" fillId="0" borderId="0" xfId="2" applyNumberFormat="1" applyFont="1"/>
    <xf numFmtId="2" fontId="0" fillId="0" borderId="69" xfId="0" applyNumberFormat="1" applyBorder="1" applyAlignment="1">
      <alignment horizontal="center"/>
    </xf>
    <xf numFmtId="49" fontId="12" fillId="7" borderId="61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0" fontId="18" fillId="29" borderId="83" xfId="0" applyFont="1" applyFill="1" applyBorder="1" applyAlignment="1">
      <alignment horizontal="center" vertical="center" wrapText="1"/>
    </xf>
    <xf numFmtId="166" fontId="0" fillId="8" borderId="10" xfId="0" applyNumberFormat="1" applyFill="1" applyBorder="1" applyAlignment="1">
      <alignment horizontal="center"/>
    </xf>
    <xf numFmtId="166" fontId="17" fillId="30" borderId="10" xfId="0" applyNumberFormat="1" applyFon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0" fontId="13" fillId="4" borderId="48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1" xfId="0" applyNumberFormat="1" applyFill="1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14" fontId="0" fillId="0" borderId="69" xfId="0" applyNumberFormat="1" applyBorder="1" applyAlignment="1">
      <alignment horizontal="left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14" fontId="0" fillId="0" borderId="67" xfId="0" applyNumberFormat="1" applyBorder="1" applyAlignment="1">
      <alignment horizontal="left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10" xfId="0" applyNumberFormat="1" applyFont="1" applyFill="1" applyBorder="1" applyAlignment="1">
      <alignment horizontal="center" vertical="center"/>
    </xf>
    <xf numFmtId="3" fontId="11" fillId="18" borderId="89" xfId="0" applyNumberFormat="1" applyFont="1" applyFill="1" applyBorder="1" applyAlignment="1">
      <alignment horizontal="center" vertical="center"/>
    </xf>
    <xf numFmtId="3" fontId="11" fillId="18" borderId="11" xfId="0" applyNumberFormat="1" applyFont="1" applyFill="1" applyBorder="1" applyAlignment="1">
      <alignment horizontal="right"/>
    </xf>
    <xf numFmtId="3" fontId="11" fillId="18" borderId="12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18" borderId="15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0" fontId="0" fillId="29" borderId="0" xfId="0" applyFill="1"/>
    <xf numFmtId="0" fontId="0" fillId="31" borderId="0" xfId="0" applyFill="1"/>
    <xf numFmtId="0" fontId="0" fillId="0" borderId="96" xfId="0" applyBorder="1"/>
    <xf numFmtId="0" fontId="0" fillId="8" borderId="10" xfId="0" applyFill="1" applyBorder="1" applyAlignment="1">
      <alignment horizontal="center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14" fontId="0" fillId="0" borderId="31" xfId="0" applyNumberFormat="1" applyBorder="1" applyAlignment="1">
      <alignment horizontal="left"/>
    </xf>
    <xf numFmtId="3" fontId="0" fillId="18" borderId="97" xfId="0" applyNumberFormat="1" applyFill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/>
    </xf>
    <xf numFmtId="3" fontId="11" fillId="0" borderId="98" xfId="0" applyNumberFormat="1" applyFont="1" applyBorder="1"/>
    <xf numFmtId="165" fontId="11" fillId="0" borderId="98" xfId="0" applyNumberFormat="1" applyFont="1" applyBorder="1"/>
    <xf numFmtId="3" fontId="11" fillId="5" borderId="35" xfId="0" applyNumberFormat="1" applyFont="1" applyFill="1" applyBorder="1" applyAlignment="1">
      <alignment horizontal="center"/>
    </xf>
    <xf numFmtId="3" fontId="11" fillId="5" borderId="19" xfId="0" applyNumberFormat="1" applyFont="1" applyFill="1" applyBorder="1"/>
    <xf numFmtId="3" fontId="11" fillId="5" borderId="22" xfId="0" applyNumberFormat="1" applyFon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0" fontId="1" fillId="6" borderId="0" xfId="0" applyFont="1" applyFill="1" applyAlignment="1">
      <alignment horizontal="right" indent="1"/>
    </xf>
    <xf numFmtId="3" fontId="11" fillId="32" borderId="31" xfId="0" applyNumberFormat="1" applyFont="1" applyFill="1" applyBorder="1" applyAlignment="1">
      <alignment horizontal="center"/>
    </xf>
    <xf numFmtId="3" fontId="11" fillId="14" borderId="17" xfId="0" applyNumberFormat="1" applyFont="1" applyFill="1" applyBorder="1"/>
    <xf numFmtId="3" fontId="11" fillId="14" borderId="24" xfId="0" applyNumberFormat="1" applyFont="1" applyFill="1" applyBorder="1" applyAlignment="1">
      <alignment horizontal="center"/>
    </xf>
    <xf numFmtId="3" fontId="11" fillId="14" borderId="35" xfId="0" applyNumberFormat="1" applyFont="1" applyFill="1" applyBorder="1" applyAlignment="1">
      <alignment horizontal="center"/>
    </xf>
    <xf numFmtId="3" fontId="11" fillId="14" borderId="72" xfId="0" applyNumberFormat="1" applyFont="1" applyFill="1" applyBorder="1" applyAlignment="1">
      <alignment horizontal="center"/>
    </xf>
    <xf numFmtId="3" fontId="11" fillId="14" borderId="23" xfId="0" applyNumberFormat="1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3" fontId="0" fillId="8" borderId="10" xfId="0" applyNumberFormat="1" applyFill="1" applyBorder="1"/>
    <xf numFmtId="0" fontId="0" fillId="0" borderId="8" xfId="0" applyBorder="1" applyAlignment="1">
      <alignment horizontal="center"/>
    </xf>
    <xf numFmtId="3" fontId="0" fillId="0" borderId="10" xfId="0" applyNumberFormat="1" applyBorder="1"/>
    <xf numFmtId="1" fontId="0" fillId="0" borderId="10" xfId="0" applyNumberFormat="1" applyBorder="1"/>
    <xf numFmtId="0" fontId="0" fillId="0" borderId="64" xfId="0" applyBorder="1"/>
    <xf numFmtId="2" fontId="0" fillId="0" borderId="23" xfId="0" applyNumberFormat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170" fontId="0" fillId="0" borderId="0" xfId="7" applyNumberFormat="1" applyFont="1"/>
    <xf numFmtId="170" fontId="0" fillId="0" borderId="10" xfId="7" applyNumberFormat="1" applyFont="1" applyBorder="1"/>
    <xf numFmtId="170" fontId="0" fillId="8" borderId="10" xfId="7" applyNumberFormat="1" applyFont="1" applyFill="1" applyBorder="1"/>
    <xf numFmtId="0" fontId="1" fillId="0" borderId="26" xfId="0" applyFont="1" applyBorder="1"/>
    <xf numFmtId="0" fontId="1" fillId="0" borderId="10" xfId="0" applyFont="1" applyBorder="1"/>
    <xf numFmtId="0" fontId="1" fillId="11" borderId="10" xfId="0" applyFont="1" applyFill="1" applyBorder="1"/>
    <xf numFmtId="0" fontId="1" fillId="11" borderId="99" xfId="0" applyFont="1" applyFill="1" applyBorder="1" applyAlignment="1">
      <alignment horizontal="center"/>
    </xf>
    <xf numFmtId="171" fontId="0" fillId="0" borderId="10" xfId="7" applyNumberFormat="1" applyFont="1" applyBorder="1"/>
    <xf numFmtId="4" fontId="0" fillId="0" borderId="10" xfId="0" applyNumberFormat="1" applyBorder="1"/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/>
    <xf numFmtId="0" fontId="0" fillId="8" borderId="90" xfId="0" applyFill="1" applyBorder="1"/>
    <xf numFmtId="0" fontId="0" fillId="15" borderId="22" xfId="0" applyFill="1" applyBorder="1"/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20" fillId="27" borderId="10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15" fillId="22" borderId="0" xfId="0" applyFont="1" applyFill="1" applyAlignment="1">
      <alignment horizontal="center" vertical="top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</cellXfs>
  <cellStyles count="8">
    <cellStyle name="Millares" xfId="7" builtinId="3"/>
    <cellStyle name="Millares 2" xfId="5" xr:uid="{2C68F984-66DD-4E9A-9396-C2F9F3FE6657}"/>
    <cellStyle name="Moneda" xfId="2" builtinId="4"/>
    <cellStyle name="Moneda 2" xfId="6" xr:uid="{2D6706FF-A95C-4230-993C-F7065A8E9301}"/>
    <cellStyle name="Normal" xfId="0" builtinId="0"/>
    <cellStyle name="Normal 2" xfId="3" xr:uid="{9A1E587F-2BA3-4FF7-B696-67E326A2487C}"/>
    <cellStyle name="Normal 3" xfId="4" xr:uid="{F3EA175A-61D6-4DB8-A9C2-FE2C6568079F}"/>
    <cellStyle name="Porcentaje 2" xfId="1" xr:uid="{9BABFD08-0A55-4FCC-BE37-D74FD39BB202}"/>
  </cellStyles>
  <dxfs count="6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>
        <left style="thin">
          <color indexed="64"/>
        </left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wrapText="1"/>
    </dxf>
    <dxf>
      <numFmt numFmtId="3" formatCode="#,##0"/>
    </dxf>
    <dxf>
      <fill>
        <patternFill patternType="solid">
          <fgColor indexed="64"/>
          <bgColor theme="8" tint="0.79998168889431442"/>
        </patternFill>
      </fill>
    </dxf>
    <dxf>
      <alignment horizontal="center"/>
    </dxf>
    <dxf>
      <alignment wrapText="1"/>
    </dxf>
    <dxf>
      <alignment wrapText="1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4" tint="0.79998168889431442"/>
        </patternFill>
      </fill>
    </dxf>
    <dxf>
      <fill>
        <patternFill>
          <bgColor theme="8" tint="0.79998168889431442"/>
        </patternFill>
      </fill>
    </dxf>
    <dxf>
      <alignment wrapText="1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>
          <fgColor indexed="64"/>
          <bgColor theme="8" tint="0.79998168889431442"/>
        </patternFill>
      </fill>
      <alignment wrapText="1"/>
    </dxf>
    <dxf>
      <numFmt numFmtId="166" formatCode="&quot;$&quot;\ #,##0"/>
    </dxf>
    <dxf>
      <font>
        <b/>
        <sz val="18"/>
      </font>
      <fill>
        <patternFill>
          <fgColor theme="0" tint="-0.14999847407452621"/>
        </patternFill>
      </fill>
      <alignment horizontal="center" vertical="center"/>
    </dxf>
    <dxf>
      <font>
        <b/>
        <sz val="18"/>
      </font>
      <fill>
        <patternFill>
          <fgColor theme="0" tint="-0.14999847407452621"/>
        </patternFill>
      </fill>
      <alignment horizontal="center" vertical="center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0" formatCode="General"/>
      <alignment horizontal="center" textRotation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FEBRERO 2026.xlsx]DB QUIMICA!TablaDinámica2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QUIMÍCA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QUIMICA'!$N$4</c:f>
              <c:strCache>
                <c:ptCount val="1"/>
                <c:pt idx="0">
                  <c:v> COF 235 - PPM COAGULANTE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1/02/2026</c:v>
                </c:pt>
                <c:pt idx="2">
                  <c:v>2/02/2026</c:v>
                </c:pt>
                <c:pt idx="3">
                  <c:v>3/02/2026</c:v>
                </c:pt>
                <c:pt idx="4">
                  <c:v>4/02/2026</c:v>
                </c:pt>
                <c:pt idx="5">
                  <c:v>5/02/2026</c:v>
                </c:pt>
                <c:pt idx="6">
                  <c:v>6/02/2026</c:v>
                </c:pt>
                <c:pt idx="7">
                  <c:v>7/02/2026</c:v>
                </c:pt>
                <c:pt idx="8">
                  <c:v>8/02/2026</c:v>
                </c:pt>
                <c:pt idx="9">
                  <c:v>9/02/2026</c:v>
                </c:pt>
                <c:pt idx="10">
                  <c:v>10/02/2026</c:v>
                </c:pt>
                <c:pt idx="11">
                  <c:v>11/02/2026</c:v>
                </c:pt>
                <c:pt idx="12">
                  <c:v>12/02/2026</c:v>
                </c:pt>
                <c:pt idx="13">
                  <c:v>13/02/2026</c:v>
                </c:pt>
                <c:pt idx="14">
                  <c:v>14/02/2026</c:v>
                </c:pt>
                <c:pt idx="15">
                  <c:v>15/02/2026</c:v>
                </c:pt>
                <c:pt idx="16">
                  <c:v>16/02/2026</c:v>
                </c:pt>
                <c:pt idx="17">
                  <c:v>17/02/2026</c:v>
                </c:pt>
                <c:pt idx="18">
                  <c:v>18/02/2026</c:v>
                </c:pt>
                <c:pt idx="19">
                  <c:v>19/02/2026</c:v>
                </c:pt>
                <c:pt idx="20">
                  <c:v>20/02/2026</c:v>
                </c:pt>
                <c:pt idx="21">
                  <c:v>21/02/2026</c:v>
                </c:pt>
                <c:pt idx="22">
                  <c:v>22/02/2026</c:v>
                </c:pt>
                <c:pt idx="23">
                  <c:v>23/02/2026</c:v>
                </c:pt>
                <c:pt idx="24">
                  <c:v>24/02/2026</c:v>
                </c:pt>
                <c:pt idx="25">
                  <c:v>25/02/2026</c:v>
                </c:pt>
                <c:pt idx="26">
                  <c:v>26/02/2026</c:v>
                </c:pt>
                <c:pt idx="27">
                  <c:v>27/02/2026</c:v>
                </c:pt>
                <c:pt idx="28">
                  <c:v>28/02/2026</c:v>
                </c:pt>
                <c:pt idx="29">
                  <c:v>1/03/2026</c:v>
                </c:pt>
                <c:pt idx="30">
                  <c:v>2/03/2026</c:v>
                </c:pt>
                <c:pt idx="31">
                  <c:v>3/03/2026</c:v>
                </c:pt>
              </c:strCache>
            </c:strRef>
          </c:cat>
          <c:val>
            <c:numRef>
              <c:f>'DB QUIMICA'!$N$5:$N$37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965.77777777777783</c:v>
                </c:pt>
                <c:pt idx="3">
                  <c:v>610.30303030303025</c:v>
                </c:pt>
                <c:pt idx="4">
                  <c:v>656.19047619047615</c:v>
                </c:pt>
                <c:pt idx="5">
                  <c:v>468.16666666666669</c:v>
                </c:pt>
                <c:pt idx="6">
                  <c:v>775.37037037037032</c:v>
                </c:pt>
                <c:pt idx="7">
                  <c:v>736.11111111111109</c:v>
                </c:pt>
                <c:pt idx="8">
                  <c:v>0</c:v>
                </c:pt>
                <c:pt idx="9">
                  <c:v>687.03703703703707</c:v>
                </c:pt>
                <c:pt idx="10">
                  <c:v>306.84210526315792</c:v>
                </c:pt>
                <c:pt idx="11">
                  <c:v>332.54901960784315</c:v>
                </c:pt>
                <c:pt idx="12">
                  <c:v>441.66666666666669</c:v>
                </c:pt>
                <c:pt idx="13">
                  <c:v>588.88888888888891</c:v>
                </c:pt>
                <c:pt idx="14">
                  <c:v>577.11111111111109</c:v>
                </c:pt>
                <c:pt idx="15">
                  <c:v>0</c:v>
                </c:pt>
                <c:pt idx="16">
                  <c:v>791.31944444444446</c:v>
                </c:pt>
                <c:pt idx="17">
                  <c:v>331.25</c:v>
                </c:pt>
                <c:pt idx="18">
                  <c:v>0</c:v>
                </c:pt>
                <c:pt idx="19">
                  <c:v>408.54166666666669</c:v>
                </c:pt>
                <c:pt idx="20">
                  <c:v>370.22058823529414</c:v>
                </c:pt>
                <c:pt idx="21">
                  <c:v>752.84090909090912</c:v>
                </c:pt>
                <c:pt idx="22">
                  <c:v>0</c:v>
                </c:pt>
                <c:pt idx="23">
                  <c:v>717.70833333333337</c:v>
                </c:pt>
                <c:pt idx="24">
                  <c:v>828.125</c:v>
                </c:pt>
                <c:pt idx="25">
                  <c:v>717.70833333333337</c:v>
                </c:pt>
                <c:pt idx="26">
                  <c:v>391.47727272727275</c:v>
                </c:pt>
                <c:pt idx="27">
                  <c:v>552.08333333333337</c:v>
                </c:pt>
                <c:pt idx="28">
                  <c:v>690.10416666666663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791-AEF5-6F0BB149EC90}"/>
            </c:ext>
          </c:extLst>
        </c:ser>
        <c:ser>
          <c:idx val="2"/>
          <c:order val="2"/>
          <c:tx>
            <c:strRef>
              <c:f>'DB QUIMICA'!$O$4</c:f>
              <c:strCache>
                <c:ptCount val="1"/>
                <c:pt idx="0">
                  <c:v> COF 255 - PPM DECOLORANTE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1/02/2026</c:v>
                </c:pt>
                <c:pt idx="2">
                  <c:v>2/02/2026</c:v>
                </c:pt>
                <c:pt idx="3">
                  <c:v>3/02/2026</c:v>
                </c:pt>
                <c:pt idx="4">
                  <c:v>4/02/2026</c:v>
                </c:pt>
                <c:pt idx="5">
                  <c:v>5/02/2026</c:v>
                </c:pt>
                <c:pt idx="6">
                  <c:v>6/02/2026</c:v>
                </c:pt>
                <c:pt idx="7">
                  <c:v>7/02/2026</c:v>
                </c:pt>
                <c:pt idx="8">
                  <c:v>8/02/2026</c:v>
                </c:pt>
                <c:pt idx="9">
                  <c:v>9/02/2026</c:v>
                </c:pt>
                <c:pt idx="10">
                  <c:v>10/02/2026</c:v>
                </c:pt>
                <c:pt idx="11">
                  <c:v>11/02/2026</c:v>
                </c:pt>
                <c:pt idx="12">
                  <c:v>12/02/2026</c:v>
                </c:pt>
                <c:pt idx="13">
                  <c:v>13/02/2026</c:v>
                </c:pt>
                <c:pt idx="14">
                  <c:v>14/02/2026</c:v>
                </c:pt>
                <c:pt idx="15">
                  <c:v>15/02/2026</c:v>
                </c:pt>
                <c:pt idx="16">
                  <c:v>16/02/2026</c:v>
                </c:pt>
                <c:pt idx="17">
                  <c:v>17/02/2026</c:v>
                </c:pt>
                <c:pt idx="18">
                  <c:v>18/02/2026</c:v>
                </c:pt>
                <c:pt idx="19">
                  <c:v>19/02/2026</c:v>
                </c:pt>
                <c:pt idx="20">
                  <c:v>20/02/2026</c:v>
                </c:pt>
                <c:pt idx="21">
                  <c:v>21/02/2026</c:v>
                </c:pt>
                <c:pt idx="22">
                  <c:v>22/02/2026</c:v>
                </c:pt>
                <c:pt idx="23">
                  <c:v>23/02/2026</c:v>
                </c:pt>
                <c:pt idx="24">
                  <c:v>24/02/2026</c:v>
                </c:pt>
                <c:pt idx="25">
                  <c:v>25/02/2026</c:v>
                </c:pt>
                <c:pt idx="26">
                  <c:v>26/02/2026</c:v>
                </c:pt>
                <c:pt idx="27">
                  <c:v>27/02/2026</c:v>
                </c:pt>
                <c:pt idx="28">
                  <c:v>28/02/2026</c:v>
                </c:pt>
                <c:pt idx="29">
                  <c:v>1/03/2026</c:v>
                </c:pt>
                <c:pt idx="30">
                  <c:v>2/03/2026</c:v>
                </c:pt>
                <c:pt idx="31">
                  <c:v>3/03/2026</c:v>
                </c:pt>
              </c:strCache>
            </c:strRef>
          </c:cat>
          <c:val>
            <c:numRef>
              <c:f>'DB QUIMICA'!$O$5:$O$37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188.88888888888889</c:v>
                </c:pt>
                <c:pt idx="3">
                  <c:v>219.69696969696969</c:v>
                </c:pt>
                <c:pt idx="4">
                  <c:v>198.4126984126984</c:v>
                </c:pt>
                <c:pt idx="5">
                  <c:v>166.66666666666666</c:v>
                </c:pt>
                <c:pt idx="6">
                  <c:v>194.44444444444446</c:v>
                </c:pt>
                <c:pt idx="7">
                  <c:v>83.333333333333329</c:v>
                </c:pt>
                <c:pt idx="8">
                  <c:v>0</c:v>
                </c:pt>
                <c:pt idx="9">
                  <c:v>129.62962962962962</c:v>
                </c:pt>
                <c:pt idx="10">
                  <c:v>70.175438596491233</c:v>
                </c:pt>
                <c:pt idx="11">
                  <c:v>107.84313725490196</c:v>
                </c:pt>
                <c:pt idx="12">
                  <c:v>52.083333333333336</c:v>
                </c:pt>
                <c:pt idx="13">
                  <c:v>166.66666666666666</c:v>
                </c:pt>
                <c:pt idx="14">
                  <c:v>22.222222222222221</c:v>
                </c:pt>
                <c:pt idx="15">
                  <c:v>0</c:v>
                </c:pt>
                <c:pt idx="16">
                  <c:v>156.25</c:v>
                </c:pt>
                <c:pt idx="17">
                  <c:v>114.58333333333333</c:v>
                </c:pt>
                <c:pt idx="18">
                  <c:v>260.41666666666669</c:v>
                </c:pt>
                <c:pt idx="19">
                  <c:v>145.83333333333334</c:v>
                </c:pt>
                <c:pt idx="20">
                  <c:v>101.10294117647059</c:v>
                </c:pt>
                <c:pt idx="21">
                  <c:v>184.65909090909091</c:v>
                </c:pt>
                <c:pt idx="22">
                  <c:v>0</c:v>
                </c:pt>
                <c:pt idx="23">
                  <c:v>190.97222222222223</c:v>
                </c:pt>
                <c:pt idx="24">
                  <c:v>223.21428571428572</c:v>
                </c:pt>
                <c:pt idx="25">
                  <c:v>86.805555555555557</c:v>
                </c:pt>
                <c:pt idx="26">
                  <c:v>142.04545454545453</c:v>
                </c:pt>
                <c:pt idx="27">
                  <c:v>182.29166666666666</c:v>
                </c:pt>
                <c:pt idx="28">
                  <c:v>247.39583333333334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C-4791-AEF5-6F0BB149EC90}"/>
            </c:ext>
          </c:extLst>
        </c:ser>
        <c:ser>
          <c:idx val="3"/>
          <c:order val="3"/>
          <c:tx>
            <c:strRef>
              <c:f>'DB QUIMICA'!$P$4</c:f>
              <c:strCache>
                <c:ptCount val="1"/>
                <c:pt idx="0">
                  <c:v>COF 280 - PPM ACIDO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1/02/2026</c:v>
                </c:pt>
                <c:pt idx="2">
                  <c:v>2/02/2026</c:v>
                </c:pt>
                <c:pt idx="3">
                  <c:v>3/02/2026</c:v>
                </c:pt>
                <c:pt idx="4">
                  <c:v>4/02/2026</c:v>
                </c:pt>
                <c:pt idx="5">
                  <c:v>5/02/2026</c:v>
                </c:pt>
                <c:pt idx="6">
                  <c:v>6/02/2026</c:v>
                </c:pt>
                <c:pt idx="7">
                  <c:v>7/02/2026</c:v>
                </c:pt>
                <c:pt idx="8">
                  <c:v>8/02/2026</c:v>
                </c:pt>
                <c:pt idx="9">
                  <c:v>9/02/2026</c:v>
                </c:pt>
                <c:pt idx="10">
                  <c:v>10/02/2026</c:v>
                </c:pt>
                <c:pt idx="11">
                  <c:v>11/02/2026</c:v>
                </c:pt>
                <c:pt idx="12">
                  <c:v>12/02/2026</c:v>
                </c:pt>
                <c:pt idx="13">
                  <c:v>13/02/2026</c:v>
                </c:pt>
                <c:pt idx="14">
                  <c:v>14/02/2026</c:v>
                </c:pt>
                <c:pt idx="15">
                  <c:v>15/02/2026</c:v>
                </c:pt>
                <c:pt idx="16">
                  <c:v>16/02/2026</c:v>
                </c:pt>
                <c:pt idx="17">
                  <c:v>17/02/2026</c:v>
                </c:pt>
                <c:pt idx="18">
                  <c:v>18/02/2026</c:v>
                </c:pt>
                <c:pt idx="19">
                  <c:v>19/02/2026</c:v>
                </c:pt>
                <c:pt idx="20">
                  <c:v>20/02/2026</c:v>
                </c:pt>
                <c:pt idx="21">
                  <c:v>21/02/2026</c:v>
                </c:pt>
                <c:pt idx="22">
                  <c:v>22/02/2026</c:v>
                </c:pt>
                <c:pt idx="23">
                  <c:v>23/02/2026</c:v>
                </c:pt>
                <c:pt idx="24">
                  <c:v>24/02/2026</c:v>
                </c:pt>
                <c:pt idx="25">
                  <c:v>25/02/2026</c:v>
                </c:pt>
                <c:pt idx="26">
                  <c:v>26/02/2026</c:v>
                </c:pt>
                <c:pt idx="27">
                  <c:v>27/02/2026</c:v>
                </c:pt>
                <c:pt idx="28">
                  <c:v>28/02/2026</c:v>
                </c:pt>
                <c:pt idx="29">
                  <c:v>1/03/2026</c:v>
                </c:pt>
                <c:pt idx="30">
                  <c:v>2/03/2026</c:v>
                </c:pt>
                <c:pt idx="31">
                  <c:v>3/03/2026</c:v>
                </c:pt>
              </c:strCache>
            </c:strRef>
          </c:cat>
          <c:val>
            <c:numRef>
              <c:f>'DB QUIMICA'!$P$5:$P$37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508.44444444444446</c:v>
                </c:pt>
                <c:pt idx="3">
                  <c:v>433.33333333333331</c:v>
                </c:pt>
                <c:pt idx="4">
                  <c:v>718.09523809523807</c:v>
                </c:pt>
                <c:pt idx="5">
                  <c:v>260</c:v>
                </c:pt>
                <c:pt idx="6">
                  <c:v>192.59259259259258</c:v>
                </c:pt>
                <c:pt idx="7">
                  <c:v>361.11111111111109</c:v>
                </c:pt>
                <c:pt idx="8">
                  <c:v>0</c:v>
                </c:pt>
                <c:pt idx="9">
                  <c:v>144.44444444444446</c:v>
                </c:pt>
                <c:pt idx="10">
                  <c:v>246.31578947368422</c:v>
                </c:pt>
                <c:pt idx="11">
                  <c:v>305.88235294117646</c:v>
                </c:pt>
                <c:pt idx="12">
                  <c:v>357.5</c:v>
                </c:pt>
                <c:pt idx="13">
                  <c:v>358.22222222222223</c:v>
                </c:pt>
                <c:pt idx="14">
                  <c:v>104</c:v>
                </c:pt>
                <c:pt idx="15">
                  <c:v>0</c:v>
                </c:pt>
                <c:pt idx="16">
                  <c:v>361.11111111111109</c:v>
                </c:pt>
                <c:pt idx="17">
                  <c:v>270.83333333333331</c:v>
                </c:pt>
                <c:pt idx="18">
                  <c:v>379.16666666666669</c:v>
                </c:pt>
                <c:pt idx="19">
                  <c:v>346.66666666666669</c:v>
                </c:pt>
                <c:pt idx="20">
                  <c:v>238.97058823529412</c:v>
                </c:pt>
                <c:pt idx="21">
                  <c:v>413.63636363636363</c:v>
                </c:pt>
                <c:pt idx="22">
                  <c:v>0</c:v>
                </c:pt>
                <c:pt idx="23">
                  <c:v>938.88888888888891</c:v>
                </c:pt>
                <c:pt idx="24">
                  <c:v>150.89285714285714</c:v>
                </c:pt>
                <c:pt idx="25">
                  <c:v>162.5</c:v>
                </c:pt>
                <c:pt idx="26">
                  <c:v>576.13636363636363</c:v>
                </c:pt>
                <c:pt idx="27">
                  <c:v>388.19444444444446</c:v>
                </c:pt>
                <c:pt idx="28">
                  <c:v>446.875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C-4791-AEF5-6F0BB149E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53677104"/>
        <c:axId val="753677464"/>
      </c:barChart>
      <c:lineChart>
        <c:grouping val="standard"/>
        <c:varyColors val="0"/>
        <c:ser>
          <c:idx val="0"/>
          <c:order val="0"/>
          <c:tx>
            <c:strRef>
              <c:f>'DB QUIMICA'!$M$4</c:f>
              <c:strCache>
                <c:ptCount val="1"/>
                <c:pt idx="0">
                  <c:v> CAUDAL TOTAL TRATADO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1/02/2026</c:v>
                </c:pt>
                <c:pt idx="2">
                  <c:v>2/02/2026</c:v>
                </c:pt>
                <c:pt idx="3">
                  <c:v>3/02/2026</c:v>
                </c:pt>
                <c:pt idx="4">
                  <c:v>4/02/2026</c:v>
                </c:pt>
                <c:pt idx="5">
                  <c:v>5/02/2026</c:v>
                </c:pt>
                <c:pt idx="6">
                  <c:v>6/02/2026</c:v>
                </c:pt>
                <c:pt idx="7">
                  <c:v>7/02/2026</c:v>
                </c:pt>
                <c:pt idx="8">
                  <c:v>8/02/2026</c:v>
                </c:pt>
                <c:pt idx="9">
                  <c:v>9/02/2026</c:v>
                </c:pt>
                <c:pt idx="10">
                  <c:v>10/02/2026</c:v>
                </c:pt>
                <c:pt idx="11">
                  <c:v>11/02/2026</c:v>
                </c:pt>
                <c:pt idx="12">
                  <c:v>12/02/2026</c:v>
                </c:pt>
                <c:pt idx="13">
                  <c:v>13/02/2026</c:v>
                </c:pt>
                <c:pt idx="14">
                  <c:v>14/02/2026</c:v>
                </c:pt>
                <c:pt idx="15">
                  <c:v>15/02/2026</c:v>
                </c:pt>
                <c:pt idx="16">
                  <c:v>16/02/2026</c:v>
                </c:pt>
                <c:pt idx="17">
                  <c:v>17/02/2026</c:v>
                </c:pt>
                <c:pt idx="18">
                  <c:v>18/02/2026</c:v>
                </c:pt>
                <c:pt idx="19">
                  <c:v>19/02/2026</c:v>
                </c:pt>
                <c:pt idx="20">
                  <c:v>20/02/2026</c:v>
                </c:pt>
                <c:pt idx="21">
                  <c:v>21/02/2026</c:v>
                </c:pt>
                <c:pt idx="22">
                  <c:v>22/02/2026</c:v>
                </c:pt>
                <c:pt idx="23">
                  <c:v>23/02/2026</c:v>
                </c:pt>
                <c:pt idx="24">
                  <c:v>24/02/2026</c:v>
                </c:pt>
                <c:pt idx="25">
                  <c:v>25/02/2026</c:v>
                </c:pt>
                <c:pt idx="26">
                  <c:v>26/02/2026</c:v>
                </c:pt>
                <c:pt idx="27">
                  <c:v>27/02/2026</c:v>
                </c:pt>
                <c:pt idx="28">
                  <c:v>28/02/2026</c:v>
                </c:pt>
                <c:pt idx="29">
                  <c:v>1/03/2026</c:v>
                </c:pt>
                <c:pt idx="30">
                  <c:v>2/03/2026</c:v>
                </c:pt>
                <c:pt idx="31">
                  <c:v>3/03/2026</c:v>
                </c:pt>
              </c:strCache>
            </c:strRef>
          </c:cat>
          <c:val>
            <c:numRef>
              <c:f>'DB QUIMICA'!$M$5:$M$37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1125</c:v>
                </c:pt>
                <c:pt idx="3">
                  <c:v>1650</c:v>
                </c:pt>
                <c:pt idx="4">
                  <c:v>1575</c:v>
                </c:pt>
                <c:pt idx="5">
                  <c:v>1500</c:v>
                </c:pt>
                <c:pt idx="6">
                  <c:v>1350</c:v>
                </c:pt>
                <c:pt idx="7">
                  <c:v>900</c:v>
                </c:pt>
                <c:pt idx="8">
                  <c:v>0</c:v>
                </c:pt>
                <c:pt idx="9">
                  <c:v>1350</c:v>
                </c:pt>
                <c:pt idx="10">
                  <c:v>1425</c:v>
                </c:pt>
                <c:pt idx="11">
                  <c:v>1275</c:v>
                </c:pt>
                <c:pt idx="12">
                  <c:v>1200</c:v>
                </c:pt>
                <c:pt idx="13">
                  <c:v>1125</c:v>
                </c:pt>
                <c:pt idx="14">
                  <c:v>1125</c:v>
                </c:pt>
                <c:pt idx="15">
                  <c:v>0</c:v>
                </c:pt>
                <c:pt idx="16">
                  <c:v>1440</c:v>
                </c:pt>
                <c:pt idx="17">
                  <c:v>1200</c:v>
                </c:pt>
                <c:pt idx="18">
                  <c:v>960</c:v>
                </c:pt>
                <c:pt idx="19">
                  <c:v>1200</c:v>
                </c:pt>
                <c:pt idx="20">
                  <c:v>1360</c:v>
                </c:pt>
                <c:pt idx="21">
                  <c:v>880</c:v>
                </c:pt>
                <c:pt idx="22">
                  <c:v>0</c:v>
                </c:pt>
                <c:pt idx="23">
                  <c:v>720</c:v>
                </c:pt>
                <c:pt idx="24">
                  <c:v>1120</c:v>
                </c:pt>
                <c:pt idx="25">
                  <c:v>1440</c:v>
                </c:pt>
                <c:pt idx="26">
                  <c:v>1760</c:v>
                </c:pt>
                <c:pt idx="27">
                  <c:v>1440</c:v>
                </c:pt>
                <c:pt idx="28">
                  <c:v>960</c:v>
                </c:pt>
                <c:pt idx="29">
                  <c:v>0</c:v>
                </c:pt>
                <c:pt idx="30">
                  <c:v>-1378240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0-40B1-B9D8-80EFFDC4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677104"/>
        <c:axId val="753677464"/>
      </c:lineChart>
      <c:lineChart>
        <c:grouping val="standard"/>
        <c:varyColors val="0"/>
        <c:ser>
          <c:idx val="4"/>
          <c:order val="4"/>
          <c:tx>
            <c:strRef>
              <c:f>'DB QUIMICA'!$Q$4</c:f>
              <c:strCache>
                <c:ptCount val="1"/>
                <c:pt idx="0">
                  <c:v> COF 440 - PPM POL ANIONICO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1/02/2026</c:v>
                </c:pt>
                <c:pt idx="2">
                  <c:v>2/02/2026</c:v>
                </c:pt>
                <c:pt idx="3">
                  <c:v>3/02/2026</c:v>
                </c:pt>
                <c:pt idx="4">
                  <c:v>4/02/2026</c:v>
                </c:pt>
                <c:pt idx="5">
                  <c:v>5/02/2026</c:v>
                </c:pt>
                <c:pt idx="6">
                  <c:v>6/02/2026</c:v>
                </c:pt>
                <c:pt idx="7">
                  <c:v>7/02/2026</c:v>
                </c:pt>
                <c:pt idx="8">
                  <c:v>8/02/2026</c:v>
                </c:pt>
                <c:pt idx="9">
                  <c:v>9/02/2026</c:v>
                </c:pt>
                <c:pt idx="10">
                  <c:v>10/02/2026</c:v>
                </c:pt>
                <c:pt idx="11">
                  <c:v>11/02/2026</c:v>
                </c:pt>
                <c:pt idx="12">
                  <c:v>12/02/2026</c:v>
                </c:pt>
                <c:pt idx="13">
                  <c:v>13/02/2026</c:v>
                </c:pt>
                <c:pt idx="14">
                  <c:v>14/02/2026</c:v>
                </c:pt>
                <c:pt idx="15">
                  <c:v>15/02/2026</c:v>
                </c:pt>
                <c:pt idx="16">
                  <c:v>16/02/2026</c:v>
                </c:pt>
                <c:pt idx="17">
                  <c:v>17/02/2026</c:v>
                </c:pt>
                <c:pt idx="18">
                  <c:v>18/02/2026</c:v>
                </c:pt>
                <c:pt idx="19">
                  <c:v>19/02/2026</c:v>
                </c:pt>
                <c:pt idx="20">
                  <c:v>20/02/2026</c:v>
                </c:pt>
                <c:pt idx="21">
                  <c:v>21/02/2026</c:v>
                </c:pt>
                <c:pt idx="22">
                  <c:v>22/02/2026</c:v>
                </c:pt>
                <c:pt idx="23">
                  <c:v>23/02/2026</c:v>
                </c:pt>
                <c:pt idx="24">
                  <c:v>24/02/2026</c:v>
                </c:pt>
                <c:pt idx="25">
                  <c:v>25/02/2026</c:v>
                </c:pt>
                <c:pt idx="26">
                  <c:v>26/02/2026</c:v>
                </c:pt>
                <c:pt idx="27">
                  <c:v>27/02/2026</c:v>
                </c:pt>
                <c:pt idx="28">
                  <c:v>28/02/2026</c:v>
                </c:pt>
                <c:pt idx="29">
                  <c:v>1/03/2026</c:v>
                </c:pt>
                <c:pt idx="30">
                  <c:v>2/03/2026</c:v>
                </c:pt>
                <c:pt idx="31">
                  <c:v>3/03/2026</c:v>
                </c:pt>
              </c:strCache>
            </c:strRef>
          </c:cat>
          <c:val>
            <c:numRef>
              <c:f>'DB QUIMICA'!$Q$5:$Q$37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2.2222222222222223</c:v>
                </c:pt>
                <c:pt idx="3">
                  <c:v>4.5454545454545459</c:v>
                </c:pt>
                <c:pt idx="4">
                  <c:v>0</c:v>
                </c:pt>
                <c:pt idx="5">
                  <c:v>6.666666666666667</c:v>
                </c:pt>
                <c:pt idx="6">
                  <c:v>3.7037037037037037</c:v>
                </c:pt>
                <c:pt idx="7">
                  <c:v>11.111111111111111</c:v>
                </c:pt>
                <c:pt idx="8">
                  <c:v>0</c:v>
                </c:pt>
                <c:pt idx="9">
                  <c:v>7.4074074074074074</c:v>
                </c:pt>
                <c:pt idx="10">
                  <c:v>3.5087719298245612</c:v>
                </c:pt>
                <c:pt idx="11">
                  <c:v>7.8431372549019605</c:v>
                </c:pt>
                <c:pt idx="12">
                  <c:v>8.3333333333333339</c:v>
                </c:pt>
                <c:pt idx="13">
                  <c:v>4.4444444444444446</c:v>
                </c:pt>
                <c:pt idx="14">
                  <c:v>8.8888888888888893</c:v>
                </c:pt>
                <c:pt idx="15">
                  <c:v>0</c:v>
                </c:pt>
                <c:pt idx="16">
                  <c:v>3.4722222222222223</c:v>
                </c:pt>
                <c:pt idx="17">
                  <c:v>4.166666666666667</c:v>
                </c:pt>
                <c:pt idx="18">
                  <c:v>5.208333333333333</c:v>
                </c:pt>
                <c:pt idx="19">
                  <c:v>4.166666666666667</c:v>
                </c:pt>
                <c:pt idx="20">
                  <c:v>3.6764705882352939</c:v>
                </c:pt>
                <c:pt idx="21">
                  <c:v>5.6818181818181817</c:v>
                </c:pt>
                <c:pt idx="22">
                  <c:v>0</c:v>
                </c:pt>
                <c:pt idx="23">
                  <c:v>13.888888888888889</c:v>
                </c:pt>
                <c:pt idx="24">
                  <c:v>4.4642857142857144</c:v>
                </c:pt>
                <c:pt idx="25">
                  <c:v>6.9444444444444446</c:v>
                </c:pt>
                <c:pt idx="26">
                  <c:v>2.8409090909090908</c:v>
                </c:pt>
                <c:pt idx="27">
                  <c:v>6.9444444444444446</c:v>
                </c:pt>
                <c:pt idx="28">
                  <c:v>5.208333333333333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0C-4791-AEF5-6F0BB149EC90}"/>
            </c:ext>
          </c:extLst>
        </c:ser>
        <c:ser>
          <c:idx val="5"/>
          <c:order val="5"/>
          <c:tx>
            <c:strRef>
              <c:f>'DB QUIMICA'!$R$4</c:f>
              <c:strCache>
                <c:ptCount val="1"/>
                <c:pt idx="0">
                  <c:v> COF 494 - PPM POL CATIONICO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1/02/2026</c:v>
                </c:pt>
                <c:pt idx="2">
                  <c:v>2/02/2026</c:v>
                </c:pt>
                <c:pt idx="3">
                  <c:v>3/02/2026</c:v>
                </c:pt>
                <c:pt idx="4">
                  <c:v>4/02/2026</c:v>
                </c:pt>
                <c:pt idx="5">
                  <c:v>5/02/2026</c:v>
                </c:pt>
                <c:pt idx="6">
                  <c:v>6/02/2026</c:v>
                </c:pt>
                <c:pt idx="7">
                  <c:v>7/02/2026</c:v>
                </c:pt>
                <c:pt idx="8">
                  <c:v>8/02/2026</c:v>
                </c:pt>
                <c:pt idx="9">
                  <c:v>9/02/2026</c:v>
                </c:pt>
                <c:pt idx="10">
                  <c:v>10/02/2026</c:v>
                </c:pt>
                <c:pt idx="11">
                  <c:v>11/02/2026</c:v>
                </c:pt>
                <c:pt idx="12">
                  <c:v>12/02/2026</c:v>
                </c:pt>
                <c:pt idx="13">
                  <c:v>13/02/2026</c:v>
                </c:pt>
                <c:pt idx="14">
                  <c:v>14/02/2026</c:v>
                </c:pt>
                <c:pt idx="15">
                  <c:v>15/02/2026</c:v>
                </c:pt>
                <c:pt idx="16">
                  <c:v>16/02/2026</c:v>
                </c:pt>
                <c:pt idx="17">
                  <c:v>17/02/2026</c:v>
                </c:pt>
                <c:pt idx="18">
                  <c:v>18/02/2026</c:v>
                </c:pt>
                <c:pt idx="19">
                  <c:v>19/02/2026</c:v>
                </c:pt>
                <c:pt idx="20">
                  <c:v>20/02/2026</c:v>
                </c:pt>
                <c:pt idx="21">
                  <c:v>21/02/2026</c:v>
                </c:pt>
                <c:pt idx="22">
                  <c:v>22/02/2026</c:v>
                </c:pt>
                <c:pt idx="23">
                  <c:v>23/02/2026</c:v>
                </c:pt>
                <c:pt idx="24">
                  <c:v>24/02/2026</c:v>
                </c:pt>
                <c:pt idx="25">
                  <c:v>25/02/2026</c:v>
                </c:pt>
                <c:pt idx="26">
                  <c:v>26/02/2026</c:v>
                </c:pt>
                <c:pt idx="27">
                  <c:v>27/02/2026</c:v>
                </c:pt>
                <c:pt idx="28">
                  <c:v>28/02/2026</c:v>
                </c:pt>
                <c:pt idx="29">
                  <c:v>1/03/2026</c:v>
                </c:pt>
                <c:pt idx="30">
                  <c:v>2/03/2026</c:v>
                </c:pt>
                <c:pt idx="31">
                  <c:v>3/03/2026</c:v>
                </c:pt>
              </c:strCache>
            </c:strRef>
          </c:cat>
          <c:val>
            <c:numRef>
              <c:f>'DB QUIMICA'!$R$5:$R$37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13.333333333333334</c:v>
                </c:pt>
                <c:pt idx="3">
                  <c:v>6.0606060606060606</c:v>
                </c:pt>
                <c:pt idx="4">
                  <c:v>0</c:v>
                </c:pt>
                <c:pt idx="5">
                  <c:v>6.666666666666667</c:v>
                </c:pt>
                <c:pt idx="6">
                  <c:v>14.814814814814815</c:v>
                </c:pt>
                <c:pt idx="7">
                  <c:v>11.111111111111111</c:v>
                </c:pt>
                <c:pt idx="8">
                  <c:v>0</c:v>
                </c:pt>
                <c:pt idx="9">
                  <c:v>11.111111111111111</c:v>
                </c:pt>
                <c:pt idx="10">
                  <c:v>10.526315789473685</c:v>
                </c:pt>
                <c:pt idx="11">
                  <c:v>11.764705882352942</c:v>
                </c:pt>
                <c:pt idx="12">
                  <c:v>12.5</c:v>
                </c:pt>
                <c:pt idx="13">
                  <c:v>13.333333333333334</c:v>
                </c:pt>
                <c:pt idx="14">
                  <c:v>8.8888888888888893</c:v>
                </c:pt>
                <c:pt idx="15">
                  <c:v>0</c:v>
                </c:pt>
                <c:pt idx="16">
                  <c:v>10.416666666666666</c:v>
                </c:pt>
                <c:pt idx="17">
                  <c:v>12.5</c:v>
                </c:pt>
                <c:pt idx="18">
                  <c:v>15.625</c:v>
                </c:pt>
                <c:pt idx="19">
                  <c:v>12.5</c:v>
                </c:pt>
                <c:pt idx="20">
                  <c:v>11.029411764705882</c:v>
                </c:pt>
                <c:pt idx="21">
                  <c:v>17.045454545454547</c:v>
                </c:pt>
                <c:pt idx="22">
                  <c:v>0</c:v>
                </c:pt>
                <c:pt idx="23">
                  <c:v>20.833333333333332</c:v>
                </c:pt>
                <c:pt idx="24">
                  <c:v>13.392857142857142</c:v>
                </c:pt>
                <c:pt idx="25">
                  <c:v>10.416666666666666</c:v>
                </c:pt>
                <c:pt idx="26">
                  <c:v>8.5227272727272734</c:v>
                </c:pt>
                <c:pt idx="27">
                  <c:v>10.416666666666666</c:v>
                </c:pt>
                <c:pt idx="28">
                  <c:v>10.416666666666666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0C-4791-AEF5-6F0BB1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91168"/>
        <c:axId val="699790808"/>
      </c:lineChart>
      <c:catAx>
        <c:axId val="75367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3677464"/>
        <c:crosses val="autoZero"/>
        <c:auto val="1"/>
        <c:lblAlgn val="ctr"/>
        <c:lblOffset val="100"/>
        <c:noMultiLvlLbl val="0"/>
      </c:catAx>
      <c:valAx>
        <c:axId val="753677464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3677104"/>
        <c:crosses val="autoZero"/>
        <c:crossBetween val="between"/>
      </c:valAx>
      <c:valAx>
        <c:axId val="699790808"/>
        <c:scaling>
          <c:orientation val="minMax"/>
          <c:max val="100"/>
          <c:min val="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9791168"/>
        <c:crosses val="max"/>
        <c:crossBetween val="between"/>
      </c:valAx>
      <c:catAx>
        <c:axId val="69979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7908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FEBRERO 2026.xlsx]DB QUIMICA!TablaDinámica1</c:name>
    <c:fmtId val="0"/>
  </c:pivotSource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03030747811463"/>
          <c:y val="3.6484138411389519E-2"/>
          <c:w val="0.80515957382474423"/>
          <c:h val="0.76939477151695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QUIMICA'!$V$4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QUIMICA'!$V$5:$V$33</c:f>
              <c:numCache>
                <c:formatCode>#,##0</c:formatCode>
                <c:ptCount val="28"/>
                <c:pt idx="0">
                  <c:v>0</c:v>
                </c:pt>
                <c:pt idx="1">
                  <c:v>1125</c:v>
                </c:pt>
                <c:pt idx="2">
                  <c:v>1650</c:v>
                </c:pt>
                <c:pt idx="3">
                  <c:v>1575</c:v>
                </c:pt>
                <c:pt idx="4">
                  <c:v>1500</c:v>
                </c:pt>
                <c:pt idx="5">
                  <c:v>1350</c:v>
                </c:pt>
                <c:pt idx="6">
                  <c:v>900</c:v>
                </c:pt>
                <c:pt idx="7">
                  <c:v>0</c:v>
                </c:pt>
                <c:pt idx="8">
                  <c:v>1350</c:v>
                </c:pt>
                <c:pt idx="9">
                  <c:v>1425</c:v>
                </c:pt>
                <c:pt idx="10">
                  <c:v>1275</c:v>
                </c:pt>
                <c:pt idx="11">
                  <c:v>1200</c:v>
                </c:pt>
                <c:pt idx="12">
                  <c:v>1125</c:v>
                </c:pt>
                <c:pt idx="13">
                  <c:v>1125</c:v>
                </c:pt>
                <c:pt idx="14">
                  <c:v>0</c:v>
                </c:pt>
                <c:pt idx="15">
                  <c:v>1440</c:v>
                </c:pt>
                <c:pt idx="16">
                  <c:v>1200</c:v>
                </c:pt>
                <c:pt idx="17">
                  <c:v>960</c:v>
                </c:pt>
                <c:pt idx="18">
                  <c:v>1200</c:v>
                </c:pt>
                <c:pt idx="19">
                  <c:v>1360</c:v>
                </c:pt>
                <c:pt idx="20">
                  <c:v>880</c:v>
                </c:pt>
                <c:pt idx="21">
                  <c:v>0</c:v>
                </c:pt>
                <c:pt idx="22">
                  <c:v>720</c:v>
                </c:pt>
                <c:pt idx="23">
                  <c:v>1120</c:v>
                </c:pt>
                <c:pt idx="24">
                  <c:v>1440</c:v>
                </c:pt>
                <c:pt idx="25">
                  <c:v>1760</c:v>
                </c:pt>
                <c:pt idx="26">
                  <c:v>1440</c:v>
                </c:pt>
                <c:pt idx="27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QUIMICA'!$W$4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QUIMICA'!$W$5:$W$33</c:f>
              <c:numCache>
                <c:formatCode>#,##0</c:formatCode>
                <c:ptCount val="28"/>
                <c:pt idx="0">
                  <c:v>0</c:v>
                </c:pt>
                <c:pt idx="1">
                  <c:v>4748.1533333333336</c:v>
                </c:pt>
                <c:pt idx="2">
                  <c:v>3732.7651515151515</c:v>
                </c:pt>
                <c:pt idx="3">
                  <c:v>3747.9793650793649</c:v>
                </c:pt>
                <c:pt idx="4">
                  <c:v>2896.65</c:v>
                </c:pt>
                <c:pt idx="5">
                  <c:v>4029.6759259259261</c:v>
                </c:pt>
                <c:pt idx="6">
                  <c:v>3415.6944444444443</c:v>
                </c:pt>
                <c:pt idx="7">
                  <c:v>0</c:v>
                </c:pt>
                <c:pt idx="8">
                  <c:v>3314.4259259259261</c:v>
                </c:pt>
                <c:pt idx="9">
                  <c:v>1834.9859649122807</c:v>
                </c:pt>
                <c:pt idx="10">
                  <c:v>2305.9705882352941</c:v>
                </c:pt>
                <c:pt idx="11">
                  <c:v>2339.7979166666669</c:v>
                </c:pt>
                <c:pt idx="12">
                  <c:v>3432.9355555555558</c:v>
                </c:pt>
                <c:pt idx="13">
                  <c:v>2265.1644444444446</c:v>
                </c:pt>
                <c:pt idx="14">
                  <c:v>0</c:v>
                </c:pt>
                <c:pt idx="15">
                  <c:v>3873.9756944444443</c:v>
                </c:pt>
                <c:pt idx="16">
                  <c:v>2261.71875</c:v>
                </c:pt>
                <c:pt idx="17">
                  <c:v>2397.78125</c:v>
                </c:pt>
                <c:pt idx="18">
                  <c:v>2745.5250000000001</c:v>
                </c:pt>
                <c:pt idx="19">
                  <c:v>2221.6636029411766</c:v>
                </c:pt>
                <c:pt idx="20">
                  <c:v>4173.076704545455</c:v>
                </c:pt>
                <c:pt idx="21">
                  <c:v>0</c:v>
                </c:pt>
                <c:pt idx="22">
                  <c:v>4786.760416666667</c:v>
                </c:pt>
                <c:pt idx="23">
                  <c:v>4312.2946428571431</c:v>
                </c:pt>
                <c:pt idx="24">
                  <c:v>3124.6493055555557</c:v>
                </c:pt>
                <c:pt idx="25">
                  <c:v>2749.6988636363635</c:v>
                </c:pt>
                <c:pt idx="26">
                  <c:v>3432.7482638888887</c:v>
                </c:pt>
                <c:pt idx="27">
                  <c:v>4258.471354166667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QUIMICA'!$X$4</c:f>
              <c:strCache>
                <c:ptCount val="1"/>
                <c:pt idx="0">
                  <c:v>  2024-2 $m3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QUIMICA'!$U$5:$U$33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QUIMICA'!$X$5:$X$33</c:f>
              <c:numCache>
                <c:formatCode>"$"\ #,##0</c:formatCode>
                <c:ptCount val="28"/>
                <c:pt idx="0">
                  <c:v>5250</c:v>
                </c:pt>
                <c:pt idx="1">
                  <c:v>5250</c:v>
                </c:pt>
                <c:pt idx="2">
                  <c:v>5250</c:v>
                </c:pt>
                <c:pt idx="3">
                  <c:v>5250</c:v>
                </c:pt>
                <c:pt idx="4">
                  <c:v>5250</c:v>
                </c:pt>
                <c:pt idx="5">
                  <c:v>5250</c:v>
                </c:pt>
                <c:pt idx="6">
                  <c:v>5250</c:v>
                </c:pt>
                <c:pt idx="7">
                  <c:v>5250</c:v>
                </c:pt>
                <c:pt idx="8">
                  <c:v>5250</c:v>
                </c:pt>
                <c:pt idx="9">
                  <c:v>5250</c:v>
                </c:pt>
                <c:pt idx="10">
                  <c:v>5250</c:v>
                </c:pt>
                <c:pt idx="11">
                  <c:v>5250</c:v>
                </c:pt>
                <c:pt idx="12">
                  <c:v>5250</c:v>
                </c:pt>
                <c:pt idx="13">
                  <c:v>5250</c:v>
                </c:pt>
                <c:pt idx="14">
                  <c:v>5250</c:v>
                </c:pt>
                <c:pt idx="15">
                  <c:v>5250</c:v>
                </c:pt>
                <c:pt idx="16">
                  <c:v>5250</c:v>
                </c:pt>
                <c:pt idx="17">
                  <c:v>5250</c:v>
                </c:pt>
                <c:pt idx="18">
                  <c:v>5250</c:v>
                </c:pt>
                <c:pt idx="19">
                  <c:v>5250</c:v>
                </c:pt>
                <c:pt idx="20">
                  <c:v>5250</c:v>
                </c:pt>
                <c:pt idx="21">
                  <c:v>5250</c:v>
                </c:pt>
                <c:pt idx="22">
                  <c:v>5250</c:v>
                </c:pt>
                <c:pt idx="23">
                  <c:v>5250</c:v>
                </c:pt>
                <c:pt idx="24">
                  <c:v>5250</c:v>
                </c:pt>
                <c:pt idx="25">
                  <c:v>5250</c:v>
                </c:pt>
                <c:pt idx="26">
                  <c:v>5250</c:v>
                </c:pt>
                <c:pt idx="27">
                  <c:v>5250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ser>
          <c:idx val="3"/>
          <c:order val="3"/>
          <c:tx>
            <c:strRef>
              <c:f>'DB QUIMICA'!$Y$4</c:f>
              <c:strCache>
                <c:ptCount val="1"/>
                <c:pt idx="0">
                  <c:v>  2024 $m3 GEM</c:v>
                </c:pt>
              </c:strCache>
            </c:strRef>
          </c:tx>
          <c:spPr>
            <a:ln w="28575" cap="rnd">
              <a:solidFill>
                <a:srgbClr val="0070C0">
                  <a:alpha val="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QUIMICA'!$U$5:$U$33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QUIMICA'!$Y$5:$Y$33</c:f>
              <c:numCache>
                <c:formatCode>"$"\ #,##0</c:formatCode>
                <c:ptCount val="28"/>
                <c:pt idx="0">
                  <c:v>4909</c:v>
                </c:pt>
                <c:pt idx="1">
                  <c:v>4909</c:v>
                </c:pt>
                <c:pt idx="2">
                  <c:v>4909</c:v>
                </c:pt>
                <c:pt idx="3">
                  <c:v>4909</c:v>
                </c:pt>
                <c:pt idx="4">
                  <c:v>4909</c:v>
                </c:pt>
                <c:pt idx="5">
                  <c:v>4909</c:v>
                </c:pt>
                <c:pt idx="6">
                  <c:v>4909</c:v>
                </c:pt>
                <c:pt idx="7">
                  <c:v>4909</c:v>
                </c:pt>
                <c:pt idx="8">
                  <c:v>4909</c:v>
                </c:pt>
                <c:pt idx="9">
                  <c:v>4909</c:v>
                </c:pt>
                <c:pt idx="10">
                  <c:v>4909</c:v>
                </c:pt>
                <c:pt idx="11">
                  <c:v>4909</c:v>
                </c:pt>
                <c:pt idx="12">
                  <c:v>4909</c:v>
                </c:pt>
                <c:pt idx="13">
                  <c:v>4909</c:v>
                </c:pt>
                <c:pt idx="14">
                  <c:v>4909</c:v>
                </c:pt>
                <c:pt idx="15">
                  <c:v>4909</c:v>
                </c:pt>
                <c:pt idx="16">
                  <c:v>4909</c:v>
                </c:pt>
                <c:pt idx="17">
                  <c:v>4909</c:v>
                </c:pt>
                <c:pt idx="18">
                  <c:v>4909</c:v>
                </c:pt>
                <c:pt idx="19">
                  <c:v>4909</c:v>
                </c:pt>
                <c:pt idx="20">
                  <c:v>4909</c:v>
                </c:pt>
                <c:pt idx="21">
                  <c:v>4909</c:v>
                </c:pt>
                <c:pt idx="22">
                  <c:v>4909</c:v>
                </c:pt>
                <c:pt idx="23">
                  <c:v>4909</c:v>
                </c:pt>
                <c:pt idx="24">
                  <c:v>4909</c:v>
                </c:pt>
                <c:pt idx="25">
                  <c:v>4909</c:v>
                </c:pt>
                <c:pt idx="26">
                  <c:v>4909</c:v>
                </c:pt>
                <c:pt idx="27">
                  <c:v>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53-4676-AD69-22D5128A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692992"/>
        <c:axId val="2004701152"/>
      </c:lineChart>
      <c:valAx>
        <c:axId val="531007184"/>
        <c:scaling>
          <c:orientation val="minMax"/>
          <c:max val="2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2004701152"/>
        <c:scaling>
          <c:orientation val="minMax"/>
          <c:max val="1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4692992"/>
        <c:crosses val="autoZero"/>
        <c:crossBetween val="between"/>
      </c:valAx>
      <c:catAx>
        <c:axId val="20046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470115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FEBRERO 2026.xlsx]DB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QUIMICA'!$AB$4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QUIMICA'!$AB$5:$AB$33</c:f>
              <c:numCache>
                <c:formatCode>General</c:formatCode>
                <c:ptCount val="28"/>
                <c:pt idx="0">
                  <c:v>0</c:v>
                </c:pt>
                <c:pt idx="1">
                  <c:v>837.58400000000006</c:v>
                </c:pt>
                <c:pt idx="2">
                  <c:v>1099.6590000000001</c:v>
                </c:pt>
                <c:pt idx="3">
                  <c:v>697.48299999999995</c:v>
                </c:pt>
                <c:pt idx="4">
                  <c:v>891.00900000000001</c:v>
                </c:pt>
                <c:pt idx="5">
                  <c:v>940.07600000000002</c:v>
                </c:pt>
                <c:pt idx="6">
                  <c:v>0</c:v>
                </c:pt>
                <c:pt idx="7">
                  <c:v>0</c:v>
                </c:pt>
                <c:pt idx="8">
                  <c:v>257</c:v>
                </c:pt>
                <c:pt idx="9">
                  <c:v>758.19399999999996</c:v>
                </c:pt>
                <c:pt idx="10">
                  <c:v>547.27200000000005</c:v>
                </c:pt>
                <c:pt idx="11">
                  <c:v>859.35299999999995</c:v>
                </c:pt>
                <c:pt idx="12">
                  <c:v>651.49399999999991</c:v>
                </c:pt>
                <c:pt idx="13">
                  <c:v>471.83499999999998</c:v>
                </c:pt>
                <c:pt idx="14">
                  <c:v>0</c:v>
                </c:pt>
                <c:pt idx="15">
                  <c:v>738.94299999999998</c:v>
                </c:pt>
                <c:pt idx="16">
                  <c:v>758.77500000000009</c:v>
                </c:pt>
                <c:pt idx="17">
                  <c:v>809.74900000000002</c:v>
                </c:pt>
                <c:pt idx="18">
                  <c:v>604.94299999999998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79.930999999999997</c:v>
                </c:pt>
                <c:pt idx="23">
                  <c:v>570.72</c:v>
                </c:pt>
                <c:pt idx="24">
                  <c:v>517.12799999999993</c:v>
                </c:pt>
                <c:pt idx="25">
                  <c:v>523.89099999999996</c:v>
                </c:pt>
                <c:pt idx="26">
                  <c:v>689.86900000000003</c:v>
                </c:pt>
                <c:pt idx="27">
                  <c:v>748.37099999999998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QUIMICA'!$AC$4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Pt>
            <c:idx val="18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6E-410A-937B-A73D3C28EAA3}"/>
              </c:ext>
            </c:extLst>
          </c:dPt>
          <c:dPt>
            <c:idx val="2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2D-436C-8922-C967781757AD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QUIMICA'!$AC$5:$AC$33</c:f>
              <c:numCache>
                <c:formatCode>_-"$"\ * #,##0_-;\-"$"\ * #,##0_-;_-"$"\ * "-"??_-;_-@_-</c:formatCode>
                <c:ptCount val="2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QUIMICA'!$AD$4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418-4A0F-BA35-BC5E8572085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418-4A0F-BA35-BC5E8572085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46E-410A-937B-A73D3C28EAA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46E-410A-937B-A73D3C28EAA3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46E-410A-937B-A73D3C28EAA3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46E-410A-937B-A73D3C28EAA3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46E-410A-937B-A73D3C28EAA3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762D-436C-8922-C967781757AD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E661-4651-968A-054DB8B6533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E661-4651-968A-054DB8B6533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E661-4651-968A-054DB8B65335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QUIMICA'!$AD$5:$AD$33</c:f>
              <c:numCache>
                <c:formatCode>"$"\ 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436.75388174161736</c:v>
                </c:pt>
                <c:pt idx="3">
                  <c:v>183.25447962248009</c:v>
                </c:pt>
                <c:pt idx="4">
                  <c:v>210.68449955405379</c:v>
                </c:pt>
                <c:pt idx="5">
                  <c:v>136.59339883158378</c:v>
                </c:pt>
                <c:pt idx="6">
                  <c:v>0</c:v>
                </c:pt>
                <c:pt idx="7">
                  <c:v>0</c:v>
                </c:pt>
                <c:pt idx="8">
                  <c:v>681.20797870161755</c:v>
                </c:pt>
                <c:pt idx="9">
                  <c:v>98.763890869202683</c:v>
                </c:pt>
                <c:pt idx="10">
                  <c:v>434.07000156181346</c:v>
                </c:pt>
                <c:pt idx="11">
                  <c:v>214.8677724312422</c:v>
                </c:pt>
                <c:pt idx="12">
                  <c:v>269.49051354514233</c:v>
                </c:pt>
                <c:pt idx="13">
                  <c:v>164.94148478532586</c:v>
                </c:pt>
                <c:pt idx="14">
                  <c:v>0</c:v>
                </c:pt>
                <c:pt idx="15">
                  <c:v>33.194783131552704</c:v>
                </c:pt>
                <c:pt idx="16">
                  <c:v>492.42625630994524</c:v>
                </c:pt>
                <c:pt idx="17">
                  <c:v>526.15145004972624</c:v>
                </c:pt>
                <c:pt idx="18">
                  <c:v>704.28223903130674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131.83979460847232</c:v>
                </c:pt>
                <c:pt idx="24">
                  <c:v>401.95500818691744</c:v>
                </c:pt>
                <c:pt idx="25">
                  <c:v>450.98662045911715</c:v>
                </c:pt>
                <c:pt idx="26">
                  <c:v>696.20296332385306</c:v>
                </c:pt>
                <c:pt idx="27">
                  <c:v>707.3322554834715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FEBRERO 2026.xlsx]DB QUIMICA!TablaDinámica4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QUIMICO PPM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QUIMICA'!$AH$4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QUIMICA'!$AH$5:$AH$33</c:f>
              <c:numCache>
                <c:formatCode>#,##0</c:formatCode>
                <c:ptCount val="28"/>
                <c:pt idx="0">
                  <c:v>0</c:v>
                </c:pt>
                <c:pt idx="1">
                  <c:v>837.58400000000006</c:v>
                </c:pt>
                <c:pt idx="2">
                  <c:v>1099.6590000000001</c:v>
                </c:pt>
                <c:pt idx="3">
                  <c:v>697.48299999999995</c:v>
                </c:pt>
                <c:pt idx="4">
                  <c:v>891.00900000000001</c:v>
                </c:pt>
                <c:pt idx="5">
                  <c:v>940.07600000000002</c:v>
                </c:pt>
                <c:pt idx="6">
                  <c:v>0</c:v>
                </c:pt>
                <c:pt idx="7">
                  <c:v>0</c:v>
                </c:pt>
                <c:pt idx="8">
                  <c:v>257</c:v>
                </c:pt>
                <c:pt idx="9">
                  <c:v>758.19399999999996</c:v>
                </c:pt>
                <c:pt idx="10">
                  <c:v>547.27200000000005</c:v>
                </c:pt>
                <c:pt idx="11">
                  <c:v>859.35299999999995</c:v>
                </c:pt>
                <c:pt idx="12">
                  <c:v>651.49399999999991</c:v>
                </c:pt>
                <c:pt idx="13">
                  <c:v>471.83499999999998</c:v>
                </c:pt>
                <c:pt idx="14">
                  <c:v>0</c:v>
                </c:pt>
                <c:pt idx="15">
                  <c:v>738.94299999999998</c:v>
                </c:pt>
                <c:pt idx="16">
                  <c:v>758.77500000000009</c:v>
                </c:pt>
                <c:pt idx="17">
                  <c:v>809.74900000000002</c:v>
                </c:pt>
                <c:pt idx="18">
                  <c:v>604.94299999999998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79.930999999999997</c:v>
                </c:pt>
                <c:pt idx="23">
                  <c:v>570.72</c:v>
                </c:pt>
                <c:pt idx="24">
                  <c:v>517.12799999999993</c:v>
                </c:pt>
                <c:pt idx="25">
                  <c:v>523.89099999999996</c:v>
                </c:pt>
                <c:pt idx="26">
                  <c:v>689.86900000000003</c:v>
                </c:pt>
                <c:pt idx="27">
                  <c:v>748.37099999999998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88-4851-80FF-D51C3EA2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102208"/>
        <c:axId val="776103648"/>
      </c:barChart>
      <c:lineChart>
        <c:grouping val="standard"/>
        <c:varyColors val="0"/>
        <c:ser>
          <c:idx val="1"/>
          <c:order val="1"/>
          <c:tx>
            <c:strRef>
              <c:f>'DB QUIMICA'!$AI$4</c:f>
              <c:strCache>
                <c:ptCount val="1"/>
                <c:pt idx="0">
                  <c:v> PPM HCL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QUIMICA'!$AI$5:$AI$33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8-4851-80FF-D51C3EA2110D}"/>
            </c:ext>
          </c:extLst>
        </c:ser>
        <c:ser>
          <c:idx val="2"/>
          <c:order val="2"/>
          <c:tx>
            <c:strRef>
              <c:f>'DB QUIMICA'!$AJ$4</c:f>
              <c:strCache>
                <c:ptCount val="1"/>
                <c:pt idx="0">
                  <c:v> PPM KURIVERTER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QUIMICA'!$AJ$5:$AJ$33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173.57853023751559</c:v>
                </c:pt>
                <c:pt idx="3">
                  <c:v>64.391936006690329</c:v>
                </c:pt>
                <c:pt idx="4">
                  <c:v>97.031725101404334</c:v>
                </c:pt>
                <c:pt idx="5">
                  <c:v>95.550318701369662</c:v>
                </c:pt>
                <c:pt idx="6">
                  <c:v>0</c:v>
                </c:pt>
                <c:pt idx="7">
                  <c:v>0</c:v>
                </c:pt>
                <c:pt idx="8">
                  <c:v>235.92054065123889</c:v>
                </c:pt>
                <c:pt idx="9">
                  <c:v>44.426901988561937</c:v>
                </c:pt>
                <c:pt idx="10">
                  <c:v>287.2300838634909</c:v>
                </c:pt>
                <c:pt idx="11">
                  <c:v>134.31565538667905</c:v>
                </c:pt>
                <c:pt idx="12">
                  <c:v>499.79590769480495</c:v>
                </c:pt>
                <c:pt idx="13">
                  <c:v>98.517936410643287</c:v>
                </c:pt>
                <c:pt idx="14">
                  <c:v>0</c:v>
                </c:pt>
                <c:pt idx="15">
                  <c:v>45.584315063970834</c:v>
                </c:pt>
                <c:pt idx="16">
                  <c:v>121.34054948910619</c:v>
                </c:pt>
                <c:pt idx="17">
                  <c:v>305.05445991245324</c:v>
                </c:pt>
                <c:pt idx="18">
                  <c:v>408.33193186738112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61.774846423600394</c:v>
                </c:pt>
                <c:pt idx="24">
                  <c:v>195.4112551997714</c:v>
                </c:pt>
                <c:pt idx="25">
                  <c:v>150.02451125915539</c:v>
                </c:pt>
                <c:pt idx="26">
                  <c:v>65.102621949608121</c:v>
                </c:pt>
                <c:pt idx="27">
                  <c:v>150.03347504698351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8-4851-80FF-D51C3EA2110D}"/>
            </c:ext>
          </c:extLst>
        </c:ser>
        <c:ser>
          <c:idx val="3"/>
          <c:order val="3"/>
          <c:tx>
            <c:strRef>
              <c:f>'DB QUIMICA'!$AK$4</c:f>
              <c:strCache>
                <c:ptCount val="1"/>
                <c:pt idx="0">
                  <c:v> PPM VITEC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QUIMICA'!$AK$5:$AK$33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248.88098085526127</c:v>
                </c:pt>
                <c:pt idx="3">
                  <c:v>105.64302001097629</c:v>
                </c:pt>
                <c:pt idx="4">
                  <c:v>118.13927569164494</c:v>
                </c:pt>
                <c:pt idx="5">
                  <c:v>71.886685085483535</c:v>
                </c:pt>
                <c:pt idx="6">
                  <c:v>0</c:v>
                </c:pt>
                <c:pt idx="7">
                  <c:v>0</c:v>
                </c:pt>
                <c:pt idx="8">
                  <c:v>393.20090108539813</c:v>
                </c:pt>
                <c:pt idx="9">
                  <c:v>55.533627485702574</c:v>
                </c:pt>
                <c:pt idx="10">
                  <c:v>230.80988881887646</c:v>
                </c:pt>
                <c:pt idx="11">
                  <c:v>115.38668595657677</c:v>
                </c:pt>
                <c:pt idx="12">
                  <c:v>96.94317175114756</c:v>
                </c:pt>
                <c:pt idx="13">
                  <c:v>89.237261241524564</c:v>
                </c:pt>
                <c:pt idx="14">
                  <c:v>0</c:v>
                </c:pt>
                <c:pt idx="15">
                  <c:v>14.245098457490883</c:v>
                </c:pt>
                <c:pt idx="16">
                  <c:v>291.32830098375302</c:v>
                </c:pt>
                <c:pt idx="17">
                  <c:v>285.98855616792497</c:v>
                </c:pt>
                <c:pt idx="18">
                  <c:v>382.81118612566979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73.775692384872968</c:v>
                </c:pt>
                <c:pt idx="24">
                  <c:v>223.90872991640475</c:v>
                </c:pt>
                <c:pt idx="25">
                  <c:v>261.20339013870807</c:v>
                </c:pt>
                <c:pt idx="26">
                  <c:v>427.235956544305</c:v>
                </c:pt>
                <c:pt idx="27">
                  <c:v>421.96914856964054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8-4851-80FF-D51C3EA2110D}"/>
            </c:ext>
          </c:extLst>
        </c:ser>
        <c:ser>
          <c:idx val="4"/>
          <c:order val="4"/>
          <c:tx>
            <c:strRef>
              <c:f>'DB QUIMICA'!$AL$4</c:f>
              <c:strCache>
                <c:ptCount val="1"/>
                <c:pt idx="0">
                  <c:v> PPM BISULFITO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QUIMICA'!$AL$5:$AL$33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8-4851-80FF-D51C3EA2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298072"/>
        <c:axId val="771295912"/>
      </c:lineChart>
      <c:catAx>
        <c:axId val="77129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5912"/>
        <c:crosses val="autoZero"/>
        <c:auto val="1"/>
        <c:lblAlgn val="ctr"/>
        <c:lblOffset val="100"/>
        <c:noMultiLvlLbl val="0"/>
      </c:catAx>
      <c:valAx>
        <c:axId val="771295912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8072"/>
        <c:crosses val="autoZero"/>
        <c:crossBetween val="between"/>
      </c:valAx>
      <c:valAx>
        <c:axId val="77610364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6102208"/>
        <c:crosses val="max"/>
        <c:crossBetween val="between"/>
      </c:valAx>
      <c:catAx>
        <c:axId val="77610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6103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FEBRERO 2026.xlsx]DB QUIMICA!TablaDinámica4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QUIMICO PPM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QUIMICA'!$AI$4</c:f>
              <c:strCache>
                <c:ptCount val="1"/>
                <c:pt idx="0">
                  <c:v> PPM HCL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QUIMICA'!$AI$5:$AI$33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F-42C7-9085-A621291A285A}"/>
            </c:ext>
          </c:extLst>
        </c:ser>
        <c:ser>
          <c:idx val="2"/>
          <c:order val="2"/>
          <c:tx>
            <c:strRef>
              <c:f>'DB QUIMICA'!$AJ$4</c:f>
              <c:strCache>
                <c:ptCount val="1"/>
                <c:pt idx="0">
                  <c:v> PPM KURIVERTER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QUIMICA'!$AJ$5:$AJ$33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173.57853023751559</c:v>
                </c:pt>
                <c:pt idx="3">
                  <c:v>64.391936006690329</c:v>
                </c:pt>
                <c:pt idx="4">
                  <c:v>97.031725101404334</c:v>
                </c:pt>
                <c:pt idx="5">
                  <c:v>95.550318701369662</c:v>
                </c:pt>
                <c:pt idx="6">
                  <c:v>0</c:v>
                </c:pt>
                <c:pt idx="7">
                  <c:v>0</c:v>
                </c:pt>
                <c:pt idx="8">
                  <c:v>235.92054065123889</c:v>
                </c:pt>
                <c:pt idx="9">
                  <c:v>44.426901988561937</c:v>
                </c:pt>
                <c:pt idx="10">
                  <c:v>287.2300838634909</c:v>
                </c:pt>
                <c:pt idx="11">
                  <c:v>134.31565538667905</c:v>
                </c:pt>
                <c:pt idx="12">
                  <c:v>499.79590769480495</c:v>
                </c:pt>
                <c:pt idx="13">
                  <c:v>98.517936410643287</c:v>
                </c:pt>
                <c:pt idx="14">
                  <c:v>0</c:v>
                </c:pt>
                <c:pt idx="15">
                  <c:v>45.584315063970834</c:v>
                </c:pt>
                <c:pt idx="16">
                  <c:v>121.34054948910619</c:v>
                </c:pt>
                <c:pt idx="17">
                  <c:v>305.05445991245324</c:v>
                </c:pt>
                <c:pt idx="18">
                  <c:v>408.33193186738112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61.774846423600394</c:v>
                </c:pt>
                <c:pt idx="24">
                  <c:v>195.4112551997714</c:v>
                </c:pt>
                <c:pt idx="25">
                  <c:v>150.02451125915539</c:v>
                </c:pt>
                <c:pt idx="26">
                  <c:v>65.102621949608121</c:v>
                </c:pt>
                <c:pt idx="27">
                  <c:v>150.03347504698351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F-42C7-9085-A621291A285A}"/>
            </c:ext>
          </c:extLst>
        </c:ser>
        <c:ser>
          <c:idx val="3"/>
          <c:order val="3"/>
          <c:tx>
            <c:strRef>
              <c:f>'DB QUIMICA'!$AK$4</c:f>
              <c:strCache>
                <c:ptCount val="1"/>
                <c:pt idx="0">
                  <c:v> PPM VITEC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QUIMICA'!$AK$5:$AK$33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248.88098085526127</c:v>
                </c:pt>
                <c:pt idx="3">
                  <c:v>105.64302001097629</c:v>
                </c:pt>
                <c:pt idx="4">
                  <c:v>118.13927569164494</c:v>
                </c:pt>
                <c:pt idx="5">
                  <c:v>71.886685085483535</c:v>
                </c:pt>
                <c:pt idx="6">
                  <c:v>0</c:v>
                </c:pt>
                <c:pt idx="7">
                  <c:v>0</c:v>
                </c:pt>
                <c:pt idx="8">
                  <c:v>393.20090108539813</c:v>
                </c:pt>
                <c:pt idx="9">
                  <c:v>55.533627485702574</c:v>
                </c:pt>
                <c:pt idx="10">
                  <c:v>230.80988881887646</c:v>
                </c:pt>
                <c:pt idx="11">
                  <c:v>115.38668595657677</c:v>
                </c:pt>
                <c:pt idx="12">
                  <c:v>96.94317175114756</c:v>
                </c:pt>
                <c:pt idx="13">
                  <c:v>89.237261241524564</c:v>
                </c:pt>
                <c:pt idx="14">
                  <c:v>0</c:v>
                </c:pt>
                <c:pt idx="15">
                  <c:v>14.245098457490883</c:v>
                </c:pt>
                <c:pt idx="16">
                  <c:v>291.32830098375302</c:v>
                </c:pt>
                <c:pt idx="17">
                  <c:v>285.98855616792497</c:v>
                </c:pt>
                <c:pt idx="18">
                  <c:v>382.81118612566979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73.775692384872968</c:v>
                </c:pt>
                <c:pt idx="24">
                  <c:v>223.90872991640475</c:v>
                </c:pt>
                <c:pt idx="25">
                  <c:v>261.20339013870807</c:v>
                </c:pt>
                <c:pt idx="26">
                  <c:v>427.235956544305</c:v>
                </c:pt>
                <c:pt idx="27">
                  <c:v>421.96914856964054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F-42C7-9085-A621291A285A}"/>
            </c:ext>
          </c:extLst>
        </c:ser>
        <c:ser>
          <c:idx val="4"/>
          <c:order val="4"/>
          <c:tx>
            <c:strRef>
              <c:f>'DB QUIMICA'!$AL$4</c:f>
              <c:strCache>
                <c:ptCount val="1"/>
                <c:pt idx="0">
                  <c:v> PPM BISULFITO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QUIMICA'!$AL$5:$AL$33</c:f>
              <c:numCache>
                <c:formatCode>#,##0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F-42C7-9085-A621291A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1298072"/>
        <c:axId val="771295912"/>
      </c:barChart>
      <c:lineChart>
        <c:grouping val="standard"/>
        <c:varyColors val="0"/>
        <c:ser>
          <c:idx val="0"/>
          <c:order val="0"/>
          <c:tx>
            <c:strRef>
              <c:f>'DB QUIMICA'!$AH$4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QUIMICA'!$AG$5:$AG$33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'DB QUIMICA'!$AH$5:$AH$33</c:f>
              <c:numCache>
                <c:formatCode>#,##0</c:formatCode>
                <c:ptCount val="28"/>
                <c:pt idx="0">
                  <c:v>0</c:v>
                </c:pt>
                <c:pt idx="1">
                  <c:v>837.58400000000006</c:v>
                </c:pt>
                <c:pt idx="2">
                  <c:v>1099.6590000000001</c:v>
                </c:pt>
                <c:pt idx="3">
                  <c:v>697.48299999999995</c:v>
                </c:pt>
                <c:pt idx="4">
                  <c:v>891.00900000000001</c:v>
                </c:pt>
                <c:pt idx="5">
                  <c:v>940.07600000000002</c:v>
                </c:pt>
                <c:pt idx="6">
                  <c:v>0</c:v>
                </c:pt>
                <c:pt idx="7">
                  <c:v>0</c:v>
                </c:pt>
                <c:pt idx="8">
                  <c:v>257</c:v>
                </c:pt>
                <c:pt idx="9">
                  <c:v>758.19399999999996</c:v>
                </c:pt>
                <c:pt idx="10">
                  <c:v>547.27200000000005</c:v>
                </c:pt>
                <c:pt idx="11">
                  <c:v>859.35299999999995</c:v>
                </c:pt>
                <c:pt idx="12">
                  <c:v>651.49399999999991</c:v>
                </c:pt>
                <c:pt idx="13">
                  <c:v>471.83499999999998</c:v>
                </c:pt>
                <c:pt idx="14">
                  <c:v>0</c:v>
                </c:pt>
                <c:pt idx="15">
                  <c:v>738.94299999999998</c:v>
                </c:pt>
                <c:pt idx="16">
                  <c:v>758.77500000000009</c:v>
                </c:pt>
                <c:pt idx="17">
                  <c:v>809.74900000000002</c:v>
                </c:pt>
                <c:pt idx="18">
                  <c:v>604.94299999999998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79.930999999999997</c:v>
                </c:pt>
                <c:pt idx="23">
                  <c:v>570.72</c:v>
                </c:pt>
                <c:pt idx="24">
                  <c:v>517.12799999999993</c:v>
                </c:pt>
                <c:pt idx="25">
                  <c:v>523.89099999999996</c:v>
                </c:pt>
                <c:pt idx="26">
                  <c:v>689.86900000000003</c:v>
                </c:pt>
                <c:pt idx="27">
                  <c:v>748.37099999999998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DF-42C7-9085-A621291A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4832096"/>
        <c:axId val="594832456"/>
      </c:lineChart>
      <c:catAx>
        <c:axId val="77129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5912"/>
        <c:crosses val="autoZero"/>
        <c:auto val="1"/>
        <c:lblAlgn val="ctr"/>
        <c:lblOffset val="100"/>
        <c:noMultiLvlLbl val="0"/>
      </c:catAx>
      <c:valAx>
        <c:axId val="77129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8072"/>
        <c:crosses val="autoZero"/>
        <c:crossBetween val="between"/>
      </c:valAx>
      <c:valAx>
        <c:axId val="59483245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4832096"/>
        <c:crosses val="max"/>
        <c:crossBetween val="between"/>
      </c:valAx>
      <c:catAx>
        <c:axId val="59483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48324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321450</xdr:colOff>
      <xdr:row>3</xdr:row>
      <xdr:rowOff>102774</xdr:rowOff>
    </xdr:from>
    <xdr:to>
      <xdr:col>0</xdr:col>
      <xdr:colOff>2154060</xdr:colOff>
      <xdr:row>10</xdr:row>
      <xdr:rowOff>120383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453178C-B9C2-8171-C76E-F61D26E26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50" y="9328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2566308</xdr:colOff>
      <xdr:row>3</xdr:row>
      <xdr:rowOff>99572</xdr:rowOff>
    </xdr:from>
    <xdr:to>
      <xdr:col>9</xdr:col>
      <xdr:colOff>2561808</xdr:colOff>
      <xdr:row>26</xdr:row>
      <xdr:rowOff>27186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0EFCD5-48BA-4A32-81CA-120726568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2573348</xdr:colOff>
      <xdr:row>28</xdr:row>
      <xdr:rowOff>58692</xdr:rowOff>
    </xdr:from>
    <xdr:to>
      <xdr:col>5</xdr:col>
      <xdr:colOff>1170214</xdr:colOff>
      <xdr:row>49</xdr:row>
      <xdr:rowOff>109352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324411</xdr:colOff>
      <xdr:row>30</xdr:row>
      <xdr:rowOff>109097</xdr:rowOff>
    </xdr:from>
    <xdr:to>
      <xdr:col>0</xdr:col>
      <xdr:colOff>2149401</xdr:colOff>
      <xdr:row>40</xdr:row>
      <xdr:rowOff>27130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411" y="6708562"/>
              <a:ext cx="1832610" cy="252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2503714</xdr:colOff>
      <xdr:row>59</xdr:row>
      <xdr:rowOff>50426</xdr:rowOff>
    </xdr:from>
    <xdr:to>
      <xdr:col>5</xdr:col>
      <xdr:colOff>1527643</xdr:colOff>
      <xdr:row>80</xdr:row>
      <xdr:rowOff>163286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391886</xdr:colOff>
      <xdr:row>61</xdr:row>
      <xdr:rowOff>35379</xdr:rowOff>
    </xdr:from>
    <xdr:to>
      <xdr:col>0</xdr:col>
      <xdr:colOff>2226401</xdr:colOff>
      <xdr:row>74</xdr:row>
      <xdr:rowOff>92532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886" y="1305741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40823</xdr:colOff>
      <xdr:row>63</xdr:row>
      <xdr:rowOff>40822</xdr:rowOff>
    </xdr:from>
    <xdr:to>
      <xdr:col>1</xdr:col>
      <xdr:colOff>721180</xdr:colOff>
      <xdr:row>64</xdr:row>
      <xdr:rowOff>40822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4041323" y="16736786"/>
          <a:ext cx="680357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0</xdr:col>
      <xdr:colOff>2449286</xdr:colOff>
      <xdr:row>108</xdr:row>
      <xdr:rowOff>136071</xdr:rowOff>
    </xdr:from>
    <xdr:to>
      <xdr:col>6</xdr:col>
      <xdr:colOff>1072715</xdr:colOff>
      <xdr:row>127</xdr:row>
      <xdr:rowOff>116571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AD033D9-3B89-43FC-8890-CD37C7E4A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2462893</xdr:colOff>
      <xdr:row>81</xdr:row>
      <xdr:rowOff>136071</xdr:rowOff>
    </xdr:from>
    <xdr:to>
      <xdr:col>5</xdr:col>
      <xdr:colOff>1486822</xdr:colOff>
      <xdr:row>106</xdr:row>
      <xdr:rowOff>53571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4D1542-F434-4A5D-B99D-59D5EF09B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0.11727</cdr:x>
      <cdr:y>0.47424</cdr:y>
    </cdr:from>
    <cdr:to>
      <cdr:x>0.18076</cdr:x>
      <cdr:y>0.53217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638573" y="2120252"/>
          <a:ext cx="887141" cy="259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$5.250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21.601595370368" createdVersion="8" refreshedVersion="8" minRefreshableVersion="3" recordCount="97" xr:uid="{B88EE19A-5615-4F82-AE52-3176984C19D2}">
  <cacheSource type="worksheet">
    <worksheetSource name="Tabla2"/>
  </cacheSource>
  <cacheFields count="62">
    <cacheField name="FECHA" numFmtId="14">
      <sharedItems containsNonDate="0" containsDate="1" containsString="0" containsBlank="1" minDate="2024-09-01T00:00:00" maxDate="2026-03-04T00:00:00" count="431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m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1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0"/>
        <n v="29" u="1"/>
        <n v="30" u="1"/>
        <n v="31" u="1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MixedTypes="1" containsNumber="1" minValue="-38.911749999999998" maxValue="156.251"/>
    </cacheField>
    <cacheField name="cm HCL (10%)" numFmtId="0">
      <sharedItems containsString="0" containsBlank="1" containsNumber="1" containsInteger="1" minValue="0" maxValue="0"/>
    </cacheField>
    <cacheField name="cm IK-220 (Biocida)" numFmtId="0">
      <sharedItems containsString="0" containsBlank="1" containsNumber="1" containsInteger="1" minValue="0" maxValue="122"/>
    </cacheField>
    <cacheField name="cm          Vitec 7000" numFmtId="0">
      <sharedItems containsString="0" containsBlank="1" containsNumber="1" containsInteger="1" minValue="0" maxValue="112"/>
    </cacheField>
    <cacheField name="cm NaOH" numFmtId="0">
      <sharedItems containsString="0" containsBlank="1" containsNumber="1" containsInteger="1" minValue="0" maxValue="0"/>
    </cacheField>
    <cacheField name="cm Bisulfito de sodio" numFmtId="0">
      <sharedItems containsString="0" containsBlank="1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0" maxValue="1070.1754385964914"/>
    </cacheField>
    <cacheField name="(INV -L) - VITEC 7000 (Antiincrustante)" numFmtId="1">
      <sharedItems containsSemiMixedTypes="0" containsString="0" containsNumber="1" minValue="0" maxValue="982.45614035087726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964.91228070175441"/>
    </cacheField>
    <cacheField name="CONSUMO (L) VITEC 7000 (Antiincrustante)" numFmtId="1">
      <sharedItems containsSemiMixedTypes="0" containsString="0" containsNumber="1" minValue="0" maxValue="701.75438596491233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1235.0877192982457"/>
    </cacheField>
    <cacheField name="CONSUMO (Kg) VITEC 7000 (Antiincrustante)" numFmtId="1">
      <sharedItems containsSemiMixedTypes="0" containsString="0" containsNumber="1" minValue="0" maxValue="842.1052631578948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VOLUMEN ENVIADO A RO (m3)" numFmtId="0">
      <sharedItems containsBlank="1" containsMixedTypes="1" containsNumber="1" minValue="-155.64699999999999" maxValue="625.00400000000002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-216.41413278968295" maxValue="654.34186499700434"/>
    </cacheField>
    <cacheField name="PPM  VITEC 7000 (Antiincrustante)" numFmtId="1">
      <sharedItems containsMixedTypes="1" containsNumber="1" minValue="-338.1470824838799" maxValue="1361.8566645860521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550" maxValue="15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560" maxValue="1560"/>
    </cacheField>
    <cacheField name="PRECIO Bisulfito de sodio " numFmtId="42">
      <sharedItems containsSemiMixedTypes="0" containsString="0" containsNumber="1" containsInteger="1" minValue="3640" maxValue="3640"/>
    </cacheField>
    <cacheField name="COSTO OPERATIVO HCL (10%)" numFmtId="42">
      <sharedItems containsSemiMixedTypes="0" containsString="0" containsNumber="1" containsInteger="1" minValue="0" maxValue="0"/>
    </cacheField>
    <cacheField name="COSTO OPERATIVO KURIVERTER IK-220 (Biocida)" numFmtId="42">
      <sharedItems containsSemiMixedTypes="0" containsString="0" containsNumber="1" minValue="0" maxValue="283971.36842105264"/>
    </cacheField>
    <cacheField name="COSTO OPERATIVO VITEC 7000 (Antiincrustante)" numFmtId="42">
      <sharedItems containsSemiMixedTypes="0" containsString="0" containsNumber="1" minValue="0" maxValue="1342750.3157894737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containsInteger="1" minValue="0" maxValue="0"/>
    </cacheField>
    <cacheField name="COSTO QUIMICA " numFmtId="42">
      <sharedItems containsSemiMixedTypes="0" containsString="0" containsNumber="1" minValue="0" maxValue="1626721.6842105263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-588.93887078487001" maxValue="2171.5022413890938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2-01T00:00:00" endDate="2026-03-04T00:00:00"/>
        <groupItems count="14">
          <s v="&lt;1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4/03/2026"/>
        </groupItems>
      </fieldGroup>
    </cacheField>
    <cacheField name="Trimestres (FECHA)" numFmtId="0" databaseField="0">
      <fieldGroup base="0">
        <rangePr groupBy="quarters" startDate="2026-02-01T00:00:00" endDate="2026-03-04T00:00:00"/>
        <groupItems count="6">
          <s v="&lt;1/02/2026"/>
          <s v="Trim.1"/>
          <s v="Trim.2"/>
          <s v="Trim.3"/>
          <s v="Trim.4"/>
          <s v="&gt;4/03/2026"/>
        </groupItems>
      </fieldGroup>
    </cacheField>
    <cacheField name="Años (FECHA)" numFmtId="0" databaseField="0">
      <fieldGroup base="0">
        <rangePr groupBy="years" startDate="2026-02-01T00:00:00" endDate="2026-03-04T00:00:00"/>
        <groupItems count="3">
          <s v="&lt;1/02/2026"/>
          <s v="2026"/>
          <s v="&gt;4/03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21.601597106484" createdVersion="8" refreshedVersion="8" minRefreshableVersion="3" recordCount="94" xr:uid="{C3C8AE66-DB41-4ED1-9375-F4773019D99D}">
  <cacheSource type="worksheet">
    <worksheetSource name="Tabla1"/>
  </cacheSource>
  <cacheFields count="54">
    <cacheField name="FECHA" numFmtId="0">
      <sharedItems containsNonDate="0" containsDate="1" containsString="0" containsBlank="1" minDate="2024-09-01T00:00:00" maxDate="2026-03-04T00:00:00" count="489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m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0">
      <sharedItems containsString="0" containsBlank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m/>
        <n v="29" u="1"/>
        <n v="30" u="1"/>
        <n v="31" u="1"/>
        <n v="3.6857142857142899" u="1"/>
      </sharedItems>
    </cacheField>
    <cacheField name="ANALISIS TURNO" numFmtId="0">
      <sharedItems containsBlank="1"/>
    </cacheField>
    <cacheField name="# TURNO" numFmtId="0">
      <sharedItems containsString="0" containsBlank="1" containsNumber="1" containsInteger="1" minValue="1" maxValue="93"/>
    </cacheField>
    <cacheField name="DILIGENCIAR BITACORA" numFmtId="0">
      <sharedItems containsBlank="1"/>
    </cacheField>
    <cacheField name="FINAL ACIDO (L)" numFmtId="0">
      <sharedItems containsString="0" containsBlank="1" containsNumber="1" containsInteger="1" minValue="100" maxValue="4360"/>
    </cacheField>
    <cacheField name="FINAL COAGULANTE (L)" numFmtId="0">
      <sharedItems containsString="0" containsBlank="1" containsNumber="1" containsInteger="1" minValue="1700" maxValue="6800"/>
    </cacheField>
    <cacheField name="FINAL DECOLORANTE (L)" numFmtId="0">
      <sharedItems containsString="0" containsBlank="1" containsNumber="1" containsInteger="1" minValue="330" maxValue="2810"/>
    </cacheField>
    <cacheField name="FINAL POL ANIONICO (KG)" numFmtId="3">
      <sharedItems containsString="0" containsBlank="1" containsNumber="1" minValue="40" maxValue="165"/>
    </cacheField>
    <cacheField name="FINAL POL CATIONICO (KG)" numFmtId="3">
      <sharedItems containsString="0" containsBlank="1" containsNumber="1" containsInteger="1" minValue="0" maxValue="295"/>
    </cacheField>
    <cacheField name="Lectura Horometro INICIAL (06:00)" numFmtId="3">
      <sharedItems containsString="0" containsBlank="1" containsNumber="1" containsInteger="1" minValue="16839" maxValue="17228"/>
    </cacheField>
    <cacheField name="CAUDAL TOTAL TRATADO GEM " numFmtId="3">
      <sharedItems containsSemiMixedTypes="0" containsString="0" containsNumber="1" containsInteger="1" minValue="-1378240" maxValue="640"/>
    </cacheField>
    <cacheField name="CAUDAL DE TRATAMIENTO" numFmtId="3">
      <sharedItems containsSemiMixedTypes="0" containsString="0" containsNumber="1" containsInteger="1" minValue="75" maxValue="80"/>
    </cacheField>
    <cacheField name="CONSUMO LITROS ACIDO (L)" numFmtId="3">
      <sharedItems containsSemiMixedTypes="0" containsString="0" containsNumber="1" containsInteger="1" minValue="0" maxValue="420"/>
    </cacheField>
    <cacheField name="CONSUMO LITROS COAGULANTE (L)" numFmtId="3">
      <sharedItems containsSemiMixedTypes="0" containsString="0" containsNumber="1" containsInteger="1" minValue="0" maxValue="4200"/>
    </cacheField>
    <cacheField name="CONSUMO LITROS DECOLORANTE (L)" numFmtId="3">
      <sharedItems containsSemiMixedTypes="0" containsString="0" containsNumber="1" containsInteger="1" minValue="0" maxValue="1900"/>
    </cacheField>
    <cacheField name="CONSUMO POL ANIONICO (KG)" numFmtId="3">
      <sharedItems containsSemiMixedTypes="0" containsString="0" containsNumber="1" minValue="0" maxValue="40"/>
    </cacheField>
    <cacheField name="CONSUMO POL CATIONICO (KG)" numFmtId="3">
      <sharedItems containsSemiMixedTypes="0" containsString="0" containsNumber="1" containsInteger="1" minValue="0" maxValue="155"/>
    </cacheField>
    <cacheField name="KG ACIDO" numFmtId="3">
      <sharedItems containsSemiMixedTypes="0" containsString="0" containsNumber="1" containsInteger="1" minValue="0" maxValue="546"/>
    </cacheField>
    <cacheField name="KG COAGULANTE" numFmtId="3">
      <sharedItems containsSemiMixedTypes="0" containsString="0" containsNumber="1" minValue="0" maxValue="5565"/>
    </cacheField>
    <cacheField name="KG DECOLORANTE " numFmtId="3">
      <sharedItems containsSemiMixedTypes="0" containsString="0" containsNumber="1" minValue="0" maxValue="2375"/>
    </cacheField>
    <cacheField name="KG POL ANIONICO " numFmtId="3">
      <sharedItems containsSemiMixedTypes="0" containsString="0" containsNumber="1" minValue="0" maxValue="40"/>
    </cacheField>
    <cacheField name="KG POL CATIONICO " numFmtId="3">
      <sharedItems containsSemiMixedTypes="0" containsString="0" containsNumber="1" containsInteger="1" minValue="0" maxValue="155"/>
    </cacheField>
    <cacheField name="PPM ACIDO " numFmtId="3">
      <sharedItems containsMixedTypes="1" containsNumber="1" minValue="0" maxValue="1473.3333333333333"/>
    </cacheField>
    <cacheField name="PPM COAGULANTE " numFmtId="3">
      <sharedItems containsMixedTypes="1" containsNumber="1" minValue="0" maxValue="1766.6666666666667"/>
    </cacheField>
    <cacheField name="PPM DECOLORANTE " numFmtId="3">
      <sharedItems containsMixedTypes="1" containsNumber="1" minValue="0" maxValue="468.75"/>
    </cacheField>
    <cacheField name="PPM POL ANIONICO " numFmtId="3">
      <sharedItems containsMixedTypes="1" containsNumber="1" minValue="0" maxValue="22.222222222222221"/>
    </cacheField>
    <cacheField name="PPM POL CATIONICO" numFmtId="3">
      <sharedItems containsMixedTypes="1" containsNumber="1" minValue="0" maxValue="31.25"/>
    </cacheField>
    <cacheField name="DENSIDAD ACIDO" numFmtId="0">
      <sharedItems containsString="0" containsBlank="1" containsNumber="1" minValue="1.3" maxValue="1.3"/>
    </cacheField>
    <cacheField name="DENSIDAD COAGULANTE" numFmtId="0">
      <sharedItems containsString="0" containsBlank="1" containsNumber="1" minValue="1.325" maxValue="1.325"/>
    </cacheField>
    <cacheField name="DENSIDAD DECOLORANTE" numFmtId="0">
      <sharedItems containsString="0" containsBlank="1" containsNumber="1" minValue="1.25" maxValue="1.25"/>
    </cacheField>
    <cacheField name="DENSIDAD ANIONICO" numFmtId="3">
      <sharedItems containsString="0" containsBlank="1" containsNumber="1" containsInteger="1" minValue="2500" maxValue="2500"/>
    </cacheField>
    <cacheField name="DENSIDAD CATIONICO" numFmtId="3">
      <sharedItems containsString="0" containsBlank="1" containsNumber="1" containsInteger="1" minValue="2500" maxValue="2500"/>
    </cacheField>
    <cacheField name="PRECIO (KG) ACIDO" numFmtId="165">
      <sharedItems containsString="0" containsBlank="1" containsNumber="1" containsInteger="1" minValue="830" maxValue="830"/>
    </cacheField>
    <cacheField name="PRECIO (KG) COAGULANTE" numFmtId="165">
      <sharedItems containsString="0" containsBlank="1" containsNumber="1" containsInteger="1" minValue="2900" maxValue="2900"/>
    </cacheField>
    <cacheField name="PRECIO (KG) DECOLORANTE" numFmtId="165">
      <sharedItems containsString="0" containsBlank="1" containsNumber="1" containsInteger="1" minValue="6295" maxValue="6295"/>
    </cacheField>
    <cacheField name="PRECIO (KG) ANIONICO" numFmtId="165">
      <sharedItems containsString="0" containsBlank="1" containsNumber="1" containsInteger="1" minValue="19050" maxValue="19050"/>
    </cacheField>
    <cacheField name="PRECIO (KG) CATIONICO" numFmtId="165">
      <sharedItems containsString="0" containsBlank="1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453180"/>
    </cacheField>
    <cacheField name="COSTO OPERATIVO COAGULANTE" numFmtId="165">
      <sharedItems containsSemiMixedTypes="0" containsString="0" containsNumber="1" containsInteger="1" minValue="0" maxValue="16138500"/>
    </cacheField>
    <cacheField name="COSTO OPERATIVO DECOLORANTE" numFmtId="165">
      <sharedItems containsSemiMixedTypes="0" containsString="0" containsNumber="1" minValue="0" maxValue="14950625"/>
    </cacheField>
    <cacheField name="COSTO OPERATIVO ANIONICO" numFmtId="165">
      <sharedItems containsSemiMixedTypes="0" containsString="0" containsNumber="1" containsInteger="1" minValue="0" maxValue="762000"/>
    </cacheField>
    <cacheField name="COSTO OPERATIVO CATIONICO" numFmtId="165">
      <sharedItems containsSemiMixedTypes="0" containsString="0" containsNumber="1" containsInteger="1" minValue="0" maxValue="3417750"/>
    </cacheField>
    <cacheField name="COSTO QUIMICA " numFmtId="165">
      <sharedItems containsSemiMixedTypes="0" containsString="0" containsNumber="1" minValue="0" maxValue="35430725"/>
    </cacheField>
    <cacheField name="LIMITE INDICADOR M3" numFmtId="165">
      <sharedItems containsString="0" containsBlank="1" containsNumber="1" containsInteger="1" minValue="5250" maxValue="5250"/>
    </cacheField>
    <cacheField name="$ m3" numFmtId="165">
      <sharedItems containsMixedTypes="1" containsNumber="1" minValue="0" maxValue="8568.1166666666668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KG ACIDO'*1000)/'CAUDAL TOTAL TRATADO GEM '" databaseField="0"/>
    <cacheField name="COF 235 - PPM COAGULANTE " numFmtId="0" formula=" ('KG COAGULANTE'*1000)/'CAUDAL TOTAL TRATADO GEM '" databaseField="0"/>
    <cacheField name="COF 255 - PPM DECOLORANTE" numFmtId="0" formula="('KG DECOLORANTE '*1000)/'CAUDAL TOTAL TRATADO GEM '" databaseField="0"/>
    <cacheField name="COF 440 - PPM POL ANIONICO" numFmtId="0" formula="('KG POL ANIONICO '*1000)/'CAUDAL TOTAL TRATADO GEM '" databaseField="0"/>
    <cacheField name="COF 494 - PPM POL CATIONICO" numFmtId="0" formula="('KG POL CATIONICO '*1000)/'CAUDAL TOTAL TRATADO GEM '" databaseField="0"/>
    <cacheField name="2024 $m3 GEM" numFmtId="0" formula="('LIMITE INDICADOR M3'-'LIMITE INDICADOR M3')+4909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x v="0"/>
    <s v="1 (NOCHE)"/>
    <m/>
    <m/>
    <m/>
    <m/>
    <m/>
    <n v="0"/>
    <n v="0"/>
    <n v="38"/>
    <n v="68"/>
    <n v="0"/>
    <n v="0"/>
    <n v="0"/>
    <n v="333.33333333333337"/>
    <n v="596.49122807017545"/>
    <n v="0"/>
    <n v="0"/>
    <n v="0"/>
    <n v="0"/>
    <n v="0"/>
    <n v="0"/>
    <n v="0"/>
    <n v="1.18"/>
    <n v="1.28"/>
    <n v="1.2"/>
    <n v="1.53"/>
    <n v="1.2"/>
    <n v="0"/>
    <n v="38"/>
    <n v="68"/>
    <n v="0"/>
    <n v="0"/>
    <n v="0"/>
    <e v="#DIV/0!"/>
    <e v="#DIV/0!"/>
    <e v="#DIV/0!"/>
    <e v="#DIV/0!"/>
    <e v="#DIV/0!"/>
    <n v="1550"/>
    <n v="19160"/>
    <n v="36239"/>
    <n v="1560"/>
    <n v="3640"/>
    <n v="0"/>
    <n v="8736.9600000000009"/>
    <n v="108427.088"/>
    <n v="0"/>
    <n v="0"/>
    <n v="117164.04800000001"/>
    <n v="1000"/>
    <e v="#DIV/0!"/>
  </r>
  <r>
    <x v="0"/>
    <x v="0"/>
    <s v="2 (MAÑANA)"/>
    <m/>
    <m/>
    <m/>
    <m/>
    <m/>
    <n v="0"/>
    <n v="0"/>
    <n v="38"/>
    <n v="68"/>
    <n v="0"/>
    <n v="0"/>
    <n v="0"/>
    <n v="333.33333333333337"/>
    <n v="596.49122807017545"/>
    <n v="0"/>
    <n v="0"/>
    <n v="0"/>
    <n v="0"/>
    <n v="0"/>
    <n v="0"/>
    <n v="0"/>
    <n v="1.18"/>
    <n v="1.28"/>
    <n v="1.2"/>
    <n v="1.53"/>
    <n v="1.2"/>
    <n v="0"/>
    <n v="38"/>
    <n v="68"/>
    <n v="0"/>
    <n v="0"/>
    <n v="0"/>
    <e v="#DIV/0!"/>
    <e v="#DIV/0!"/>
    <e v="#DIV/0!"/>
    <e v="#DIV/0!"/>
    <e v="#DIV/0!"/>
    <n v="1550"/>
    <n v="19160"/>
    <n v="36239"/>
    <n v="1560"/>
    <n v="3640"/>
    <n v="0"/>
    <n v="8736.9600000000009"/>
    <n v="108427.088"/>
    <n v="0"/>
    <n v="0"/>
    <n v="117164.04800000001"/>
    <n v="1000"/>
    <e v="#DIV/0!"/>
  </r>
  <r>
    <x v="0"/>
    <x v="0"/>
    <s v="3(TARDE)"/>
    <m/>
    <m/>
    <m/>
    <m/>
    <m/>
    <n v="0"/>
    <n v="0"/>
    <n v="38"/>
    <n v="68"/>
    <n v="0"/>
    <n v="0"/>
    <n v="0"/>
    <n v="333.33333333333337"/>
    <n v="596.49122807017545"/>
    <n v="0"/>
    <n v="0"/>
    <n v="0"/>
    <n v="0"/>
    <n v="0"/>
    <n v="0"/>
    <n v="0"/>
    <n v="1.18"/>
    <n v="1.28"/>
    <n v="1.2"/>
    <n v="1.53"/>
    <n v="1.2"/>
    <n v="0"/>
    <n v="38"/>
    <n v="68"/>
    <n v="0"/>
    <n v="0"/>
    <n v="0"/>
    <e v="#DIV/0!"/>
    <e v="#DIV/0!"/>
    <e v="#DIV/0!"/>
    <e v="#DIV/0!"/>
    <e v="#DIV/0!"/>
    <n v="1550"/>
    <n v="19160"/>
    <n v="36239"/>
    <n v="1560"/>
    <n v="3640"/>
    <n v="0"/>
    <n v="8736.9600000000009"/>
    <n v="108427.088"/>
    <n v="0"/>
    <n v="0"/>
    <n v="117164.04800000001"/>
    <n v="1000"/>
    <e v="#DIV/0!"/>
  </r>
  <r>
    <x v="1"/>
    <x v="1"/>
    <s v="1 (NOCHE)"/>
    <m/>
    <m/>
    <m/>
    <m/>
    <m/>
    <n v="41.28649999999999"/>
    <n v="0"/>
    <n v="38"/>
    <n v="68"/>
    <n v="0"/>
    <n v="0"/>
    <n v="0"/>
    <n v="333.33333333333337"/>
    <n v="596.4912280701754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65.145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1"/>
    <x v="1"/>
    <s v="2 (MAÑANA)"/>
    <m/>
    <m/>
    <m/>
    <m/>
    <m/>
    <n v="77.084999999999994"/>
    <n v="0"/>
    <n v="38"/>
    <n v="68"/>
    <n v="0"/>
    <n v="0"/>
    <n v="0"/>
    <n v="333.33333333333337"/>
    <n v="596.4912280701754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8.33999999999997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1"/>
    <x v="1"/>
    <s v="3(TARDE)"/>
    <m/>
    <m/>
    <m/>
    <m/>
    <m/>
    <n v="91.024500000000018"/>
    <n v="0"/>
    <n v="38"/>
    <n v="68"/>
    <n v="0"/>
    <n v="0"/>
    <n v="0"/>
    <n v="333.33333333333337"/>
    <n v="596.4912280701754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64.098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"/>
    <x v="2"/>
    <s v="1 (NOCHE)"/>
    <m/>
    <m/>
    <m/>
    <m/>
    <m/>
    <n v="99.468250000000012"/>
    <n v="0"/>
    <n v="38"/>
    <n v="68"/>
    <n v="0"/>
    <n v="0"/>
    <n v="0"/>
    <n v="333.33333333333337"/>
    <n v="596.4912280701754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97.872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"/>
    <x v="2"/>
    <s v="2 (MAÑANA)"/>
    <m/>
    <m/>
    <m/>
    <m/>
    <m/>
    <n v="95.882999999999996"/>
    <n v="0"/>
    <n v="38"/>
    <n v="68"/>
    <n v="0"/>
    <n v="0"/>
    <n v="0"/>
    <n v="333.33333333333337"/>
    <n v="596.49122807017545"/>
    <n v="0"/>
    <n v="0"/>
    <n v="0"/>
    <n v="43.859649122807014"/>
    <n v="105.26315789473682"/>
    <n v="0"/>
    <n v="0"/>
    <n v="1.18"/>
    <n v="1.28"/>
    <n v="1.2"/>
    <n v="1.53"/>
    <n v="1.2"/>
    <n v="0"/>
    <n v="56.140350877192979"/>
    <n v="126.31578947368418"/>
    <n v="0"/>
    <n v="0"/>
    <n v="383.53199999999998"/>
    <n v="0"/>
    <n v="162.00204557957926"/>
    <n v="364.50460255405324"/>
    <n v="0"/>
    <n v="0"/>
    <n v="1550"/>
    <n v="19160"/>
    <n v="36239"/>
    <n v="1560"/>
    <n v="3640"/>
    <n v="0"/>
    <n v="12907.78947368421"/>
    <n v="201412.54736842102"/>
    <n v="0"/>
    <n v="0"/>
    <n v="214320.33684210523"/>
    <n v="1000"/>
    <n v="618.45593116573571"/>
  </r>
  <r>
    <x v="2"/>
    <x v="2"/>
    <s v="3(TARDE)"/>
    <m/>
    <m/>
    <m/>
    <m/>
    <m/>
    <n v="79.563500000000005"/>
    <n v="0"/>
    <n v="33"/>
    <n v="56"/>
    <n v="0"/>
    <n v="0"/>
    <n v="0"/>
    <n v="289.47368421052636"/>
    <n v="491.22807017543863"/>
    <n v="0"/>
    <n v="0"/>
    <n v="0"/>
    <n v="105.26315789473688"/>
    <n v="122.80701754385967"/>
    <n v="0"/>
    <n v="0"/>
    <n v="1.18"/>
    <n v="1.28"/>
    <n v="1.2"/>
    <n v="1.53"/>
    <n v="1.2"/>
    <n v="0"/>
    <n v="134.73684210526321"/>
    <n v="147.36842105263159"/>
    <n v="0"/>
    <n v="0"/>
    <n v="318.25400000000002"/>
    <n v="0"/>
    <n v="215.57756767198802"/>
    <n v="235.78796464123684"/>
    <n v="0"/>
    <n v="0"/>
    <n v="1550"/>
    <n v="19160"/>
    <n v="36239"/>
    <n v="1560"/>
    <n v="3640"/>
    <n v="0"/>
    <n v="30978.694736842117"/>
    <n v="234981.30526315788"/>
    <n v="0"/>
    <n v="0"/>
    <n v="265960"/>
    <n v="1000"/>
    <n v="425.53327658702983"/>
  </r>
  <r>
    <x v="3"/>
    <x v="3"/>
    <s v="1 (NOCHE)"/>
    <m/>
    <m/>
    <m/>
    <m/>
    <m/>
    <n v="76.375249999999994"/>
    <n v="0"/>
    <n v="21"/>
    <n v="42"/>
    <n v="0"/>
    <n v="0"/>
    <n v="0"/>
    <n v="184.21052631578948"/>
    <n v="368.42105263157896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05.50099999999998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"/>
    <x v="3"/>
    <s v="2 (MAÑANA)"/>
    <m/>
    <m/>
    <m/>
    <m/>
    <m/>
    <n v="78.03125"/>
    <n v="0"/>
    <n v="21"/>
    <n v="42"/>
    <n v="0"/>
    <n v="0"/>
    <n v="0"/>
    <n v="184.21052631578948"/>
    <n v="368.42105263157896"/>
    <n v="0"/>
    <n v="0"/>
    <n v="0"/>
    <n v="17.543859649122794"/>
    <n v="35.087719298245588"/>
    <n v="0"/>
    <n v="0"/>
    <n v="1.18"/>
    <n v="1.28"/>
    <n v="1.2"/>
    <n v="1.53"/>
    <n v="1.2"/>
    <n v="0"/>
    <n v="22.456140350877178"/>
    <n v="42.105263157894704"/>
    <n v="0"/>
    <n v="0"/>
    <n v="312.125"/>
    <e v="#DIV/0!"/>
    <e v="#DIV/0!"/>
    <e v="#DIV/0!"/>
    <e v="#DIV/0!"/>
    <e v="#DIV/0!"/>
    <n v="1550"/>
    <n v="19160"/>
    <n v="36239"/>
    <n v="1560"/>
    <n v="3640"/>
    <n v="0"/>
    <n v="5163.1157894736807"/>
    <n v="67137.515789473633"/>
    <n v="0"/>
    <n v="0"/>
    <n v="72300.631578947316"/>
    <n v="1000"/>
    <e v="#DIV/0!"/>
  </r>
  <r>
    <x v="3"/>
    <x v="3"/>
    <s v="3(TARDE)"/>
    <m/>
    <m/>
    <m/>
    <m/>
    <m/>
    <n v="19.964249999999996"/>
    <n v="0"/>
    <n v="19"/>
    <n v="38"/>
    <n v="0"/>
    <n v="0"/>
    <n v="0"/>
    <n v="166.66666666666669"/>
    <n v="333.33333333333337"/>
    <n v="0"/>
    <n v="0"/>
    <n v="0"/>
    <n v="17.543859649122822"/>
    <n v="26.31578947368422"/>
    <n v="0"/>
    <n v="0"/>
    <n v="1.18"/>
    <n v="1.28"/>
    <n v="1.2"/>
    <n v="1.53"/>
    <n v="1.2"/>
    <n v="0"/>
    <n v="22.456140350877213"/>
    <n v="31.578947368421062"/>
    <n v="0"/>
    <n v="0"/>
    <n v="79.856999999999999"/>
    <n v="0"/>
    <n v="181.43590358552797"/>
    <n v="255.14423941714855"/>
    <n v="0"/>
    <n v="0"/>
    <n v="1550"/>
    <n v="19160"/>
    <n v="36239"/>
    <n v="1560"/>
    <n v="3640"/>
    <n v="0"/>
    <n v="5163.1157894736898"/>
    <n v="50353.136842105276"/>
    <n v="0"/>
    <n v="0"/>
    <n v="55516.252631578966"/>
    <n v="1000"/>
    <n v="448.54731501085865"/>
  </r>
  <r>
    <x v="4"/>
    <x v="4"/>
    <s v="1 (NOCHE)"/>
    <m/>
    <m/>
    <m/>
    <m/>
    <m/>
    <n v="62.320500000000003"/>
    <n v="0"/>
    <n v="17"/>
    <n v="35"/>
    <n v="0"/>
    <n v="0"/>
    <n v="0"/>
    <n v="149.12280701754386"/>
    <n v="307.01754385964915"/>
    <n v="0"/>
    <n v="0"/>
    <n v="0"/>
    <n v="14.912280701754383"/>
    <n v="17.543859649122794"/>
    <n v="0"/>
    <n v="0"/>
    <n v="1.18"/>
    <n v="1.28"/>
    <n v="1.2"/>
    <n v="1.53"/>
    <n v="1.2"/>
    <n v="0"/>
    <n v="19.087719298245613"/>
    <n v="21.052631578947352"/>
    <n v="0"/>
    <n v="0"/>
    <n v="249.28200000000001"/>
    <n v="0"/>
    <n v="94.564349083946993"/>
    <n v="104.2989144308238"/>
    <n v="0"/>
    <n v="0"/>
    <n v="1550"/>
    <n v="19160"/>
    <n v="36239"/>
    <n v="1560"/>
    <n v="3640"/>
    <n v="0"/>
    <n v="4388.6484210526314"/>
    <n v="33568.757894736817"/>
    <n v="0"/>
    <n v="0"/>
    <n v="37957.406315789449"/>
    <n v="1000"/>
    <n v="188.04852298396054"/>
  </r>
  <r>
    <x v="4"/>
    <x v="4"/>
    <s v="2 (MAÑANA)"/>
    <m/>
    <m/>
    <m/>
    <m/>
    <m/>
    <n v="86.635249999999999"/>
    <n v="0"/>
    <n v="21"/>
    <n v="33"/>
    <n v="0"/>
    <n v="0"/>
    <n v="0"/>
    <n v="184.21052631578948"/>
    <n v="289.47368421052636"/>
    <n v="0"/>
    <n v="0"/>
    <n v="0"/>
    <n v="17.543859649122794"/>
    <n v="35.087719298245645"/>
    <n v="0"/>
    <n v="0"/>
    <n v="1.18"/>
    <n v="1.28"/>
    <n v="1.2"/>
    <n v="1.53"/>
    <n v="1.2"/>
    <n v="0"/>
    <n v="22.456140350877178"/>
    <n v="42.105263157894775"/>
    <n v="0"/>
    <n v="0"/>
    <n v="346.541"/>
    <n v="0"/>
    <n v="110.40275096054698"/>
    <n v="207.00515805102594"/>
    <n v="0"/>
    <n v="0"/>
    <n v="1550"/>
    <n v="19160"/>
    <n v="36239"/>
    <n v="1560"/>
    <n v="3640"/>
    <n v="0"/>
    <n v="5163.1157894736807"/>
    <n v="67137.515789473735"/>
    <n v="0"/>
    <n v="0"/>
    <n v="72300.631578947417"/>
    <n v="1000"/>
    <n v="355.45683709573859"/>
  </r>
  <r>
    <x v="4"/>
    <x v="4"/>
    <s v="3(TARDE)"/>
    <m/>
    <m/>
    <m/>
    <m/>
    <m/>
    <n v="73.796500000000009"/>
    <n v="0"/>
    <n v="19"/>
    <n v="29"/>
    <n v="0"/>
    <n v="0"/>
    <n v="0"/>
    <n v="166.66666666666669"/>
    <n v="254.38596491228071"/>
    <n v="0"/>
    <n v="0"/>
    <n v="0"/>
    <n v="35.087719298245617"/>
    <n v="35.087719298245617"/>
    <n v="0"/>
    <n v="0"/>
    <n v="1.18"/>
    <n v="1.28"/>
    <n v="1.2"/>
    <n v="1.53"/>
    <n v="1.2"/>
    <n v="0"/>
    <n v="44.912280701754391"/>
    <n v="42.10526315789474"/>
    <n v="0"/>
    <n v="0"/>
    <n v="295.18599999999998"/>
    <n v="0"/>
    <n v="181.8936909533823"/>
    <n v="170.52533526879591"/>
    <n v="0"/>
    <n v="0"/>
    <n v="1550"/>
    <n v="19160"/>
    <n v="36239"/>
    <n v="1560"/>
    <n v="3640"/>
    <n v="0"/>
    <n v="10326.231578947371"/>
    <n v="67137.515789473677"/>
    <n v="0"/>
    <n v="0"/>
    <n v="77463.747368421042"/>
    <n v="1000"/>
    <n v="313.72637291546096"/>
  </r>
  <r>
    <x v="5"/>
    <x v="5"/>
    <s v="1 (NOCHE)"/>
    <m/>
    <m/>
    <m/>
    <m/>
    <m/>
    <n v="-1.3500000000000002E-2"/>
    <n v="0"/>
    <n v="15"/>
    <n v="25"/>
    <n v="0"/>
    <n v="0"/>
    <n v="0"/>
    <n v="131.57894736842107"/>
    <n v="219.2982456140351"/>
    <n v="0"/>
    <n v="0"/>
    <n v="0"/>
    <n v="17.543859649122822"/>
    <n v="52.631578947368411"/>
    <n v="0"/>
    <n v="0"/>
    <n v="1.18"/>
    <n v="1.28"/>
    <n v="1.2"/>
    <n v="1.53"/>
    <n v="1.2"/>
    <n v="0"/>
    <n v="22.456140350877213"/>
    <n v="63.157894736842088"/>
    <n v="0"/>
    <n v="0"/>
    <n v="-5.3999999999999999E-2"/>
    <n v="0"/>
    <n v="104.90827287789219"/>
    <n v="295.05451746907141"/>
    <n v="0"/>
    <n v="0"/>
    <n v="1550"/>
    <n v="19160"/>
    <n v="36239"/>
    <n v="1560"/>
    <n v="3640"/>
    <n v="0"/>
    <n v="5163.1157894736898"/>
    <n v="100706.27368421051"/>
    <n v="0"/>
    <n v="0"/>
    <n v="105869.38947368419"/>
    <n v="1000"/>
    <n v="494.58965907679891"/>
  </r>
  <r>
    <x v="5"/>
    <x v="5"/>
    <s v="2 (MAÑANA)"/>
    <m/>
    <m/>
    <m/>
    <m/>
    <m/>
    <n v="156.251"/>
    <n v="0"/>
    <n v="13"/>
    <n v="19"/>
    <n v="0"/>
    <n v="0"/>
    <n v="0"/>
    <n v="114.03508771929825"/>
    <n v="166.66666666666669"/>
    <n v="0"/>
    <n v="0"/>
    <n v="0"/>
    <n v="52.631578947368418"/>
    <n v="3.6842105263157805"/>
    <n v="0"/>
    <n v="0"/>
    <n v="1.18"/>
    <n v="1.28"/>
    <n v="1.2"/>
    <n v="1.53"/>
    <n v="1.2"/>
    <n v="0"/>
    <n v="67.368421052631575"/>
    <n v="4.4210526315789362"/>
    <n v="0"/>
    <n v="0"/>
    <n v="625.00400000000002"/>
    <n v="0"/>
    <n v="467.81676494473544"/>
    <n v="30.700475199498193"/>
    <n v="0"/>
    <n v="0"/>
    <n v="1550"/>
    <n v="19160"/>
    <n v="36239"/>
    <n v="1560"/>
    <n v="3640"/>
    <n v="0"/>
    <n v="15489.347368421053"/>
    <n v="7049.4391578947188"/>
    <n v="0"/>
    <n v="0"/>
    <n v="22538.786526315773"/>
    <n v="1000"/>
    <n v="156.51282950929664"/>
  </r>
  <r>
    <x v="5"/>
    <x v="5"/>
    <s v="3(TARDE)"/>
    <m/>
    <m/>
    <m/>
    <m/>
    <m/>
    <n v="78.781499999999994"/>
    <n v="0"/>
    <n v="7"/>
    <n v="22"/>
    <n v="0"/>
    <n v="0"/>
    <n v="0"/>
    <n v="61.403508771929829"/>
    <n v="192.9824561403509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15.12599999999998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6"/>
    <x v="6"/>
    <s v="1 (NOCHE)"/>
    <m/>
    <m/>
    <m/>
    <m/>
    <m/>
    <n v="0"/>
    <n v="0"/>
    <n v="7"/>
    <n v="22"/>
    <n v="0"/>
    <n v="0"/>
    <n v="0"/>
    <n v="61.403508771929829"/>
    <n v="192.98245614035091"/>
    <n v="0"/>
    <n v="0"/>
    <n v="0"/>
    <n v="17.543859649122808"/>
    <n v="8.7719298245614254"/>
    <n v="0"/>
    <n v="0"/>
    <n v="1.18"/>
    <n v="1.28"/>
    <n v="1.2"/>
    <n v="1.53"/>
    <n v="1.2"/>
    <n v="0"/>
    <n v="22.456140350877195"/>
    <n v="10.52631578947371"/>
    <n v="0"/>
    <n v="0"/>
    <n v="0"/>
    <n v="0"/>
    <n v="112.60952155733339"/>
    <n v="52.785713230000155"/>
    <n v="0"/>
    <n v="0"/>
    <n v="1550"/>
    <n v="19160"/>
    <n v="36239"/>
    <n v="1560"/>
    <n v="3640"/>
    <n v="0"/>
    <n v="5163.1157894736853"/>
    <n v="16784.378947368463"/>
    <n v="0"/>
    <n v="0"/>
    <n v="21947.494736842149"/>
    <n v="1000"/>
    <n v="110.05884551310902"/>
  </r>
  <r>
    <x v="6"/>
    <x v="6"/>
    <s v="2 (MAÑANA)"/>
    <m/>
    <m/>
    <m/>
    <m/>
    <m/>
    <n v="0"/>
    <n v="0"/>
    <n v="5"/>
    <n v="21"/>
    <n v="0"/>
    <n v="0"/>
    <n v="0"/>
    <n v="43.859649122807021"/>
    <n v="184.21052631578948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6"/>
    <x v="6"/>
    <s v="3(TARDE)"/>
    <m/>
    <m/>
    <m/>
    <m/>
    <m/>
    <n v="0"/>
    <n v="0"/>
    <n v="5"/>
    <n v="21"/>
    <n v="0"/>
    <n v="0"/>
    <n v="0"/>
    <n v="43.859649122807021"/>
    <n v="184.21052631578948"/>
    <n v="0"/>
    <n v="0"/>
    <n v="0"/>
    <n v="0"/>
    <n v="300"/>
    <n v="0"/>
    <n v="0"/>
    <n v="1.18"/>
    <n v="1.28"/>
    <n v="1.2"/>
    <n v="1.53"/>
    <n v="1.2"/>
    <n v="0"/>
    <n v="0"/>
    <n v="360"/>
    <n v="0"/>
    <n v="0"/>
    <n v="0"/>
    <n v="0"/>
    <n v="0"/>
    <n v="1361.8566645860521"/>
    <n v="0"/>
    <n v="0"/>
    <n v="1550"/>
    <n v="19160"/>
    <n v="36239"/>
    <n v="1560"/>
    <n v="3640"/>
    <n v="0"/>
    <n v="0"/>
    <n v="574025.76"/>
    <n v="0"/>
    <n v="0"/>
    <n v="574025.76"/>
    <n v="1000"/>
    <n v="2171.5022413890938"/>
  </r>
  <r>
    <x v="7"/>
    <x v="7"/>
    <s v="1 (NOCHE)"/>
    <m/>
    <m/>
    <m/>
    <m/>
    <m/>
    <n v="0"/>
    <n v="0"/>
    <n v="5"/>
    <n v="21"/>
    <n v="0"/>
    <n v="0"/>
    <n v="0"/>
    <n v="43.859649122807021"/>
    <n v="184.21052631578948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7"/>
    <x v="7"/>
    <s v="2 (MAÑANA)"/>
    <m/>
    <m/>
    <m/>
    <m/>
    <m/>
    <n v="0"/>
    <n v="0"/>
    <n v="5"/>
    <n v="21"/>
    <n v="0"/>
    <n v="0"/>
    <n v="0"/>
    <n v="43.859649122807021"/>
    <n v="184.21052631578948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7"/>
    <x v="7"/>
    <s v="3(TARDE)"/>
    <m/>
    <m/>
    <m/>
    <m/>
    <m/>
    <n v="0"/>
    <n v="0"/>
    <n v="5"/>
    <n v="21"/>
    <n v="0"/>
    <n v="0"/>
    <n v="0"/>
    <n v="43.859649122807021"/>
    <n v="184.21052631578948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8"/>
    <x v="8"/>
    <s v="1 (NOCHE)"/>
    <m/>
    <m/>
    <m/>
    <m/>
    <m/>
    <n v="5.942499999999999"/>
    <n v="0"/>
    <n v="5"/>
    <n v="21"/>
    <n v="0"/>
    <n v="0"/>
    <n v="0"/>
    <n v="43.859649122807021"/>
    <n v="184.21052631578948"/>
    <n v="0"/>
    <n v="0"/>
    <n v="0"/>
    <n v="12.280701754385973"/>
    <n v="40.350877192982466"/>
    <n v="0"/>
    <n v="0"/>
    <n v="1.18"/>
    <n v="1.28"/>
    <n v="1.2"/>
    <n v="1.53"/>
    <n v="1.2"/>
    <n v="0"/>
    <n v="15.719298245614045"/>
    <n v="48.421052631578959"/>
    <n v="0"/>
    <n v="0"/>
    <n v="23.77"/>
    <e v="#REF!"/>
    <e v="#REF!"/>
    <e v="#REF!"/>
    <e v="#REF!"/>
    <e v="#REF!"/>
    <n v="1550"/>
    <n v="19160"/>
    <n v="36239"/>
    <n v="1560"/>
    <n v="3640"/>
    <n v="0"/>
    <n v="3614.1810526315812"/>
    <n v="77208.143157894752"/>
    <n v="0"/>
    <n v="0"/>
    <n v="80822.324210526334"/>
    <n v="1000"/>
    <e v="#REF!"/>
  </r>
  <r>
    <x v="8"/>
    <x v="8"/>
    <s v="2 (MAÑANA)"/>
    <m/>
    <m/>
    <m/>
    <m/>
    <m/>
    <n v="30.942250000000005"/>
    <n v="0"/>
    <n v="72"/>
    <n v="62"/>
    <n v="0"/>
    <n v="0"/>
    <n v="0"/>
    <n v="631.57894736842104"/>
    <n v="543.85964912280701"/>
    <n v="0"/>
    <n v="0"/>
    <n v="0"/>
    <n v="17.543859649122737"/>
    <n v="26.315789473684163"/>
    <n v="0"/>
    <n v="0"/>
    <n v="1.18"/>
    <n v="1.28"/>
    <n v="1.2"/>
    <n v="1.53"/>
    <n v="1.2"/>
    <n v="0"/>
    <n v="22.456140350877103"/>
    <n v="31.578947368420994"/>
    <n v="0"/>
    <n v="0"/>
    <n v="123.76900000000001"/>
    <e v="#REF!"/>
    <e v="#REF!"/>
    <e v="#REF!"/>
    <e v="#REF!"/>
    <e v="#REF!"/>
    <n v="1550"/>
    <n v="19160"/>
    <n v="36239"/>
    <n v="1560"/>
    <n v="3640"/>
    <n v="0"/>
    <n v="5163.1157894736643"/>
    <n v="50353.136842105174"/>
    <n v="0"/>
    <n v="0"/>
    <n v="55516.252631578842"/>
    <n v="1000"/>
    <e v="#REF!"/>
  </r>
  <r>
    <x v="8"/>
    <x v="8"/>
    <s v="3(TARDE)"/>
    <m/>
    <m/>
    <m/>
    <m/>
    <m/>
    <n v="27.36525"/>
    <n v="0"/>
    <n v="70"/>
    <n v="59"/>
    <n v="0"/>
    <n v="0"/>
    <n v="0"/>
    <n v="614.0350877192983"/>
    <n v="517.54385964912285"/>
    <n v="0"/>
    <n v="0"/>
    <n v="0"/>
    <n v="17.543859649122851"/>
    <n v="17.543859649122794"/>
    <n v="0"/>
    <n v="0"/>
    <n v="1.18"/>
    <n v="1.28"/>
    <n v="1.2"/>
    <n v="1.53"/>
    <n v="1.2"/>
    <n v="0"/>
    <n v="22.456140350877249"/>
    <n v="21.052631578947352"/>
    <n v="0"/>
    <n v="0"/>
    <n v="109.461"/>
    <e v="#REF!"/>
    <e v="#REF!"/>
    <e v="#REF!"/>
    <e v="#REF!"/>
    <e v="#REF!"/>
    <n v="1550"/>
    <n v="19160"/>
    <n v="36239"/>
    <n v="1560"/>
    <n v="3640"/>
    <n v="0"/>
    <n v="5163.1157894736971"/>
    <n v="33568.757894736817"/>
    <n v="0"/>
    <n v="0"/>
    <n v="38731.873684210514"/>
    <n v="1000"/>
    <e v="#REF!"/>
  </r>
  <r>
    <x v="9"/>
    <x v="9"/>
    <s v="1 (NOCHE)"/>
    <m/>
    <m/>
    <m/>
    <m/>
    <m/>
    <n v="59.135750000000002"/>
    <n v="0"/>
    <n v="68"/>
    <n v="57"/>
    <n v="0"/>
    <n v="0"/>
    <n v="0"/>
    <n v="596.49122807017545"/>
    <n v="500.00000000000006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36.54300000000001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9"/>
    <x v="9"/>
    <s v="2 (MAÑANA)"/>
    <m/>
    <m/>
    <m/>
    <m/>
    <m/>
    <n v="50.462249999999997"/>
    <n v="0"/>
    <n v="68"/>
    <n v="57"/>
    <n v="0"/>
    <n v="0"/>
    <n v="0"/>
    <n v="596.49122807017545"/>
    <n v="500.00000000000006"/>
    <n v="0"/>
    <n v="0"/>
    <n v="0"/>
    <n v="26.315789473684163"/>
    <n v="35.087719298245645"/>
    <n v="0"/>
    <n v="0"/>
    <n v="1.18"/>
    <n v="1.28"/>
    <n v="1.2"/>
    <n v="1.53"/>
    <n v="1.2"/>
    <n v="0"/>
    <n v="33.684210526315731"/>
    <n v="42.105263157894775"/>
    <n v="0"/>
    <n v="0"/>
    <n v="201.84899999999999"/>
    <e v="#REF!"/>
    <e v="#REF!"/>
    <e v="#REF!"/>
    <e v="#REF!"/>
    <e v="#REF!"/>
    <n v="1550"/>
    <n v="19160"/>
    <n v="36239"/>
    <n v="1560"/>
    <n v="3640"/>
    <n v="0"/>
    <n v="7744.6736842105138"/>
    <n v="67137.515789473735"/>
    <n v="0"/>
    <n v="0"/>
    <n v="74882.189473684251"/>
    <n v="1000"/>
    <e v="#REF!"/>
  </r>
  <r>
    <x v="9"/>
    <x v="9"/>
    <s v="3(TARDE)"/>
    <m/>
    <m/>
    <m/>
    <m/>
    <m/>
    <n v="79.950500000000005"/>
    <n v="0"/>
    <n v="65"/>
    <n v="53"/>
    <n v="0"/>
    <n v="0"/>
    <n v="0"/>
    <n v="570.17543859649129"/>
    <n v="464.9122807017544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19.80200000000002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0"/>
    <x v="10"/>
    <s v="1 (NOCHE)"/>
    <m/>
    <m/>
    <m/>
    <m/>
    <m/>
    <n v="33.066499999999998"/>
    <n v="0"/>
    <n v="65"/>
    <n v="53"/>
    <n v="0"/>
    <n v="0"/>
    <n v="0"/>
    <n v="570.17543859649129"/>
    <n v="464.91228070175441"/>
    <n v="0"/>
    <n v="0"/>
    <n v="0"/>
    <n v="26.315789473684276"/>
    <n v="17.543859649122794"/>
    <n v="0"/>
    <n v="0"/>
    <n v="1.18"/>
    <n v="1.28"/>
    <n v="1.2"/>
    <n v="1.53"/>
    <n v="1.2"/>
    <n v="0"/>
    <n v="33.684210526315873"/>
    <n v="21.052631578947352"/>
    <n v="0"/>
    <n v="0"/>
    <n v="132.26599999999999"/>
    <e v="#REF!"/>
    <e v="#REF!"/>
    <e v="#REF!"/>
    <e v="#REF!"/>
    <e v="#REF!"/>
    <n v="1550"/>
    <n v="19160"/>
    <n v="36239"/>
    <n v="1560"/>
    <n v="3640"/>
    <n v="0"/>
    <n v="7744.6736842105456"/>
    <n v="33568.757894736817"/>
    <n v="0"/>
    <n v="0"/>
    <n v="41313.431578947362"/>
    <n v="1000"/>
    <e v="#REF!"/>
  </r>
  <r>
    <x v="10"/>
    <x v="10"/>
    <s v="2 (MAÑANA)"/>
    <m/>
    <m/>
    <m/>
    <m/>
    <m/>
    <n v="50.850499999999997"/>
    <n v="0"/>
    <n v="62"/>
    <n v="51"/>
    <n v="0"/>
    <n v="0"/>
    <n v="0"/>
    <n v="543.85964912280701"/>
    <n v="447.36842105263162"/>
    <n v="0"/>
    <n v="0"/>
    <n v="0"/>
    <n v="26.315789473684163"/>
    <n v="35.087719298245645"/>
    <n v="0"/>
    <n v="0"/>
    <n v="1.18"/>
    <n v="1.28"/>
    <n v="1.2"/>
    <n v="1.53"/>
    <n v="1.2"/>
    <n v="0"/>
    <n v="33.684210526315731"/>
    <n v="42.105263157894775"/>
    <n v="0"/>
    <n v="0"/>
    <n v="203.40199999999999"/>
    <e v="#REF!"/>
    <e v="#REF!"/>
    <e v="#REF!"/>
    <e v="#REF!"/>
    <e v="#REF!"/>
    <n v="1550"/>
    <n v="19160"/>
    <n v="36239"/>
    <n v="1560"/>
    <n v="3640"/>
    <n v="0"/>
    <n v="7744.6736842105138"/>
    <n v="67137.515789473735"/>
    <n v="0"/>
    <n v="0"/>
    <n v="74882.189473684251"/>
    <n v="1000"/>
    <e v="#REF!"/>
  </r>
  <r>
    <x v="10"/>
    <x v="10"/>
    <s v="3(TARDE)"/>
    <m/>
    <m/>
    <m/>
    <m/>
    <m/>
    <n v="52.90100000000001"/>
    <n v="0"/>
    <n v="59"/>
    <n v="47"/>
    <n v="0"/>
    <n v="0"/>
    <n v="0"/>
    <n v="517.54385964912285"/>
    <n v="412.28070175438597"/>
    <n v="0"/>
    <n v="0"/>
    <n v="0"/>
    <n v="70.175438596491233"/>
    <n v="52.631578947368382"/>
    <n v="0"/>
    <n v="0"/>
    <n v="1.18"/>
    <n v="1.28"/>
    <n v="1.2"/>
    <n v="1.53"/>
    <n v="1.2"/>
    <n v="0"/>
    <n v="89.824561403508781"/>
    <n v="63.157894736842053"/>
    <n v="0"/>
    <n v="0"/>
    <n v="211.60400000000001"/>
    <e v="#REF!"/>
    <e v="#REF!"/>
    <e v="#REF!"/>
    <e v="#REF!"/>
    <e v="#REF!"/>
    <n v="1550"/>
    <n v="19160"/>
    <n v="36239"/>
    <n v="1560"/>
    <n v="3640"/>
    <n v="0"/>
    <n v="20652.463157894741"/>
    <n v="100706.27368421044"/>
    <n v="0"/>
    <n v="0"/>
    <n v="121358.73684210518"/>
    <n v="1000"/>
    <e v="#REF!"/>
  </r>
  <r>
    <x v="11"/>
    <x v="11"/>
    <s v="1 (NOCHE)"/>
    <m/>
    <m/>
    <m/>
    <m/>
    <m/>
    <n v="82.420749999999998"/>
    <n v="0"/>
    <n v="51"/>
    <n v="41"/>
    <n v="0"/>
    <n v="0"/>
    <n v="0"/>
    <n v="447.36842105263162"/>
    <n v="359.6491228070175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29.68299999999999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1"/>
    <x v="11"/>
    <s v="2 (MAÑANA)"/>
    <m/>
    <m/>
    <m/>
    <m/>
    <m/>
    <n v="61.728749999999991"/>
    <n v="0"/>
    <n v="51"/>
    <n v="41"/>
    <n v="0"/>
    <n v="0"/>
    <n v="0"/>
    <n v="447.36842105263162"/>
    <n v="359.64912280701759"/>
    <n v="0"/>
    <n v="0"/>
    <n v="0"/>
    <n v="8.7719298245614254"/>
    <n v="17.543859649122851"/>
    <n v="0"/>
    <n v="0"/>
    <n v="1.18"/>
    <n v="1.28"/>
    <n v="1.2"/>
    <n v="1.53"/>
    <n v="1.2"/>
    <n v="0"/>
    <n v="11.228070175438624"/>
    <n v="21.05263157894742"/>
    <n v="0"/>
    <n v="0"/>
    <n v="246.91499999999999"/>
    <e v="#REF!"/>
    <e v="#REF!"/>
    <e v="#REF!"/>
    <e v="#REF!"/>
    <e v="#REF!"/>
    <n v="1550"/>
    <n v="19160"/>
    <n v="36239"/>
    <n v="1560"/>
    <n v="3640"/>
    <n v="0"/>
    <n v="2581.5578947368485"/>
    <n v="33568.757894736926"/>
    <n v="0"/>
    <n v="0"/>
    <n v="36150.315789473774"/>
    <n v="1000"/>
    <e v="#REF!"/>
  </r>
  <r>
    <x v="11"/>
    <x v="11"/>
    <s v="3(TARDE)"/>
    <m/>
    <n v="0"/>
    <n v="0"/>
    <m/>
    <m/>
    <n v="70.688750000000013"/>
    <n v="0"/>
    <n v="50"/>
    <n v="39"/>
    <n v="0"/>
    <n v="0"/>
    <n v="0"/>
    <n v="438.59649122807019"/>
    <n v="342.10526315789474"/>
    <n v="0"/>
    <n v="0"/>
    <n v="0"/>
    <n v="81.403508771929808"/>
    <n v="65.087719298245588"/>
    <n v="0"/>
    <n v="0"/>
    <n v="1.18"/>
    <n v="1.28"/>
    <n v="1.2"/>
    <n v="1.53"/>
    <n v="1.2"/>
    <n v="0"/>
    <n v="104.19649122807016"/>
    <n v="78.105263157894697"/>
    <n v="0"/>
    <n v="0"/>
    <n v="282.755"/>
    <e v="#REF!"/>
    <e v="#REF!"/>
    <e v="#REF!"/>
    <e v="#REF!"/>
    <e v="#REF!"/>
    <n v="1550"/>
    <n v="19160"/>
    <n v="36239"/>
    <n v="1560"/>
    <n v="3640"/>
    <n v="0"/>
    <n v="23956.85726315789"/>
    <n v="124540.0917894736"/>
    <n v="0"/>
    <n v="0"/>
    <n v="148496.94905263151"/>
    <n v="1000"/>
    <e v="#REF!"/>
  </r>
  <r>
    <x v="12"/>
    <x v="12"/>
    <s v="1 (NOCHE)"/>
    <m/>
    <m/>
    <m/>
    <m/>
    <m/>
    <n v="66.757499999999979"/>
    <n v="0"/>
    <n v="43"/>
    <n v="35"/>
    <n v="0"/>
    <n v="0"/>
    <n v="0"/>
    <n v="377.19298245614038"/>
    <n v="307.0175438596491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7.02999999999997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2"/>
    <x v="12"/>
    <s v="2 (MAÑANA)"/>
    <m/>
    <m/>
    <m/>
    <m/>
    <m/>
    <n v="53.513750000000002"/>
    <n v="0"/>
    <n v="43"/>
    <n v="35"/>
    <n v="0"/>
    <n v="0"/>
    <n v="0"/>
    <n v="377.19298245614038"/>
    <n v="307.0175438596491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14.05500000000001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2"/>
    <x v="12"/>
    <s v="3(TARDE)"/>
    <m/>
    <m/>
    <m/>
    <m/>
    <m/>
    <n v="42.602249999999998"/>
    <n v="0"/>
    <n v="43"/>
    <n v="35"/>
    <n v="0"/>
    <n v="0"/>
    <n v="0"/>
    <n v="377.19298245614038"/>
    <n v="307.01754385964915"/>
    <n v="0"/>
    <n v="0"/>
    <n v="0"/>
    <n v="254.38596491228066"/>
    <n v="52.631578947368439"/>
    <n v="0"/>
    <n v="0"/>
    <n v="1.18"/>
    <n v="1.28"/>
    <n v="1.2"/>
    <n v="1.53"/>
    <n v="1.2"/>
    <n v="0"/>
    <n v="325.61403508771923"/>
    <n v="63.157894736842124"/>
    <n v="0"/>
    <n v="0"/>
    <n v="170.40899999999999"/>
    <e v="#REF!"/>
    <e v="#REF!"/>
    <e v="#REF!"/>
    <e v="#REF!"/>
    <e v="#REF!"/>
    <n v="1550"/>
    <n v="19160"/>
    <n v="36239"/>
    <n v="1560"/>
    <n v="3640"/>
    <n v="0"/>
    <n v="74865.178947368404"/>
    <n v="100706.27368421055"/>
    <n v="0"/>
    <n v="0"/>
    <n v="175571.45263157896"/>
    <n v="1000"/>
    <e v="#REF!"/>
  </r>
  <r>
    <x v="13"/>
    <x v="13"/>
    <s v="1 (NOCHE)"/>
    <m/>
    <m/>
    <m/>
    <m/>
    <m/>
    <n v="49.64425"/>
    <n v="0"/>
    <n v="71"/>
    <n v="29"/>
    <n v="0"/>
    <n v="0"/>
    <n v="0"/>
    <n v="622.80701754385973"/>
    <n v="254.38596491228071"/>
    <n v="0"/>
    <n v="0"/>
    <n v="0"/>
    <n v="26.315789473684276"/>
    <n v="35.087719298245617"/>
    <n v="0"/>
    <n v="0"/>
    <n v="1.18"/>
    <n v="1.28"/>
    <n v="1.2"/>
    <n v="1.53"/>
    <n v="1.2"/>
    <n v="0"/>
    <n v="33.684210526315873"/>
    <n v="42.10526315789474"/>
    <n v="0"/>
    <n v="0"/>
    <n v="198.577"/>
    <e v="#REF!"/>
    <e v="#REF!"/>
    <e v="#REF!"/>
    <e v="#REF!"/>
    <e v="#REF!"/>
    <n v="1550"/>
    <n v="19160"/>
    <n v="36239"/>
    <n v="1560"/>
    <n v="3640"/>
    <n v="0"/>
    <n v="7744.6736842105456"/>
    <n v="67137.515789473677"/>
    <n v="0"/>
    <n v="0"/>
    <n v="74882.189473684222"/>
    <n v="1000"/>
    <e v="#REF!"/>
  </r>
  <r>
    <x v="13"/>
    <x v="13"/>
    <s v="2 (MAÑANA)"/>
    <m/>
    <m/>
    <m/>
    <m/>
    <m/>
    <n v="36.0015"/>
    <n v="0"/>
    <n v="68"/>
    <n v="25"/>
    <n v="0"/>
    <n v="0"/>
    <n v="0"/>
    <n v="596.49122807017545"/>
    <n v="219.298245614035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44.006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3"/>
    <x v="13"/>
    <s v="3(TARDE)"/>
    <m/>
    <m/>
    <m/>
    <m/>
    <m/>
    <n v="32.312999999999995"/>
    <n v="0"/>
    <n v="68"/>
    <n v="25"/>
    <n v="0"/>
    <n v="0"/>
    <n v="0"/>
    <n v="596.49122807017545"/>
    <n v="219.2982456140351"/>
    <n v="0"/>
    <n v="0"/>
    <n v="0"/>
    <n v="10"/>
    <n v="0"/>
    <n v="0"/>
    <n v="0"/>
    <n v="1.18"/>
    <n v="1.28"/>
    <n v="1.2"/>
    <n v="1.53"/>
    <n v="1.2"/>
    <n v="0"/>
    <n v="12.8"/>
    <n v="0"/>
    <n v="0"/>
    <n v="0"/>
    <n v="129.25200000000001"/>
    <e v="#REF!"/>
    <e v="#REF!"/>
    <e v="#REF!"/>
    <e v="#REF!"/>
    <e v="#REF!"/>
    <n v="1550"/>
    <n v="19160"/>
    <n v="36239"/>
    <n v="1560"/>
    <n v="3640"/>
    <n v="0"/>
    <n v="2942.9760000000001"/>
    <n v="0"/>
    <n v="0"/>
    <n v="0"/>
    <n v="2942.9760000000001"/>
    <n v="1000"/>
    <e v="#REF!"/>
  </r>
  <r>
    <x v="14"/>
    <x v="14"/>
    <s v="1 (NOCHE)"/>
    <m/>
    <m/>
    <m/>
    <m/>
    <m/>
    <n v="0"/>
    <n v="0"/>
    <n v="68"/>
    <n v="25"/>
    <n v="0"/>
    <n v="0"/>
    <n v="0"/>
    <n v="596.49122807017545"/>
    <n v="219.298245614035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4"/>
    <x v="14"/>
    <s v="2 (MAÑANA)"/>
    <m/>
    <m/>
    <m/>
    <m/>
    <m/>
    <n v="0"/>
    <n v="0"/>
    <n v="68"/>
    <n v="25"/>
    <n v="0"/>
    <n v="0"/>
    <n v="0"/>
    <n v="596.49122807017545"/>
    <n v="219.2982456140351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4"/>
    <x v="14"/>
    <s v="3(TARDE)"/>
    <m/>
    <m/>
    <m/>
    <m/>
    <m/>
    <n v="0"/>
    <n v="0"/>
    <n v="68"/>
    <n v="25"/>
    <n v="0"/>
    <n v="0"/>
    <n v="0"/>
    <n v="596.49122807017545"/>
    <n v="219.2982456140351"/>
    <n v="0"/>
    <n v="0"/>
    <n v="0"/>
    <n v="166.66666666666663"/>
    <n v="184.21052631578948"/>
    <n v="0"/>
    <n v="0"/>
    <n v="1.18"/>
    <n v="1.28"/>
    <n v="1.2"/>
    <n v="1.53"/>
    <n v="1.2"/>
    <n v="0"/>
    <n v="213.33333333333329"/>
    <n v="221.05263157894737"/>
    <n v="0"/>
    <n v="0"/>
    <n v="0"/>
    <e v="#REF!"/>
    <e v="#REF!"/>
    <e v="#REF!"/>
    <e v="#REF!"/>
    <e v="#REF!"/>
    <n v="1550"/>
    <n v="19160"/>
    <n v="36239"/>
    <n v="1560"/>
    <n v="3640"/>
    <n v="0"/>
    <n v="49049.599999999991"/>
    <n v="352471.95789473684"/>
    <n v="0"/>
    <n v="0"/>
    <n v="401521.55789473682"/>
    <n v="1000"/>
    <e v="#REF!"/>
  </r>
  <r>
    <x v="15"/>
    <x v="15"/>
    <s v="1 (NOCHE)"/>
    <m/>
    <m/>
    <m/>
    <m/>
    <m/>
    <n v="37.477249999999998"/>
    <n v="0"/>
    <n v="49"/>
    <n v="4"/>
    <n v="0"/>
    <n v="0"/>
    <n v="0"/>
    <n v="429.82456140350882"/>
    <n v="35.0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49.90899999999999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5"/>
    <x v="15"/>
    <s v="2 (MAÑANA)"/>
    <m/>
    <m/>
    <m/>
    <m/>
    <m/>
    <n v="49.854000000000006"/>
    <n v="0"/>
    <n v="49"/>
    <n v="4"/>
    <n v="0"/>
    <n v="0"/>
    <n v="0"/>
    <n v="429.82456140350882"/>
    <n v="35.0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99.416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5"/>
    <x v="15"/>
    <s v="3(TARDE)"/>
    <m/>
    <m/>
    <m/>
    <m/>
    <m/>
    <n v="97.404499999999985"/>
    <n v="0"/>
    <n v="49"/>
    <n v="4"/>
    <n v="0"/>
    <n v="0"/>
    <n v="0"/>
    <n v="429.82456140350882"/>
    <n v="35.087719298245617"/>
    <n v="0"/>
    <n v="0"/>
    <n v="0"/>
    <n v="26.31578947368422"/>
    <n v="8.7719298245614041"/>
    <n v="0"/>
    <n v="0"/>
    <n v="1.18"/>
    <n v="1.28"/>
    <n v="1.2"/>
    <n v="1.53"/>
    <n v="1.2"/>
    <n v="0"/>
    <n v="33.684210526315802"/>
    <n v="10.526315789473685"/>
    <n v="0"/>
    <n v="0"/>
    <n v="389.61799999999999"/>
    <e v="#REF!"/>
    <e v="#REF!"/>
    <e v="#REF!"/>
    <e v="#REF!"/>
    <e v="#REF!"/>
    <n v="1550"/>
    <n v="19160"/>
    <n v="36239"/>
    <n v="1560"/>
    <n v="3640"/>
    <n v="0"/>
    <n v="7744.6736842105292"/>
    <n v="16784.378947368419"/>
    <n v="0"/>
    <n v="0"/>
    <n v="24529.052631578947"/>
    <n v="1000"/>
    <e v="#REF!"/>
  </r>
  <r>
    <x v="16"/>
    <x v="16"/>
    <s v="1 (NOCHE)"/>
    <m/>
    <m/>
    <m/>
    <m/>
    <m/>
    <n v="42.085500000000003"/>
    <n v="0"/>
    <n v="46"/>
    <n v="3"/>
    <n v="0"/>
    <n v="0"/>
    <n v="0"/>
    <n v="403.5087719298246"/>
    <n v="26.315789473684212"/>
    <n v="0"/>
    <n v="0"/>
    <n v="0"/>
    <n v="10.526315789473699"/>
    <n v="166.66666666666652"/>
    <n v="0"/>
    <n v="0"/>
    <n v="1.18"/>
    <n v="1.28"/>
    <n v="1.2"/>
    <n v="1.53"/>
    <n v="1.2"/>
    <n v="0"/>
    <n v="13.473684210526335"/>
    <n v="199.9999999999998"/>
    <n v="0"/>
    <n v="0"/>
    <n v="168.34200000000001"/>
    <e v="#REF!"/>
    <e v="#REF!"/>
    <e v="#REF!"/>
    <e v="#REF!"/>
    <e v="#REF!"/>
    <n v="1550"/>
    <n v="19160"/>
    <n v="36239"/>
    <n v="1560"/>
    <n v="3640"/>
    <n v="0"/>
    <n v="3097.8694736842149"/>
    <n v="318903.19999999966"/>
    <n v="0"/>
    <n v="0"/>
    <n v="322001.06947368389"/>
    <n v="1000"/>
    <e v="#REF!"/>
  </r>
  <r>
    <x v="16"/>
    <x v="16"/>
    <s v="2 (MAÑANA)"/>
    <m/>
    <m/>
    <m/>
    <m/>
    <m/>
    <n v="54.258749999999999"/>
    <n v="0"/>
    <n v="79"/>
    <n v="98"/>
    <n v="0"/>
    <n v="0"/>
    <n v="0"/>
    <n v="692.98245614035091"/>
    <n v="859.6491228070176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17.035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6"/>
    <x v="16"/>
    <s v="3(TARDE)"/>
    <m/>
    <m/>
    <m/>
    <m/>
    <m/>
    <n v="93.34950000000002"/>
    <n v="0"/>
    <n v="79"/>
    <n v="98"/>
    <n v="0"/>
    <n v="0"/>
    <n v="0"/>
    <n v="692.98245614035091"/>
    <n v="859.64912280701765"/>
    <n v="0"/>
    <n v="0"/>
    <n v="0"/>
    <n v="61.403508771929864"/>
    <n v="17.543859649122851"/>
    <n v="0"/>
    <n v="0"/>
    <n v="1.18"/>
    <n v="1.28"/>
    <n v="1.2"/>
    <n v="1.53"/>
    <n v="1.2"/>
    <n v="0"/>
    <n v="78.596491228070235"/>
    <n v="21.05263157894742"/>
    <n v="0"/>
    <n v="0"/>
    <n v="373.39800000000002"/>
    <e v="#REF!"/>
    <e v="#REF!"/>
    <e v="#REF!"/>
    <e v="#REF!"/>
    <e v="#REF!"/>
    <n v="1550"/>
    <n v="19160"/>
    <n v="36239"/>
    <n v="1560"/>
    <n v="3640"/>
    <n v="0"/>
    <n v="18070.905263157911"/>
    <n v="33568.757894736926"/>
    <n v="0"/>
    <n v="0"/>
    <n v="51639.663157894836"/>
    <n v="1000"/>
    <e v="#REF!"/>
  </r>
  <r>
    <x v="17"/>
    <x v="17"/>
    <s v="1 (NOCHE)"/>
    <m/>
    <m/>
    <m/>
    <m/>
    <m/>
    <n v="69.000000000000014"/>
    <n v="0"/>
    <n v="72"/>
    <n v="96"/>
    <n v="0"/>
    <n v="0"/>
    <n v="0"/>
    <n v="631.57894736842104"/>
    <n v="842.1052631578948"/>
    <n v="0"/>
    <n v="0"/>
    <n v="0"/>
    <n v="105.26315789473676"/>
    <n v="52.631578947368439"/>
    <n v="0"/>
    <n v="0"/>
    <n v="1.18"/>
    <n v="1.28"/>
    <n v="1.2"/>
    <n v="1.53"/>
    <n v="1.2"/>
    <n v="0"/>
    <n v="134.73684210526307"/>
    <n v="63.157894736842124"/>
    <n v="0"/>
    <n v="0"/>
    <n v="276"/>
    <e v="#REF!"/>
    <e v="#REF!"/>
    <e v="#REF!"/>
    <e v="#REF!"/>
    <e v="#REF!"/>
    <n v="1550"/>
    <n v="19160"/>
    <n v="36239"/>
    <n v="1560"/>
    <n v="3640"/>
    <n v="0"/>
    <n v="30978.694736842084"/>
    <n v="100706.27368421055"/>
    <n v="0"/>
    <n v="0"/>
    <n v="131684.96842105265"/>
    <n v="1000"/>
    <e v="#REF!"/>
  </r>
  <r>
    <x v="17"/>
    <x v="17"/>
    <s v="2 (MAÑANA)"/>
    <m/>
    <m/>
    <m/>
    <m/>
    <m/>
    <n v="66.086250000000007"/>
    <n v="0"/>
    <n v="60"/>
    <n v="90"/>
    <n v="0"/>
    <n v="0"/>
    <n v="0"/>
    <n v="526.31578947368428"/>
    <n v="789.47368421052636"/>
    <n v="0"/>
    <n v="0"/>
    <n v="0"/>
    <n v="52.631578947368439"/>
    <n v="78.947368421052602"/>
    <n v="0"/>
    <n v="0"/>
    <n v="1.18"/>
    <n v="1.28"/>
    <n v="1.2"/>
    <n v="1.53"/>
    <n v="1.2"/>
    <n v="0"/>
    <n v="67.368421052631604"/>
    <n v="94.736842105263122"/>
    <n v="0"/>
    <n v="0"/>
    <n v="264.34500000000003"/>
    <e v="#REF!"/>
    <e v="#REF!"/>
    <e v="#REF!"/>
    <e v="#REF!"/>
    <e v="#REF!"/>
    <n v="1550"/>
    <n v="19160"/>
    <n v="36239"/>
    <n v="1560"/>
    <n v="3640"/>
    <n v="0"/>
    <n v="15489.347368421058"/>
    <n v="151059.41052631571"/>
    <n v="0"/>
    <n v="0"/>
    <n v="166548.75789473677"/>
    <n v="1000"/>
    <e v="#REF!"/>
  </r>
  <r>
    <x v="17"/>
    <x v="17"/>
    <s v="3(TARDE)"/>
    <m/>
    <m/>
    <m/>
    <m/>
    <m/>
    <n v="67.350999999999999"/>
    <n v="0"/>
    <n v="54"/>
    <n v="81"/>
    <n v="0"/>
    <n v="0"/>
    <n v="0"/>
    <n v="473.68421052631584"/>
    <n v="710.52631578947376"/>
    <n v="0"/>
    <n v="0"/>
    <n v="0"/>
    <n v="35.087719298245645"/>
    <n v="61.403508771929864"/>
    <n v="0"/>
    <n v="0"/>
    <n v="1.18"/>
    <n v="1.28"/>
    <n v="1.2"/>
    <n v="1.53"/>
    <n v="1.2"/>
    <n v="0"/>
    <n v="44.912280701754426"/>
    <n v="73.684210526315837"/>
    <n v="0"/>
    <n v="0"/>
    <n v="269.404"/>
    <e v="#REF!"/>
    <e v="#REF!"/>
    <e v="#REF!"/>
    <e v="#REF!"/>
    <e v="#REF!"/>
    <n v="1550"/>
    <n v="19160"/>
    <n v="36239"/>
    <n v="1560"/>
    <n v="3640"/>
    <n v="0"/>
    <n v="10326.23157894738"/>
    <n v="117490.65263157903"/>
    <n v="0"/>
    <n v="0"/>
    <n v="127816.8842105264"/>
    <n v="1000"/>
    <e v="#REF!"/>
  </r>
  <r>
    <x v="18"/>
    <x v="18"/>
    <s v="1 (NOCHE)"/>
    <m/>
    <m/>
    <m/>
    <m/>
    <m/>
    <n v="63.60775000000001"/>
    <n v="0"/>
    <n v="50"/>
    <n v="74"/>
    <n v="0"/>
    <n v="0"/>
    <n v="0"/>
    <n v="438.59649122807019"/>
    <n v="649.1228070175438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54.43100000000001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8"/>
    <x v="18"/>
    <s v="2 (MAÑANA)"/>
    <m/>
    <m/>
    <m/>
    <m/>
    <m/>
    <n v="48.543000000000006"/>
    <n v="0"/>
    <n v="50"/>
    <n v="74"/>
    <n v="0"/>
    <n v="0"/>
    <n v="0"/>
    <n v="438.59649122807019"/>
    <n v="649.12280701754389"/>
    <n v="0"/>
    <n v="0"/>
    <n v="0"/>
    <n v="192.98245614035088"/>
    <n v="192.98245614035091"/>
    <n v="0"/>
    <n v="0"/>
    <n v="1.18"/>
    <n v="1.28"/>
    <n v="1.2"/>
    <n v="1.53"/>
    <n v="1.2"/>
    <n v="0"/>
    <n v="247.01754385964912"/>
    <n v="231.57894736842107"/>
    <n v="0"/>
    <n v="0"/>
    <n v="194.172"/>
    <e v="#REF!"/>
    <e v="#REF!"/>
    <e v="#REF!"/>
    <e v="#REF!"/>
    <e v="#REF!"/>
    <n v="1550"/>
    <n v="19160"/>
    <n v="36239"/>
    <n v="1560"/>
    <n v="3640"/>
    <n v="0"/>
    <n v="56794.27368421053"/>
    <n v="369256.33684210526"/>
    <n v="0"/>
    <n v="0"/>
    <n v="426050.61052631581"/>
    <n v="1000"/>
    <e v="#REF!"/>
  </r>
  <r>
    <x v="18"/>
    <x v="18"/>
    <s v="3(TARDE)"/>
    <m/>
    <m/>
    <m/>
    <m/>
    <m/>
    <n v="39.085000000000001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6.34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9"/>
    <x v="19"/>
    <s v="1 (NOCHE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9"/>
    <x v="19"/>
    <s v="2 (MAÑANA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9"/>
    <x v="19"/>
    <s v="3(TARDE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20"/>
    <x v="20"/>
    <s v="1 (NOCHE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0"/>
    <x v="20"/>
    <s v="2 (MAÑANA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20"/>
    <x v="20"/>
    <s v="3(TARDE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1"/>
    <x v="21"/>
    <s v="1 (NOCHE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1"/>
    <x v="21"/>
    <s v="2 (MAÑANA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1"/>
    <x v="21"/>
    <s v="3(TARDE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2"/>
    <x v="22"/>
    <s v="1 (NOCHE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2"/>
    <x v="22"/>
    <s v="2 (MAÑANA)"/>
    <m/>
    <m/>
    <m/>
    <m/>
    <m/>
    <n v="0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2"/>
    <x v="22"/>
    <s v="3(TARDE)"/>
    <m/>
    <m/>
    <m/>
    <m/>
    <m/>
    <n v="19.982749999999999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79.930999999999997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3"/>
    <x v="23"/>
    <s v="1 (NOCHE)"/>
    <m/>
    <m/>
    <m/>
    <m/>
    <m/>
    <n v="57.425249999999998"/>
    <n v="0"/>
    <n v="28"/>
    <n v="52"/>
    <n v="0"/>
    <n v="0"/>
    <n v="0"/>
    <n v="245.61403508771932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29.700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3"/>
    <x v="23"/>
    <s v="2 (MAÑANA)"/>
    <m/>
    <m/>
    <m/>
    <m/>
    <m/>
    <n v="41.001750000000001"/>
    <n v="0"/>
    <n v="28"/>
    <n v="52"/>
    <n v="0"/>
    <n v="0"/>
    <n v="0"/>
    <n v="245.61403508771932"/>
    <n v="456.14035087719299"/>
    <n v="0"/>
    <n v="0"/>
    <n v="0"/>
    <n v="26.31578947368422"/>
    <n v="17.543859649122794"/>
    <n v="0"/>
    <n v="0"/>
    <n v="1.18"/>
    <n v="1.28"/>
    <n v="1.2"/>
    <n v="1.53"/>
    <n v="1.2"/>
    <n v="0"/>
    <n v="33.684210526315802"/>
    <n v="21.052631578947352"/>
    <n v="0"/>
    <n v="0"/>
    <n v="164.00700000000001"/>
    <n v="0"/>
    <n v="205.38276126211565"/>
    <n v="128.36422578882213"/>
    <n v="0"/>
    <n v="0"/>
    <n v="1550"/>
    <n v="19160"/>
    <n v="36239"/>
    <n v="1560"/>
    <n v="3640"/>
    <n v="0"/>
    <n v="7744.6736842105292"/>
    <n v="33568.757894736817"/>
    <n v="0"/>
    <n v="0"/>
    <n v="41313.431578947348"/>
    <n v="1000"/>
    <n v="251.90041631727516"/>
  </r>
  <r>
    <x v="23"/>
    <x v="23"/>
    <s v="3(TARDE)"/>
    <m/>
    <m/>
    <m/>
    <m/>
    <m/>
    <n v="44.253"/>
    <n v="0"/>
    <n v="25"/>
    <n v="50"/>
    <n v="0"/>
    <n v="0"/>
    <n v="0"/>
    <n v="219.2982456140351"/>
    <n v="438.59649122807019"/>
    <n v="0"/>
    <n v="0"/>
    <n v="0"/>
    <n v="1.228070175438603"/>
    <n v="17.543859649122794"/>
    <n v="0"/>
    <n v="0"/>
    <n v="1.18"/>
    <n v="1.28"/>
    <n v="1.2"/>
    <n v="1.53"/>
    <n v="1.2"/>
    <n v="0"/>
    <n v="1.5719298245614119"/>
    <n v="21.052631578947352"/>
    <n v="0"/>
    <n v="0"/>
    <n v="177.012"/>
    <n v="0"/>
    <n v="8.8803574026699437"/>
    <n v="118.93335807147172"/>
    <n v="0"/>
    <n v="0"/>
    <n v="1550"/>
    <n v="19160"/>
    <n v="36239"/>
    <n v="1560"/>
    <n v="3640"/>
    <n v="0"/>
    <n v="361.41810526315982"/>
    <n v="33568.757894736817"/>
    <n v="0"/>
    <n v="0"/>
    <n v="33930.175999999978"/>
    <n v="1000"/>
    <n v="191.6829141527127"/>
  </r>
  <r>
    <x v="24"/>
    <x v="24"/>
    <s v="1 (NOCHE)"/>
    <m/>
    <m/>
    <m/>
    <m/>
    <m/>
    <n v="52.244"/>
    <n v="0"/>
    <n v="26"/>
    <n v="48"/>
    <n v="0"/>
    <n v="0"/>
    <n v="0"/>
    <n v="228.07017543859649"/>
    <n v="421.0526315789474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08.976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4"/>
    <x v="24"/>
    <s v="2 (MAÑANA)"/>
    <m/>
    <m/>
    <m/>
    <m/>
    <m/>
    <n v="38.608499999999999"/>
    <n v="0"/>
    <n v="26"/>
    <n v="48"/>
    <n v="0"/>
    <n v="0"/>
    <n v="0"/>
    <n v="228.07017543859649"/>
    <n v="421.0526315789474"/>
    <n v="0"/>
    <n v="0"/>
    <n v="0"/>
    <n v="78.94736842105263"/>
    <n v="96.491228070175453"/>
    <n v="0"/>
    <n v="0"/>
    <n v="1.18"/>
    <n v="1.28"/>
    <n v="1.2"/>
    <n v="1.53"/>
    <n v="1.2"/>
    <n v="0"/>
    <n v="101.05263157894737"/>
    <n v="115.78947368421053"/>
    <n v="0"/>
    <n v="0"/>
    <n v="154.434"/>
    <n v="0"/>
    <n v="654.34186499700434"/>
    <n v="749.76672030906752"/>
    <n v="0"/>
    <n v="0"/>
    <n v="1550"/>
    <n v="19160"/>
    <n v="36239"/>
    <n v="1560"/>
    <n v="3640"/>
    <n v="0"/>
    <n v="23234.021052631582"/>
    <n v="184628.16842105263"/>
    <n v="0"/>
    <n v="0"/>
    <n v="207862.18947368421"/>
    <n v="1000"/>
    <n v="1345.9613134004442"/>
  </r>
  <r>
    <x v="24"/>
    <x v="24"/>
    <s v="3(TARDE)"/>
    <m/>
    <m/>
    <m/>
    <m/>
    <m/>
    <n v="38.429499999999997"/>
    <n v="0"/>
    <n v="17"/>
    <n v="37"/>
    <n v="0"/>
    <n v="0"/>
    <n v="0"/>
    <n v="149.12280701754386"/>
    <n v="324.5614035087719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3.717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5"/>
    <x v="25"/>
    <s v="1 (NOCHE)"/>
    <m/>
    <m/>
    <m/>
    <m/>
    <m/>
    <n v="130.97274999999999"/>
    <n v="0"/>
    <n v="17"/>
    <n v="37"/>
    <n v="0"/>
    <n v="0"/>
    <n v="0"/>
    <n v="149.12280701754386"/>
    <n v="324.56140350877195"/>
    <n v="0"/>
    <n v="0"/>
    <n v="0"/>
    <n v="0"/>
    <n v="35.087719298245588"/>
    <n v="0"/>
    <n v="0"/>
    <n v="1.18"/>
    <n v="1.28"/>
    <n v="1.2"/>
    <n v="1.53"/>
    <n v="1.2"/>
    <n v="0"/>
    <n v="0"/>
    <n v="42.105263157894704"/>
    <n v="0"/>
    <n v="0"/>
    <n v="523.89099999999996"/>
    <n v="0"/>
    <n v="0"/>
    <n v="80.370273888833182"/>
    <n v="0"/>
    <n v="0"/>
    <n v="1550"/>
    <n v="19160"/>
    <n v="36239"/>
    <n v="1560"/>
    <n v="3640"/>
    <n v="0"/>
    <n v="0"/>
    <n v="67137.515789473633"/>
    <n v="0"/>
    <n v="0"/>
    <n v="67137.515789473633"/>
    <n v="1000"/>
    <n v="128.15168764012674"/>
  </r>
  <r>
    <x v="25"/>
    <x v="25"/>
    <s v="2 (MAÑANA)"/>
    <m/>
    <m/>
    <m/>
    <m/>
    <m/>
    <n v="-38.911749999999998"/>
    <n v="0"/>
    <n v="17"/>
    <n v="33"/>
    <n v="0"/>
    <n v="0"/>
    <n v="0"/>
    <n v="149.12280701754386"/>
    <n v="289.47368421052636"/>
    <n v="0"/>
    <n v="0"/>
    <n v="0"/>
    <n v="26.315789473684205"/>
    <n v="43.859649122807042"/>
    <n v="0"/>
    <n v="0"/>
    <n v="1.18"/>
    <n v="1.28"/>
    <n v="1.2"/>
    <n v="1.53"/>
    <n v="1.2"/>
    <n v="0"/>
    <n v="33.68421052631578"/>
    <n v="52.631578947368446"/>
    <n v="0"/>
    <n v="0"/>
    <n v="-155.64699999999999"/>
    <n v="0"/>
    <n v="-216.41413278968295"/>
    <n v="-338.1470824838799"/>
    <n v="0"/>
    <n v="0"/>
    <n v="1550"/>
    <n v="19160"/>
    <n v="36239"/>
    <n v="1560"/>
    <n v="3640"/>
    <n v="0"/>
    <n v="7744.6736842105238"/>
    <n v="83921.894736842136"/>
    <n v="0"/>
    <n v="0"/>
    <n v="91666.568421052652"/>
    <n v="1000"/>
    <n v="-588.93887078487001"/>
  </r>
  <r>
    <x v="25"/>
    <x v="25"/>
    <s v="3(TARDE)"/>
    <m/>
    <m/>
    <m/>
    <m/>
    <m/>
    <n v="38.911749999999998"/>
    <n v="0"/>
    <n v="14"/>
    <n v="28"/>
    <n v="0"/>
    <n v="0"/>
    <n v="0"/>
    <n v="122.80701754385966"/>
    <n v="245.61403508771932"/>
    <n v="0"/>
    <n v="0"/>
    <n v="0"/>
    <n v="35.087719298245617"/>
    <n v="35.087719298245617"/>
    <n v="0"/>
    <n v="0"/>
    <n v="1.18"/>
    <n v="1.28"/>
    <n v="1.2"/>
    <n v="1.53"/>
    <n v="1.2"/>
    <n v="0"/>
    <n v="44.912280701754391"/>
    <n v="42.10526315789474"/>
    <n v="0"/>
    <n v="0"/>
    <n v="155.64699999999999"/>
    <n v="0"/>
    <n v="288.55217705291068"/>
    <n v="270.51766598710378"/>
    <n v="0"/>
    <n v="0"/>
    <n v="1550"/>
    <n v="19160"/>
    <n v="36239"/>
    <n v="1560"/>
    <n v="3640"/>
    <n v="0"/>
    <n v="10326.231578947371"/>
    <n v="67137.515789473677"/>
    <n v="0"/>
    <n v="0"/>
    <n v="77463.747368421042"/>
    <n v="1000"/>
    <n v="497.68866324709791"/>
  </r>
  <r>
    <x v="26"/>
    <x v="26"/>
    <s v="1 (NOCHE)"/>
    <m/>
    <m/>
    <m/>
    <m/>
    <m/>
    <n v="56.49"/>
    <n v="0"/>
    <n v="10"/>
    <n v="24"/>
    <n v="0"/>
    <n v="0"/>
    <n v="0"/>
    <n v="87.719298245614041"/>
    <n v="210.5263157894737"/>
    <n v="0"/>
    <n v="0"/>
    <n v="0"/>
    <n v="0"/>
    <n v="105.26315789473685"/>
    <n v="0"/>
    <n v="0"/>
    <n v="1.18"/>
    <n v="1.28"/>
    <n v="1.2"/>
    <n v="1.53"/>
    <n v="1.2"/>
    <n v="0"/>
    <n v="0"/>
    <n v="126.31578947368422"/>
    <n v="0"/>
    <n v="0"/>
    <n v="225.96"/>
    <n v="0"/>
    <n v="0"/>
    <n v="559.01836375324933"/>
    <n v="0"/>
    <n v="0"/>
    <n v="1550"/>
    <n v="19160"/>
    <n v="36239"/>
    <n v="1560"/>
    <n v="3640"/>
    <n v="0"/>
    <n v="0"/>
    <n v="201412.54736842107"/>
    <n v="0"/>
    <n v="0"/>
    <n v="201412.54736842107"/>
    <n v="1000"/>
    <n v="891.36372529837615"/>
  </r>
  <r>
    <x v="26"/>
    <x v="26"/>
    <s v="2 (MAÑANA)"/>
    <m/>
    <m/>
    <m/>
    <m/>
    <m/>
    <n v="42.650500000000001"/>
    <n v="0"/>
    <n v="10"/>
    <n v="12"/>
    <n v="0"/>
    <n v="0"/>
    <n v="0"/>
    <n v="87.719298245614041"/>
    <n v="105.26315789473685"/>
    <n v="0"/>
    <n v="0"/>
    <n v="0"/>
    <n v="17.543859649122624"/>
    <n v="122.80701754385962"/>
    <n v="0"/>
    <n v="0"/>
    <n v="1.18"/>
    <n v="1.28"/>
    <n v="1.2"/>
    <n v="1.53"/>
    <n v="1.2"/>
    <n v="0"/>
    <n v="22.456140350876957"/>
    <n v="147.36842105263153"/>
    <n v="0"/>
    <n v="0"/>
    <n v="170.602"/>
    <n v="0"/>
    <n v="131.62882235188894"/>
    <n v="863.81414668427999"/>
    <n v="0"/>
    <n v="0"/>
    <n v="1550"/>
    <n v="19160"/>
    <n v="36239"/>
    <n v="1560"/>
    <n v="3640"/>
    <n v="0"/>
    <n v="5163.1157894736298"/>
    <n v="234981.30526315782"/>
    <n v="0"/>
    <n v="0"/>
    <n v="240144.42105263146"/>
    <n v="1000"/>
    <n v="1407.6295767495776"/>
  </r>
  <r>
    <x v="26"/>
    <x v="26"/>
    <s v="3(TARDE)"/>
    <m/>
    <m/>
    <m/>
    <m/>
    <m/>
    <n v="73.32674999999999"/>
    <n v="0"/>
    <n v="122"/>
    <n v="112"/>
    <n v="0"/>
    <n v="0"/>
    <n v="0"/>
    <n v="1070.1754385964914"/>
    <n v="982.45614035087726"/>
    <n v="0"/>
    <n v="0"/>
    <n v="0"/>
    <n v="17.543859649122851"/>
    <n v="17.543859649122851"/>
    <n v="0"/>
    <n v="0"/>
    <n v="1.18"/>
    <n v="1.28"/>
    <n v="1.2"/>
    <n v="1.53"/>
    <n v="1.2"/>
    <n v="0"/>
    <n v="22.456140350877249"/>
    <n v="21.05263157894742"/>
    <n v="0"/>
    <n v="0"/>
    <n v="293.30700000000002"/>
    <n v="0"/>
    <n v="76.561897093752449"/>
    <n v="71.776778525392913"/>
    <n v="0"/>
    <n v="0"/>
    <n v="1550"/>
    <n v="19160"/>
    <n v="36239"/>
    <n v="1560"/>
    <n v="3640"/>
    <n v="0"/>
    <n v="5163.1157894736971"/>
    <n v="33568.757894736926"/>
    <n v="0"/>
    <n v="0"/>
    <n v="38731.873684210623"/>
    <n v="1000"/>
    <n v="132.05233316699096"/>
  </r>
  <r>
    <x v="27"/>
    <x v="27"/>
    <s v="1 (NOCHE)"/>
    <m/>
    <m/>
    <m/>
    <m/>
    <m/>
    <n v="67.16825"/>
    <n v="0"/>
    <n v="120"/>
    <n v="110"/>
    <n v="0"/>
    <n v="0"/>
    <n v="0"/>
    <n v="1052.6315789473686"/>
    <n v="964.91228070175441"/>
    <n v="0"/>
    <n v="0"/>
    <n v="0"/>
    <n v="87.719298245614141"/>
    <n v="70.175438596491176"/>
    <n v="0"/>
    <n v="0"/>
    <n v="1.18"/>
    <n v="1.28"/>
    <n v="1.2"/>
    <n v="1.53"/>
    <n v="1.2"/>
    <n v="0"/>
    <n v="112.2807017543861"/>
    <n v="84.210526315789409"/>
    <n v="0"/>
    <n v="0"/>
    <n v="268.673"/>
    <n v="0"/>
    <n v="417.90839330482072"/>
    <n v="313.43129497861491"/>
    <n v="0"/>
    <n v="0"/>
    <n v="1550"/>
    <n v="19160"/>
    <n v="36239"/>
    <n v="1560"/>
    <n v="3640"/>
    <n v="0"/>
    <n v="25815.578947368456"/>
    <n v="134275.03157894727"/>
    <n v="0"/>
    <n v="0"/>
    <n v="160090.61052631572"/>
    <n v="1000"/>
    <n v="595.85671253276553"/>
  </r>
  <r>
    <x v="27"/>
    <x v="27"/>
    <s v="2 (MAÑANA)"/>
    <m/>
    <m/>
    <m/>
    <m/>
    <m/>
    <n v="80.659749999999988"/>
    <n v="0"/>
    <n v="110"/>
    <n v="102"/>
    <n v="0"/>
    <n v="0"/>
    <n v="0"/>
    <n v="964.91228070175441"/>
    <n v="894.73684210526324"/>
    <n v="0"/>
    <n v="0"/>
    <n v="0"/>
    <n v="0"/>
    <n v="192.98245614035091"/>
    <n v="0"/>
    <n v="0"/>
    <n v="1.18"/>
    <n v="1.28"/>
    <n v="1.2"/>
    <n v="1.53"/>
    <n v="1.2"/>
    <n v="0"/>
    <n v="0"/>
    <n v="231.57894736842107"/>
    <n v="0"/>
    <n v="0"/>
    <n v="322.63900000000001"/>
    <n v="0"/>
    <n v="0"/>
    <n v="717.76489317293033"/>
    <n v="0"/>
    <n v="0"/>
    <n v="1550"/>
    <n v="19160"/>
    <n v="36239"/>
    <n v="1560"/>
    <n v="3640"/>
    <n v="0"/>
    <n v="0"/>
    <n v="369256.33684210526"/>
    <n v="0"/>
    <n v="0"/>
    <n v="369256.33684210526"/>
    <n v="1000"/>
    <n v="1144.4876064025279"/>
  </r>
  <r>
    <x v="27"/>
    <x v="27"/>
    <s v="3(TARDE)"/>
    <m/>
    <m/>
    <m/>
    <m/>
    <m/>
    <n v="39.264749999999999"/>
    <n v="0"/>
    <n v="110"/>
    <n v="80"/>
    <n v="0"/>
    <n v="0"/>
    <n v="0"/>
    <n v="964.91228070175441"/>
    <n v="701.7543859649123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7.05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8"/>
    <x v="0"/>
    <s v="1 (NOCHE)"/>
    <m/>
    <m/>
    <m/>
    <m/>
    <m/>
    <n v="0"/>
    <n v="0"/>
    <n v="110"/>
    <n v="80"/>
    <n v="0"/>
    <n v="0"/>
    <n v="0"/>
    <n v="964.91228070175441"/>
    <n v="701.75438596491233"/>
    <n v="0"/>
    <n v="0"/>
    <n v="0"/>
    <n v="964.91228070175441"/>
    <n v="701.75438596491233"/>
    <n v="0"/>
    <n v="0"/>
    <n v="1.18"/>
    <n v="1.28"/>
    <n v="1.2"/>
    <n v="1.53"/>
    <n v="1.2"/>
    <n v="0"/>
    <n v="1235.0877192982457"/>
    <n v="842.1052631578948"/>
    <n v="0"/>
    <n v="0"/>
    <n v="0"/>
    <e v="#DIV/0!"/>
    <e v="#DIV/0!"/>
    <e v="#DIV/0!"/>
    <e v="#DIV/0!"/>
    <e v="#DIV/0!"/>
    <n v="1550"/>
    <n v="19160"/>
    <n v="36239"/>
    <n v="1560"/>
    <n v="3640"/>
    <n v="0"/>
    <n v="283971.36842105264"/>
    <n v="1342750.3157894737"/>
    <n v="0"/>
    <n v="0"/>
    <n v="1626721.6842105263"/>
    <n v="1000"/>
    <e v="#DIV/0!"/>
  </r>
  <r>
    <x v="28"/>
    <x v="0"/>
    <s v="2 (MAÑANA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8"/>
    <x v="0"/>
    <s v="3(TARDE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9"/>
    <x v="1"/>
    <s v="1 (NOCHE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9"/>
    <x v="1"/>
    <s v="2 (MAÑANA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9"/>
    <x v="1"/>
    <s v="3(TARDE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0"/>
    <x v="2"/>
    <s v="1 (NOCHE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0"/>
    <x v="2"/>
    <s v="2 (MAÑANA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0"/>
    <x v="2"/>
    <s v="3(TARDE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1"/>
    <x v="28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m/>
    <e v="#DIV/0!"/>
  </r>
  <r>
    <x v="31"/>
    <x v="28"/>
    <m/>
    <m/>
    <m/>
    <m/>
    <m/>
    <m/>
    <e v="#REF!"/>
    <m/>
    <m/>
    <m/>
    <m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REF!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m/>
    <e v="#REF!"/>
  </r>
  <r>
    <x v="31"/>
    <x v="28"/>
    <m/>
    <m/>
    <m/>
    <m/>
    <m/>
    <m/>
    <e v="#REF!"/>
    <m/>
    <m/>
    <m/>
    <m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REF!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m/>
    <e v="#REF!"/>
  </r>
  <r>
    <x v="31"/>
    <x v="28"/>
    <m/>
    <m/>
    <m/>
    <m/>
    <m/>
    <m/>
    <e v="#REF!"/>
    <m/>
    <m/>
    <m/>
    <m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REF!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m/>
    <e v="#REF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n v="1"/>
    <s v="FINAL TURNO 3"/>
    <n v="4360"/>
    <n v="6480"/>
    <n v="1510"/>
    <n v="165"/>
    <n v="60"/>
    <n v="16839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0"/>
    <x v="0"/>
    <s v="2 (MAÑANA)"/>
    <n v="2"/>
    <s v="FINAL TURNO 1"/>
    <n v="4360"/>
    <n v="6480"/>
    <n v="1510"/>
    <n v="165"/>
    <n v="60"/>
    <n v="16839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0"/>
    <x v="0"/>
    <s v="3(TARDE)"/>
    <n v="3"/>
    <s v="FINAL TURNO 2"/>
    <n v="4360"/>
    <n v="6480"/>
    <n v="1510"/>
    <n v="165"/>
    <n v="60"/>
    <n v="16839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"/>
    <x v="1"/>
    <s v="2 (NOCHE)"/>
    <n v="4"/>
    <s v="FINAL TURNO 3"/>
    <n v="4360"/>
    <n v="6480"/>
    <n v="1510"/>
    <n v="165"/>
    <n v="60"/>
    <n v="16839"/>
    <n v="225"/>
    <n v="75"/>
    <n v="70"/>
    <n v="300"/>
    <n v="30"/>
    <n v="0"/>
    <n v="5"/>
    <n v="91"/>
    <n v="397.5"/>
    <n v="37.5"/>
    <n v="0"/>
    <n v="5"/>
    <n v="404.44444444444446"/>
    <n v="1766.6666666666667"/>
    <n v="166.66666666666666"/>
    <n v="0"/>
    <n v="22.222222222222221"/>
    <n v="1.3"/>
    <n v="1.325"/>
    <n v="1.25"/>
    <n v="2500"/>
    <n v="2500"/>
    <n v="830"/>
    <n v="2900"/>
    <n v="6295"/>
    <n v="19050"/>
    <n v="22050"/>
    <n v="75530"/>
    <n v="1152750"/>
    <n v="236062.5"/>
    <n v="0"/>
    <n v="110250"/>
    <n v="1574592.5"/>
    <n v="5250"/>
    <n v="6998.1888888888889"/>
  </r>
  <r>
    <x v="1"/>
    <x v="1"/>
    <s v="3 (MAÑANA)"/>
    <n v="5"/>
    <s v="FINAL TURNO 1"/>
    <n v="4290"/>
    <n v="6180"/>
    <n v="1480"/>
    <n v="165"/>
    <n v="55"/>
    <n v="16842"/>
    <n v="300"/>
    <n v="75"/>
    <n v="340"/>
    <n v="340"/>
    <n v="100"/>
    <n v="0"/>
    <n v="5"/>
    <n v="442"/>
    <n v="450.5"/>
    <n v="125"/>
    <n v="0"/>
    <n v="5"/>
    <n v="1473.3333333333333"/>
    <n v="1501.6666666666667"/>
    <n v="416.66666666666669"/>
    <n v="0"/>
    <n v="16.666666666666668"/>
    <n v="1.3"/>
    <n v="1.325"/>
    <n v="1.25"/>
    <n v="2500"/>
    <n v="2500"/>
    <n v="830"/>
    <n v="2900"/>
    <n v="6295"/>
    <n v="19050"/>
    <n v="22050"/>
    <n v="366860"/>
    <n v="1306450"/>
    <n v="786875"/>
    <n v="0"/>
    <n v="110250"/>
    <n v="2570435"/>
    <n v="5250"/>
    <n v="8568.1166666666668"/>
  </r>
  <r>
    <x v="1"/>
    <x v="1"/>
    <s v="3(TARDE)"/>
    <n v="6"/>
    <s v="FINAL TURNO 2"/>
    <n v="3950"/>
    <n v="5840"/>
    <n v="1380"/>
    <n v="165"/>
    <n v="50"/>
    <n v="16846"/>
    <n v="600"/>
    <n v="75"/>
    <n v="30"/>
    <n v="180"/>
    <n v="40"/>
    <n v="2.5"/>
    <n v="5"/>
    <n v="39"/>
    <n v="238.5"/>
    <n v="50"/>
    <n v="2.5"/>
    <n v="5"/>
    <n v="65"/>
    <n v="397.5"/>
    <n v="83.333333333333329"/>
    <n v="4.166666666666667"/>
    <n v="8.3333333333333339"/>
    <n v="1.3"/>
    <n v="1.325"/>
    <n v="1.25"/>
    <n v="2500"/>
    <n v="2500"/>
    <n v="830"/>
    <n v="2900"/>
    <n v="6295"/>
    <n v="19050"/>
    <n v="22050"/>
    <n v="32370"/>
    <n v="691650"/>
    <n v="314750"/>
    <n v="47625"/>
    <n v="110250"/>
    <n v="1196645"/>
    <n v="5250"/>
    <n v="1994.4083333333333"/>
  </r>
  <r>
    <x v="2"/>
    <x v="2"/>
    <s v="3 (NOCHE)"/>
    <n v="7"/>
    <s v="FINAL TURNO 3"/>
    <n v="3920"/>
    <n v="5660"/>
    <n v="1340"/>
    <n v="162.5"/>
    <n v="45"/>
    <n v="16854"/>
    <n v="600"/>
    <n v="75"/>
    <n v="30"/>
    <n v="180"/>
    <n v="40"/>
    <n v="2.5"/>
    <n v="5"/>
    <n v="39"/>
    <n v="238.5"/>
    <n v="50"/>
    <n v="2.5"/>
    <n v="5"/>
    <n v="65"/>
    <n v="397.5"/>
    <n v="83.333333333333329"/>
    <n v="4.166666666666667"/>
    <n v="8.3333333333333339"/>
    <n v="1.3"/>
    <n v="1.325"/>
    <n v="1.25"/>
    <n v="2500"/>
    <n v="2500"/>
    <n v="830"/>
    <n v="2900"/>
    <n v="6295"/>
    <n v="19050"/>
    <n v="22050"/>
    <n v="32370"/>
    <n v="691650"/>
    <n v="314750"/>
    <n v="47625"/>
    <n v="110250"/>
    <n v="1196645"/>
    <n v="5250"/>
    <n v="1994.4083333333333"/>
  </r>
  <r>
    <x v="2"/>
    <x v="2"/>
    <s v="4 (MAÑANA)"/>
    <n v="8"/>
    <s v="FINAL TURNO 1"/>
    <n v="3890"/>
    <n v="5480"/>
    <n v="1300"/>
    <n v="160"/>
    <n v="40"/>
    <n v="16862"/>
    <n v="525"/>
    <n v="75"/>
    <n v="210"/>
    <n v="340"/>
    <n v="120"/>
    <n v="5"/>
    <n v="5"/>
    <n v="273"/>
    <n v="450.5"/>
    <n v="150"/>
    <n v="5"/>
    <n v="5"/>
    <n v="520"/>
    <n v="858.09523809523807"/>
    <n v="285.71428571428572"/>
    <n v="9.5238095238095237"/>
    <n v="9.5238095238095237"/>
    <n v="1.3"/>
    <n v="1.325"/>
    <n v="1.25"/>
    <n v="2500"/>
    <n v="2500"/>
    <n v="830"/>
    <n v="2900"/>
    <n v="6295"/>
    <n v="19050"/>
    <n v="22050"/>
    <n v="226590"/>
    <n v="1306450"/>
    <n v="944250"/>
    <n v="95250"/>
    <n v="110250"/>
    <n v="2682790"/>
    <n v="5250"/>
    <n v="5110.0761904761903"/>
  </r>
  <r>
    <x v="2"/>
    <x v="2"/>
    <s v="3(TARDE)"/>
    <n v="9"/>
    <s v="FINAL TURNO 2"/>
    <n v="3680"/>
    <n v="5140"/>
    <n v="1180"/>
    <n v="155"/>
    <n v="35"/>
    <n v="16869"/>
    <n v="525"/>
    <n v="75"/>
    <n v="310"/>
    <n v="240"/>
    <n v="130"/>
    <n v="0"/>
    <n v="0"/>
    <n v="403"/>
    <n v="318"/>
    <n v="162.5"/>
    <n v="0"/>
    <n v="0"/>
    <n v="767.61904761904759"/>
    <n v="605.71428571428567"/>
    <n v="309.52380952380952"/>
    <n v="0"/>
    <n v="0"/>
    <n v="1.3"/>
    <n v="1.325"/>
    <n v="1.25"/>
    <n v="2500"/>
    <n v="2500"/>
    <n v="830"/>
    <n v="2900"/>
    <n v="6295"/>
    <n v="19050"/>
    <n v="22050"/>
    <n v="334490"/>
    <n v="922200"/>
    <n v="1022937.5"/>
    <n v="0"/>
    <n v="0"/>
    <n v="2279627.5"/>
    <n v="5250"/>
    <n v="4342.1476190476187"/>
  </r>
  <r>
    <x v="3"/>
    <x v="3"/>
    <s v="4 (NOCHE)"/>
    <n v="10"/>
    <s v="FINAL TURNO 3"/>
    <n v="3370"/>
    <n v="4900"/>
    <n v="1050"/>
    <n v="155"/>
    <n v="30"/>
    <n v="16876"/>
    <n v="525"/>
    <n v="75"/>
    <n v="280"/>
    <n v="210"/>
    <n v="110"/>
    <n v="0"/>
    <n v="0"/>
    <n v="364"/>
    <n v="278.25"/>
    <n v="137.5"/>
    <n v="0"/>
    <n v="0"/>
    <n v="693.33333333333337"/>
    <n v="530"/>
    <n v="261.90476190476193"/>
    <n v="0"/>
    <n v="0"/>
    <n v="1.3"/>
    <n v="1.325"/>
    <n v="1.25"/>
    <n v="2500"/>
    <n v="2500"/>
    <n v="830"/>
    <n v="2900"/>
    <n v="6295"/>
    <n v="19050"/>
    <n v="22050"/>
    <n v="302120"/>
    <n v="806925"/>
    <n v="865562.5"/>
    <n v="0"/>
    <n v="0"/>
    <n v="1974607.5"/>
    <n v="5250"/>
    <n v="3761.1571428571428"/>
  </r>
  <r>
    <x v="3"/>
    <x v="3"/>
    <s v="5 (MAÑANA)"/>
    <n v="11"/>
    <s v="FINAL TURNO 1"/>
    <n v="3090"/>
    <n v="4690"/>
    <n v="940"/>
    <n v="150"/>
    <n v="25"/>
    <n v="16883"/>
    <n v="525"/>
    <n v="75"/>
    <n v="280"/>
    <n v="280"/>
    <n v="40"/>
    <n v="0"/>
    <n v="0"/>
    <n v="364"/>
    <n v="371"/>
    <n v="50"/>
    <n v="0"/>
    <n v="0"/>
    <n v="693.33333333333337"/>
    <n v="706.66666666666663"/>
    <n v="95.238095238095241"/>
    <n v="0"/>
    <n v="0"/>
    <n v="1.3"/>
    <n v="1.325"/>
    <n v="1.25"/>
    <n v="2500"/>
    <n v="2500"/>
    <n v="830"/>
    <n v="2900"/>
    <n v="6295"/>
    <n v="19050"/>
    <n v="22050"/>
    <n v="302120"/>
    <n v="1075900"/>
    <n v="314750"/>
    <n v="0"/>
    <n v="0"/>
    <n v="1692770"/>
    <n v="5250"/>
    <n v="3224.3238095238094"/>
  </r>
  <r>
    <x v="3"/>
    <x v="3"/>
    <s v="3(TARDE)"/>
    <n v="12"/>
    <s v="FINAL TURNO 2"/>
    <n v="2810"/>
    <n v="4410"/>
    <n v="900"/>
    <n v="150"/>
    <n v="65"/>
    <n v="16890"/>
    <n v="525"/>
    <n v="75"/>
    <n v="310"/>
    <n v="290"/>
    <n v="100"/>
    <n v="0"/>
    <n v="0"/>
    <n v="403"/>
    <n v="384.25"/>
    <n v="125"/>
    <n v="0"/>
    <n v="0"/>
    <n v="767.61904761904759"/>
    <n v="731.90476190476193"/>
    <n v="238.0952380952381"/>
    <n v="0"/>
    <n v="0"/>
    <n v="1.3"/>
    <n v="1.325"/>
    <n v="1.25"/>
    <n v="2500"/>
    <n v="2500"/>
    <n v="830"/>
    <n v="2900"/>
    <n v="6295"/>
    <n v="19050"/>
    <n v="22050"/>
    <n v="334490"/>
    <n v="1114325"/>
    <n v="786875"/>
    <n v="0"/>
    <n v="0"/>
    <n v="2235690"/>
    <n v="5250"/>
    <n v="4258.4571428571426"/>
  </r>
  <r>
    <x v="4"/>
    <x v="4"/>
    <s v="5 (NOCHE)"/>
    <n v="13"/>
    <s v="FINAL TURNO 3"/>
    <n v="2500"/>
    <n v="4120"/>
    <n v="800"/>
    <n v="145"/>
    <n v="60"/>
    <n v="16897"/>
    <n v="600"/>
    <n v="75"/>
    <n v="110"/>
    <n v="120"/>
    <n v="80"/>
    <n v="0"/>
    <n v="0"/>
    <n v="143"/>
    <n v="159"/>
    <n v="100"/>
    <n v="0"/>
    <n v="0"/>
    <n v="238.33333333333334"/>
    <n v="265"/>
    <n v="166.66666666666666"/>
    <n v="0"/>
    <n v="0"/>
    <n v="1.3"/>
    <n v="1.325"/>
    <n v="1.25"/>
    <n v="2500"/>
    <n v="2500"/>
    <n v="830"/>
    <n v="2900"/>
    <n v="6295"/>
    <n v="19050"/>
    <n v="22050"/>
    <n v="118690"/>
    <n v="461100"/>
    <n v="629500"/>
    <n v="0"/>
    <n v="0"/>
    <n v="1209290"/>
    <n v="5250"/>
    <n v="2015.4833333333333"/>
  </r>
  <r>
    <x v="4"/>
    <x v="4"/>
    <s v="6 (MAÑANA)"/>
    <n v="14"/>
    <s v="FINAL TURNO 1"/>
    <n v="2390"/>
    <n v="4000"/>
    <n v="720"/>
    <n v="145"/>
    <n v="55"/>
    <n v="16905"/>
    <n v="525"/>
    <n v="75"/>
    <n v="90"/>
    <n v="260"/>
    <n v="70"/>
    <n v="5"/>
    <n v="5"/>
    <n v="117"/>
    <n v="344.5"/>
    <n v="87.5"/>
    <n v="5"/>
    <n v="5"/>
    <n v="222.85714285714286"/>
    <n v="656.19047619047615"/>
    <n v="166.66666666666666"/>
    <n v="9.5238095238095237"/>
    <n v="9.5238095238095237"/>
    <n v="1.3"/>
    <n v="1.325"/>
    <n v="1.25"/>
    <n v="2500"/>
    <n v="2500"/>
    <n v="830"/>
    <n v="2900"/>
    <n v="6295"/>
    <n v="19050"/>
    <n v="22050"/>
    <n v="97110"/>
    <n v="999050"/>
    <n v="550812.5"/>
    <n v="95250"/>
    <n v="110250"/>
    <n v="1852472.5"/>
    <n v="5250"/>
    <n v="3528.5190476190478"/>
  </r>
  <r>
    <x v="4"/>
    <x v="4"/>
    <s v="3(TARDE)"/>
    <n v="15"/>
    <s v="FINAL TURNO 2"/>
    <n v="2300"/>
    <n v="3740"/>
    <n v="650"/>
    <n v="140"/>
    <n v="50"/>
    <n v="16912"/>
    <n v="375"/>
    <n v="75"/>
    <n v="100"/>
    <n v="150"/>
    <n v="50"/>
    <n v="5"/>
    <n v="5"/>
    <n v="130"/>
    <n v="198.75"/>
    <n v="62.5"/>
    <n v="5"/>
    <n v="5"/>
    <n v="346.66666666666669"/>
    <n v="530"/>
    <n v="166.66666666666666"/>
    <n v="13.333333333333334"/>
    <n v="13.333333333333334"/>
    <n v="1.3"/>
    <n v="1.325"/>
    <n v="1.25"/>
    <n v="2500"/>
    <n v="2500"/>
    <n v="830"/>
    <n v="2900"/>
    <n v="6295"/>
    <n v="19050"/>
    <n v="22050"/>
    <n v="107900"/>
    <n v="576375"/>
    <n v="393437.5"/>
    <n v="95250"/>
    <n v="110250"/>
    <n v="1283212.5"/>
    <n v="5250"/>
    <n v="3421.9"/>
  </r>
  <r>
    <x v="5"/>
    <x v="5"/>
    <s v="6 (NOCHE)"/>
    <n v="16"/>
    <s v="FINAL TURNO 3"/>
    <n v="2200"/>
    <n v="3590"/>
    <n v="600"/>
    <n v="135"/>
    <n v="45"/>
    <n v="16917"/>
    <n v="525"/>
    <n v="75"/>
    <n v="50"/>
    <n v="340"/>
    <n v="90"/>
    <n v="0"/>
    <n v="10"/>
    <n v="65"/>
    <n v="450.5"/>
    <n v="112.5"/>
    <n v="0"/>
    <n v="10"/>
    <n v="123.80952380952381"/>
    <n v="858.09523809523807"/>
    <n v="214.28571428571428"/>
    <n v="0"/>
    <n v="19.047619047619047"/>
    <n v="1.3"/>
    <n v="1.325"/>
    <n v="1.25"/>
    <n v="2500"/>
    <n v="2500"/>
    <n v="830"/>
    <n v="2900"/>
    <n v="6295"/>
    <n v="19050"/>
    <n v="22050"/>
    <n v="53950"/>
    <n v="1306450"/>
    <n v="708187.5"/>
    <n v="0"/>
    <n v="220500"/>
    <n v="2289087.5"/>
    <n v="5250"/>
    <n v="4360.166666666667"/>
  </r>
  <r>
    <x v="5"/>
    <x v="5"/>
    <s v="7 (MAÑANA)"/>
    <n v="17"/>
    <s v="FINAL TURNO 1"/>
    <n v="2150"/>
    <n v="3250"/>
    <n v="510"/>
    <n v="135"/>
    <n v="35"/>
    <n v="16924"/>
    <n v="450"/>
    <n v="75"/>
    <n v="50"/>
    <n v="240"/>
    <n v="70"/>
    <n v="5"/>
    <n v="5"/>
    <n v="65"/>
    <n v="318"/>
    <n v="87.5"/>
    <n v="5"/>
    <n v="5"/>
    <n v="144.44444444444446"/>
    <n v="706.66666666666663"/>
    <n v="194.44444444444446"/>
    <n v="11.111111111111111"/>
    <n v="11.111111111111111"/>
    <n v="1.3"/>
    <n v="1.325"/>
    <n v="1.25"/>
    <n v="2500"/>
    <n v="2500"/>
    <n v="830"/>
    <n v="2900"/>
    <n v="6295"/>
    <n v="19050"/>
    <n v="22050"/>
    <n v="53950"/>
    <n v="922200"/>
    <n v="550812.5"/>
    <n v="95250"/>
    <n v="110250"/>
    <n v="1732462.5"/>
    <n v="5250"/>
    <n v="3849.9166666666665"/>
  </r>
  <r>
    <x v="5"/>
    <x v="5"/>
    <s v="3(TARDE)"/>
    <n v="18"/>
    <s v="FINAL TURNO 2"/>
    <n v="2100"/>
    <n v="3010"/>
    <n v="440"/>
    <n v="130"/>
    <n v="30"/>
    <n v="16930"/>
    <n v="375"/>
    <n v="75"/>
    <n v="100"/>
    <n v="210"/>
    <n v="50"/>
    <n v="0"/>
    <n v="5"/>
    <n v="130"/>
    <n v="278.25"/>
    <n v="62.5"/>
    <n v="0"/>
    <n v="5"/>
    <n v="346.66666666666669"/>
    <n v="742"/>
    <n v="166.66666666666666"/>
    <n v="0"/>
    <n v="13.333333333333334"/>
    <n v="1.3"/>
    <n v="1.325"/>
    <n v="1.25"/>
    <n v="2500"/>
    <n v="2500"/>
    <n v="830"/>
    <n v="2900"/>
    <n v="6295"/>
    <n v="19050"/>
    <n v="22050"/>
    <n v="107900"/>
    <n v="806925"/>
    <n v="393437.5"/>
    <n v="0"/>
    <n v="110250"/>
    <n v="1418512.5"/>
    <n v="5250"/>
    <n v="3782.7"/>
  </r>
  <r>
    <x v="6"/>
    <x v="6"/>
    <s v="7 (NOCHE)"/>
    <n v="19"/>
    <s v="FINAL TURNO 3"/>
    <n v="2000"/>
    <n v="6800"/>
    <n v="390"/>
    <n v="130"/>
    <n v="125"/>
    <n v="16935"/>
    <n v="600"/>
    <n v="75"/>
    <n v="250"/>
    <n v="500"/>
    <n v="60"/>
    <n v="5"/>
    <n v="5"/>
    <n v="325"/>
    <n v="662.5"/>
    <n v="75"/>
    <n v="5"/>
    <n v="5"/>
    <n v="541.66666666666663"/>
    <n v="1104.1666666666667"/>
    <n v="125"/>
    <n v="8.3333333333333339"/>
    <n v="8.3333333333333339"/>
    <n v="1.3"/>
    <n v="1.325"/>
    <n v="1.25"/>
    <n v="2500"/>
    <n v="2500"/>
    <n v="830"/>
    <n v="2900"/>
    <n v="6295"/>
    <n v="19050"/>
    <n v="22050"/>
    <n v="269750"/>
    <n v="1921250"/>
    <n v="472125"/>
    <n v="95250"/>
    <n v="110250"/>
    <n v="2868625"/>
    <n v="5250"/>
    <n v="4781.041666666667"/>
  </r>
  <r>
    <x v="6"/>
    <x v="6"/>
    <s v="8 (MAÑANA)"/>
    <n v="20"/>
    <s v="FINAL TURNO 1"/>
    <n v="1750"/>
    <n v="6300"/>
    <n v="330"/>
    <n v="125"/>
    <n v="120"/>
    <n v="16943"/>
    <n v="300"/>
    <n v="75"/>
    <n v="0"/>
    <n v="0"/>
    <n v="0"/>
    <n v="5"/>
    <n v="5"/>
    <n v="0"/>
    <n v="0"/>
    <n v="0"/>
    <n v="5"/>
    <n v="5"/>
    <n v="0"/>
    <n v="0"/>
    <n v="0"/>
    <n v="16.666666666666668"/>
    <n v="16.666666666666668"/>
    <n v="1.3"/>
    <n v="1.325"/>
    <n v="1.25"/>
    <n v="2500"/>
    <n v="2500"/>
    <n v="830"/>
    <n v="2900"/>
    <n v="6295"/>
    <n v="19050"/>
    <n v="22050"/>
    <n v="0"/>
    <n v="0"/>
    <n v="0"/>
    <n v="95250"/>
    <n v="110250"/>
    <n v="205500"/>
    <n v="5250"/>
    <n v="685"/>
  </r>
  <r>
    <x v="6"/>
    <x v="6"/>
    <s v="3(TARDE)"/>
    <n v="21"/>
    <s v="FINAL TURNO 2"/>
    <n v="1750"/>
    <n v="6300"/>
    <n v="330"/>
    <n v="120"/>
    <n v="115"/>
    <n v="169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7"/>
    <x v="7"/>
    <s v="8 (NOCHE)"/>
    <n v="22"/>
    <s v="FINAL TURNO 3"/>
    <n v="1750"/>
    <n v="6300"/>
    <n v="330"/>
    <n v="120"/>
    <n v="115"/>
    <n v="169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7"/>
    <x v="7"/>
    <s v="9 (MAÑANA)"/>
    <n v="23"/>
    <s v="FINAL TURNO 1"/>
    <n v="1750"/>
    <n v="6300"/>
    <n v="330"/>
    <n v="120"/>
    <n v="115"/>
    <n v="16947"/>
    <n v="0"/>
    <n v="75"/>
    <n v="0"/>
    <n v="0"/>
    <n v="0"/>
    <n v="5"/>
    <n v="0"/>
    <n v="0"/>
    <n v="0"/>
    <n v="0"/>
    <n v="5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95250"/>
    <n v="0"/>
    <n v="95250"/>
    <n v="5250"/>
    <e v="#DIV/0!"/>
  </r>
  <r>
    <x v="7"/>
    <x v="7"/>
    <s v="3(TARDE)"/>
    <n v="24"/>
    <s v="FINAL TURNO 2"/>
    <n v="1750"/>
    <n v="6300"/>
    <n v="330"/>
    <n v="115"/>
    <n v="115"/>
    <n v="169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8"/>
    <x v="8"/>
    <s v="9 (NOCHE)"/>
    <n v="25"/>
    <s v="FINAL TURNO 3"/>
    <n v="1750"/>
    <n v="6300"/>
    <n v="330"/>
    <n v="115"/>
    <n v="115"/>
    <n v="16947"/>
    <n v="525"/>
    <n v="75"/>
    <n v="80"/>
    <n v="370"/>
    <n v="80"/>
    <n v="5"/>
    <n v="5"/>
    <n v="104"/>
    <n v="490.25"/>
    <n v="100"/>
    <n v="5"/>
    <n v="5"/>
    <n v="198.0952380952381"/>
    <n v="933.80952380952385"/>
    <n v="190.47619047619048"/>
    <n v="9.5238095238095237"/>
    <n v="9.5238095238095237"/>
    <n v="1.3"/>
    <n v="1.325"/>
    <n v="1.25"/>
    <n v="2500"/>
    <n v="2500"/>
    <n v="830"/>
    <n v="2900"/>
    <n v="6295"/>
    <n v="19050"/>
    <n v="22050"/>
    <n v="86320"/>
    <n v="1421725"/>
    <n v="629500"/>
    <n v="95250"/>
    <n v="110250"/>
    <n v="2343045"/>
    <n v="5250"/>
    <n v="4462.9428571428571"/>
  </r>
  <r>
    <x v="8"/>
    <x v="8"/>
    <s v="10 (MAÑANA)"/>
    <n v="26"/>
    <s v="FINAL TURNO 1"/>
    <n v="2670"/>
    <n v="5930"/>
    <n v="2250"/>
    <n v="160"/>
    <n v="110"/>
    <n v="16954"/>
    <n v="525"/>
    <n v="75"/>
    <n v="0"/>
    <n v="130"/>
    <n v="20"/>
    <n v="0"/>
    <n v="5"/>
    <n v="0"/>
    <n v="172.25"/>
    <n v="25"/>
    <n v="0"/>
    <n v="5"/>
    <n v="0"/>
    <n v="328.09523809523807"/>
    <n v="47.61904761904762"/>
    <n v="0"/>
    <n v="9.5238095238095237"/>
    <n v="1.3"/>
    <n v="1.325"/>
    <n v="1.25"/>
    <n v="2500"/>
    <n v="2500"/>
    <n v="830"/>
    <n v="2900"/>
    <n v="6295"/>
    <n v="19050"/>
    <n v="22050"/>
    <n v="0"/>
    <n v="499525"/>
    <n v="157375"/>
    <n v="0"/>
    <n v="110250"/>
    <n v="767150"/>
    <n v="5250"/>
    <n v="1461.2380952380952"/>
  </r>
  <r>
    <x v="8"/>
    <x v="8"/>
    <s v="3(TARDE)"/>
    <n v="27"/>
    <s v="FINAL TURNO 2"/>
    <n v="2670"/>
    <n v="5800"/>
    <n v="2230"/>
    <n v="160"/>
    <n v="105"/>
    <n v="16961"/>
    <n v="300"/>
    <n v="75"/>
    <n v="70"/>
    <n v="200"/>
    <n v="40"/>
    <n v="5"/>
    <n v="5"/>
    <n v="91"/>
    <n v="265"/>
    <n v="50"/>
    <n v="5"/>
    <n v="5"/>
    <n v="303.33333333333331"/>
    <n v="883.33333333333337"/>
    <n v="166.66666666666666"/>
    <n v="16.666666666666668"/>
    <n v="16.666666666666668"/>
    <n v="1.3"/>
    <n v="1.325"/>
    <n v="1.25"/>
    <n v="2500"/>
    <n v="2500"/>
    <n v="830"/>
    <n v="2900"/>
    <n v="6295"/>
    <n v="19050"/>
    <n v="22050"/>
    <n v="75530"/>
    <n v="768500"/>
    <n v="314750"/>
    <n v="95250"/>
    <n v="110250"/>
    <n v="1364280"/>
    <n v="5250"/>
    <n v="4547.6000000000004"/>
  </r>
  <r>
    <x v="9"/>
    <x v="9"/>
    <s v="10 (NOCHE)"/>
    <n v="28"/>
    <s v="FINAL TURNO 3"/>
    <n v="2600"/>
    <n v="5600"/>
    <n v="2190"/>
    <n v="155"/>
    <n v="100"/>
    <n v="16965"/>
    <n v="525"/>
    <n v="75"/>
    <n v="20"/>
    <n v="20"/>
    <n v="10"/>
    <n v="0"/>
    <n v="5"/>
    <n v="26"/>
    <n v="26.5"/>
    <n v="12.5"/>
    <n v="0"/>
    <n v="5"/>
    <n v="49.523809523809526"/>
    <n v="50.476190476190474"/>
    <n v="23.80952380952381"/>
    <n v="0"/>
    <n v="9.5238095238095237"/>
    <n v="1.3"/>
    <n v="1.325"/>
    <n v="1.25"/>
    <n v="2500"/>
    <n v="2500"/>
    <n v="830"/>
    <n v="2900"/>
    <n v="6295"/>
    <n v="19050"/>
    <n v="22050"/>
    <n v="21580"/>
    <n v="76850"/>
    <n v="78687.5"/>
    <n v="0"/>
    <n v="110250"/>
    <n v="287367.5"/>
    <n v="5250"/>
    <n v="547.36666666666667"/>
  </r>
  <r>
    <x v="9"/>
    <x v="9"/>
    <s v="11 (MAÑANA)"/>
    <n v="29"/>
    <s v="FINAL TURNO 1"/>
    <n v="2580"/>
    <n v="5580"/>
    <n v="2180"/>
    <n v="155"/>
    <n v="95"/>
    <n v="16972"/>
    <n v="300"/>
    <n v="75"/>
    <n v="80"/>
    <n v="170"/>
    <n v="20"/>
    <n v="5"/>
    <n v="5"/>
    <n v="104"/>
    <n v="225.25"/>
    <n v="25"/>
    <n v="5"/>
    <n v="5"/>
    <n v="346.66666666666669"/>
    <n v="750.83333333333337"/>
    <n v="83.333333333333329"/>
    <n v="16.666666666666668"/>
    <n v="16.666666666666668"/>
    <n v="1.3"/>
    <n v="1.325"/>
    <n v="1.25"/>
    <n v="2500"/>
    <n v="2500"/>
    <n v="830"/>
    <n v="2900"/>
    <n v="6295"/>
    <n v="19050"/>
    <n v="22050"/>
    <n v="86320"/>
    <n v="653225"/>
    <n v="157375"/>
    <n v="95250"/>
    <n v="110250"/>
    <n v="1102420"/>
    <n v="5250"/>
    <n v="3674.7333333333331"/>
  </r>
  <r>
    <x v="9"/>
    <x v="9"/>
    <s v="3(TARDE)"/>
    <n v="30"/>
    <s v="FINAL TURNO 2"/>
    <n v="2500"/>
    <n v="5410"/>
    <n v="2160"/>
    <n v="150"/>
    <n v="90"/>
    <n v="16976"/>
    <n v="600"/>
    <n v="75"/>
    <n v="170"/>
    <n v="140"/>
    <n v="50"/>
    <n v="0"/>
    <n v="5"/>
    <n v="221"/>
    <n v="185.5"/>
    <n v="62.5"/>
    <n v="0"/>
    <n v="5"/>
    <n v="368.33333333333331"/>
    <n v="309.16666666666669"/>
    <n v="104.16666666666667"/>
    <n v="0"/>
    <n v="8.3333333333333339"/>
    <n v="1.3"/>
    <n v="1.325"/>
    <n v="1.25"/>
    <n v="2500"/>
    <n v="2500"/>
    <n v="830"/>
    <n v="2900"/>
    <n v="6295"/>
    <n v="19050"/>
    <n v="22050"/>
    <n v="183430"/>
    <n v="537950"/>
    <n v="393437.5"/>
    <n v="0"/>
    <n v="110250"/>
    <n v="1225067.5"/>
    <n v="5250"/>
    <n v="2041.7791666666667"/>
  </r>
  <r>
    <x v="10"/>
    <x v="10"/>
    <s v="11 (NOCHE)"/>
    <n v="31"/>
    <s v="FINAL TURNO 3"/>
    <n v="2330"/>
    <n v="5270"/>
    <n v="2110"/>
    <n v="150"/>
    <n v="85"/>
    <n v="16984"/>
    <n v="225"/>
    <n v="75"/>
    <n v="130"/>
    <n v="90"/>
    <n v="10"/>
    <n v="5"/>
    <n v="5"/>
    <n v="169"/>
    <n v="119.25"/>
    <n v="12.5"/>
    <n v="5"/>
    <n v="5"/>
    <n v="751.11111111111109"/>
    <n v="530"/>
    <n v="55.555555555555557"/>
    <n v="22.222222222222221"/>
    <n v="22.222222222222221"/>
    <n v="1.3"/>
    <n v="1.325"/>
    <n v="1.25"/>
    <n v="2500"/>
    <n v="2500"/>
    <n v="830"/>
    <n v="2900"/>
    <n v="6295"/>
    <n v="19050"/>
    <n v="22050"/>
    <n v="140270"/>
    <n v="345825"/>
    <n v="78687.5"/>
    <n v="95250"/>
    <n v="110250"/>
    <n v="770282.5"/>
    <n v="5250"/>
    <n v="3423.4777777777776"/>
  </r>
  <r>
    <x v="10"/>
    <x v="10"/>
    <s v="12 (MAÑANA)"/>
    <n v="32"/>
    <s v="FINAL TURNO 1"/>
    <n v="2200"/>
    <n v="5180"/>
    <n v="2100"/>
    <n v="145"/>
    <n v="80"/>
    <n v="16987"/>
    <n v="450"/>
    <n v="75"/>
    <n v="100"/>
    <n v="120"/>
    <n v="30"/>
    <n v="5"/>
    <n v="5"/>
    <n v="130"/>
    <n v="159"/>
    <n v="37.5"/>
    <n v="5"/>
    <n v="5"/>
    <n v="288.88888888888891"/>
    <n v="353.33333333333331"/>
    <n v="83.333333333333329"/>
    <n v="11.111111111111111"/>
    <n v="11.111111111111111"/>
    <n v="1.3"/>
    <n v="1.325"/>
    <n v="1.25"/>
    <n v="2500"/>
    <n v="2500"/>
    <n v="830"/>
    <n v="2900"/>
    <n v="6295"/>
    <n v="19050"/>
    <n v="22050"/>
    <n v="107900"/>
    <n v="461100"/>
    <n v="236062.5"/>
    <n v="95250"/>
    <n v="110250"/>
    <n v="1010562.5"/>
    <n v="5250"/>
    <n v="2245.6944444444443"/>
  </r>
  <r>
    <x v="10"/>
    <x v="10"/>
    <s v="3(TARDE)"/>
    <n v="33"/>
    <s v="FINAL TURNO 2"/>
    <n v="2100"/>
    <n v="4910"/>
    <n v="2070"/>
    <n v="140"/>
    <n v="75"/>
    <n v="16993"/>
    <n v="600"/>
    <n v="75"/>
    <n v="70"/>
    <n v="110"/>
    <n v="70"/>
    <n v="0"/>
    <n v="5"/>
    <n v="91"/>
    <n v="145.75"/>
    <n v="87.5"/>
    <n v="0"/>
    <n v="5"/>
    <n v="151.66666666666666"/>
    <n v="242.91666666666666"/>
    <n v="145.83333333333334"/>
    <n v="0"/>
    <n v="8.3333333333333339"/>
    <n v="1.3"/>
    <n v="1.325"/>
    <n v="1.25"/>
    <n v="2500"/>
    <n v="2500"/>
    <n v="830"/>
    <n v="2900"/>
    <n v="6295"/>
    <n v="19050"/>
    <n v="22050"/>
    <n v="75530"/>
    <n v="422675"/>
    <n v="550812.5"/>
    <n v="0"/>
    <n v="110250"/>
    <n v="1159267.5"/>
    <n v="5250"/>
    <n v="1932.1125"/>
  </r>
  <r>
    <x v="11"/>
    <x v="11"/>
    <s v="12 (NOCHE)"/>
    <n v="34"/>
    <s v="FINAL TURNO 3"/>
    <n v="2030"/>
    <n v="4800"/>
    <n v="2000"/>
    <n v="140"/>
    <n v="70"/>
    <n v="17001"/>
    <n v="375"/>
    <n v="75"/>
    <n v="100"/>
    <n v="120"/>
    <n v="0"/>
    <n v="5"/>
    <n v="5"/>
    <n v="130"/>
    <n v="159"/>
    <n v="0"/>
    <n v="5"/>
    <n v="5"/>
    <n v="346.66666666666669"/>
    <n v="424"/>
    <n v="0"/>
    <n v="13.333333333333334"/>
    <n v="13.333333333333334"/>
    <n v="1.3"/>
    <n v="1.325"/>
    <n v="1.25"/>
    <n v="2500"/>
    <n v="2500"/>
    <n v="830"/>
    <n v="2900"/>
    <n v="6295"/>
    <n v="19050"/>
    <n v="22050"/>
    <n v="107900"/>
    <n v="461100"/>
    <n v="0"/>
    <n v="95250"/>
    <n v="110250"/>
    <n v="774500"/>
    <n v="5250"/>
    <n v="2065.3333333333335"/>
  </r>
  <r>
    <x v="11"/>
    <x v="11"/>
    <s v="13 (MAÑANA)"/>
    <n v="35"/>
    <s v="FINAL TURNO 1"/>
    <n v="1930"/>
    <n v="4680"/>
    <n v="2000"/>
    <n v="135"/>
    <n v="65"/>
    <n v="17006"/>
    <n v="225"/>
    <n v="75"/>
    <n v="130"/>
    <n v="170"/>
    <n v="30"/>
    <n v="0"/>
    <n v="5"/>
    <n v="169"/>
    <n v="225.25"/>
    <n v="37.5"/>
    <n v="0"/>
    <n v="5"/>
    <n v="751.11111111111109"/>
    <n v="1001.1111111111111"/>
    <n v="166.66666666666666"/>
    <n v="0"/>
    <n v="22.222222222222221"/>
    <n v="1.3"/>
    <n v="1.325"/>
    <n v="1.25"/>
    <n v="2500"/>
    <n v="2500"/>
    <n v="830"/>
    <n v="2900"/>
    <n v="6295"/>
    <n v="19050"/>
    <n v="22050"/>
    <n v="140270"/>
    <n v="653225"/>
    <n v="236062.5"/>
    <n v="0"/>
    <n v="110250"/>
    <n v="1139807.5"/>
    <n v="5250"/>
    <n v="5065.8111111111111"/>
  </r>
  <r>
    <x v="11"/>
    <x v="11"/>
    <s v="3(TARDE)"/>
    <n v="36"/>
    <s v="FINAL TURNO 2"/>
    <n v="1800"/>
    <n v="4510"/>
    <n v="1970"/>
    <n v="135"/>
    <n v="60"/>
    <n v="17009"/>
    <n v="600"/>
    <n v="75"/>
    <n v="100"/>
    <n v="110"/>
    <n v="20"/>
    <n v="5"/>
    <n v="5"/>
    <n v="130"/>
    <n v="145.75"/>
    <n v="25"/>
    <n v="5"/>
    <n v="5"/>
    <n v="216.66666666666666"/>
    <n v="242.91666666666666"/>
    <n v="41.666666666666664"/>
    <n v="8.3333333333333339"/>
    <n v="8.3333333333333339"/>
    <n v="1.3"/>
    <n v="1.325"/>
    <n v="1.25"/>
    <n v="2500"/>
    <n v="2500"/>
    <n v="830"/>
    <n v="2900"/>
    <n v="6295"/>
    <n v="19050"/>
    <n v="22050"/>
    <n v="107900"/>
    <n v="422675"/>
    <n v="157375"/>
    <n v="95250"/>
    <n v="110250"/>
    <n v="893450"/>
    <n v="5250"/>
    <n v="1489.0833333333333"/>
  </r>
  <r>
    <x v="12"/>
    <x v="12"/>
    <s v="13 (NOCHE)"/>
    <n v="37"/>
    <s v="FINAL TURNO 3"/>
    <n v="1700"/>
    <n v="4400"/>
    <n v="1950"/>
    <n v="130"/>
    <n v="55"/>
    <n v="17017"/>
    <n v="375"/>
    <n v="75"/>
    <n v="100"/>
    <n v="200"/>
    <n v="40"/>
    <n v="0"/>
    <n v="5"/>
    <n v="130"/>
    <n v="265"/>
    <n v="50"/>
    <n v="0"/>
    <n v="5"/>
    <n v="346.66666666666669"/>
    <n v="706.66666666666663"/>
    <n v="133.33333333333334"/>
    <n v="0"/>
    <n v="13.333333333333334"/>
    <n v="1.3"/>
    <n v="1.325"/>
    <n v="1.25"/>
    <n v="2500"/>
    <n v="2500"/>
    <n v="830"/>
    <n v="2900"/>
    <n v="6295"/>
    <n v="19050"/>
    <n v="22050"/>
    <n v="107900"/>
    <n v="768500"/>
    <n v="314750"/>
    <n v="0"/>
    <n v="110250"/>
    <n v="1301400"/>
    <n v="5250"/>
    <n v="3470.4"/>
  </r>
  <r>
    <x v="12"/>
    <x v="12"/>
    <s v="14 (MAÑANA)"/>
    <n v="38"/>
    <s v="FINAL TURNO 1"/>
    <n v="1600"/>
    <n v="4200"/>
    <n v="1910"/>
    <n v="130"/>
    <n v="50"/>
    <n v="17022"/>
    <n v="450"/>
    <n v="75"/>
    <n v="110"/>
    <n v="230"/>
    <n v="60"/>
    <n v="5"/>
    <n v="5"/>
    <n v="143"/>
    <n v="304.75"/>
    <n v="75"/>
    <n v="5"/>
    <n v="5"/>
    <n v="317.77777777777777"/>
    <n v="677.22222222222217"/>
    <n v="166.66666666666666"/>
    <n v="11.111111111111111"/>
    <n v="11.111111111111111"/>
    <n v="1.3"/>
    <n v="1.325"/>
    <n v="1.25"/>
    <n v="2500"/>
    <n v="2500"/>
    <n v="830"/>
    <n v="2900"/>
    <n v="6295"/>
    <n v="19050"/>
    <n v="22050"/>
    <n v="118690"/>
    <n v="883775"/>
    <n v="472125"/>
    <n v="95250"/>
    <n v="110250"/>
    <n v="1680090"/>
    <n v="5250"/>
    <n v="3733.5333333333333"/>
  </r>
  <r>
    <x v="12"/>
    <x v="12"/>
    <s v="3(TARDE)"/>
    <n v="39"/>
    <s v="FINAL TURNO 2"/>
    <n v="1490"/>
    <n v="3970"/>
    <n v="1850"/>
    <n v="125"/>
    <n v="45"/>
    <n v="17028"/>
    <n v="300"/>
    <n v="75"/>
    <n v="100"/>
    <n v="70"/>
    <n v="50"/>
    <n v="0"/>
    <n v="5"/>
    <n v="130"/>
    <n v="92.75"/>
    <n v="62.5"/>
    <n v="0"/>
    <n v="5"/>
    <n v="433.33333333333331"/>
    <n v="309.16666666666669"/>
    <n v="208.33333333333334"/>
    <n v="0"/>
    <n v="16.666666666666668"/>
    <n v="1.3"/>
    <n v="1.325"/>
    <n v="1.25"/>
    <n v="2500"/>
    <n v="2500"/>
    <n v="830"/>
    <n v="2900"/>
    <n v="6295"/>
    <n v="19050"/>
    <n v="22050"/>
    <n v="107900"/>
    <n v="268975"/>
    <n v="393437.5"/>
    <n v="0"/>
    <n v="110250"/>
    <n v="880562.5"/>
    <n v="5250"/>
    <n v="2935.2083333333335"/>
  </r>
  <r>
    <x v="13"/>
    <x v="13"/>
    <s v="14 (NOCHE)"/>
    <n v="40"/>
    <s v="FINAL TURNO 3"/>
    <n v="1390"/>
    <n v="3900"/>
    <n v="1800"/>
    <n v="125"/>
    <n v="40"/>
    <n v="17032"/>
    <n v="525"/>
    <n v="75"/>
    <n v="40"/>
    <n v="300"/>
    <n v="0"/>
    <n v="5"/>
    <n v="5"/>
    <n v="52"/>
    <n v="397.5"/>
    <n v="0"/>
    <n v="5"/>
    <n v="5"/>
    <n v="99.047619047619051"/>
    <n v="757.14285714285711"/>
    <n v="0"/>
    <n v="9.5238095238095237"/>
    <n v="9.5238095238095237"/>
    <n v="1.3"/>
    <n v="1.325"/>
    <n v="1.25"/>
    <n v="2500"/>
    <n v="2500"/>
    <n v="830"/>
    <n v="2900"/>
    <n v="6295"/>
    <n v="19050"/>
    <n v="22050"/>
    <n v="43160"/>
    <n v="1152750"/>
    <n v="0"/>
    <n v="95250"/>
    <n v="110250"/>
    <n v="1401410"/>
    <n v="5250"/>
    <n v="2669.3523809523808"/>
  </r>
  <r>
    <x v="13"/>
    <x v="13"/>
    <s v="15 (MAÑANA)"/>
    <n v="41"/>
    <s v="FINAL TURNO 1"/>
    <n v="1350"/>
    <n v="3600"/>
    <n v="1800"/>
    <n v="120"/>
    <n v="35"/>
    <n v="17039"/>
    <n v="300"/>
    <n v="75"/>
    <n v="50"/>
    <n v="190"/>
    <n v="20"/>
    <n v="0"/>
    <n v="5"/>
    <n v="65"/>
    <n v="251.75"/>
    <n v="25"/>
    <n v="0"/>
    <n v="5"/>
    <n v="216.66666666666666"/>
    <n v="839.16666666666663"/>
    <n v="83.333333333333329"/>
    <n v="0"/>
    <n v="16.666666666666668"/>
    <n v="1.3"/>
    <n v="1.325"/>
    <n v="1.25"/>
    <n v="2500"/>
    <n v="2500"/>
    <n v="830"/>
    <n v="2900"/>
    <n v="6295"/>
    <n v="19050"/>
    <n v="22050"/>
    <n v="53950"/>
    <n v="730075"/>
    <n v="157375"/>
    <n v="0"/>
    <n v="110250"/>
    <n v="1051650"/>
    <n v="5250"/>
    <n v="3505.5"/>
  </r>
  <r>
    <x v="13"/>
    <x v="13"/>
    <s v="3(TARDE)"/>
    <n v="42"/>
    <s v="FINAL TURNO 2"/>
    <n v="1300"/>
    <n v="3260"/>
    <n v="1780"/>
    <n v="120"/>
    <n v="30"/>
    <n v="17043"/>
    <n v="300"/>
    <n v="75"/>
    <n v="0"/>
    <n v="0"/>
    <n v="0"/>
    <n v="5"/>
    <n v="0"/>
    <n v="0"/>
    <n v="0"/>
    <n v="0"/>
    <n v="5"/>
    <n v="0"/>
    <n v="0"/>
    <n v="0"/>
    <n v="0"/>
    <n v="16.666666666666668"/>
    <n v="0"/>
    <n v="1.3"/>
    <n v="1.325"/>
    <n v="1.25"/>
    <n v="2500"/>
    <n v="2500"/>
    <n v="830"/>
    <n v="2900"/>
    <n v="6295"/>
    <n v="19050"/>
    <n v="22050"/>
    <n v="0"/>
    <n v="0"/>
    <n v="0"/>
    <n v="95250"/>
    <n v="0"/>
    <n v="95250"/>
    <n v="5250"/>
    <n v="317.5"/>
  </r>
  <r>
    <x v="14"/>
    <x v="14"/>
    <s v="15 (NOCHE)"/>
    <n v="43"/>
    <s v="FINAL TURNO 3"/>
    <n v="1300"/>
    <n v="3260"/>
    <n v="1780"/>
    <n v="115"/>
    <n v="30"/>
    <n v="170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4"/>
    <x v="14"/>
    <s v="16 (MAÑANA)"/>
    <n v="44"/>
    <s v="FINAL TURNO 1"/>
    <n v="1300"/>
    <n v="3260"/>
    <n v="1780"/>
    <n v="115"/>
    <n v="30"/>
    <n v="170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4"/>
    <x v="14"/>
    <s v="3(TARDE)"/>
    <n v="45"/>
    <s v="FINAL TURNO 2"/>
    <n v="1300"/>
    <n v="3260"/>
    <n v="1780"/>
    <n v="115"/>
    <n v="30"/>
    <n v="17047"/>
    <n v="0"/>
    <n v="7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15"/>
    <x v="15"/>
    <s v="16 (NOCHE)"/>
    <n v="46"/>
    <s v="FINAL TURNO 3"/>
    <n v="1300"/>
    <n v="3260"/>
    <n v="1780"/>
    <n v="115"/>
    <n v="30"/>
    <n v="17047"/>
    <n v="480"/>
    <n v="80"/>
    <n v="200"/>
    <n v="380"/>
    <n v="80"/>
    <n v="5"/>
    <n v="5"/>
    <n v="260"/>
    <n v="503.5"/>
    <n v="100"/>
    <n v="5"/>
    <n v="5"/>
    <n v="541.66666666666663"/>
    <n v="1048.9583333333333"/>
    <n v="208.33333333333334"/>
    <n v="10.416666666666666"/>
    <n v="10.416666666666666"/>
    <n v="1.3"/>
    <n v="1.325"/>
    <n v="1.25"/>
    <n v="2500"/>
    <n v="2500"/>
    <n v="830"/>
    <n v="2900"/>
    <n v="6295"/>
    <n v="19050"/>
    <n v="22050"/>
    <n v="215800"/>
    <n v="1460150"/>
    <n v="629500"/>
    <n v="95250"/>
    <n v="110250"/>
    <n v="2510950"/>
    <n v="5250"/>
    <n v="5231.145833333333"/>
  </r>
  <r>
    <x v="15"/>
    <x v="15"/>
    <s v="17 (MAÑANA)"/>
    <n v="47"/>
    <s v="FINAL TURNO 1"/>
    <n v="1100"/>
    <n v="2880"/>
    <n v="1700"/>
    <n v="110"/>
    <n v="25"/>
    <n v="17053"/>
    <n v="320"/>
    <n v="80"/>
    <n v="100"/>
    <n v="240"/>
    <n v="60"/>
    <n v="0"/>
    <n v="5"/>
    <n v="130"/>
    <n v="318"/>
    <n v="75"/>
    <n v="0"/>
    <n v="5"/>
    <n v="406.25"/>
    <n v="993.75"/>
    <n v="234.375"/>
    <n v="0"/>
    <n v="15.625"/>
    <n v="1.3"/>
    <n v="1.325"/>
    <n v="1.25"/>
    <n v="2500"/>
    <n v="2500"/>
    <n v="830"/>
    <n v="2900"/>
    <n v="6295"/>
    <n v="19050"/>
    <n v="22050"/>
    <n v="107900"/>
    <n v="922200"/>
    <n v="472125"/>
    <n v="0"/>
    <n v="110250"/>
    <n v="1612475"/>
    <n v="5250"/>
    <n v="5038.984375"/>
  </r>
  <r>
    <x v="15"/>
    <x v="15"/>
    <s v="3(TARDE)"/>
    <n v="48"/>
    <s v="FINAL TURNO 2"/>
    <n v="1000"/>
    <n v="2640"/>
    <n v="1640"/>
    <n v="110"/>
    <n v="20"/>
    <n v="17057"/>
    <n v="640"/>
    <n v="80"/>
    <n v="100"/>
    <n v="240"/>
    <n v="40"/>
    <n v="0"/>
    <n v="5"/>
    <n v="130"/>
    <n v="318"/>
    <n v="50"/>
    <n v="0"/>
    <n v="5"/>
    <n v="203.125"/>
    <n v="496.875"/>
    <n v="78.125"/>
    <n v="0"/>
    <n v="7.8125"/>
    <n v="1.3"/>
    <n v="1.325"/>
    <n v="1.25"/>
    <n v="2500"/>
    <n v="2500"/>
    <n v="830"/>
    <n v="2900"/>
    <n v="6295"/>
    <n v="19050"/>
    <n v="22050"/>
    <n v="107900"/>
    <n v="922200"/>
    <n v="314750"/>
    <n v="0"/>
    <n v="110250"/>
    <n v="1455100"/>
    <n v="5250"/>
    <n v="2273.59375"/>
  </r>
  <r>
    <x v="16"/>
    <x v="16"/>
    <s v="17 (NOCHE)"/>
    <n v="49"/>
    <s v="FINAL TURNO 3"/>
    <n v="900"/>
    <n v="2400"/>
    <n v="1600"/>
    <n v="110"/>
    <n v="15"/>
    <n v="17065"/>
    <n v="400"/>
    <n v="80"/>
    <n v="140"/>
    <n v="100"/>
    <n v="0"/>
    <n v="5"/>
    <n v="5"/>
    <n v="182"/>
    <n v="132.5"/>
    <n v="0"/>
    <n v="5"/>
    <n v="5"/>
    <n v="455"/>
    <n v="331.25"/>
    <n v="0"/>
    <n v="12.5"/>
    <n v="12.5"/>
    <n v="1.3"/>
    <n v="1.325"/>
    <n v="1.25"/>
    <n v="2500"/>
    <n v="2500"/>
    <n v="830"/>
    <n v="2900"/>
    <n v="6295"/>
    <n v="19050"/>
    <n v="22050"/>
    <n v="151060"/>
    <n v="384250"/>
    <n v="0"/>
    <n v="95250"/>
    <n v="110250"/>
    <n v="740810"/>
    <n v="5250"/>
    <n v="1852.0250000000001"/>
  </r>
  <r>
    <x v="16"/>
    <x v="16"/>
    <s v="18 (MAÑANA)"/>
    <n v="50"/>
    <s v="FINAL TURNO 1"/>
    <n v="760"/>
    <n v="2300"/>
    <n v="1600"/>
    <n v="105"/>
    <n v="10"/>
    <n v="17070"/>
    <n v="400"/>
    <n v="80"/>
    <n v="60"/>
    <n v="150"/>
    <n v="50"/>
    <n v="0"/>
    <n v="5"/>
    <n v="78"/>
    <n v="198.75"/>
    <n v="62.5"/>
    <n v="0"/>
    <n v="5"/>
    <n v="195"/>
    <n v="496.875"/>
    <n v="156.25"/>
    <n v="0"/>
    <n v="12.5"/>
    <n v="1.3"/>
    <n v="1.325"/>
    <n v="1.25"/>
    <n v="2500"/>
    <n v="2500"/>
    <n v="830"/>
    <n v="2900"/>
    <n v="6295"/>
    <n v="19050"/>
    <n v="22050"/>
    <n v="64740"/>
    <n v="576375"/>
    <n v="393437.5"/>
    <n v="0"/>
    <n v="110250"/>
    <n v="1144802.5"/>
    <n v="5250"/>
    <n v="2862.0062499999999"/>
  </r>
  <r>
    <x v="16"/>
    <x v="16"/>
    <s v="3(TARDE)"/>
    <n v="51"/>
    <s v="FINAL TURNO 2"/>
    <n v="700"/>
    <n v="2150"/>
    <n v="1550"/>
    <n v="105"/>
    <n v="5"/>
    <n v="17075"/>
    <n v="400"/>
    <n v="80"/>
    <n v="50"/>
    <n v="50"/>
    <n v="60"/>
    <n v="0"/>
    <n v="5"/>
    <n v="65"/>
    <n v="66.25"/>
    <n v="75"/>
    <n v="0"/>
    <n v="5"/>
    <n v="162.5"/>
    <n v="165.625"/>
    <n v="187.5"/>
    <n v="0"/>
    <n v="12.5"/>
    <n v="1.3"/>
    <n v="1.325"/>
    <n v="1.25"/>
    <n v="2500"/>
    <n v="2500"/>
    <n v="830"/>
    <n v="2900"/>
    <n v="6295"/>
    <n v="19050"/>
    <n v="22050"/>
    <n v="53950"/>
    <n v="192125"/>
    <n v="472125"/>
    <n v="0"/>
    <n v="110250"/>
    <n v="828450"/>
    <n v="5250"/>
    <n v="2071.125"/>
  </r>
  <r>
    <x v="17"/>
    <x v="17"/>
    <s v="18 (NOCHE)"/>
    <n v="52"/>
    <s v="FINAL TURNO 3"/>
    <n v="650"/>
    <n v="2100"/>
    <n v="1490"/>
    <n v="105"/>
    <n v="0"/>
    <n v="17080"/>
    <n v="320"/>
    <n v="80"/>
    <n v="70"/>
    <n v="0"/>
    <n v="80"/>
    <n v="5"/>
    <n v="5"/>
    <n v="91"/>
    <n v="0"/>
    <n v="100"/>
    <n v="5"/>
    <n v="5"/>
    <n v="284.375"/>
    <n v="0"/>
    <n v="312.5"/>
    <n v="15.625"/>
    <n v="15.625"/>
    <n v="1.3"/>
    <n v="1.325"/>
    <n v="1.25"/>
    <n v="2500"/>
    <n v="2500"/>
    <n v="830"/>
    <n v="2900"/>
    <n v="6295"/>
    <n v="19050"/>
    <n v="22050"/>
    <n v="75530"/>
    <n v="0"/>
    <n v="629500"/>
    <n v="95250"/>
    <n v="110250"/>
    <n v="910530"/>
    <n v="5250"/>
    <n v="2845.40625"/>
  </r>
  <r>
    <x v="17"/>
    <x v="17"/>
    <s v="19 (MAÑANA)"/>
    <n v="53"/>
    <s v="FINAL TURNO 1"/>
    <n v="580"/>
    <n v="2100"/>
    <n v="1410"/>
    <n v="100"/>
    <n v="295"/>
    <n v="17084"/>
    <n v="160"/>
    <n v="80"/>
    <n v="80"/>
    <n v="0"/>
    <n v="40"/>
    <n v="0"/>
    <n v="5"/>
    <n v="104"/>
    <n v="0"/>
    <n v="50"/>
    <n v="0"/>
    <n v="5"/>
    <n v="650"/>
    <n v="0"/>
    <n v="312.5"/>
    <n v="0"/>
    <n v="31.25"/>
    <n v="1.3"/>
    <n v="1.325"/>
    <n v="1.25"/>
    <n v="2500"/>
    <n v="2500"/>
    <n v="830"/>
    <n v="2900"/>
    <n v="6295"/>
    <n v="19050"/>
    <n v="22050"/>
    <n v="86320"/>
    <n v="0"/>
    <n v="314750"/>
    <n v="0"/>
    <n v="110250"/>
    <n v="511320"/>
    <n v="5250"/>
    <n v="3195.75"/>
  </r>
  <r>
    <x v="17"/>
    <x v="17"/>
    <s v="3(TARDE)"/>
    <n v="54"/>
    <s v="FINAL TURNO 2"/>
    <n v="500"/>
    <n v="2100"/>
    <n v="1370"/>
    <n v="100"/>
    <n v="290"/>
    <n v="17086"/>
    <n v="480"/>
    <n v="80"/>
    <n v="130"/>
    <n v="0"/>
    <n v="80"/>
    <n v="0"/>
    <n v="5"/>
    <n v="169"/>
    <n v="0"/>
    <n v="100"/>
    <n v="0"/>
    <n v="5"/>
    <n v="352.08333333333331"/>
    <n v="0"/>
    <n v="208.33333333333334"/>
    <n v="0"/>
    <n v="10.416666666666666"/>
    <n v="1.3"/>
    <n v="1.325"/>
    <n v="1.25"/>
    <n v="2500"/>
    <n v="2500"/>
    <n v="830"/>
    <n v="2900"/>
    <n v="6295"/>
    <n v="19050"/>
    <n v="22050"/>
    <n v="140270"/>
    <n v="0"/>
    <n v="629500"/>
    <n v="0"/>
    <n v="110250"/>
    <n v="880020"/>
    <n v="5250"/>
    <n v="1833.375"/>
  </r>
  <r>
    <x v="18"/>
    <x v="18"/>
    <s v="19 (NOCHE)"/>
    <n v="55"/>
    <s v="FINAL TURNO 3"/>
    <n v="370"/>
    <n v="2100"/>
    <n v="1290"/>
    <n v="100"/>
    <n v="285"/>
    <n v="17092"/>
    <n v="320"/>
    <n v="80"/>
    <n v="70"/>
    <n v="40"/>
    <n v="70"/>
    <n v="5"/>
    <n v="5"/>
    <n v="91"/>
    <n v="53"/>
    <n v="87.5"/>
    <n v="5"/>
    <n v="5"/>
    <n v="284.375"/>
    <n v="165.625"/>
    <n v="273.4375"/>
    <n v="15.625"/>
    <n v="15.625"/>
    <n v="1.3"/>
    <n v="1.325"/>
    <n v="1.25"/>
    <n v="2500"/>
    <n v="2500"/>
    <n v="830"/>
    <n v="2900"/>
    <n v="6295"/>
    <n v="19050"/>
    <n v="22050"/>
    <n v="75530"/>
    <n v="153700"/>
    <n v="550812.5"/>
    <n v="95250"/>
    <n v="110250"/>
    <n v="985542.5"/>
    <n v="5250"/>
    <n v="3079.8203125"/>
  </r>
  <r>
    <x v="18"/>
    <x v="18"/>
    <s v="20 (MAÑANA)"/>
    <n v="56"/>
    <s v="FINAL TURNO 1"/>
    <n v="300"/>
    <n v="2060"/>
    <n v="1220"/>
    <n v="95"/>
    <n v="280"/>
    <n v="17096"/>
    <n v="320"/>
    <n v="80"/>
    <n v="200"/>
    <n v="160"/>
    <n v="50"/>
    <n v="0"/>
    <n v="5"/>
    <n v="260"/>
    <n v="212"/>
    <n v="62.5"/>
    <n v="0"/>
    <n v="5"/>
    <n v="812.5"/>
    <n v="662.5"/>
    <n v="195.3125"/>
    <n v="0"/>
    <n v="15.625"/>
    <n v="1.3"/>
    <n v="1.325"/>
    <n v="1.25"/>
    <n v="2500"/>
    <n v="2500"/>
    <n v="830"/>
    <n v="2900"/>
    <n v="6295"/>
    <n v="19050"/>
    <n v="22050"/>
    <n v="215800"/>
    <n v="614800"/>
    <n v="393437.5"/>
    <n v="0"/>
    <n v="110250"/>
    <n v="1334287.5"/>
    <n v="5250"/>
    <n v="4169.6484375"/>
  </r>
  <r>
    <x v="18"/>
    <x v="18"/>
    <s v="3(TARDE)"/>
    <n v="57"/>
    <s v="FINAL TURNO 2"/>
    <n v="100"/>
    <n v="1900"/>
    <n v="1170"/>
    <n v="95"/>
    <n v="275"/>
    <n v="17100"/>
    <n v="560"/>
    <n v="80"/>
    <n v="50"/>
    <n v="170"/>
    <n v="20"/>
    <n v="0"/>
    <n v="5"/>
    <n v="65"/>
    <n v="225.25"/>
    <n v="25"/>
    <n v="0"/>
    <n v="5"/>
    <n v="116.07142857142857"/>
    <n v="402.23214285714283"/>
    <n v="44.642857142857146"/>
    <n v="0"/>
    <n v="8.9285714285714288"/>
    <n v="1.3"/>
    <n v="1.325"/>
    <n v="1.25"/>
    <n v="2500"/>
    <n v="2500"/>
    <n v="830"/>
    <n v="2900"/>
    <n v="6295"/>
    <n v="19050"/>
    <n v="22050"/>
    <n v="53950"/>
    <n v="653225"/>
    <n v="157375"/>
    <n v="0"/>
    <n v="110250"/>
    <n v="974800"/>
    <n v="5250"/>
    <n v="1740.7142857142858"/>
  </r>
  <r>
    <x v="19"/>
    <x v="19"/>
    <s v="20 (NOCHE)"/>
    <n v="58"/>
    <s v="FINAL TURNO 3"/>
    <n v="1050"/>
    <n v="3730"/>
    <n v="2150"/>
    <n v="95"/>
    <n v="270"/>
    <n v="17107"/>
    <n v="480"/>
    <n v="80"/>
    <n v="120"/>
    <n v="140"/>
    <n v="50"/>
    <n v="5"/>
    <n v="5"/>
    <n v="156"/>
    <n v="185.5"/>
    <n v="62.5"/>
    <n v="5"/>
    <n v="5"/>
    <n v="325"/>
    <n v="386.45833333333331"/>
    <n v="130.20833333333334"/>
    <n v="10.416666666666666"/>
    <n v="10.416666666666666"/>
    <n v="1.3"/>
    <n v="1.325"/>
    <n v="1.25"/>
    <n v="2500"/>
    <n v="2500"/>
    <n v="830"/>
    <n v="2900"/>
    <n v="6295"/>
    <n v="19050"/>
    <n v="22050"/>
    <n v="129480"/>
    <n v="537950"/>
    <n v="393437.5"/>
    <n v="95250"/>
    <n v="110250"/>
    <n v="1266367.5"/>
    <n v="5250"/>
    <n v="2638.265625"/>
  </r>
  <r>
    <x v="19"/>
    <x v="19"/>
    <s v="21 (MAÑANA)"/>
    <n v="59"/>
    <s v="FINAL TURNO 1"/>
    <n v="930"/>
    <n v="3590"/>
    <n v="2100"/>
    <n v="90"/>
    <n v="265"/>
    <n v="17113"/>
    <n v="400"/>
    <n v="80"/>
    <n v="130"/>
    <n v="90"/>
    <n v="20"/>
    <n v="0"/>
    <n v="5"/>
    <n v="169"/>
    <n v="119.25"/>
    <n v="25"/>
    <n v="0"/>
    <n v="5"/>
    <n v="422.5"/>
    <n v="298.125"/>
    <n v="62.5"/>
    <n v="0"/>
    <n v="12.5"/>
    <n v="1.3"/>
    <n v="1.325"/>
    <n v="1.25"/>
    <n v="2500"/>
    <n v="2500"/>
    <n v="830"/>
    <n v="2900"/>
    <n v="6295"/>
    <n v="19050"/>
    <n v="22050"/>
    <n v="140270"/>
    <n v="345825"/>
    <n v="157375"/>
    <n v="0"/>
    <n v="110250"/>
    <n v="753720"/>
    <n v="5250"/>
    <n v="1884.3"/>
  </r>
  <r>
    <x v="19"/>
    <x v="19"/>
    <s v="3(TARDE)"/>
    <n v="60"/>
    <s v="FINAL TURNO 2"/>
    <n v="800"/>
    <n v="3500"/>
    <n v="2080"/>
    <n v="90"/>
    <n v="260"/>
    <n v="17118"/>
    <n v="480"/>
    <n v="80"/>
    <n v="0"/>
    <n v="150"/>
    <n v="40"/>
    <n v="0"/>
    <n v="5"/>
    <n v="0"/>
    <n v="198.75"/>
    <n v="50"/>
    <n v="0"/>
    <n v="5"/>
    <n v="0"/>
    <n v="414.0625"/>
    <n v="104.16666666666667"/>
    <n v="0"/>
    <n v="10.416666666666666"/>
    <n v="1.3"/>
    <n v="1.325"/>
    <n v="1.25"/>
    <n v="2500"/>
    <n v="2500"/>
    <n v="830"/>
    <n v="2900"/>
    <n v="6295"/>
    <n v="19050"/>
    <n v="22050"/>
    <n v="0"/>
    <n v="576375"/>
    <n v="314750"/>
    <n v="0"/>
    <n v="110250"/>
    <n v="1001375"/>
    <n v="5250"/>
    <n v="2086.1979166666665"/>
  </r>
  <r>
    <x v="20"/>
    <x v="20"/>
    <s v="21 (NOCHE)"/>
    <n v="61"/>
    <s v="FINAL TURNO 3"/>
    <n v="800"/>
    <n v="3350"/>
    <n v="2040"/>
    <n v="90"/>
    <n v="255"/>
    <n v="17124"/>
    <n v="400"/>
    <n v="80"/>
    <n v="150"/>
    <n v="300"/>
    <n v="40"/>
    <n v="5"/>
    <n v="5"/>
    <n v="195"/>
    <n v="397.5"/>
    <n v="50"/>
    <n v="5"/>
    <n v="5"/>
    <n v="487.5"/>
    <n v="993.75"/>
    <n v="125"/>
    <n v="12.5"/>
    <n v="12.5"/>
    <n v="1.3"/>
    <n v="1.325"/>
    <n v="1.25"/>
    <n v="2500"/>
    <n v="2500"/>
    <n v="830"/>
    <n v="2900"/>
    <n v="6295"/>
    <n v="19050"/>
    <n v="22050"/>
    <n v="161850"/>
    <n v="1152750"/>
    <n v="314750"/>
    <n v="95250"/>
    <n v="110250"/>
    <n v="1834850"/>
    <n v="5250"/>
    <n v="4587.125"/>
  </r>
  <r>
    <x v="20"/>
    <x v="20"/>
    <s v="22 (MAÑANA)"/>
    <n v="62"/>
    <s v="FINAL TURNO 1"/>
    <n v="650"/>
    <n v="3050"/>
    <n v="2000"/>
    <n v="85"/>
    <n v="250"/>
    <n v="17129"/>
    <n v="160"/>
    <n v="80"/>
    <n v="50"/>
    <n v="50"/>
    <n v="50"/>
    <n v="0"/>
    <n v="5"/>
    <n v="65"/>
    <n v="66.25"/>
    <n v="62.5"/>
    <n v="0"/>
    <n v="5"/>
    <n v="406.25"/>
    <n v="414.0625"/>
    <n v="390.625"/>
    <n v="0"/>
    <n v="31.25"/>
    <n v="1.3"/>
    <n v="1.325"/>
    <n v="1.25"/>
    <n v="2500"/>
    <n v="2500"/>
    <n v="830"/>
    <n v="2900"/>
    <n v="6295"/>
    <n v="19050"/>
    <n v="22050"/>
    <n v="53950"/>
    <n v="192125"/>
    <n v="393437.5"/>
    <n v="0"/>
    <n v="110250"/>
    <n v="749762.5"/>
    <n v="5250"/>
    <n v="4686.015625"/>
  </r>
  <r>
    <x v="20"/>
    <x v="20"/>
    <s v="3(TARDE)"/>
    <n v="63"/>
    <s v="FINAL TURNO 2"/>
    <n v="600"/>
    <n v="3000"/>
    <n v="1950"/>
    <n v="85"/>
    <n v="245"/>
    <n v="17131"/>
    <n v="320"/>
    <n v="80"/>
    <n v="80"/>
    <n v="150"/>
    <n v="40"/>
    <n v="0"/>
    <n v="5"/>
    <n v="104"/>
    <n v="198.75"/>
    <n v="50"/>
    <n v="0"/>
    <n v="5"/>
    <n v="325"/>
    <n v="621.09375"/>
    <n v="156.25"/>
    <n v="0"/>
    <n v="15.625"/>
    <n v="1.3"/>
    <n v="1.325"/>
    <n v="1.25"/>
    <n v="2500"/>
    <n v="2500"/>
    <n v="830"/>
    <n v="2900"/>
    <n v="6295"/>
    <n v="19050"/>
    <n v="22050"/>
    <n v="86320"/>
    <n v="576375"/>
    <n v="314750"/>
    <n v="0"/>
    <n v="110250"/>
    <n v="1087695"/>
    <n v="5250"/>
    <n v="3399.046875"/>
  </r>
  <r>
    <x v="21"/>
    <x v="21"/>
    <s v="22 (NOCHE)"/>
    <n v="64"/>
    <s v="FINAL TURNO 3"/>
    <n v="520"/>
    <n v="2850"/>
    <n v="1910"/>
    <n v="85"/>
    <n v="240"/>
    <n v="17135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1"/>
    <x v="21"/>
    <s v="23 (MAÑANA)"/>
    <n v="65"/>
    <s v="FINAL TURNO 1"/>
    <n v="520"/>
    <n v="2850"/>
    <n v="1910"/>
    <n v="85"/>
    <n v="240"/>
    <n v="17135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1"/>
    <x v="21"/>
    <s v="3(TARDE)"/>
    <n v="66"/>
    <s v="FINAL TURNO 2"/>
    <n v="520"/>
    <n v="2850"/>
    <n v="1910"/>
    <n v="85"/>
    <n v="240"/>
    <n v="17135"/>
    <n v="0"/>
    <n v="80"/>
    <n v="0"/>
    <n v="160"/>
    <n v="0"/>
    <n v="0"/>
    <n v="0"/>
    <n v="0"/>
    <n v="212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614800"/>
    <n v="0"/>
    <n v="0"/>
    <n v="0"/>
    <n v="614800"/>
    <n v="5250"/>
    <e v="#DIV/0!"/>
  </r>
  <r>
    <x v="22"/>
    <x v="22"/>
    <s v="23 (NOCHE)"/>
    <n v="67"/>
    <s v="FINAL TURNO 3"/>
    <n v="520"/>
    <n v="2690"/>
    <n v="1910"/>
    <n v="85"/>
    <n v="240"/>
    <n v="17135"/>
    <n v="240"/>
    <n v="80"/>
    <n v="0"/>
    <n v="290"/>
    <n v="10"/>
    <n v="5"/>
    <n v="5"/>
    <n v="0"/>
    <n v="384.25"/>
    <n v="12.5"/>
    <n v="5"/>
    <n v="5"/>
    <n v="0"/>
    <n v="1601.0416666666667"/>
    <n v="52.083333333333336"/>
    <n v="20.833333333333332"/>
    <n v="20.833333333333332"/>
    <n v="1.3"/>
    <n v="1.325"/>
    <n v="1.25"/>
    <n v="2500"/>
    <n v="2500"/>
    <n v="830"/>
    <n v="2900"/>
    <n v="6295"/>
    <n v="19050"/>
    <n v="22050"/>
    <n v="0"/>
    <n v="1114325"/>
    <n v="78687.5"/>
    <n v="95250"/>
    <n v="110250"/>
    <n v="1398512.5"/>
    <n v="5250"/>
    <n v="5827.135416666667"/>
  </r>
  <r>
    <x v="22"/>
    <x v="22"/>
    <s v="24 (MAÑANA)"/>
    <n v="68"/>
    <s v="FINAL TURNO 1"/>
    <n v="520"/>
    <n v="4400"/>
    <n v="1900"/>
    <n v="80"/>
    <n v="235"/>
    <n v="17138"/>
    <n v="0"/>
    <n v="80"/>
    <n v="420"/>
    <n v="100"/>
    <n v="90"/>
    <n v="0"/>
    <n v="5"/>
    <n v="546"/>
    <n v="132.5"/>
    <n v="112.5"/>
    <n v="0"/>
    <n v="5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453180"/>
    <n v="384250"/>
    <n v="708187.5"/>
    <n v="0"/>
    <n v="110250"/>
    <n v="1655867.5"/>
    <n v="5250"/>
    <e v="#DIV/0!"/>
  </r>
  <r>
    <x v="22"/>
    <x v="22"/>
    <s v="3(TARDE)"/>
    <n v="69"/>
    <s v="FINAL TURNO 2"/>
    <n v="2100"/>
    <n v="4300"/>
    <n v="2810"/>
    <n v="80"/>
    <n v="230"/>
    <n v="17138"/>
    <n v="480"/>
    <n v="80"/>
    <n v="100"/>
    <n v="0"/>
    <n v="10"/>
    <n v="5"/>
    <n v="5"/>
    <n v="130"/>
    <n v="0"/>
    <n v="12.5"/>
    <n v="5"/>
    <n v="5"/>
    <n v="270.83333333333331"/>
    <n v="0"/>
    <n v="26.041666666666668"/>
    <n v="10.416666666666666"/>
    <n v="10.416666666666666"/>
    <n v="1.3"/>
    <n v="1.325"/>
    <n v="1.25"/>
    <n v="2500"/>
    <n v="2500"/>
    <n v="830"/>
    <n v="2900"/>
    <n v="6295"/>
    <n v="19050"/>
    <n v="22050"/>
    <n v="107900"/>
    <n v="0"/>
    <n v="78687.5"/>
    <n v="95250"/>
    <n v="110250"/>
    <n v="392087.5"/>
    <n v="5250"/>
    <n v="816.84895833333337"/>
  </r>
  <r>
    <x v="23"/>
    <x v="23"/>
    <s v="24 (NOCHE)"/>
    <n v="70"/>
    <s v="FINAL TURNO 3"/>
    <n v="2000"/>
    <n v="4300"/>
    <n v="2800"/>
    <n v="75"/>
    <n v="225"/>
    <n v="17144"/>
    <n v="400"/>
    <n v="80"/>
    <n v="0"/>
    <n v="330"/>
    <n v="0"/>
    <n v="0"/>
    <n v="5"/>
    <n v="0"/>
    <n v="437.25"/>
    <n v="0"/>
    <n v="0"/>
    <n v="5"/>
    <n v="0"/>
    <n v="1093.125"/>
    <n v="0"/>
    <n v="0"/>
    <n v="12.5"/>
    <n v="1.3"/>
    <n v="1.325"/>
    <n v="1.25"/>
    <n v="2500"/>
    <n v="2500"/>
    <n v="830"/>
    <n v="2900"/>
    <n v="6295"/>
    <n v="19050"/>
    <n v="22050"/>
    <n v="0"/>
    <n v="1268025"/>
    <n v="0"/>
    <n v="0"/>
    <n v="110250"/>
    <n v="1378275"/>
    <n v="5250"/>
    <n v="3445.6875"/>
  </r>
  <r>
    <x v="23"/>
    <x v="23"/>
    <s v="25 (MAÑANA)"/>
    <n v="71"/>
    <s v="FINAL TURNO 1"/>
    <n v="2000"/>
    <n v="3970"/>
    <n v="2800"/>
    <n v="75"/>
    <n v="220"/>
    <n v="17149"/>
    <n v="320"/>
    <n v="80"/>
    <n v="0"/>
    <n v="310"/>
    <n v="80"/>
    <n v="5"/>
    <n v="5"/>
    <n v="0"/>
    <n v="410.75"/>
    <n v="100"/>
    <n v="5"/>
    <n v="5"/>
    <n v="0"/>
    <n v="1283.59375"/>
    <n v="312.5"/>
    <n v="15.625"/>
    <n v="15.625"/>
    <n v="1.3"/>
    <n v="1.325"/>
    <n v="1.25"/>
    <n v="2500"/>
    <n v="2500"/>
    <n v="830"/>
    <n v="2900"/>
    <n v="6295"/>
    <n v="19050"/>
    <n v="22050"/>
    <n v="0"/>
    <n v="1191175"/>
    <n v="629500"/>
    <n v="95250"/>
    <n v="110250"/>
    <n v="2026175"/>
    <n v="5250"/>
    <n v="6331.796875"/>
  </r>
  <r>
    <x v="23"/>
    <x v="23"/>
    <s v="3(TARDE)"/>
    <n v="72"/>
    <s v="FINAL TURNO 2"/>
    <n v="2000"/>
    <n v="3660"/>
    <n v="2720"/>
    <n v="70"/>
    <n v="215"/>
    <n v="17153"/>
    <n v="400"/>
    <n v="80"/>
    <n v="130"/>
    <n v="60"/>
    <n v="120"/>
    <n v="0"/>
    <n v="5"/>
    <n v="169"/>
    <n v="79.5"/>
    <n v="150"/>
    <n v="0"/>
    <n v="5"/>
    <n v="422.5"/>
    <n v="198.75"/>
    <n v="375"/>
    <n v="0"/>
    <n v="12.5"/>
    <n v="1.3"/>
    <n v="1.325"/>
    <n v="1.25"/>
    <n v="2500"/>
    <n v="2500"/>
    <n v="830"/>
    <n v="2900"/>
    <n v="6295"/>
    <n v="19050"/>
    <n v="22050"/>
    <n v="140270"/>
    <n v="230550"/>
    <n v="944250"/>
    <n v="0"/>
    <n v="110250"/>
    <n v="1425320"/>
    <n v="5250"/>
    <n v="3563.3"/>
  </r>
  <r>
    <x v="24"/>
    <x v="24"/>
    <s v="25 (NOCHE)"/>
    <n v="73"/>
    <s v="FINAL TURNO 3"/>
    <n v="1870"/>
    <n v="3600"/>
    <n v="2600"/>
    <n v="70"/>
    <n v="210"/>
    <n v="17158"/>
    <n v="480"/>
    <n v="80"/>
    <n v="70"/>
    <n v="400"/>
    <n v="25"/>
    <n v="5"/>
    <n v="5"/>
    <n v="91"/>
    <n v="530"/>
    <n v="31.25"/>
    <n v="5"/>
    <n v="5"/>
    <n v="189.58333333333334"/>
    <n v="1104.1666666666667"/>
    <n v="65.104166666666671"/>
    <n v="10.416666666666666"/>
    <n v="10.416666666666666"/>
    <n v="1.3"/>
    <n v="1.325"/>
    <n v="1.25"/>
    <n v="2500"/>
    <n v="2500"/>
    <n v="830"/>
    <n v="2900"/>
    <n v="6295"/>
    <n v="19050"/>
    <n v="22050"/>
    <n v="75530"/>
    <n v="1537000"/>
    <n v="196718.75"/>
    <n v="95250"/>
    <n v="110250"/>
    <n v="2014748.75"/>
    <n v="5250"/>
    <n v="4197.393229166667"/>
  </r>
  <r>
    <x v="24"/>
    <x v="24"/>
    <s v="26 (MAÑANA)"/>
    <n v="74"/>
    <s v="FINAL TURNO 1"/>
    <n v="1800"/>
    <n v="3200"/>
    <n v="2575"/>
    <n v="65"/>
    <n v="205"/>
    <n v="17164"/>
    <n v="480"/>
    <n v="80"/>
    <n v="70"/>
    <n v="180"/>
    <n v="25"/>
    <n v="0"/>
    <n v="5"/>
    <n v="91"/>
    <n v="238.5"/>
    <n v="31.25"/>
    <n v="0"/>
    <n v="5"/>
    <n v="189.58333333333334"/>
    <n v="496.875"/>
    <n v="65.104166666666671"/>
    <n v="0"/>
    <n v="10.416666666666666"/>
    <n v="1.3"/>
    <n v="1.325"/>
    <n v="1.25"/>
    <n v="2500"/>
    <n v="2500"/>
    <n v="830"/>
    <n v="2900"/>
    <n v="6295"/>
    <n v="19050"/>
    <n v="22050"/>
    <n v="75530"/>
    <n v="691650"/>
    <n v="196718.75"/>
    <n v="0"/>
    <n v="110250"/>
    <n v="1074148.75"/>
    <n v="5250"/>
    <n v="2237.8098958333335"/>
  </r>
  <r>
    <x v="24"/>
    <x v="24"/>
    <s v="3(TARDE)"/>
    <n v="75"/>
    <s v="FINAL TURNO 2"/>
    <n v="1730"/>
    <n v="3020"/>
    <n v="2550"/>
    <n v="65"/>
    <n v="200"/>
    <n v="17170"/>
    <n v="480"/>
    <n v="80"/>
    <n v="40"/>
    <n v="200"/>
    <n v="50"/>
    <n v="5"/>
    <n v="5"/>
    <n v="52"/>
    <n v="265"/>
    <n v="62.5"/>
    <n v="5"/>
    <n v="5"/>
    <n v="108.33333333333333"/>
    <n v="552.08333333333337"/>
    <n v="130.20833333333334"/>
    <n v="10.416666666666666"/>
    <n v="10.416666666666666"/>
    <n v="1.3"/>
    <n v="1.325"/>
    <n v="1.25"/>
    <n v="2500"/>
    <n v="2500"/>
    <n v="830"/>
    <n v="2900"/>
    <n v="6295"/>
    <n v="19050"/>
    <n v="22050"/>
    <n v="43160"/>
    <n v="768500"/>
    <n v="393437.5"/>
    <n v="95250"/>
    <n v="110250"/>
    <n v="1410597.5"/>
    <n v="5250"/>
    <n v="2938.7447916666665"/>
  </r>
  <r>
    <x v="25"/>
    <x v="25"/>
    <s v="26 (NOCHE)"/>
    <n v="76"/>
    <s v="FINAL TURNO 3"/>
    <n v="1690"/>
    <n v="2820"/>
    <n v="2500"/>
    <n v="60"/>
    <n v="195"/>
    <n v="17176"/>
    <n v="560"/>
    <n v="80"/>
    <n v="240"/>
    <n v="150"/>
    <n v="0"/>
    <n v="0"/>
    <n v="5"/>
    <n v="312"/>
    <n v="198.75"/>
    <n v="0"/>
    <n v="0"/>
    <n v="5"/>
    <n v="557.14285714285711"/>
    <n v="354.91071428571428"/>
    <n v="0"/>
    <n v="0"/>
    <n v="8.9285714285714288"/>
    <n v="1.3"/>
    <n v="1.325"/>
    <n v="1.25"/>
    <n v="2500"/>
    <n v="2500"/>
    <n v="830"/>
    <n v="2900"/>
    <n v="6295"/>
    <n v="19050"/>
    <n v="22050"/>
    <n v="258960"/>
    <n v="576375"/>
    <n v="0"/>
    <n v="0"/>
    <n v="110250"/>
    <n v="945585"/>
    <n v="5250"/>
    <n v="1688.5446428571429"/>
  </r>
  <r>
    <x v="25"/>
    <x v="25"/>
    <s v="27 (MAÑANA)"/>
    <n v="77"/>
    <s v="FINAL TURNO 1"/>
    <n v="1450"/>
    <n v="2670"/>
    <n v="2500"/>
    <n v="60"/>
    <n v="190"/>
    <n v="17183"/>
    <n v="560"/>
    <n v="80"/>
    <n v="350"/>
    <n v="190"/>
    <n v="100"/>
    <n v="5"/>
    <n v="5"/>
    <n v="455"/>
    <n v="251.75"/>
    <n v="125"/>
    <n v="5"/>
    <n v="5"/>
    <n v="812.5"/>
    <n v="449.55357142857144"/>
    <n v="223.21428571428572"/>
    <n v="8.9285714285714288"/>
    <n v="8.9285714285714288"/>
    <n v="1.3"/>
    <n v="1.325"/>
    <n v="1.25"/>
    <n v="2500"/>
    <n v="2500"/>
    <n v="830"/>
    <n v="2900"/>
    <n v="6295"/>
    <n v="19050"/>
    <n v="22050"/>
    <n v="377650"/>
    <n v="730075"/>
    <n v="786875"/>
    <n v="95250"/>
    <n v="110250"/>
    <n v="2100100"/>
    <n v="5250"/>
    <n v="3750.1785714285716"/>
  </r>
  <r>
    <x v="25"/>
    <x v="25"/>
    <s v="3(TARDE)"/>
    <n v="78"/>
    <s v="FINAL TURNO 2"/>
    <n v="1100"/>
    <n v="2480"/>
    <n v="2400"/>
    <n v="55"/>
    <n v="185"/>
    <n v="17190"/>
    <n v="640"/>
    <n v="80"/>
    <n v="190"/>
    <n v="180"/>
    <n v="100"/>
    <n v="0"/>
    <n v="5"/>
    <n v="247"/>
    <n v="238.5"/>
    <n v="125"/>
    <n v="0"/>
    <n v="5"/>
    <n v="385.9375"/>
    <n v="372.65625"/>
    <n v="195.3125"/>
    <n v="0"/>
    <n v="7.8125"/>
    <n v="1.3"/>
    <n v="1.325"/>
    <n v="1.25"/>
    <n v="2500"/>
    <n v="2500"/>
    <n v="830"/>
    <n v="2900"/>
    <n v="6295"/>
    <n v="19050"/>
    <n v="22050"/>
    <n v="205010"/>
    <n v="691650"/>
    <n v="786875"/>
    <n v="0"/>
    <n v="110250"/>
    <n v="1793785"/>
    <n v="5250"/>
    <n v="2802.7890625"/>
  </r>
  <r>
    <x v="26"/>
    <x v="26"/>
    <s v="27 (NOCHE)"/>
    <n v="79"/>
    <s v="FINAL TURNO 3"/>
    <n v="910"/>
    <n v="2300"/>
    <n v="2300"/>
    <n v="55"/>
    <n v="180"/>
    <n v="17198"/>
    <n v="560"/>
    <n v="80"/>
    <n v="20"/>
    <n v="220"/>
    <n v="80"/>
    <n v="5"/>
    <n v="5"/>
    <n v="26"/>
    <n v="291.5"/>
    <n v="100"/>
    <n v="5"/>
    <n v="5"/>
    <n v="46.428571428571431"/>
    <n v="520.53571428571433"/>
    <n v="178.57142857142858"/>
    <n v="8.9285714285714288"/>
    <n v="8.9285714285714288"/>
    <n v="1.3"/>
    <n v="1.325"/>
    <n v="1.25"/>
    <n v="2500"/>
    <n v="2500"/>
    <n v="830"/>
    <n v="2900"/>
    <n v="6295"/>
    <n v="19050"/>
    <n v="22050"/>
    <n v="21580"/>
    <n v="845350"/>
    <n v="629500"/>
    <n v="95250"/>
    <n v="110250"/>
    <n v="1701930"/>
    <n v="5250"/>
    <n v="3039.1607142857142"/>
  </r>
  <r>
    <x v="26"/>
    <x v="26"/>
    <s v="28 (MAÑANA)"/>
    <n v="80"/>
    <s v="FINAL TURNO 1"/>
    <n v="890"/>
    <n v="2080"/>
    <n v="2220"/>
    <n v="50"/>
    <n v="175"/>
    <n v="17205"/>
    <n v="400"/>
    <n v="80"/>
    <n v="390"/>
    <n v="260"/>
    <n v="50"/>
    <n v="0"/>
    <n v="5"/>
    <n v="507"/>
    <n v="344.5"/>
    <n v="62.5"/>
    <n v="0"/>
    <n v="5"/>
    <n v="1267.5"/>
    <n v="861.25"/>
    <n v="156.25"/>
    <n v="0"/>
    <n v="12.5"/>
    <n v="1.3"/>
    <n v="1.325"/>
    <n v="1.25"/>
    <n v="2500"/>
    <n v="2500"/>
    <n v="830"/>
    <n v="2900"/>
    <n v="6295"/>
    <n v="19050"/>
    <n v="22050"/>
    <n v="420810"/>
    <n v="999050"/>
    <n v="393437.5"/>
    <n v="0"/>
    <n v="110250"/>
    <n v="1923547.5"/>
    <n v="5250"/>
    <n v="4808.8687499999996"/>
  </r>
  <r>
    <x v="26"/>
    <x v="26"/>
    <s v="3(TARDE)"/>
    <n v="81"/>
    <s v="FINAL TURNO 2"/>
    <n v="500"/>
    <n v="1820"/>
    <n v="2170"/>
    <n v="50"/>
    <n v="170"/>
    <n v="17210"/>
    <n v="480"/>
    <n v="80"/>
    <n v="20"/>
    <n v="120"/>
    <n v="80"/>
    <n v="5"/>
    <n v="5"/>
    <n v="26"/>
    <n v="159"/>
    <n v="100"/>
    <n v="5"/>
    <n v="5"/>
    <n v="54.166666666666664"/>
    <n v="331.25"/>
    <n v="208.33333333333334"/>
    <n v="10.416666666666666"/>
    <n v="10.416666666666666"/>
    <n v="1.3"/>
    <n v="1.325"/>
    <n v="1.25"/>
    <n v="2500"/>
    <n v="2500"/>
    <n v="830"/>
    <n v="2900"/>
    <n v="6295"/>
    <n v="19050"/>
    <n v="22050"/>
    <n v="21580"/>
    <n v="461100"/>
    <n v="629500"/>
    <n v="95250"/>
    <n v="110250"/>
    <n v="1317680"/>
    <n v="5250"/>
    <n v="2745.1666666666665"/>
  </r>
  <r>
    <x v="27"/>
    <x v="27"/>
    <s v="28 (NOCHE)"/>
    <n v="82"/>
    <s v="FINAL TURNO 3"/>
    <n v="480"/>
    <n v="1700"/>
    <n v="2090"/>
    <n v="45"/>
    <n v="165"/>
    <n v="17216"/>
    <n v="400"/>
    <n v="80"/>
    <n v="180"/>
    <n v="350"/>
    <n v="150"/>
    <n v="0"/>
    <n v="5"/>
    <n v="234"/>
    <n v="463.75"/>
    <n v="187.5"/>
    <n v="0"/>
    <n v="5"/>
    <n v="585"/>
    <n v="1159.375"/>
    <n v="468.75"/>
    <n v="0"/>
    <n v="12.5"/>
    <n v="1.3"/>
    <n v="1.325"/>
    <n v="1.25"/>
    <n v="2500"/>
    <n v="2500"/>
    <n v="830"/>
    <n v="2900"/>
    <n v="6295"/>
    <n v="19050"/>
    <n v="22050"/>
    <n v="194220"/>
    <n v="1344875"/>
    <n v="1180312.5"/>
    <n v="0"/>
    <n v="110250"/>
    <n v="2829657.5"/>
    <n v="5250"/>
    <n v="7074.1437500000002"/>
  </r>
  <r>
    <x v="27"/>
    <x v="27"/>
    <s v="29 (MAÑANA)"/>
    <n v="83"/>
    <s v="FINAL TURNO 1"/>
    <n v="300"/>
    <n v="4350"/>
    <n v="1940"/>
    <n v="45"/>
    <n v="160"/>
    <n v="17221"/>
    <n v="320"/>
    <n v="80"/>
    <n v="150"/>
    <n v="150"/>
    <n v="40"/>
    <n v="5"/>
    <n v="5"/>
    <n v="195"/>
    <n v="198.75"/>
    <n v="50"/>
    <n v="5"/>
    <n v="5"/>
    <n v="609.375"/>
    <n v="621.09375"/>
    <n v="156.25"/>
    <n v="15.625"/>
    <n v="15.625"/>
    <n v="1.3"/>
    <n v="1.325"/>
    <n v="1.25"/>
    <n v="2500"/>
    <n v="2500"/>
    <n v="830"/>
    <n v="2900"/>
    <n v="6295"/>
    <n v="19050"/>
    <n v="22050"/>
    <n v="161850"/>
    <n v="576375"/>
    <n v="314750"/>
    <n v="95250"/>
    <n v="110250"/>
    <n v="1258475"/>
    <n v="5250"/>
    <n v="3932.734375"/>
  </r>
  <r>
    <x v="27"/>
    <x v="27"/>
    <s v="3(TARDE)"/>
    <n v="84"/>
    <s v="FINAL TURNO 2"/>
    <n v="150"/>
    <n v="4200"/>
    <n v="1900"/>
    <n v="40"/>
    <n v="155"/>
    <n v="17225"/>
    <n v="24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</r>
  <r>
    <x v="28"/>
    <x v="0"/>
    <s v="29 (NOCHE)"/>
    <n v="85"/>
    <s v="FINAL TURNO 3"/>
    <n v="150"/>
    <n v="4200"/>
    <n v="1900"/>
    <n v="40"/>
    <n v="155"/>
    <n v="17228"/>
    <n v="0"/>
    <n v="80"/>
    <n v="150"/>
    <n v="4200"/>
    <n v="1900"/>
    <n v="40"/>
    <n v="155"/>
    <n v="195"/>
    <n v="5565"/>
    <n v="2375"/>
    <n v="40"/>
    <n v="155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161850"/>
    <n v="16138500"/>
    <n v="14950625"/>
    <n v="762000"/>
    <n v="3417750"/>
    <n v="35430725"/>
    <n v="5250"/>
    <e v="#DIV/0!"/>
  </r>
  <r>
    <x v="28"/>
    <x v="0"/>
    <s v="30 (MAÑANA)"/>
    <n v="86"/>
    <s v="FINAL TURNO 1"/>
    <m/>
    <m/>
    <m/>
    <m/>
    <m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8"/>
    <x v="0"/>
    <s v="3(TARDE)"/>
    <n v="87"/>
    <s v="FINAL TURNO 2"/>
    <m/>
    <m/>
    <m/>
    <m/>
    <m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9"/>
    <x v="1"/>
    <s v="30 (NOCHE)"/>
    <n v="88"/>
    <s v="FINAL TURNO 3"/>
    <m/>
    <m/>
    <m/>
    <m/>
    <m/>
    <n v="17228"/>
    <n v="-137824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n v="0"/>
  </r>
  <r>
    <x v="29"/>
    <x v="1"/>
    <s v="31 (MAÑANA)"/>
    <n v="89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29"/>
    <x v="1"/>
    <s v="3(TARDE)"/>
    <n v="90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0"/>
    <x v="2"/>
    <s v="31 (NOCHE)"/>
    <n v="91"/>
    <s v="FINAL TURNO 3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0"/>
    <x v="2"/>
    <s v="32 (MAÑANA)"/>
    <n v="9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0"/>
    <x v="2"/>
    <s v="3(TARDE)"/>
    <n v="9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900"/>
    <n v="6295"/>
    <n v="19050"/>
    <n v="22050"/>
    <n v="0"/>
    <n v="0"/>
    <n v="0"/>
    <n v="0"/>
    <n v="0"/>
    <n v="0"/>
    <n v="5250"/>
    <e v="#DIV/0!"/>
  </r>
  <r>
    <x v="31"/>
    <x v="28"/>
    <m/>
    <m/>
    <m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2C15F-3728-46D5-B823-9AB3F851EDAE}" name="TablaDinámica4" cacheId="0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29" rowHeaderCaption="DÍA">
  <location ref="AG4:AL33" firstHeaderRow="0" firstDataRow="1" firstDataCol="1"/>
  <pivotFields count="62">
    <pivotField numFmtId="14" showAll="0">
      <items count="432"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x="31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OLUMEN ENVIADO A RO (m3)" fld="34" baseField="0" baseItem="0"/>
    <dataField name=" PPM HCL" fld="54" baseField="0" baseItem="0" numFmtId="1"/>
    <dataField name=" PPM KURIVERTER" fld="55" baseField="0" baseItem="0" numFmtId="1"/>
    <dataField name=" PPM VITEC" fld="56" baseField="0" baseItem="0" numFmtId="1"/>
    <dataField name=" PPM BISULFITO" fld="58" baseField="0" baseItem="0" numFmtId="1"/>
  </dataFields>
  <formats count="26">
    <format dxfId="425">
      <pivotArea field="1" type="button" dataOnly="0" labelOnly="1" outline="0" axis="axisRow" fieldPosition="0"/>
    </format>
    <format dxfId="4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3">
      <pivotArea field="1" type="button" dataOnly="0" labelOnly="1" outline="0" axis="axisRow" fieldPosition="0"/>
    </format>
    <format dxfId="422">
      <pivotArea field="1" type="button" dataOnly="0" labelOnly="1" outline="0" axis="axisRow" fieldPosition="0"/>
    </format>
    <format dxfId="421">
      <pivotArea outline="0" collapsedLevelsAreSubtotals="1" fieldPosition="0"/>
    </format>
    <format dxfId="420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4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17">
      <pivotArea type="all" dataOnly="0" outline="0" fieldPosition="0"/>
    </format>
    <format dxfId="416">
      <pivotArea outline="0" collapsedLevelsAreSubtotals="1" fieldPosition="0"/>
    </format>
    <format dxfId="415">
      <pivotArea field="1" type="button" dataOnly="0" labelOnly="1" outline="0" axis="axisRow" fieldPosition="0"/>
    </format>
    <format dxfId="414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13">
      <pivotArea dataOnly="0" labelOnly="1" grandRow="1" outline="0" fieldPosition="0"/>
    </format>
    <format dxfId="4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1" type="button" dataOnly="0" labelOnly="1" outline="0" axis="axisRow" fieldPosition="0"/>
    </format>
    <format dxfId="408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07">
      <pivotArea dataOnly="0" labelOnly="1" grandRow="1" outline="0" fieldPosition="0"/>
    </format>
    <format dxfId="40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field="1" type="button" dataOnly="0" labelOnly="1" outline="0" axis="axisRow" fieldPosition="0"/>
    </format>
    <format dxfId="402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01">
      <pivotArea dataOnly="0" labelOnly="1" grandRow="1" outline="0" fieldPosition="0"/>
    </format>
    <format dxfId="40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2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4"/>
          </reference>
          <reference field="1" count="1" selected="0">
            <x v="24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0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74" rowHeaderCaption="DÍA">
  <location ref="AA4:AD33" firstHeaderRow="0" firstDataRow="1" firstDataCol="1"/>
  <pivotFields count="62">
    <pivotField numFmtId="14" showAll="0">
      <items count="432"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x="31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h="1" x="28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34" baseField="0" baseItem="0"/>
    <dataField name=" LIMITE INDICADOR M3" fld="51" subtotal="min" baseField="0" baseItem="0" numFmtId="167"/>
    <dataField name=" INDICADOR $m3 RO" fld="53" baseField="0" baseItem="0" numFmtId="166"/>
  </dataFields>
  <formats count="3">
    <format dxfId="428">
      <pivotArea field="1" type="button" dataOnly="0" labelOnly="1" outline="0" axis="axisRow" fieldPosition="0"/>
    </format>
    <format dxfId="4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5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6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62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2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2" format="22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62" format="23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62" format="24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6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6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63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3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3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63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63" format="33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63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7628-6D93-4395-93AE-E4C27DB44B50}" name="TablaDinámica2" cacheId="1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44" rowHeaderCaption="FECHA">
  <location ref="L4:R37" firstHeaderRow="0" firstDataRow="1" firstDataCol="1"/>
  <pivotFields count="54">
    <pivotField axis="axisRow" showAll="0">
      <items count="490"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8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33"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CAUDAL TOTAL TRATADO GEM " fld="11" baseField="0" baseItem="0"/>
    <dataField name=" COF 235 - PPM COAGULANTE " fld="49" baseField="0" baseItem="0"/>
    <dataField name=" COF 255 - PPM DECOLORANTE" fld="50" baseField="0" baseItem="0"/>
    <dataField name="COF 280 - PPM ACIDO" fld="48" baseField="0" baseItem="0"/>
    <dataField name=" COF 440 - PPM POL ANIONICO" fld="51" baseField="0" baseItem="0"/>
    <dataField name=" COF 494 - PPM POL CATIONICO" fld="52" baseField="0" baseItem="0"/>
  </dataFields>
  <formats count="28">
    <format dxfId="456">
      <pivotArea type="all" dataOnly="0" outline="0" fieldPosition="0"/>
    </format>
    <format dxfId="455">
      <pivotArea outline="0" collapsedLevelsAreSubtotals="1" fieldPosition="0"/>
    </format>
    <format dxfId="454">
      <pivotArea field="0" type="button" dataOnly="0" labelOnly="1" outline="0" axis="axisRow" fieldPosition="0"/>
    </format>
    <format dxfId="453">
      <pivotArea dataOnly="0" labelOnly="1" fieldPosition="0">
        <references count="1">
          <reference field="0" count="0"/>
        </references>
      </pivotArea>
    </format>
    <format dxfId="452">
      <pivotArea dataOnly="0" labelOnly="1" grandRow="1" outline="0" fieldPosition="0"/>
    </format>
    <format dxfId="4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0">
      <pivotArea type="all" dataOnly="0" outline="0" fieldPosition="0"/>
    </format>
    <format dxfId="449">
      <pivotArea outline="0" collapsedLevelsAreSubtotals="1" fieldPosition="0"/>
    </format>
    <format dxfId="448">
      <pivotArea field="0" type="button" dataOnly="0" labelOnly="1" outline="0" axis="axisRow" fieldPosition="0"/>
    </format>
    <format dxfId="447">
      <pivotArea dataOnly="0" labelOnly="1" fieldPosition="0">
        <references count="1">
          <reference field="0" count="0"/>
        </references>
      </pivotArea>
    </format>
    <format dxfId="446">
      <pivotArea dataOnly="0" labelOnly="1" grandRow="1" outline="0" fieldPosition="0"/>
    </format>
    <format dxfId="4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field="0" type="button" dataOnly="0" labelOnly="1" outline="0" axis="axisRow" fieldPosition="0"/>
    </format>
    <format dxfId="441">
      <pivotArea dataOnly="0" labelOnly="1" fieldPosition="0">
        <references count="1">
          <reference field="0" count="0"/>
        </references>
      </pivotArea>
    </format>
    <format dxfId="440">
      <pivotArea dataOnly="0" labelOnly="1" grandRow="1" outline="0" fieldPosition="0"/>
    </format>
    <format dxfId="4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8">
      <pivotArea type="all" dataOnly="0" outline="0" fieldPosition="0"/>
    </format>
    <format dxfId="437">
      <pivotArea outline="0" collapsedLevelsAreSubtotals="1" fieldPosition="0"/>
    </format>
    <format dxfId="436">
      <pivotArea dataOnly="0" labelOnly="1" fieldPosition="0">
        <references count="1">
          <reference field="0" count="0"/>
        </references>
      </pivotArea>
    </format>
    <format dxfId="435">
      <pivotArea dataOnly="0" labelOnly="1" grandRow="1" outline="0" fieldPosition="0"/>
    </format>
    <format dxfId="434">
      <pivotArea field="0" type="button" dataOnly="0" labelOnly="1" outline="0" axis="axisRow" fieldPosition="0"/>
    </format>
    <format dxfId="4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2">
      <pivotArea outline="0" collapsedLevelsAreSubtotals="1" fieldPosition="0"/>
    </format>
    <format dxfId="4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30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429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</formats>
  <chartFormats count="9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5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1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itemPrintTitles="1" createdVersion="8" indent="0" outline="1" outlineData="1" multipleFieldFilters="0" chartFormat="122" rowHeaderCaption="DIA">
  <location ref="U4:Y33" firstHeaderRow="0" firstDataRow="1" firstDataCol="1"/>
  <pivotFields count="54">
    <pivotField showAll="0">
      <items count="490"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457"/>
        <item h="1" m="1" x="458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8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h="1" x="29"/>
        <item h="1"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 CAUDAL TOTAL TRATADO GEM " fld="11" baseField="0" baseItem="0"/>
    <dataField name="  INDICADOR $m3" fld="47" baseField="0" baseItem="0" numFmtId="3"/>
    <dataField name="  2024-2 $m3 GEM " fld="44" subtotal="min" baseField="0" baseItem="0" numFmtId="166"/>
    <dataField name="  2024 $m3 GEM" fld="53" baseField="0" baseItem="0" numFmtId="166"/>
  </dataFields>
  <formats count="38">
    <format dxfId="494">
      <pivotArea outline="0" collapsedLevelsAreSubtotals="1" fieldPosition="0"/>
    </format>
    <format dxfId="4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2">
      <pivotArea outline="0" collapsedLevelsAreSubtotals="1" fieldPosition="0"/>
    </format>
    <format dxfId="4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9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9">
      <pivotArea type="all" dataOnly="0" outline="0" fieldPosition="0"/>
    </format>
    <format dxfId="488">
      <pivotArea outline="0" collapsedLevelsAreSubtotals="1" fieldPosition="0"/>
    </format>
    <format dxfId="487">
      <pivotArea field="1" type="button" dataOnly="0" labelOnly="1" outline="0" axis="axisRow" fieldPosition="0"/>
    </format>
    <format dxfId="48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85">
      <pivotArea dataOnly="0" labelOnly="1" grandRow="1" outline="0" fieldPosition="0"/>
    </format>
    <format dxfId="4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3">
      <pivotArea type="all" dataOnly="0" outline="0" fieldPosition="0"/>
    </format>
    <format dxfId="482">
      <pivotArea outline="0" collapsedLevelsAreSubtotals="1" fieldPosition="0"/>
    </format>
    <format dxfId="481">
      <pivotArea field="1" type="button" dataOnly="0" labelOnly="1" outline="0" axis="axisRow" fieldPosition="0"/>
    </format>
    <format dxfId="48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79">
      <pivotArea dataOnly="0" labelOnly="1" grandRow="1" outline="0" fieldPosition="0"/>
    </format>
    <format dxfId="4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77">
      <pivotArea type="all" dataOnly="0" outline="0" fieldPosition="0"/>
    </format>
    <format dxfId="476">
      <pivotArea outline="0" collapsedLevelsAreSubtotals="1" fieldPosition="0"/>
    </format>
    <format dxfId="47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74">
      <pivotArea dataOnly="0" labelOnly="1" grandRow="1" outline="0" fieldPosition="0"/>
    </format>
    <format dxfId="473">
      <pivotArea field="1" type="button" dataOnly="0" labelOnly="1" outline="0" axis="axisRow" fieldPosition="0"/>
    </format>
    <format dxfId="4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field="1" type="button" dataOnly="0" labelOnly="1" outline="0" axis="axisRow" fieldPosition="0"/>
    </format>
    <format dxfId="46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67">
      <pivotArea dataOnly="0" labelOnly="1" grandRow="1" outline="0" fieldPosition="0"/>
    </format>
    <format dxfId="4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3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6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5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58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457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1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29:AE31" firstHeaderRow="1" firstDataRow="2" firstDataCol="1"/>
  <pivotFields count="54">
    <pivotField showAll="0">
      <items count="490"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8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2"/>
    </i>
    <i t="grand">
      <x/>
    </i>
  </colItems>
  <dataFields count="1">
    <dataField name=" CAUDAL TOTAL TRATADO GEM " fld="11" baseField="0" baseItem="0"/>
  </dataFields>
  <formats count="37">
    <format dxfId="256">
      <pivotArea field="0" type="button" dataOnly="0" labelOnly="1" outline="0"/>
    </format>
    <format dxfId="255">
      <pivotArea field="0" type="button" dataOnly="0" labelOnly="1" outline="0"/>
    </format>
    <format dxfId="254">
      <pivotArea outline="0" collapsedLevelsAreSubtotals="1" fieldPosition="0"/>
    </format>
    <format dxfId="253">
      <pivotArea field="1" type="button" dataOnly="0" labelOnly="1" outline="0" axis="axisCol" fieldPosition="0"/>
    </format>
    <format dxfId="252">
      <pivotArea type="origin" dataOnly="0" labelOnly="1" outline="0" fieldPosition="0"/>
    </format>
    <format dxfId="251">
      <pivotArea outline="0" collapsedLevelsAreSubtotals="1" fieldPosition="0"/>
    </format>
    <format dxfId="250">
      <pivotArea outline="0" collapsedLevelsAreSubtotals="1" fieldPosition="0"/>
    </format>
    <format dxfId="249">
      <pivotArea type="origin" dataOnly="0" labelOnly="1" outline="0" fieldPosition="0"/>
    </format>
    <format dxfId="248">
      <pivotArea field="-2" type="button" dataOnly="0" labelOnly="1" outline="0" axis="axisRow" fieldPosition="0"/>
    </format>
    <format dxfId="247">
      <pivotArea type="origin" dataOnly="0" labelOnly="1" outline="0" fieldPosition="0"/>
    </format>
    <format dxfId="246">
      <pivotArea field="-2" type="button" dataOnly="0" labelOnly="1" outline="0" axis="axisRow" fieldPosition="0"/>
    </format>
    <format dxfId="245">
      <pivotArea outline="0" collapsedLevelsAreSubtotals="1" fieldPosition="0">
        <references count="1">
          <reference field="1" count="0" selected="0"/>
        </references>
      </pivotArea>
    </format>
    <format dxfId="244">
      <pivotArea field="1" type="button" dataOnly="0" labelOnly="1" outline="0" axis="axisCol" fieldPosition="0"/>
    </format>
    <format dxfId="243">
      <pivotArea type="topRight" dataOnly="0" labelOnly="1" outline="0" fieldPosition="0"/>
    </format>
    <format dxfId="242">
      <pivotArea dataOnly="0" labelOnly="1" fieldPosition="0">
        <references count="1">
          <reference field="1" count="0"/>
        </references>
      </pivotArea>
    </format>
    <format dxfId="241">
      <pivotArea outline="0" collapsedLevelsAreSubtotals="1" fieldPosition="0"/>
    </format>
    <format dxfId="240">
      <pivotArea dataOnly="0" labelOnly="1" fieldPosition="0">
        <references count="1">
          <reference field="1" count="0"/>
        </references>
      </pivotArea>
    </format>
    <format dxfId="239">
      <pivotArea dataOnly="0" labelOnly="1" grandCol="1" outline="0" fieldPosition="0"/>
    </format>
    <format dxfId="238">
      <pivotArea outline="0" collapsedLevelsAreSubtotals="1" fieldPosition="0"/>
    </format>
    <format dxfId="237">
      <pivotArea dataOnly="0" labelOnly="1" fieldPosition="0">
        <references count="1">
          <reference field="1" count="0"/>
        </references>
      </pivotArea>
    </format>
    <format dxfId="236">
      <pivotArea dataOnly="0" labelOnly="1" grandCol="1" outline="0" fieldPosition="0"/>
    </format>
    <format dxfId="235">
      <pivotArea outline="0" collapsedLevelsAreSubtotals="1" fieldPosition="0"/>
    </format>
    <format dxfId="2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3">
      <pivotArea field="1" type="button" dataOnly="0" labelOnly="1" outline="0" axis="axisCol" fieldPosition="0"/>
    </format>
    <format dxfId="232">
      <pivotArea type="topRight" dataOnly="0" labelOnly="1" outline="0" fieldPosition="0"/>
    </format>
    <format dxfId="231">
      <pivotArea dataOnly="0" labelOnly="1" fieldPosition="0">
        <references count="1">
          <reference field="1" count="0"/>
        </references>
      </pivotArea>
    </format>
    <format dxfId="230">
      <pivotArea dataOnly="0" labelOnly="1" grandCol="1" outline="0" fieldPosition="0"/>
    </format>
    <format dxfId="2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7">
      <pivotArea outline="0" collapsedLevelsAreSubtotals="1" fieldPosition="0"/>
    </format>
    <format dxfId="2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5">
      <pivotArea type="origin" dataOnly="0" labelOnly="1" outline="0" fieldPosition="0"/>
    </format>
    <format dxfId="224">
      <pivotArea field="-2" type="button" dataOnly="0" labelOnly="1" outline="0" axis="axisRow" fieldPosition="0"/>
    </format>
    <format dxfId="223">
      <pivotArea field="1" type="button" dataOnly="0" labelOnly="1" outline="0" axis="axisCol" fieldPosition="0"/>
    </format>
    <format dxfId="222">
      <pivotArea type="topRight" dataOnly="0" labelOnly="1" outline="0" fieldPosition="0"/>
    </format>
    <format dxfId="221">
      <pivotArea dataOnly="0" labelOnly="1" fieldPosition="0">
        <references count="1">
          <reference field="1" count="0"/>
        </references>
      </pivotArea>
    </format>
    <format dxfId="220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1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E8" firstHeaderRow="1" firstDataRow="2" firstDataCol="1"/>
  <pivotFields count="54">
    <pivotField showAll="0"/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2"/>
    </i>
    <i t="grand">
      <x/>
    </i>
  </colItems>
  <dataFields count="5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</dataFields>
  <formats count="26"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1" type="button" dataOnly="0" labelOnly="1" outline="0" axis="axisCol" fieldPosition="0"/>
    </format>
    <format dxfId="279">
      <pivotArea type="topRight" dataOnly="0" labelOnly="1" outline="0" fieldPosition="0"/>
    </format>
    <format dxfId="27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7">
      <pivotArea dataOnly="0" labelOnly="1" fieldPosition="0">
        <references count="1">
          <reference field="1" count="0"/>
        </references>
      </pivotArea>
    </format>
    <format dxfId="276">
      <pivotArea dataOnly="0" labelOnly="1" grandCol="1" outline="0" fieldPosition="0"/>
    </format>
    <format dxfId="275">
      <pivotArea outline="0" collapsedLevelsAreSubtotals="1" fieldPosition="0"/>
    </format>
    <format dxfId="2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3">
      <pivotArea dataOnly="0" labelOnly="1" fieldPosition="0">
        <references count="1">
          <reference field="1" count="0"/>
        </references>
      </pivotArea>
    </format>
    <format dxfId="272">
      <pivotArea dataOnly="0" labelOnly="1" grandCol="1" outline="0" fieldPosition="0"/>
    </format>
    <format dxfId="271">
      <pivotArea type="origin" dataOnly="0" labelOnly="1" outline="0" fieldPosition="0"/>
    </format>
    <format dxfId="270">
      <pivotArea field="-2" type="button" dataOnly="0" labelOnly="1" outline="0" axis="axisRow" fieldPosition="0"/>
    </format>
    <format dxfId="269">
      <pivotArea type="origin" dataOnly="0" labelOnly="1" outline="0" fieldPosition="0"/>
    </format>
    <format dxfId="268">
      <pivotArea field="-2" type="button" dataOnly="0" labelOnly="1" outline="0" axis="axisRow" fieldPosition="0"/>
    </format>
    <format dxfId="267">
      <pivotArea field="1" type="button" dataOnly="0" labelOnly="1" outline="0" axis="axisCol" fieldPosition="0"/>
    </format>
    <format dxfId="266">
      <pivotArea type="topRight" dataOnly="0" labelOnly="1" outline="0" fieldPosition="0"/>
    </format>
    <format dxfId="265">
      <pivotArea dataOnly="0" labelOnly="1" fieldPosition="0">
        <references count="1">
          <reference field="1" count="0"/>
        </references>
      </pivotArea>
    </format>
    <format dxfId="264">
      <pivotArea dataOnly="0" labelOnly="1" grandCol="1" outline="0" fieldPosition="0"/>
    </format>
    <format dxfId="263">
      <pivotArea outline="0" collapsedLevelsAreSubtotals="1" fieldPosition="0"/>
    </format>
    <format dxfId="262">
      <pivotArea dataOnly="0" labelOnly="1" fieldPosition="0">
        <references count="1">
          <reference field="1" count="0"/>
        </references>
      </pivotArea>
    </format>
    <format dxfId="261">
      <pivotArea dataOnly="0" labelOnly="1" grandCol="1" outline="0" fieldPosition="0"/>
    </format>
    <format dxfId="260">
      <pivotArea dataOnly="0" labelOnly="1" fieldPosition="0">
        <references count="1">
          <reference field="1" count="0"/>
        </references>
      </pivotArea>
    </format>
    <format dxfId="259">
      <pivotArea dataOnly="0" labelOnly="1" grandCol="1" outline="0" fieldPosition="0"/>
    </format>
    <format dxfId="2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7">
      <pivotArea field="-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1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1:AE17" firstHeaderRow="1" firstDataRow="2" firstDataCol="1"/>
  <pivotFields count="54">
    <pivotField showAll="0">
      <items count="490"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8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2"/>
    </i>
    <i t="grand">
      <x/>
    </i>
  </colItems>
  <dataFields count="5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</dataFields>
  <formats count="61">
    <format dxfId="343">
      <pivotArea field="0" type="button" dataOnly="0" labelOnly="1" outline="0"/>
    </format>
    <format dxfId="342">
      <pivotArea field="0" type="button" dataOnly="0" labelOnly="1" outline="0"/>
    </format>
    <format dxfId="341">
      <pivotArea field="0" type="button" dataOnly="0" labelOnly="1" outline="0"/>
    </format>
    <format dxfId="3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7">
      <pivotArea field="0" type="button" dataOnly="0" labelOnly="1" outline="0"/>
    </format>
    <format dxfId="3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0" type="button" dataOnly="0" labelOnly="1" outline="0"/>
    </format>
    <format dxfId="332">
      <pivotArea dataOnly="0" labelOnly="1" grandRow="1" outline="0" fieldPosition="0"/>
    </format>
    <format dxfId="33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0">
      <pivotArea field="0" type="button" dataOnly="0" labelOnly="1" outline="0"/>
    </format>
    <format dxfId="32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8">
      <pivotArea field="0" type="button" dataOnly="0" labelOnly="1" outline="0"/>
    </format>
    <format dxfId="32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6">
      <pivotArea outline="0" collapsedLevelsAreSubtotals="1" fieldPosition="0"/>
    </format>
    <format dxfId="325">
      <pivotArea dataOnly="0" labelOnly="1" grandRow="1" outline="0" fieldPosition="0"/>
    </format>
    <format dxfId="324">
      <pivotArea field="-2" type="button" dataOnly="0" labelOnly="1" outline="0" axis="axisRow" fieldPosition="0"/>
    </format>
    <format dxfId="323">
      <pivotArea type="origin" dataOnly="0" labelOnly="1" outline="0" fieldPosition="0"/>
    </format>
    <format dxfId="322">
      <pivotArea type="origin" dataOnly="0" labelOnly="1" outline="0" fieldPosition="0"/>
    </format>
    <format dxfId="321">
      <pivotArea field="-2" type="button" dataOnly="0" labelOnly="1" outline="0" axis="axisRow" fieldPosition="0"/>
    </format>
    <format dxfId="320">
      <pivotArea field="-2" type="button" dataOnly="0" labelOnly="1" outline="0" axis="axisRow" fieldPosition="0"/>
    </format>
    <format dxfId="319">
      <pivotArea outline="0" fieldPosition="0">
        <references count="1">
          <reference field="4294967294" count="1">
            <x v="0"/>
          </reference>
        </references>
      </pivotArea>
    </format>
    <format dxfId="318">
      <pivotArea field="1" type="button" dataOnly="0" labelOnly="1" outline="0" axis="axisCol" fieldPosition="0"/>
    </format>
    <format dxfId="3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6">
      <pivotArea field="1" type="button" dataOnly="0" labelOnly="1" outline="0" axis="axisCol" fieldPosition="0"/>
    </format>
    <format dxfId="315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14">
      <pivotArea outline="0" collapsedLevelsAreSubtotals="1" fieldPosition="0">
        <references count="1">
          <reference field="1" count="0" selected="0"/>
        </references>
      </pivotArea>
    </format>
    <format dxfId="313">
      <pivotArea field="1" type="button" dataOnly="0" labelOnly="1" outline="0" axis="axisCol" fieldPosition="0"/>
    </format>
    <format dxfId="312">
      <pivotArea type="topRight" dataOnly="0" labelOnly="1" outline="0" fieldPosition="0"/>
    </format>
    <format dxfId="311">
      <pivotArea dataOnly="0" labelOnly="1" fieldPosition="0">
        <references count="1">
          <reference field="1" count="0"/>
        </references>
      </pivotArea>
    </format>
    <format dxfId="310">
      <pivotArea type="origin" dataOnly="0" labelOnly="1" outline="0" fieldPosition="0"/>
    </format>
    <format dxfId="309">
      <pivotArea field="-2" type="button" dataOnly="0" labelOnly="1" outline="0" axis="axisRow" fieldPosition="0"/>
    </format>
    <format dxfId="30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03">
      <pivotArea type="origin" dataOnly="0" labelOnly="1" outline="0" fieldPosition="0"/>
    </format>
    <format dxfId="302">
      <pivotArea field="1" type="button" dataOnly="0" labelOnly="1" outline="0" axis="axisCol" fieldPosition="0"/>
    </format>
    <format dxfId="301">
      <pivotArea type="topRight" dataOnly="0" labelOnly="1" outline="0" fieldPosition="0"/>
    </format>
    <format dxfId="300">
      <pivotArea field="-2" type="button" dataOnly="0" labelOnly="1" outline="0" axis="axisRow" fieldPosition="0"/>
    </format>
    <format dxfId="299">
      <pivotArea dataOnly="0" labelOnly="1" fieldPosition="0">
        <references count="1">
          <reference field="1" count="0"/>
        </references>
      </pivotArea>
    </format>
    <format dxfId="298">
      <pivotArea dataOnly="0" labelOnly="1" grandCol="1" outline="0" fieldPosition="0"/>
    </format>
    <format dxfId="297">
      <pivotArea type="origin" dataOnly="0" labelOnly="1" outline="0" fieldPosition="0"/>
    </format>
    <format dxfId="296">
      <pivotArea field="1" type="button" dataOnly="0" labelOnly="1" outline="0" axis="axisCol" fieldPosition="0"/>
    </format>
    <format dxfId="295">
      <pivotArea type="topRight" dataOnly="0" labelOnly="1" outline="0" fieldPosition="0"/>
    </format>
    <format dxfId="294">
      <pivotArea field="-2" type="button" dataOnly="0" labelOnly="1" outline="0" axis="axisRow" fieldPosition="0"/>
    </format>
    <format dxfId="293">
      <pivotArea dataOnly="0" labelOnly="1" fieldPosition="0">
        <references count="1">
          <reference field="1" count="0"/>
        </references>
      </pivotArea>
    </format>
    <format dxfId="292">
      <pivotArea dataOnly="0" labelOnly="1" grandCol="1" outline="0" fieldPosition="0"/>
    </format>
    <format dxfId="291">
      <pivotArea dataOnly="0" labelOnly="1" fieldPosition="0">
        <references count="1">
          <reference field="1" count="0"/>
        </references>
      </pivotArea>
    </format>
    <format dxfId="290">
      <pivotArea dataOnly="0" labelOnly="1" grandCol="1" outline="0" fieldPosition="0"/>
    </format>
    <format dxfId="289">
      <pivotArea field="1" type="button" dataOnly="0" labelOnly="1" outline="0" axis="axisCol" fieldPosition="0"/>
    </format>
    <format dxfId="288">
      <pivotArea type="topRight" dataOnly="0" labelOnly="1" outline="0" fieldPosition="0"/>
    </format>
    <format dxfId="287">
      <pivotArea dataOnly="0" labelOnly="1" fieldPosition="0">
        <references count="1">
          <reference field="1" count="0"/>
        </references>
      </pivotArea>
    </format>
    <format dxfId="286">
      <pivotArea dataOnly="0" labelOnly="1" grandCol="1" outline="0" fieldPosition="0"/>
    </format>
    <format dxfId="285">
      <pivotArea outline="0" collapsedLevelsAreSubtotals="1" fieldPosition="0"/>
    </format>
    <format dxfId="284">
      <pivotArea type="origin" dataOnly="0" labelOnly="1" outline="0" fieldPosition="0"/>
    </format>
    <format dxfId="283">
      <pivotArea field="-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1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0:AD26" firstHeaderRow="1" firstDataRow="2" firstDataCol="1"/>
  <pivotFields count="54">
    <pivotField showAll="0">
      <items count="490"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8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29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2"/>
    </i>
  </colItems>
  <dataFields count="5">
    <dataField name="COF 280 - PPM ACIDO  " fld="48" baseField="0" baseItem="0" numFmtId="3"/>
    <dataField name="COF 235 - PPM COAGULANTE  " fld="49" baseField="0" baseItem="0" numFmtId="3"/>
    <dataField name="COF 255 - PPM DECOLORANTE  " fld="50" baseField="0" baseItem="0" numFmtId="3"/>
    <dataField name="COF 440 - PPM POL ANIONICO " fld="51" baseField="0" baseItem="0"/>
    <dataField name="COF 494 - PPM POL CATIONICO " fld="52" baseField="0" baseItem="0"/>
  </dataFields>
  <formats count="52">
    <format dxfId="395">
      <pivotArea field="0" type="button" dataOnly="0" labelOnly="1" outline="0"/>
    </format>
    <format dxfId="394">
      <pivotArea field="0" type="button" dataOnly="0" labelOnly="1" outline="0"/>
    </format>
    <format dxfId="393">
      <pivotArea field="0" type="button" dataOnly="0" labelOnly="1" outline="0"/>
    </format>
    <format dxfId="392">
      <pivotArea field="0" type="button" dataOnly="0" labelOnly="1" outline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field="0" type="button" dataOnly="0" labelOnly="1" outline="0"/>
    </format>
    <format dxfId="388">
      <pivotArea dataOnly="0" labelOnly="1" grandRow="1" outline="0" fieldPosition="0"/>
    </format>
    <format dxfId="387">
      <pivotArea field="0" type="button" dataOnly="0" labelOnly="1" outline="0"/>
    </format>
    <format dxfId="386">
      <pivotArea field="0" type="button" dataOnly="0" labelOnly="1" outline="0"/>
    </format>
    <format dxfId="385">
      <pivotArea field="0" type="button" dataOnly="0" labelOnly="1" outline="0"/>
    </format>
    <format dxfId="384">
      <pivotArea field="0" type="button" dataOnly="0" labelOnly="1" outline="0"/>
    </format>
    <format dxfId="383">
      <pivotArea outline="0" collapsedLevelsAreSubtotals="1" fieldPosition="0"/>
    </format>
    <format dxfId="382">
      <pivotArea field="0" type="button" dataOnly="0" labelOnly="1" outline="0"/>
    </format>
    <format dxfId="381">
      <pivotArea type="all" dataOnly="0" outline="0" fieldPosition="0"/>
    </format>
    <format dxfId="380">
      <pivotArea field="0" type="button" dataOnly="0" labelOnly="1" outline="0"/>
    </format>
    <format dxfId="379">
      <pivotArea dataOnly="0" labelOnly="1" grandRow="1" outline="0" fieldPosition="0"/>
    </format>
    <format dxfId="378">
      <pivotArea type="origin" dataOnly="0" labelOnly="1" outline="0" fieldPosition="0"/>
    </format>
    <format dxfId="377">
      <pivotArea type="origin" dataOnly="0" labelOnly="1" outline="0" fieldPosition="0"/>
    </format>
    <format dxfId="376">
      <pivotArea field="1" type="button" dataOnly="0" labelOnly="1" outline="0" axis="axisCol" fieldPosition="0"/>
    </format>
    <format dxfId="3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4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73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372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71">
      <pivotArea outline="0" collapsedLevelsAreSubtotals="1" fieldPosition="0">
        <references count="1">
          <reference field="1" count="0" selected="0"/>
        </references>
      </pivotArea>
    </format>
    <format dxfId="370">
      <pivotArea field="1" type="button" dataOnly="0" labelOnly="1" outline="0" axis="axisCol" fieldPosition="0"/>
    </format>
    <format dxfId="369">
      <pivotArea type="topRight" dataOnly="0" labelOnly="1" outline="0" fieldPosition="0"/>
    </format>
    <format dxfId="368">
      <pivotArea dataOnly="0" labelOnly="1" fieldPosition="0">
        <references count="1">
          <reference field="1" count="0"/>
        </references>
      </pivotArea>
    </format>
    <format dxfId="36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4">
      <pivotArea type="all" dataOnly="0" outline="0" fieldPosition="0"/>
    </format>
    <format dxfId="363">
      <pivotArea type="origin" dataOnly="0" labelOnly="1" outline="0" fieldPosition="0"/>
    </format>
    <format dxfId="362">
      <pivotArea field="-2" type="button" dataOnly="0" labelOnly="1" outline="0" axis="axisRow" fieldPosition="0"/>
    </format>
    <format dxfId="361">
      <pivotArea dataOnly="0" labelOnly="1" fieldPosition="0">
        <references count="1">
          <reference field="1" count="0"/>
        </references>
      </pivotArea>
    </format>
    <format dxfId="360">
      <pivotArea dataOnly="0" labelOnly="1" grandCol="1" outline="0" fieldPosition="0"/>
    </format>
    <format dxfId="359">
      <pivotArea outline="0" collapsedLevelsAreSubtotals="1" fieldPosition="0"/>
    </format>
    <format dxfId="3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7">
      <pivotArea type="origin" dataOnly="0" labelOnly="1" outline="0" fieldPosition="0"/>
    </format>
    <format dxfId="356">
      <pivotArea field="-2" type="button" dataOnly="0" labelOnly="1" outline="0" axis="axisRow" fieldPosition="0"/>
    </format>
    <format dxfId="355">
      <pivotArea field="1" type="button" dataOnly="0" labelOnly="1" outline="0" axis="axisCol" fieldPosition="0"/>
    </format>
    <format dxfId="354">
      <pivotArea type="topRight" dataOnly="0" labelOnly="1" outline="0" fieldPosition="0"/>
    </format>
    <format dxfId="353">
      <pivotArea field="1" type="button" dataOnly="0" labelOnly="1" outline="0" axis="axisCol" fieldPosition="0"/>
    </format>
    <format dxfId="352">
      <pivotArea type="topRight" dataOnly="0" labelOnly="1" outline="0" fieldPosition="0"/>
    </format>
    <format dxfId="351">
      <pivotArea dataOnly="0" labelOnly="1" fieldPosition="0">
        <references count="1">
          <reference field="1" count="0"/>
        </references>
      </pivotArea>
    </format>
    <format dxfId="350">
      <pivotArea dataOnly="0" labelOnly="1" grandCol="1" outline="0" fieldPosition="0"/>
    </format>
    <format dxfId="349">
      <pivotArea field="1" type="button" dataOnly="0" labelOnly="1" outline="0" axis="axisCol" fieldPosition="0"/>
    </format>
    <format dxfId="348">
      <pivotArea type="topRight" dataOnly="0" labelOnly="1" outline="0" fieldPosition="0"/>
    </format>
    <format dxfId="347">
      <pivotArea dataOnly="0" labelOnly="1" fieldPosition="0">
        <references count="1">
          <reference field="1" count="0"/>
        </references>
      </pivotArea>
    </format>
    <format dxfId="346">
      <pivotArea dataOnly="0" labelOnly="1" grandCol="1" outline="0" fieldPosition="0"/>
    </format>
    <format dxfId="345">
      <pivotArea type="origin" dataOnly="0" labelOnly="1" outline="0" fieldPosition="0"/>
    </format>
    <format dxfId="344">
      <pivotArea field="-2" type="button" dataOnly="0" labelOnly="1" outline="0" axis="axisRow" fieldPosition="0"/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0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E28" firstHeaderRow="1" firstDataRow="2" firstDataCol="1"/>
  <pivotFields count="62">
    <pivotField numFmtId="14" showAll="0">
      <items count="432"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x="31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31"/>
    </i>
    <i t="grand">
      <x/>
    </i>
  </colItems>
  <dataFields count="5">
    <dataField name="Suma de PPM HCL" fld="54" baseField="0" baseItem="0" numFmtId="1"/>
    <dataField name="Suma de PPM KURIVERTER" fld="55" baseField="0" baseItem="0" numFmtId="1"/>
    <dataField name="Suma de PPM VITEC" fld="56" baseField="0" baseItem="0" numFmtId="1"/>
    <dataField name="Suma de PPM NaOH" fld="57" baseField="0" baseItem="0" numFmtId="1"/>
    <dataField name="Suma de PPM BISULFITO" fld="58" baseField="0" baseItem="0" numFmtId="1"/>
  </dataFields>
  <formats count="31">
    <format dxfId="136">
      <pivotArea outline="0" collapsedLevelsAreSubtotals="1" fieldPosition="0"/>
    </format>
    <format dxfId="135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34">
      <pivotArea grandCol="1" outline="0" collapsedLevelsAreSubtotals="1" fieldPosition="0"/>
    </format>
    <format dxfId="133">
      <pivotArea type="topRight" dataOnly="0" labelOnly="1" outline="0" offset="B1:AD1" fieldPosition="0"/>
    </format>
    <format dxfId="132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31">
      <pivotArea dataOnly="0" labelOnly="1" grandCol="1" outline="0" fieldPosition="0"/>
    </format>
    <format dxfId="130">
      <pivotArea type="origin" dataOnly="0" labelOnly="1" outline="0" fieldPosition="0"/>
    </format>
    <format dxfId="129">
      <pivotArea field="1" type="button" dataOnly="0" labelOnly="1" outline="0" axis="axisCol" fieldPosition="0"/>
    </format>
    <format dxfId="128">
      <pivotArea type="topRight" dataOnly="0" labelOnly="1" outline="0" fieldPosition="0"/>
    </format>
    <format dxfId="127">
      <pivotArea field="-2" type="button" dataOnly="0" labelOnly="1" outline="0" axis="axisRow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Col="1" outline="0" fieldPosition="0"/>
    </format>
    <format dxfId="124">
      <pivotArea type="origin" dataOnly="0" labelOnly="1" outline="0" fieldPosition="0"/>
    </format>
    <format dxfId="123">
      <pivotArea field="1" type="button" dataOnly="0" labelOnly="1" outline="0" axis="axisCol" fieldPosition="0"/>
    </format>
    <format dxfId="122">
      <pivotArea type="topRight" dataOnly="0" labelOnly="1" outline="0" fieldPosition="0"/>
    </format>
    <format dxfId="121">
      <pivotArea field="-2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Col="1" outline="0" fieldPosition="0"/>
    </format>
    <format dxfId="118">
      <pivotArea type="origin" dataOnly="0" labelOnly="1" outline="0" fieldPosition="0"/>
    </format>
    <format dxfId="117">
      <pivotArea field="-2" type="button" dataOnly="0" labelOnly="1" outline="0" axis="axisRow" fieldPosition="0"/>
    </format>
    <format dxfId="116">
      <pivotArea outline="0" collapsedLevelsAreSubtotals="1" fieldPosition="0"/>
    </format>
    <format dxfId="115">
      <pivotArea outline="0" collapsedLevelsAreSubtotals="1" fieldPosition="0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grandCol="1" outline="0" fieldPosition="0"/>
    </format>
    <format dxfId="1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1">
      <pivotArea type="origin" dataOnly="0" labelOnly="1" outline="0" fieldPosition="0"/>
    </format>
    <format dxfId="110">
      <pivotArea field="1" type="button" dataOnly="0" labelOnly="1" outline="0" axis="axisCol" fieldPosition="0"/>
    </format>
    <format dxfId="109">
      <pivotArea type="topRight" dataOnly="0" labelOnly="1" outline="0" fieldPosition="0"/>
    </format>
    <format dxfId="108">
      <pivotArea field="-2" type="button" dataOnly="0" labelOnly="1" outline="0" axis="axisRow" fieldPosition="0"/>
    </format>
    <format dxfId="107">
      <pivotArea dataOnly="0" labelOnly="1" fieldPosition="0">
        <references count="1">
          <reference field="1" count="0"/>
        </references>
      </pivotArea>
    </format>
    <format dxfId="10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0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E18" firstHeaderRow="1" firstDataRow="2" firstDataCol="1"/>
  <pivotFields count="62">
    <pivotField numFmtId="14" showAll="0">
      <items count="432"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x="31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31"/>
    </i>
    <i t="grand">
      <x/>
    </i>
  </colItems>
  <dataFields count="5">
    <dataField name=" CONSUMO (Kg) HCL (10%)22" fld="29" baseField="0" baseItem="0"/>
    <dataField name=" CONSUMO (Kg) KURIVERTER IK-220 (Biocida)" fld="30" baseField="0" baseItem="0"/>
    <dataField name=" CONSUMO (Kg) VITEC 7000 (Antiincrustante)" fld="31" baseField="0" baseItem="0"/>
    <dataField name=" CONSUMO (Kg) Hidróxido de Sodio (NaOH)" fld="32" baseField="0" baseItem="0"/>
    <dataField name=" CONSUMO (Kg) Bisulfito de sodio6" fld="33" baseField="0" baseItem="0"/>
  </dataFields>
  <formats count="25">
    <format dxfId="161">
      <pivotArea outline="0" collapsedLevelsAreSubtotals="1" fieldPosition="0"/>
    </format>
    <format dxfId="160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59">
      <pivotArea grandCol="1" outline="0" collapsedLevelsAreSubtotals="1" fieldPosition="0"/>
    </format>
    <format dxfId="158">
      <pivotArea type="topRight" dataOnly="0" labelOnly="1" outline="0" offset="B1:AD1" fieldPosition="0"/>
    </format>
    <format dxfId="157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56">
      <pivotArea dataOnly="0" labelOnly="1" grandCol="1" outline="0" fieldPosition="0"/>
    </format>
    <format dxfId="155">
      <pivotArea type="origin" dataOnly="0" labelOnly="1" outline="0" fieldPosition="0"/>
    </format>
    <format dxfId="154">
      <pivotArea field="1" type="button" dataOnly="0" labelOnly="1" outline="0" axis="axisCol" fieldPosition="0"/>
    </format>
    <format dxfId="153">
      <pivotArea type="topRight" dataOnly="0" labelOnly="1" outline="0" fieldPosition="0"/>
    </format>
    <format dxfId="152">
      <pivotArea field="-2" type="button" dataOnly="0" labelOnly="1" outline="0" axis="axisRow" fieldPosition="0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grandCol="1" outline="0" fieldPosition="0"/>
    </format>
    <format dxfId="149">
      <pivotArea type="origin" dataOnly="0" labelOnly="1" outline="0" fieldPosition="0"/>
    </format>
    <format dxfId="148">
      <pivotArea field="1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-2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Col="1" outline="0" fieldPosition="0"/>
    </format>
    <format dxfId="143">
      <pivotArea type="origin" dataOnly="0" labelOnly="1" outline="0" fieldPosition="0"/>
    </format>
    <format dxfId="142">
      <pivotArea field="-2" type="button" dataOnly="0" labelOnly="1" outline="0" axis="axisRow" fieldPosition="0"/>
    </format>
    <format dxfId="141">
      <pivotArea outline="0" collapsedLevelsAreSubtotals="1" fieldPosition="0"/>
    </format>
    <format dxfId="1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9">
      <pivotArea outline="0" collapsedLevelsAreSubtotals="1" fieldPosition="0"/>
    </format>
    <format dxfId="138">
      <pivotArea dataOnly="0" labelOnly="1" fieldPosition="0">
        <references count="1">
          <reference field="1" count="0"/>
        </references>
      </pivotArea>
    </format>
    <format dxfId="13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0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E9" firstHeaderRow="1" firstDataRow="2" firstDataCol="1"/>
  <pivotFields count="62">
    <pivotField numFmtId="14" showAll="0">
      <items count="432"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x="31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31"/>
    </i>
    <i t="grand">
      <x/>
    </i>
  </colItems>
  <dataFields count="5">
    <dataField name=" CONSUMO (L) HCL (10%)" fld="19" baseField="0" baseItem="0"/>
    <dataField name=" CONSUMO (L) KURIVERTER IK-220 (Biocida)" fld="20" baseField="0" baseItem="0"/>
    <dataField name="CONSUMO (L) VITEC 7000 (Antiincrustante) " fld="21" baseField="0" baseItem="0"/>
    <dataField name="CONSUMO (L) Hidróxido de Sodio (NaOH) " fld="22" baseField="0" baseItem="0"/>
    <dataField name="CONSUMO (L) Bisulfito de sodio " fld="23" baseField="0" baseItem="0"/>
  </dataFields>
  <formats count="35">
    <format dxfId="196">
      <pivotArea outline="0" collapsedLevelsAreSubtotals="1" fieldPosition="0"/>
    </format>
    <format dxfId="195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94">
      <pivotArea grandCol="1" outline="0" collapsedLevelsAreSubtotals="1" fieldPosition="0"/>
    </format>
    <format dxfId="193">
      <pivotArea type="topRight" dataOnly="0" labelOnly="1" outline="0" offset="B1:AD1" fieldPosition="0"/>
    </format>
    <format dxfId="192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91">
      <pivotArea dataOnly="0" labelOnly="1" grandCol="1" outline="0" fieldPosition="0"/>
    </format>
    <format dxfId="190">
      <pivotArea type="all" dataOnly="0" outline="0" fieldPosition="0"/>
    </format>
    <format dxfId="189">
      <pivotArea field="1" type="button" dataOnly="0" labelOnly="1" outline="0" axis="axisCol" fieldPosition="0"/>
    </format>
    <format dxfId="188">
      <pivotArea type="topRight" dataOnly="0" labelOnly="1" outline="0" fieldPosition="0"/>
    </format>
    <format dxfId="187">
      <pivotArea dataOnly="0" labelOnly="1" fieldPosition="0">
        <references count="1">
          <reference field="1" count="0"/>
        </references>
      </pivotArea>
    </format>
    <format dxfId="186">
      <pivotArea dataOnly="0" labelOnly="1" grandCol="1" outline="0" fieldPosition="0"/>
    </format>
    <format dxfId="185">
      <pivotArea type="origin" dataOnly="0" labelOnly="1" outline="0" fieldPosition="0"/>
    </format>
    <format dxfId="184">
      <pivotArea field="-2" type="button" dataOnly="0" labelOnly="1" outline="0" axis="axisRow" fieldPosition="0"/>
    </format>
    <format dxfId="183">
      <pivotArea field="1" type="button" dataOnly="0" labelOnly="1" outline="0" axis="axisCol" fieldPosition="0"/>
    </format>
    <format dxfId="182">
      <pivotArea type="topRight" dataOnly="0" labelOnly="1" outline="0" fieldPosition="0"/>
    </format>
    <format dxfId="181">
      <pivotArea outline="0" collapsedLevelsAreSubtotals="1" fieldPosition="0"/>
    </format>
    <format dxfId="18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9">
      <pivotArea type="origin" dataOnly="0" labelOnly="1" outline="0" fieldPosition="0"/>
    </format>
    <format dxfId="178">
      <pivotArea field="1" type="button" dataOnly="0" labelOnly="1" outline="0" axis="axisCol" fieldPosition="0"/>
    </format>
    <format dxfId="177">
      <pivotArea type="topRight" dataOnly="0" labelOnly="1" outline="0" fieldPosition="0"/>
    </format>
    <format dxfId="176">
      <pivotArea field="-2" type="button" dataOnly="0" labelOnly="1" outline="0" axis="axisRow" fieldPosition="0"/>
    </format>
    <format dxfId="175">
      <pivotArea dataOnly="0" labelOnly="1" fieldPosition="0">
        <references count="1">
          <reference field="1" count="0"/>
        </references>
      </pivotArea>
    </format>
    <format dxfId="174">
      <pivotArea dataOnly="0" labelOnly="1" grandCol="1" outline="0" fieldPosition="0"/>
    </format>
    <format dxfId="173">
      <pivotArea type="origin" dataOnly="0" labelOnly="1" outline="0" fieldPosition="0"/>
    </format>
    <format dxfId="172">
      <pivotArea field="1" type="button" dataOnly="0" labelOnly="1" outline="0" axis="axisCol" fieldPosition="0"/>
    </format>
    <format dxfId="171">
      <pivotArea type="topRight" dataOnly="0" labelOnly="1" outline="0" fieldPosition="0"/>
    </format>
    <format dxfId="170">
      <pivotArea field="-2" type="button" dataOnly="0" labelOnly="1" outline="0" axis="axisRow" fieldPosition="0"/>
    </format>
    <format dxfId="169">
      <pivotArea dataOnly="0" labelOnly="1" fieldPosition="0">
        <references count="1">
          <reference field="1" count="0"/>
        </references>
      </pivotArea>
    </format>
    <format dxfId="168">
      <pivotArea dataOnly="0" labelOnly="1" grandCol="1" outline="0" fieldPosition="0"/>
    </format>
    <format dxfId="167">
      <pivotArea outline="0" collapsedLevelsAreSubtotals="1" fieldPosition="0"/>
    </format>
    <format dxfId="166">
      <pivotArea dataOnly="0" labelOnly="1" fieldPosition="0">
        <references count="1">
          <reference field="1" count="0"/>
        </references>
      </pivotArea>
    </format>
    <format dxfId="165">
      <pivotArea dataOnly="0" labelOnly="1" grandCol="1" outline="0" fieldPosition="0"/>
    </format>
    <format dxfId="164">
      <pivotArea type="origin" dataOnly="0" labelOnly="1" outline="0" fieldPosition="0"/>
    </format>
    <format dxfId="163">
      <pivotArea field="-2" type="button" dataOnly="0" labelOnly="1" outline="0" axis="axisRow" fieldPosition="0"/>
    </format>
    <format dxfId="1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E34" firstHeaderRow="1" firstDataRow="2" firstDataCol="1"/>
  <pivotFields count="62">
    <pivotField numFmtId="14" showAll="0">
      <items count="432"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x="31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9"/>
        <item m="1" x="30"/>
        <item m="1" x="31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31"/>
    </i>
    <i t="grand">
      <x/>
    </i>
  </colItems>
  <dataFields count="1">
    <dataField name=" TIEMPO DE OPERACIÓN (minutos)" fld="8" baseField="0" baseItem="0"/>
  </dataFields>
  <formats count="23">
    <format dxfId="219">
      <pivotArea outline="0" collapsedLevelsAreSubtotals="1" fieldPosition="0"/>
    </format>
    <format dxfId="218">
      <pivotArea dataOnly="0" labelOnly="1" outline="0" axis="axisValues" fieldPosition="0"/>
    </format>
    <format dxfId="217">
      <pivotArea field="1" type="button" dataOnly="0" labelOnly="1" outline="0" axis="axisCol" fieldPosition="0"/>
    </format>
    <format dxfId="216">
      <pivotArea type="topRight" dataOnly="0" labelOnly="1" outline="0" fieldPosition="0"/>
    </format>
    <format dxfId="215">
      <pivotArea dataOnly="0" labelOnly="1" fieldPosition="0">
        <references count="1">
          <reference field="1" count="0"/>
        </references>
      </pivotArea>
    </format>
    <format dxfId="214">
      <pivotArea dataOnly="0" labelOnly="1" grandCol="1" outline="0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type="origin" dataOnly="0" labelOnly="1" outline="0" offset="A1" fieldPosition="0"/>
    </format>
    <format dxfId="210">
      <pivotArea dataOnly="0" labelOnly="1" outline="0" axis="axisValues" fieldPosition="0"/>
    </format>
    <format dxfId="209">
      <pivotArea field="1" type="button" dataOnly="0" labelOnly="1" outline="0" axis="axisCol" fieldPosition="0"/>
    </format>
    <format dxfId="208">
      <pivotArea type="topRight" dataOnly="0" labelOnly="1" outline="0" fieldPosition="0"/>
    </format>
    <format dxfId="207">
      <pivotArea type="origin" dataOnly="0" labelOnly="1" outline="0" offset="A2" fieldPosition="0"/>
    </format>
    <format dxfId="206">
      <pivotArea dataOnly="0" labelOnly="1" fieldPosition="0">
        <references count="1">
          <reference field="1" count="0"/>
        </references>
      </pivotArea>
    </format>
    <format dxfId="205">
      <pivotArea dataOnly="0" labelOnly="1" grandCol="1" outline="0" fieldPosition="0"/>
    </format>
    <format dxfId="204">
      <pivotArea type="origin" dataOnly="0" labelOnly="1" outline="0" offset="A1" fieldPosition="0"/>
    </format>
    <format dxfId="203">
      <pivotArea type="origin" dataOnly="0" labelOnly="1" outline="0" offset="A2" fieldPosition="0"/>
    </format>
    <format dxfId="202">
      <pivotArea outline="0" collapsedLevelsAreSubtotals="1" fieldPosition="0">
        <references count="1">
          <reference field="1" count="0" selected="0"/>
        </references>
      </pivotArea>
    </format>
    <format dxfId="201">
      <pivotArea dataOnly="0" labelOnly="1" fieldPosition="0">
        <references count="1">
          <reference field="1" count="0"/>
        </references>
      </pivotArea>
    </format>
    <format dxfId="200">
      <pivotArea outline="0" collapsedLevelsAreSubtotals="1" fieldPosition="0"/>
    </format>
    <format dxfId="199">
      <pivotArea dataOnly="0" labelOnly="1" outline="0" axis="axisValues" fieldPosition="0"/>
    </format>
    <format dxfId="198">
      <pivotArea outline="0" collapsedLevelsAreSubtotals="1" fieldPosition="0"/>
    </format>
    <format dxfId="1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4ECC307-7C6D-4DFC-8B73-A2494E3A8353}" sourceName="FECHA">
  <pivotTables>
    <pivotTable tabId="14" name="TablaDinámica2"/>
  </pivotTables>
  <data>
    <tabular pivotCacheId="1515291395">
      <items count="48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86" s="1" nd="1"/>
        <i x="487" s="1" nd="1"/>
        <i x="488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457" s="1" nd="1"/>
        <i x="458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427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97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66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307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18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8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152" s="1" nd="1"/>
        <i x="153" s="1" nd="1"/>
        <i x="154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</pivotTables>
  <data>
    <tabular pivotCacheId="1515291395">
      <items count="48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3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87" nd="1"/>
        <i x="488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457" nd="1"/>
        <i x="458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246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18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154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93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4"/>
  </pivotTables>
  <data>
    <tabular pivotCacheId="140647070">
      <items count="43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/>
        <i x="29"/>
        <i x="30"/>
        <i x="3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426" nd="1"/>
        <i x="427" nd="1"/>
        <i x="428" nd="1"/>
        <i x="429" nd="1"/>
        <i x="430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400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69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246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154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93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04781B7-A5C5-4C20-AA9E-80CAE1D2177B}" cache="SegmentaciónDeDatos_FECHA" caption="FECHA" style="SlicerStyleOther1" rowHeight="241300"/>
  <slicer name="FECHA 1" xr10:uid="{C0CF515C-C34C-4638-A3ED-0E3BB739B0C2}" cache="SegmentaciónDeDatos_FECHA1" caption="FECHA" startItem="24" rowHeight="241300"/>
  <slicer name="FECHA 2" xr10:uid="{7CEFE6A9-8DD9-441D-9BF7-6AF4C8AF5212}" cache="SegmentaciónDeDatos_FECHA2" caption="FECHA" startItem="2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T96" totalsRowCount="1" headerRowDxfId="496" dataDxfId="495">
  <autoFilter ref="A1:AT95" xr:uid="{106ED39B-8120-48D1-B96B-A8FB2CC5DC7B}"/>
  <tableColumns count="46">
    <tableColumn id="1" xr3:uid="{797BBFE9-7BD9-4895-8C65-B12AC56DBD23}" name="FECHA" dataDxfId="91" totalsRowDxfId="90"/>
    <tableColumn id="47" xr3:uid="{976FC6AF-EAA8-436A-9BA8-AC53AED0CB5E}" name="DIA" dataDxfId="89" totalsRowDxfId="88">
      <calculatedColumnFormula>DAY(Tabla1[[#This Row],[FECHA]])</calculatedColumnFormula>
    </tableColumn>
    <tableColumn id="2" xr3:uid="{ED62E89D-C3D6-46F0-9E1B-185F3DF1296E}" name="ANALISIS TURNO" dataDxfId="87" totalsRowDxfId="86"/>
    <tableColumn id="3" xr3:uid="{BBA60A93-0254-41C3-A7CA-2EDB720B1050}" name="# TURNO" dataDxfId="85" totalsRowDxfId="84"/>
    <tableColumn id="46" xr3:uid="{4F31C636-F8EB-4A95-8AED-141DEE9C8A6A}" name="DILIGENCIAR BITACORA" dataDxfId="83" totalsRowDxfId="82"/>
    <tableColumn id="4" xr3:uid="{B73C29EE-3B1E-409E-B889-754B9082C27C}" name="FINAL ACIDO (L)" dataDxfId="81" totalsRowDxfId="80"/>
    <tableColumn id="5" xr3:uid="{85CF7F79-52E3-4C53-9B93-560644AE36E3}" name="FINAL COAGULANTE (L)" dataDxfId="79" totalsRowDxfId="78"/>
    <tableColumn id="6" xr3:uid="{E77621B2-41A1-4E5F-BE6F-18DDA2810184}" name="FINAL DECOLORANTE (L)" dataDxfId="77" totalsRowDxfId="76"/>
    <tableColumn id="7" xr3:uid="{01D1223B-AFC9-473C-B53A-772ED6688370}" name="FINAL POL ANIONICO (KG)" dataDxfId="75" totalsRowDxfId="74"/>
    <tableColumn id="8" xr3:uid="{F3F3A222-444F-40CA-A3E4-91ADFB7EE17C}" name="FINAL POL CATIONICO (KG)" dataDxfId="73" totalsRowDxfId="72"/>
    <tableColumn id="11" xr3:uid="{6CA64394-760F-47F1-A458-077D466340EA}" name="Lectura Horometro INICIAL (06:00)" dataDxfId="71" totalsRowDxfId="70"/>
    <tableColumn id="12" xr3:uid="{F9E9DE99-0964-4A63-8AB7-0B4C558EB128}" name="CAUDAL TOTAL TRATADO GEM " dataDxfId="69" totalsRowDxfId="68">
      <calculatedColumnFormula>+(K3-Tabla1[[#This Row],[Lectura Horometro INICIAL (06:00)]])*Tabla1[[#This Row],[CAUDAL DE TRATAMIENTO]]</calculatedColumnFormula>
    </tableColumn>
    <tableColumn id="50" xr3:uid="{836AB61D-51F9-4D81-8D56-EA763E8959D1}" name="CAUDAL DE TRATAMIENTO" dataDxfId="67" totalsRowDxfId="66"/>
    <tableColumn id="13" xr3:uid="{DC31669B-5880-4278-AAEF-DEE832958168}" name="CONSUMO LITROS ACIDO (L)" dataDxfId="65" totalsRowDxfId="64">
      <calculatedColumnFormula>F2-F3</calculatedColumnFormula>
    </tableColumn>
    <tableColumn id="14" xr3:uid="{3F519DC6-C28D-400E-9BAE-FB58AEEC8615}" name="CONSUMO LITROS COAGULANTE (L)" dataDxfId="63" totalsRowDxfId="62">
      <calculatedColumnFormula>G2-G3</calculatedColumnFormula>
    </tableColumn>
    <tableColumn id="15" xr3:uid="{0C5F056C-2132-4DCC-8DE0-5EAB91723784}" name="CONSUMO LITROS DECOLORANTE (L)" dataDxfId="61" totalsRowDxfId="60">
      <calculatedColumnFormula>H2-H3</calculatedColumnFormula>
    </tableColumn>
    <tableColumn id="16" xr3:uid="{C474DBB7-9EDF-4C8A-8999-41B9946BC586}" name="CONSUMO POL ANIONICO (KG)" dataDxfId="59" totalsRowDxfId="58">
      <calculatedColumnFormula>I2-I3</calculatedColumnFormula>
    </tableColumn>
    <tableColumn id="17" xr3:uid="{1537DA41-65B8-4D8C-9F11-D2F984E6D1B1}" name="CONSUMO POL CATIONICO (KG)" dataDxfId="57" totalsRowDxfId="56">
      <calculatedColumnFormula>J2-J3</calculatedColumnFormula>
    </tableColumn>
    <tableColumn id="18" xr3:uid="{2A63BD78-FAED-4C1C-8047-CB39F8AFDCAC}" name="KG ACIDO" dataDxfId="55" totalsRowDxfId="54">
      <calculatedColumnFormula>(N2*$AC$2)</calculatedColumnFormula>
    </tableColumn>
    <tableColumn id="19" xr3:uid="{3C33C774-6CF3-4B73-BF30-DBB9172996A9}" name="KG COAGULANTE" dataDxfId="53" totalsRowDxfId="52">
      <calculatedColumnFormula>(O2*$AD$2)</calculatedColumnFormula>
    </tableColumn>
    <tableColumn id="20" xr3:uid="{CAFA74FF-0418-441A-9326-66074AEC1610}" name="KG DECOLORANTE " dataDxfId="51" totalsRowDxfId="50">
      <calculatedColumnFormula>(P2*$AE$2)</calculatedColumnFormula>
    </tableColumn>
    <tableColumn id="21" xr3:uid="{1458EF37-76ED-43B9-8AA8-9F80763A7696}" name="KG POL ANIONICO " dataDxfId="49" totalsRowDxfId="48">
      <calculatedColumnFormula>Tabla1[[#This Row],[CONSUMO POL ANIONICO (KG)]]</calculatedColumnFormula>
    </tableColumn>
    <tableColumn id="22" xr3:uid="{300A389A-14FF-4FB7-87C0-417DAACBFC6E}" name="KG POL CATIONICO " dataDxfId="47" totalsRowDxfId="46">
      <calculatedColumnFormula>Tabla1[[#This Row],[CONSUMO POL CATIONICO (KG)]]</calculatedColumnFormula>
    </tableColumn>
    <tableColumn id="23" xr3:uid="{0E4FFC5C-D7F2-468F-A1A3-EBC3233EC511}" name="PPM ACIDO " dataDxfId="45" totalsRowDxfId="44">
      <calculatedColumnFormula>(S2*1000)/L2</calculatedColumnFormula>
    </tableColumn>
    <tableColumn id="24" xr3:uid="{3F435E9F-2B10-453D-AA8A-0FC6772EB018}" name="PPM COAGULANTE " dataDxfId="43" totalsRowDxfId="42">
      <calculatedColumnFormula>(T2*1000)/L2</calculatedColumnFormula>
    </tableColumn>
    <tableColumn id="25" xr3:uid="{9FE8A120-667D-4F19-816A-5FFF232C1EE7}" name="PPM DECOLORANTE " dataDxfId="41" totalsRowDxfId="40">
      <calculatedColumnFormula>(U2*1000)/L2</calculatedColumnFormula>
    </tableColumn>
    <tableColumn id="26" xr3:uid="{39A5A5CD-B186-47FD-AE6C-D0DA41E39382}" name="PPM POL ANIONICO " dataDxfId="39" totalsRowDxfId="38">
      <calculatedColumnFormula>(V2*1000)/L2</calculatedColumnFormula>
    </tableColumn>
    <tableColumn id="27" xr3:uid="{F8AB9DCC-1003-4C35-9BE6-9E37DF927B08}" name="PPM POL CATIONICO" dataDxfId="37" totalsRowDxfId="36">
      <calculatedColumnFormula>(W2*1000)/L2</calculatedColumnFormula>
    </tableColumn>
    <tableColumn id="28" xr3:uid="{CE609211-2FE1-46A8-AF6B-F6AAFA38AC6C}" name="DENSIDAD ACIDO" dataDxfId="35" totalsRowDxfId="34"/>
    <tableColumn id="29" xr3:uid="{26E48531-C8F5-4079-8037-57ED96A4A976}" name="DENSIDAD COAGULANTE" dataDxfId="33" totalsRowDxfId="32"/>
    <tableColumn id="30" xr3:uid="{CA42BDD6-E35F-4650-A2AD-2B882E2985C0}" name="DENSIDAD DECOLORANTE" dataDxfId="31" totalsRowDxfId="30"/>
    <tableColumn id="31" xr3:uid="{213F817F-0E9B-47EF-9F76-E320E6B3052B}" name="DENSIDAD ANIONICO" dataDxfId="29" totalsRowDxfId="28"/>
    <tableColumn id="32" xr3:uid="{4BB0F123-E730-4842-BC86-E2064FC88FFF}" name="DENSIDAD CATIONICO" dataDxfId="27" totalsRowDxfId="26"/>
    <tableColumn id="33" xr3:uid="{B2BD1E5E-CBC5-493D-B4B1-9DA910A0C1F1}" name="PRECIO (KG) ACIDO" dataDxfId="25" totalsRowDxfId="24"/>
    <tableColumn id="34" xr3:uid="{4972F7E0-8FD1-4EF3-B1FB-369777963AB1}" name="PRECIO (KG) COAGULANTE" dataDxfId="23" totalsRowDxfId="22"/>
    <tableColumn id="35" xr3:uid="{A844FAF9-9CDA-4E3B-98E2-E766500E3FE0}" name="PRECIO (KG) DECOLORANTE" dataDxfId="21" totalsRowDxfId="20"/>
    <tableColumn id="36" xr3:uid="{ECBD8F2B-41C8-484E-B81D-4DA820DAB619}" name="PRECIO (KG) ANIONICO" dataDxfId="19" totalsRowDxfId="18"/>
    <tableColumn id="37" xr3:uid="{8EACD521-2BF4-44D1-B345-3B0CA4AB45E0}" name="PRECIO (KG) CATIONICO" dataDxfId="17" totalsRowDxfId="16"/>
    <tableColumn id="38" xr3:uid="{017EFE46-D96A-42E1-8707-878704C5E501}" name="COSTO OPERATIVO ACIDO" dataDxfId="15" totalsRowDxfId="14">
      <calculatedColumnFormula>S2*AH2</calculatedColumnFormula>
    </tableColumn>
    <tableColumn id="39" xr3:uid="{99F19967-E3ED-4C22-BFB3-6A96F4CA9289}" name="COSTO OPERATIVO COAGULANTE" dataDxfId="13" totalsRowDxfId="12">
      <calculatedColumnFormula>T2*AI2</calculatedColumnFormula>
    </tableColumn>
    <tableColumn id="40" xr3:uid="{07CF8F42-BA08-4C48-A2E4-4DBB283A4E23}" name="COSTO OPERATIVO DECOLORANTE" dataDxfId="11" totalsRowDxfId="10">
      <calculatedColumnFormula>U2*AJ2</calculatedColumnFormula>
    </tableColumn>
    <tableColumn id="41" xr3:uid="{FB818BA1-8137-4F90-8B4E-4979316FAB5A}" name="COSTO OPERATIVO ANIONICO" dataDxfId="9" totalsRowDxfId="8">
      <calculatedColumnFormula>V2*AK2</calculatedColumnFormula>
    </tableColumn>
    <tableColumn id="42" xr3:uid="{C925CA67-4C0E-4B28-8CD9-B1CD4B61FBAB}" name="COSTO OPERATIVO CATIONICO" dataDxfId="7" totalsRowDxfId="6">
      <calculatedColumnFormula>W2*AL2</calculatedColumnFormula>
    </tableColumn>
    <tableColumn id="43" xr3:uid="{AD7ED194-6217-4171-9A5E-722504A09916}" name="COSTO QUIMICA " totalsRowFunction="custom" dataDxfId="5" totalsRowDxfId="4">
      <calculatedColumnFormula>SUM(Tabla1[[#This Row],[COSTO OPERATIVO ACIDO]:[COSTO OPERATIVO CATIONICO]])</calculatedColumnFormula>
      <totalsRowFormula>SUM(Tabla1[[COSTO QUIMICA ]])</totalsRowFormula>
    </tableColumn>
    <tableColumn id="45" xr3:uid="{917AA0D6-1159-42C0-BFE1-D283A0204659}" name="LIMITE INDICADOR M3" dataDxfId="3" totalsRowDxfId="2"/>
    <tableColumn id="44" xr3:uid="{F07AB979-76E5-4241-8726-8BD66150419C}" name="$ m3" dataDxfId="1" totalsRowDxfId="0">
      <calculatedColumnFormula>AR2/L2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A99" totalsRowCount="1" headerRowDxfId="602" dataDxfId="600" headerRowBorderDxfId="601" dataCellStyle="Moneda">
  <autoFilter ref="A1:BA98" xr:uid="{1B6F41AC-77AF-4386-8D11-23242FAF90E8}"/>
  <sortState xmlns:xlrd2="http://schemas.microsoft.com/office/spreadsheetml/2017/richdata2" ref="A2:BA95">
    <sortCondition ref="A1:A95"/>
  </sortState>
  <tableColumns count="53">
    <tableColumn id="1" xr3:uid="{CC590991-2A1A-4D5C-B65D-9930977908D8}" name="FECHA" dataDxfId="599" totalsRowDxfId="598"/>
    <tableColumn id="54" xr3:uid="{9A818E5C-5192-4396-A7BC-405EB3227304}" name="DIA" dataDxfId="597" totalsRowDxfId="596">
      <calculatedColumnFormula>DAY(Tabla2[[#This Row],[FECHA]])</calculatedColumnFormula>
    </tableColumn>
    <tableColumn id="2" xr3:uid="{0DF8C586-856D-4C65-B4FB-1FC5DE6691B5}" name="TURNO" dataDxfId="595"/>
    <tableColumn id="3" xr3:uid="{C72CF01B-5D8E-4114-8039-5372DB2EFC73}" name="HCL (10%)" dataDxfId="594" totalsRowDxfId="593"/>
    <tableColumn id="4" xr3:uid="{2856B276-2C23-4389-801C-3F8DE875B88F}" name="KURIVERTER IK-220 (Biocida)" dataDxfId="592" totalsRowDxfId="591"/>
    <tableColumn id="5" xr3:uid="{8EBA9A5D-A07B-43C3-898E-67582DEA4511}" name="VITEC 7000 (Antiincrustante)" dataDxfId="590" totalsRowDxfId="589"/>
    <tableColumn id="6" xr3:uid="{DA0ECB86-EF9A-4745-A19C-F1F06CA6ECCF}" name="Hidróxido de Sodio (NaOH)" dataDxfId="588"/>
    <tableColumn id="7" xr3:uid="{0326820F-4E40-47C1-8F97-879B4E50F2F6}" name="Bisulfito de sodio " dataDxfId="587"/>
    <tableColumn id="55" xr3:uid="{7DF4B77E-F956-4875-A047-7C2F1A1C2B5E}" name="TIEMPO DE OPERACIÓN (minutos)" dataDxfId="586" totalsRowDxfId="585">
      <calculatedColumnFormula>((Tabla2[[#This Row],[VOLUMEN ENVIADO A RO (m3)]]/80)/3)*60</calculatedColumnFormula>
    </tableColumn>
    <tableColumn id="8" xr3:uid="{5062A74B-BC0E-4E63-BE12-3512AD9515F1}" name="cm HCL (10%)" dataDxfId="584" totalsRowDxfId="583"/>
    <tableColumn id="9" xr3:uid="{8529AFE4-E51B-4C9D-90FF-3CA6BA16A7D7}" name="cm IK-220 (Biocida)" dataDxfId="582" totalsRowDxfId="581"/>
    <tableColumn id="10" xr3:uid="{C27E6998-1AB7-40C5-9872-F136B97B99E8}" name="cm          Vitec 7000" dataDxfId="580" totalsRowDxfId="579"/>
    <tableColumn id="11" xr3:uid="{C8B09375-E483-4508-BC53-B6655E1C7B6A}" name="cm NaOH" dataDxfId="578" totalsRowDxfId="577"/>
    <tableColumn id="12" xr3:uid="{128C444D-DA78-4568-A422-F11D52858461}" name="cm Bisulfito de sodio" dataDxfId="576" totalsRowDxfId="575"/>
    <tableColumn id="13" xr3:uid="{7FBF2940-699F-4035-A510-31AFB65D6411}" name="(INV- L) - HCL (10%)" totalsRowFunction="custom" dataDxfId="574" totalsRowDxfId="573">
      <calculatedColumnFormula>J2*(1000/114)</calculatedColumnFormula>
      <totalsRowFormula>J99*(1000/114)</totalsRowFormula>
    </tableColumn>
    <tableColumn id="14" xr3:uid="{767F6605-A3F2-492F-945E-DDC0CAB2DB84}" name="(INV -L) - KURIVERTER IK-220 (Biocida)" totalsRowFunction="custom" dataDxfId="572" totalsRowDxfId="571">
      <calculatedColumnFormula>K2*(1000/114)</calculatedColumnFormula>
      <totalsRowFormula>K99*(1000/114)</totalsRowFormula>
    </tableColumn>
    <tableColumn id="15" xr3:uid="{96362BE9-7A65-46CD-A85D-EAE9FD4E4A3E}" name="(INV -L) - VITEC 7000 (Antiincrustante)" totalsRowFunction="custom" dataDxfId="570" totalsRowDxfId="569">
      <calculatedColumnFormula>L2*(1000/114)</calculatedColumnFormula>
      <totalsRowFormula>L99*(1000/114)</totalsRowFormula>
    </tableColumn>
    <tableColumn id="16" xr3:uid="{669C88A5-5B67-4E1A-848D-B906D749A1F4}" name="(INV -L) - Hidróxido de Sodio (NaOH)" totalsRowFunction="custom" dataDxfId="568" totalsRowDxfId="567">
      <calculatedColumnFormula>M2*(1000/114)</calculatedColumnFormula>
      <totalsRowFormula>M99*(1000/114)</totalsRowFormula>
    </tableColumn>
    <tableColumn id="17" xr3:uid="{9644B846-08DF-40FB-BA21-D462B2539F82}" name="(INV -L) Bisulfito de sodio " totalsRowFunction="custom" dataDxfId="566" totalsRowDxfId="565">
      <calculatedColumnFormula>N2*(1000/114)</calculatedColumnFormula>
      <totalsRowFormula>N99*(1000/114)</totalsRowFormula>
    </tableColumn>
    <tableColumn id="18" xr3:uid="{53BA0641-3357-40F8-A768-B0970273D359}" name="CONSUMO (L) HCL (10%)2" dataDxfId="564" totalsRowDxfId="563">
      <calculatedColumnFormula>O2-O3</calculatedColumnFormula>
    </tableColumn>
    <tableColumn id="19" xr3:uid="{2741AB60-1BD3-4EB2-97E3-C0905064841C}" name="CONSUMO (L) KURIVERTER IK-220 (Biocida)" dataDxfId="562" totalsRowDxfId="561">
      <calculatedColumnFormula>P2-P3</calculatedColumnFormula>
    </tableColumn>
    <tableColumn id="20" xr3:uid="{9E39C560-B3C5-42C5-A83B-32163ABBC3C2}" name="CONSUMO (L) VITEC 7000 (Antiincrustante)" dataDxfId="560" totalsRowDxfId="559">
      <calculatedColumnFormula>Q2-Q3</calculatedColumnFormula>
    </tableColumn>
    <tableColumn id="21" xr3:uid="{F636A971-349F-44EC-AA4A-D65B46EA4509}" name="CONSUMO (L) Hidróxido de Sodio (NaOH)" dataDxfId="558" totalsRowDxfId="557">
      <calculatedColumnFormula>R2-R3</calculatedColumnFormula>
    </tableColumn>
    <tableColumn id="22" xr3:uid="{7781554F-7B54-4EA7-9016-7A7B8EB508E9}" name="CONSUMO (L) Bisulfito de sodio" dataDxfId="556" totalsRowDxfId="555">
      <calculatedColumnFormula>S2-S3</calculatedColumnFormula>
    </tableColumn>
    <tableColumn id="23" xr3:uid="{F13E2BB3-287E-4571-8E69-9289518AA148}" name="DENSIDAD HCL (10%)" dataDxfId="554" totalsRowDxfId="553"/>
    <tableColumn id="24" xr3:uid="{48AD8845-7C14-4043-8230-B0183351ED07}" name="DENSIDAD KURIVERTER IK-220 (Biocida)" dataDxfId="552" totalsRowDxfId="551"/>
    <tableColumn id="25" xr3:uid="{CF20E6D5-D7BC-4306-8839-F79454AD170E}" name="DENSIDAD VITEC 7000 (Antiincrustante)" dataDxfId="550" totalsRowDxfId="549"/>
    <tableColumn id="26" xr3:uid="{98855FE0-4207-41E8-ADD5-911DF75A035E}" name="DENSIDAD Hidróxido de Sodio (NaOH)" dataDxfId="548" totalsRowDxfId="547"/>
    <tableColumn id="27" xr3:uid="{46CA938B-A3A3-4599-9D37-141EFFA96426}" name="DENSIDAD Bisulfito de sodio " dataDxfId="546" totalsRowDxfId="545"/>
    <tableColumn id="28" xr3:uid="{BB957096-4718-4076-8B2F-A9CEE034434C}" name="CONSUMO (Kg) HCL (10%)22" dataDxfId="544" totalsRowDxfId="543">
      <calculatedColumnFormula>T2*Y2</calculatedColumnFormula>
    </tableColumn>
    <tableColumn id="29" xr3:uid="{52C49479-4664-4FBE-98D2-F00B1BF76CEF}" name="CONSUMO (Kg) KURIVERTER IK-220 (Biocida)" dataDxfId="542" totalsRowDxfId="541">
      <calculatedColumnFormula>U2*Z2</calculatedColumnFormula>
    </tableColumn>
    <tableColumn id="30" xr3:uid="{6B19FE49-AB7C-43BE-9391-EA71817E3452}" name="CONSUMO (Kg) VITEC 7000 (Antiincrustante)" dataDxfId="540" totalsRowDxfId="539">
      <calculatedColumnFormula>V2*AA2</calculatedColumnFormula>
    </tableColumn>
    <tableColumn id="31" xr3:uid="{734CA6A9-E5CE-4779-AA1F-8FA5FC6C53BA}" name="CONSUMO (Kg) Hidróxido de Sodio (NaOH)" dataDxfId="538" totalsRowDxfId="537">
      <calculatedColumnFormula>W2*AB2</calculatedColumnFormula>
    </tableColumn>
    <tableColumn id="32" xr3:uid="{5D0EA3E3-830A-4420-B486-CA1E94B17A6C}" name="CONSUMO (Kg) Bisulfito de sodio6" dataDxfId="536" totalsRowDxfId="535">
      <calculatedColumnFormula>X2*AC2</calculatedColumnFormula>
    </tableColumn>
    <tableColumn id="33" xr3:uid="{E83D2B0F-D3A9-4DD1-9B93-643DDFF1148A}" name="VOLUMEN ENVIADO A RO (m3)" dataDxfId="534" totalsRowDxfId="533">
      <calculatedColumnFormula>#REF!-#REF!</calculatedColumnFormula>
    </tableColumn>
    <tableColumn id="36" xr3:uid="{05276D4B-845D-40F6-BAA9-617D98D8BD04}" name="PPM HCL (10%)" dataDxfId="532" totalsRowDxfId="531">
      <calculatedColumnFormula>(AD2*1000)/$AI2</calculatedColumnFormula>
    </tableColumn>
    <tableColumn id="37" xr3:uid="{75B2E292-4009-4477-A946-4D4298E6F844}" name="PPM  KURIVERTER IK-220 (Biocida)" dataDxfId="530" totalsRowDxfId="529">
      <calculatedColumnFormula>(AE2*1000)/$AI2</calculatedColumnFormula>
    </tableColumn>
    <tableColumn id="38" xr3:uid="{06E157F8-1F10-4C7E-9FC5-774A2972ADFD}" name="PPM  VITEC 7000 (Antiincrustante)" dataDxfId="528" totalsRowDxfId="527">
      <calculatedColumnFormula>(AF2*1000)/$AI2</calculatedColumnFormula>
    </tableColumn>
    <tableColumn id="39" xr3:uid="{8685D8D8-27CE-4650-9824-906C8595A541}" name="PPM  Hidróxido de Sodio (NaOH)" dataDxfId="526" totalsRowDxfId="525">
      <calculatedColumnFormula>(AG2*1000)/$AI2</calculatedColumnFormula>
    </tableColumn>
    <tableColumn id="40" xr3:uid="{D50B03E8-53AC-44DD-9B94-4A31095A3539}" name="PPM Bisulfito de sodio " dataDxfId="524" totalsRowDxfId="523">
      <calculatedColumnFormula>(AH2*1000)/$AI2</calculatedColumnFormula>
    </tableColumn>
    <tableColumn id="41" xr3:uid="{8ACA5EC2-DCCB-42D8-B7AA-9AD08580F95E}" name="PRECIO HCL (10%)" dataDxfId="522" totalsRowDxfId="521" dataCellStyle="Moneda">
      <calculatedColumnFormula>AO1</calculatedColumnFormula>
    </tableColumn>
    <tableColumn id="42" xr3:uid="{8FEBCB0C-D97F-473C-9CBB-5F23546078B2}" name="PRECIO KURIVERTER IK-220 (Biocida)" dataDxfId="520" totalsRowDxfId="519" dataCellStyle="Moneda">
      <calculatedColumnFormula>AP1</calculatedColumnFormula>
    </tableColumn>
    <tableColumn id="43" xr3:uid="{6EF000A7-EA79-49BA-9BF9-404574772CBB}" name="PRECIO VITEC 7000 (Antiincrustante)" dataDxfId="518" totalsRowDxfId="517" dataCellStyle="Moneda">
      <calculatedColumnFormula>AQ1</calculatedColumnFormula>
    </tableColumn>
    <tableColumn id="44" xr3:uid="{03B26517-4C1F-4C23-822C-014E2EA3E60C}" name="PRECIO Hidróxido de Sodio (NaOH)" dataDxfId="516" totalsRowDxfId="515" dataCellStyle="Moneda">
      <calculatedColumnFormula>AR1</calculatedColumnFormula>
    </tableColumn>
    <tableColumn id="45" xr3:uid="{2769F69A-BB42-49A8-82F3-638C6F0A80CA}" name="PRECIO Bisulfito de sodio " dataDxfId="514" totalsRowDxfId="513" dataCellStyle="Moneda">
      <calculatedColumnFormula>AS1</calculatedColumnFormula>
    </tableColumn>
    <tableColumn id="46" xr3:uid="{BAAEDBD9-EF26-4E02-81A9-B1D36D645F1E}" name="COSTO OPERATIVO HCL (10%)" dataDxfId="512" totalsRowDxfId="511" dataCellStyle="Moneda">
      <calculatedColumnFormula>AO2*(AD2*0.8)</calculatedColumnFormula>
    </tableColumn>
    <tableColumn id="47" xr3:uid="{B5977102-7103-4418-A127-AF580B742AE8}" name="COSTO OPERATIVO KURIVERTER IK-220 (Biocida)" dataDxfId="510" totalsRowDxfId="509" dataCellStyle="Moneda">
      <calculatedColumnFormula>AP2*(AE2*0.012)</calculatedColumnFormula>
    </tableColumn>
    <tableColumn id="48" xr3:uid="{9536BE99-8364-49D7-84C0-3FC4CBA7F3A7}" name="COSTO OPERATIVO VITEC 7000 (Antiincrustante)" dataDxfId="508" totalsRowDxfId="507" dataCellStyle="Moneda">
      <calculatedColumnFormula>AQ2*(AF2*0.044)</calculatedColumnFormula>
    </tableColumn>
    <tableColumn id="49" xr3:uid="{7386E060-0060-4586-B378-BFC4068453CB}" name="COSTO OPERATIVO Hidróxido de Sodio (NaOH)" dataDxfId="506" totalsRowDxfId="505" dataCellStyle="Moneda">
      <calculatedColumnFormula>AR2*AG2</calculatedColumnFormula>
    </tableColumn>
    <tableColumn id="50" xr3:uid="{8A7A5227-ECD0-4C68-977D-4B6AE2E15060}" name="COSTO OPERATIVO Bisulfito de sodio " dataDxfId="504" totalsRowDxfId="503" dataCellStyle="Moneda">
      <calculatedColumnFormula>AS2*(AH2*0.025)</calculatedColumnFormula>
    </tableColumn>
    <tableColumn id="51" xr3:uid="{EB2B1E33-86A6-442A-A8E9-3128FF18FE4D}" name="COSTO QUIMICA " totalsRowFunction="custom" dataDxfId="502" totalsRowDxfId="501" dataCellStyle="Moneda">
      <calculatedColumnFormula>AT2+AU2+AV2+AW2+AX2</calculatedColumnFormula>
      <totalsRowFormula>SUM(AY2:AY85)</totalsRowFormula>
    </tableColumn>
    <tableColumn id="52" xr3:uid="{3F7A5D66-3F1B-4B04-9E57-A68AEC7AB87A}" name="LIMITE INDICADOR M3" dataDxfId="500" totalsRowDxfId="499" dataCellStyle="Moneda"/>
    <tableColumn id="53" xr3:uid="{8E9239AA-01A3-456B-98A2-5FD0E2DF97E7}" name="$m3 ENVIADO A RO (m3)" dataDxfId="498" totalsRowDxfId="497" dataCellStyle="Moneda">
      <calculatedColumnFormula>AY2/AI2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9764B4BE-0BF7-4407-A4AD-DF903FF26D4D}">
    <text>Se alimento a reactores y se requirió bajar ph</text>
  </threadedComment>
  <threadedComment ref="Z9" dT="2024-10-04T17:25:31.29" personId="{EE5C7DE3-FA37-4B1A-A8D2-FF232E6C14FC}" id="{CED1552D-68A5-48E4-98C9-1E8AD082FA7C}">
    <text>Por alimentacion a reactores, ara reducir color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T106"/>
  <sheetViews>
    <sheetView tabSelected="1" zoomScale="85" zoomScaleNormal="85" workbookViewId="0">
      <pane xSplit="5" ySplit="1" topLeftCell="J2" activePane="bottomRight" state="frozen"/>
      <selection pane="topRight" activeCell="F1" sqref="F1"/>
      <selection pane="bottomLeft" activeCell="A2" sqref="A2"/>
      <selection pane="bottomRight" activeCell="O10" sqref="O10"/>
    </sheetView>
  </sheetViews>
  <sheetFormatPr baseColWidth="10" defaultRowHeight="14.3" x14ac:dyDescent="0.25"/>
  <cols>
    <col min="2" max="2" width="11.375" customWidth="1"/>
    <col min="3" max="3" width="12.25" customWidth="1"/>
    <col min="4" max="4" width="12.25" style="70" customWidth="1"/>
    <col min="5" max="5" width="17.125" style="70" customWidth="1"/>
    <col min="6" max="10" width="16.375" style="413" customWidth="1"/>
    <col min="11" max="11" width="19.375" style="69" customWidth="1"/>
    <col min="12" max="13" width="17.375" style="1" customWidth="1"/>
    <col min="14" max="17" width="19.375" customWidth="1"/>
    <col min="18" max="18" width="16.375" customWidth="1"/>
    <col min="19" max="21" width="14.125" customWidth="1"/>
    <col min="22" max="22" width="11.25" customWidth="1"/>
    <col min="23" max="23" width="13" customWidth="1"/>
    <col min="24" max="27" width="14.125" customWidth="1"/>
    <col min="28" max="28" width="15.375" customWidth="1"/>
    <col min="29" max="29" width="21" style="71" customWidth="1"/>
    <col min="30" max="30" width="17.875" style="71" customWidth="1"/>
    <col min="31" max="31" width="18.625" style="71" customWidth="1"/>
    <col min="32" max="32" width="14.875" style="71" customWidth="1"/>
    <col min="33" max="33" width="15.625" style="71" customWidth="1"/>
    <col min="34" max="34" width="22.75" style="71" customWidth="1"/>
    <col min="35" max="35" width="17.875" style="71" customWidth="1"/>
    <col min="36" max="36" width="18.625" style="71" customWidth="1"/>
    <col min="37" max="38" width="16.375" style="71" customWidth="1"/>
    <col min="39" max="44" width="19.375" customWidth="1"/>
    <col min="45" max="46" width="14.625" style="73" customWidth="1"/>
  </cols>
  <sheetData>
    <row r="1" spans="1:46" s="89" customFormat="1" ht="51.65" customHeight="1" thickBot="1" x14ac:dyDescent="0.3">
      <c r="A1" s="75" t="s">
        <v>27</v>
      </c>
      <c r="B1" s="75" t="s">
        <v>79</v>
      </c>
      <c r="C1" s="92" t="s">
        <v>166</v>
      </c>
      <c r="D1" s="76" t="s">
        <v>124</v>
      </c>
      <c r="E1" s="92" t="s">
        <v>167</v>
      </c>
      <c r="F1" s="419" t="s">
        <v>204</v>
      </c>
      <c r="G1" s="420" t="s">
        <v>205</v>
      </c>
      <c r="H1" s="421" t="s">
        <v>206</v>
      </c>
      <c r="I1" s="420" t="s">
        <v>207</v>
      </c>
      <c r="J1" s="420" t="s">
        <v>208</v>
      </c>
      <c r="K1" s="477" t="s">
        <v>168</v>
      </c>
      <c r="L1" s="426" t="s">
        <v>15</v>
      </c>
      <c r="M1" s="476" t="s">
        <v>240</v>
      </c>
      <c r="N1" s="409" t="s">
        <v>41</v>
      </c>
      <c r="O1" s="410" t="s">
        <v>42</v>
      </c>
      <c r="P1" s="410" t="s">
        <v>43</v>
      </c>
      <c r="Q1" s="410" t="s">
        <v>44</v>
      </c>
      <c r="R1" s="410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406" t="s">
        <v>56</v>
      </c>
      <c r="X1" s="79" t="s">
        <v>51</v>
      </c>
      <c r="Y1" s="80" t="s">
        <v>52</v>
      </c>
      <c r="Z1" s="80" t="s">
        <v>58</v>
      </c>
      <c r="AA1" s="80" t="s">
        <v>59</v>
      </c>
      <c r="AB1" s="81" t="s">
        <v>60</v>
      </c>
      <c r="AC1" s="82" t="s">
        <v>50</v>
      </c>
      <c r="AD1" s="83" t="s">
        <v>46</v>
      </c>
      <c r="AE1" s="83" t="s">
        <v>47</v>
      </c>
      <c r="AF1" s="83" t="s">
        <v>48</v>
      </c>
      <c r="AG1" s="83" t="s">
        <v>49</v>
      </c>
      <c r="AH1" s="82" t="s">
        <v>61</v>
      </c>
      <c r="AI1" s="83" t="s">
        <v>62</v>
      </c>
      <c r="AJ1" s="83" t="s">
        <v>63</v>
      </c>
      <c r="AK1" s="83" t="s">
        <v>64</v>
      </c>
      <c r="AL1" s="83" t="s">
        <v>65</v>
      </c>
      <c r="AM1" s="84" t="s">
        <v>66</v>
      </c>
      <c r="AN1" s="85" t="s">
        <v>67</v>
      </c>
      <c r="AO1" s="85" t="s">
        <v>68</v>
      </c>
      <c r="AP1" s="85" t="s">
        <v>69</v>
      </c>
      <c r="AQ1" s="86" t="s">
        <v>70</v>
      </c>
      <c r="AR1" s="87" t="s">
        <v>73</v>
      </c>
      <c r="AS1" s="88" t="s">
        <v>74</v>
      </c>
      <c r="AT1" s="88" t="s">
        <v>71</v>
      </c>
    </row>
    <row r="2" spans="1:46" ht="14.95" thickBot="1" x14ac:dyDescent="0.3">
      <c r="A2" s="213">
        <v>46054</v>
      </c>
      <c r="B2" s="157">
        <f>DAY(Tabla1[[#This Row],[FECHA]])</f>
        <v>1</v>
      </c>
      <c r="C2" s="448" t="s">
        <v>28</v>
      </c>
      <c r="D2" s="449">
        <v>1</v>
      </c>
      <c r="E2" s="449" t="s">
        <v>75</v>
      </c>
      <c r="F2" s="450">
        <v>4360</v>
      </c>
      <c r="G2" s="451">
        <v>6480</v>
      </c>
      <c r="H2" s="451">
        <v>1510</v>
      </c>
      <c r="I2" s="451">
        <v>165</v>
      </c>
      <c r="J2" s="451">
        <v>60</v>
      </c>
      <c r="K2" s="480">
        <v>16839</v>
      </c>
      <c r="L2" s="481">
        <f>+(K3-Tabla1[[#This Row],[Lectura Horometro INICIAL (06:00)]])*Tabla1[[#This Row],[CAUDAL DE TRATAMIENTO]]</f>
        <v>0</v>
      </c>
      <c r="M2" s="482">
        <v>75</v>
      </c>
      <c r="N2" s="442">
        <f t="shared" ref="N2:Q9" si="0">F2-F3</f>
        <v>0</v>
      </c>
      <c r="O2" s="497">
        <f t="shared" si="0"/>
        <v>0</v>
      </c>
      <c r="P2" s="442">
        <f t="shared" si="0"/>
        <v>0</v>
      </c>
      <c r="Q2" s="442">
        <f t="shared" si="0"/>
        <v>0</v>
      </c>
      <c r="R2" s="443">
        <v>0</v>
      </c>
      <c r="S2" s="452">
        <f t="shared" ref="S2:S4" si="1">(N2*$AC$2)</f>
        <v>0</v>
      </c>
      <c r="T2" s="453">
        <f t="shared" ref="T2:T4" si="2">(O2*$AD$2)</f>
        <v>0</v>
      </c>
      <c r="U2" s="453">
        <f t="shared" ref="U2:U4" si="3">(P2*$AE$2)</f>
        <v>0</v>
      </c>
      <c r="V2" s="453">
        <f>Tabla1[[#This Row],[CONSUMO POL ANIONICO (KG)]]</f>
        <v>0</v>
      </c>
      <c r="W2" s="443">
        <f>Tabla1[[#This Row],[CONSUMO POL CATIONICO (KG)]]</f>
        <v>0</v>
      </c>
      <c r="X2" s="452" t="e">
        <f>(S2*1000)/L2</f>
        <v>#DIV/0!</v>
      </c>
      <c r="Y2" s="453" t="e">
        <f>(T2*1000)/L2</f>
        <v>#DIV/0!</v>
      </c>
      <c r="Z2" s="453" t="e">
        <f>(U2*1000)/L2</f>
        <v>#DIV/0!</v>
      </c>
      <c r="AA2" s="453" t="e">
        <f>(V2*1000)/L2</f>
        <v>#DIV/0!</v>
      </c>
      <c r="AB2" s="443" t="e">
        <f>(W2*1000)/L2</f>
        <v>#DIV/0!</v>
      </c>
      <c r="AC2" s="454">
        <v>1.3</v>
      </c>
      <c r="AD2" s="454">
        <v>1.325</v>
      </c>
      <c r="AE2" s="454">
        <v>1.25</v>
      </c>
      <c r="AF2" s="455">
        <v>2500</v>
      </c>
      <c r="AG2" s="456">
        <v>2500</v>
      </c>
      <c r="AH2" s="158">
        <v>830</v>
      </c>
      <c r="AI2" s="158">
        <v>2900</v>
      </c>
      <c r="AJ2" s="158">
        <v>6295</v>
      </c>
      <c r="AK2" s="158">
        <v>19050</v>
      </c>
      <c r="AL2" s="158">
        <v>22050</v>
      </c>
      <c r="AM2" s="457">
        <f t="shared" ref="AM2:AQ4" si="4">S2*AH2</f>
        <v>0</v>
      </c>
      <c r="AN2" s="458">
        <f t="shared" si="4"/>
        <v>0</v>
      </c>
      <c r="AO2" s="458">
        <f t="shared" si="4"/>
        <v>0</v>
      </c>
      <c r="AP2" s="458">
        <f t="shared" si="4"/>
        <v>0</v>
      </c>
      <c r="AQ2" s="459">
        <f t="shared" si="4"/>
        <v>0</v>
      </c>
      <c r="AR2" s="457">
        <f>SUM(Tabla1[[#This Row],[COSTO OPERATIVO ACIDO]:[COSTO OPERATIVO CATIONICO]])</f>
        <v>0</v>
      </c>
      <c r="AS2" s="458">
        <v>5250</v>
      </c>
      <c r="AT2" s="460" t="e">
        <f t="shared" ref="AT2:AT4" si="5">AR2/L2</f>
        <v>#DIV/0!</v>
      </c>
    </row>
    <row r="3" spans="1:46" ht="14.95" thickBot="1" x14ac:dyDescent="0.3">
      <c r="A3" s="461">
        <f>A2</f>
        <v>46054</v>
      </c>
      <c r="B3" s="157">
        <f>DAY(Tabla1[[#This Row],[FECHA]])</f>
        <v>1</v>
      </c>
      <c r="C3" s="462" t="s">
        <v>29</v>
      </c>
      <c r="D3" s="463">
        <v>2</v>
      </c>
      <c r="E3" s="463" t="s">
        <v>77</v>
      </c>
      <c r="F3" s="464">
        <v>4360</v>
      </c>
      <c r="G3" s="465">
        <v>6480</v>
      </c>
      <c r="H3" s="465">
        <v>1510</v>
      </c>
      <c r="I3" s="465">
        <v>165</v>
      </c>
      <c r="J3" s="465">
        <v>60</v>
      </c>
      <c r="K3" s="483">
        <v>16839</v>
      </c>
      <c r="L3" s="478">
        <f>+(K4-Tabla1[[#This Row],[Lectura Horometro INICIAL (06:00)]])*Tabla1[[#This Row],[CAUDAL DE TRATAMIENTO]]</f>
        <v>0</v>
      </c>
      <c r="M3" s="479">
        <v>75</v>
      </c>
      <c r="N3" s="444">
        <f t="shared" si="0"/>
        <v>0</v>
      </c>
      <c r="O3" s="498">
        <f t="shared" si="0"/>
        <v>0</v>
      </c>
      <c r="P3" s="444">
        <f t="shared" si="0"/>
        <v>0</v>
      </c>
      <c r="Q3" s="444">
        <f t="shared" si="0"/>
        <v>0</v>
      </c>
      <c r="R3" s="445">
        <v>0</v>
      </c>
      <c r="S3" s="452">
        <f t="shared" si="1"/>
        <v>0</v>
      </c>
      <c r="T3" s="453">
        <f t="shared" si="2"/>
        <v>0</v>
      </c>
      <c r="U3" s="453">
        <f t="shared" si="3"/>
        <v>0</v>
      </c>
      <c r="V3" s="466">
        <f>Tabla1[[#This Row],[CONSUMO POL ANIONICO (KG)]]</f>
        <v>0</v>
      </c>
      <c r="W3" s="445">
        <f>Tabla1[[#This Row],[CONSUMO POL CATIONICO (KG)]]</f>
        <v>0</v>
      </c>
      <c r="X3" s="467" t="e">
        <f>(S3*1000)/L3</f>
        <v>#DIV/0!</v>
      </c>
      <c r="Y3" s="466" t="e">
        <f>(T3*1000)/L3</f>
        <v>#DIV/0!</v>
      </c>
      <c r="Z3" s="466" t="e">
        <f>(U3*1000)/L3</f>
        <v>#DIV/0!</v>
      </c>
      <c r="AA3" s="466" t="e">
        <f>(V3*1000)/L3</f>
        <v>#DIV/0!</v>
      </c>
      <c r="AB3" s="445" t="e">
        <f>(W3*1000)/L3</f>
        <v>#DIV/0!</v>
      </c>
      <c r="AC3" s="454">
        <v>1.3</v>
      </c>
      <c r="AD3" s="454">
        <v>1.325</v>
      </c>
      <c r="AE3" s="454">
        <v>1.25</v>
      </c>
      <c r="AF3" s="455">
        <v>2500</v>
      </c>
      <c r="AG3" s="456">
        <v>2500</v>
      </c>
      <c r="AH3" s="158">
        <v>830</v>
      </c>
      <c r="AI3" s="158">
        <v>2900</v>
      </c>
      <c r="AJ3" s="158">
        <v>6295</v>
      </c>
      <c r="AK3" s="158">
        <v>19050</v>
      </c>
      <c r="AL3" s="158">
        <v>22050</v>
      </c>
      <c r="AM3" s="468">
        <f t="shared" si="4"/>
        <v>0</v>
      </c>
      <c r="AN3" s="460">
        <f t="shared" si="4"/>
        <v>0</v>
      </c>
      <c r="AO3" s="460">
        <f t="shared" si="4"/>
        <v>0</v>
      </c>
      <c r="AP3" s="460">
        <f t="shared" si="4"/>
        <v>0</v>
      </c>
      <c r="AQ3" s="469">
        <f t="shared" si="4"/>
        <v>0</v>
      </c>
      <c r="AR3" s="468">
        <f>SUM(Tabla1[[#This Row],[COSTO OPERATIVO ACIDO]:[COSTO OPERATIVO CATIONICO]])</f>
        <v>0</v>
      </c>
      <c r="AS3" s="460">
        <v>5250</v>
      </c>
      <c r="AT3" s="460" t="e">
        <f t="shared" si="5"/>
        <v>#DIV/0!</v>
      </c>
    </row>
    <row r="4" spans="1:46" ht="14.95" thickBot="1" x14ac:dyDescent="0.3">
      <c r="A4" s="470">
        <f>A3</f>
        <v>46054</v>
      </c>
      <c r="B4" s="157">
        <f>DAY(Tabla1[[#This Row],[FECHA]])</f>
        <v>1</v>
      </c>
      <c r="C4" s="471" t="s">
        <v>30</v>
      </c>
      <c r="D4" s="472">
        <v>3</v>
      </c>
      <c r="E4" s="472" t="s">
        <v>76</v>
      </c>
      <c r="F4" s="464">
        <v>4360</v>
      </c>
      <c r="G4" s="465">
        <v>6480</v>
      </c>
      <c r="H4" s="465">
        <v>1510</v>
      </c>
      <c r="I4" s="465">
        <v>165</v>
      </c>
      <c r="J4" s="465">
        <v>60</v>
      </c>
      <c r="K4" s="484">
        <v>16839</v>
      </c>
      <c r="L4" s="485">
        <f>+(K5-Tabla1[[#This Row],[Lectura Horometro INICIAL (06:00)]])*Tabla1[[#This Row],[CAUDAL DE TRATAMIENTO]]</f>
        <v>0</v>
      </c>
      <c r="M4" s="486">
        <v>75</v>
      </c>
      <c r="N4" s="446">
        <f t="shared" si="0"/>
        <v>0</v>
      </c>
      <c r="O4" s="499">
        <f t="shared" si="0"/>
        <v>0</v>
      </c>
      <c r="P4" s="446">
        <f t="shared" si="0"/>
        <v>0</v>
      </c>
      <c r="Q4" s="446">
        <f t="shared" si="0"/>
        <v>0</v>
      </c>
      <c r="R4" s="447">
        <v>0</v>
      </c>
      <c r="S4" s="452">
        <f t="shared" si="1"/>
        <v>0</v>
      </c>
      <c r="T4" s="453">
        <f t="shared" si="2"/>
        <v>0</v>
      </c>
      <c r="U4" s="453">
        <f t="shared" si="3"/>
        <v>0</v>
      </c>
      <c r="V4" s="473">
        <f>Tabla1[[#This Row],[CONSUMO POL ANIONICO (KG)]]</f>
        <v>0</v>
      </c>
      <c r="W4" s="447">
        <f>Tabla1[[#This Row],[CONSUMO POL CATIONICO (KG)]]</f>
        <v>0</v>
      </c>
      <c r="X4" s="467" t="e">
        <f>(S4*1000)/L4</f>
        <v>#DIV/0!</v>
      </c>
      <c r="Y4" s="473" t="e">
        <f>(T4*1000)/L4</f>
        <v>#DIV/0!</v>
      </c>
      <c r="Z4" s="473" t="e">
        <f>(U4*1000)/L4</f>
        <v>#DIV/0!</v>
      </c>
      <c r="AA4" s="473" t="e">
        <f>(V4*1000)/L4</f>
        <v>#DIV/0!</v>
      </c>
      <c r="AB4" s="447" t="e">
        <f>(W4*1000)/L4</f>
        <v>#DIV/0!</v>
      </c>
      <c r="AC4" s="454">
        <v>1.3</v>
      </c>
      <c r="AD4" s="454">
        <v>1.325</v>
      </c>
      <c r="AE4" s="454">
        <v>1.25</v>
      </c>
      <c r="AF4" s="455">
        <v>2500</v>
      </c>
      <c r="AG4" s="456">
        <v>2500</v>
      </c>
      <c r="AH4" s="158">
        <v>830</v>
      </c>
      <c r="AI4" s="158">
        <v>2900</v>
      </c>
      <c r="AJ4" s="158">
        <v>6295</v>
      </c>
      <c r="AK4" s="158">
        <v>19050</v>
      </c>
      <c r="AL4" s="158">
        <v>22050</v>
      </c>
      <c r="AM4" s="468">
        <f t="shared" si="4"/>
        <v>0</v>
      </c>
      <c r="AN4" s="474">
        <f t="shared" si="4"/>
        <v>0</v>
      </c>
      <c r="AO4" s="474">
        <f t="shared" si="4"/>
        <v>0</v>
      </c>
      <c r="AP4" s="474">
        <f t="shared" si="4"/>
        <v>0</v>
      </c>
      <c r="AQ4" s="475">
        <f t="shared" si="4"/>
        <v>0</v>
      </c>
      <c r="AR4" s="468">
        <f>SUM(Tabla1[[#This Row],[COSTO OPERATIVO ACIDO]:[COSTO OPERATIVO CATIONICO]])</f>
        <v>0</v>
      </c>
      <c r="AS4" s="474">
        <v>5250</v>
      </c>
      <c r="AT4" s="460" t="e">
        <f t="shared" si="5"/>
        <v>#DIV/0!</v>
      </c>
    </row>
    <row r="5" spans="1:46" ht="14.95" thickBot="1" x14ac:dyDescent="0.3">
      <c r="A5" s="213">
        <v>46055</v>
      </c>
      <c r="B5" s="157">
        <f>DAY(Tabla1[[#This Row],[FECHA]])</f>
        <v>2</v>
      </c>
      <c r="C5" s="448" t="s">
        <v>241</v>
      </c>
      <c r="D5" s="449">
        <v>4</v>
      </c>
      <c r="E5" s="449" t="s">
        <v>75</v>
      </c>
      <c r="F5" s="450">
        <v>4360</v>
      </c>
      <c r="G5" s="451">
        <v>6480</v>
      </c>
      <c r="H5" s="451">
        <v>1510</v>
      </c>
      <c r="I5" s="451">
        <v>165</v>
      </c>
      <c r="J5" s="451">
        <v>60</v>
      </c>
      <c r="K5" s="480">
        <v>16839</v>
      </c>
      <c r="L5" s="481">
        <f>+(K6-Tabla1[[#This Row],[Lectura Horometro INICIAL (06:00)]])*Tabla1[[#This Row],[CAUDAL DE TRATAMIENTO]]</f>
        <v>225</v>
      </c>
      <c r="M5" s="482">
        <v>75</v>
      </c>
      <c r="N5" s="442">
        <f t="shared" si="0"/>
        <v>70</v>
      </c>
      <c r="O5" s="497">
        <f t="shared" si="0"/>
        <v>300</v>
      </c>
      <c r="P5" s="442">
        <f t="shared" si="0"/>
        <v>30</v>
      </c>
      <c r="Q5" s="442">
        <f t="shared" si="0"/>
        <v>0</v>
      </c>
      <c r="R5" s="443">
        <f>J5-J6</f>
        <v>5</v>
      </c>
      <c r="S5" s="452">
        <f t="shared" ref="S5:S68" si="6">(N5*$AC$2)</f>
        <v>91</v>
      </c>
      <c r="T5" s="453">
        <f t="shared" ref="T5:T68" si="7">(O5*$AD$2)</f>
        <v>397.5</v>
      </c>
      <c r="U5" s="453">
        <f t="shared" ref="U5:U68" si="8">(P5*$AE$2)</f>
        <v>37.5</v>
      </c>
      <c r="V5" s="453">
        <f>Tabla1[[#This Row],[CONSUMO POL ANIONICO (KG)]]</f>
        <v>0</v>
      </c>
      <c r="W5" s="443">
        <f>Tabla1[[#This Row],[CONSUMO POL CATIONICO (KG)]]</f>
        <v>5</v>
      </c>
      <c r="X5" s="452">
        <f t="shared" ref="X5:X68" si="9">(S5*1000)/L5</f>
        <v>404.44444444444446</v>
      </c>
      <c r="Y5" s="453">
        <f t="shared" ref="Y5:Y68" si="10">(T5*1000)/L5</f>
        <v>1766.6666666666667</v>
      </c>
      <c r="Z5" s="453">
        <f t="shared" ref="Z5:Z68" si="11">(U5*1000)/L5</f>
        <v>166.66666666666666</v>
      </c>
      <c r="AA5" s="453">
        <f t="shared" ref="AA5:AA68" si="12">(V5*1000)/L5</f>
        <v>0</v>
      </c>
      <c r="AB5" s="443">
        <f t="shared" ref="AB5:AB68" si="13">(W5*1000)/L5</f>
        <v>22.222222222222221</v>
      </c>
      <c r="AC5" s="454">
        <v>1.3</v>
      </c>
      <c r="AD5" s="454">
        <v>1.325</v>
      </c>
      <c r="AE5" s="454">
        <v>1.25</v>
      </c>
      <c r="AF5" s="455">
        <v>2500</v>
      </c>
      <c r="AG5" s="456">
        <v>2500</v>
      </c>
      <c r="AH5" s="158">
        <v>830</v>
      </c>
      <c r="AI5" s="158">
        <v>2900</v>
      </c>
      <c r="AJ5" s="158">
        <v>6295</v>
      </c>
      <c r="AK5" s="158">
        <v>19050</v>
      </c>
      <c r="AL5" s="158">
        <v>22050</v>
      </c>
      <c r="AM5" s="457">
        <f t="shared" ref="AM5:AM68" si="14">S5*AH5</f>
        <v>75530</v>
      </c>
      <c r="AN5" s="458">
        <f t="shared" ref="AN5:AN68" si="15">T5*AI5</f>
        <v>1152750</v>
      </c>
      <c r="AO5" s="458">
        <f t="shared" ref="AO5:AO68" si="16">U5*AJ5</f>
        <v>236062.5</v>
      </c>
      <c r="AP5" s="458">
        <f t="shared" ref="AP5:AP68" si="17">V5*AK5</f>
        <v>0</v>
      </c>
      <c r="AQ5" s="459">
        <f t="shared" ref="AQ5:AQ68" si="18">W5*AL5</f>
        <v>110250</v>
      </c>
      <c r="AR5" s="457">
        <f>SUM(Tabla1[[#This Row],[COSTO OPERATIVO ACIDO]:[COSTO OPERATIVO CATIONICO]])</f>
        <v>1574592.5</v>
      </c>
      <c r="AS5" s="458">
        <v>5250</v>
      </c>
      <c r="AT5" s="460">
        <f t="shared" ref="AT5:AT68" si="19">AR5/L5</f>
        <v>6998.1888888888889</v>
      </c>
    </row>
    <row r="6" spans="1:46" ht="14.95" thickBot="1" x14ac:dyDescent="0.3">
      <c r="A6" s="461">
        <f t="shared" ref="A6:A7" si="20">A5</f>
        <v>46055</v>
      </c>
      <c r="B6" s="157">
        <f>DAY(Tabla1[[#This Row],[FECHA]])</f>
        <v>2</v>
      </c>
      <c r="C6" s="462" t="s">
        <v>242</v>
      </c>
      <c r="D6" s="463">
        <v>5</v>
      </c>
      <c r="E6" s="463" t="s">
        <v>77</v>
      </c>
      <c r="F6" s="464">
        <v>4290</v>
      </c>
      <c r="G6" s="465">
        <v>6180</v>
      </c>
      <c r="H6" s="465">
        <v>1480</v>
      </c>
      <c r="I6" s="465">
        <v>165</v>
      </c>
      <c r="J6" s="465">
        <v>55</v>
      </c>
      <c r="K6" s="483">
        <v>16842</v>
      </c>
      <c r="L6" s="478">
        <f>+(K7-Tabla1[[#This Row],[Lectura Horometro INICIAL (06:00)]])*Tabla1[[#This Row],[CAUDAL DE TRATAMIENTO]]</f>
        <v>300</v>
      </c>
      <c r="M6" s="479">
        <v>75</v>
      </c>
      <c r="N6" s="444">
        <f t="shared" si="0"/>
        <v>340</v>
      </c>
      <c r="O6" s="498">
        <f t="shared" si="0"/>
        <v>340</v>
      </c>
      <c r="P6" s="444">
        <f t="shared" si="0"/>
        <v>100</v>
      </c>
      <c r="Q6" s="444">
        <f t="shared" si="0"/>
        <v>0</v>
      </c>
      <c r="R6" s="445">
        <f>J6-J7</f>
        <v>5</v>
      </c>
      <c r="S6" s="452">
        <f t="shared" si="6"/>
        <v>442</v>
      </c>
      <c r="T6" s="453">
        <f t="shared" si="7"/>
        <v>450.5</v>
      </c>
      <c r="U6" s="453">
        <f t="shared" si="8"/>
        <v>125</v>
      </c>
      <c r="V6" s="466">
        <f>Tabla1[[#This Row],[CONSUMO POL ANIONICO (KG)]]</f>
        <v>0</v>
      </c>
      <c r="W6" s="445">
        <f>Tabla1[[#This Row],[CONSUMO POL CATIONICO (KG)]]</f>
        <v>5</v>
      </c>
      <c r="X6" s="467">
        <f t="shared" si="9"/>
        <v>1473.3333333333333</v>
      </c>
      <c r="Y6" s="466">
        <f t="shared" si="10"/>
        <v>1501.6666666666667</v>
      </c>
      <c r="Z6" s="466">
        <f t="shared" si="11"/>
        <v>416.66666666666669</v>
      </c>
      <c r="AA6" s="466">
        <f t="shared" si="12"/>
        <v>0</v>
      </c>
      <c r="AB6" s="445">
        <f t="shared" si="13"/>
        <v>16.666666666666668</v>
      </c>
      <c r="AC6" s="454">
        <v>1.3</v>
      </c>
      <c r="AD6" s="454">
        <v>1.325</v>
      </c>
      <c r="AE6" s="454">
        <v>1.25</v>
      </c>
      <c r="AF6" s="455">
        <v>2500</v>
      </c>
      <c r="AG6" s="456">
        <v>2500</v>
      </c>
      <c r="AH6" s="158">
        <v>830</v>
      </c>
      <c r="AI6" s="158">
        <v>2900</v>
      </c>
      <c r="AJ6" s="158">
        <v>6295</v>
      </c>
      <c r="AK6" s="158">
        <v>19050</v>
      </c>
      <c r="AL6" s="158">
        <v>22050</v>
      </c>
      <c r="AM6" s="468">
        <f t="shared" si="14"/>
        <v>366860</v>
      </c>
      <c r="AN6" s="460">
        <f t="shared" si="15"/>
        <v>1306450</v>
      </c>
      <c r="AO6" s="460">
        <f t="shared" si="16"/>
        <v>786875</v>
      </c>
      <c r="AP6" s="460">
        <f t="shared" si="17"/>
        <v>0</v>
      </c>
      <c r="AQ6" s="469">
        <f t="shared" si="18"/>
        <v>110250</v>
      </c>
      <c r="AR6" s="468">
        <f>SUM(Tabla1[[#This Row],[COSTO OPERATIVO ACIDO]:[COSTO OPERATIVO CATIONICO]])</f>
        <v>2570435</v>
      </c>
      <c r="AS6" s="460">
        <v>5250</v>
      </c>
      <c r="AT6" s="460">
        <f t="shared" si="19"/>
        <v>8568.1166666666668</v>
      </c>
    </row>
    <row r="7" spans="1:46" ht="14.95" thickBot="1" x14ac:dyDescent="0.3">
      <c r="A7" s="470">
        <f t="shared" si="20"/>
        <v>46055</v>
      </c>
      <c r="B7" s="157">
        <f>DAY(Tabla1[[#This Row],[FECHA]])</f>
        <v>2</v>
      </c>
      <c r="C7" s="471" t="s">
        <v>30</v>
      </c>
      <c r="D7" s="472">
        <v>6</v>
      </c>
      <c r="E7" s="472" t="s">
        <v>76</v>
      </c>
      <c r="F7" s="464">
        <v>3950</v>
      </c>
      <c r="G7" s="465">
        <v>5840</v>
      </c>
      <c r="H7" s="465">
        <v>1380</v>
      </c>
      <c r="I7" s="465">
        <v>165</v>
      </c>
      <c r="J7" s="465">
        <v>50</v>
      </c>
      <c r="K7" s="484">
        <v>16846</v>
      </c>
      <c r="L7" s="485">
        <f>+(K8-Tabla1[[#This Row],[Lectura Horometro INICIAL (06:00)]])*Tabla1[[#This Row],[CAUDAL DE TRATAMIENTO]]</f>
        <v>600</v>
      </c>
      <c r="M7" s="486">
        <v>75</v>
      </c>
      <c r="N7" s="446">
        <f t="shared" si="0"/>
        <v>30</v>
      </c>
      <c r="O7" s="499">
        <f t="shared" si="0"/>
        <v>180</v>
      </c>
      <c r="P7" s="446">
        <f t="shared" si="0"/>
        <v>40</v>
      </c>
      <c r="Q7" s="446">
        <f t="shared" si="0"/>
        <v>2.5</v>
      </c>
      <c r="R7" s="447">
        <f>J7-J8</f>
        <v>5</v>
      </c>
      <c r="S7" s="452">
        <f t="shared" si="6"/>
        <v>39</v>
      </c>
      <c r="T7" s="453">
        <f t="shared" si="7"/>
        <v>238.5</v>
      </c>
      <c r="U7" s="453">
        <f t="shared" si="8"/>
        <v>50</v>
      </c>
      <c r="V7" s="473">
        <f>Tabla1[[#This Row],[CONSUMO POL ANIONICO (KG)]]</f>
        <v>2.5</v>
      </c>
      <c r="W7" s="447">
        <f>Tabla1[[#This Row],[CONSUMO POL CATIONICO (KG)]]</f>
        <v>5</v>
      </c>
      <c r="X7" s="467">
        <f t="shared" si="9"/>
        <v>65</v>
      </c>
      <c r="Y7" s="473">
        <f t="shared" si="10"/>
        <v>397.5</v>
      </c>
      <c r="Z7" s="473">
        <f t="shared" si="11"/>
        <v>83.333333333333329</v>
      </c>
      <c r="AA7" s="473">
        <f t="shared" si="12"/>
        <v>4.166666666666667</v>
      </c>
      <c r="AB7" s="447">
        <f t="shared" si="13"/>
        <v>8.3333333333333339</v>
      </c>
      <c r="AC7" s="454">
        <v>1.3</v>
      </c>
      <c r="AD7" s="454">
        <v>1.325</v>
      </c>
      <c r="AE7" s="454">
        <v>1.25</v>
      </c>
      <c r="AF7" s="455">
        <v>2500</v>
      </c>
      <c r="AG7" s="456">
        <v>2500</v>
      </c>
      <c r="AH7" s="158">
        <v>830</v>
      </c>
      <c r="AI7" s="158">
        <v>2900</v>
      </c>
      <c r="AJ7" s="158">
        <v>6295</v>
      </c>
      <c r="AK7" s="158">
        <v>19050</v>
      </c>
      <c r="AL7" s="158">
        <v>22050</v>
      </c>
      <c r="AM7" s="468">
        <f t="shared" si="14"/>
        <v>32370</v>
      </c>
      <c r="AN7" s="474">
        <f t="shared" si="15"/>
        <v>691650</v>
      </c>
      <c r="AO7" s="474">
        <f t="shared" si="16"/>
        <v>314750</v>
      </c>
      <c r="AP7" s="474">
        <f t="shared" si="17"/>
        <v>47625</v>
      </c>
      <c r="AQ7" s="475">
        <f t="shared" si="18"/>
        <v>110250</v>
      </c>
      <c r="AR7" s="468">
        <f>SUM(Tabla1[[#This Row],[COSTO OPERATIVO ACIDO]:[COSTO OPERATIVO CATIONICO]])</f>
        <v>1196645</v>
      </c>
      <c r="AS7" s="474">
        <v>5250</v>
      </c>
      <c r="AT7" s="460">
        <f>AR7/L7</f>
        <v>1994.4083333333333</v>
      </c>
    </row>
    <row r="8" spans="1:46" ht="14.95" thickBot="1" x14ac:dyDescent="0.3">
      <c r="A8" s="213">
        <v>46056</v>
      </c>
      <c r="B8" s="157">
        <f>DAY(Tabla1[[#This Row],[FECHA]])</f>
        <v>3</v>
      </c>
      <c r="C8" s="448" t="s">
        <v>243</v>
      </c>
      <c r="D8" s="449">
        <v>7</v>
      </c>
      <c r="E8" s="449" t="s">
        <v>75</v>
      </c>
      <c r="F8" s="450">
        <f>+AVERAGE(F7,F9)</f>
        <v>3920</v>
      </c>
      <c r="G8" s="450">
        <f>+AVERAGE(G7,G9)</f>
        <v>5660</v>
      </c>
      <c r="H8" s="450">
        <f>+AVERAGE(H7,H9)</f>
        <v>1340</v>
      </c>
      <c r="I8" s="450">
        <f>+AVERAGE(I7,I9)</f>
        <v>162.5</v>
      </c>
      <c r="J8" s="450">
        <f>+AVERAGE(J7,J9)</f>
        <v>45</v>
      </c>
      <c r="K8" s="480">
        <v>16854</v>
      </c>
      <c r="L8" s="481">
        <f>+(K9-Tabla1[[#This Row],[Lectura Horometro INICIAL (06:00)]])*Tabla1[[#This Row],[CAUDAL DE TRATAMIENTO]]</f>
        <v>600</v>
      </c>
      <c r="M8" s="482">
        <v>75</v>
      </c>
      <c r="N8" s="442">
        <f t="shared" si="0"/>
        <v>30</v>
      </c>
      <c r="O8" s="497">
        <f t="shared" si="0"/>
        <v>180</v>
      </c>
      <c r="P8" s="442">
        <f t="shared" si="0"/>
        <v>40</v>
      </c>
      <c r="Q8" s="442">
        <f t="shared" si="0"/>
        <v>2.5</v>
      </c>
      <c r="R8" s="443">
        <f>J8-J9</f>
        <v>5</v>
      </c>
      <c r="S8" s="452">
        <f t="shared" si="6"/>
        <v>39</v>
      </c>
      <c r="T8" s="453">
        <f t="shared" si="7"/>
        <v>238.5</v>
      </c>
      <c r="U8" s="453">
        <f t="shared" si="8"/>
        <v>50</v>
      </c>
      <c r="V8" s="453">
        <f>Tabla1[[#This Row],[CONSUMO POL ANIONICO (KG)]]</f>
        <v>2.5</v>
      </c>
      <c r="W8" s="443">
        <f>Tabla1[[#This Row],[CONSUMO POL CATIONICO (KG)]]</f>
        <v>5</v>
      </c>
      <c r="X8" s="452">
        <f t="shared" si="9"/>
        <v>65</v>
      </c>
      <c r="Y8" s="453">
        <f t="shared" si="10"/>
        <v>397.5</v>
      </c>
      <c r="Z8" s="453">
        <f t="shared" si="11"/>
        <v>83.333333333333329</v>
      </c>
      <c r="AA8" s="453">
        <f t="shared" si="12"/>
        <v>4.166666666666667</v>
      </c>
      <c r="AB8" s="443">
        <f t="shared" si="13"/>
        <v>8.3333333333333339</v>
      </c>
      <c r="AC8" s="454">
        <v>1.3</v>
      </c>
      <c r="AD8" s="454">
        <v>1.325</v>
      </c>
      <c r="AE8" s="454">
        <v>1.25</v>
      </c>
      <c r="AF8" s="455">
        <v>2500</v>
      </c>
      <c r="AG8" s="456">
        <v>2500</v>
      </c>
      <c r="AH8" s="158">
        <v>830</v>
      </c>
      <c r="AI8" s="158">
        <v>2900</v>
      </c>
      <c r="AJ8" s="158">
        <v>6295</v>
      </c>
      <c r="AK8" s="158">
        <v>19050</v>
      </c>
      <c r="AL8" s="158">
        <v>22050</v>
      </c>
      <c r="AM8" s="457">
        <f t="shared" si="14"/>
        <v>32370</v>
      </c>
      <c r="AN8" s="458">
        <f t="shared" si="15"/>
        <v>691650</v>
      </c>
      <c r="AO8" s="458">
        <f t="shared" si="16"/>
        <v>314750</v>
      </c>
      <c r="AP8" s="458">
        <f t="shared" si="17"/>
        <v>47625</v>
      </c>
      <c r="AQ8" s="459">
        <f t="shared" si="18"/>
        <v>110250</v>
      </c>
      <c r="AR8" s="457">
        <f>SUM(Tabla1[[#This Row],[COSTO OPERATIVO ACIDO]:[COSTO OPERATIVO CATIONICO]])</f>
        <v>1196645</v>
      </c>
      <c r="AS8" s="458">
        <v>5250</v>
      </c>
      <c r="AT8" s="460">
        <f t="shared" si="19"/>
        <v>1994.4083333333333</v>
      </c>
    </row>
    <row r="9" spans="1:46" ht="14.95" thickBot="1" x14ac:dyDescent="0.3">
      <c r="A9" s="461">
        <f t="shared" ref="A9:A10" si="21">A8</f>
        <v>46056</v>
      </c>
      <c r="B9" s="157">
        <f>DAY(Tabla1[[#This Row],[FECHA]])</f>
        <v>3</v>
      </c>
      <c r="C9" s="462" t="s">
        <v>244</v>
      </c>
      <c r="D9" s="463">
        <v>8</v>
      </c>
      <c r="E9" s="463" t="s">
        <v>77</v>
      </c>
      <c r="F9" s="464">
        <v>3890</v>
      </c>
      <c r="G9" s="465">
        <v>5480</v>
      </c>
      <c r="H9" s="465">
        <v>1300</v>
      </c>
      <c r="I9" s="465">
        <v>160</v>
      </c>
      <c r="J9" s="465">
        <v>40</v>
      </c>
      <c r="K9" s="483">
        <v>16862</v>
      </c>
      <c r="L9" s="478">
        <f>+(K10-Tabla1[[#This Row],[Lectura Horometro INICIAL (06:00)]])*Tabla1[[#This Row],[CAUDAL DE TRATAMIENTO]]</f>
        <v>525</v>
      </c>
      <c r="M9" s="479">
        <v>75</v>
      </c>
      <c r="N9" s="444">
        <f t="shared" si="0"/>
        <v>210</v>
      </c>
      <c r="O9" s="498">
        <f t="shared" si="0"/>
        <v>340</v>
      </c>
      <c r="P9" s="444">
        <f t="shared" si="0"/>
        <v>120</v>
      </c>
      <c r="Q9" s="444">
        <f t="shared" si="0"/>
        <v>5</v>
      </c>
      <c r="R9" s="445">
        <f>J9-J10</f>
        <v>5</v>
      </c>
      <c r="S9" s="452">
        <f t="shared" si="6"/>
        <v>273</v>
      </c>
      <c r="T9" s="453">
        <f t="shared" si="7"/>
        <v>450.5</v>
      </c>
      <c r="U9" s="453">
        <f t="shared" si="8"/>
        <v>150</v>
      </c>
      <c r="V9" s="466">
        <f>Tabla1[[#This Row],[CONSUMO POL ANIONICO (KG)]]</f>
        <v>5</v>
      </c>
      <c r="W9" s="445">
        <f>Tabla1[[#This Row],[CONSUMO POL CATIONICO (KG)]]</f>
        <v>5</v>
      </c>
      <c r="X9" s="467">
        <f t="shared" si="9"/>
        <v>520</v>
      </c>
      <c r="Y9" s="466">
        <f t="shared" si="10"/>
        <v>858.09523809523807</v>
      </c>
      <c r="Z9" s="466">
        <f t="shared" si="11"/>
        <v>285.71428571428572</v>
      </c>
      <c r="AA9" s="466">
        <f t="shared" si="12"/>
        <v>9.5238095238095237</v>
      </c>
      <c r="AB9" s="445">
        <f t="shared" si="13"/>
        <v>9.5238095238095237</v>
      </c>
      <c r="AC9" s="454">
        <v>1.3</v>
      </c>
      <c r="AD9" s="454">
        <v>1.325</v>
      </c>
      <c r="AE9" s="454">
        <v>1.25</v>
      </c>
      <c r="AF9" s="455">
        <v>2500</v>
      </c>
      <c r="AG9" s="456">
        <v>2500</v>
      </c>
      <c r="AH9" s="158">
        <v>830</v>
      </c>
      <c r="AI9" s="158">
        <v>2900</v>
      </c>
      <c r="AJ9" s="158">
        <v>6295</v>
      </c>
      <c r="AK9" s="158">
        <v>19050</v>
      </c>
      <c r="AL9" s="158">
        <v>22050</v>
      </c>
      <c r="AM9" s="468">
        <f t="shared" si="14"/>
        <v>226590</v>
      </c>
      <c r="AN9" s="460">
        <f t="shared" si="15"/>
        <v>1306450</v>
      </c>
      <c r="AO9" s="460">
        <f t="shared" si="16"/>
        <v>944250</v>
      </c>
      <c r="AP9" s="460">
        <f t="shared" si="17"/>
        <v>95250</v>
      </c>
      <c r="AQ9" s="469">
        <f t="shared" si="18"/>
        <v>110250</v>
      </c>
      <c r="AR9" s="468">
        <f>SUM(Tabla1[[#This Row],[COSTO OPERATIVO ACIDO]:[COSTO OPERATIVO CATIONICO]])</f>
        <v>2682790</v>
      </c>
      <c r="AS9" s="460">
        <v>5250</v>
      </c>
      <c r="AT9" s="460">
        <f t="shared" si="19"/>
        <v>5110.0761904761903</v>
      </c>
    </row>
    <row r="10" spans="1:46" ht="14.95" thickBot="1" x14ac:dyDescent="0.3">
      <c r="A10" s="470">
        <f t="shared" si="21"/>
        <v>46056</v>
      </c>
      <c r="B10" s="157">
        <f>DAY(Tabla1[[#This Row],[FECHA]])</f>
        <v>3</v>
      </c>
      <c r="C10" s="471" t="s">
        <v>30</v>
      </c>
      <c r="D10" s="472">
        <v>9</v>
      </c>
      <c r="E10" s="472" t="s">
        <v>76</v>
      </c>
      <c r="F10" s="464">
        <v>3680</v>
      </c>
      <c r="G10" s="465">
        <v>5140</v>
      </c>
      <c r="H10" s="465">
        <v>1180</v>
      </c>
      <c r="I10" s="465">
        <v>155</v>
      </c>
      <c r="J10" s="465">
        <v>35</v>
      </c>
      <c r="K10" s="484">
        <v>16869</v>
      </c>
      <c r="L10" s="485">
        <f>+(K11-Tabla1[[#This Row],[Lectura Horometro INICIAL (06:00)]])*Tabla1[[#This Row],[CAUDAL DE TRATAMIENTO]]</f>
        <v>525</v>
      </c>
      <c r="M10" s="486">
        <v>75</v>
      </c>
      <c r="N10" s="446">
        <f t="shared" ref="N10:N41" si="22">F10-F11</f>
        <v>310</v>
      </c>
      <c r="O10" s="499">
        <f t="shared" ref="O10:O41" si="23">G10-G11</f>
        <v>240</v>
      </c>
      <c r="P10" s="446">
        <f t="shared" ref="P10:P41" si="24">H10-H11</f>
        <v>130</v>
      </c>
      <c r="Q10" s="446">
        <v>0</v>
      </c>
      <c r="R10" s="447">
        <v>0</v>
      </c>
      <c r="S10" s="452">
        <f t="shared" si="6"/>
        <v>403</v>
      </c>
      <c r="T10" s="453">
        <f t="shared" si="7"/>
        <v>318</v>
      </c>
      <c r="U10" s="453">
        <f t="shared" si="8"/>
        <v>162.5</v>
      </c>
      <c r="V10" s="473">
        <f>Tabla1[[#This Row],[CONSUMO POL ANIONICO (KG)]]</f>
        <v>0</v>
      </c>
      <c r="W10" s="447">
        <f>Tabla1[[#This Row],[CONSUMO POL CATIONICO (KG)]]</f>
        <v>0</v>
      </c>
      <c r="X10" s="467">
        <f t="shared" si="9"/>
        <v>767.61904761904759</v>
      </c>
      <c r="Y10" s="473">
        <f t="shared" si="10"/>
        <v>605.71428571428567</v>
      </c>
      <c r="Z10" s="473">
        <f t="shared" si="11"/>
        <v>309.52380952380952</v>
      </c>
      <c r="AA10" s="473">
        <f t="shared" si="12"/>
        <v>0</v>
      </c>
      <c r="AB10" s="447">
        <f t="shared" si="13"/>
        <v>0</v>
      </c>
      <c r="AC10" s="454">
        <v>1.3</v>
      </c>
      <c r="AD10" s="454">
        <v>1.325</v>
      </c>
      <c r="AE10" s="454">
        <v>1.25</v>
      </c>
      <c r="AF10" s="455">
        <v>2500</v>
      </c>
      <c r="AG10" s="456">
        <v>2500</v>
      </c>
      <c r="AH10" s="158">
        <v>830</v>
      </c>
      <c r="AI10" s="158">
        <v>2900</v>
      </c>
      <c r="AJ10" s="158">
        <v>6295</v>
      </c>
      <c r="AK10" s="158">
        <v>19050</v>
      </c>
      <c r="AL10" s="158">
        <v>22050</v>
      </c>
      <c r="AM10" s="468">
        <f t="shared" si="14"/>
        <v>334490</v>
      </c>
      <c r="AN10" s="474">
        <f t="shared" si="15"/>
        <v>922200</v>
      </c>
      <c r="AO10" s="474">
        <f t="shared" si="16"/>
        <v>1022937.5</v>
      </c>
      <c r="AP10" s="474">
        <f t="shared" si="17"/>
        <v>0</v>
      </c>
      <c r="AQ10" s="475">
        <f t="shared" si="18"/>
        <v>0</v>
      </c>
      <c r="AR10" s="468">
        <f>SUM(Tabla1[[#This Row],[COSTO OPERATIVO ACIDO]:[COSTO OPERATIVO CATIONICO]])</f>
        <v>2279627.5</v>
      </c>
      <c r="AS10" s="474">
        <v>5250</v>
      </c>
      <c r="AT10" s="460">
        <f t="shared" si="19"/>
        <v>4342.1476190476187</v>
      </c>
    </row>
    <row r="11" spans="1:46" ht="14.95" thickBot="1" x14ac:dyDescent="0.3">
      <c r="A11" s="213">
        <v>46057</v>
      </c>
      <c r="B11" s="157">
        <f>DAY(Tabla1[[#This Row],[FECHA]])</f>
        <v>4</v>
      </c>
      <c r="C11" s="448" t="s">
        <v>245</v>
      </c>
      <c r="D11" s="449">
        <v>10</v>
      </c>
      <c r="E11" s="449" t="s">
        <v>75</v>
      </c>
      <c r="F11" s="450">
        <v>3370</v>
      </c>
      <c r="G11" s="451">
        <v>4900</v>
      </c>
      <c r="H11" s="451">
        <v>1050</v>
      </c>
      <c r="I11" s="451">
        <v>155</v>
      </c>
      <c r="J11" s="451">
        <v>30</v>
      </c>
      <c r="K11" s="480">
        <v>16876</v>
      </c>
      <c r="L11" s="481">
        <f>+(K12-Tabla1[[#This Row],[Lectura Horometro INICIAL (06:00)]])*Tabla1[[#This Row],[CAUDAL DE TRATAMIENTO]]</f>
        <v>525</v>
      </c>
      <c r="M11" s="482">
        <v>75</v>
      </c>
      <c r="N11" s="442">
        <f t="shared" si="22"/>
        <v>280</v>
      </c>
      <c r="O11" s="497">
        <f t="shared" si="23"/>
        <v>210</v>
      </c>
      <c r="P11" s="442">
        <f t="shared" si="24"/>
        <v>110</v>
      </c>
      <c r="Q11" s="442">
        <v>0</v>
      </c>
      <c r="R11" s="443">
        <v>0</v>
      </c>
      <c r="S11" s="452">
        <f t="shared" si="6"/>
        <v>364</v>
      </c>
      <c r="T11" s="453">
        <f t="shared" si="7"/>
        <v>278.25</v>
      </c>
      <c r="U11" s="453">
        <f t="shared" si="8"/>
        <v>137.5</v>
      </c>
      <c r="V11" s="453">
        <f>Tabla1[[#This Row],[CONSUMO POL ANIONICO (KG)]]</f>
        <v>0</v>
      </c>
      <c r="W11" s="443">
        <f>Tabla1[[#This Row],[CONSUMO POL CATIONICO (KG)]]</f>
        <v>0</v>
      </c>
      <c r="X11" s="452">
        <f t="shared" si="9"/>
        <v>693.33333333333337</v>
      </c>
      <c r="Y11" s="453">
        <f t="shared" si="10"/>
        <v>530</v>
      </c>
      <c r="Z11" s="453">
        <f t="shared" si="11"/>
        <v>261.90476190476193</v>
      </c>
      <c r="AA11" s="453">
        <f t="shared" si="12"/>
        <v>0</v>
      </c>
      <c r="AB11" s="443">
        <f t="shared" si="13"/>
        <v>0</v>
      </c>
      <c r="AC11" s="454">
        <v>1.3</v>
      </c>
      <c r="AD11" s="454">
        <v>1.325</v>
      </c>
      <c r="AE11" s="454">
        <v>1.25</v>
      </c>
      <c r="AF11" s="455">
        <v>2500</v>
      </c>
      <c r="AG11" s="456">
        <v>2500</v>
      </c>
      <c r="AH11" s="158">
        <v>830</v>
      </c>
      <c r="AI11" s="158">
        <v>2900</v>
      </c>
      <c r="AJ11" s="158">
        <v>6295</v>
      </c>
      <c r="AK11" s="158">
        <v>19050</v>
      </c>
      <c r="AL11" s="158">
        <v>22050</v>
      </c>
      <c r="AM11" s="457">
        <f t="shared" si="14"/>
        <v>302120</v>
      </c>
      <c r="AN11" s="458">
        <f t="shared" si="15"/>
        <v>806925</v>
      </c>
      <c r="AO11" s="458">
        <f t="shared" si="16"/>
        <v>865562.5</v>
      </c>
      <c r="AP11" s="458">
        <f t="shared" si="17"/>
        <v>0</v>
      </c>
      <c r="AQ11" s="459">
        <f t="shared" si="18"/>
        <v>0</v>
      </c>
      <c r="AR11" s="457">
        <f>SUM(Tabla1[[#This Row],[COSTO OPERATIVO ACIDO]:[COSTO OPERATIVO CATIONICO]])</f>
        <v>1974607.5</v>
      </c>
      <c r="AS11" s="458">
        <v>5250</v>
      </c>
      <c r="AT11" s="460">
        <f t="shared" si="19"/>
        <v>3761.1571428571428</v>
      </c>
    </row>
    <row r="12" spans="1:46" ht="14.95" thickBot="1" x14ac:dyDescent="0.3">
      <c r="A12" s="461">
        <f t="shared" ref="A12:A13" si="25">A11</f>
        <v>46057</v>
      </c>
      <c r="B12" s="157">
        <f>DAY(Tabla1[[#This Row],[FECHA]])</f>
        <v>4</v>
      </c>
      <c r="C12" s="462" t="s">
        <v>246</v>
      </c>
      <c r="D12" s="463">
        <v>11</v>
      </c>
      <c r="E12" s="463" t="s">
        <v>77</v>
      </c>
      <c r="F12" s="464">
        <v>3090</v>
      </c>
      <c r="G12" s="465">
        <v>4690</v>
      </c>
      <c r="H12" s="465">
        <v>940</v>
      </c>
      <c r="I12" s="465">
        <v>150</v>
      </c>
      <c r="J12" s="465">
        <v>25</v>
      </c>
      <c r="K12" s="483">
        <v>16883</v>
      </c>
      <c r="L12" s="478">
        <f>+(K13-Tabla1[[#This Row],[Lectura Horometro INICIAL (06:00)]])*Tabla1[[#This Row],[CAUDAL DE TRATAMIENTO]]</f>
        <v>525</v>
      </c>
      <c r="M12" s="479">
        <v>75</v>
      </c>
      <c r="N12" s="444">
        <f t="shared" si="22"/>
        <v>280</v>
      </c>
      <c r="O12" s="498">
        <f t="shared" si="23"/>
        <v>280</v>
      </c>
      <c r="P12" s="444">
        <f t="shared" si="24"/>
        <v>40</v>
      </c>
      <c r="Q12" s="444">
        <v>0</v>
      </c>
      <c r="R12" s="445">
        <v>0</v>
      </c>
      <c r="S12" s="452">
        <f t="shared" si="6"/>
        <v>364</v>
      </c>
      <c r="T12" s="453">
        <f t="shared" si="7"/>
        <v>371</v>
      </c>
      <c r="U12" s="453">
        <f t="shared" si="8"/>
        <v>50</v>
      </c>
      <c r="V12" s="466">
        <f>Tabla1[[#This Row],[CONSUMO POL ANIONICO (KG)]]</f>
        <v>0</v>
      </c>
      <c r="W12" s="445">
        <f>Tabla1[[#This Row],[CONSUMO POL CATIONICO (KG)]]</f>
        <v>0</v>
      </c>
      <c r="X12" s="467">
        <f t="shared" si="9"/>
        <v>693.33333333333337</v>
      </c>
      <c r="Y12" s="466">
        <f t="shared" si="10"/>
        <v>706.66666666666663</v>
      </c>
      <c r="Z12" s="466">
        <f t="shared" si="11"/>
        <v>95.238095238095241</v>
      </c>
      <c r="AA12" s="466">
        <f t="shared" si="12"/>
        <v>0</v>
      </c>
      <c r="AB12" s="445">
        <f t="shared" si="13"/>
        <v>0</v>
      </c>
      <c r="AC12" s="454">
        <v>1.3</v>
      </c>
      <c r="AD12" s="454">
        <v>1.325</v>
      </c>
      <c r="AE12" s="454">
        <v>1.25</v>
      </c>
      <c r="AF12" s="455">
        <v>2500</v>
      </c>
      <c r="AG12" s="456">
        <v>2500</v>
      </c>
      <c r="AH12" s="158">
        <v>830</v>
      </c>
      <c r="AI12" s="158">
        <v>2900</v>
      </c>
      <c r="AJ12" s="158">
        <v>6295</v>
      </c>
      <c r="AK12" s="158">
        <v>19050</v>
      </c>
      <c r="AL12" s="158">
        <v>22050</v>
      </c>
      <c r="AM12" s="468">
        <f t="shared" si="14"/>
        <v>302120</v>
      </c>
      <c r="AN12" s="460">
        <f t="shared" si="15"/>
        <v>1075900</v>
      </c>
      <c r="AO12" s="460">
        <f t="shared" si="16"/>
        <v>314750</v>
      </c>
      <c r="AP12" s="460">
        <f t="shared" si="17"/>
        <v>0</v>
      </c>
      <c r="AQ12" s="469">
        <f t="shared" si="18"/>
        <v>0</v>
      </c>
      <c r="AR12" s="468">
        <f>SUM(Tabla1[[#This Row],[COSTO OPERATIVO ACIDO]:[COSTO OPERATIVO CATIONICO]])</f>
        <v>1692770</v>
      </c>
      <c r="AS12" s="460">
        <v>5250</v>
      </c>
      <c r="AT12" s="460">
        <f t="shared" si="19"/>
        <v>3224.3238095238094</v>
      </c>
    </row>
    <row r="13" spans="1:46" ht="14.95" thickBot="1" x14ac:dyDescent="0.3">
      <c r="A13" s="470">
        <f t="shared" si="25"/>
        <v>46057</v>
      </c>
      <c r="B13" s="157">
        <f>DAY(Tabla1[[#This Row],[FECHA]])</f>
        <v>4</v>
      </c>
      <c r="C13" s="471" t="s">
        <v>30</v>
      </c>
      <c r="D13" s="472">
        <v>12</v>
      </c>
      <c r="E13" s="472" t="s">
        <v>76</v>
      </c>
      <c r="F13" s="464">
        <v>2810</v>
      </c>
      <c r="G13" s="465">
        <v>4410</v>
      </c>
      <c r="H13" s="465">
        <v>900</v>
      </c>
      <c r="I13" s="465">
        <v>150</v>
      </c>
      <c r="J13" s="465">
        <v>65</v>
      </c>
      <c r="K13" s="484">
        <v>16890</v>
      </c>
      <c r="L13" s="485">
        <f>+(K14-Tabla1[[#This Row],[Lectura Horometro INICIAL (06:00)]])*Tabla1[[#This Row],[CAUDAL DE TRATAMIENTO]]</f>
        <v>525</v>
      </c>
      <c r="M13" s="486">
        <v>75</v>
      </c>
      <c r="N13" s="446">
        <f t="shared" si="22"/>
        <v>310</v>
      </c>
      <c r="O13" s="499">
        <f t="shared" si="23"/>
        <v>290</v>
      </c>
      <c r="P13" s="446">
        <f t="shared" si="24"/>
        <v>100</v>
      </c>
      <c r="Q13" s="446">
        <v>0</v>
      </c>
      <c r="R13" s="447">
        <v>0</v>
      </c>
      <c r="S13" s="452">
        <f t="shared" si="6"/>
        <v>403</v>
      </c>
      <c r="T13" s="453">
        <f t="shared" si="7"/>
        <v>384.25</v>
      </c>
      <c r="U13" s="453">
        <f t="shared" si="8"/>
        <v>125</v>
      </c>
      <c r="V13" s="473">
        <f>Tabla1[[#This Row],[CONSUMO POL ANIONICO (KG)]]</f>
        <v>0</v>
      </c>
      <c r="W13" s="447">
        <f>Tabla1[[#This Row],[CONSUMO POL CATIONICO (KG)]]</f>
        <v>0</v>
      </c>
      <c r="X13" s="467">
        <f t="shared" si="9"/>
        <v>767.61904761904759</v>
      </c>
      <c r="Y13" s="473">
        <f t="shared" si="10"/>
        <v>731.90476190476193</v>
      </c>
      <c r="Z13" s="473">
        <f t="shared" si="11"/>
        <v>238.0952380952381</v>
      </c>
      <c r="AA13" s="473">
        <f t="shared" si="12"/>
        <v>0</v>
      </c>
      <c r="AB13" s="447">
        <f t="shared" si="13"/>
        <v>0</v>
      </c>
      <c r="AC13" s="454">
        <v>1.3</v>
      </c>
      <c r="AD13" s="454">
        <v>1.325</v>
      </c>
      <c r="AE13" s="454">
        <v>1.25</v>
      </c>
      <c r="AF13" s="455">
        <v>2500</v>
      </c>
      <c r="AG13" s="456">
        <v>2500</v>
      </c>
      <c r="AH13" s="158">
        <v>830</v>
      </c>
      <c r="AI13" s="158">
        <v>2900</v>
      </c>
      <c r="AJ13" s="158">
        <v>6295</v>
      </c>
      <c r="AK13" s="158">
        <v>19050</v>
      </c>
      <c r="AL13" s="158">
        <v>22050</v>
      </c>
      <c r="AM13" s="468">
        <f t="shared" si="14"/>
        <v>334490</v>
      </c>
      <c r="AN13" s="474">
        <f t="shared" si="15"/>
        <v>1114325</v>
      </c>
      <c r="AO13" s="474">
        <f t="shared" si="16"/>
        <v>786875</v>
      </c>
      <c r="AP13" s="474">
        <f t="shared" si="17"/>
        <v>0</v>
      </c>
      <c r="AQ13" s="475">
        <f t="shared" si="18"/>
        <v>0</v>
      </c>
      <c r="AR13" s="468">
        <f>SUM(Tabla1[[#This Row],[COSTO OPERATIVO ACIDO]:[COSTO OPERATIVO CATIONICO]])</f>
        <v>2235690</v>
      </c>
      <c r="AS13" s="474">
        <v>5250</v>
      </c>
      <c r="AT13" s="460">
        <f t="shared" si="19"/>
        <v>4258.4571428571426</v>
      </c>
    </row>
    <row r="14" spans="1:46" ht="14.95" thickBot="1" x14ac:dyDescent="0.3">
      <c r="A14" s="213">
        <v>46058</v>
      </c>
      <c r="B14" s="157">
        <f>DAY(Tabla1[[#This Row],[FECHA]])</f>
        <v>5</v>
      </c>
      <c r="C14" s="448" t="s">
        <v>247</v>
      </c>
      <c r="D14" s="449">
        <v>13</v>
      </c>
      <c r="E14" s="449" t="s">
        <v>75</v>
      </c>
      <c r="F14" s="450">
        <v>2500</v>
      </c>
      <c r="G14" s="451">
        <v>4120</v>
      </c>
      <c r="H14" s="451">
        <v>800</v>
      </c>
      <c r="I14" s="451">
        <v>145</v>
      </c>
      <c r="J14" s="451">
        <v>60</v>
      </c>
      <c r="K14" s="480">
        <v>16897</v>
      </c>
      <c r="L14" s="481">
        <f>+(K15-Tabla1[[#This Row],[Lectura Horometro INICIAL (06:00)]])*Tabla1[[#This Row],[CAUDAL DE TRATAMIENTO]]</f>
        <v>600</v>
      </c>
      <c r="M14" s="482">
        <v>75</v>
      </c>
      <c r="N14" s="442">
        <f t="shared" si="22"/>
        <v>110</v>
      </c>
      <c r="O14" s="497">
        <f t="shared" si="23"/>
        <v>120</v>
      </c>
      <c r="P14" s="442">
        <f t="shared" si="24"/>
        <v>80</v>
      </c>
      <c r="Q14" s="442">
        <v>0</v>
      </c>
      <c r="R14" s="443">
        <v>0</v>
      </c>
      <c r="S14" s="452">
        <f t="shared" si="6"/>
        <v>143</v>
      </c>
      <c r="T14" s="453">
        <f t="shared" si="7"/>
        <v>159</v>
      </c>
      <c r="U14" s="453">
        <f t="shared" si="8"/>
        <v>100</v>
      </c>
      <c r="V14" s="453">
        <f>Tabla1[[#This Row],[CONSUMO POL ANIONICO (KG)]]</f>
        <v>0</v>
      </c>
      <c r="W14" s="443">
        <f>Tabla1[[#This Row],[CONSUMO POL CATIONICO (KG)]]</f>
        <v>0</v>
      </c>
      <c r="X14" s="452">
        <f t="shared" si="9"/>
        <v>238.33333333333334</v>
      </c>
      <c r="Y14" s="453">
        <f t="shared" si="10"/>
        <v>265</v>
      </c>
      <c r="Z14" s="453">
        <f t="shared" si="11"/>
        <v>166.66666666666666</v>
      </c>
      <c r="AA14" s="453">
        <f t="shared" si="12"/>
        <v>0</v>
      </c>
      <c r="AB14" s="443">
        <f t="shared" si="13"/>
        <v>0</v>
      </c>
      <c r="AC14" s="454">
        <v>1.3</v>
      </c>
      <c r="AD14" s="454">
        <v>1.325</v>
      </c>
      <c r="AE14" s="454">
        <v>1.25</v>
      </c>
      <c r="AF14" s="455">
        <v>2500</v>
      </c>
      <c r="AG14" s="456">
        <v>2500</v>
      </c>
      <c r="AH14" s="158">
        <v>830</v>
      </c>
      <c r="AI14" s="158">
        <v>2900</v>
      </c>
      <c r="AJ14" s="158">
        <v>6295</v>
      </c>
      <c r="AK14" s="158">
        <v>19050</v>
      </c>
      <c r="AL14" s="158">
        <v>22050</v>
      </c>
      <c r="AM14" s="457">
        <f t="shared" si="14"/>
        <v>118690</v>
      </c>
      <c r="AN14" s="458">
        <f t="shared" si="15"/>
        <v>461100</v>
      </c>
      <c r="AO14" s="458">
        <f t="shared" si="16"/>
        <v>629500</v>
      </c>
      <c r="AP14" s="458">
        <f t="shared" si="17"/>
        <v>0</v>
      </c>
      <c r="AQ14" s="459">
        <f t="shared" si="18"/>
        <v>0</v>
      </c>
      <c r="AR14" s="457">
        <f>SUM(Tabla1[[#This Row],[COSTO OPERATIVO ACIDO]:[COSTO OPERATIVO CATIONICO]])</f>
        <v>1209290</v>
      </c>
      <c r="AS14" s="458">
        <v>5250</v>
      </c>
      <c r="AT14" s="460">
        <f t="shared" si="19"/>
        <v>2015.4833333333333</v>
      </c>
    </row>
    <row r="15" spans="1:46" ht="14.95" thickBot="1" x14ac:dyDescent="0.3">
      <c r="A15" s="461">
        <f t="shared" ref="A15:A16" si="26">A14</f>
        <v>46058</v>
      </c>
      <c r="B15" s="157">
        <f>DAY(Tabla1[[#This Row],[FECHA]])</f>
        <v>5</v>
      </c>
      <c r="C15" s="462" t="s">
        <v>248</v>
      </c>
      <c r="D15" s="463">
        <v>14</v>
      </c>
      <c r="E15" s="463" t="s">
        <v>77</v>
      </c>
      <c r="F15" s="464">
        <v>2390</v>
      </c>
      <c r="G15" s="465">
        <v>4000</v>
      </c>
      <c r="H15" s="465">
        <v>720</v>
      </c>
      <c r="I15" s="465">
        <v>145</v>
      </c>
      <c r="J15" s="465">
        <v>55</v>
      </c>
      <c r="K15" s="483">
        <v>16905</v>
      </c>
      <c r="L15" s="478">
        <f>+(K16-Tabla1[[#This Row],[Lectura Horometro INICIAL (06:00)]])*Tabla1[[#This Row],[CAUDAL DE TRATAMIENTO]]</f>
        <v>525</v>
      </c>
      <c r="M15" s="479">
        <v>75</v>
      </c>
      <c r="N15" s="444">
        <f t="shared" si="22"/>
        <v>90</v>
      </c>
      <c r="O15" s="498">
        <f t="shared" si="23"/>
        <v>260</v>
      </c>
      <c r="P15" s="444">
        <f t="shared" si="24"/>
        <v>70</v>
      </c>
      <c r="Q15" s="444">
        <f t="shared" ref="Q15:Q46" si="27">I15-I16</f>
        <v>5</v>
      </c>
      <c r="R15" s="445">
        <f t="shared" ref="R15:R46" si="28">J15-J16</f>
        <v>5</v>
      </c>
      <c r="S15" s="452">
        <f t="shared" si="6"/>
        <v>117</v>
      </c>
      <c r="T15" s="453">
        <f t="shared" si="7"/>
        <v>344.5</v>
      </c>
      <c r="U15" s="453">
        <f t="shared" si="8"/>
        <v>87.5</v>
      </c>
      <c r="V15" s="466">
        <f>Tabla1[[#This Row],[CONSUMO POL ANIONICO (KG)]]</f>
        <v>5</v>
      </c>
      <c r="W15" s="445">
        <f>Tabla1[[#This Row],[CONSUMO POL CATIONICO (KG)]]</f>
        <v>5</v>
      </c>
      <c r="X15" s="467">
        <f t="shared" si="9"/>
        <v>222.85714285714286</v>
      </c>
      <c r="Y15" s="466">
        <f t="shared" si="10"/>
        <v>656.19047619047615</v>
      </c>
      <c r="Z15" s="466">
        <f t="shared" si="11"/>
        <v>166.66666666666666</v>
      </c>
      <c r="AA15" s="466">
        <f t="shared" si="12"/>
        <v>9.5238095238095237</v>
      </c>
      <c r="AB15" s="445">
        <f t="shared" si="13"/>
        <v>9.5238095238095237</v>
      </c>
      <c r="AC15" s="454">
        <v>1.3</v>
      </c>
      <c r="AD15" s="454">
        <v>1.325</v>
      </c>
      <c r="AE15" s="454">
        <v>1.25</v>
      </c>
      <c r="AF15" s="455">
        <v>2500</v>
      </c>
      <c r="AG15" s="456">
        <v>2500</v>
      </c>
      <c r="AH15" s="158">
        <v>830</v>
      </c>
      <c r="AI15" s="158">
        <v>2900</v>
      </c>
      <c r="AJ15" s="158">
        <v>6295</v>
      </c>
      <c r="AK15" s="158">
        <v>19050</v>
      </c>
      <c r="AL15" s="158">
        <v>22050</v>
      </c>
      <c r="AM15" s="468">
        <f t="shared" si="14"/>
        <v>97110</v>
      </c>
      <c r="AN15" s="460">
        <f t="shared" si="15"/>
        <v>999050</v>
      </c>
      <c r="AO15" s="460">
        <f t="shared" si="16"/>
        <v>550812.5</v>
      </c>
      <c r="AP15" s="460">
        <f t="shared" si="17"/>
        <v>95250</v>
      </c>
      <c r="AQ15" s="469">
        <f t="shared" si="18"/>
        <v>110250</v>
      </c>
      <c r="AR15" s="468">
        <f>SUM(Tabla1[[#This Row],[COSTO OPERATIVO ACIDO]:[COSTO OPERATIVO CATIONICO]])</f>
        <v>1852472.5</v>
      </c>
      <c r="AS15" s="460">
        <v>5250</v>
      </c>
      <c r="AT15" s="460">
        <f t="shared" si="19"/>
        <v>3528.5190476190478</v>
      </c>
    </row>
    <row r="16" spans="1:46" ht="14.95" thickBot="1" x14ac:dyDescent="0.3">
      <c r="A16" s="470">
        <f t="shared" si="26"/>
        <v>46058</v>
      </c>
      <c r="B16" s="157">
        <f>DAY(Tabla1[[#This Row],[FECHA]])</f>
        <v>5</v>
      </c>
      <c r="C16" s="471" t="s">
        <v>30</v>
      </c>
      <c r="D16" s="472">
        <v>15</v>
      </c>
      <c r="E16" s="472" t="s">
        <v>76</v>
      </c>
      <c r="F16" s="464">
        <v>2300</v>
      </c>
      <c r="G16" s="465">
        <v>3740</v>
      </c>
      <c r="H16" s="465">
        <v>650</v>
      </c>
      <c r="I16" s="465">
        <v>140</v>
      </c>
      <c r="J16" s="465">
        <v>50</v>
      </c>
      <c r="K16" s="484">
        <v>16912</v>
      </c>
      <c r="L16" s="485">
        <f>+(K17-Tabla1[[#This Row],[Lectura Horometro INICIAL (06:00)]])*Tabla1[[#This Row],[CAUDAL DE TRATAMIENTO]]</f>
        <v>375</v>
      </c>
      <c r="M16" s="486">
        <v>75</v>
      </c>
      <c r="N16" s="446">
        <f t="shared" si="22"/>
        <v>100</v>
      </c>
      <c r="O16" s="499">
        <f t="shared" si="23"/>
        <v>150</v>
      </c>
      <c r="P16" s="446">
        <f t="shared" si="24"/>
        <v>50</v>
      </c>
      <c r="Q16" s="446">
        <f t="shared" si="27"/>
        <v>5</v>
      </c>
      <c r="R16" s="447">
        <f t="shared" si="28"/>
        <v>5</v>
      </c>
      <c r="S16" s="452">
        <f t="shared" si="6"/>
        <v>130</v>
      </c>
      <c r="T16" s="453">
        <f t="shared" si="7"/>
        <v>198.75</v>
      </c>
      <c r="U16" s="453">
        <f t="shared" si="8"/>
        <v>62.5</v>
      </c>
      <c r="V16" s="473">
        <f>Tabla1[[#This Row],[CONSUMO POL ANIONICO (KG)]]</f>
        <v>5</v>
      </c>
      <c r="W16" s="447">
        <f>Tabla1[[#This Row],[CONSUMO POL CATIONICO (KG)]]</f>
        <v>5</v>
      </c>
      <c r="X16" s="467">
        <f t="shared" si="9"/>
        <v>346.66666666666669</v>
      </c>
      <c r="Y16" s="473">
        <f t="shared" si="10"/>
        <v>530</v>
      </c>
      <c r="Z16" s="473">
        <f t="shared" si="11"/>
        <v>166.66666666666666</v>
      </c>
      <c r="AA16" s="473">
        <f t="shared" si="12"/>
        <v>13.333333333333334</v>
      </c>
      <c r="AB16" s="447">
        <f t="shared" si="13"/>
        <v>13.333333333333334</v>
      </c>
      <c r="AC16" s="454">
        <v>1.3</v>
      </c>
      <c r="AD16" s="454">
        <v>1.325</v>
      </c>
      <c r="AE16" s="454">
        <v>1.25</v>
      </c>
      <c r="AF16" s="455">
        <v>2500</v>
      </c>
      <c r="AG16" s="456">
        <v>2500</v>
      </c>
      <c r="AH16" s="158">
        <v>830</v>
      </c>
      <c r="AI16" s="158">
        <v>2900</v>
      </c>
      <c r="AJ16" s="158">
        <v>6295</v>
      </c>
      <c r="AK16" s="158">
        <v>19050</v>
      </c>
      <c r="AL16" s="158">
        <v>22050</v>
      </c>
      <c r="AM16" s="468">
        <f t="shared" si="14"/>
        <v>107900</v>
      </c>
      <c r="AN16" s="474">
        <f t="shared" si="15"/>
        <v>576375</v>
      </c>
      <c r="AO16" s="474">
        <f t="shared" si="16"/>
        <v>393437.5</v>
      </c>
      <c r="AP16" s="474">
        <f t="shared" si="17"/>
        <v>95250</v>
      </c>
      <c r="AQ16" s="475">
        <f t="shared" si="18"/>
        <v>110250</v>
      </c>
      <c r="AR16" s="468">
        <f>SUM(Tabla1[[#This Row],[COSTO OPERATIVO ACIDO]:[COSTO OPERATIVO CATIONICO]])</f>
        <v>1283212.5</v>
      </c>
      <c r="AS16" s="474">
        <v>5250</v>
      </c>
      <c r="AT16" s="460">
        <f t="shared" si="19"/>
        <v>3421.9</v>
      </c>
    </row>
    <row r="17" spans="1:46" ht="14.95" thickBot="1" x14ac:dyDescent="0.3">
      <c r="A17" s="213">
        <v>46059</v>
      </c>
      <c r="B17" s="157">
        <f>DAY(Tabla1[[#This Row],[FECHA]])</f>
        <v>6</v>
      </c>
      <c r="C17" s="448" t="s">
        <v>249</v>
      </c>
      <c r="D17" s="449">
        <v>16</v>
      </c>
      <c r="E17" s="449" t="s">
        <v>75</v>
      </c>
      <c r="F17" s="450">
        <v>2200</v>
      </c>
      <c r="G17" s="451">
        <v>3590</v>
      </c>
      <c r="H17" s="451">
        <v>600</v>
      </c>
      <c r="I17" s="451">
        <v>135</v>
      </c>
      <c r="J17" s="451">
        <v>45</v>
      </c>
      <c r="K17" s="480">
        <v>16917</v>
      </c>
      <c r="L17" s="481">
        <f>+(K18-Tabla1[[#This Row],[Lectura Horometro INICIAL (06:00)]])*Tabla1[[#This Row],[CAUDAL DE TRATAMIENTO]]</f>
        <v>525</v>
      </c>
      <c r="M17" s="482">
        <v>75</v>
      </c>
      <c r="N17" s="442">
        <f t="shared" si="22"/>
        <v>50</v>
      </c>
      <c r="O17" s="497">
        <f t="shared" si="23"/>
        <v>340</v>
      </c>
      <c r="P17" s="442">
        <f t="shared" si="24"/>
        <v>90</v>
      </c>
      <c r="Q17" s="442">
        <f t="shared" si="27"/>
        <v>0</v>
      </c>
      <c r="R17" s="443">
        <f t="shared" si="28"/>
        <v>10</v>
      </c>
      <c r="S17" s="452">
        <f t="shared" si="6"/>
        <v>65</v>
      </c>
      <c r="T17" s="453">
        <f t="shared" si="7"/>
        <v>450.5</v>
      </c>
      <c r="U17" s="453">
        <f t="shared" si="8"/>
        <v>112.5</v>
      </c>
      <c r="V17" s="453">
        <f>Tabla1[[#This Row],[CONSUMO POL ANIONICO (KG)]]</f>
        <v>0</v>
      </c>
      <c r="W17" s="443">
        <f>Tabla1[[#This Row],[CONSUMO POL CATIONICO (KG)]]</f>
        <v>10</v>
      </c>
      <c r="X17" s="452">
        <f t="shared" si="9"/>
        <v>123.80952380952381</v>
      </c>
      <c r="Y17" s="453">
        <f t="shared" si="10"/>
        <v>858.09523809523807</v>
      </c>
      <c r="Z17" s="453">
        <f t="shared" si="11"/>
        <v>214.28571428571428</v>
      </c>
      <c r="AA17" s="453">
        <f t="shared" si="12"/>
        <v>0</v>
      </c>
      <c r="AB17" s="443">
        <f t="shared" si="13"/>
        <v>19.047619047619047</v>
      </c>
      <c r="AC17" s="454">
        <v>1.3</v>
      </c>
      <c r="AD17" s="454">
        <v>1.325</v>
      </c>
      <c r="AE17" s="454">
        <v>1.25</v>
      </c>
      <c r="AF17" s="455">
        <v>2500</v>
      </c>
      <c r="AG17" s="456">
        <v>2500</v>
      </c>
      <c r="AH17" s="158">
        <v>830</v>
      </c>
      <c r="AI17" s="158">
        <v>2900</v>
      </c>
      <c r="AJ17" s="158">
        <v>6295</v>
      </c>
      <c r="AK17" s="158">
        <v>19050</v>
      </c>
      <c r="AL17" s="158">
        <v>22050</v>
      </c>
      <c r="AM17" s="457">
        <f t="shared" si="14"/>
        <v>53950</v>
      </c>
      <c r="AN17" s="458">
        <f t="shared" si="15"/>
        <v>1306450</v>
      </c>
      <c r="AO17" s="458">
        <f t="shared" si="16"/>
        <v>708187.5</v>
      </c>
      <c r="AP17" s="458">
        <f t="shared" si="17"/>
        <v>0</v>
      </c>
      <c r="AQ17" s="459">
        <f t="shared" si="18"/>
        <v>220500</v>
      </c>
      <c r="AR17" s="457">
        <f>SUM(Tabla1[[#This Row],[COSTO OPERATIVO ACIDO]:[COSTO OPERATIVO CATIONICO]])</f>
        <v>2289087.5</v>
      </c>
      <c r="AS17" s="458">
        <v>5250</v>
      </c>
      <c r="AT17" s="460">
        <f t="shared" si="19"/>
        <v>4360.166666666667</v>
      </c>
    </row>
    <row r="18" spans="1:46" ht="14.95" thickBot="1" x14ac:dyDescent="0.3">
      <c r="A18" s="461">
        <f t="shared" ref="A18:A19" si="29">A17</f>
        <v>46059</v>
      </c>
      <c r="B18" s="157">
        <f>DAY(Tabla1[[#This Row],[FECHA]])</f>
        <v>6</v>
      </c>
      <c r="C18" s="462" t="s">
        <v>250</v>
      </c>
      <c r="D18" s="463">
        <v>17</v>
      </c>
      <c r="E18" s="463" t="s">
        <v>77</v>
      </c>
      <c r="F18" s="464">
        <v>2150</v>
      </c>
      <c r="G18" s="465">
        <v>3250</v>
      </c>
      <c r="H18" s="465">
        <v>510</v>
      </c>
      <c r="I18" s="465">
        <v>135</v>
      </c>
      <c r="J18" s="465">
        <v>35</v>
      </c>
      <c r="K18" s="483">
        <v>16924</v>
      </c>
      <c r="L18" s="478">
        <f>+(K19-Tabla1[[#This Row],[Lectura Horometro INICIAL (06:00)]])*Tabla1[[#This Row],[CAUDAL DE TRATAMIENTO]]</f>
        <v>450</v>
      </c>
      <c r="M18" s="479">
        <v>75</v>
      </c>
      <c r="N18" s="444">
        <f t="shared" si="22"/>
        <v>50</v>
      </c>
      <c r="O18" s="498">
        <f t="shared" si="23"/>
        <v>240</v>
      </c>
      <c r="P18" s="444">
        <f t="shared" si="24"/>
        <v>70</v>
      </c>
      <c r="Q18" s="444">
        <f t="shared" si="27"/>
        <v>5</v>
      </c>
      <c r="R18" s="445">
        <f t="shared" si="28"/>
        <v>5</v>
      </c>
      <c r="S18" s="452">
        <f t="shared" si="6"/>
        <v>65</v>
      </c>
      <c r="T18" s="453">
        <f t="shared" si="7"/>
        <v>318</v>
      </c>
      <c r="U18" s="453">
        <f t="shared" si="8"/>
        <v>87.5</v>
      </c>
      <c r="V18" s="466">
        <f>Tabla1[[#This Row],[CONSUMO POL ANIONICO (KG)]]</f>
        <v>5</v>
      </c>
      <c r="W18" s="445">
        <f>Tabla1[[#This Row],[CONSUMO POL CATIONICO (KG)]]</f>
        <v>5</v>
      </c>
      <c r="X18" s="467">
        <f t="shared" si="9"/>
        <v>144.44444444444446</v>
      </c>
      <c r="Y18" s="466">
        <f t="shared" si="10"/>
        <v>706.66666666666663</v>
      </c>
      <c r="Z18" s="466">
        <f t="shared" si="11"/>
        <v>194.44444444444446</v>
      </c>
      <c r="AA18" s="466">
        <f t="shared" si="12"/>
        <v>11.111111111111111</v>
      </c>
      <c r="AB18" s="445">
        <f t="shared" si="13"/>
        <v>11.111111111111111</v>
      </c>
      <c r="AC18" s="454">
        <v>1.3</v>
      </c>
      <c r="AD18" s="454">
        <v>1.325</v>
      </c>
      <c r="AE18" s="454">
        <v>1.25</v>
      </c>
      <c r="AF18" s="455">
        <v>2500</v>
      </c>
      <c r="AG18" s="456">
        <v>2500</v>
      </c>
      <c r="AH18" s="158">
        <v>830</v>
      </c>
      <c r="AI18" s="158">
        <v>2900</v>
      </c>
      <c r="AJ18" s="158">
        <v>6295</v>
      </c>
      <c r="AK18" s="158">
        <v>19050</v>
      </c>
      <c r="AL18" s="158">
        <v>22050</v>
      </c>
      <c r="AM18" s="468">
        <f t="shared" si="14"/>
        <v>53950</v>
      </c>
      <c r="AN18" s="460">
        <f t="shared" si="15"/>
        <v>922200</v>
      </c>
      <c r="AO18" s="460">
        <f t="shared" si="16"/>
        <v>550812.5</v>
      </c>
      <c r="AP18" s="460">
        <f t="shared" si="17"/>
        <v>95250</v>
      </c>
      <c r="AQ18" s="469">
        <f t="shared" si="18"/>
        <v>110250</v>
      </c>
      <c r="AR18" s="468">
        <f>SUM(Tabla1[[#This Row],[COSTO OPERATIVO ACIDO]:[COSTO OPERATIVO CATIONICO]])</f>
        <v>1732462.5</v>
      </c>
      <c r="AS18" s="460">
        <v>5250</v>
      </c>
      <c r="AT18" s="460">
        <f t="shared" si="19"/>
        <v>3849.9166666666665</v>
      </c>
    </row>
    <row r="19" spans="1:46" ht="14.95" thickBot="1" x14ac:dyDescent="0.3">
      <c r="A19" s="470">
        <f t="shared" si="29"/>
        <v>46059</v>
      </c>
      <c r="B19" s="157">
        <f>DAY(Tabla1[[#This Row],[FECHA]])</f>
        <v>6</v>
      </c>
      <c r="C19" s="471" t="s">
        <v>30</v>
      </c>
      <c r="D19" s="472">
        <v>18</v>
      </c>
      <c r="E19" s="472" t="s">
        <v>76</v>
      </c>
      <c r="F19" s="464">
        <v>2100</v>
      </c>
      <c r="G19" s="465">
        <v>3010</v>
      </c>
      <c r="H19" s="465">
        <v>440</v>
      </c>
      <c r="I19" s="465">
        <v>130</v>
      </c>
      <c r="J19" s="465">
        <v>30</v>
      </c>
      <c r="K19" s="484">
        <v>16930</v>
      </c>
      <c r="L19" s="485">
        <f>+(K20-Tabla1[[#This Row],[Lectura Horometro INICIAL (06:00)]])*Tabla1[[#This Row],[CAUDAL DE TRATAMIENTO]]</f>
        <v>375</v>
      </c>
      <c r="M19" s="486">
        <v>75</v>
      </c>
      <c r="N19" s="446">
        <f t="shared" si="22"/>
        <v>100</v>
      </c>
      <c r="O19" s="505">
        <f>G19-G20+4000</f>
        <v>210</v>
      </c>
      <c r="P19" s="446">
        <f t="shared" si="24"/>
        <v>50</v>
      </c>
      <c r="Q19" s="446">
        <f>I19-I20</f>
        <v>0</v>
      </c>
      <c r="R19" s="506">
        <f>J19-J20+100</f>
        <v>5</v>
      </c>
      <c r="S19" s="452">
        <f t="shared" si="6"/>
        <v>130</v>
      </c>
      <c r="T19" s="453">
        <f t="shared" si="7"/>
        <v>278.25</v>
      </c>
      <c r="U19" s="453">
        <f t="shared" si="8"/>
        <v>62.5</v>
      </c>
      <c r="V19" s="473">
        <f>Tabla1[[#This Row],[CONSUMO POL ANIONICO (KG)]]</f>
        <v>0</v>
      </c>
      <c r="W19" s="447">
        <f>Tabla1[[#This Row],[CONSUMO POL CATIONICO (KG)]]</f>
        <v>5</v>
      </c>
      <c r="X19" s="467">
        <f t="shared" si="9"/>
        <v>346.66666666666669</v>
      </c>
      <c r="Y19" s="473">
        <f t="shared" si="10"/>
        <v>742</v>
      </c>
      <c r="Z19" s="473">
        <f t="shared" si="11"/>
        <v>166.66666666666666</v>
      </c>
      <c r="AA19" s="473">
        <f t="shared" si="12"/>
        <v>0</v>
      </c>
      <c r="AB19" s="447">
        <f t="shared" si="13"/>
        <v>13.333333333333334</v>
      </c>
      <c r="AC19" s="454">
        <v>1.3</v>
      </c>
      <c r="AD19" s="454">
        <v>1.325</v>
      </c>
      <c r="AE19" s="454">
        <v>1.25</v>
      </c>
      <c r="AF19" s="455">
        <v>2500</v>
      </c>
      <c r="AG19" s="456">
        <v>2500</v>
      </c>
      <c r="AH19" s="158">
        <v>830</v>
      </c>
      <c r="AI19" s="158">
        <v>2900</v>
      </c>
      <c r="AJ19" s="158">
        <v>6295</v>
      </c>
      <c r="AK19" s="158">
        <v>19050</v>
      </c>
      <c r="AL19" s="158">
        <v>22050</v>
      </c>
      <c r="AM19" s="468">
        <f t="shared" si="14"/>
        <v>107900</v>
      </c>
      <c r="AN19" s="474">
        <f t="shared" si="15"/>
        <v>806925</v>
      </c>
      <c r="AO19" s="474">
        <f t="shared" si="16"/>
        <v>393437.5</v>
      </c>
      <c r="AP19" s="474">
        <f t="shared" si="17"/>
        <v>0</v>
      </c>
      <c r="AQ19" s="475">
        <f t="shared" si="18"/>
        <v>110250</v>
      </c>
      <c r="AR19" s="468">
        <f>SUM(Tabla1[[#This Row],[COSTO OPERATIVO ACIDO]:[COSTO OPERATIVO CATIONICO]])</f>
        <v>1418512.5</v>
      </c>
      <c r="AS19" s="474">
        <v>5250</v>
      </c>
      <c r="AT19" s="460">
        <f t="shared" si="19"/>
        <v>3782.7</v>
      </c>
    </row>
    <row r="20" spans="1:46" ht="14.95" thickBot="1" x14ac:dyDescent="0.3">
      <c r="A20" s="213">
        <v>46060</v>
      </c>
      <c r="B20" s="157">
        <f>DAY(Tabla1[[#This Row],[FECHA]])</f>
        <v>7</v>
      </c>
      <c r="C20" s="448" t="s">
        <v>251</v>
      </c>
      <c r="D20" s="449">
        <v>19</v>
      </c>
      <c r="E20" s="449" t="s">
        <v>75</v>
      </c>
      <c r="F20" s="450">
        <v>2000</v>
      </c>
      <c r="G20" s="451">
        <v>6800</v>
      </c>
      <c r="H20" s="451">
        <v>390</v>
      </c>
      <c r="I20" s="451">
        <v>130</v>
      </c>
      <c r="J20" s="451">
        <v>125</v>
      </c>
      <c r="K20" s="480">
        <v>16935</v>
      </c>
      <c r="L20" s="481">
        <f>+(K21-Tabla1[[#This Row],[Lectura Horometro INICIAL (06:00)]])*Tabla1[[#This Row],[CAUDAL DE TRATAMIENTO]]</f>
        <v>600</v>
      </c>
      <c r="M20" s="482">
        <v>75</v>
      </c>
      <c r="N20" s="442">
        <f t="shared" si="22"/>
        <v>250</v>
      </c>
      <c r="O20" s="497">
        <f t="shared" si="23"/>
        <v>500</v>
      </c>
      <c r="P20" s="442">
        <f t="shared" si="24"/>
        <v>60</v>
      </c>
      <c r="Q20" s="442">
        <f t="shared" si="27"/>
        <v>5</v>
      </c>
      <c r="R20" s="443">
        <f t="shared" si="28"/>
        <v>5</v>
      </c>
      <c r="S20" s="452">
        <f t="shared" si="6"/>
        <v>325</v>
      </c>
      <c r="T20" s="453">
        <f t="shared" si="7"/>
        <v>662.5</v>
      </c>
      <c r="U20" s="453">
        <f t="shared" si="8"/>
        <v>75</v>
      </c>
      <c r="V20" s="453">
        <f>Tabla1[[#This Row],[CONSUMO POL ANIONICO (KG)]]</f>
        <v>5</v>
      </c>
      <c r="W20" s="443">
        <f>Tabla1[[#This Row],[CONSUMO POL CATIONICO (KG)]]</f>
        <v>5</v>
      </c>
      <c r="X20" s="452">
        <f t="shared" si="9"/>
        <v>541.66666666666663</v>
      </c>
      <c r="Y20" s="453">
        <f t="shared" si="10"/>
        <v>1104.1666666666667</v>
      </c>
      <c r="Z20" s="453">
        <f t="shared" si="11"/>
        <v>125</v>
      </c>
      <c r="AA20" s="453">
        <f t="shared" si="12"/>
        <v>8.3333333333333339</v>
      </c>
      <c r="AB20" s="443">
        <f t="shared" si="13"/>
        <v>8.3333333333333339</v>
      </c>
      <c r="AC20" s="454">
        <v>1.3</v>
      </c>
      <c r="AD20" s="454">
        <v>1.325</v>
      </c>
      <c r="AE20" s="454">
        <v>1.25</v>
      </c>
      <c r="AF20" s="455">
        <v>2500</v>
      </c>
      <c r="AG20" s="456">
        <v>2500</v>
      </c>
      <c r="AH20" s="158">
        <v>830</v>
      </c>
      <c r="AI20" s="158">
        <v>2900</v>
      </c>
      <c r="AJ20" s="158">
        <v>6295</v>
      </c>
      <c r="AK20" s="158">
        <v>19050</v>
      </c>
      <c r="AL20" s="158">
        <v>22050</v>
      </c>
      <c r="AM20" s="457">
        <f t="shared" si="14"/>
        <v>269750</v>
      </c>
      <c r="AN20" s="458">
        <f t="shared" si="15"/>
        <v>1921250</v>
      </c>
      <c r="AO20" s="458">
        <f t="shared" si="16"/>
        <v>472125</v>
      </c>
      <c r="AP20" s="458">
        <f t="shared" si="17"/>
        <v>95250</v>
      </c>
      <c r="AQ20" s="459">
        <f t="shared" si="18"/>
        <v>110250</v>
      </c>
      <c r="AR20" s="457">
        <f>SUM(Tabla1[[#This Row],[COSTO OPERATIVO ACIDO]:[COSTO OPERATIVO CATIONICO]])</f>
        <v>2868625</v>
      </c>
      <c r="AS20" s="458">
        <v>5250</v>
      </c>
      <c r="AT20" s="460">
        <f>AR20/L20</f>
        <v>4781.041666666667</v>
      </c>
    </row>
    <row r="21" spans="1:46" s="172" customFormat="1" ht="14.95" thickBot="1" x14ac:dyDescent="0.3">
      <c r="A21" s="461">
        <f t="shared" ref="A21:A22" si="30">A20</f>
        <v>46060</v>
      </c>
      <c r="B21" s="157">
        <f>DAY(Tabla1[[#This Row],[FECHA]])</f>
        <v>7</v>
      </c>
      <c r="C21" s="462" t="s">
        <v>252</v>
      </c>
      <c r="D21" s="463">
        <v>20</v>
      </c>
      <c r="E21" s="463" t="s">
        <v>77</v>
      </c>
      <c r="F21" s="464">
        <v>1750</v>
      </c>
      <c r="G21" s="465">
        <v>6300</v>
      </c>
      <c r="H21" s="465">
        <v>330</v>
      </c>
      <c r="I21" s="465">
        <v>125</v>
      </c>
      <c r="J21" s="465">
        <v>120</v>
      </c>
      <c r="K21" s="483">
        <v>16943</v>
      </c>
      <c r="L21" s="478">
        <f>+(K22-Tabla1[[#This Row],[Lectura Horometro INICIAL (06:00)]])*Tabla1[[#This Row],[CAUDAL DE TRATAMIENTO]]</f>
        <v>300</v>
      </c>
      <c r="M21" s="479">
        <v>75</v>
      </c>
      <c r="N21" s="444">
        <f t="shared" si="22"/>
        <v>0</v>
      </c>
      <c r="O21" s="498">
        <f t="shared" si="23"/>
        <v>0</v>
      </c>
      <c r="P21" s="444">
        <f t="shared" si="24"/>
        <v>0</v>
      </c>
      <c r="Q21" s="444">
        <f t="shared" si="27"/>
        <v>5</v>
      </c>
      <c r="R21" s="445">
        <f t="shared" si="28"/>
        <v>5</v>
      </c>
      <c r="S21" s="452">
        <f t="shared" si="6"/>
        <v>0</v>
      </c>
      <c r="T21" s="453">
        <f>(O21*$AD$2)</f>
        <v>0</v>
      </c>
      <c r="U21" s="453">
        <f t="shared" si="8"/>
        <v>0</v>
      </c>
      <c r="V21" s="466">
        <f>Tabla1[[#This Row],[CONSUMO POL ANIONICO (KG)]]</f>
        <v>5</v>
      </c>
      <c r="W21" s="445">
        <f>Tabla1[[#This Row],[CONSUMO POL CATIONICO (KG)]]</f>
        <v>5</v>
      </c>
      <c r="X21" s="467">
        <f t="shared" si="9"/>
        <v>0</v>
      </c>
      <c r="Y21" s="466">
        <f t="shared" si="10"/>
        <v>0</v>
      </c>
      <c r="Z21" s="466">
        <f t="shared" si="11"/>
        <v>0</v>
      </c>
      <c r="AA21" s="466">
        <f t="shared" si="12"/>
        <v>16.666666666666668</v>
      </c>
      <c r="AB21" s="445">
        <f t="shared" si="13"/>
        <v>16.666666666666668</v>
      </c>
      <c r="AC21" s="454">
        <v>1.3</v>
      </c>
      <c r="AD21" s="454">
        <v>1.325</v>
      </c>
      <c r="AE21" s="454">
        <v>1.25</v>
      </c>
      <c r="AF21" s="455">
        <v>2500</v>
      </c>
      <c r="AG21" s="456">
        <v>2500</v>
      </c>
      <c r="AH21" s="158">
        <v>830</v>
      </c>
      <c r="AI21" s="158">
        <v>2900</v>
      </c>
      <c r="AJ21" s="158">
        <v>6295</v>
      </c>
      <c r="AK21" s="158">
        <v>19050</v>
      </c>
      <c r="AL21" s="158">
        <v>22050</v>
      </c>
      <c r="AM21" s="468">
        <f t="shared" si="14"/>
        <v>0</v>
      </c>
      <c r="AN21" s="460">
        <f t="shared" si="15"/>
        <v>0</v>
      </c>
      <c r="AO21" s="460">
        <f t="shared" si="16"/>
        <v>0</v>
      </c>
      <c r="AP21" s="460">
        <f t="shared" si="17"/>
        <v>95250</v>
      </c>
      <c r="AQ21" s="469">
        <f t="shared" si="18"/>
        <v>110250</v>
      </c>
      <c r="AR21" s="468">
        <f>SUM(Tabla1[[#This Row],[COSTO OPERATIVO ACIDO]:[COSTO OPERATIVO CATIONICO]])</f>
        <v>205500</v>
      </c>
      <c r="AS21" s="460">
        <v>5250</v>
      </c>
      <c r="AT21" s="460">
        <f t="shared" si="19"/>
        <v>685</v>
      </c>
    </row>
    <row r="22" spans="1:46" s="172" customFormat="1" ht="14.95" thickBot="1" x14ac:dyDescent="0.3">
      <c r="A22" s="470">
        <f t="shared" si="30"/>
        <v>46060</v>
      </c>
      <c r="B22" s="157">
        <f>DAY(Tabla1[[#This Row],[FECHA]])</f>
        <v>7</v>
      </c>
      <c r="C22" s="471" t="s">
        <v>30</v>
      </c>
      <c r="D22" s="472">
        <v>21</v>
      </c>
      <c r="E22" s="472" t="s">
        <v>76</v>
      </c>
      <c r="F22" s="464">
        <v>1750</v>
      </c>
      <c r="G22" s="465">
        <v>6300</v>
      </c>
      <c r="H22" s="465">
        <v>330</v>
      </c>
      <c r="I22" s="465">
        <v>120</v>
      </c>
      <c r="J22" s="465">
        <v>115</v>
      </c>
      <c r="K22" s="484">
        <v>16947</v>
      </c>
      <c r="L22" s="485">
        <f>+(K23-Tabla1[[#This Row],[Lectura Horometro INICIAL (06:00)]])*Tabla1[[#This Row],[CAUDAL DE TRATAMIENTO]]</f>
        <v>0</v>
      </c>
      <c r="M22" s="486">
        <v>75</v>
      </c>
      <c r="N22" s="446">
        <f t="shared" si="22"/>
        <v>0</v>
      </c>
      <c r="O22" s="499">
        <f t="shared" si="23"/>
        <v>0</v>
      </c>
      <c r="P22" s="446">
        <f t="shared" si="24"/>
        <v>0</v>
      </c>
      <c r="Q22" s="446">
        <f>I22-I23</f>
        <v>0</v>
      </c>
      <c r="R22" s="447">
        <f t="shared" si="28"/>
        <v>0</v>
      </c>
      <c r="S22" s="452">
        <f t="shared" si="6"/>
        <v>0</v>
      </c>
      <c r="T22" s="453">
        <f t="shared" si="7"/>
        <v>0</v>
      </c>
      <c r="U22" s="453">
        <f t="shared" si="8"/>
        <v>0</v>
      </c>
      <c r="V22" s="473">
        <f>Tabla1[[#This Row],[CONSUMO POL ANIONICO (KG)]]</f>
        <v>0</v>
      </c>
      <c r="W22" s="447">
        <f>Tabla1[[#This Row],[CONSUMO POL CATIONICO (KG)]]</f>
        <v>0</v>
      </c>
      <c r="X22" s="467" t="e">
        <f t="shared" si="9"/>
        <v>#DIV/0!</v>
      </c>
      <c r="Y22" s="473" t="e">
        <f t="shared" si="10"/>
        <v>#DIV/0!</v>
      </c>
      <c r="Z22" s="473" t="e">
        <f t="shared" si="11"/>
        <v>#DIV/0!</v>
      </c>
      <c r="AA22" s="473" t="e">
        <f t="shared" si="12"/>
        <v>#DIV/0!</v>
      </c>
      <c r="AB22" s="447" t="e">
        <f t="shared" si="13"/>
        <v>#DIV/0!</v>
      </c>
      <c r="AC22" s="454">
        <v>1.3</v>
      </c>
      <c r="AD22" s="454">
        <v>1.325</v>
      </c>
      <c r="AE22" s="454">
        <v>1.25</v>
      </c>
      <c r="AF22" s="455">
        <v>2500</v>
      </c>
      <c r="AG22" s="456">
        <v>2500</v>
      </c>
      <c r="AH22" s="158">
        <v>830</v>
      </c>
      <c r="AI22" s="158">
        <v>2900</v>
      </c>
      <c r="AJ22" s="158">
        <v>6295</v>
      </c>
      <c r="AK22" s="158">
        <v>19050</v>
      </c>
      <c r="AL22" s="158">
        <v>22050</v>
      </c>
      <c r="AM22" s="468">
        <f t="shared" si="14"/>
        <v>0</v>
      </c>
      <c r="AN22" s="474">
        <f t="shared" si="15"/>
        <v>0</v>
      </c>
      <c r="AO22" s="474">
        <f t="shared" si="16"/>
        <v>0</v>
      </c>
      <c r="AP22" s="474">
        <f t="shared" si="17"/>
        <v>0</v>
      </c>
      <c r="AQ22" s="475">
        <f t="shared" si="18"/>
        <v>0</v>
      </c>
      <c r="AR22" s="468">
        <f>SUM(Tabla1[[#This Row],[COSTO OPERATIVO ACIDO]:[COSTO OPERATIVO CATIONICO]])</f>
        <v>0</v>
      </c>
      <c r="AS22" s="474">
        <v>5250</v>
      </c>
      <c r="AT22" s="460" t="e">
        <f t="shared" si="19"/>
        <v>#DIV/0!</v>
      </c>
    </row>
    <row r="23" spans="1:46" s="172" customFormat="1" ht="14.95" thickBot="1" x14ac:dyDescent="0.3">
      <c r="A23" s="213">
        <v>46061</v>
      </c>
      <c r="B23" s="157">
        <f>DAY(Tabla1[[#This Row],[FECHA]])</f>
        <v>8</v>
      </c>
      <c r="C23" s="448" t="s">
        <v>253</v>
      </c>
      <c r="D23" s="449">
        <v>22</v>
      </c>
      <c r="E23" s="449" t="s">
        <v>75</v>
      </c>
      <c r="F23" s="450">
        <v>1750</v>
      </c>
      <c r="G23" s="451">
        <v>6300</v>
      </c>
      <c r="H23" s="451">
        <v>330</v>
      </c>
      <c r="I23" s="451">
        <v>120</v>
      </c>
      <c r="J23" s="451">
        <v>115</v>
      </c>
      <c r="K23" s="480">
        <v>16947</v>
      </c>
      <c r="L23" s="481">
        <f>+(K24-Tabla1[[#This Row],[Lectura Horometro INICIAL (06:00)]])*Tabla1[[#This Row],[CAUDAL DE TRATAMIENTO]]</f>
        <v>0</v>
      </c>
      <c r="M23" s="482">
        <v>75</v>
      </c>
      <c r="N23" s="442">
        <f t="shared" si="22"/>
        <v>0</v>
      </c>
      <c r="O23" s="497">
        <f t="shared" si="23"/>
        <v>0</v>
      </c>
      <c r="P23" s="442">
        <f t="shared" si="24"/>
        <v>0</v>
      </c>
      <c r="Q23" s="442">
        <f t="shared" si="27"/>
        <v>0</v>
      </c>
      <c r="R23" s="443">
        <f t="shared" si="28"/>
        <v>0</v>
      </c>
      <c r="S23" s="452">
        <f t="shared" si="6"/>
        <v>0</v>
      </c>
      <c r="T23" s="453">
        <f t="shared" si="7"/>
        <v>0</v>
      </c>
      <c r="U23" s="453">
        <f t="shared" si="8"/>
        <v>0</v>
      </c>
      <c r="V23" s="453">
        <f>Tabla1[[#This Row],[CONSUMO POL ANIONICO (KG)]]</f>
        <v>0</v>
      </c>
      <c r="W23" s="443">
        <f>Tabla1[[#This Row],[CONSUMO POL CATIONICO (KG)]]</f>
        <v>0</v>
      </c>
      <c r="X23" s="452" t="e">
        <f t="shared" si="9"/>
        <v>#DIV/0!</v>
      </c>
      <c r="Y23" s="453" t="e">
        <f t="shared" si="10"/>
        <v>#DIV/0!</v>
      </c>
      <c r="Z23" s="453" t="e">
        <f t="shared" si="11"/>
        <v>#DIV/0!</v>
      </c>
      <c r="AA23" s="453" t="e">
        <f t="shared" si="12"/>
        <v>#DIV/0!</v>
      </c>
      <c r="AB23" s="443" t="e">
        <f t="shared" si="13"/>
        <v>#DIV/0!</v>
      </c>
      <c r="AC23" s="454">
        <v>1.3</v>
      </c>
      <c r="AD23" s="454">
        <v>1.325</v>
      </c>
      <c r="AE23" s="454">
        <v>1.25</v>
      </c>
      <c r="AF23" s="455">
        <v>2500</v>
      </c>
      <c r="AG23" s="456">
        <v>2500</v>
      </c>
      <c r="AH23" s="158">
        <v>830</v>
      </c>
      <c r="AI23" s="158">
        <v>2900</v>
      </c>
      <c r="AJ23" s="158">
        <v>6295</v>
      </c>
      <c r="AK23" s="158">
        <v>19050</v>
      </c>
      <c r="AL23" s="158">
        <v>22050</v>
      </c>
      <c r="AM23" s="457">
        <f t="shared" si="14"/>
        <v>0</v>
      </c>
      <c r="AN23" s="458">
        <f t="shared" si="15"/>
        <v>0</v>
      </c>
      <c r="AO23" s="458">
        <f t="shared" si="16"/>
        <v>0</v>
      </c>
      <c r="AP23" s="458">
        <f t="shared" si="17"/>
        <v>0</v>
      </c>
      <c r="AQ23" s="459">
        <f t="shared" si="18"/>
        <v>0</v>
      </c>
      <c r="AR23" s="457">
        <f>SUM(Tabla1[[#This Row],[COSTO OPERATIVO ACIDO]:[COSTO OPERATIVO CATIONICO]])</f>
        <v>0</v>
      </c>
      <c r="AS23" s="458">
        <v>5250</v>
      </c>
      <c r="AT23" s="460" t="e">
        <f t="shared" si="19"/>
        <v>#DIV/0!</v>
      </c>
    </row>
    <row r="24" spans="1:46" s="172" customFormat="1" ht="14.95" thickBot="1" x14ac:dyDescent="0.3">
      <c r="A24" s="461">
        <f t="shared" ref="A24:A25" si="31">A23</f>
        <v>46061</v>
      </c>
      <c r="B24" s="157">
        <f>DAY(Tabla1[[#This Row],[FECHA]])</f>
        <v>8</v>
      </c>
      <c r="C24" s="462" t="s">
        <v>254</v>
      </c>
      <c r="D24" s="463">
        <v>23</v>
      </c>
      <c r="E24" s="463" t="s">
        <v>77</v>
      </c>
      <c r="F24" s="464">
        <v>1750</v>
      </c>
      <c r="G24" s="465">
        <v>6300</v>
      </c>
      <c r="H24" s="465">
        <v>330</v>
      </c>
      <c r="I24" s="465">
        <v>120</v>
      </c>
      <c r="J24" s="465">
        <v>115</v>
      </c>
      <c r="K24" s="483">
        <v>16947</v>
      </c>
      <c r="L24" s="478">
        <f>+(K25-Tabla1[[#This Row],[Lectura Horometro INICIAL (06:00)]])*Tabla1[[#This Row],[CAUDAL DE TRATAMIENTO]]</f>
        <v>0</v>
      </c>
      <c r="M24" s="479">
        <v>75</v>
      </c>
      <c r="N24" s="444">
        <f t="shared" si="22"/>
        <v>0</v>
      </c>
      <c r="O24" s="498">
        <f t="shared" si="23"/>
        <v>0</v>
      </c>
      <c r="P24" s="444">
        <f t="shared" si="24"/>
        <v>0</v>
      </c>
      <c r="Q24" s="444">
        <f t="shared" si="27"/>
        <v>5</v>
      </c>
      <c r="R24" s="445">
        <f t="shared" si="28"/>
        <v>0</v>
      </c>
      <c r="S24" s="452">
        <f t="shared" si="6"/>
        <v>0</v>
      </c>
      <c r="T24" s="453">
        <f t="shared" si="7"/>
        <v>0</v>
      </c>
      <c r="U24" s="453">
        <f t="shared" si="8"/>
        <v>0</v>
      </c>
      <c r="V24" s="466">
        <f>Tabla1[[#This Row],[CONSUMO POL ANIONICO (KG)]]</f>
        <v>5</v>
      </c>
      <c r="W24" s="445">
        <f>Tabla1[[#This Row],[CONSUMO POL CATIONICO (KG)]]</f>
        <v>0</v>
      </c>
      <c r="X24" s="467" t="e">
        <f t="shared" si="9"/>
        <v>#DIV/0!</v>
      </c>
      <c r="Y24" s="466" t="e">
        <f t="shared" si="10"/>
        <v>#DIV/0!</v>
      </c>
      <c r="Z24" s="466" t="e">
        <f t="shared" si="11"/>
        <v>#DIV/0!</v>
      </c>
      <c r="AA24" s="466" t="e">
        <f t="shared" si="12"/>
        <v>#DIV/0!</v>
      </c>
      <c r="AB24" s="445" t="e">
        <f t="shared" si="13"/>
        <v>#DIV/0!</v>
      </c>
      <c r="AC24" s="454">
        <v>1.3</v>
      </c>
      <c r="AD24" s="454">
        <v>1.325</v>
      </c>
      <c r="AE24" s="454">
        <v>1.25</v>
      </c>
      <c r="AF24" s="455">
        <v>2500</v>
      </c>
      <c r="AG24" s="456">
        <v>2500</v>
      </c>
      <c r="AH24" s="158">
        <v>830</v>
      </c>
      <c r="AI24" s="158">
        <v>2900</v>
      </c>
      <c r="AJ24" s="158">
        <v>6295</v>
      </c>
      <c r="AK24" s="158">
        <v>19050</v>
      </c>
      <c r="AL24" s="158">
        <v>22050</v>
      </c>
      <c r="AM24" s="468">
        <f t="shared" si="14"/>
        <v>0</v>
      </c>
      <c r="AN24" s="460">
        <f t="shared" si="15"/>
        <v>0</v>
      </c>
      <c r="AO24" s="460">
        <f t="shared" si="16"/>
        <v>0</v>
      </c>
      <c r="AP24" s="460">
        <f t="shared" si="17"/>
        <v>95250</v>
      </c>
      <c r="AQ24" s="469">
        <f t="shared" si="18"/>
        <v>0</v>
      </c>
      <c r="AR24" s="468">
        <f>SUM(Tabla1[[#This Row],[COSTO OPERATIVO ACIDO]:[COSTO OPERATIVO CATIONICO]])</f>
        <v>95250</v>
      </c>
      <c r="AS24" s="460">
        <v>5250</v>
      </c>
      <c r="AT24" s="460" t="e">
        <f t="shared" si="19"/>
        <v>#DIV/0!</v>
      </c>
    </row>
    <row r="25" spans="1:46" s="172" customFormat="1" ht="14.95" thickBot="1" x14ac:dyDescent="0.3">
      <c r="A25" s="470">
        <f t="shared" si="31"/>
        <v>46061</v>
      </c>
      <c r="B25" s="157">
        <f>DAY(Tabla1[[#This Row],[FECHA]])</f>
        <v>8</v>
      </c>
      <c r="C25" s="471" t="s">
        <v>30</v>
      </c>
      <c r="D25" s="472">
        <v>24</v>
      </c>
      <c r="E25" s="472" t="s">
        <v>76</v>
      </c>
      <c r="F25" s="464">
        <v>1750</v>
      </c>
      <c r="G25" s="465">
        <v>6300</v>
      </c>
      <c r="H25" s="465">
        <v>330</v>
      </c>
      <c r="I25" s="465">
        <v>115</v>
      </c>
      <c r="J25" s="465">
        <v>115</v>
      </c>
      <c r="K25" s="484">
        <v>16947</v>
      </c>
      <c r="L25" s="485">
        <f>+(K26-Tabla1[[#This Row],[Lectura Horometro INICIAL (06:00)]])*Tabla1[[#This Row],[CAUDAL DE TRATAMIENTO]]</f>
        <v>0</v>
      </c>
      <c r="M25" s="486">
        <v>75</v>
      </c>
      <c r="N25" s="446">
        <f t="shared" si="22"/>
        <v>0</v>
      </c>
      <c r="O25" s="499">
        <f t="shared" si="23"/>
        <v>0</v>
      </c>
      <c r="P25" s="446">
        <f t="shared" si="24"/>
        <v>0</v>
      </c>
      <c r="Q25" s="446">
        <f t="shared" si="27"/>
        <v>0</v>
      </c>
      <c r="R25" s="447">
        <f t="shared" si="28"/>
        <v>0</v>
      </c>
      <c r="S25" s="452">
        <f t="shared" si="6"/>
        <v>0</v>
      </c>
      <c r="T25" s="453">
        <f t="shared" si="7"/>
        <v>0</v>
      </c>
      <c r="U25" s="453">
        <f t="shared" si="8"/>
        <v>0</v>
      </c>
      <c r="V25" s="473">
        <f>Tabla1[[#This Row],[CONSUMO POL ANIONICO (KG)]]</f>
        <v>0</v>
      </c>
      <c r="W25" s="447">
        <f>Tabla1[[#This Row],[CONSUMO POL CATIONICO (KG)]]</f>
        <v>0</v>
      </c>
      <c r="X25" s="467" t="e">
        <f t="shared" si="9"/>
        <v>#DIV/0!</v>
      </c>
      <c r="Y25" s="473" t="e">
        <f t="shared" si="10"/>
        <v>#DIV/0!</v>
      </c>
      <c r="Z25" s="473" t="e">
        <f t="shared" si="11"/>
        <v>#DIV/0!</v>
      </c>
      <c r="AA25" s="473" t="e">
        <f t="shared" si="12"/>
        <v>#DIV/0!</v>
      </c>
      <c r="AB25" s="447" t="e">
        <f t="shared" si="13"/>
        <v>#DIV/0!</v>
      </c>
      <c r="AC25" s="454">
        <v>1.3</v>
      </c>
      <c r="AD25" s="454">
        <v>1.325</v>
      </c>
      <c r="AE25" s="454">
        <v>1.25</v>
      </c>
      <c r="AF25" s="455">
        <v>2500</v>
      </c>
      <c r="AG25" s="456">
        <v>2500</v>
      </c>
      <c r="AH25" s="158">
        <v>830</v>
      </c>
      <c r="AI25" s="158">
        <v>2900</v>
      </c>
      <c r="AJ25" s="158">
        <v>6295</v>
      </c>
      <c r="AK25" s="158">
        <v>19050</v>
      </c>
      <c r="AL25" s="158">
        <v>22050</v>
      </c>
      <c r="AM25" s="468">
        <f t="shared" si="14"/>
        <v>0</v>
      </c>
      <c r="AN25" s="474">
        <f t="shared" si="15"/>
        <v>0</v>
      </c>
      <c r="AO25" s="474">
        <f t="shared" si="16"/>
        <v>0</v>
      </c>
      <c r="AP25" s="474">
        <f t="shared" si="17"/>
        <v>0</v>
      </c>
      <c r="AQ25" s="475">
        <f t="shared" si="18"/>
        <v>0</v>
      </c>
      <c r="AR25" s="468">
        <f>SUM(Tabla1[[#This Row],[COSTO OPERATIVO ACIDO]:[COSTO OPERATIVO CATIONICO]])</f>
        <v>0</v>
      </c>
      <c r="AS25" s="474">
        <v>5250</v>
      </c>
      <c r="AT25" s="460" t="e">
        <f t="shared" si="19"/>
        <v>#DIV/0!</v>
      </c>
    </row>
    <row r="26" spans="1:46" s="172" customFormat="1" ht="14.95" thickBot="1" x14ac:dyDescent="0.3">
      <c r="A26" s="213">
        <v>46062</v>
      </c>
      <c r="B26" s="157">
        <f>DAY(Tabla1[[#This Row],[FECHA]])</f>
        <v>9</v>
      </c>
      <c r="C26" s="448" t="s">
        <v>255</v>
      </c>
      <c r="D26" s="449">
        <v>25</v>
      </c>
      <c r="E26" s="449" t="s">
        <v>75</v>
      </c>
      <c r="F26" s="450">
        <v>1750</v>
      </c>
      <c r="G26" s="451">
        <v>6300</v>
      </c>
      <c r="H26" s="451">
        <v>330</v>
      </c>
      <c r="I26" s="451">
        <v>115</v>
      </c>
      <c r="J26" s="451">
        <v>115</v>
      </c>
      <c r="K26" s="480">
        <v>16947</v>
      </c>
      <c r="L26" s="481">
        <f>+(K27-Tabla1[[#This Row],[Lectura Horometro INICIAL (06:00)]])*Tabla1[[#This Row],[CAUDAL DE TRATAMIENTO]]</f>
        <v>525</v>
      </c>
      <c r="M26" s="482">
        <v>75</v>
      </c>
      <c r="N26" s="507">
        <f>F26-F27+1000</f>
        <v>80</v>
      </c>
      <c r="O26" s="497">
        <f t="shared" si="23"/>
        <v>370</v>
      </c>
      <c r="P26" s="507">
        <f>H26-H27+2000</f>
        <v>80</v>
      </c>
      <c r="Q26" s="507">
        <f>I26-I27+50</f>
        <v>5</v>
      </c>
      <c r="R26" s="443">
        <f t="shared" si="28"/>
        <v>5</v>
      </c>
      <c r="S26" s="452">
        <f t="shared" si="6"/>
        <v>104</v>
      </c>
      <c r="T26" s="453">
        <f t="shared" si="7"/>
        <v>490.25</v>
      </c>
      <c r="U26" s="453">
        <f t="shared" si="8"/>
        <v>100</v>
      </c>
      <c r="V26" s="453">
        <f>Tabla1[[#This Row],[CONSUMO POL ANIONICO (KG)]]</f>
        <v>5</v>
      </c>
      <c r="W26" s="443">
        <f>Tabla1[[#This Row],[CONSUMO POL CATIONICO (KG)]]</f>
        <v>5</v>
      </c>
      <c r="X26" s="452">
        <f t="shared" si="9"/>
        <v>198.0952380952381</v>
      </c>
      <c r="Y26" s="453">
        <f t="shared" si="10"/>
        <v>933.80952380952385</v>
      </c>
      <c r="Z26" s="453">
        <f t="shared" si="11"/>
        <v>190.47619047619048</v>
      </c>
      <c r="AA26" s="453">
        <f t="shared" si="12"/>
        <v>9.5238095238095237</v>
      </c>
      <c r="AB26" s="443">
        <f t="shared" si="13"/>
        <v>9.5238095238095237</v>
      </c>
      <c r="AC26" s="454">
        <v>1.3</v>
      </c>
      <c r="AD26" s="454">
        <v>1.325</v>
      </c>
      <c r="AE26" s="454">
        <v>1.25</v>
      </c>
      <c r="AF26" s="455">
        <v>2500</v>
      </c>
      <c r="AG26" s="456">
        <v>2500</v>
      </c>
      <c r="AH26" s="158">
        <v>830</v>
      </c>
      <c r="AI26" s="158">
        <v>2900</v>
      </c>
      <c r="AJ26" s="158">
        <v>6295</v>
      </c>
      <c r="AK26" s="158">
        <v>19050</v>
      </c>
      <c r="AL26" s="158">
        <v>22050</v>
      </c>
      <c r="AM26" s="457">
        <f t="shared" si="14"/>
        <v>86320</v>
      </c>
      <c r="AN26" s="458">
        <f t="shared" si="15"/>
        <v>1421725</v>
      </c>
      <c r="AO26" s="458">
        <f t="shared" si="16"/>
        <v>629500</v>
      </c>
      <c r="AP26" s="458">
        <f t="shared" si="17"/>
        <v>95250</v>
      </c>
      <c r="AQ26" s="459">
        <f t="shared" si="18"/>
        <v>110250</v>
      </c>
      <c r="AR26" s="457">
        <f>SUM(Tabla1[[#This Row],[COSTO OPERATIVO ACIDO]:[COSTO OPERATIVO CATIONICO]])</f>
        <v>2343045</v>
      </c>
      <c r="AS26" s="458">
        <v>5250</v>
      </c>
      <c r="AT26" s="460">
        <f t="shared" si="19"/>
        <v>4462.9428571428571</v>
      </c>
    </row>
    <row r="27" spans="1:46" s="487" customFormat="1" ht="14.95" thickBot="1" x14ac:dyDescent="0.3">
      <c r="A27" s="461">
        <f t="shared" ref="A27:A28" si="32">A26</f>
        <v>46062</v>
      </c>
      <c r="B27" s="157">
        <f>DAY(Tabla1[[#This Row],[FECHA]])</f>
        <v>9</v>
      </c>
      <c r="C27" s="462" t="s">
        <v>256</v>
      </c>
      <c r="D27" s="463">
        <v>26</v>
      </c>
      <c r="E27" s="463" t="s">
        <v>77</v>
      </c>
      <c r="F27" s="464">
        <v>2670</v>
      </c>
      <c r="G27" s="465">
        <v>5930</v>
      </c>
      <c r="H27" s="465">
        <v>2250</v>
      </c>
      <c r="I27" s="465">
        <v>160</v>
      </c>
      <c r="J27" s="465">
        <v>110</v>
      </c>
      <c r="K27" s="483">
        <v>16954</v>
      </c>
      <c r="L27" s="478">
        <f>+(K28-Tabla1[[#This Row],[Lectura Horometro INICIAL (06:00)]])*Tabla1[[#This Row],[CAUDAL DE TRATAMIENTO]]</f>
        <v>525</v>
      </c>
      <c r="M27" s="479">
        <v>75</v>
      </c>
      <c r="N27" s="444">
        <f t="shared" si="22"/>
        <v>0</v>
      </c>
      <c r="O27" s="498">
        <f t="shared" si="23"/>
        <v>130</v>
      </c>
      <c r="P27" s="444">
        <f t="shared" si="24"/>
        <v>20</v>
      </c>
      <c r="Q27" s="444">
        <f t="shared" si="27"/>
        <v>0</v>
      </c>
      <c r="R27" s="445">
        <f t="shared" si="28"/>
        <v>5</v>
      </c>
      <c r="S27" s="452">
        <f t="shared" si="6"/>
        <v>0</v>
      </c>
      <c r="T27" s="453">
        <f t="shared" si="7"/>
        <v>172.25</v>
      </c>
      <c r="U27" s="453">
        <f t="shared" si="8"/>
        <v>25</v>
      </c>
      <c r="V27" s="466">
        <f>Tabla1[[#This Row],[CONSUMO POL ANIONICO (KG)]]</f>
        <v>0</v>
      </c>
      <c r="W27" s="445">
        <f>Tabla1[[#This Row],[CONSUMO POL CATIONICO (KG)]]</f>
        <v>5</v>
      </c>
      <c r="X27" s="467">
        <f t="shared" si="9"/>
        <v>0</v>
      </c>
      <c r="Y27" s="466">
        <f t="shared" si="10"/>
        <v>328.09523809523807</v>
      </c>
      <c r="Z27" s="466">
        <f t="shared" si="11"/>
        <v>47.61904761904762</v>
      </c>
      <c r="AA27" s="466">
        <f t="shared" si="12"/>
        <v>0</v>
      </c>
      <c r="AB27" s="445">
        <f t="shared" si="13"/>
        <v>9.5238095238095237</v>
      </c>
      <c r="AC27" s="454">
        <v>1.3</v>
      </c>
      <c r="AD27" s="454">
        <v>1.325</v>
      </c>
      <c r="AE27" s="454">
        <v>1.25</v>
      </c>
      <c r="AF27" s="455">
        <v>2500</v>
      </c>
      <c r="AG27" s="456">
        <v>2500</v>
      </c>
      <c r="AH27" s="158">
        <v>830</v>
      </c>
      <c r="AI27" s="158">
        <v>2900</v>
      </c>
      <c r="AJ27" s="158">
        <v>6295</v>
      </c>
      <c r="AK27" s="158">
        <v>19050</v>
      </c>
      <c r="AL27" s="158">
        <v>22050</v>
      </c>
      <c r="AM27" s="468">
        <f t="shared" si="14"/>
        <v>0</v>
      </c>
      <c r="AN27" s="460">
        <f t="shared" si="15"/>
        <v>499525</v>
      </c>
      <c r="AO27" s="460">
        <f t="shared" si="16"/>
        <v>157375</v>
      </c>
      <c r="AP27" s="460">
        <f t="shared" si="17"/>
        <v>0</v>
      </c>
      <c r="AQ27" s="469">
        <f t="shared" si="18"/>
        <v>110250</v>
      </c>
      <c r="AR27" s="468">
        <f>SUM(Tabla1[[#This Row],[COSTO OPERATIVO ACIDO]:[COSTO OPERATIVO CATIONICO]])</f>
        <v>767150</v>
      </c>
      <c r="AS27" s="460">
        <v>5250</v>
      </c>
      <c r="AT27" s="460">
        <f t="shared" si="19"/>
        <v>1461.2380952380952</v>
      </c>
    </row>
    <row r="28" spans="1:46" s="487" customFormat="1" ht="14.95" thickBot="1" x14ac:dyDescent="0.3">
      <c r="A28" s="470">
        <f t="shared" si="32"/>
        <v>46062</v>
      </c>
      <c r="B28" s="157">
        <f>DAY(Tabla1[[#This Row],[FECHA]])</f>
        <v>9</v>
      </c>
      <c r="C28" s="471" t="s">
        <v>30</v>
      </c>
      <c r="D28" s="472">
        <v>27</v>
      </c>
      <c r="E28" s="472" t="s">
        <v>76</v>
      </c>
      <c r="F28" s="464">
        <v>2670</v>
      </c>
      <c r="G28" s="465">
        <v>5800</v>
      </c>
      <c r="H28" s="465">
        <v>2230</v>
      </c>
      <c r="I28" s="465">
        <v>160</v>
      </c>
      <c r="J28" s="465">
        <v>105</v>
      </c>
      <c r="K28" s="484">
        <v>16961</v>
      </c>
      <c r="L28" s="485">
        <f>+(K29-Tabla1[[#This Row],[Lectura Horometro INICIAL (06:00)]])*Tabla1[[#This Row],[CAUDAL DE TRATAMIENTO]]</f>
        <v>300</v>
      </c>
      <c r="M28" s="486">
        <v>75</v>
      </c>
      <c r="N28" s="446">
        <f t="shared" si="22"/>
        <v>70</v>
      </c>
      <c r="O28" s="499">
        <f t="shared" si="23"/>
        <v>200</v>
      </c>
      <c r="P28" s="446">
        <f t="shared" si="24"/>
        <v>40</v>
      </c>
      <c r="Q28" s="446">
        <f t="shared" si="27"/>
        <v>5</v>
      </c>
      <c r="R28" s="447">
        <f t="shared" si="28"/>
        <v>5</v>
      </c>
      <c r="S28" s="452">
        <f t="shared" si="6"/>
        <v>91</v>
      </c>
      <c r="T28" s="453">
        <f t="shared" si="7"/>
        <v>265</v>
      </c>
      <c r="U28" s="453">
        <f t="shared" si="8"/>
        <v>50</v>
      </c>
      <c r="V28" s="473">
        <f>Tabla1[[#This Row],[CONSUMO POL ANIONICO (KG)]]</f>
        <v>5</v>
      </c>
      <c r="W28" s="447">
        <f>Tabla1[[#This Row],[CONSUMO POL CATIONICO (KG)]]</f>
        <v>5</v>
      </c>
      <c r="X28" s="467">
        <f t="shared" si="9"/>
        <v>303.33333333333331</v>
      </c>
      <c r="Y28" s="473">
        <f t="shared" si="10"/>
        <v>883.33333333333337</v>
      </c>
      <c r="Z28" s="473">
        <f t="shared" si="11"/>
        <v>166.66666666666666</v>
      </c>
      <c r="AA28" s="473">
        <f t="shared" si="12"/>
        <v>16.666666666666668</v>
      </c>
      <c r="AB28" s="447">
        <f t="shared" si="13"/>
        <v>16.666666666666668</v>
      </c>
      <c r="AC28" s="454">
        <v>1.3</v>
      </c>
      <c r="AD28" s="454">
        <v>1.325</v>
      </c>
      <c r="AE28" s="454">
        <v>1.25</v>
      </c>
      <c r="AF28" s="455">
        <v>2500</v>
      </c>
      <c r="AG28" s="456">
        <v>2500</v>
      </c>
      <c r="AH28" s="158">
        <v>830</v>
      </c>
      <c r="AI28" s="158">
        <v>2900</v>
      </c>
      <c r="AJ28" s="158">
        <v>6295</v>
      </c>
      <c r="AK28" s="158">
        <v>19050</v>
      </c>
      <c r="AL28" s="158">
        <v>22050</v>
      </c>
      <c r="AM28" s="468">
        <f t="shared" si="14"/>
        <v>75530</v>
      </c>
      <c r="AN28" s="474">
        <f t="shared" si="15"/>
        <v>768500</v>
      </c>
      <c r="AO28" s="474">
        <f t="shared" si="16"/>
        <v>314750</v>
      </c>
      <c r="AP28" s="474">
        <f t="shared" si="17"/>
        <v>95250</v>
      </c>
      <c r="AQ28" s="475">
        <f t="shared" si="18"/>
        <v>110250</v>
      </c>
      <c r="AR28" s="468">
        <f>SUM(Tabla1[[#This Row],[COSTO OPERATIVO ACIDO]:[COSTO OPERATIVO CATIONICO]])</f>
        <v>1364280</v>
      </c>
      <c r="AS28" s="474">
        <v>5250</v>
      </c>
      <c r="AT28" s="460">
        <f t="shared" si="19"/>
        <v>4547.6000000000004</v>
      </c>
    </row>
    <row r="29" spans="1:46" s="487" customFormat="1" ht="14.95" thickBot="1" x14ac:dyDescent="0.3">
      <c r="A29" s="213">
        <v>46063</v>
      </c>
      <c r="B29" s="157">
        <f>DAY(Tabla1[[#This Row],[FECHA]])</f>
        <v>10</v>
      </c>
      <c r="C29" s="448" t="s">
        <v>257</v>
      </c>
      <c r="D29" s="449">
        <v>28</v>
      </c>
      <c r="E29" s="449" t="s">
        <v>75</v>
      </c>
      <c r="F29" s="450">
        <v>2600</v>
      </c>
      <c r="G29" s="451">
        <v>5600</v>
      </c>
      <c r="H29" s="451">
        <v>2190</v>
      </c>
      <c r="I29" s="451">
        <v>155</v>
      </c>
      <c r="J29" s="451">
        <v>100</v>
      </c>
      <c r="K29" s="480">
        <v>16965</v>
      </c>
      <c r="L29" s="481">
        <f>+(K30-Tabla1[[#This Row],[Lectura Horometro INICIAL (06:00)]])*Tabla1[[#This Row],[CAUDAL DE TRATAMIENTO]]</f>
        <v>525</v>
      </c>
      <c r="M29" s="482">
        <v>75</v>
      </c>
      <c r="N29" s="442">
        <f t="shared" si="22"/>
        <v>20</v>
      </c>
      <c r="O29" s="497">
        <f t="shared" si="23"/>
        <v>20</v>
      </c>
      <c r="P29" s="442">
        <f t="shared" si="24"/>
        <v>10</v>
      </c>
      <c r="Q29" s="442">
        <f t="shared" si="27"/>
        <v>0</v>
      </c>
      <c r="R29" s="443">
        <f t="shared" si="28"/>
        <v>5</v>
      </c>
      <c r="S29" s="452">
        <f t="shared" si="6"/>
        <v>26</v>
      </c>
      <c r="T29" s="453">
        <f t="shared" si="7"/>
        <v>26.5</v>
      </c>
      <c r="U29" s="453">
        <f t="shared" si="8"/>
        <v>12.5</v>
      </c>
      <c r="V29" s="453">
        <f>Tabla1[[#This Row],[CONSUMO POL ANIONICO (KG)]]</f>
        <v>0</v>
      </c>
      <c r="W29" s="443">
        <f>Tabla1[[#This Row],[CONSUMO POL CATIONICO (KG)]]</f>
        <v>5</v>
      </c>
      <c r="X29" s="452">
        <f t="shared" si="9"/>
        <v>49.523809523809526</v>
      </c>
      <c r="Y29" s="453">
        <f t="shared" si="10"/>
        <v>50.476190476190474</v>
      </c>
      <c r="Z29" s="453">
        <f t="shared" si="11"/>
        <v>23.80952380952381</v>
      </c>
      <c r="AA29" s="453">
        <f t="shared" si="12"/>
        <v>0</v>
      </c>
      <c r="AB29" s="443">
        <f t="shared" si="13"/>
        <v>9.5238095238095237</v>
      </c>
      <c r="AC29" s="454">
        <v>1.3</v>
      </c>
      <c r="AD29" s="454">
        <v>1.325</v>
      </c>
      <c r="AE29" s="454">
        <v>1.25</v>
      </c>
      <c r="AF29" s="455">
        <v>2500</v>
      </c>
      <c r="AG29" s="456">
        <v>2500</v>
      </c>
      <c r="AH29" s="158">
        <v>830</v>
      </c>
      <c r="AI29" s="158">
        <v>2900</v>
      </c>
      <c r="AJ29" s="158">
        <v>6295</v>
      </c>
      <c r="AK29" s="158">
        <v>19050</v>
      </c>
      <c r="AL29" s="158">
        <v>22050</v>
      </c>
      <c r="AM29" s="457">
        <f t="shared" si="14"/>
        <v>21580</v>
      </c>
      <c r="AN29" s="458">
        <f t="shared" si="15"/>
        <v>76850</v>
      </c>
      <c r="AO29" s="458">
        <f t="shared" si="16"/>
        <v>78687.5</v>
      </c>
      <c r="AP29" s="458">
        <f t="shared" si="17"/>
        <v>0</v>
      </c>
      <c r="AQ29" s="459">
        <f t="shared" si="18"/>
        <v>110250</v>
      </c>
      <c r="AR29" s="457">
        <f>SUM(Tabla1[[#This Row],[COSTO OPERATIVO ACIDO]:[COSTO OPERATIVO CATIONICO]])</f>
        <v>287367.5</v>
      </c>
      <c r="AS29" s="458">
        <v>5250</v>
      </c>
      <c r="AT29" s="460">
        <f t="shared" si="19"/>
        <v>547.36666666666667</v>
      </c>
    </row>
    <row r="30" spans="1:46" s="487" customFormat="1" ht="14.95" thickBot="1" x14ac:dyDescent="0.3">
      <c r="A30" s="461">
        <f t="shared" ref="A30:A31" si="33">A29</f>
        <v>46063</v>
      </c>
      <c r="B30" s="157">
        <f>DAY(Tabla1[[#This Row],[FECHA]])</f>
        <v>10</v>
      </c>
      <c r="C30" s="462" t="s">
        <v>258</v>
      </c>
      <c r="D30" s="463">
        <v>29</v>
      </c>
      <c r="E30" s="463" t="s">
        <v>77</v>
      </c>
      <c r="F30" s="464">
        <v>2580</v>
      </c>
      <c r="G30" s="465">
        <v>5580</v>
      </c>
      <c r="H30" s="465">
        <v>2180</v>
      </c>
      <c r="I30" s="465">
        <v>155</v>
      </c>
      <c r="J30" s="465">
        <v>95</v>
      </c>
      <c r="K30" s="483">
        <v>16972</v>
      </c>
      <c r="L30" s="478">
        <f>+(K31-Tabla1[[#This Row],[Lectura Horometro INICIAL (06:00)]])*Tabla1[[#This Row],[CAUDAL DE TRATAMIENTO]]</f>
        <v>300</v>
      </c>
      <c r="M30" s="479">
        <v>75</v>
      </c>
      <c r="N30" s="444">
        <f t="shared" si="22"/>
        <v>80</v>
      </c>
      <c r="O30" s="498">
        <f t="shared" si="23"/>
        <v>170</v>
      </c>
      <c r="P30" s="444">
        <f t="shared" si="24"/>
        <v>20</v>
      </c>
      <c r="Q30" s="444">
        <f t="shared" si="27"/>
        <v>5</v>
      </c>
      <c r="R30" s="445">
        <f t="shared" si="28"/>
        <v>5</v>
      </c>
      <c r="S30" s="452">
        <f t="shared" si="6"/>
        <v>104</v>
      </c>
      <c r="T30" s="453">
        <f t="shared" si="7"/>
        <v>225.25</v>
      </c>
      <c r="U30" s="453">
        <f t="shared" si="8"/>
        <v>25</v>
      </c>
      <c r="V30" s="466">
        <f>Tabla1[[#This Row],[CONSUMO POL ANIONICO (KG)]]</f>
        <v>5</v>
      </c>
      <c r="W30" s="445">
        <f>Tabla1[[#This Row],[CONSUMO POL CATIONICO (KG)]]</f>
        <v>5</v>
      </c>
      <c r="X30" s="467">
        <f t="shared" si="9"/>
        <v>346.66666666666669</v>
      </c>
      <c r="Y30" s="466">
        <f t="shared" si="10"/>
        <v>750.83333333333337</v>
      </c>
      <c r="Z30" s="466">
        <f t="shared" si="11"/>
        <v>83.333333333333329</v>
      </c>
      <c r="AA30" s="466">
        <f t="shared" si="12"/>
        <v>16.666666666666668</v>
      </c>
      <c r="AB30" s="445">
        <f t="shared" si="13"/>
        <v>16.666666666666668</v>
      </c>
      <c r="AC30" s="454">
        <v>1.3</v>
      </c>
      <c r="AD30" s="454">
        <v>1.325</v>
      </c>
      <c r="AE30" s="454">
        <v>1.25</v>
      </c>
      <c r="AF30" s="455">
        <v>2500</v>
      </c>
      <c r="AG30" s="456">
        <v>2500</v>
      </c>
      <c r="AH30" s="158">
        <v>830</v>
      </c>
      <c r="AI30" s="158">
        <v>2900</v>
      </c>
      <c r="AJ30" s="158">
        <v>6295</v>
      </c>
      <c r="AK30" s="158">
        <v>19050</v>
      </c>
      <c r="AL30" s="158">
        <v>22050</v>
      </c>
      <c r="AM30" s="468">
        <f t="shared" si="14"/>
        <v>86320</v>
      </c>
      <c r="AN30" s="460">
        <f t="shared" si="15"/>
        <v>653225</v>
      </c>
      <c r="AO30" s="460">
        <f t="shared" si="16"/>
        <v>157375</v>
      </c>
      <c r="AP30" s="460">
        <f t="shared" si="17"/>
        <v>95250</v>
      </c>
      <c r="AQ30" s="469">
        <f t="shared" si="18"/>
        <v>110250</v>
      </c>
      <c r="AR30" s="468">
        <f>SUM(Tabla1[[#This Row],[COSTO OPERATIVO ACIDO]:[COSTO OPERATIVO CATIONICO]])</f>
        <v>1102420</v>
      </c>
      <c r="AS30" s="460">
        <v>5250</v>
      </c>
      <c r="AT30" s="460">
        <f t="shared" si="19"/>
        <v>3674.7333333333331</v>
      </c>
    </row>
    <row r="31" spans="1:46" s="487" customFormat="1" ht="14.95" thickBot="1" x14ac:dyDescent="0.3">
      <c r="A31" s="470">
        <f t="shared" si="33"/>
        <v>46063</v>
      </c>
      <c r="B31" s="157">
        <f>DAY(Tabla1[[#This Row],[FECHA]])</f>
        <v>10</v>
      </c>
      <c r="C31" s="471" t="s">
        <v>30</v>
      </c>
      <c r="D31" s="472">
        <v>30</v>
      </c>
      <c r="E31" s="472" t="s">
        <v>76</v>
      </c>
      <c r="F31" s="464">
        <v>2500</v>
      </c>
      <c r="G31" s="465">
        <v>5410</v>
      </c>
      <c r="H31" s="465">
        <v>2160</v>
      </c>
      <c r="I31" s="465">
        <v>150</v>
      </c>
      <c r="J31" s="465">
        <v>90</v>
      </c>
      <c r="K31" s="484">
        <v>16976</v>
      </c>
      <c r="L31" s="485">
        <f>+(K32-Tabla1[[#This Row],[Lectura Horometro INICIAL (06:00)]])*Tabla1[[#This Row],[CAUDAL DE TRATAMIENTO]]</f>
        <v>600</v>
      </c>
      <c r="M31" s="486">
        <v>75</v>
      </c>
      <c r="N31" s="446">
        <f t="shared" si="22"/>
        <v>170</v>
      </c>
      <c r="O31" s="499">
        <f t="shared" si="23"/>
        <v>140</v>
      </c>
      <c r="P31" s="446">
        <f t="shared" si="24"/>
        <v>50</v>
      </c>
      <c r="Q31" s="446">
        <f t="shared" si="27"/>
        <v>0</v>
      </c>
      <c r="R31" s="447">
        <f t="shared" si="28"/>
        <v>5</v>
      </c>
      <c r="S31" s="452">
        <f t="shared" si="6"/>
        <v>221</v>
      </c>
      <c r="T31" s="453">
        <f t="shared" si="7"/>
        <v>185.5</v>
      </c>
      <c r="U31" s="453">
        <f t="shared" si="8"/>
        <v>62.5</v>
      </c>
      <c r="V31" s="473">
        <f>Tabla1[[#This Row],[CONSUMO POL ANIONICO (KG)]]</f>
        <v>0</v>
      </c>
      <c r="W31" s="447">
        <f>Tabla1[[#This Row],[CONSUMO POL CATIONICO (KG)]]</f>
        <v>5</v>
      </c>
      <c r="X31" s="467">
        <f t="shared" si="9"/>
        <v>368.33333333333331</v>
      </c>
      <c r="Y31" s="473">
        <f t="shared" si="10"/>
        <v>309.16666666666669</v>
      </c>
      <c r="Z31" s="473">
        <f t="shared" si="11"/>
        <v>104.16666666666667</v>
      </c>
      <c r="AA31" s="473">
        <f t="shared" si="12"/>
        <v>0</v>
      </c>
      <c r="AB31" s="447">
        <f t="shared" si="13"/>
        <v>8.3333333333333339</v>
      </c>
      <c r="AC31" s="454">
        <v>1.3</v>
      </c>
      <c r="AD31" s="454">
        <v>1.325</v>
      </c>
      <c r="AE31" s="454">
        <v>1.25</v>
      </c>
      <c r="AF31" s="455">
        <v>2500</v>
      </c>
      <c r="AG31" s="456">
        <v>2500</v>
      </c>
      <c r="AH31" s="158">
        <v>830</v>
      </c>
      <c r="AI31" s="158">
        <v>2900</v>
      </c>
      <c r="AJ31" s="158">
        <v>6295</v>
      </c>
      <c r="AK31" s="158">
        <v>19050</v>
      </c>
      <c r="AL31" s="158">
        <v>22050</v>
      </c>
      <c r="AM31" s="468">
        <f t="shared" si="14"/>
        <v>183430</v>
      </c>
      <c r="AN31" s="474">
        <f t="shared" si="15"/>
        <v>537950</v>
      </c>
      <c r="AO31" s="474">
        <f t="shared" si="16"/>
        <v>393437.5</v>
      </c>
      <c r="AP31" s="474">
        <f t="shared" si="17"/>
        <v>0</v>
      </c>
      <c r="AQ31" s="475">
        <f t="shared" si="18"/>
        <v>110250</v>
      </c>
      <c r="AR31" s="468">
        <f>SUM(Tabla1[[#This Row],[COSTO OPERATIVO ACIDO]:[COSTO OPERATIVO CATIONICO]])</f>
        <v>1225067.5</v>
      </c>
      <c r="AS31" s="474">
        <v>5250</v>
      </c>
      <c r="AT31" s="460">
        <f t="shared" si="19"/>
        <v>2041.7791666666667</v>
      </c>
    </row>
    <row r="32" spans="1:46" s="487" customFormat="1" ht="14.95" thickBot="1" x14ac:dyDescent="0.3">
      <c r="A32" s="213">
        <v>46064</v>
      </c>
      <c r="B32" s="157">
        <f>DAY(Tabla1[[#This Row],[FECHA]])</f>
        <v>11</v>
      </c>
      <c r="C32" s="448" t="s">
        <v>259</v>
      </c>
      <c r="D32" s="449">
        <v>31</v>
      </c>
      <c r="E32" s="449" t="s">
        <v>75</v>
      </c>
      <c r="F32" s="450">
        <v>2330</v>
      </c>
      <c r="G32" s="451">
        <v>5270</v>
      </c>
      <c r="H32" s="451">
        <v>2110</v>
      </c>
      <c r="I32" s="451">
        <v>150</v>
      </c>
      <c r="J32" s="451">
        <v>85</v>
      </c>
      <c r="K32" s="480">
        <v>16984</v>
      </c>
      <c r="L32" s="481">
        <f>+(K33-Tabla1[[#This Row],[Lectura Horometro INICIAL (06:00)]])*Tabla1[[#This Row],[CAUDAL DE TRATAMIENTO]]</f>
        <v>225</v>
      </c>
      <c r="M32" s="482">
        <v>75</v>
      </c>
      <c r="N32" s="442">
        <f t="shared" si="22"/>
        <v>130</v>
      </c>
      <c r="O32" s="497">
        <f t="shared" si="23"/>
        <v>90</v>
      </c>
      <c r="P32" s="442">
        <f t="shared" si="24"/>
        <v>10</v>
      </c>
      <c r="Q32" s="442">
        <f t="shared" si="27"/>
        <v>5</v>
      </c>
      <c r="R32" s="443">
        <f t="shared" si="28"/>
        <v>5</v>
      </c>
      <c r="S32" s="452">
        <f t="shared" si="6"/>
        <v>169</v>
      </c>
      <c r="T32" s="453">
        <f t="shared" si="7"/>
        <v>119.25</v>
      </c>
      <c r="U32" s="453">
        <f t="shared" si="8"/>
        <v>12.5</v>
      </c>
      <c r="V32" s="453">
        <f>Tabla1[[#This Row],[CONSUMO POL ANIONICO (KG)]]</f>
        <v>5</v>
      </c>
      <c r="W32" s="443">
        <f>Tabla1[[#This Row],[CONSUMO POL CATIONICO (KG)]]</f>
        <v>5</v>
      </c>
      <c r="X32" s="452">
        <f t="shared" si="9"/>
        <v>751.11111111111109</v>
      </c>
      <c r="Y32" s="453">
        <f t="shared" si="10"/>
        <v>530</v>
      </c>
      <c r="Z32" s="453">
        <f t="shared" si="11"/>
        <v>55.555555555555557</v>
      </c>
      <c r="AA32" s="453">
        <f t="shared" si="12"/>
        <v>22.222222222222221</v>
      </c>
      <c r="AB32" s="443">
        <f t="shared" si="13"/>
        <v>22.222222222222221</v>
      </c>
      <c r="AC32" s="454">
        <v>1.3</v>
      </c>
      <c r="AD32" s="454">
        <v>1.325</v>
      </c>
      <c r="AE32" s="454">
        <v>1.25</v>
      </c>
      <c r="AF32" s="455">
        <v>2500</v>
      </c>
      <c r="AG32" s="456">
        <v>2500</v>
      </c>
      <c r="AH32" s="158">
        <v>830</v>
      </c>
      <c r="AI32" s="158">
        <v>2900</v>
      </c>
      <c r="AJ32" s="158">
        <v>6295</v>
      </c>
      <c r="AK32" s="158">
        <v>19050</v>
      </c>
      <c r="AL32" s="158">
        <v>22050</v>
      </c>
      <c r="AM32" s="457">
        <f t="shared" si="14"/>
        <v>140270</v>
      </c>
      <c r="AN32" s="458">
        <f t="shared" si="15"/>
        <v>345825</v>
      </c>
      <c r="AO32" s="458">
        <f t="shared" si="16"/>
        <v>78687.5</v>
      </c>
      <c r="AP32" s="458">
        <f t="shared" si="17"/>
        <v>95250</v>
      </c>
      <c r="AQ32" s="459">
        <f t="shared" si="18"/>
        <v>110250</v>
      </c>
      <c r="AR32" s="457">
        <f>SUM(Tabla1[[#This Row],[COSTO OPERATIVO ACIDO]:[COSTO OPERATIVO CATIONICO]])</f>
        <v>770282.5</v>
      </c>
      <c r="AS32" s="458">
        <v>5250</v>
      </c>
      <c r="AT32" s="460">
        <f t="shared" si="19"/>
        <v>3423.4777777777776</v>
      </c>
    </row>
    <row r="33" spans="1:46" s="487" customFormat="1" ht="14.95" thickBot="1" x14ac:dyDescent="0.3">
      <c r="A33" s="461">
        <f t="shared" ref="A33:A34" si="34">A32</f>
        <v>46064</v>
      </c>
      <c r="B33" s="157">
        <f>DAY(Tabla1[[#This Row],[FECHA]])</f>
        <v>11</v>
      </c>
      <c r="C33" s="462" t="s">
        <v>260</v>
      </c>
      <c r="D33" s="463">
        <v>32</v>
      </c>
      <c r="E33" s="463" t="s">
        <v>77</v>
      </c>
      <c r="F33" s="464">
        <v>2200</v>
      </c>
      <c r="G33" s="465">
        <v>5180</v>
      </c>
      <c r="H33" s="465">
        <v>2100</v>
      </c>
      <c r="I33" s="465">
        <v>145</v>
      </c>
      <c r="J33" s="465">
        <v>80</v>
      </c>
      <c r="K33" s="483">
        <v>16987</v>
      </c>
      <c r="L33" s="478">
        <f>+(K34-Tabla1[[#This Row],[Lectura Horometro INICIAL (06:00)]])*Tabla1[[#This Row],[CAUDAL DE TRATAMIENTO]]</f>
        <v>450</v>
      </c>
      <c r="M33" s="479">
        <v>75</v>
      </c>
      <c r="N33" s="444">
        <f t="shared" si="22"/>
        <v>100</v>
      </c>
      <c r="O33" s="514">
        <f>G33-G34-150</f>
        <v>120</v>
      </c>
      <c r="P33" s="444">
        <f t="shared" si="24"/>
        <v>30</v>
      </c>
      <c r="Q33" s="444">
        <f t="shared" si="27"/>
        <v>5</v>
      </c>
      <c r="R33" s="445">
        <f t="shared" si="28"/>
        <v>5</v>
      </c>
      <c r="S33" s="452">
        <f t="shared" si="6"/>
        <v>130</v>
      </c>
      <c r="T33" s="453">
        <f t="shared" si="7"/>
        <v>159</v>
      </c>
      <c r="U33" s="453">
        <f t="shared" si="8"/>
        <v>37.5</v>
      </c>
      <c r="V33" s="466">
        <f>Tabla1[[#This Row],[CONSUMO POL ANIONICO (KG)]]</f>
        <v>5</v>
      </c>
      <c r="W33" s="445">
        <f>Tabla1[[#This Row],[CONSUMO POL CATIONICO (KG)]]</f>
        <v>5</v>
      </c>
      <c r="X33" s="467">
        <f t="shared" si="9"/>
        <v>288.88888888888891</v>
      </c>
      <c r="Y33" s="466">
        <f t="shared" si="10"/>
        <v>353.33333333333331</v>
      </c>
      <c r="Z33" s="466">
        <f t="shared" si="11"/>
        <v>83.333333333333329</v>
      </c>
      <c r="AA33" s="466">
        <f t="shared" si="12"/>
        <v>11.111111111111111</v>
      </c>
      <c r="AB33" s="445">
        <f t="shared" si="13"/>
        <v>11.111111111111111</v>
      </c>
      <c r="AC33" s="454">
        <v>1.3</v>
      </c>
      <c r="AD33" s="454">
        <v>1.325</v>
      </c>
      <c r="AE33" s="454">
        <v>1.25</v>
      </c>
      <c r="AF33" s="455">
        <v>2500</v>
      </c>
      <c r="AG33" s="456">
        <v>2500</v>
      </c>
      <c r="AH33" s="158">
        <v>830</v>
      </c>
      <c r="AI33" s="158">
        <v>2900</v>
      </c>
      <c r="AJ33" s="158">
        <v>6295</v>
      </c>
      <c r="AK33" s="158">
        <v>19050</v>
      </c>
      <c r="AL33" s="158">
        <v>22050</v>
      </c>
      <c r="AM33" s="468">
        <f t="shared" si="14"/>
        <v>107900</v>
      </c>
      <c r="AN33" s="460">
        <f t="shared" si="15"/>
        <v>461100</v>
      </c>
      <c r="AO33" s="460">
        <f t="shared" si="16"/>
        <v>236062.5</v>
      </c>
      <c r="AP33" s="460">
        <f t="shared" si="17"/>
        <v>95250</v>
      </c>
      <c r="AQ33" s="469">
        <f t="shared" si="18"/>
        <v>110250</v>
      </c>
      <c r="AR33" s="468">
        <f>SUM(Tabla1[[#This Row],[COSTO OPERATIVO ACIDO]:[COSTO OPERATIVO CATIONICO]])</f>
        <v>1010562.5</v>
      </c>
      <c r="AS33" s="460">
        <v>5250</v>
      </c>
      <c r="AT33" s="460">
        <f t="shared" si="19"/>
        <v>2245.6944444444443</v>
      </c>
    </row>
    <row r="34" spans="1:46" s="487" customFormat="1" ht="14.95" thickBot="1" x14ac:dyDescent="0.3">
      <c r="A34" s="470">
        <f t="shared" si="34"/>
        <v>46064</v>
      </c>
      <c r="B34" s="157">
        <f>DAY(Tabla1[[#This Row],[FECHA]])</f>
        <v>11</v>
      </c>
      <c r="C34" s="471" t="s">
        <v>30</v>
      </c>
      <c r="D34" s="472">
        <v>33</v>
      </c>
      <c r="E34" s="472" t="s">
        <v>76</v>
      </c>
      <c r="F34" s="464">
        <v>2100</v>
      </c>
      <c r="G34" s="465">
        <v>4910</v>
      </c>
      <c r="H34" s="465">
        <v>2070</v>
      </c>
      <c r="I34" s="465">
        <v>140</v>
      </c>
      <c r="J34" s="465">
        <v>75</v>
      </c>
      <c r="K34" s="484">
        <v>16993</v>
      </c>
      <c r="L34" s="485">
        <f>+(K35-Tabla1[[#This Row],[Lectura Horometro INICIAL (06:00)]])*Tabla1[[#This Row],[CAUDAL DE TRATAMIENTO]]</f>
        <v>600</v>
      </c>
      <c r="M34" s="486">
        <v>75</v>
      </c>
      <c r="N34" s="446">
        <f t="shared" si="22"/>
        <v>70</v>
      </c>
      <c r="O34" s="499">
        <f t="shared" si="23"/>
        <v>110</v>
      </c>
      <c r="P34" s="446">
        <f t="shared" si="24"/>
        <v>70</v>
      </c>
      <c r="Q34" s="446">
        <f t="shared" si="27"/>
        <v>0</v>
      </c>
      <c r="R34" s="447">
        <f t="shared" si="28"/>
        <v>5</v>
      </c>
      <c r="S34" s="452">
        <f t="shared" si="6"/>
        <v>91</v>
      </c>
      <c r="T34" s="453">
        <f t="shared" si="7"/>
        <v>145.75</v>
      </c>
      <c r="U34" s="453">
        <f t="shared" si="8"/>
        <v>87.5</v>
      </c>
      <c r="V34" s="473">
        <f>Tabla1[[#This Row],[CONSUMO POL ANIONICO (KG)]]</f>
        <v>0</v>
      </c>
      <c r="W34" s="447">
        <f>Tabla1[[#This Row],[CONSUMO POL CATIONICO (KG)]]</f>
        <v>5</v>
      </c>
      <c r="X34" s="467">
        <f t="shared" si="9"/>
        <v>151.66666666666666</v>
      </c>
      <c r="Y34" s="473">
        <f t="shared" si="10"/>
        <v>242.91666666666666</v>
      </c>
      <c r="Z34" s="473">
        <f t="shared" si="11"/>
        <v>145.83333333333334</v>
      </c>
      <c r="AA34" s="473">
        <f t="shared" si="12"/>
        <v>0</v>
      </c>
      <c r="AB34" s="447">
        <f t="shared" si="13"/>
        <v>8.3333333333333339</v>
      </c>
      <c r="AC34" s="454">
        <v>1.3</v>
      </c>
      <c r="AD34" s="454">
        <v>1.325</v>
      </c>
      <c r="AE34" s="454">
        <v>1.25</v>
      </c>
      <c r="AF34" s="455">
        <v>2500</v>
      </c>
      <c r="AG34" s="456">
        <v>2500</v>
      </c>
      <c r="AH34" s="158">
        <v>830</v>
      </c>
      <c r="AI34" s="158">
        <v>2900</v>
      </c>
      <c r="AJ34" s="158">
        <v>6295</v>
      </c>
      <c r="AK34" s="158">
        <v>19050</v>
      </c>
      <c r="AL34" s="158">
        <v>22050</v>
      </c>
      <c r="AM34" s="468">
        <f t="shared" si="14"/>
        <v>75530</v>
      </c>
      <c r="AN34" s="474">
        <f t="shared" si="15"/>
        <v>422675</v>
      </c>
      <c r="AO34" s="474">
        <f t="shared" si="16"/>
        <v>550812.5</v>
      </c>
      <c r="AP34" s="474">
        <f t="shared" si="17"/>
        <v>0</v>
      </c>
      <c r="AQ34" s="475">
        <f t="shared" si="18"/>
        <v>110250</v>
      </c>
      <c r="AR34" s="468">
        <f>SUM(Tabla1[[#This Row],[COSTO OPERATIVO ACIDO]:[COSTO OPERATIVO CATIONICO]])</f>
        <v>1159267.5</v>
      </c>
      <c r="AS34" s="474">
        <v>5250</v>
      </c>
      <c r="AT34" s="460">
        <f t="shared" si="19"/>
        <v>1932.1125</v>
      </c>
    </row>
    <row r="35" spans="1:46" s="487" customFormat="1" ht="14.95" thickBot="1" x14ac:dyDescent="0.3">
      <c r="A35" s="213">
        <v>46065</v>
      </c>
      <c r="B35" s="157">
        <f>DAY(Tabla1[[#This Row],[FECHA]])</f>
        <v>12</v>
      </c>
      <c r="C35" s="448" t="s">
        <v>261</v>
      </c>
      <c r="D35" s="449">
        <v>34</v>
      </c>
      <c r="E35" s="449" t="s">
        <v>75</v>
      </c>
      <c r="F35" s="450">
        <v>2030</v>
      </c>
      <c r="G35" s="451">
        <v>4800</v>
      </c>
      <c r="H35" s="451">
        <v>2000</v>
      </c>
      <c r="I35" s="451">
        <v>140</v>
      </c>
      <c r="J35" s="451">
        <v>70</v>
      </c>
      <c r="K35" s="480">
        <v>17001</v>
      </c>
      <c r="L35" s="481">
        <f>+(K36-Tabla1[[#This Row],[Lectura Horometro INICIAL (06:00)]])*Tabla1[[#This Row],[CAUDAL DE TRATAMIENTO]]</f>
        <v>375</v>
      </c>
      <c r="M35" s="482">
        <v>75</v>
      </c>
      <c r="N35" s="442">
        <f t="shared" si="22"/>
        <v>100</v>
      </c>
      <c r="O35" s="497">
        <f t="shared" si="23"/>
        <v>120</v>
      </c>
      <c r="P35" s="442">
        <f t="shared" si="24"/>
        <v>0</v>
      </c>
      <c r="Q35" s="442">
        <f t="shared" si="27"/>
        <v>5</v>
      </c>
      <c r="R35" s="443">
        <f t="shared" si="28"/>
        <v>5</v>
      </c>
      <c r="S35" s="452">
        <f t="shared" si="6"/>
        <v>130</v>
      </c>
      <c r="T35" s="453">
        <f t="shared" si="7"/>
        <v>159</v>
      </c>
      <c r="U35" s="453">
        <f t="shared" si="8"/>
        <v>0</v>
      </c>
      <c r="V35" s="453">
        <f>Tabla1[[#This Row],[CONSUMO POL ANIONICO (KG)]]</f>
        <v>5</v>
      </c>
      <c r="W35" s="443">
        <f>Tabla1[[#This Row],[CONSUMO POL CATIONICO (KG)]]</f>
        <v>5</v>
      </c>
      <c r="X35" s="452">
        <f t="shared" si="9"/>
        <v>346.66666666666669</v>
      </c>
      <c r="Y35" s="453">
        <f t="shared" si="10"/>
        <v>424</v>
      </c>
      <c r="Z35" s="453">
        <f t="shared" si="11"/>
        <v>0</v>
      </c>
      <c r="AA35" s="453">
        <f t="shared" si="12"/>
        <v>13.333333333333334</v>
      </c>
      <c r="AB35" s="443">
        <f t="shared" si="13"/>
        <v>13.333333333333334</v>
      </c>
      <c r="AC35" s="454">
        <v>1.3</v>
      </c>
      <c r="AD35" s="454">
        <v>1.325</v>
      </c>
      <c r="AE35" s="454">
        <v>1.25</v>
      </c>
      <c r="AF35" s="455">
        <v>2500</v>
      </c>
      <c r="AG35" s="456">
        <v>2500</v>
      </c>
      <c r="AH35" s="158">
        <v>830</v>
      </c>
      <c r="AI35" s="158">
        <v>2900</v>
      </c>
      <c r="AJ35" s="158">
        <v>6295</v>
      </c>
      <c r="AK35" s="158">
        <v>19050</v>
      </c>
      <c r="AL35" s="158">
        <v>22050</v>
      </c>
      <c r="AM35" s="457">
        <f t="shared" si="14"/>
        <v>107900</v>
      </c>
      <c r="AN35" s="458">
        <f t="shared" si="15"/>
        <v>461100</v>
      </c>
      <c r="AO35" s="458">
        <f t="shared" si="16"/>
        <v>0</v>
      </c>
      <c r="AP35" s="458">
        <f t="shared" si="17"/>
        <v>95250</v>
      </c>
      <c r="AQ35" s="459">
        <f t="shared" si="18"/>
        <v>110250</v>
      </c>
      <c r="AR35" s="457">
        <f>SUM(Tabla1[[#This Row],[COSTO OPERATIVO ACIDO]:[COSTO OPERATIVO CATIONICO]])</f>
        <v>774500</v>
      </c>
      <c r="AS35" s="458">
        <v>5250</v>
      </c>
      <c r="AT35" s="460">
        <f t="shared" si="19"/>
        <v>2065.3333333333335</v>
      </c>
    </row>
    <row r="36" spans="1:46" s="487" customFormat="1" ht="14.95" thickBot="1" x14ac:dyDescent="0.3">
      <c r="A36" s="461">
        <f t="shared" ref="A36:A37" si="35">A35</f>
        <v>46065</v>
      </c>
      <c r="B36" s="157">
        <f>DAY(Tabla1[[#This Row],[FECHA]])</f>
        <v>12</v>
      </c>
      <c r="C36" s="462" t="s">
        <v>262</v>
      </c>
      <c r="D36" s="463">
        <v>35</v>
      </c>
      <c r="E36" s="463" t="s">
        <v>77</v>
      </c>
      <c r="F36" s="464">
        <v>1930</v>
      </c>
      <c r="G36" s="465">
        <v>4680</v>
      </c>
      <c r="H36" s="465">
        <v>2000</v>
      </c>
      <c r="I36" s="465">
        <v>135</v>
      </c>
      <c r="J36" s="465">
        <v>65</v>
      </c>
      <c r="K36" s="483">
        <v>17006</v>
      </c>
      <c r="L36" s="478">
        <f>+(K37-Tabla1[[#This Row],[Lectura Horometro INICIAL (06:00)]])*Tabla1[[#This Row],[CAUDAL DE TRATAMIENTO]]</f>
        <v>225</v>
      </c>
      <c r="M36" s="479">
        <v>75</v>
      </c>
      <c r="N36" s="444">
        <f t="shared" si="22"/>
        <v>130</v>
      </c>
      <c r="O36" s="498">
        <f t="shared" si="23"/>
        <v>170</v>
      </c>
      <c r="P36" s="444">
        <f t="shared" si="24"/>
        <v>30</v>
      </c>
      <c r="Q36" s="444">
        <f t="shared" si="27"/>
        <v>0</v>
      </c>
      <c r="R36" s="445">
        <f t="shared" si="28"/>
        <v>5</v>
      </c>
      <c r="S36" s="452">
        <f t="shared" si="6"/>
        <v>169</v>
      </c>
      <c r="T36" s="453">
        <f t="shared" si="7"/>
        <v>225.25</v>
      </c>
      <c r="U36" s="453">
        <f t="shared" si="8"/>
        <v>37.5</v>
      </c>
      <c r="V36" s="466">
        <f>Tabla1[[#This Row],[CONSUMO POL ANIONICO (KG)]]</f>
        <v>0</v>
      </c>
      <c r="W36" s="445">
        <f>Tabla1[[#This Row],[CONSUMO POL CATIONICO (KG)]]</f>
        <v>5</v>
      </c>
      <c r="X36" s="467">
        <f t="shared" si="9"/>
        <v>751.11111111111109</v>
      </c>
      <c r="Y36" s="466">
        <f t="shared" si="10"/>
        <v>1001.1111111111111</v>
      </c>
      <c r="Z36" s="466">
        <f t="shared" si="11"/>
        <v>166.66666666666666</v>
      </c>
      <c r="AA36" s="466">
        <f t="shared" si="12"/>
        <v>0</v>
      </c>
      <c r="AB36" s="445">
        <f t="shared" si="13"/>
        <v>22.222222222222221</v>
      </c>
      <c r="AC36" s="454">
        <v>1.3</v>
      </c>
      <c r="AD36" s="454">
        <v>1.325</v>
      </c>
      <c r="AE36" s="454">
        <v>1.25</v>
      </c>
      <c r="AF36" s="455">
        <v>2500</v>
      </c>
      <c r="AG36" s="456">
        <v>2500</v>
      </c>
      <c r="AH36" s="158">
        <v>830</v>
      </c>
      <c r="AI36" s="158">
        <v>2900</v>
      </c>
      <c r="AJ36" s="158">
        <v>6295</v>
      </c>
      <c r="AK36" s="158">
        <v>19050</v>
      </c>
      <c r="AL36" s="158">
        <v>22050</v>
      </c>
      <c r="AM36" s="468">
        <f t="shared" si="14"/>
        <v>140270</v>
      </c>
      <c r="AN36" s="460">
        <f t="shared" si="15"/>
        <v>653225</v>
      </c>
      <c r="AO36" s="460">
        <f t="shared" si="16"/>
        <v>236062.5</v>
      </c>
      <c r="AP36" s="460">
        <f t="shared" si="17"/>
        <v>0</v>
      </c>
      <c r="AQ36" s="469">
        <f t="shared" si="18"/>
        <v>110250</v>
      </c>
      <c r="AR36" s="468">
        <f>SUM(Tabla1[[#This Row],[COSTO OPERATIVO ACIDO]:[COSTO OPERATIVO CATIONICO]])</f>
        <v>1139807.5</v>
      </c>
      <c r="AS36" s="460">
        <v>5250</v>
      </c>
      <c r="AT36" s="460">
        <f t="shared" si="19"/>
        <v>5065.8111111111111</v>
      </c>
    </row>
    <row r="37" spans="1:46" s="487" customFormat="1" ht="14.95" thickBot="1" x14ac:dyDescent="0.3">
      <c r="A37" s="470">
        <f t="shared" si="35"/>
        <v>46065</v>
      </c>
      <c r="B37" s="157">
        <f>DAY(Tabla1[[#This Row],[FECHA]])</f>
        <v>12</v>
      </c>
      <c r="C37" s="471" t="s">
        <v>30</v>
      </c>
      <c r="D37" s="472">
        <v>36</v>
      </c>
      <c r="E37" s="472" t="s">
        <v>76</v>
      </c>
      <c r="F37" s="464">
        <v>1800</v>
      </c>
      <c r="G37" s="465">
        <v>4510</v>
      </c>
      <c r="H37" s="465">
        <v>1970</v>
      </c>
      <c r="I37" s="465">
        <v>135</v>
      </c>
      <c r="J37" s="465">
        <v>60</v>
      </c>
      <c r="K37" s="484">
        <v>17009</v>
      </c>
      <c r="L37" s="485">
        <f>+(K38-Tabla1[[#This Row],[Lectura Horometro INICIAL (06:00)]])*Tabla1[[#This Row],[CAUDAL DE TRATAMIENTO]]</f>
        <v>600</v>
      </c>
      <c r="M37" s="486">
        <v>75</v>
      </c>
      <c r="N37" s="446">
        <f t="shared" si="22"/>
        <v>100</v>
      </c>
      <c r="O37" s="499">
        <f t="shared" si="23"/>
        <v>110</v>
      </c>
      <c r="P37" s="446">
        <f t="shared" si="24"/>
        <v>20</v>
      </c>
      <c r="Q37" s="446">
        <f t="shared" si="27"/>
        <v>5</v>
      </c>
      <c r="R37" s="447">
        <f t="shared" si="28"/>
        <v>5</v>
      </c>
      <c r="S37" s="452">
        <f t="shared" si="6"/>
        <v>130</v>
      </c>
      <c r="T37" s="453">
        <f t="shared" si="7"/>
        <v>145.75</v>
      </c>
      <c r="U37" s="453">
        <f t="shared" si="8"/>
        <v>25</v>
      </c>
      <c r="V37" s="473">
        <f>Tabla1[[#This Row],[CONSUMO POL ANIONICO (KG)]]</f>
        <v>5</v>
      </c>
      <c r="W37" s="447">
        <f>Tabla1[[#This Row],[CONSUMO POL CATIONICO (KG)]]</f>
        <v>5</v>
      </c>
      <c r="X37" s="467">
        <f t="shared" si="9"/>
        <v>216.66666666666666</v>
      </c>
      <c r="Y37" s="473">
        <f t="shared" si="10"/>
        <v>242.91666666666666</v>
      </c>
      <c r="Z37" s="473">
        <f t="shared" si="11"/>
        <v>41.666666666666664</v>
      </c>
      <c r="AA37" s="473">
        <f t="shared" si="12"/>
        <v>8.3333333333333339</v>
      </c>
      <c r="AB37" s="447">
        <f t="shared" si="13"/>
        <v>8.3333333333333339</v>
      </c>
      <c r="AC37" s="454">
        <v>1.3</v>
      </c>
      <c r="AD37" s="454">
        <v>1.325</v>
      </c>
      <c r="AE37" s="454">
        <v>1.25</v>
      </c>
      <c r="AF37" s="455">
        <v>2500</v>
      </c>
      <c r="AG37" s="456">
        <v>2500</v>
      </c>
      <c r="AH37" s="158">
        <v>830</v>
      </c>
      <c r="AI37" s="158">
        <v>2900</v>
      </c>
      <c r="AJ37" s="158">
        <v>6295</v>
      </c>
      <c r="AK37" s="158">
        <v>19050</v>
      </c>
      <c r="AL37" s="158">
        <v>22050</v>
      </c>
      <c r="AM37" s="468">
        <f t="shared" si="14"/>
        <v>107900</v>
      </c>
      <c r="AN37" s="474">
        <f t="shared" si="15"/>
        <v>422675</v>
      </c>
      <c r="AO37" s="474">
        <f t="shared" si="16"/>
        <v>157375</v>
      </c>
      <c r="AP37" s="474">
        <f t="shared" si="17"/>
        <v>95250</v>
      </c>
      <c r="AQ37" s="475">
        <f t="shared" si="18"/>
        <v>110250</v>
      </c>
      <c r="AR37" s="468">
        <f>SUM(Tabla1[[#This Row],[COSTO OPERATIVO ACIDO]:[COSTO OPERATIVO CATIONICO]])</f>
        <v>893450</v>
      </c>
      <c r="AS37" s="474">
        <v>5250</v>
      </c>
      <c r="AT37" s="460">
        <f t="shared" si="19"/>
        <v>1489.0833333333333</v>
      </c>
    </row>
    <row r="38" spans="1:46" ht="14.95" thickBot="1" x14ac:dyDescent="0.3">
      <c r="A38" s="213">
        <v>46066</v>
      </c>
      <c r="B38" s="157">
        <f>DAY(Tabla1[[#This Row],[FECHA]])</f>
        <v>13</v>
      </c>
      <c r="C38" s="448" t="s">
        <v>263</v>
      </c>
      <c r="D38" s="449">
        <v>37</v>
      </c>
      <c r="E38" s="449" t="s">
        <v>75</v>
      </c>
      <c r="F38" s="450">
        <v>1700</v>
      </c>
      <c r="G38" s="451">
        <v>4400</v>
      </c>
      <c r="H38" s="451">
        <v>1950</v>
      </c>
      <c r="I38" s="451">
        <v>130</v>
      </c>
      <c r="J38" s="451">
        <v>55</v>
      </c>
      <c r="K38" s="480">
        <v>17017</v>
      </c>
      <c r="L38" s="481">
        <f>+(K39-Tabla1[[#This Row],[Lectura Horometro INICIAL (06:00)]])*Tabla1[[#This Row],[CAUDAL DE TRATAMIENTO]]</f>
        <v>375</v>
      </c>
      <c r="M38" s="482">
        <v>75</v>
      </c>
      <c r="N38" s="442">
        <f t="shared" si="22"/>
        <v>100</v>
      </c>
      <c r="O38" s="497">
        <f t="shared" si="23"/>
        <v>200</v>
      </c>
      <c r="P38" s="442">
        <f t="shared" si="24"/>
        <v>40</v>
      </c>
      <c r="Q38" s="442">
        <f t="shared" si="27"/>
        <v>0</v>
      </c>
      <c r="R38" s="443">
        <f t="shared" si="28"/>
        <v>5</v>
      </c>
      <c r="S38" s="452">
        <f t="shared" si="6"/>
        <v>130</v>
      </c>
      <c r="T38" s="453">
        <f t="shared" si="7"/>
        <v>265</v>
      </c>
      <c r="U38" s="453">
        <f t="shared" si="8"/>
        <v>50</v>
      </c>
      <c r="V38" s="453">
        <f>Tabla1[[#This Row],[CONSUMO POL ANIONICO (KG)]]</f>
        <v>0</v>
      </c>
      <c r="W38" s="443">
        <f>Tabla1[[#This Row],[CONSUMO POL CATIONICO (KG)]]</f>
        <v>5</v>
      </c>
      <c r="X38" s="452">
        <f t="shared" si="9"/>
        <v>346.66666666666669</v>
      </c>
      <c r="Y38" s="453">
        <f t="shared" si="10"/>
        <v>706.66666666666663</v>
      </c>
      <c r="Z38" s="453">
        <f t="shared" si="11"/>
        <v>133.33333333333334</v>
      </c>
      <c r="AA38" s="453">
        <f t="shared" si="12"/>
        <v>0</v>
      </c>
      <c r="AB38" s="443">
        <f t="shared" si="13"/>
        <v>13.333333333333334</v>
      </c>
      <c r="AC38" s="454">
        <v>1.3</v>
      </c>
      <c r="AD38" s="454">
        <v>1.325</v>
      </c>
      <c r="AE38" s="454">
        <v>1.25</v>
      </c>
      <c r="AF38" s="455">
        <v>2500</v>
      </c>
      <c r="AG38" s="456">
        <v>2500</v>
      </c>
      <c r="AH38" s="158">
        <v>830</v>
      </c>
      <c r="AI38" s="158">
        <v>2900</v>
      </c>
      <c r="AJ38" s="158">
        <v>6295</v>
      </c>
      <c r="AK38" s="158">
        <v>19050</v>
      </c>
      <c r="AL38" s="158">
        <v>22050</v>
      </c>
      <c r="AM38" s="457">
        <f t="shared" si="14"/>
        <v>107900</v>
      </c>
      <c r="AN38" s="458">
        <f t="shared" si="15"/>
        <v>768500</v>
      </c>
      <c r="AO38" s="458">
        <f t="shared" si="16"/>
        <v>314750</v>
      </c>
      <c r="AP38" s="458">
        <f t="shared" si="17"/>
        <v>0</v>
      </c>
      <c r="AQ38" s="459">
        <f t="shared" si="18"/>
        <v>110250</v>
      </c>
      <c r="AR38" s="457">
        <f>SUM(Tabla1[[#This Row],[COSTO OPERATIVO ACIDO]:[COSTO OPERATIVO CATIONICO]])</f>
        <v>1301400</v>
      </c>
      <c r="AS38" s="458">
        <v>5250</v>
      </c>
      <c r="AT38" s="460">
        <f t="shared" si="19"/>
        <v>3470.4</v>
      </c>
    </row>
    <row r="39" spans="1:46" ht="14.95" thickBot="1" x14ac:dyDescent="0.3">
      <c r="A39" s="461">
        <f t="shared" ref="A39:A40" si="36">A38</f>
        <v>46066</v>
      </c>
      <c r="B39" s="157">
        <f>DAY(Tabla1[[#This Row],[FECHA]])</f>
        <v>13</v>
      </c>
      <c r="C39" s="462" t="s">
        <v>264</v>
      </c>
      <c r="D39" s="463">
        <v>38</v>
      </c>
      <c r="E39" s="463" t="s">
        <v>77</v>
      </c>
      <c r="F39" s="464">
        <v>1600</v>
      </c>
      <c r="G39" s="465">
        <v>4200</v>
      </c>
      <c r="H39" s="465">
        <v>1910</v>
      </c>
      <c r="I39" s="465">
        <v>130</v>
      </c>
      <c r="J39" s="465">
        <v>50</v>
      </c>
      <c r="K39" s="483">
        <v>17022</v>
      </c>
      <c r="L39" s="478">
        <f>+(K40-Tabla1[[#This Row],[Lectura Horometro INICIAL (06:00)]])*Tabla1[[#This Row],[CAUDAL DE TRATAMIENTO]]</f>
        <v>450</v>
      </c>
      <c r="M39" s="479">
        <v>75</v>
      </c>
      <c r="N39" s="444">
        <f t="shared" si="22"/>
        <v>110</v>
      </c>
      <c r="O39" s="498">
        <f t="shared" si="23"/>
        <v>230</v>
      </c>
      <c r="P39" s="444">
        <f t="shared" si="24"/>
        <v>60</v>
      </c>
      <c r="Q39" s="444">
        <f t="shared" si="27"/>
        <v>5</v>
      </c>
      <c r="R39" s="445">
        <f t="shared" si="28"/>
        <v>5</v>
      </c>
      <c r="S39" s="452">
        <f t="shared" si="6"/>
        <v>143</v>
      </c>
      <c r="T39" s="453">
        <f t="shared" si="7"/>
        <v>304.75</v>
      </c>
      <c r="U39" s="453">
        <f t="shared" si="8"/>
        <v>75</v>
      </c>
      <c r="V39" s="466">
        <f>Tabla1[[#This Row],[CONSUMO POL ANIONICO (KG)]]</f>
        <v>5</v>
      </c>
      <c r="W39" s="445">
        <f>Tabla1[[#This Row],[CONSUMO POL CATIONICO (KG)]]</f>
        <v>5</v>
      </c>
      <c r="X39" s="467">
        <f t="shared" si="9"/>
        <v>317.77777777777777</v>
      </c>
      <c r="Y39" s="466">
        <f t="shared" si="10"/>
        <v>677.22222222222217</v>
      </c>
      <c r="Z39" s="466">
        <f t="shared" si="11"/>
        <v>166.66666666666666</v>
      </c>
      <c r="AA39" s="466">
        <f t="shared" si="12"/>
        <v>11.111111111111111</v>
      </c>
      <c r="AB39" s="445">
        <f t="shared" si="13"/>
        <v>11.111111111111111</v>
      </c>
      <c r="AC39" s="454">
        <v>1.3</v>
      </c>
      <c r="AD39" s="454">
        <v>1.325</v>
      </c>
      <c r="AE39" s="454">
        <v>1.25</v>
      </c>
      <c r="AF39" s="455">
        <v>2500</v>
      </c>
      <c r="AG39" s="456">
        <v>2500</v>
      </c>
      <c r="AH39" s="158">
        <v>830</v>
      </c>
      <c r="AI39" s="158">
        <v>2900</v>
      </c>
      <c r="AJ39" s="158">
        <v>6295</v>
      </c>
      <c r="AK39" s="158">
        <v>19050</v>
      </c>
      <c r="AL39" s="158">
        <v>22050</v>
      </c>
      <c r="AM39" s="468">
        <f t="shared" si="14"/>
        <v>118690</v>
      </c>
      <c r="AN39" s="460">
        <f t="shared" si="15"/>
        <v>883775</v>
      </c>
      <c r="AO39" s="460">
        <f t="shared" si="16"/>
        <v>472125</v>
      </c>
      <c r="AP39" s="460">
        <f t="shared" si="17"/>
        <v>95250</v>
      </c>
      <c r="AQ39" s="469">
        <f t="shared" si="18"/>
        <v>110250</v>
      </c>
      <c r="AR39" s="468">
        <f>SUM(Tabla1[[#This Row],[COSTO OPERATIVO ACIDO]:[COSTO OPERATIVO CATIONICO]])</f>
        <v>1680090</v>
      </c>
      <c r="AS39" s="460">
        <v>5250</v>
      </c>
      <c r="AT39" s="460">
        <f t="shared" si="19"/>
        <v>3733.5333333333333</v>
      </c>
    </row>
    <row r="40" spans="1:46" ht="14.95" thickBot="1" x14ac:dyDescent="0.3">
      <c r="A40" s="470">
        <f t="shared" si="36"/>
        <v>46066</v>
      </c>
      <c r="B40" s="157">
        <f>DAY(Tabla1[[#This Row],[FECHA]])</f>
        <v>13</v>
      </c>
      <c r="C40" s="471" t="s">
        <v>30</v>
      </c>
      <c r="D40" s="472">
        <v>39</v>
      </c>
      <c r="E40" s="472" t="s">
        <v>76</v>
      </c>
      <c r="F40" s="464">
        <v>1490</v>
      </c>
      <c r="G40" s="465">
        <v>3970</v>
      </c>
      <c r="H40" s="465">
        <v>1850</v>
      </c>
      <c r="I40" s="465">
        <v>125</v>
      </c>
      <c r="J40" s="465">
        <v>45</v>
      </c>
      <c r="K40" s="484">
        <v>17028</v>
      </c>
      <c r="L40" s="485">
        <f>+(K41-Tabla1[[#This Row],[Lectura Horometro INICIAL (06:00)]])*Tabla1[[#This Row],[CAUDAL DE TRATAMIENTO]]</f>
        <v>300</v>
      </c>
      <c r="M40" s="486">
        <v>75</v>
      </c>
      <c r="N40" s="446">
        <f t="shared" si="22"/>
        <v>100</v>
      </c>
      <c r="O40" s="499">
        <f t="shared" si="23"/>
        <v>70</v>
      </c>
      <c r="P40" s="446">
        <f t="shared" si="24"/>
        <v>50</v>
      </c>
      <c r="Q40" s="446">
        <f t="shared" si="27"/>
        <v>0</v>
      </c>
      <c r="R40" s="447">
        <f t="shared" si="28"/>
        <v>5</v>
      </c>
      <c r="S40" s="452">
        <f t="shared" si="6"/>
        <v>130</v>
      </c>
      <c r="T40" s="453">
        <f t="shared" si="7"/>
        <v>92.75</v>
      </c>
      <c r="U40" s="453">
        <f t="shared" si="8"/>
        <v>62.5</v>
      </c>
      <c r="V40" s="473">
        <f>Tabla1[[#This Row],[CONSUMO POL ANIONICO (KG)]]</f>
        <v>0</v>
      </c>
      <c r="W40" s="447">
        <f>Tabla1[[#This Row],[CONSUMO POL CATIONICO (KG)]]</f>
        <v>5</v>
      </c>
      <c r="X40" s="467">
        <f t="shared" si="9"/>
        <v>433.33333333333331</v>
      </c>
      <c r="Y40" s="473">
        <f t="shared" si="10"/>
        <v>309.16666666666669</v>
      </c>
      <c r="Z40" s="473">
        <f t="shared" si="11"/>
        <v>208.33333333333334</v>
      </c>
      <c r="AA40" s="473">
        <f t="shared" si="12"/>
        <v>0</v>
      </c>
      <c r="AB40" s="447">
        <f t="shared" si="13"/>
        <v>16.666666666666668</v>
      </c>
      <c r="AC40" s="454">
        <v>1.3</v>
      </c>
      <c r="AD40" s="454">
        <v>1.325</v>
      </c>
      <c r="AE40" s="454">
        <v>1.25</v>
      </c>
      <c r="AF40" s="455">
        <v>2500</v>
      </c>
      <c r="AG40" s="456">
        <v>2500</v>
      </c>
      <c r="AH40" s="158">
        <v>830</v>
      </c>
      <c r="AI40" s="158">
        <v>2900</v>
      </c>
      <c r="AJ40" s="158">
        <v>6295</v>
      </c>
      <c r="AK40" s="158">
        <v>19050</v>
      </c>
      <c r="AL40" s="158">
        <v>22050</v>
      </c>
      <c r="AM40" s="468">
        <f t="shared" si="14"/>
        <v>107900</v>
      </c>
      <c r="AN40" s="474">
        <f t="shared" si="15"/>
        <v>268975</v>
      </c>
      <c r="AO40" s="474">
        <f t="shared" si="16"/>
        <v>393437.5</v>
      </c>
      <c r="AP40" s="474">
        <f t="shared" si="17"/>
        <v>0</v>
      </c>
      <c r="AQ40" s="475">
        <f t="shared" si="18"/>
        <v>110250</v>
      </c>
      <c r="AR40" s="468">
        <f>SUM(Tabla1[[#This Row],[COSTO OPERATIVO ACIDO]:[COSTO OPERATIVO CATIONICO]])</f>
        <v>880562.5</v>
      </c>
      <c r="AS40" s="474">
        <v>5250</v>
      </c>
      <c r="AT40" s="460">
        <f t="shared" si="19"/>
        <v>2935.2083333333335</v>
      </c>
    </row>
    <row r="41" spans="1:46" ht="14.95" thickBot="1" x14ac:dyDescent="0.3">
      <c r="A41" s="213">
        <v>46067</v>
      </c>
      <c r="B41" s="157">
        <f>DAY(Tabla1[[#This Row],[FECHA]])</f>
        <v>14</v>
      </c>
      <c r="C41" s="448" t="s">
        <v>265</v>
      </c>
      <c r="D41" s="449">
        <v>40</v>
      </c>
      <c r="E41" s="449" t="s">
        <v>75</v>
      </c>
      <c r="F41" s="450">
        <v>1390</v>
      </c>
      <c r="G41" s="451">
        <v>3900</v>
      </c>
      <c r="H41" s="451">
        <v>1800</v>
      </c>
      <c r="I41" s="451">
        <v>125</v>
      </c>
      <c r="J41" s="451">
        <v>40</v>
      </c>
      <c r="K41" s="480">
        <v>17032</v>
      </c>
      <c r="L41" s="481">
        <f>+(K42-Tabla1[[#This Row],[Lectura Horometro INICIAL (06:00)]])*Tabla1[[#This Row],[CAUDAL DE TRATAMIENTO]]</f>
        <v>525</v>
      </c>
      <c r="M41" s="482">
        <v>75</v>
      </c>
      <c r="N41" s="442">
        <f t="shared" si="22"/>
        <v>40</v>
      </c>
      <c r="O41" s="497">
        <f t="shared" si="23"/>
        <v>300</v>
      </c>
      <c r="P41" s="442">
        <f t="shared" si="24"/>
        <v>0</v>
      </c>
      <c r="Q41" s="442">
        <f t="shared" si="27"/>
        <v>5</v>
      </c>
      <c r="R41" s="443">
        <f t="shared" si="28"/>
        <v>5</v>
      </c>
      <c r="S41" s="452">
        <f t="shared" si="6"/>
        <v>52</v>
      </c>
      <c r="T41" s="453">
        <f t="shared" si="7"/>
        <v>397.5</v>
      </c>
      <c r="U41" s="453">
        <f t="shared" si="8"/>
        <v>0</v>
      </c>
      <c r="V41" s="453">
        <f>Tabla1[[#This Row],[CONSUMO POL ANIONICO (KG)]]</f>
        <v>5</v>
      </c>
      <c r="W41" s="443">
        <f>Tabla1[[#This Row],[CONSUMO POL CATIONICO (KG)]]</f>
        <v>5</v>
      </c>
      <c r="X41" s="452">
        <f t="shared" si="9"/>
        <v>99.047619047619051</v>
      </c>
      <c r="Y41" s="453">
        <f t="shared" si="10"/>
        <v>757.14285714285711</v>
      </c>
      <c r="Z41" s="453">
        <f t="shared" si="11"/>
        <v>0</v>
      </c>
      <c r="AA41" s="453">
        <f t="shared" si="12"/>
        <v>9.5238095238095237</v>
      </c>
      <c r="AB41" s="443">
        <f t="shared" si="13"/>
        <v>9.5238095238095237</v>
      </c>
      <c r="AC41" s="454">
        <v>1.3</v>
      </c>
      <c r="AD41" s="454">
        <v>1.325</v>
      </c>
      <c r="AE41" s="454">
        <v>1.25</v>
      </c>
      <c r="AF41" s="455">
        <v>2500</v>
      </c>
      <c r="AG41" s="456">
        <v>2500</v>
      </c>
      <c r="AH41" s="158">
        <v>830</v>
      </c>
      <c r="AI41" s="158">
        <v>2900</v>
      </c>
      <c r="AJ41" s="158">
        <v>6295</v>
      </c>
      <c r="AK41" s="158">
        <v>19050</v>
      </c>
      <c r="AL41" s="158">
        <v>22050</v>
      </c>
      <c r="AM41" s="457">
        <f t="shared" si="14"/>
        <v>43160</v>
      </c>
      <c r="AN41" s="458">
        <f t="shared" si="15"/>
        <v>1152750</v>
      </c>
      <c r="AO41" s="458">
        <f t="shared" si="16"/>
        <v>0</v>
      </c>
      <c r="AP41" s="458">
        <f t="shared" si="17"/>
        <v>95250</v>
      </c>
      <c r="AQ41" s="459">
        <f t="shared" si="18"/>
        <v>110250</v>
      </c>
      <c r="AR41" s="457">
        <f>SUM(Tabla1[[#This Row],[COSTO OPERATIVO ACIDO]:[COSTO OPERATIVO CATIONICO]])</f>
        <v>1401410</v>
      </c>
      <c r="AS41" s="458">
        <v>5250</v>
      </c>
      <c r="AT41" s="460">
        <f t="shared" si="19"/>
        <v>2669.3523809523808</v>
      </c>
    </row>
    <row r="42" spans="1:46" ht="14.95" thickBot="1" x14ac:dyDescent="0.3">
      <c r="A42" s="461">
        <f t="shared" ref="A42:A43" si="37">A41</f>
        <v>46067</v>
      </c>
      <c r="B42" s="157">
        <f>DAY(Tabla1[[#This Row],[FECHA]])</f>
        <v>14</v>
      </c>
      <c r="C42" s="462" t="s">
        <v>266</v>
      </c>
      <c r="D42" s="463">
        <v>41</v>
      </c>
      <c r="E42" s="463" t="s">
        <v>77</v>
      </c>
      <c r="F42" s="464">
        <v>1350</v>
      </c>
      <c r="G42" s="465">
        <v>3600</v>
      </c>
      <c r="H42" s="465">
        <v>1800</v>
      </c>
      <c r="I42" s="465">
        <v>120</v>
      </c>
      <c r="J42" s="465">
        <v>35</v>
      </c>
      <c r="K42" s="483">
        <v>17039</v>
      </c>
      <c r="L42" s="478">
        <f>+(K43-Tabla1[[#This Row],[Lectura Horometro INICIAL (06:00)]])*Tabla1[[#This Row],[CAUDAL DE TRATAMIENTO]]</f>
        <v>300</v>
      </c>
      <c r="M42" s="479">
        <v>75</v>
      </c>
      <c r="N42" s="444">
        <f t="shared" ref="N42:N70" si="38">F42-F43</f>
        <v>50</v>
      </c>
      <c r="O42" s="514">
        <f>G42-G43-150</f>
        <v>190</v>
      </c>
      <c r="P42" s="444">
        <f t="shared" ref="P42:P70" si="39">H42-H43</f>
        <v>20</v>
      </c>
      <c r="Q42" s="444">
        <f t="shared" si="27"/>
        <v>0</v>
      </c>
      <c r="R42" s="445">
        <f t="shared" si="28"/>
        <v>5</v>
      </c>
      <c r="S42" s="452">
        <f t="shared" si="6"/>
        <v>65</v>
      </c>
      <c r="T42" s="453">
        <f t="shared" si="7"/>
        <v>251.75</v>
      </c>
      <c r="U42" s="453">
        <f t="shared" si="8"/>
        <v>25</v>
      </c>
      <c r="V42" s="466">
        <f>Tabla1[[#This Row],[CONSUMO POL ANIONICO (KG)]]</f>
        <v>0</v>
      </c>
      <c r="W42" s="445">
        <f>Tabla1[[#This Row],[CONSUMO POL CATIONICO (KG)]]</f>
        <v>5</v>
      </c>
      <c r="X42" s="467">
        <f t="shared" si="9"/>
        <v>216.66666666666666</v>
      </c>
      <c r="Y42" s="466">
        <f t="shared" si="10"/>
        <v>839.16666666666663</v>
      </c>
      <c r="Z42" s="466">
        <f t="shared" si="11"/>
        <v>83.333333333333329</v>
      </c>
      <c r="AA42" s="466">
        <f t="shared" si="12"/>
        <v>0</v>
      </c>
      <c r="AB42" s="445">
        <f t="shared" si="13"/>
        <v>16.666666666666668</v>
      </c>
      <c r="AC42" s="454">
        <v>1.3</v>
      </c>
      <c r="AD42" s="454">
        <v>1.325</v>
      </c>
      <c r="AE42" s="454">
        <v>1.25</v>
      </c>
      <c r="AF42" s="455">
        <v>2500</v>
      </c>
      <c r="AG42" s="456">
        <v>2500</v>
      </c>
      <c r="AH42" s="158">
        <v>830</v>
      </c>
      <c r="AI42" s="158">
        <v>2900</v>
      </c>
      <c r="AJ42" s="158">
        <v>6295</v>
      </c>
      <c r="AK42" s="158">
        <v>19050</v>
      </c>
      <c r="AL42" s="158">
        <v>22050</v>
      </c>
      <c r="AM42" s="468">
        <f t="shared" si="14"/>
        <v>53950</v>
      </c>
      <c r="AN42" s="460">
        <f t="shared" si="15"/>
        <v>730075</v>
      </c>
      <c r="AO42" s="460">
        <f t="shared" si="16"/>
        <v>157375</v>
      </c>
      <c r="AP42" s="460">
        <f t="shared" si="17"/>
        <v>0</v>
      </c>
      <c r="AQ42" s="469">
        <f t="shared" si="18"/>
        <v>110250</v>
      </c>
      <c r="AR42" s="468">
        <f>SUM(Tabla1[[#This Row],[COSTO OPERATIVO ACIDO]:[COSTO OPERATIVO CATIONICO]])</f>
        <v>1051650</v>
      </c>
      <c r="AS42" s="460">
        <v>5250</v>
      </c>
      <c r="AT42" s="460">
        <f t="shared" si="19"/>
        <v>3505.5</v>
      </c>
    </row>
    <row r="43" spans="1:46" ht="14.95" thickBot="1" x14ac:dyDescent="0.3">
      <c r="A43" s="470">
        <f t="shared" si="37"/>
        <v>46067</v>
      </c>
      <c r="B43" s="157">
        <f>DAY(Tabla1[[#This Row],[FECHA]])</f>
        <v>14</v>
      </c>
      <c r="C43" s="471" t="s">
        <v>30</v>
      </c>
      <c r="D43" s="472">
        <v>42</v>
      </c>
      <c r="E43" s="472" t="s">
        <v>76</v>
      </c>
      <c r="F43" s="464">
        <v>1300</v>
      </c>
      <c r="G43" s="465">
        <v>3260</v>
      </c>
      <c r="H43" s="465">
        <v>1780</v>
      </c>
      <c r="I43" s="465">
        <v>120</v>
      </c>
      <c r="J43" s="465">
        <v>30</v>
      </c>
      <c r="K43" s="484">
        <v>17043</v>
      </c>
      <c r="L43" s="485">
        <f>+(K44-Tabla1[[#This Row],[Lectura Horometro INICIAL (06:00)]])*Tabla1[[#This Row],[CAUDAL DE TRATAMIENTO]]</f>
        <v>300</v>
      </c>
      <c r="M43" s="486">
        <v>75</v>
      </c>
      <c r="N43" s="446">
        <f t="shared" si="38"/>
        <v>0</v>
      </c>
      <c r="O43" s="499">
        <f t="shared" ref="O43:O70" si="40">G43-G44</f>
        <v>0</v>
      </c>
      <c r="P43" s="446">
        <f t="shared" si="39"/>
        <v>0</v>
      </c>
      <c r="Q43" s="446">
        <f t="shared" si="27"/>
        <v>5</v>
      </c>
      <c r="R43" s="447">
        <f t="shared" si="28"/>
        <v>0</v>
      </c>
      <c r="S43" s="452">
        <f t="shared" si="6"/>
        <v>0</v>
      </c>
      <c r="T43" s="453">
        <f t="shared" si="7"/>
        <v>0</v>
      </c>
      <c r="U43" s="453">
        <f t="shared" si="8"/>
        <v>0</v>
      </c>
      <c r="V43" s="473">
        <f>Tabla1[[#This Row],[CONSUMO POL ANIONICO (KG)]]</f>
        <v>5</v>
      </c>
      <c r="W43" s="447">
        <f>Tabla1[[#This Row],[CONSUMO POL CATIONICO (KG)]]</f>
        <v>0</v>
      </c>
      <c r="X43" s="467">
        <f t="shared" si="9"/>
        <v>0</v>
      </c>
      <c r="Y43" s="473">
        <f t="shared" si="10"/>
        <v>0</v>
      </c>
      <c r="Z43" s="473">
        <f t="shared" si="11"/>
        <v>0</v>
      </c>
      <c r="AA43" s="473">
        <f t="shared" si="12"/>
        <v>16.666666666666668</v>
      </c>
      <c r="AB43" s="447">
        <f t="shared" si="13"/>
        <v>0</v>
      </c>
      <c r="AC43" s="454">
        <v>1.3</v>
      </c>
      <c r="AD43" s="454">
        <v>1.325</v>
      </c>
      <c r="AE43" s="454">
        <v>1.25</v>
      </c>
      <c r="AF43" s="455">
        <v>2500</v>
      </c>
      <c r="AG43" s="456">
        <v>2500</v>
      </c>
      <c r="AH43" s="158">
        <v>830</v>
      </c>
      <c r="AI43" s="158">
        <v>2900</v>
      </c>
      <c r="AJ43" s="158">
        <v>6295</v>
      </c>
      <c r="AK43" s="158">
        <v>19050</v>
      </c>
      <c r="AL43" s="158">
        <v>22050</v>
      </c>
      <c r="AM43" s="468">
        <f t="shared" si="14"/>
        <v>0</v>
      </c>
      <c r="AN43" s="474">
        <f t="shared" si="15"/>
        <v>0</v>
      </c>
      <c r="AO43" s="474">
        <f t="shared" si="16"/>
        <v>0</v>
      </c>
      <c r="AP43" s="474">
        <f t="shared" si="17"/>
        <v>95250</v>
      </c>
      <c r="AQ43" s="475">
        <f t="shared" si="18"/>
        <v>0</v>
      </c>
      <c r="AR43" s="468">
        <f>SUM(Tabla1[[#This Row],[COSTO OPERATIVO ACIDO]:[COSTO OPERATIVO CATIONICO]])</f>
        <v>95250</v>
      </c>
      <c r="AS43" s="474">
        <v>5250</v>
      </c>
      <c r="AT43" s="460">
        <f t="shared" si="19"/>
        <v>317.5</v>
      </c>
    </row>
    <row r="44" spans="1:46" ht="14.95" thickBot="1" x14ac:dyDescent="0.3">
      <c r="A44" s="213">
        <v>46068</v>
      </c>
      <c r="B44" s="157">
        <f>DAY(Tabla1[[#This Row],[FECHA]])</f>
        <v>15</v>
      </c>
      <c r="C44" s="448" t="s">
        <v>267</v>
      </c>
      <c r="D44" s="449">
        <v>43</v>
      </c>
      <c r="E44" s="449" t="s">
        <v>75</v>
      </c>
      <c r="F44" s="450">
        <v>1300</v>
      </c>
      <c r="G44" s="451">
        <v>3260</v>
      </c>
      <c r="H44" s="451">
        <v>1780</v>
      </c>
      <c r="I44" s="451">
        <v>115</v>
      </c>
      <c r="J44" s="451">
        <v>30</v>
      </c>
      <c r="K44" s="480">
        <v>17047</v>
      </c>
      <c r="L44" s="481">
        <f>+(K45-Tabla1[[#This Row],[Lectura Horometro INICIAL (06:00)]])*Tabla1[[#This Row],[CAUDAL DE TRATAMIENTO]]</f>
        <v>0</v>
      </c>
      <c r="M44" s="482">
        <v>75</v>
      </c>
      <c r="N44" s="442">
        <f t="shared" si="38"/>
        <v>0</v>
      </c>
      <c r="O44" s="497">
        <f t="shared" si="40"/>
        <v>0</v>
      </c>
      <c r="P44" s="442">
        <f t="shared" si="39"/>
        <v>0</v>
      </c>
      <c r="Q44" s="442">
        <f t="shared" si="27"/>
        <v>0</v>
      </c>
      <c r="R44" s="443">
        <f t="shared" si="28"/>
        <v>0</v>
      </c>
      <c r="S44" s="452">
        <f t="shared" si="6"/>
        <v>0</v>
      </c>
      <c r="T44" s="453">
        <f t="shared" si="7"/>
        <v>0</v>
      </c>
      <c r="U44" s="453">
        <f t="shared" si="8"/>
        <v>0</v>
      </c>
      <c r="V44" s="453">
        <f>Tabla1[[#This Row],[CONSUMO POL ANIONICO (KG)]]</f>
        <v>0</v>
      </c>
      <c r="W44" s="443">
        <f>Tabla1[[#This Row],[CONSUMO POL CATIONICO (KG)]]</f>
        <v>0</v>
      </c>
      <c r="X44" s="452" t="e">
        <f t="shared" si="9"/>
        <v>#DIV/0!</v>
      </c>
      <c r="Y44" s="453" t="e">
        <f t="shared" si="10"/>
        <v>#DIV/0!</v>
      </c>
      <c r="Z44" s="453" t="e">
        <f t="shared" si="11"/>
        <v>#DIV/0!</v>
      </c>
      <c r="AA44" s="453" t="e">
        <f t="shared" si="12"/>
        <v>#DIV/0!</v>
      </c>
      <c r="AB44" s="443" t="e">
        <f t="shared" si="13"/>
        <v>#DIV/0!</v>
      </c>
      <c r="AC44" s="454">
        <v>1.3</v>
      </c>
      <c r="AD44" s="454">
        <v>1.325</v>
      </c>
      <c r="AE44" s="454">
        <v>1.25</v>
      </c>
      <c r="AF44" s="455">
        <v>2500</v>
      </c>
      <c r="AG44" s="456">
        <v>2500</v>
      </c>
      <c r="AH44" s="158">
        <v>830</v>
      </c>
      <c r="AI44" s="158">
        <v>2900</v>
      </c>
      <c r="AJ44" s="158">
        <v>6295</v>
      </c>
      <c r="AK44" s="158">
        <v>19050</v>
      </c>
      <c r="AL44" s="158">
        <v>22050</v>
      </c>
      <c r="AM44" s="457">
        <f t="shared" si="14"/>
        <v>0</v>
      </c>
      <c r="AN44" s="458">
        <f t="shared" si="15"/>
        <v>0</v>
      </c>
      <c r="AO44" s="458">
        <f t="shared" si="16"/>
        <v>0</v>
      </c>
      <c r="AP44" s="458">
        <f t="shared" si="17"/>
        <v>0</v>
      </c>
      <c r="AQ44" s="459">
        <f t="shared" si="18"/>
        <v>0</v>
      </c>
      <c r="AR44" s="457">
        <f>SUM(Tabla1[[#This Row],[COSTO OPERATIVO ACIDO]:[COSTO OPERATIVO CATIONICO]])</f>
        <v>0</v>
      </c>
      <c r="AS44" s="458">
        <v>5250</v>
      </c>
      <c r="AT44" s="460" t="e">
        <f t="shared" si="19"/>
        <v>#DIV/0!</v>
      </c>
    </row>
    <row r="45" spans="1:46" ht="14.95" thickBot="1" x14ac:dyDescent="0.3">
      <c r="A45" s="461">
        <f t="shared" ref="A45:A46" si="41">A44</f>
        <v>46068</v>
      </c>
      <c r="B45" s="157">
        <f>DAY(Tabla1[[#This Row],[FECHA]])</f>
        <v>15</v>
      </c>
      <c r="C45" s="462" t="s">
        <v>268</v>
      </c>
      <c r="D45" s="463">
        <v>44</v>
      </c>
      <c r="E45" s="463" t="s">
        <v>77</v>
      </c>
      <c r="F45" s="464">
        <v>1300</v>
      </c>
      <c r="G45" s="465">
        <v>3260</v>
      </c>
      <c r="H45" s="465">
        <v>1780</v>
      </c>
      <c r="I45" s="465">
        <v>115</v>
      </c>
      <c r="J45" s="465">
        <v>30</v>
      </c>
      <c r="K45" s="483">
        <v>17047</v>
      </c>
      <c r="L45" s="478">
        <f>+(K46-Tabla1[[#This Row],[Lectura Horometro INICIAL (06:00)]])*Tabla1[[#This Row],[CAUDAL DE TRATAMIENTO]]</f>
        <v>0</v>
      </c>
      <c r="M45" s="479">
        <v>75</v>
      </c>
      <c r="N45" s="444">
        <f t="shared" si="38"/>
        <v>0</v>
      </c>
      <c r="O45" s="498">
        <f t="shared" si="40"/>
        <v>0</v>
      </c>
      <c r="P45" s="444">
        <f t="shared" si="39"/>
        <v>0</v>
      </c>
      <c r="Q45" s="444">
        <f t="shared" si="27"/>
        <v>0</v>
      </c>
      <c r="R45" s="445">
        <f t="shared" si="28"/>
        <v>0</v>
      </c>
      <c r="S45" s="452">
        <f t="shared" si="6"/>
        <v>0</v>
      </c>
      <c r="T45" s="453">
        <f t="shared" si="7"/>
        <v>0</v>
      </c>
      <c r="U45" s="453">
        <f t="shared" si="8"/>
        <v>0</v>
      </c>
      <c r="V45" s="466">
        <f>Tabla1[[#This Row],[CONSUMO POL ANIONICO (KG)]]</f>
        <v>0</v>
      </c>
      <c r="W45" s="445">
        <f>Tabla1[[#This Row],[CONSUMO POL CATIONICO (KG)]]</f>
        <v>0</v>
      </c>
      <c r="X45" s="467" t="e">
        <f t="shared" si="9"/>
        <v>#DIV/0!</v>
      </c>
      <c r="Y45" s="466" t="e">
        <f t="shared" si="10"/>
        <v>#DIV/0!</v>
      </c>
      <c r="Z45" s="466" t="e">
        <f t="shared" si="11"/>
        <v>#DIV/0!</v>
      </c>
      <c r="AA45" s="466" t="e">
        <f t="shared" si="12"/>
        <v>#DIV/0!</v>
      </c>
      <c r="AB45" s="445" t="e">
        <f t="shared" si="13"/>
        <v>#DIV/0!</v>
      </c>
      <c r="AC45" s="454">
        <v>1.3</v>
      </c>
      <c r="AD45" s="454">
        <v>1.325</v>
      </c>
      <c r="AE45" s="454">
        <v>1.25</v>
      </c>
      <c r="AF45" s="455">
        <v>2500</v>
      </c>
      <c r="AG45" s="456">
        <v>2500</v>
      </c>
      <c r="AH45" s="158">
        <v>830</v>
      </c>
      <c r="AI45" s="158">
        <v>2900</v>
      </c>
      <c r="AJ45" s="158">
        <v>6295</v>
      </c>
      <c r="AK45" s="158">
        <v>19050</v>
      </c>
      <c r="AL45" s="158">
        <v>22050</v>
      </c>
      <c r="AM45" s="468">
        <f t="shared" si="14"/>
        <v>0</v>
      </c>
      <c r="AN45" s="460">
        <f t="shared" si="15"/>
        <v>0</v>
      </c>
      <c r="AO45" s="460">
        <f t="shared" si="16"/>
        <v>0</v>
      </c>
      <c r="AP45" s="460">
        <f t="shared" si="17"/>
        <v>0</v>
      </c>
      <c r="AQ45" s="469">
        <f t="shared" si="18"/>
        <v>0</v>
      </c>
      <c r="AR45" s="468">
        <f>SUM(Tabla1[[#This Row],[COSTO OPERATIVO ACIDO]:[COSTO OPERATIVO CATIONICO]])</f>
        <v>0</v>
      </c>
      <c r="AS45" s="460">
        <v>5250</v>
      </c>
      <c r="AT45" s="460" t="e">
        <f t="shared" si="19"/>
        <v>#DIV/0!</v>
      </c>
    </row>
    <row r="46" spans="1:46" ht="14.95" thickBot="1" x14ac:dyDescent="0.3">
      <c r="A46" s="470">
        <f t="shared" si="41"/>
        <v>46068</v>
      </c>
      <c r="B46" s="157">
        <f>DAY(Tabla1[[#This Row],[FECHA]])</f>
        <v>15</v>
      </c>
      <c r="C46" s="471" t="s">
        <v>30</v>
      </c>
      <c r="D46" s="472">
        <v>45</v>
      </c>
      <c r="E46" s="472" t="s">
        <v>76</v>
      </c>
      <c r="F46" s="464">
        <v>1300</v>
      </c>
      <c r="G46" s="465">
        <v>3260</v>
      </c>
      <c r="H46" s="465">
        <v>1780</v>
      </c>
      <c r="I46" s="465">
        <v>115</v>
      </c>
      <c r="J46" s="465">
        <v>30</v>
      </c>
      <c r="K46" s="484">
        <v>17047</v>
      </c>
      <c r="L46" s="485">
        <f>+(K47-Tabla1[[#This Row],[Lectura Horometro INICIAL (06:00)]])*Tabla1[[#This Row],[CAUDAL DE TRATAMIENTO]]</f>
        <v>0</v>
      </c>
      <c r="M46" s="486">
        <v>75</v>
      </c>
      <c r="N46" s="446">
        <f t="shared" si="38"/>
        <v>0</v>
      </c>
      <c r="O46" s="499">
        <f t="shared" si="40"/>
        <v>0</v>
      </c>
      <c r="P46" s="446">
        <f t="shared" si="39"/>
        <v>0</v>
      </c>
      <c r="Q46" s="446">
        <f t="shared" si="27"/>
        <v>0</v>
      </c>
      <c r="R46" s="447">
        <f t="shared" si="28"/>
        <v>0</v>
      </c>
      <c r="S46" s="452">
        <f t="shared" si="6"/>
        <v>0</v>
      </c>
      <c r="T46" s="453">
        <f t="shared" si="7"/>
        <v>0</v>
      </c>
      <c r="U46" s="453">
        <f t="shared" si="8"/>
        <v>0</v>
      </c>
      <c r="V46" s="473">
        <f>Tabla1[[#This Row],[CONSUMO POL ANIONICO (KG)]]</f>
        <v>0</v>
      </c>
      <c r="W46" s="447">
        <f>Tabla1[[#This Row],[CONSUMO POL CATIONICO (KG)]]</f>
        <v>0</v>
      </c>
      <c r="X46" s="467" t="e">
        <f t="shared" si="9"/>
        <v>#DIV/0!</v>
      </c>
      <c r="Y46" s="473" t="e">
        <f t="shared" si="10"/>
        <v>#DIV/0!</v>
      </c>
      <c r="Z46" s="473" t="e">
        <f t="shared" si="11"/>
        <v>#DIV/0!</v>
      </c>
      <c r="AA46" s="473" t="e">
        <f t="shared" si="12"/>
        <v>#DIV/0!</v>
      </c>
      <c r="AB46" s="447" t="e">
        <f t="shared" si="13"/>
        <v>#DIV/0!</v>
      </c>
      <c r="AC46" s="454">
        <v>1.3</v>
      </c>
      <c r="AD46" s="454">
        <v>1.325</v>
      </c>
      <c r="AE46" s="454">
        <v>1.25</v>
      </c>
      <c r="AF46" s="455">
        <v>2500</v>
      </c>
      <c r="AG46" s="456">
        <v>2500</v>
      </c>
      <c r="AH46" s="158">
        <v>830</v>
      </c>
      <c r="AI46" s="158">
        <v>2900</v>
      </c>
      <c r="AJ46" s="158">
        <v>6295</v>
      </c>
      <c r="AK46" s="158">
        <v>19050</v>
      </c>
      <c r="AL46" s="158">
        <v>22050</v>
      </c>
      <c r="AM46" s="468">
        <f t="shared" si="14"/>
        <v>0</v>
      </c>
      <c r="AN46" s="474">
        <f t="shared" si="15"/>
        <v>0</v>
      </c>
      <c r="AO46" s="474">
        <f t="shared" si="16"/>
        <v>0</v>
      </c>
      <c r="AP46" s="474">
        <f t="shared" si="17"/>
        <v>0</v>
      </c>
      <c r="AQ46" s="475">
        <f t="shared" si="18"/>
        <v>0</v>
      </c>
      <c r="AR46" s="468">
        <f>SUM(Tabla1[[#This Row],[COSTO OPERATIVO ACIDO]:[COSTO OPERATIVO CATIONICO]])</f>
        <v>0</v>
      </c>
      <c r="AS46" s="474">
        <v>5250</v>
      </c>
      <c r="AT46" s="460" t="e">
        <f t="shared" si="19"/>
        <v>#DIV/0!</v>
      </c>
    </row>
    <row r="47" spans="1:46" ht="14.95" thickBot="1" x14ac:dyDescent="0.3">
      <c r="A47" s="213">
        <v>46069</v>
      </c>
      <c r="B47" s="157">
        <f>DAY(Tabla1[[#This Row],[FECHA]])</f>
        <v>16</v>
      </c>
      <c r="C47" s="448" t="s">
        <v>269</v>
      </c>
      <c r="D47" s="449">
        <v>46</v>
      </c>
      <c r="E47" s="449" t="s">
        <v>75</v>
      </c>
      <c r="F47" s="450">
        <v>1300</v>
      </c>
      <c r="G47" s="451">
        <v>3260</v>
      </c>
      <c r="H47" s="451">
        <v>1780</v>
      </c>
      <c r="I47" s="451">
        <v>115</v>
      </c>
      <c r="J47" s="451">
        <v>30</v>
      </c>
      <c r="K47" s="480">
        <v>17047</v>
      </c>
      <c r="L47" s="481">
        <f>+(K48-Tabla1[[#This Row],[Lectura Horometro INICIAL (06:00)]])*Tabla1[[#This Row],[CAUDAL DE TRATAMIENTO]]</f>
        <v>480</v>
      </c>
      <c r="M47" s="482">
        <v>80</v>
      </c>
      <c r="N47" s="442">
        <f t="shared" si="38"/>
        <v>200</v>
      </c>
      <c r="O47" s="497">
        <f t="shared" si="40"/>
        <v>380</v>
      </c>
      <c r="P47" s="442">
        <f t="shared" si="39"/>
        <v>80</v>
      </c>
      <c r="Q47" s="442">
        <f t="shared" ref="Q47:Q78" si="42">I47-I48</f>
        <v>5</v>
      </c>
      <c r="R47" s="443">
        <f t="shared" ref="R47:R78" si="43">J47-J48</f>
        <v>5</v>
      </c>
      <c r="S47" s="452">
        <f t="shared" si="6"/>
        <v>260</v>
      </c>
      <c r="T47" s="453">
        <f t="shared" si="7"/>
        <v>503.5</v>
      </c>
      <c r="U47" s="453">
        <f t="shared" si="8"/>
        <v>100</v>
      </c>
      <c r="V47" s="453">
        <f>Tabla1[[#This Row],[CONSUMO POL ANIONICO (KG)]]</f>
        <v>5</v>
      </c>
      <c r="W47" s="443">
        <f>Tabla1[[#This Row],[CONSUMO POL CATIONICO (KG)]]</f>
        <v>5</v>
      </c>
      <c r="X47" s="452">
        <f t="shared" si="9"/>
        <v>541.66666666666663</v>
      </c>
      <c r="Y47" s="453">
        <f t="shared" si="10"/>
        <v>1048.9583333333333</v>
      </c>
      <c r="Z47" s="453">
        <f t="shared" si="11"/>
        <v>208.33333333333334</v>
      </c>
      <c r="AA47" s="453">
        <f t="shared" si="12"/>
        <v>10.416666666666666</v>
      </c>
      <c r="AB47" s="443">
        <f t="shared" si="13"/>
        <v>10.416666666666666</v>
      </c>
      <c r="AC47" s="454">
        <v>1.3</v>
      </c>
      <c r="AD47" s="454">
        <v>1.325</v>
      </c>
      <c r="AE47" s="454">
        <v>1.25</v>
      </c>
      <c r="AF47" s="455">
        <v>2500</v>
      </c>
      <c r="AG47" s="456">
        <v>2500</v>
      </c>
      <c r="AH47" s="158">
        <v>830</v>
      </c>
      <c r="AI47" s="158">
        <v>2900</v>
      </c>
      <c r="AJ47" s="158">
        <v>6295</v>
      </c>
      <c r="AK47" s="158">
        <v>19050</v>
      </c>
      <c r="AL47" s="158">
        <v>22050</v>
      </c>
      <c r="AM47" s="457">
        <f t="shared" si="14"/>
        <v>215800</v>
      </c>
      <c r="AN47" s="458">
        <f t="shared" si="15"/>
        <v>1460150</v>
      </c>
      <c r="AO47" s="458">
        <f t="shared" si="16"/>
        <v>629500</v>
      </c>
      <c r="AP47" s="458">
        <f t="shared" si="17"/>
        <v>95250</v>
      </c>
      <c r="AQ47" s="459">
        <f t="shared" si="18"/>
        <v>110250</v>
      </c>
      <c r="AR47" s="457">
        <f>SUM(Tabla1[[#This Row],[COSTO OPERATIVO ACIDO]:[COSTO OPERATIVO CATIONICO]])</f>
        <v>2510950</v>
      </c>
      <c r="AS47" s="458">
        <v>5250</v>
      </c>
      <c r="AT47" s="460">
        <f t="shared" si="19"/>
        <v>5231.145833333333</v>
      </c>
    </row>
    <row r="48" spans="1:46" ht="14.95" thickBot="1" x14ac:dyDescent="0.3">
      <c r="A48" s="461">
        <f t="shared" ref="A48:A49" si="44">A47</f>
        <v>46069</v>
      </c>
      <c r="B48" s="157">
        <f>DAY(Tabla1[[#This Row],[FECHA]])</f>
        <v>16</v>
      </c>
      <c r="C48" s="462" t="s">
        <v>270</v>
      </c>
      <c r="D48" s="463">
        <v>47</v>
      </c>
      <c r="E48" s="463" t="s">
        <v>77</v>
      </c>
      <c r="F48" s="464">
        <v>1100</v>
      </c>
      <c r="G48" s="465">
        <v>2880</v>
      </c>
      <c r="H48" s="465">
        <v>1700</v>
      </c>
      <c r="I48" s="465">
        <v>110</v>
      </c>
      <c r="J48" s="465">
        <v>25</v>
      </c>
      <c r="K48" s="483">
        <v>17053</v>
      </c>
      <c r="L48" s="478">
        <f>+(K49-Tabla1[[#This Row],[Lectura Horometro INICIAL (06:00)]])*Tabla1[[#This Row],[CAUDAL DE TRATAMIENTO]]</f>
        <v>320</v>
      </c>
      <c r="M48" s="479">
        <v>80</v>
      </c>
      <c r="N48" s="444">
        <f t="shared" si="38"/>
        <v>100</v>
      </c>
      <c r="O48" s="498">
        <f t="shared" si="40"/>
        <v>240</v>
      </c>
      <c r="P48" s="444">
        <f t="shared" si="39"/>
        <v>60</v>
      </c>
      <c r="Q48" s="444">
        <f t="shared" si="42"/>
        <v>0</v>
      </c>
      <c r="R48" s="445">
        <f t="shared" si="43"/>
        <v>5</v>
      </c>
      <c r="S48" s="452">
        <f t="shared" si="6"/>
        <v>130</v>
      </c>
      <c r="T48" s="453">
        <f t="shared" si="7"/>
        <v>318</v>
      </c>
      <c r="U48" s="453">
        <f t="shared" si="8"/>
        <v>75</v>
      </c>
      <c r="V48" s="466">
        <f>Tabla1[[#This Row],[CONSUMO POL ANIONICO (KG)]]</f>
        <v>0</v>
      </c>
      <c r="W48" s="445">
        <f>Tabla1[[#This Row],[CONSUMO POL CATIONICO (KG)]]</f>
        <v>5</v>
      </c>
      <c r="X48" s="467">
        <f t="shared" si="9"/>
        <v>406.25</v>
      </c>
      <c r="Y48" s="466">
        <f t="shared" si="10"/>
        <v>993.75</v>
      </c>
      <c r="Z48" s="466">
        <f t="shared" si="11"/>
        <v>234.375</v>
      </c>
      <c r="AA48" s="466">
        <f t="shared" si="12"/>
        <v>0</v>
      </c>
      <c r="AB48" s="445">
        <f t="shared" si="13"/>
        <v>15.625</v>
      </c>
      <c r="AC48" s="454">
        <v>1.3</v>
      </c>
      <c r="AD48" s="454">
        <v>1.325</v>
      </c>
      <c r="AE48" s="454">
        <v>1.25</v>
      </c>
      <c r="AF48" s="455">
        <v>2500</v>
      </c>
      <c r="AG48" s="456">
        <v>2500</v>
      </c>
      <c r="AH48" s="158">
        <v>830</v>
      </c>
      <c r="AI48" s="158">
        <v>2900</v>
      </c>
      <c r="AJ48" s="158">
        <v>6295</v>
      </c>
      <c r="AK48" s="158">
        <v>19050</v>
      </c>
      <c r="AL48" s="158">
        <v>22050</v>
      </c>
      <c r="AM48" s="468">
        <f t="shared" si="14"/>
        <v>107900</v>
      </c>
      <c r="AN48" s="460">
        <f t="shared" si="15"/>
        <v>922200</v>
      </c>
      <c r="AO48" s="460">
        <f t="shared" si="16"/>
        <v>472125</v>
      </c>
      <c r="AP48" s="460">
        <f t="shared" si="17"/>
        <v>0</v>
      </c>
      <c r="AQ48" s="469">
        <f t="shared" si="18"/>
        <v>110250</v>
      </c>
      <c r="AR48" s="468">
        <f>SUM(Tabla1[[#This Row],[COSTO OPERATIVO ACIDO]:[COSTO OPERATIVO CATIONICO]])</f>
        <v>1612475</v>
      </c>
      <c r="AS48" s="460">
        <v>5250</v>
      </c>
      <c r="AT48" s="460">
        <f t="shared" si="19"/>
        <v>5038.984375</v>
      </c>
    </row>
    <row r="49" spans="1:46" ht="14.95" thickBot="1" x14ac:dyDescent="0.3">
      <c r="A49" s="470">
        <f t="shared" si="44"/>
        <v>46069</v>
      </c>
      <c r="B49" s="157">
        <f>DAY(Tabla1[[#This Row],[FECHA]])</f>
        <v>16</v>
      </c>
      <c r="C49" s="471" t="s">
        <v>30</v>
      </c>
      <c r="D49" s="472">
        <v>48</v>
      </c>
      <c r="E49" s="472" t="s">
        <v>76</v>
      </c>
      <c r="F49" s="464">
        <v>1000</v>
      </c>
      <c r="G49" s="465">
        <v>2640</v>
      </c>
      <c r="H49" s="465">
        <v>1640</v>
      </c>
      <c r="I49" s="465">
        <v>110</v>
      </c>
      <c r="J49" s="465">
        <v>20</v>
      </c>
      <c r="K49" s="484">
        <v>17057</v>
      </c>
      <c r="L49" s="485">
        <f>+(K50-Tabla1[[#This Row],[Lectura Horometro INICIAL (06:00)]])*Tabla1[[#This Row],[CAUDAL DE TRATAMIENTO]]</f>
        <v>640</v>
      </c>
      <c r="M49" s="486">
        <v>80</v>
      </c>
      <c r="N49" s="446">
        <f t="shared" si="38"/>
        <v>100</v>
      </c>
      <c r="O49" s="499">
        <f t="shared" si="40"/>
        <v>240</v>
      </c>
      <c r="P49" s="446">
        <f t="shared" si="39"/>
        <v>40</v>
      </c>
      <c r="Q49" s="446">
        <f t="shared" si="42"/>
        <v>0</v>
      </c>
      <c r="R49" s="447">
        <f t="shared" si="43"/>
        <v>5</v>
      </c>
      <c r="S49" s="452">
        <f t="shared" si="6"/>
        <v>130</v>
      </c>
      <c r="T49" s="453">
        <f t="shared" si="7"/>
        <v>318</v>
      </c>
      <c r="U49" s="453">
        <f t="shared" si="8"/>
        <v>50</v>
      </c>
      <c r="V49" s="473">
        <f>Tabla1[[#This Row],[CONSUMO POL ANIONICO (KG)]]</f>
        <v>0</v>
      </c>
      <c r="W49" s="447">
        <f>Tabla1[[#This Row],[CONSUMO POL CATIONICO (KG)]]</f>
        <v>5</v>
      </c>
      <c r="X49" s="467">
        <f t="shared" si="9"/>
        <v>203.125</v>
      </c>
      <c r="Y49" s="473">
        <f t="shared" si="10"/>
        <v>496.875</v>
      </c>
      <c r="Z49" s="473">
        <f t="shared" si="11"/>
        <v>78.125</v>
      </c>
      <c r="AA49" s="473">
        <f t="shared" si="12"/>
        <v>0</v>
      </c>
      <c r="AB49" s="447">
        <f t="shared" si="13"/>
        <v>7.8125</v>
      </c>
      <c r="AC49" s="454">
        <v>1.3</v>
      </c>
      <c r="AD49" s="454">
        <v>1.325</v>
      </c>
      <c r="AE49" s="454">
        <v>1.25</v>
      </c>
      <c r="AF49" s="455">
        <v>2500</v>
      </c>
      <c r="AG49" s="456">
        <v>2500</v>
      </c>
      <c r="AH49" s="158">
        <v>830</v>
      </c>
      <c r="AI49" s="158">
        <v>2900</v>
      </c>
      <c r="AJ49" s="158">
        <v>6295</v>
      </c>
      <c r="AK49" s="158">
        <v>19050</v>
      </c>
      <c r="AL49" s="158">
        <v>22050</v>
      </c>
      <c r="AM49" s="468">
        <f t="shared" si="14"/>
        <v>107900</v>
      </c>
      <c r="AN49" s="474">
        <f t="shared" si="15"/>
        <v>922200</v>
      </c>
      <c r="AO49" s="474">
        <f t="shared" si="16"/>
        <v>314750</v>
      </c>
      <c r="AP49" s="474">
        <f t="shared" si="17"/>
        <v>0</v>
      </c>
      <c r="AQ49" s="475">
        <f t="shared" si="18"/>
        <v>110250</v>
      </c>
      <c r="AR49" s="468">
        <f>SUM(Tabla1[[#This Row],[COSTO OPERATIVO ACIDO]:[COSTO OPERATIVO CATIONICO]])</f>
        <v>1455100</v>
      </c>
      <c r="AS49" s="474">
        <v>5250</v>
      </c>
      <c r="AT49" s="460">
        <f t="shared" si="19"/>
        <v>2273.59375</v>
      </c>
    </row>
    <row r="50" spans="1:46" ht="14.95" thickBot="1" x14ac:dyDescent="0.3">
      <c r="A50" s="213">
        <v>46070</v>
      </c>
      <c r="B50" s="157">
        <f>DAY(Tabla1[[#This Row],[FECHA]])</f>
        <v>17</v>
      </c>
      <c r="C50" s="448" t="s">
        <v>271</v>
      </c>
      <c r="D50" s="449">
        <v>49</v>
      </c>
      <c r="E50" s="449" t="s">
        <v>75</v>
      </c>
      <c r="F50" s="450">
        <v>900</v>
      </c>
      <c r="G50" s="451">
        <v>2400</v>
      </c>
      <c r="H50" s="451">
        <v>1600</v>
      </c>
      <c r="I50" s="451">
        <v>110</v>
      </c>
      <c r="J50" s="451">
        <v>15</v>
      </c>
      <c r="K50" s="480">
        <v>17065</v>
      </c>
      <c r="L50" s="481">
        <f>+(K51-Tabla1[[#This Row],[Lectura Horometro INICIAL (06:00)]])*Tabla1[[#This Row],[CAUDAL DE TRATAMIENTO]]</f>
        <v>400</v>
      </c>
      <c r="M50" s="482">
        <v>80</v>
      </c>
      <c r="N50" s="442">
        <f t="shared" si="38"/>
        <v>140</v>
      </c>
      <c r="O50" s="497">
        <f t="shared" si="40"/>
        <v>100</v>
      </c>
      <c r="P50" s="442">
        <f t="shared" si="39"/>
        <v>0</v>
      </c>
      <c r="Q50" s="442">
        <f t="shared" si="42"/>
        <v>5</v>
      </c>
      <c r="R50" s="443">
        <f t="shared" si="43"/>
        <v>5</v>
      </c>
      <c r="S50" s="452">
        <f t="shared" si="6"/>
        <v>182</v>
      </c>
      <c r="T50" s="453">
        <f t="shared" si="7"/>
        <v>132.5</v>
      </c>
      <c r="U50" s="453">
        <f t="shared" si="8"/>
        <v>0</v>
      </c>
      <c r="V50" s="453">
        <f>Tabla1[[#This Row],[CONSUMO POL ANIONICO (KG)]]</f>
        <v>5</v>
      </c>
      <c r="W50" s="443">
        <f>Tabla1[[#This Row],[CONSUMO POL CATIONICO (KG)]]</f>
        <v>5</v>
      </c>
      <c r="X50" s="452">
        <f t="shared" si="9"/>
        <v>455</v>
      </c>
      <c r="Y50" s="453">
        <f t="shared" si="10"/>
        <v>331.25</v>
      </c>
      <c r="Z50" s="453">
        <f t="shared" si="11"/>
        <v>0</v>
      </c>
      <c r="AA50" s="453">
        <f t="shared" si="12"/>
        <v>12.5</v>
      </c>
      <c r="AB50" s="443">
        <f t="shared" si="13"/>
        <v>12.5</v>
      </c>
      <c r="AC50" s="454">
        <v>1.3</v>
      </c>
      <c r="AD50" s="454">
        <v>1.325</v>
      </c>
      <c r="AE50" s="454">
        <v>1.25</v>
      </c>
      <c r="AF50" s="455">
        <v>2500</v>
      </c>
      <c r="AG50" s="456">
        <v>2500</v>
      </c>
      <c r="AH50" s="158">
        <v>830</v>
      </c>
      <c r="AI50" s="158">
        <v>2900</v>
      </c>
      <c r="AJ50" s="158">
        <v>6295</v>
      </c>
      <c r="AK50" s="158">
        <v>19050</v>
      </c>
      <c r="AL50" s="158">
        <v>22050</v>
      </c>
      <c r="AM50" s="457">
        <f t="shared" si="14"/>
        <v>151060</v>
      </c>
      <c r="AN50" s="458">
        <f t="shared" si="15"/>
        <v>384250</v>
      </c>
      <c r="AO50" s="458">
        <f t="shared" si="16"/>
        <v>0</v>
      </c>
      <c r="AP50" s="458">
        <f t="shared" si="17"/>
        <v>95250</v>
      </c>
      <c r="AQ50" s="459">
        <f t="shared" si="18"/>
        <v>110250</v>
      </c>
      <c r="AR50" s="457">
        <f>SUM(Tabla1[[#This Row],[COSTO OPERATIVO ACIDO]:[COSTO OPERATIVO CATIONICO]])</f>
        <v>740810</v>
      </c>
      <c r="AS50" s="458">
        <v>5250</v>
      </c>
      <c r="AT50" s="460">
        <f t="shared" si="19"/>
        <v>1852.0250000000001</v>
      </c>
    </row>
    <row r="51" spans="1:46" ht="14.95" thickBot="1" x14ac:dyDescent="0.3">
      <c r="A51" s="461">
        <f t="shared" ref="A51:A52" si="45">A50</f>
        <v>46070</v>
      </c>
      <c r="B51" s="157">
        <f>DAY(Tabla1[[#This Row],[FECHA]])</f>
        <v>17</v>
      </c>
      <c r="C51" s="462" t="s">
        <v>272</v>
      </c>
      <c r="D51" s="463">
        <v>50</v>
      </c>
      <c r="E51" s="463" t="s">
        <v>77</v>
      </c>
      <c r="F51" s="464">
        <v>760</v>
      </c>
      <c r="G51" s="465">
        <v>2300</v>
      </c>
      <c r="H51" s="465">
        <v>1600</v>
      </c>
      <c r="I51" s="465">
        <v>105</v>
      </c>
      <c r="J51" s="465">
        <v>10</v>
      </c>
      <c r="K51" s="483">
        <v>17070</v>
      </c>
      <c r="L51" s="478">
        <f>+(K52-Tabla1[[#This Row],[Lectura Horometro INICIAL (06:00)]])*Tabla1[[#This Row],[CAUDAL DE TRATAMIENTO]]</f>
        <v>400</v>
      </c>
      <c r="M51" s="479">
        <v>80</v>
      </c>
      <c r="N51" s="444">
        <f t="shared" si="38"/>
        <v>60</v>
      </c>
      <c r="O51" s="498">
        <f t="shared" si="40"/>
        <v>150</v>
      </c>
      <c r="P51" s="444">
        <f t="shared" si="39"/>
        <v>50</v>
      </c>
      <c r="Q51" s="444">
        <f t="shared" si="42"/>
        <v>0</v>
      </c>
      <c r="R51" s="445">
        <f t="shared" si="43"/>
        <v>5</v>
      </c>
      <c r="S51" s="452">
        <f t="shared" si="6"/>
        <v>78</v>
      </c>
      <c r="T51" s="453">
        <f t="shared" si="7"/>
        <v>198.75</v>
      </c>
      <c r="U51" s="453">
        <f t="shared" si="8"/>
        <v>62.5</v>
      </c>
      <c r="V51" s="466">
        <f>Tabla1[[#This Row],[CONSUMO POL ANIONICO (KG)]]</f>
        <v>0</v>
      </c>
      <c r="W51" s="445">
        <f>Tabla1[[#This Row],[CONSUMO POL CATIONICO (KG)]]</f>
        <v>5</v>
      </c>
      <c r="X51" s="467">
        <f t="shared" si="9"/>
        <v>195</v>
      </c>
      <c r="Y51" s="466">
        <f t="shared" si="10"/>
        <v>496.875</v>
      </c>
      <c r="Z51" s="466">
        <f t="shared" si="11"/>
        <v>156.25</v>
      </c>
      <c r="AA51" s="466">
        <f t="shared" si="12"/>
        <v>0</v>
      </c>
      <c r="AB51" s="445">
        <f t="shared" si="13"/>
        <v>12.5</v>
      </c>
      <c r="AC51" s="454">
        <v>1.3</v>
      </c>
      <c r="AD51" s="454">
        <v>1.325</v>
      </c>
      <c r="AE51" s="454">
        <v>1.25</v>
      </c>
      <c r="AF51" s="455">
        <v>2500</v>
      </c>
      <c r="AG51" s="456">
        <v>2500</v>
      </c>
      <c r="AH51" s="158">
        <v>830</v>
      </c>
      <c r="AI51" s="158">
        <v>2900</v>
      </c>
      <c r="AJ51" s="158">
        <v>6295</v>
      </c>
      <c r="AK51" s="158">
        <v>19050</v>
      </c>
      <c r="AL51" s="158">
        <v>22050</v>
      </c>
      <c r="AM51" s="468">
        <f t="shared" si="14"/>
        <v>64740</v>
      </c>
      <c r="AN51" s="460">
        <f t="shared" si="15"/>
        <v>576375</v>
      </c>
      <c r="AO51" s="460">
        <f t="shared" si="16"/>
        <v>393437.5</v>
      </c>
      <c r="AP51" s="460">
        <f t="shared" si="17"/>
        <v>0</v>
      </c>
      <c r="AQ51" s="469">
        <f t="shared" si="18"/>
        <v>110250</v>
      </c>
      <c r="AR51" s="468">
        <f>SUM(Tabla1[[#This Row],[COSTO OPERATIVO ACIDO]:[COSTO OPERATIVO CATIONICO]])</f>
        <v>1144802.5</v>
      </c>
      <c r="AS51" s="460">
        <v>5250</v>
      </c>
      <c r="AT51" s="460">
        <f t="shared" si="19"/>
        <v>2862.0062499999999</v>
      </c>
    </row>
    <row r="52" spans="1:46" ht="14.95" thickBot="1" x14ac:dyDescent="0.3">
      <c r="A52" s="470">
        <f t="shared" si="45"/>
        <v>46070</v>
      </c>
      <c r="B52" s="157">
        <f>DAY(Tabla1[[#This Row],[FECHA]])</f>
        <v>17</v>
      </c>
      <c r="C52" s="471" t="s">
        <v>30</v>
      </c>
      <c r="D52" s="472">
        <v>51</v>
      </c>
      <c r="E52" s="472" t="s">
        <v>76</v>
      </c>
      <c r="F52" s="464">
        <v>700</v>
      </c>
      <c r="G52" s="465">
        <v>2150</v>
      </c>
      <c r="H52" s="465">
        <v>1550</v>
      </c>
      <c r="I52" s="465">
        <v>105</v>
      </c>
      <c r="J52" s="465">
        <v>5</v>
      </c>
      <c r="K52" s="484">
        <v>17075</v>
      </c>
      <c r="L52" s="485">
        <f>+(K53-Tabla1[[#This Row],[Lectura Horometro INICIAL (06:00)]])*Tabla1[[#This Row],[CAUDAL DE TRATAMIENTO]]</f>
        <v>400</v>
      </c>
      <c r="M52" s="486">
        <v>80</v>
      </c>
      <c r="N52" s="446">
        <f t="shared" si="38"/>
        <v>50</v>
      </c>
      <c r="O52" s="499">
        <f t="shared" si="40"/>
        <v>50</v>
      </c>
      <c r="P52" s="446">
        <f t="shared" si="39"/>
        <v>60</v>
      </c>
      <c r="Q52" s="446">
        <f t="shared" si="42"/>
        <v>0</v>
      </c>
      <c r="R52" s="447">
        <f t="shared" si="43"/>
        <v>5</v>
      </c>
      <c r="S52" s="452">
        <f t="shared" si="6"/>
        <v>65</v>
      </c>
      <c r="T52" s="453">
        <f t="shared" si="7"/>
        <v>66.25</v>
      </c>
      <c r="U52" s="453">
        <f t="shared" si="8"/>
        <v>75</v>
      </c>
      <c r="V52" s="473">
        <f>Tabla1[[#This Row],[CONSUMO POL ANIONICO (KG)]]</f>
        <v>0</v>
      </c>
      <c r="W52" s="447">
        <f>Tabla1[[#This Row],[CONSUMO POL CATIONICO (KG)]]</f>
        <v>5</v>
      </c>
      <c r="X52" s="467">
        <f t="shared" si="9"/>
        <v>162.5</v>
      </c>
      <c r="Y52" s="473">
        <f t="shared" si="10"/>
        <v>165.625</v>
      </c>
      <c r="Z52" s="473">
        <f t="shared" si="11"/>
        <v>187.5</v>
      </c>
      <c r="AA52" s="473">
        <f t="shared" si="12"/>
        <v>0</v>
      </c>
      <c r="AB52" s="447">
        <f t="shared" si="13"/>
        <v>12.5</v>
      </c>
      <c r="AC52" s="454">
        <v>1.3</v>
      </c>
      <c r="AD52" s="454">
        <v>1.325</v>
      </c>
      <c r="AE52" s="454">
        <v>1.25</v>
      </c>
      <c r="AF52" s="455">
        <v>2500</v>
      </c>
      <c r="AG52" s="456">
        <v>2500</v>
      </c>
      <c r="AH52" s="158">
        <v>830</v>
      </c>
      <c r="AI52" s="158">
        <v>2900</v>
      </c>
      <c r="AJ52" s="158">
        <v>6295</v>
      </c>
      <c r="AK52" s="158">
        <v>19050</v>
      </c>
      <c r="AL52" s="158">
        <v>22050</v>
      </c>
      <c r="AM52" s="468">
        <f t="shared" si="14"/>
        <v>53950</v>
      </c>
      <c r="AN52" s="474">
        <f t="shared" si="15"/>
        <v>192125</v>
      </c>
      <c r="AO52" s="474">
        <f t="shared" si="16"/>
        <v>472125</v>
      </c>
      <c r="AP52" s="474">
        <f t="shared" si="17"/>
        <v>0</v>
      </c>
      <c r="AQ52" s="475">
        <f t="shared" si="18"/>
        <v>110250</v>
      </c>
      <c r="AR52" s="468">
        <f>SUM(Tabla1[[#This Row],[COSTO OPERATIVO ACIDO]:[COSTO OPERATIVO CATIONICO]])</f>
        <v>828450</v>
      </c>
      <c r="AS52" s="474">
        <v>5250</v>
      </c>
      <c r="AT52" s="460">
        <f t="shared" si="19"/>
        <v>2071.125</v>
      </c>
    </row>
    <row r="53" spans="1:46" ht="14.95" thickBot="1" x14ac:dyDescent="0.3">
      <c r="A53" s="213">
        <v>46071</v>
      </c>
      <c r="B53" s="157">
        <f>DAY(Tabla1[[#This Row],[FECHA]])</f>
        <v>18</v>
      </c>
      <c r="C53" s="448" t="s">
        <v>273</v>
      </c>
      <c r="D53" s="449">
        <v>52</v>
      </c>
      <c r="E53" s="449" t="s">
        <v>75</v>
      </c>
      <c r="F53" s="450">
        <v>650</v>
      </c>
      <c r="G53" s="451">
        <v>2100</v>
      </c>
      <c r="H53" s="451">
        <v>1490</v>
      </c>
      <c r="I53" s="451">
        <v>105</v>
      </c>
      <c r="J53" s="451">
        <v>0</v>
      </c>
      <c r="K53" s="480">
        <v>17080</v>
      </c>
      <c r="L53" s="481">
        <f>+(K54-Tabla1[[#This Row],[Lectura Horometro INICIAL (06:00)]])*Tabla1[[#This Row],[CAUDAL DE TRATAMIENTO]]</f>
        <v>320</v>
      </c>
      <c r="M53" s="482">
        <v>80</v>
      </c>
      <c r="N53" s="442">
        <f t="shared" si="38"/>
        <v>70</v>
      </c>
      <c r="O53" s="497">
        <f t="shared" si="40"/>
        <v>0</v>
      </c>
      <c r="P53" s="442">
        <f t="shared" si="39"/>
        <v>80</v>
      </c>
      <c r="Q53" s="442">
        <f t="shared" si="42"/>
        <v>5</v>
      </c>
      <c r="R53" s="515">
        <f>J53-J54+300</f>
        <v>5</v>
      </c>
      <c r="S53" s="452">
        <f t="shared" si="6"/>
        <v>91</v>
      </c>
      <c r="T53" s="453">
        <f t="shared" si="7"/>
        <v>0</v>
      </c>
      <c r="U53" s="453">
        <f t="shared" si="8"/>
        <v>100</v>
      </c>
      <c r="V53" s="453">
        <f>Tabla1[[#This Row],[CONSUMO POL ANIONICO (KG)]]</f>
        <v>5</v>
      </c>
      <c r="W53" s="443">
        <f>Tabla1[[#This Row],[CONSUMO POL CATIONICO (KG)]]</f>
        <v>5</v>
      </c>
      <c r="X53" s="452">
        <f t="shared" si="9"/>
        <v>284.375</v>
      </c>
      <c r="Y53" s="453">
        <f t="shared" si="10"/>
        <v>0</v>
      </c>
      <c r="Z53" s="453">
        <f t="shared" si="11"/>
        <v>312.5</v>
      </c>
      <c r="AA53" s="453">
        <f t="shared" si="12"/>
        <v>15.625</v>
      </c>
      <c r="AB53" s="443">
        <f t="shared" si="13"/>
        <v>15.625</v>
      </c>
      <c r="AC53" s="454">
        <v>1.3</v>
      </c>
      <c r="AD53" s="454">
        <v>1.325</v>
      </c>
      <c r="AE53" s="454">
        <v>1.25</v>
      </c>
      <c r="AF53" s="455">
        <v>2500</v>
      </c>
      <c r="AG53" s="456">
        <v>2500</v>
      </c>
      <c r="AH53" s="158">
        <v>830</v>
      </c>
      <c r="AI53" s="158">
        <v>2900</v>
      </c>
      <c r="AJ53" s="158">
        <v>6295</v>
      </c>
      <c r="AK53" s="158">
        <v>19050</v>
      </c>
      <c r="AL53" s="158">
        <v>22050</v>
      </c>
      <c r="AM53" s="457">
        <f t="shared" si="14"/>
        <v>75530</v>
      </c>
      <c r="AN53" s="458">
        <f t="shared" si="15"/>
        <v>0</v>
      </c>
      <c r="AO53" s="458">
        <f t="shared" si="16"/>
        <v>629500</v>
      </c>
      <c r="AP53" s="458">
        <f t="shared" si="17"/>
        <v>95250</v>
      </c>
      <c r="AQ53" s="459">
        <f t="shared" si="18"/>
        <v>110250</v>
      </c>
      <c r="AR53" s="457">
        <f>SUM(Tabla1[[#This Row],[COSTO OPERATIVO ACIDO]:[COSTO OPERATIVO CATIONICO]])</f>
        <v>910530</v>
      </c>
      <c r="AS53" s="458">
        <v>5250</v>
      </c>
      <c r="AT53" s="460">
        <f t="shared" si="19"/>
        <v>2845.40625</v>
      </c>
    </row>
    <row r="54" spans="1:46" ht="14.95" thickBot="1" x14ac:dyDescent="0.3">
      <c r="A54" s="461">
        <f t="shared" ref="A54:A55" si="46">A53</f>
        <v>46071</v>
      </c>
      <c r="B54" s="157">
        <f>DAY(Tabla1[[#This Row],[FECHA]])</f>
        <v>18</v>
      </c>
      <c r="C54" s="462" t="s">
        <v>274</v>
      </c>
      <c r="D54" s="463">
        <v>53</v>
      </c>
      <c r="E54" s="463" t="s">
        <v>77</v>
      </c>
      <c r="F54" s="464">
        <v>580</v>
      </c>
      <c r="G54" s="465">
        <v>2100</v>
      </c>
      <c r="H54" s="465">
        <v>1410</v>
      </c>
      <c r="I54" s="465">
        <v>100</v>
      </c>
      <c r="J54" s="465">
        <v>295</v>
      </c>
      <c r="K54" s="483">
        <v>17084</v>
      </c>
      <c r="L54" s="478">
        <f>+(K55-Tabla1[[#This Row],[Lectura Horometro INICIAL (06:00)]])*Tabla1[[#This Row],[CAUDAL DE TRATAMIENTO]]</f>
        <v>160</v>
      </c>
      <c r="M54" s="479">
        <v>80</v>
      </c>
      <c r="N54" s="444">
        <f t="shared" si="38"/>
        <v>80</v>
      </c>
      <c r="O54" s="498">
        <f t="shared" si="40"/>
        <v>0</v>
      </c>
      <c r="P54" s="444">
        <f t="shared" si="39"/>
        <v>40</v>
      </c>
      <c r="Q54" s="444">
        <f t="shared" si="42"/>
        <v>0</v>
      </c>
      <c r="R54" s="445">
        <f t="shared" si="43"/>
        <v>5</v>
      </c>
      <c r="S54" s="452">
        <f t="shared" si="6"/>
        <v>104</v>
      </c>
      <c r="T54" s="453">
        <f t="shared" si="7"/>
        <v>0</v>
      </c>
      <c r="U54" s="453">
        <f t="shared" si="8"/>
        <v>50</v>
      </c>
      <c r="V54" s="466">
        <f>Tabla1[[#This Row],[CONSUMO POL ANIONICO (KG)]]</f>
        <v>0</v>
      </c>
      <c r="W54" s="445">
        <f>Tabla1[[#This Row],[CONSUMO POL CATIONICO (KG)]]</f>
        <v>5</v>
      </c>
      <c r="X54" s="467">
        <f t="shared" si="9"/>
        <v>650</v>
      </c>
      <c r="Y54" s="466">
        <f t="shared" si="10"/>
        <v>0</v>
      </c>
      <c r="Z54" s="466">
        <f t="shared" si="11"/>
        <v>312.5</v>
      </c>
      <c r="AA54" s="466">
        <f t="shared" si="12"/>
        <v>0</v>
      </c>
      <c r="AB54" s="445">
        <f t="shared" si="13"/>
        <v>31.25</v>
      </c>
      <c r="AC54" s="454">
        <v>1.3</v>
      </c>
      <c r="AD54" s="454">
        <v>1.325</v>
      </c>
      <c r="AE54" s="454">
        <v>1.25</v>
      </c>
      <c r="AF54" s="455">
        <v>2500</v>
      </c>
      <c r="AG54" s="456">
        <v>2500</v>
      </c>
      <c r="AH54" s="158">
        <v>830</v>
      </c>
      <c r="AI54" s="158">
        <v>2900</v>
      </c>
      <c r="AJ54" s="158">
        <v>6295</v>
      </c>
      <c r="AK54" s="158">
        <v>19050</v>
      </c>
      <c r="AL54" s="158">
        <v>22050</v>
      </c>
      <c r="AM54" s="468">
        <f t="shared" si="14"/>
        <v>86320</v>
      </c>
      <c r="AN54" s="460">
        <f t="shared" si="15"/>
        <v>0</v>
      </c>
      <c r="AO54" s="460">
        <f t="shared" si="16"/>
        <v>314750</v>
      </c>
      <c r="AP54" s="460">
        <f t="shared" si="17"/>
        <v>0</v>
      </c>
      <c r="AQ54" s="469">
        <f t="shared" si="18"/>
        <v>110250</v>
      </c>
      <c r="AR54" s="468">
        <f>SUM(Tabla1[[#This Row],[COSTO OPERATIVO ACIDO]:[COSTO OPERATIVO CATIONICO]])</f>
        <v>511320</v>
      </c>
      <c r="AS54" s="460">
        <v>5250</v>
      </c>
      <c r="AT54" s="460">
        <f t="shared" si="19"/>
        <v>3195.75</v>
      </c>
    </row>
    <row r="55" spans="1:46" ht="14.95" thickBot="1" x14ac:dyDescent="0.3">
      <c r="A55" s="470">
        <f t="shared" si="46"/>
        <v>46071</v>
      </c>
      <c r="B55" s="157">
        <f>DAY(Tabla1[[#This Row],[FECHA]])</f>
        <v>18</v>
      </c>
      <c r="C55" s="471" t="s">
        <v>30</v>
      </c>
      <c r="D55" s="472">
        <v>54</v>
      </c>
      <c r="E55" s="472" t="s">
        <v>76</v>
      </c>
      <c r="F55" s="464">
        <v>500</v>
      </c>
      <c r="G55" s="465">
        <v>2100</v>
      </c>
      <c r="H55" s="465">
        <v>1370</v>
      </c>
      <c r="I55" s="465">
        <v>100</v>
      </c>
      <c r="J55" s="465">
        <v>290</v>
      </c>
      <c r="K55" s="484">
        <v>17086</v>
      </c>
      <c r="L55" s="485">
        <f>+(K56-Tabla1[[#This Row],[Lectura Horometro INICIAL (06:00)]])*Tabla1[[#This Row],[CAUDAL DE TRATAMIENTO]]</f>
        <v>480</v>
      </c>
      <c r="M55" s="486">
        <v>80</v>
      </c>
      <c r="N55" s="446">
        <f t="shared" si="38"/>
        <v>130</v>
      </c>
      <c r="O55" s="499">
        <f t="shared" si="40"/>
        <v>0</v>
      </c>
      <c r="P55" s="446">
        <f t="shared" si="39"/>
        <v>80</v>
      </c>
      <c r="Q55" s="446">
        <f t="shared" si="42"/>
        <v>0</v>
      </c>
      <c r="R55" s="447">
        <f t="shared" si="43"/>
        <v>5</v>
      </c>
      <c r="S55" s="452">
        <f t="shared" si="6"/>
        <v>169</v>
      </c>
      <c r="T55" s="453">
        <f t="shared" si="7"/>
        <v>0</v>
      </c>
      <c r="U55" s="453">
        <f t="shared" si="8"/>
        <v>100</v>
      </c>
      <c r="V55" s="473">
        <f>Tabla1[[#This Row],[CONSUMO POL ANIONICO (KG)]]</f>
        <v>0</v>
      </c>
      <c r="W55" s="447">
        <f>Tabla1[[#This Row],[CONSUMO POL CATIONICO (KG)]]</f>
        <v>5</v>
      </c>
      <c r="X55" s="467">
        <f t="shared" si="9"/>
        <v>352.08333333333331</v>
      </c>
      <c r="Y55" s="473">
        <f t="shared" si="10"/>
        <v>0</v>
      </c>
      <c r="Z55" s="473">
        <f t="shared" si="11"/>
        <v>208.33333333333334</v>
      </c>
      <c r="AA55" s="473">
        <f t="shared" si="12"/>
        <v>0</v>
      </c>
      <c r="AB55" s="447">
        <f t="shared" si="13"/>
        <v>10.416666666666666</v>
      </c>
      <c r="AC55" s="454">
        <v>1.3</v>
      </c>
      <c r="AD55" s="454">
        <v>1.325</v>
      </c>
      <c r="AE55" s="454">
        <v>1.25</v>
      </c>
      <c r="AF55" s="455">
        <v>2500</v>
      </c>
      <c r="AG55" s="456">
        <v>2500</v>
      </c>
      <c r="AH55" s="158">
        <v>830</v>
      </c>
      <c r="AI55" s="158">
        <v>2900</v>
      </c>
      <c r="AJ55" s="158">
        <v>6295</v>
      </c>
      <c r="AK55" s="158">
        <v>19050</v>
      </c>
      <c r="AL55" s="158">
        <v>22050</v>
      </c>
      <c r="AM55" s="468">
        <f t="shared" si="14"/>
        <v>140270</v>
      </c>
      <c r="AN55" s="474">
        <f t="shared" si="15"/>
        <v>0</v>
      </c>
      <c r="AO55" s="474">
        <f t="shared" si="16"/>
        <v>629500</v>
      </c>
      <c r="AP55" s="474">
        <f t="shared" si="17"/>
        <v>0</v>
      </c>
      <c r="AQ55" s="475">
        <f t="shared" si="18"/>
        <v>110250</v>
      </c>
      <c r="AR55" s="468">
        <f>SUM(Tabla1[[#This Row],[COSTO OPERATIVO ACIDO]:[COSTO OPERATIVO CATIONICO]])</f>
        <v>880020</v>
      </c>
      <c r="AS55" s="474">
        <v>5250</v>
      </c>
      <c r="AT55" s="460">
        <f t="shared" si="19"/>
        <v>1833.375</v>
      </c>
    </row>
    <row r="56" spans="1:46" ht="14.95" thickBot="1" x14ac:dyDescent="0.3">
      <c r="A56" s="213">
        <v>46072</v>
      </c>
      <c r="B56" s="157">
        <f>DAY(Tabla1[[#This Row],[FECHA]])</f>
        <v>19</v>
      </c>
      <c r="C56" s="448" t="s">
        <v>275</v>
      </c>
      <c r="D56" s="449">
        <v>55</v>
      </c>
      <c r="E56" s="449" t="s">
        <v>75</v>
      </c>
      <c r="F56" s="450">
        <v>370</v>
      </c>
      <c r="G56" s="451">
        <v>2100</v>
      </c>
      <c r="H56" s="451">
        <v>1290</v>
      </c>
      <c r="I56" s="451">
        <v>100</v>
      </c>
      <c r="J56" s="451">
        <v>285</v>
      </c>
      <c r="K56" s="480">
        <v>17092</v>
      </c>
      <c r="L56" s="481">
        <f>+(K57-Tabla1[[#This Row],[Lectura Horometro INICIAL (06:00)]])*Tabla1[[#This Row],[CAUDAL DE TRATAMIENTO]]</f>
        <v>320</v>
      </c>
      <c r="M56" s="482">
        <v>80</v>
      </c>
      <c r="N56" s="442">
        <f t="shared" si="38"/>
        <v>70</v>
      </c>
      <c r="O56" s="497">
        <f t="shared" si="40"/>
        <v>40</v>
      </c>
      <c r="P56" s="442">
        <f t="shared" si="39"/>
        <v>70</v>
      </c>
      <c r="Q56" s="442">
        <f t="shared" si="42"/>
        <v>5</v>
      </c>
      <c r="R56" s="443">
        <f t="shared" si="43"/>
        <v>5</v>
      </c>
      <c r="S56" s="452">
        <f t="shared" si="6"/>
        <v>91</v>
      </c>
      <c r="T56" s="453">
        <f t="shared" si="7"/>
        <v>53</v>
      </c>
      <c r="U56" s="453">
        <f t="shared" si="8"/>
        <v>87.5</v>
      </c>
      <c r="V56" s="453">
        <f>Tabla1[[#This Row],[CONSUMO POL ANIONICO (KG)]]</f>
        <v>5</v>
      </c>
      <c r="W56" s="443">
        <f>Tabla1[[#This Row],[CONSUMO POL CATIONICO (KG)]]</f>
        <v>5</v>
      </c>
      <c r="X56" s="452">
        <f t="shared" si="9"/>
        <v>284.375</v>
      </c>
      <c r="Y56" s="453">
        <f t="shared" si="10"/>
        <v>165.625</v>
      </c>
      <c r="Z56" s="453">
        <f t="shared" si="11"/>
        <v>273.4375</v>
      </c>
      <c r="AA56" s="453">
        <f t="shared" si="12"/>
        <v>15.625</v>
      </c>
      <c r="AB56" s="443">
        <f t="shared" si="13"/>
        <v>15.625</v>
      </c>
      <c r="AC56" s="454">
        <v>1.3</v>
      </c>
      <c r="AD56" s="454">
        <v>1.325</v>
      </c>
      <c r="AE56" s="454">
        <v>1.25</v>
      </c>
      <c r="AF56" s="455">
        <v>2500</v>
      </c>
      <c r="AG56" s="456">
        <v>2500</v>
      </c>
      <c r="AH56" s="158">
        <v>830</v>
      </c>
      <c r="AI56" s="158">
        <v>2900</v>
      </c>
      <c r="AJ56" s="158">
        <v>6295</v>
      </c>
      <c r="AK56" s="158">
        <v>19050</v>
      </c>
      <c r="AL56" s="158">
        <v>22050</v>
      </c>
      <c r="AM56" s="457">
        <f t="shared" si="14"/>
        <v>75530</v>
      </c>
      <c r="AN56" s="458">
        <f t="shared" si="15"/>
        <v>153700</v>
      </c>
      <c r="AO56" s="458">
        <f t="shared" si="16"/>
        <v>550812.5</v>
      </c>
      <c r="AP56" s="458">
        <f t="shared" si="17"/>
        <v>95250</v>
      </c>
      <c r="AQ56" s="459">
        <f t="shared" si="18"/>
        <v>110250</v>
      </c>
      <c r="AR56" s="457">
        <f>SUM(Tabla1[[#This Row],[COSTO OPERATIVO ACIDO]:[COSTO OPERATIVO CATIONICO]])</f>
        <v>985542.5</v>
      </c>
      <c r="AS56" s="458">
        <v>5250</v>
      </c>
      <c r="AT56" s="460">
        <f t="shared" si="19"/>
        <v>3079.8203125</v>
      </c>
    </row>
    <row r="57" spans="1:46" ht="14.95" thickBot="1" x14ac:dyDescent="0.3">
      <c r="A57" s="461">
        <f t="shared" ref="A57:A58" si="47">A56</f>
        <v>46072</v>
      </c>
      <c r="B57" s="157">
        <f>DAY(Tabla1[[#This Row],[FECHA]])</f>
        <v>19</v>
      </c>
      <c r="C57" s="462" t="s">
        <v>276</v>
      </c>
      <c r="D57" s="463">
        <v>56</v>
      </c>
      <c r="E57" s="463" t="s">
        <v>77</v>
      </c>
      <c r="F57" s="464">
        <v>300</v>
      </c>
      <c r="G57" s="465">
        <v>2060</v>
      </c>
      <c r="H57" s="465">
        <v>1220</v>
      </c>
      <c r="I57" s="465">
        <v>95</v>
      </c>
      <c r="J57" s="465">
        <v>280</v>
      </c>
      <c r="K57" s="483">
        <v>17096</v>
      </c>
      <c r="L57" s="478">
        <f>+(K58-Tabla1[[#This Row],[Lectura Horometro INICIAL (06:00)]])*Tabla1[[#This Row],[CAUDAL DE TRATAMIENTO]]</f>
        <v>320</v>
      </c>
      <c r="M57" s="479">
        <v>80</v>
      </c>
      <c r="N57" s="444">
        <f t="shared" si="38"/>
        <v>200</v>
      </c>
      <c r="O57" s="498">
        <f t="shared" si="40"/>
        <v>160</v>
      </c>
      <c r="P57" s="444">
        <f t="shared" si="39"/>
        <v>50</v>
      </c>
      <c r="Q57" s="444">
        <f t="shared" si="42"/>
        <v>0</v>
      </c>
      <c r="R57" s="445">
        <f t="shared" si="43"/>
        <v>5</v>
      </c>
      <c r="S57" s="452">
        <f t="shared" si="6"/>
        <v>260</v>
      </c>
      <c r="T57" s="453">
        <f t="shared" si="7"/>
        <v>212</v>
      </c>
      <c r="U57" s="453">
        <f t="shared" si="8"/>
        <v>62.5</v>
      </c>
      <c r="V57" s="466">
        <f>Tabla1[[#This Row],[CONSUMO POL ANIONICO (KG)]]</f>
        <v>0</v>
      </c>
      <c r="W57" s="445">
        <f>Tabla1[[#This Row],[CONSUMO POL CATIONICO (KG)]]</f>
        <v>5</v>
      </c>
      <c r="X57" s="467">
        <f t="shared" si="9"/>
        <v>812.5</v>
      </c>
      <c r="Y57" s="466">
        <f t="shared" si="10"/>
        <v>662.5</v>
      </c>
      <c r="Z57" s="466">
        <f t="shared" si="11"/>
        <v>195.3125</v>
      </c>
      <c r="AA57" s="466">
        <f t="shared" si="12"/>
        <v>0</v>
      </c>
      <c r="AB57" s="445">
        <f t="shared" si="13"/>
        <v>15.625</v>
      </c>
      <c r="AC57" s="454">
        <v>1.3</v>
      </c>
      <c r="AD57" s="454">
        <v>1.325</v>
      </c>
      <c r="AE57" s="454">
        <v>1.25</v>
      </c>
      <c r="AF57" s="455">
        <v>2500</v>
      </c>
      <c r="AG57" s="456">
        <v>2500</v>
      </c>
      <c r="AH57" s="158">
        <v>830</v>
      </c>
      <c r="AI57" s="158">
        <v>2900</v>
      </c>
      <c r="AJ57" s="158">
        <v>6295</v>
      </c>
      <c r="AK57" s="158">
        <v>19050</v>
      </c>
      <c r="AL57" s="158">
        <v>22050</v>
      </c>
      <c r="AM57" s="468">
        <f t="shared" si="14"/>
        <v>215800</v>
      </c>
      <c r="AN57" s="460">
        <f t="shared" si="15"/>
        <v>614800</v>
      </c>
      <c r="AO57" s="460">
        <f t="shared" si="16"/>
        <v>393437.5</v>
      </c>
      <c r="AP57" s="460">
        <f t="shared" si="17"/>
        <v>0</v>
      </c>
      <c r="AQ57" s="469">
        <f t="shared" si="18"/>
        <v>110250</v>
      </c>
      <c r="AR57" s="468">
        <f>SUM(Tabla1[[#This Row],[COSTO OPERATIVO ACIDO]:[COSTO OPERATIVO CATIONICO]])</f>
        <v>1334287.5</v>
      </c>
      <c r="AS57" s="460">
        <v>5250</v>
      </c>
      <c r="AT57" s="460">
        <f t="shared" si="19"/>
        <v>4169.6484375</v>
      </c>
    </row>
    <row r="58" spans="1:46" ht="14.95" thickBot="1" x14ac:dyDescent="0.3">
      <c r="A58" s="470">
        <f t="shared" si="47"/>
        <v>46072</v>
      </c>
      <c r="B58" s="157">
        <f>DAY(Tabla1[[#This Row],[FECHA]])</f>
        <v>19</v>
      </c>
      <c r="C58" s="471" t="s">
        <v>30</v>
      </c>
      <c r="D58" s="472">
        <v>57</v>
      </c>
      <c r="E58" s="472" t="s">
        <v>76</v>
      </c>
      <c r="F58" s="464">
        <v>100</v>
      </c>
      <c r="G58" s="465">
        <v>1900</v>
      </c>
      <c r="H58" s="465">
        <v>1170</v>
      </c>
      <c r="I58" s="465">
        <v>95</v>
      </c>
      <c r="J58" s="465">
        <v>275</v>
      </c>
      <c r="K58" s="484">
        <v>17100</v>
      </c>
      <c r="L58" s="485">
        <f>+(K59-Tabla1[[#This Row],[Lectura Horometro INICIAL (06:00)]])*Tabla1[[#This Row],[CAUDAL DE TRATAMIENTO]]</f>
        <v>560</v>
      </c>
      <c r="M58" s="486">
        <v>80</v>
      </c>
      <c r="N58" s="516">
        <f>F58-F59+1000</f>
        <v>50</v>
      </c>
      <c r="O58" s="517">
        <f>G58-G59+2000</f>
        <v>170</v>
      </c>
      <c r="P58" s="516">
        <f>H58-H59+1000</f>
        <v>20</v>
      </c>
      <c r="Q58" s="446">
        <f t="shared" si="42"/>
        <v>0</v>
      </c>
      <c r="R58" s="447">
        <f t="shared" si="43"/>
        <v>5</v>
      </c>
      <c r="S58" s="452">
        <f t="shared" si="6"/>
        <v>65</v>
      </c>
      <c r="T58" s="453">
        <f t="shared" si="7"/>
        <v>225.25</v>
      </c>
      <c r="U58" s="453">
        <f t="shared" si="8"/>
        <v>25</v>
      </c>
      <c r="V58" s="473">
        <f>Tabla1[[#This Row],[CONSUMO POL ANIONICO (KG)]]</f>
        <v>0</v>
      </c>
      <c r="W58" s="447">
        <f>Tabla1[[#This Row],[CONSUMO POL CATIONICO (KG)]]</f>
        <v>5</v>
      </c>
      <c r="X58" s="467">
        <f t="shared" si="9"/>
        <v>116.07142857142857</v>
      </c>
      <c r="Y58" s="473">
        <f t="shared" si="10"/>
        <v>402.23214285714283</v>
      </c>
      <c r="Z58" s="473">
        <f t="shared" si="11"/>
        <v>44.642857142857146</v>
      </c>
      <c r="AA58" s="473">
        <f t="shared" si="12"/>
        <v>0</v>
      </c>
      <c r="AB58" s="447">
        <f t="shared" si="13"/>
        <v>8.9285714285714288</v>
      </c>
      <c r="AC58" s="454">
        <v>1.3</v>
      </c>
      <c r="AD58" s="454">
        <v>1.325</v>
      </c>
      <c r="AE58" s="454">
        <v>1.25</v>
      </c>
      <c r="AF58" s="455">
        <v>2500</v>
      </c>
      <c r="AG58" s="456">
        <v>2500</v>
      </c>
      <c r="AH58" s="158">
        <v>830</v>
      </c>
      <c r="AI58" s="158">
        <v>2900</v>
      </c>
      <c r="AJ58" s="158">
        <v>6295</v>
      </c>
      <c r="AK58" s="158">
        <v>19050</v>
      </c>
      <c r="AL58" s="158">
        <v>22050</v>
      </c>
      <c r="AM58" s="468">
        <f t="shared" si="14"/>
        <v>53950</v>
      </c>
      <c r="AN58" s="474">
        <f t="shared" si="15"/>
        <v>653225</v>
      </c>
      <c r="AO58" s="474">
        <f t="shared" si="16"/>
        <v>157375</v>
      </c>
      <c r="AP58" s="474">
        <f t="shared" si="17"/>
        <v>0</v>
      </c>
      <c r="AQ58" s="475">
        <f t="shared" si="18"/>
        <v>110250</v>
      </c>
      <c r="AR58" s="468">
        <f>SUM(Tabla1[[#This Row],[COSTO OPERATIVO ACIDO]:[COSTO OPERATIVO CATIONICO]])</f>
        <v>974800</v>
      </c>
      <c r="AS58" s="474">
        <v>5250</v>
      </c>
      <c r="AT58" s="460">
        <f t="shared" si="19"/>
        <v>1740.7142857142858</v>
      </c>
    </row>
    <row r="59" spans="1:46" ht="14.95" thickBot="1" x14ac:dyDescent="0.3">
      <c r="A59" s="213">
        <v>46073</v>
      </c>
      <c r="B59" s="157">
        <f>DAY(Tabla1[[#This Row],[FECHA]])</f>
        <v>20</v>
      </c>
      <c r="C59" s="448" t="s">
        <v>277</v>
      </c>
      <c r="D59" s="449">
        <v>58</v>
      </c>
      <c r="E59" s="449" t="s">
        <v>75</v>
      </c>
      <c r="F59" s="450">
        <v>1050</v>
      </c>
      <c r="G59" s="451">
        <v>3730</v>
      </c>
      <c r="H59" s="451">
        <v>2150</v>
      </c>
      <c r="I59" s="451">
        <v>95</v>
      </c>
      <c r="J59" s="451">
        <v>270</v>
      </c>
      <c r="K59" s="480">
        <v>17107</v>
      </c>
      <c r="L59" s="481">
        <f>+(K60-Tabla1[[#This Row],[Lectura Horometro INICIAL (06:00)]])*Tabla1[[#This Row],[CAUDAL DE TRATAMIENTO]]</f>
        <v>480</v>
      </c>
      <c r="M59" s="482">
        <v>80</v>
      </c>
      <c r="N59" s="442">
        <f t="shared" si="38"/>
        <v>120</v>
      </c>
      <c r="O59" s="497">
        <f t="shared" si="40"/>
        <v>140</v>
      </c>
      <c r="P59" s="442">
        <f t="shared" si="39"/>
        <v>50</v>
      </c>
      <c r="Q59" s="442">
        <f t="shared" si="42"/>
        <v>5</v>
      </c>
      <c r="R59" s="443">
        <f t="shared" si="43"/>
        <v>5</v>
      </c>
      <c r="S59" s="452">
        <f t="shared" si="6"/>
        <v>156</v>
      </c>
      <c r="T59" s="453">
        <f t="shared" si="7"/>
        <v>185.5</v>
      </c>
      <c r="U59" s="453">
        <f t="shared" si="8"/>
        <v>62.5</v>
      </c>
      <c r="V59" s="453">
        <f>Tabla1[[#This Row],[CONSUMO POL ANIONICO (KG)]]</f>
        <v>5</v>
      </c>
      <c r="W59" s="443">
        <f>Tabla1[[#This Row],[CONSUMO POL CATIONICO (KG)]]</f>
        <v>5</v>
      </c>
      <c r="X59" s="452">
        <f t="shared" si="9"/>
        <v>325</v>
      </c>
      <c r="Y59" s="453">
        <f t="shared" si="10"/>
        <v>386.45833333333331</v>
      </c>
      <c r="Z59" s="453">
        <f t="shared" si="11"/>
        <v>130.20833333333334</v>
      </c>
      <c r="AA59" s="453">
        <f t="shared" si="12"/>
        <v>10.416666666666666</v>
      </c>
      <c r="AB59" s="443">
        <f t="shared" si="13"/>
        <v>10.416666666666666</v>
      </c>
      <c r="AC59" s="454">
        <v>1.3</v>
      </c>
      <c r="AD59" s="454">
        <v>1.325</v>
      </c>
      <c r="AE59" s="454">
        <v>1.25</v>
      </c>
      <c r="AF59" s="455">
        <v>2500</v>
      </c>
      <c r="AG59" s="456">
        <v>2500</v>
      </c>
      <c r="AH59" s="158">
        <v>830</v>
      </c>
      <c r="AI59" s="158">
        <v>2900</v>
      </c>
      <c r="AJ59" s="158">
        <v>6295</v>
      </c>
      <c r="AK59" s="158">
        <v>19050</v>
      </c>
      <c r="AL59" s="158">
        <v>22050</v>
      </c>
      <c r="AM59" s="457">
        <f t="shared" si="14"/>
        <v>129480</v>
      </c>
      <c r="AN59" s="458">
        <f t="shared" si="15"/>
        <v>537950</v>
      </c>
      <c r="AO59" s="458">
        <f t="shared" si="16"/>
        <v>393437.5</v>
      </c>
      <c r="AP59" s="458">
        <f t="shared" si="17"/>
        <v>95250</v>
      </c>
      <c r="AQ59" s="459">
        <f t="shared" si="18"/>
        <v>110250</v>
      </c>
      <c r="AR59" s="457">
        <f>SUM(Tabla1[[#This Row],[COSTO OPERATIVO ACIDO]:[COSTO OPERATIVO CATIONICO]])</f>
        <v>1266367.5</v>
      </c>
      <c r="AS59" s="458">
        <v>5250</v>
      </c>
      <c r="AT59" s="460">
        <f t="shared" si="19"/>
        <v>2638.265625</v>
      </c>
    </row>
    <row r="60" spans="1:46" ht="14.95" thickBot="1" x14ac:dyDescent="0.3">
      <c r="A60" s="461">
        <f t="shared" ref="A60:A61" si="48">A59</f>
        <v>46073</v>
      </c>
      <c r="B60" s="157">
        <f>DAY(Tabla1[[#This Row],[FECHA]])</f>
        <v>20</v>
      </c>
      <c r="C60" s="462" t="s">
        <v>278</v>
      </c>
      <c r="D60" s="463">
        <v>59</v>
      </c>
      <c r="E60" s="463" t="s">
        <v>77</v>
      </c>
      <c r="F60" s="464">
        <v>930</v>
      </c>
      <c r="G60" s="465">
        <v>3590</v>
      </c>
      <c r="H60" s="465">
        <v>2100</v>
      </c>
      <c r="I60" s="465">
        <v>90</v>
      </c>
      <c r="J60" s="465">
        <v>265</v>
      </c>
      <c r="K60" s="483">
        <v>17113</v>
      </c>
      <c r="L60" s="478">
        <f>+(K61-Tabla1[[#This Row],[Lectura Horometro INICIAL (06:00)]])*Tabla1[[#This Row],[CAUDAL DE TRATAMIENTO]]</f>
        <v>400</v>
      </c>
      <c r="M60" s="479">
        <v>80</v>
      </c>
      <c r="N60" s="444">
        <f t="shared" si="38"/>
        <v>130</v>
      </c>
      <c r="O60" s="498">
        <f t="shared" si="40"/>
        <v>90</v>
      </c>
      <c r="P60" s="444">
        <f t="shared" si="39"/>
        <v>20</v>
      </c>
      <c r="Q60" s="444">
        <f t="shared" si="42"/>
        <v>0</v>
      </c>
      <c r="R60" s="445">
        <f t="shared" si="43"/>
        <v>5</v>
      </c>
      <c r="S60" s="452">
        <f t="shared" si="6"/>
        <v>169</v>
      </c>
      <c r="T60" s="453">
        <f t="shared" si="7"/>
        <v>119.25</v>
      </c>
      <c r="U60" s="453">
        <f t="shared" si="8"/>
        <v>25</v>
      </c>
      <c r="V60" s="466">
        <f>Tabla1[[#This Row],[CONSUMO POL ANIONICO (KG)]]</f>
        <v>0</v>
      </c>
      <c r="W60" s="445">
        <f>Tabla1[[#This Row],[CONSUMO POL CATIONICO (KG)]]</f>
        <v>5</v>
      </c>
      <c r="X60" s="467">
        <f t="shared" si="9"/>
        <v>422.5</v>
      </c>
      <c r="Y60" s="466">
        <f t="shared" si="10"/>
        <v>298.125</v>
      </c>
      <c r="Z60" s="466">
        <f t="shared" si="11"/>
        <v>62.5</v>
      </c>
      <c r="AA60" s="466">
        <f t="shared" si="12"/>
        <v>0</v>
      </c>
      <c r="AB60" s="445">
        <f t="shared" si="13"/>
        <v>12.5</v>
      </c>
      <c r="AC60" s="454">
        <v>1.3</v>
      </c>
      <c r="AD60" s="454">
        <v>1.325</v>
      </c>
      <c r="AE60" s="454">
        <v>1.25</v>
      </c>
      <c r="AF60" s="455">
        <v>2500</v>
      </c>
      <c r="AG60" s="456">
        <v>2500</v>
      </c>
      <c r="AH60" s="158">
        <v>830</v>
      </c>
      <c r="AI60" s="158">
        <v>2900</v>
      </c>
      <c r="AJ60" s="158">
        <v>6295</v>
      </c>
      <c r="AK60" s="158">
        <v>19050</v>
      </c>
      <c r="AL60" s="158">
        <v>22050</v>
      </c>
      <c r="AM60" s="468">
        <f t="shared" si="14"/>
        <v>140270</v>
      </c>
      <c r="AN60" s="460">
        <f t="shared" si="15"/>
        <v>345825</v>
      </c>
      <c r="AO60" s="460">
        <f t="shared" si="16"/>
        <v>157375</v>
      </c>
      <c r="AP60" s="460">
        <f t="shared" si="17"/>
        <v>0</v>
      </c>
      <c r="AQ60" s="469">
        <f t="shared" si="18"/>
        <v>110250</v>
      </c>
      <c r="AR60" s="468">
        <f>SUM(Tabla1[[#This Row],[COSTO OPERATIVO ACIDO]:[COSTO OPERATIVO CATIONICO]])</f>
        <v>753720</v>
      </c>
      <c r="AS60" s="460">
        <v>5250</v>
      </c>
      <c r="AT60" s="460">
        <f t="shared" si="19"/>
        <v>1884.3</v>
      </c>
    </row>
    <row r="61" spans="1:46" ht="14.95" thickBot="1" x14ac:dyDescent="0.3">
      <c r="A61" s="470">
        <f t="shared" si="48"/>
        <v>46073</v>
      </c>
      <c r="B61" s="157">
        <f>DAY(Tabla1[[#This Row],[FECHA]])</f>
        <v>20</v>
      </c>
      <c r="C61" s="471" t="s">
        <v>30</v>
      </c>
      <c r="D61" s="472">
        <v>60</v>
      </c>
      <c r="E61" s="472" t="s">
        <v>76</v>
      </c>
      <c r="F61" s="464">
        <v>800</v>
      </c>
      <c r="G61" s="465">
        <v>3500</v>
      </c>
      <c r="H61" s="465">
        <v>2080</v>
      </c>
      <c r="I61" s="465">
        <v>90</v>
      </c>
      <c r="J61" s="465">
        <v>260</v>
      </c>
      <c r="K61" s="484">
        <v>17118</v>
      </c>
      <c r="L61" s="485">
        <f>+(K62-Tabla1[[#This Row],[Lectura Horometro INICIAL (06:00)]])*Tabla1[[#This Row],[CAUDAL DE TRATAMIENTO]]</f>
        <v>480</v>
      </c>
      <c r="M61" s="486">
        <v>80</v>
      </c>
      <c r="N61" s="446">
        <f t="shared" si="38"/>
        <v>0</v>
      </c>
      <c r="O61" s="499">
        <f t="shared" si="40"/>
        <v>150</v>
      </c>
      <c r="P61" s="446">
        <f t="shared" si="39"/>
        <v>40</v>
      </c>
      <c r="Q61" s="446">
        <f t="shared" si="42"/>
        <v>0</v>
      </c>
      <c r="R61" s="447">
        <f t="shared" si="43"/>
        <v>5</v>
      </c>
      <c r="S61" s="452">
        <f t="shared" si="6"/>
        <v>0</v>
      </c>
      <c r="T61" s="453">
        <f t="shared" si="7"/>
        <v>198.75</v>
      </c>
      <c r="U61" s="453">
        <f t="shared" si="8"/>
        <v>50</v>
      </c>
      <c r="V61" s="473">
        <f>Tabla1[[#This Row],[CONSUMO POL ANIONICO (KG)]]</f>
        <v>0</v>
      </c>
      <c r="W61" s="447">
        <f>Tabla1[[#This Row],[CONSUMO POL CATIONICO (KG)]]</f>
        <v>5</v>
      </c>
      <c r="X61" s="467">
        <f t="shared" si="9"/>
        <v>0</v>
      </c>
      <c r="Y61" s="473">
        <f t="shared" si="10"/>
        <v>414.0625</v>
      </c>
      <c r="Z61" s="473">
        <f t="shared" si="11"/>
        <v>104.16666666666667</v>
      </c>
      <c r="AA61" s="473">
        <f t="shared" si="12"/>
        <v>0</v>
      </c>
      <c r="AB61" s="447">
        <f t="shared" si="13"/>
        <v>10.416666666666666</v>
      </c>
      <c r="AC61" s="454">
        <v>1.3</v>
      </c>
      <c r="AD61" s="454">
        <v>1.325</v>
      </c>
      <c r="AE61" s="454">
        <v>1.25</v>
      </c>
      <c r="AF61" s="455">
        <v>2500</v>
      </c>
      <c r="AG61" s="456">
        <v>2500</v>
      </c>
      <c r="AH61" s="158">
        <v>830</v>
      </c>
      <c r="AI61" s="158">
        <v>2900</v>
      </c>
      <c r="AJ61" s="158">
        <v>6295</v>
      </c>
      <c r="AK61" s="158">
        <v>19050</v>
      </c>
      <c r="AL61" s="158">
        <v>22050</v>
      </c>
      <c r="AM61" s="468">
        <f t="shared" si="14"/>
        <v>0</v>
      </c>
      <c r="AN61" s="474">
        <f t="shared" si="15"/>
        <v>576375</v>
      </c>
      <c r="AO61" s="474">
        <f t="shared" si="16"/>
        <v>314750</v>
      </c>
      <c r="AP61" s="474">
        <f t="shared" si="17"/>
        <v>0</v>
      </c>
      <c r="AQ61" s="475">
        <f t="shared" si="18"/>
        <v>110250</v>
      </c>
      <c r="AR61" s="468">
        <f>SUM(Tabla1[[#This Row],[COSTO OPERATIVO ACIDO]:[COSTO OPERATIVO CATIONICO]])</f>
        <v>1001375</v>
      </c>
      <c r="AS61" s="474">
        <v>5250</v>
      </c>
      <c r="AT61" s="460">
        <f t="shared" si="19"/>
        <v>2086.1979166666665</v>
      </c>
    </row>
    <row r="62" spans="1:46" s="488" customFormat="1" ht="14.95" thickBot="1" x14ac:dyDescent="0.3">
      <c r="A62" s="213">
        <v>46074</v>
      </c>
      <c r="B62" s="157">
        <f>DAY(Tabla1[[#This Row],[FECHA]])</f>
        <v>21</v>
      </c>
      <c r="C62" s="448" t="s">
        <v>279</v>
      </c>
      <c r="D62" s="449">
        <v>61</v>
      </c>
      <c r="E62" s="449" t="s">
        <v>75</v>
      </c>
      <c r="F62" s="450">
        <v>800</v>
      </c>
      <c r="G62" s="451">
        <v>3350</v>
      </c>
      <c r="H62" s="451">
        <v>2040</v>
      </c>
      <c r="I62" s="451">
        <v>90</v>
      </c>
      <c r="J62" s="451">
        <v>255</v>
      </c>
      <c r="K62" s="480">
        <v>17124</v>
      </c>
      <c r="L62" s="481">
        <f>+(K63-Tabla1[[#This Row],[Lectura Horometro INICIAL (06:00)]])*Tabla1[[#This Row],[CAUDAL DE TRATAMIENTO]]</f>
        <v>400</v>
      </c>
      <c r="M62" s="482">
        <v>80</v>
      </c>
      <c r="N62" s="442">
        <f t="shared" si="38"/>
        <v>150</v>
      </c>
      <c r="O62" s="497">
        <f t="shared" si="40"/>
        <v>300</v>
      </c>
      <c r="P62" s="442">
        <f t="shared" si="39"/>
        <v>40</v>
      </c>
      <c r="Q62" s="442">
        <f t="shared" si="42"/>
        <v>5</v>
      </c>
      <c r="R62" s="443">
        <f t="shared" si="43"/>
        <v>5</v>
      </c>
      <c r="S62" s="452">
        <f t="shared" si="6"/>
        <v>195</v>
      </c>
      <c r="T62" s="453">
        <f t="shared" si="7"/>
        <v>397.5</v>
      </c>
      <c r="U62" s="453">
        <f t="shared" si="8"/>
        <v>50</v>
      </c>
      <c r="V62" s="453">
        <f>Tabla1[[#This Row],[CONSUMO POL ANIONICO (KG)]]</f>
        <v>5</v>
      </c>
      <c r="W62" s="443">
        <f>Tabla1[[#This Row],[CONSUMO POL CATIONICO (KG)]]</f>
        <v>5</v>
      </c>
      <c r="X62" s="452">
        <f t="shared" si="9"/>
        <v>487.5</v>
      </c>
      <c r="Y62" s="453">
        <f t="shared" si="10"/>
        <v>993.75</v>
      </c>
      <c r="Z62" s="453">
        <f t="shared" si="11"/>
        <v>125</v>
      </c>
      <c r="AA62" s="453">
        <f t="shared" si="12"/>
        <v>12.5</v>
      </c>
      <c r="AB62" s="443">
        <f t="shared" si="13"/>
        <v>12.5</v>
      </c>
      <c r="AC62" s="454">
        <v>1.3</v>
      </c>
      <c r="AD62" s="454">
        <v>1.325</v>
      </c>
      <c r="AE62" s="454">
        <v>1.25</v>
      </c>
      <c r="AF62" s="455">
        <v>2500</v>
      </c>
      <c r="AG62" s="456">
        <v>2500</v>
      </c>
      <c r="AH62" s="158">
        <v>830</v>
      </c>
      <c r="AI62" s="158">
        <v>2900</v>
      </c>
      <c r="AJ62" s="158">
        <v>6295</v>
      </c>
      <c r="AK62" s="158">
        <v>19050</v>
      </c>
      <c r="AL62" s="158">
        <v>22050</v>
      </c>
      <c r="AM62" s="457">
        <f t="shared" si="14"/>
        <v>161850</v>
      </c>
      <c r="AN62" s="458">
        <f t="shared" si="15"/>
        <v>1152750</v>
      </c>
      <c r="AO62" s="458">
        <f t="shared" si="16"/>
        <v>314750</v>
      </c>
      <c r="AP62" s="458">
        <f t="shared" si="17"/>
        <v>95250</v>
      </c>
      <c r="AQ62" s="459">
        <f t="shared" si="18"/>
        <v>110250</v>
      </c>
      <c r="AR62" s="457">
        <f>SUM(Tabla1[[#This Row],[COSTO OPERATIVO ACIDO]:[COSTO OPERATIVO CATIONICO]])</f>
        <v>1834850</v>
      </c>
      <c r="AS62" s="458">
        <v>5250</v>
      </c>
      <c r="AT62" s="460">
        <f t="shared" si="19"/>
        <v>4587.125</v>
      </c>
    </row>
    <row r="63" spans="1:46" s="488" customFormat="1" ht="14.95" thickBot="1" x14ac:dyDescent="0.3">
      <c r="A63" s="461">
        <f t="shared" ref="A63:A64" si="49">A62</f>
        <v>46074</v>
      </c>
      <c r="B63" s="157">
        <f>DAY(Tabla1[[#This Row],[FECHA]])</f>
        <v>21</v>
      </c>
      <c r="C63" s="462" t="s">
        <v>280</v>
      </c>
      <c r="D63" s="463">
        <v>62</v>
      </c>
      <c r="E63" s="463" t="s">
        <v>77</v>
      </c>
      <c r="F63" s="464">
        <v>650</v>
      </c>
      <c r="G63" s="465">
        <v>3050</v>
      </c>
      <c r="H63" s="465">
        <v>2000</v>
      </c>
      <c r="I63" s="465">
        <v>85</v>
      </c>
      <c r="J63" s="465">
        <v>250</v>
      </c>
      <c r="K63" s="483">
        <v>17129</v>
      </c>
      <c r="L63" s="478">
        <f>+(K64-Tabla1[[#This Row],[Lectura Horometro INICIAL (06:00)]])*Tabla1[[#This Row],[CAUDAL DE TRATAMIENTO]]</f>
        <v>160</v>
      </c>
      <c r="M63" s="479">
        <v>80</v>
      </c>
      <c r="N63" s="444">
        <f t="shared" si="38"/>
        <v>50</v>
      </c>
      <c r="O63" s="498">
        <f t="shared" si="40"/>
        <v>50</v>
      </c>
      <c r="P63" s="444">
        <f t="shared" si="39"/>
        <v>50</v>
      </c>
      <c r="Q63" s="444">
        <f t="shared" si="42"/>
        <v>0</v>
      </c>
      <c r="R63" s="445">
        <f t="shared" si="43"/>
        <v>5</v>
      </c>
      <c r="S63" s="452">
        <f t="shared" si="6"/>
        <v>65</v>
      </c>
      <c r="T63" s="453">
        <f t="shared" si="7"/>
        <v>66.25</v>
      </c>
      <c r="U63" s="453">
        <f t="shared" si="8"/>
        <v>62.5</v>
      </c>
      <c r="V63" s="466">
        <f>Tabla1[[#This Row],[CONSUMO POL ANIONICO (KG)]]</f>
        <v>0</v>
      </c>
      <c r="W63" s="445">
        <f>Tabla1[[#This Row],[CONSUMO POL CATIONICO (KG)]]</f>
        <v>5</v>
      </c>
      <c r="X63" s="467">
        <f t="shared" si="9"/>
        <v>406.25</v>
      </c>
      <c r="Y63" s="466">
        <f t="shared" si="10"/>
        <v>414.0625</v>
      </c>
      <c r="Z63" s="466">
        <f t="shared" si="11"/>
        <v>390.625</v>
      </c>
      <c r="AA63" s="466">
        <f t="shared" si="12"/>
        <v>0</v>
      </c>
      <c r="AB63" s="445">
        <f t="shared" si="13"/>
        <v>31.25</v>
      </c>
      <c r="AC63" s="454">
        <v>1.3</v>
      </c>
      <c r="AD63" s="454">
        <v>1.325</v>
      </c>
      <c r="AE63" s="454">
        <v>1.25</v>
      </c>
      <c r="AF63" s="455">
        <v>2500</v>
      </c>
      <c r="AG63" s="456">
        <v>2500</v>
      </c>
      <c r="AH63" s="158">
        <v>830</v>
      </c>
      <c r="AI63" s="158">
        <v>2900</v>
      </c>
      <c r="AJ63" s="158">
        <v>6295</v>
      </c>
      <c r="AK63" s="158">
        <v>19050</v>
      </c>
      <c r="AL63" s="158">
        <v>22050</v>
      </c>
      <c r="AM63" s="468">
        <f t="shared" si="14"/>
        <v>53950</v>
      </c>
      <c r="AN63" s="460">
        <f t="shared" si="15"/>
        <v>192125</v>
      </c>
      <c r="AO63" s="460">
        <f t="shared" si="16"/>
        <v>393437.5</v>
      </c>
      <c r="AP63" s="460">
        <f t="shared" si="17"/>
        <v>0</v>
      </c>
      <c r="AQ63" s="469">
        <f t="shared" si="18"/>
        <v>110250</v>
      </c>
      <c r="AR63" s="468">
        <f>SUM(Tabla1[[#This Row],[COSTO OPERATIVO ACIDO]:[COSTO OPERATIVO CATIONICO]])</f>
        <v>749762.5</v>
      </c>
      <c r="AS63" s="460">
        <v>5250</v>
      </c>
      <c r="AT63" s="460">
        <f t="shared" si="19"/>
        <v>4686.015625</v>
      </c>
    </row>
    <row r="64" spans="1:46" s="488" customFormat="1" ht="14.95" thickBot="1" x14ac:dyDescent="0.3">
      <c r="A64" s="470">
        <f t="shared" si="49"/>
        <v>46074</v>
      </c>
      <c r="B64" s="157">
        <f>DAY(Tabla1[[#This Row],[FECHA]])</f>
        <v>21</v>
      </c>
      <c r="C64" s="471" t="s">
        <v>30</v>
      </c>
      <c r="D64" s="472">
        <v>63</v>
      </c>
      <c r="E64" s="472" t="s">
        <v>76</v>
      </c>
      <c r="F64" s="464">
        <v>600</v>
      </c>
      <c r="G64" s="465">
        <v>3000</v>
      </c>
      <c r="H64" s="465">
        <v>1950</v>
      </c>
      <c r="I64" s="465">
        <v>85</v>
      </c>
      <c r="J64" s="465">
        <v>245</v>
      </c>
      <c r="K64" s="484">
        <v>17131</v>
      </c>
      <c r="L64" s="485">
        <f>+(K65-Tabla1[[#This Row],[Lectura Horometro INICIAL (06:00)]])*Tabla1[[#This Row],[CAUDAL DE TRATAMIENTO]]</f>
        <v>320</v>
      </c>
      <c r="M64" s="486">
        <v>80</v>
      </c>
      <c r="N64" s="446">
        <f t="shared" si="38"/>
        <v>80</v>
      </c>
      <c r="O64" s="499">
        <f t="shared" si="40"/>
        <v>150</v>
      </c>
      <c r="P64" s="446">
        <f t="shared" si="39"/>
        <v>40</v>
      </c>
      <c r="Q64" s="446">
        <f t="shared" si="42"/>
        <v>0</v>
      </c>
      <c r="R64" s="447">
        <f t="shared" si="43"/>
        <v>5</v>
      </c>
      <c r="S64" s="452">
        <f t="shared" si="6"/>
        <v>104</v>
      </c>
      <c r="T64" s="453">
        <f t="shared" si="7"/>
        <v>198.75</v>
      </c>
      <c r="U64" s="453">
        <f t="shared" si="8"/>
        <v>50</v>
      </c>
      <c r="V64" s="473">
        <f>Tabla1[[#This Row],[CONSUMO POL ANIONICO (KG)]]</f>
        <v>0</v>
      </c>
      <c r="W64" s="447">
        <f>Tabla1[[#This Row],[CONSUMO POL CATIONICO (KG)]]</f>
        <v>5</v>
      </c>
      <c r="X64" s="467">
        <f t="shared" si="9"/>
        <v>325</v>
      </c>
      <c r="Y64" s="473">
        <f t="shared" si="10"/>
        <v>621.09375</v>
      </c>
      <c r="Z64" s="473">
        <f t="shared" si="11"/>
        <v>156.25</v>
      </c>
      <c r="AA64" s="473">
        <f t="shared" si="12"/>
        <v>0</v>
      </c>
      <c r="AB64" s="447">
        <f t="shared" si="13"/>
        <v>15.625</v>
      </c>
      <c r="AC64" s="454">
        <v>1.3</v>
      </c>
      <c r="AD64" s="454">
        <v>1.325</v>
      </c>
      <c r="AE64" s="454">
        <v>1.25</v>
      </c>
      <c r="AF64" s="455">
        <v>2500</v>
      </c>
      <c r="AG64" s="456">
        <v>2500</v>
      </c>
      <c r="AH64" s="158">
        <v>830</v>
      </c>
      <c r="AI64" s="158">
        <v>2900</v>
      </c>
      <c r="AJ64" s="158">
        <v>6295</v>
      </c>
      <c r="AK64" s="158">
        <v>19050</v>
      </c>
      <c r="AL64" s="158">
        <v>22050</v>
      </c>
      <c r="AM64" s="468">
        <f t="shared" si="14"/>
        <v>86320</v>
      </c>
      <c r="AN64" s="474">
        <f t="shared" si="15"/>
        <v>576375</v>
      </c>
      <c r="AO64" s="474">
        <f t="shared" si="16"/>
        <v>314750</v>
      </c>
      <c r="AP64" s="474">
        <f t="shared" si="17"/>
        <v>0</v>
      </c>
      <c r="AQ64" s="475">
        <f t="shared" si="18"/>
        <v>110250</v>
      </c>
      <c r="AR64" s="468">
        <f>SUM(Tabla1[[#This Row],[COSTO OPERATIVO ACIDO]:[COSTO OPERATIVO CATIONICO]])</f>
        <v>1087695</v>
      </c>
      <c r="AS64" s="474">
        <v>5250</v>
      </c>
      <c r="AT64" s="460">
        <f t="shared" si="19"/>
        <v>3399.046875</v>
      </c>
    </row>
    <row r="65" spans="1:46" ht="14.95" thickBot="1" x14ac:dyDescent="0.3">
      <c r="A65" s="213">
        <v>46075</v>
      </c>
      <c r="B65" s="157">
        <f>DAY(Tabla1[[#This Row],[FECHA]])</f>
        <v>22</v>
      </c>
      <c r="C65" s="448" t="s">
        <v>281</v>
      </c>
      <c r="D65" s="449">
        <v>64</v>
      </c>
      <c r="E65" s="449" t="s">
        <v>75</v>
      </c>
      <c r="F65" s="450">
        <v>520</v>
      </c>
      <c r="G65" s="451">
        <v>2850</v>
      </c>
      <c r="H65" s="451">
        <v>1910</v>
      </c>
      <c r="I65" s="451">
        <v>85</v>
      </c>
      <c r="J65" s="451">
        <v>240</v>
      </c>
      <c r="K65" s="480">
        <v>17135</v>
      </c>
      <c r="L65" s="481">
        <f>+(K66-Tabla1[[#This Row],[Lectura Horometro INICIAL (06:00)]])*Tabla1[[#This Row],[CAUDAL DE TRATAMIENTO]]</f>
        <v>0</v>
      </c>
      <c r="M65" s="482">
        <v>80</v>
      </c>
      <c r="N65" s="442">
        <f t="shared" si="38"/>
        <v>0</v>
      </c>
      <c r="O65" s="497">
        <f t="shared" si="40"/>
        <v>0</v>
      </c>
      <c r="P65" s="442">
        <f t="shared" si="39"/>
        <v>0</v>
      </c>
      <c r="Q65" s="442">
        <f t="shared" si="42"/>
        <v>0</v>
      </c>
      <c r="R65" s="443">
        <f t="shared" si="43"/>
        <v>0</v>
      </c>
      <c r="S65" s="452">
        <f t="shared" si="6"/>
        <v>0</v>
      </c>
      <c r="T65" s="453">
        <f t="shared" si="7"/>
        <v>0</v>
      </c>
      <c r="U65" s="453">
        <f t="shared" si="8"/>
        <v>0</v>
      </c>
      <c r="V65" s="453">
        <f>Tabla1[[#This Row],[CONSUMO POL ANIONICO (KG)]]</f>
        <v>0</v>
      </c>
      <c r="W65" s="443">
        <f>Tabla1[[#This Row],[CONSUMO POL CATIONICO (KG)]]</f>
        <v>0</v>
      </c>
      <c r="X65" s="452" t="e">
        <f t="shared" si="9"/>
        <v>#DIV/0!</v>
      </c>
      <c r="Y65" s="453" t="e">
        <f t="shared" si="10"/>
        <v>#DIV/0!</v>
      </c>
      <c r="Z65" s="453" t="e">
        <f t="shared" si="11"/>
        <v>#DIV/0!</v>
      </c>
      <c r="AA65" s="453" t="e">
        <f t="shared" si="12"/>
        <v>#DIV/0!</v>
      </c>
      <c r="AB65" s="443" t="e">
        <f t="shared" si="13"/>
        <v>#DIV/0!</v>
      </c>
      <c r="AC65" s="454">
        <v>1.3</v>
      </c>
      <c r="AD65" s="454">
        <v>1.325</v>
      </c>
      <c r="AE65" s="454">
        <v>1.25</v>
      </c>
      <c r="AF65" s="455">
        <v>2500</v>
      </c>
      <c r="AG65" s="456">
        <v>2500</v>
      </c>
      <c r="AH65" s="158">
        <v>830</v>
      </c>
      <c r="AI65" s="158">
        <v>2900</v>
      </c>
      <c r="AJ65" s="158">
        <v>6295</v>
      </c>
      <c r="AK65" s="158">
        <v>19050</v>
      </c>
      <c r="AL65" s="158">
        <v>22050</v>
      </c>
      <c r="AM65" s="457">
        <f t="shared" si="14"/>
        <v>0</v>
      </c>
      <c r="AN65" s="458">
        <f t="shared" si="15"/>
        <v>0</v>
      </c>
      <c r="AO65" s="458">
        <f t="shared" si="16"/>
        <v>0</v>
      </c>
      <c r="AP65" s="458">
        <f t="shared" si="17"/>
        <v>0</v>
      </c>
      <c r="AQ65" s="459">
        <f t="shared" si="18"/>
        <v>0</v>
      </c>
      <c r="AR65" s="457">
        <f>SUM(Tabla1[[#This Row],[COSTO OPERATIVO ACIDO]:[COSTO OPERATIVO CATIONICO]])</f>
        <v>0</v>
      </c>
      <c r="AS65" s="458">
        <v>5250</v>
      </c>
      <c r="AT65" s="460" t="e">
        <f t="shared" si="19"/>
        <v>#DIV/0!</v>
      </c>
    </row>
    <row r="66" spans="1:46" ht="14.95" thickBot="1" x14ac:dyDescent="0.3">
      <c r="A66" s="461">
        <f t="shared" ref="A66:A67" si="50">A65</f>
        <v>46075</v>
      </c>
      <c r="B66" s="157">
        <f>DAY(Tabla1[[#This Row],[FECHA]])</f>
        <v>22</v>
      </c>
      <c r="C66" s="462" t="s">
        <v>282</v>
      </c>
      <c r="D66" s="463">
        <v>65</v>
      </c>
      <c r="E66" s="463" t="s">
        <v>77</v>
      </c>
      <c r="F66" s="464">
        <v>520</v>
      </c>
      <c r="G66" s="465">
        <v>2850</v>
      </c>
      <c r="H66" s="465">
        <v>1910</v>
      </c>
      <c r="I66" s="465">
        <v>85</v>
      </c>
      <c r="J66" s="465">
        <v>240</v>
      </c>
      <c r="K66" s="483">
        <v>17135</v>
      </c>
      <c r="L66" s="478">
        <f>+(K67-Tabla1[[#This Row],[Lectura Horometro INICIAL (06:00)]])*Tabla1[[#This Row],[CAUDAL DE TRATAMIENTO]]</f>
        <v>0</v>
      </c>
      <c r="M66" s="479">
        <v>80</v>
      </c>
      <c r="N66" s="444">
        <f t="shared" si="38"/>
        <v>0</v>
      </c>
      <c r="O66" s="498">
        <f t="shared" si="40"/>
        <v>0</v>
      </c>
      <c r="P66" s="444">
        <f t="shared" si="39"/>
        <v>0</v>
      </c>
      <c r="Q66" s="444">
        <f t="shared" si="42"/>
        <v>0</v>
      </c>
      <c r="R66" s="445">
        <f t="shared" si="43"/>
        <v>0</v>
      </c>
      <c r="S66" s="452">
        <f t="shared" si="6"/>
        <v>0</v>
      </c>
      <c r="T66" s="453">
        <f t="shared" si="7"/>
        <v>0</v>
      </c>
      <c r="U66" s="453">
        <f t="shared" si="8"/>
        <v>0</v>
      </c>
      <c r="V66" s="466">
        <f>Tabla1[[#This Row],[CONSUMO POL ANIONICO (KG)]]</f>
        <v>0</v>
      </c>
      <c r="W66" s="445">
        <f>Tabla1[[#This Row],[CONSUMO POL CATIONICO (KG)]]</f>
        <v>0</v>
      </c>
      <c r="X66" s="467" t="e">
        <f t="shared" si="9"/>
        <v>#DIV/0!</v>
      </c>
      <c r="Y66" s="466" t="e">
        <f t="shared" si="10"/>
        <v>#DIV/0!</v>
      </c>
      <c r="Z66" s="466" t="e">
        <f t="shared" si="11"/>
        <v>#DIV/0!</v>
      </c>
      <c r="AA66" s="466" t="e">
        <f t="shared" si="12"/>
        <v>#DIV/0!</v>
      </c>
      <c r="AB66" s="445" t="e">
        <f t="shared" si="13"/>
        <v>#DIV/0!</v>
      </c>
      <c r="AC66" s="454">
        <v>1.3</v>
      </c>
      <c r="AD66" s="454">
        <v>1.325</v>
      </c>
      <c r="AE66" s="454">
        <v>1.25</v>
      </c>
      <c r="AF66" s="455">
        <v>2500</v>
      </c>
      <c r="AG66" s="456">
        <v>2500</v>
      </c>
      <c r="AH66" s="158">
        <v>830</v>
      </c>
      <c r="AI66" s="158">
        <v>2900</v>
      </c>
      <c r="AJ66" s="158">
        <v>6295</v>
      </c>
      <c r="AK66" s="158">
        <v>19050</v>
      </c>
      <c r="AL66" s="158">
        <v>22050</v>
      </c>
      <c r="AM66" s="468">
        <f t="shared" si="14"/>
        <v>0</v>
      </c>
      <c r="AN66" s="460">
        <f t="shared" si="15"/>
        <v>0</v>
      </c>
      <c r="AO66" s="460">
        <f t="shared" si="16"/>
        <v>0</v>
      </c>
      <c r="AP66" s="460">
        <f t="shared" si="17"/>
        <v>0</v>
      </c>
      <c r="AQ66" s="469">
        <f t="shared" si="18"/>
        <v>0</v>
      </c>
      <c r="AR66" s="468">
        <f>SUM(Tabla1[[#This Row],[COSTO OPERATIVO ACIDO]:[COSTO OPERATIVO CATIONICO]])</f>
        <v>0</v>
      </c>
      <c r="AS66" s="460">
        <v>5250</v>
      </c>
      <c r="AT66" s="460" t="e">
        <f t="shared" si="19"/>
        <v>#DIV/0!</v>
      </c>
    </row>
    <row r="67" spans="1:46" ht="14.95" thickBot="1" x14ac:dyDescent="0.3">
      <c r="A67" s="470">
        <f t="shared" si="50"/>
        <v>46075</v>
      </c>
      <c r="B67" s="157">
        <f>DAY(Tabla1[[#This Row],[FECHA]])</f>
        <v>22</v>
      </c>
      <c r="C67" s="471" t="s">
        <v>30</v>
      </c>
      <c r="D67" s="472">
        <v>66</v>
      </c>
      <c r="E67" s="472" t="s">
        <v>76</v>
      </c>
      <c r="F67" s="464">
        <v>520</v>
      </c>
      <c r="G67" s="465">
        <v>2850</v>
      </c>
      <c r="H67" s="465">
        <v>1910</v>
      </c>
      <c r="I67" s="465">
        <v>85</v>
      </c>
      <c r="J67" s="465">
        <v>240</v>
      </c>
      <c r="K67" s="484">
        <v>17135</v>
      </c>
      <c r="L67" s="485">
        <f>+(K68-Tabla1[[#This Row],[Lectura Horometro INICIAL (06:00)]])*Tabla1[[#This Row],[CAUDAL DE TRATAMIENTO]]</f>
        <v>0</v>
      </c>
      <c r="M67" s="486">
        <v>80</v>
      </c>
      <c r="N67" s="446">
        <f t="shared" si="38"/>
        <v>0</v>
      </c>
      <c r="O67" s="499">
        <f t="shared" si="40"/>
        <v>160</v>
      </c>
      <c r="P67" s="446">
        <f t="shared" si="39"/>
        <v>0</v>
      </c>
      <c r="Q67" s="446">
        <f t="shared" si="42"/>
        <v>0</v>
      </c>
      <c r="R67" s="447">
        <f t="shared" si="43"/>
        <v>0</v>
      </c>
      <c r="S67" s="452">
        <f t="shared" si="6"/>
        <v>0</v>
      </c>
      <c r="T67" s="453">
        <f t="shared" si="7"/>
        <v>212</v>
      </c>
      <c r="U67" s="453">
        <f t="shared" si="8"/>
        <v>0</v>
      </c>
      <c r="V67" s="473">
        <f>Tabla1[[#This Row],[CONSUMO POL ANIONICO (KG)]]</f>
        <v>0</v>
      </c>
      <c r="W67" s="447">
        <f>Tabla1[[#This Row],[CONSUMO POL CATIONICO (KG)]]</f>
        <v>0</v>
      </c>
      <c r="X67" s="467" t="e">
        <f t="shared" si="9"/>
        <v>#DIV/0!</v>
      </c>
      <c r="Y67" s="473" t="e">
        <f t="shared" si="10"/>
        <v>#DIV/0!</v>
      </c>
      <c r="Z67" s="473" t="e">
        <f t="shared" si="11"/>
        <v>#DIV/0!</v>
      </c>
      <c r="AA67" s="473" t="e">
        <f t="shared" si="12"/>
        <v>#DIV/0!</v>
      </c>
      <c r="AB67" s="447" t="e">
        <f t="shared" si="13"/>
        <v>#DIV/0!</v>
      </c>
      <c r="AC67" s="454">
        <v>1.3</v>
      </c>
      <c r="AD67" s="454">
        <v>1.325</v>
      </c>
      <c r="AE67" s="454">
        <v>1.25</v>
      </c>
      <c r="AF67" s="455">
        <v>2500</v>
      </c>
      <c r="AG67" s="456">
        <v>2500</v>
      </c>
      <c r="AH67" s="158">
        <v>830</v>
      </c>
      <c r="AI67" s="158">
        <v>2900</v>
      </c>
      <c r="AJ67" s="158">
        <v>6295</v>
      </c>
      <c r="AK67" s="158">
        <v>19050</v>
      </c>
      <c r="AL67" s="158">
        <v>22050</v>
      </c>
      <c r="AM67" s="468">
        <f t="shared" si="14"/>
        <v>0</v>
      </c>
      <c r="AN67" s="474">
        <f t="shared" si="15"/>
        <v>614800</v>
      </c>
      <c r="AO67" s="474">
        <f t="shared" si="16"/>
        <v>0</v>
      </c>
      <c r="AP67" s="474">
        <f t="shared" si="17"/>
        <v>0</v>
      </c>
      <c r="AQ67" s="475">
        <f t="shared" si="18"/>
        <v>0</v>
      </c>
      <c r="AR67" s="468">
        <f>SUM(Tabla1[[#This Row],[COSTO OPERATIVO ACIDO]:[COSTO OPERATIVO CATIONICO]])</f>
        <v>614800</v>
      </c>
      <c r="AS67" s="474">
        <v>5250</v>
      </c>
      <c r="AT67" s="460" t="e">
        <f t="shared" si="19"/>
        <v>#DIV/0!</v>
      </c>
    </row>
    <row r="68" spans="1:46" ht="14.95" thickBot="1" x14ac:dyDescent="0.3">
      <c r="A68" s="213">
        <v>46076</v>
      </c>
      <c r="B68" s="157">
        <f>DAY(Tabla1[[#This Row],[FECHA]])</f>
        <v>23</v>
      </c>
      <c r="C68" s="448" t="s">
        <v>283</v>
      </c>
      <c r="D68" s="449">
        <v>67</v>
      </c>
      <c r="E68" s="449" t="s">
        <v>75</v>
      </c>
      <c r="F68" s="450">
        <v>520</v>
      </c>
      <c r="G68" s="451">
        <v>2690</v>
      </c>
      <c r="H68" s="451">
        <v>1910</v>
      </c>
      <c r="I68" s="451">
        <v>85</v>
      </c>
      <c r="J68" s="451">
        <v>240</v>
      </c>
      <c r="K68" s="480">
        <v>17135</v>
      </c>
      <c r="L68" s="481">
        <f>+(K69-Tabla1[[#This Row],[Lectura Horometro INICIAL (06:00)]])*Tabla1[[#This Row],[CAUDAL DE TRATAMIENTO]]</f>
        <v>240</v>
      </c>
      <c r="M68" s="482">
        <v>80</v>
      </c>
      <c r="N68" s="442">
        <f t="shared" si="38"/>
        <v>0</v>
      </c>
      <c r="O68" s="518">
        <f>G68-G69+2000</f>
        <v>290</v>
      </c>
      <c r="P68" s="442">
        <f t="shared" si="39"/>
        <v>10</v>
      </c>
      <c r="Q68" s="442">
        <f t="shared" si="42"/>
        <v>5</v>
      </c>
      <c r="R68" s="443">
        <f t="shared" si="43"/>
        <v>5</v>
      </c>
      <c r="S68" s="452">
        <f t="shared" si="6"/>
        <v>0</v>
      </c>
      <c r="T68" s="453">
        <f t="shared" si="7"/>
        <v>384.25</v>
      </c>
      <c r="U68" s="453">
        <f t="shared" si="8"/>
        <v>12.5</v>
      </c>
      <c r="V68" s="453">
        <f>Tabla1[[#This Row],[CONSUMO POL ANIONICO (KG)]]</f>
        <v>5</v>
      </c>
      <c r="W68" s="443">
        <f>Tabla1[[#This Row],[CONSUMO POL CATIONICO (KG)]]</f>
        <v>5</v>
      </c>
      <c r="X68" s="452">
        <f t="shared" si="9"/>
        <v>0</v>
      </c>
      <c r="Y68" s="453">
        <f t="shared" si="10"/>
        <v>1601.0416666666667</v>
      </c>
      <c r="Z68" s="453">
        <f t="shared" si="11"/>
        <v>52.083333333333336</v>
      </c>
      <c r="AA68" s="453">
        <f t="shared" si="12"/>
        <v>20.833333333333332</v>
      </c>
      <c r="AB68" s="443">
        <f t="shared" si="13"/>
        <v>20.833333333333332</v>
      </c>
      <c r="AC68" s="454">
        <v>1.3</v>
      </c>
      <c r="AD68" s="454">
        <v>1.325</v>
      </c>
      <c r="AE68" s="454">
        <v>1.25</v>
      </c>
      <c r="AF68" s="455">
        <v>2500</v>
      </c>
      <c r="AG68" s="456">
        <v>2500</v>
      </c>
      <c r="AH68" s="158">
        <v>830</v>
      </c>
      <c r="AI68" s="158">
        <v>2900</v>
      </c>
      <c r="AJ68" s="158">
        <v>6295</v>
      </c>
      <c r="AK68" s="158">
        <v>19050</v>
      </c>
      <c r="AL68" s="158">
        <v>22050</v>
      </c>
      <c r="AM68" s="457">
        <f t="shared" si="14"/>
        <v>0</v>
      </c>
      <c r="AN68" s="458">
        <f t="shared" si="15"/>
        <v>1114325</v>
      </c>
      <c r="AO68" s="458">
        <f t="shared" si="16"/>
        <v>78687.5</v>
      </c>
      <c r="AP68" s="458">
        <f t="shared" si="17"/>
        <v>95250</v>
      </c>
      <c r="AQ68" s="459">
        <f t="shared" si="18"/>
        <v>110250</v>
      </c>
      <c r="AR68" s="457">
        <f>SUM(Tabla1[[#This Row],[COSTO OPERATIVO ACIDO]:[COSTO OPERATIVO CATIONICO]])</f>
        <v>1398512.5</v>
      </c>
      <c r="AS68" s="458">
        <v>5250</v>
      </c>
      <c r="AT68" s="460">
        <f t="shared" si="19"/>
        <v>5827.135416666667</v>
      </c>
    </row>
    <row r="69" spans="1:46" ht="14.95" thickBot="1" x14ac:dyDescent="0.3">
      <c r="A69" s="461">
        <f t="shared" ref="A69:A70" si="51">A68</f>
        <v>46076</v>
      </c>
      <c r="B69" s="157">
        <f>DAY(Tabla1[[#This Row],[FECHA]])</f>
        <v>23</v>
      </c>
      <c r="C69" s="462" t="s">
        <v>284</v>
      </c>
      <c r="D69" s="463">
        <v>68</v>
      </c>
      <c r="E69" s="463" t="s">
        <v>77</v>
      </c>
      <c r="F69" s="464">
        <v>520</v>
      </c>
      <c r="G69" s="465">
        <v>4400</v>
      </c>
      <c r="H69" s="465">
        <v>1900</v>
      </c>
      <c r="I69" s="465">
        <v>80</v>
      </c>
      <c r="J69" s="465">
        <v>235</v>
      </c>
      <c r="K69" s="483">
        <v>17138</v>
      </c>
      <c r="L69" s="478">
        <f>+(K70-Tabla1[[#This Row],[Lectura Horometro INICIAL (06:00)]])*Tabla1[[#This Row],[CAUDAL DE TRATAMIENTO]]</f>
        <v>0</v>
      </c>
      <c r="M69" s="479">
        <v>80</v>
      </c>
      <c r="N69" s="519">
        <f>F69-F70+2000</f>
        <v>420</v>
      </c>
      <c r="O69" s="498">
        <f t="shared" si="40"/>
        <v>100</v>
      </c>
      <c r="P69" s="519">
        <f>H69-H70+1000</f>
        <v>90</v>
      </c>
      <c r="Q69" s="444">
        <f t="shared" si="42"/>
        <v>0</v>
      </c>
      <c r="R69" s="445">
        <f t="shared" si="43"/>
        <v>5</v>
      </c>
      <c r="S69" s="452">
        <f t="shared" ref="S69:S94" si="52">(N69*$AC$2)</f>
        <v>546</v>
      </c>
      <c r="T69" s="453">
        <f t="shared" ref="T69:T94" si="53">(O69*$AD$2)</f>
        <v>132.5</v>
      </c>
      <c r="U69" s="453">
        <f t="shared" ref="U69:U94" si="54">(P69*$AE$2)</f>
        <v>112.5</v>
      </c>
      <c r="V69" s="466">
        <f>Tabla1[[#This Row],[CONSUMO POL ANIONICO (KG)]]</f>
        <v>0</v>
      </c>
      <c r="W69" s="445">
        <f>Tabla1[[#This Row],[CONSUMO POL CATIONICO (KG)]]</f>
        <v>5</v>
      </c>
      <c r="X69" s="467" t="e">
        <f t="shared" ref="X69:X94" si="55">(S69*1000)/L69</f>
        <v>#DIV/0!</v>
      </c>
      <c r="Y69" s="466" t="e">
        <f t="shared" ref="Y69:Y94" si="56">(T69*1000)/L69</f>
        <v>#DIV/0!</v>
      </c>
      <c r="Z69" s="466" t="e">
        <f t="shared" ref="Z69:Z94" si="57">(U69*1000)/L69</f>
        <v>#DIV/0!</v>
      </c>
      <c r="AA69" s="466" t="e">
        <f t="shared" ref="AA69:AA94" si="58">(V69*1000)/L69</f>
        <v>#DIV/0!</v>
      </c>
      <c r="AB69" s="445" t="e">
        <f t="shared" ref="AB69:AB94" si="59">(W69*1000)/L69</f>
        <v>#DIV/0!</v>
      </c>
      <c r="AC69" s="454">
        <v>1.3</v>
      </c>
      <c r="AD69" s="454">
        <v>1.325</v>
      </c>
      <c r="AE69" s="454">
        <v>1.25</v>
      </c>
      <c r="AF69" s="455">
        <v>2500</v>
      </c>
      <c r="AG69" s="456">
        <v>2500</v>
      </c>
      <c r="AH69" s="158">
        <v>830</v>
      </c>
      <c r="AI69" s="158">
        <v>2900</v>
      </c>
      <c r="AJ69" s="158">
        <v>6295</v>
      </c>
      <c r="AK69" s="158">
        <v>19050</v>
      </c>
      <c r="AL69" s="158">
        <v>22050</v>
      </c>
      <c r="AM69" s="468">
        <f t="shared" ref="AM69:AM94" si="60">S69*AH69</f>
        <v>453180</v>
      </c>
      <c r="AN69" s="460">
        <f t="shared" ref="AN69:AN94" si="61">T69*AI69</f>
        <v>384250</v>
      </c>
      <c r="AO69" s="460">
        <f t="shared" ref="AO69:AO94" si="62">U69*AJ69</f>
        <v>708187.5</v>
      </c>
      <c r="AP69" s="460">
        <f t="shared" ref="AP69:AP94" si="63">V69*AK69</f>
        <v>0</v>
      </c>
      <c r="AQ69" s="469">
        <f t="shared" ref="AQ69:AQ94" si="64">W69*AL69</f>
        <v>110250</v>
      </c>
      <c r="AR69" s="468">
        <f>SUM(Tabla1[[#This Row],[COSTO OPERATIVO ACIDO]:[COSTO OPERATIVO CATIONICO]])</f>
        <v>1655867.5</v>
      </c>
      <c r="AS69" s="460">
        <v>5250</v>
      </c>
      <c r="AT69" s="460" t="e">
        <f t="shared" ref="AT69:AT94" si="65">AR69/L69</f>
        <v>#DIV/0!</v>
      </c>
    </row>
    <row r="70" spans="1:46" ht="14.95" thickBot="1" x14ac:dyDescent="0.3">
      <c r="A70" s="470">
        <f t="shared" si="51"/>
        <v>46076</v>
      </c>
      <c r="B70" s="157">
        <f>DAY(Tabla1[[#This Row],[FECHA]])</f>
        <v>23</v>
      </c>
      <c r="C70" s="471" t="s">
        <v>30</v>
      </c>
      <c r="D70" s="472">
        <v>69</v>
      </c>
      <c r="E70" s="472" t="s">
        <v>76</v>
      </c>
      <c r="F70" s="464">
        <v>2100</v>
      </c>
      <c r="G70" s="465">
        <v>4300</v>
      </c>
      <c r="H70" s="465">
        <v>2810</v>
      </c>
      <c r="I70" s="465">
        <v>80</v>
      </c>
      <c r="J70" s="465">
        <v>230</v>
      </c>
      <c r="K70" s="484">
        <v>17138</v>
      </c>
      <c r="L70" s="485">
        <f>+(K71-Tabla1[[#This Row],[Lectura Horometro INICIAL (06:00)]])*Tabla1[[#This Row],[CAUDAL DE TRATAMIENTO]]</f>
        <v>480</v>
      </c>
      <c r="M70" s="486">
        <v>80</v>
      </c>
      <c r="N70" s="446">
        <f t="shared" si="38"/>
        <v>100</v>
      </c>
      <c r="O70" s="499">
        <f t="shared" si="40"/>
        <v>0</v>
      </c>
      <c r="P70" s="446">
        <f t="shared" si="39"/>
        <v>10</v>
      </c>
      <c r="Q70" s="446">
        <f t="shared" si="42"/>
        <v>5</v>
      </c>
      <c r="R70" s="447">
        <f t="shared" si="43"/>
        <v>5</v>
      </c>
      <c r="S70" s="452">
        <f t="shared" si="52"/>
        <v>130</v>
      </c>
      <c r="T70" s="453">
        <f t="shared" si="53"/>
        <v>0</v>
      </c>
      <c r="U70" s="453">
        <f t="shared" si="54"/>
        <v>12.5</v>
      </c>
      <c r="V70" s="473">
        <f>Tabla1[[#This Row],[CONSUMO POL ANIONICO (KG)]]</f>
        <v>5</v>
      </c>
      <c r="W70" s="447">
        <f>Tabla1[[#This Row],[CONSUMO POL CATIONICO (KG)]]</f>
        <v>5</v>
      </c>
      <c r="X70" s="467">
        <f t="shared" si="55"/>
        <v>270.83333333333331</v>
      </c>
      <c r="Y70" s="473">
        <f t="shared" si="56"/>
        <v>0</v>
      </c>
      <c r="Z70" s="473">
        <f t="shared" si="57"/>
        <v>26.041666666666668</v>
      </c>
      <c r="AA70" s="473">
        <f t="shared" si="58"/>
        <v>10.416666666666666</v>
      </c>
      <c r="AB70" s="447">
        <f t="shared" si="59"/>
        <v>10.416666666666666</v>
      </c>
      <c r="AC70" s="454">
        <v>1.3</v>
      </c>
      <c r="AD70" s="454">
        <v>1.325</v>
      </c>
      <c r="AE70" s="454">
        <v>1.25</v>
      </c>
      <c r="AF70" s="455">
        <v>2500</v>
      </c>
      <c r="AG70" s="456">
        <v>2500</v>
      </c>
      <c r="AH70" s="158">
        <v>830</v>
      </c>
      <c r="AI70" s="158">
        <v>2900</v>
      </c>
      <c r="AJ70" s="158">
        <v>6295</v>
      </c>
      <c r="AK70" s="158">
        <v>19050</v>
      </c>
      <c r="AL70" s="158">
        <v>22050</v>
      </c>
      <c r="AM70" s="468">
        <f t="shared" si="60"/>
        <v>107900</v>
      </c>
      <c r="AN70" s="474">
        <f t="shared" si="61"/>
        <v>0</v>
      </c>
      <c r="AO70" s="474">
        <f t="shared" si="62"/>
        <v>78687.5</v>
      </c>
      <c r="AP70" s="474">
        <f t="shared" si="63"/>
        <v>95250</v>
      </c>
      <c r="AQ70" s="475">
        <f t="shared" si="64"/>
        <v>110250</v>
      </c>
      <c r="AR70" s="468">
        <f>SUM(Tabla1[[#This Row],[COSTO OPERATIVO ACIDO]:[COSTO OPERATIVO CATIONICO]])</f>
        <v>392087.5</v>
      </c>
      <c r="AS70" s="474">
        <v>5250</v>
      </c>
      <c r="AT70" s="460">
        <f t="shared" si="65"/>
        <v>816.84895833333337</v>
      </c>
    </row>
    <row r="71" spans="1:46" ht="14.95" thickBot="1" x14ac:dyDescent="0.3">
      <c r="A71" s="213">
        <v>46077</v>
      </c>
      <c r="B71" s="157">
        <f>DAY(Tabla1[[#This Row],[FECHA]])</f>
        <v>24</v>
      </c>
      <c r="C71" s="448" t="s">
        <v>285</v>
      </c>
      <c r="D71" s="449">
        <v>70</v>
      </c>
      <c r="E71" s="449" t="s">
        <v>75</v>
      </c>
      <c r="F71" s="450">
        <v>2000</v>
      </c>
      <c r="G71" s="451">
        <v>4300</v>
      </c>
      <c r="H71" s="451">
        <v>2800</v>
      </c>
      <c r="I71" s="451">
        <v>75</v>
      </c>
      <c r="J71" s="451">
        <v>225</v>
      </c>
      <c r="K71" s="480">
        <v>17144</v>
      </c>
      <c r="L71" s="481">
        <f>+(K72-Tabla1[[#This Row],[Lectura Horometro INICIAL (06:00)]])*Tabla1[[#This Row],[CAUDAL DE TRATAMIENTO]]</f>
        <v>400</v>
      </c>
      <c r="M71" s="482">
        <v>80</v>
      </c>
      <c r="N71" s="442">
        <f>F71-F72</f>
        <v>0</v>
      </c>
      <c r="O71" s="497">
        <f t="shared" ref="O71:O94" si="66">G71-G72</f>
        <v>330</v>
      </c>
      <c r="P71" s="442">
        <f>H71-H72</f>
        <v>0</v>
      </c>
      <c r="Q71" s="442">
        <f t="shared" si="42"/>
        <v>0</v>
      </c>
      <c r="R71" s="443">
        <f t="shared" si="43"/>
        <v>5</v>
      </c>
      <c r="S71" s="452">
        <f t="shared" si="52"/>
        <v>0</v>
      </c>
      <c r="T71" s="453">
        <f t="shared" si="53"/>
        <v>437.25</v>
      </c>
      <c r="U71" s="453">
        <f t="shared" si="54"/>
        <v>0</v>
      </c>
      <c r="V71" s="453">
        <f>Tabla1[[#This Row],[CONSUMO POL ANIONICO (KG)]]</f>
        <v>0</v>
      </c>
      <c r="W71" s="443">
        <f>Tabla1[[#This Row],[CONSUMO POL CATIONICO (KG)]]</f>
        <v>5</v>
      </c>
      <c r="X71" s="452">
        <f t="shared" si="55"/>
        <v>0</v>
      </c>
      <c r="Y71" s="453">
        <f t="shared" si="56"/>
        <v>1093.125</v>
      </c>
      <c r="Z71" s="453">
        <f t="shared" si="57"/>
        <v>0</v>
      </c>
      <c r="AA71" s="453">
        <f t="shared" si="58"/>
        <v>0</v>
      </c>
      <c r="AB71" s="443">
        <f t="shared" si="59"/>
        <v>12.5</v>
      </c>
      <c r="AC71" s="454">
        <v>1.3</v>
      </c>
      <c r="AD71" s="454">
        <v>1.325</v>
      </c>
      <c r="AE71" s="454">
        <v>1.25</v>
      </c>
      <c r="AF71" s="455">
        <v>2500</v>
      </c>
      <c r="AG71" s="456">
        <v>2500</v>
      </c>
      <c r="AH71" s="158">
        <v>830</v>
      </c>
      <c r="AI71" s="158">
        <v>2900</v>
      </c>
      <c r="AJ71" s="158">
        <v>6295</v>
      </c>
      <c r="AK71" s="158">
        <v>19050</v>
      </c>
      <c r="AL71" s="158">
        <v>22050</v>
      </c>
      <c r="AM71" s="457">
        <f t="shared" si="60"/>
        <v>0</v>
      </c>
      <c r="AN71" s="458">
        <f t="shared" si="61"/>
        <v>1268025</v>
      </c>
      <c r="AO71" s="458">
        <f t="shared" si="62"/>
        <v>0</v>
      </c>
      <c r="AP71" s="458">
        <f t="shared" si="63"/>
        <v>0</v>
      </c>
      <c r="AQ71" s="459">
        <f t="shared" si="64"/>
        <v>110250</v>
      </c>
      <c r="AR71" s="457">
        <f>SUM(Tabla1[[#This Row],[COSTO OPERATIVO ACIDO]:[COSTO OPERATIVO CATIONICO]])</f>
        <v>1378275</v>
      </c>
      <c r="AS71" s="458">
        <v>5250</v>
      </c>
      <c r="AT71" s="460">
        <f t="shared" si="65"/>
        <v>3445.6875</v>
      </c>
    </row>
    <row r="72" spans="1:46" ht="14.95" thickBot="1" x14ac:dyDescent="0.3">
      <c r="A72" s="461">
        <f t="shared" ref="A72:A73" si="67">A71</f>
        <v>46077</v>
      </c>
      <c r="B72" s="157">
        <f>DAY(Tabla1[[#This Row],[FECHA]])</f>
        <v>24</v>
      </c>
      <c r="C72" s="462" t="s">
        <v>286</v>
      </c>
      <c r="D72" s="463">
        <v>71</v>
      </c>
      <c r="E72" s="463" t="s">
        <v>77</v>
      </c>
      <c r="F72" s="464">
        <v>2000</v>
      </c>
      <c r="G72" s="465">
        <v>3970</v>
      </c>
      <c r="H72" s="465">
        <v>2800</v>
      </c>
      <c r="I72" s="465">
        <v>75</v>
      </c>
      <c r="J72" s="465">
        <v>220</v>
      </c>
      <c r="K72" s="483">
        <v>17149</v>
      </c>
      <c r="L72" s="478">
        <f>+(K73-Tabla1[[#This Row],[Lectura Horometro INICIAL (06:00)]])*Tabla1[[#This Row],[CAUDAL DE TRATAMIENTO]]</f>
        <v>320</v>
      </c>
      <c r="M72" s="479">
        <v>80</v>
      </c>
      <c r="N72" s="444">
        <f t="shared" ref="N72:N93" si="68">F72-F73</f>
        <v>0</v>
      </c>
      <c r="O72" s="498">
        <f t="shared" si="66"/>
        <v>310</v>
      </c>
      <c r="P72" s="444">
        <f>H72-H73</f>
        <v>80</v>
      </c>
      <c r="Q72" s="444">
        <f t="shared" si="42"/>
        <v>5</v>
      </c>
      <c r="R72" s="445">
        <f t="shared" si="43"/>
        <v>5</v>
      </c>
      <c r="S72" s="452">
        <f t="shared" si="52"/>
        <v>0</v>
      </c>
      <c r="T72" s="453">
        <f t="shared" si="53"/>
        <v>410.75</v>
      </c>
      <c r="U72" s="453">
        <f t="shared" si="54"/>
        <v>100</v>
      </c>
      <c r="V72" s="466">
        <f>Tabla1[[#This Row],[CONSUMO POL ANIONICO (KG)]]</f>
        <v>5</v>
      </c>
      <c r="W72" s="445">
        <f>Tabla1[[#This Row],[CONSUMO POL CATIONICO (KG)]]</f>
        <v>5</v>
      </c>
      <c r="X72" s="467">
        <f t="shared" si="55"/>
        <v>0</v>
      </c>
      <c r="Y72" s="466">
        <f t="shared" si="56"/>
        <v>1283.59375</v>
      </c>
      <c r="Z72" s="466">
        <f t="shared" si="57"/>
        <v>312.5</v>
      </c>
      <c r="AA72" s="466">
        <f t="shared" si="58"/>
        <v>15.625</v>
      </c>
      <c r="AB72" s="445">
        <f t="shared" si="59"/>
        <v>15.625</v>
      </c>
      <c r="AC72" s="454">
        <v>1.3</v>
      </c>
      <c r="AD72" s="454">
        <v>1.325</v>
      </c>
      <c r="AE72" s="454">
        <v>1.25</v>
      </c>
      <c r="AF72" s="455">
        <v>2500</v>
      </c>
      <c r="AG72" s="456">
        <v>2500</v>
      </c>
      <c r="AH72" s="158">
        <v>830</v>
      </c>
      <c r="AI72" s="158">
        <v>2900</v>
      </c>
      <c r="AJ72" s="158">
        <v>6295</v>
      </c>
      <c r="AK72" s="158">
        <v>19050</v>
      </c>
      <c r="AL72" s="158">
        <v>22050</v>
      </c>
      <c r="AM72" s="468">
        <f t="shared" si="60"/>
        <v>0</v>
      </c>
      <c r="AN72" s="460">
        <f t="shared" si="61"/>
        <v>1191175</v>
      </c>
      <c r="AO72" s="460">
        <f t="shared" si="62"/>
        <v>629500</v>
      </c>
      <c r="AP72" s="460">
        <f t="shared" si="63"/>
        <v>95250</v>
      </c>
      <c r="AQ72" s="469">
        <f t="shared" si="64"/>
        <v>110250</v>
      </c>
      <c r="AR72" s="468">
        <f>SUM(Tabla1[[#This Row],[COSTO OPERATIVO ACIDO]:[COSTO OPERATIVO CATIONICO]])</f>
        <v>2026175</v>
      </c>
      <c r="AS72" s="460">
        <v>5250</v>
      </c>
      <c r="AT72" s="460">
        <f t="shared" si="65"/>
        <v>6331.796875</v>
      </c>
    </row>
    <row r="73" spans="1:46" s="488" customFormat="1" ht="14.95" thickBot="1" x14ac:dyDescent="0.3">
      <c r="A73" s="470">
        <f t="shared" si="67"/>
        <v>46077</v>
      </c>
      <c r="B73" s="157">
        <f>DAY(Tabla1[[#This Row],[FECHA]])</f>
        <v>24</v>
      </c>
      <c r="C73" s="471" t="s">
        <v>30</v>
      </c>
      <c r="D73" s="472">
        <v>72</v>
      </c>
      <c r="E73" s="472" t="s">
        <v>76</v>
      </c>
      <c r="F73" s="464">
        <v>2000</v>
      </c>
      <c r="G73" s="465">
        <v>3660</v>
      </c>
      <c r="H73" s="465">
        <v>2720</v>
      </c>
      <c r="I73" s="465">
        <v>70</v>
      </c>
      <c r="J73" s="465">
        <v>215</v>
      </c>
      <c r="K73" s="484">
        <v>17153</v>
      </c>
      <c r="L73" s="485">
        <f>+(K74-Tabla1[[#This Row],[Lectura Horometro INICIAL (06:00)]])*Tabla1[[#This Row],[CAUDAL DE TRATAMIENTO]]</f>
        <v>400</v>
      </c>
      <c r="M73" s="486">
        <v>80</v>
      </c>
      <c r="N73" s="446">
        <f t="shared" si="68"/>
        <v>130</v>
      </c>
      <c r="O73" s="499">
        <f t="shared" si="66"/>
        <v>60</v>
      </c>
      <c r="P73" s="446">
        <f>H73-H74</f>
        <v>120</v>
      </c>
      <c r="Q73" s="446">
        <f t="shared" si="42"/>
        <v>0</v>
      </c>
      <c r="R73" s="447">
        <f t="shared" si="43"/>
        <v>5</v>
      </c>
      <c r="S73" s="452">
        <f t="shared" si="52"/>
        <v>169</v>
      </c>
      <c r="T73" s="453">
        <f t="shared" si="53"/>
        <v>79.5</v>
      </c>
      <c r="U73" s="453">
        <f t="shared" si="54"/>
        <v>150</v>
      </c>
      <c r="V73" s="473">
        <f>Tabla1[[#This Row],[CONSUMO POL ANIONICO (KG)]]</f>
        <v>0</v>
      </c>
      <c r="W73" s="447">
        <f>Tabla1[[#This Row],[CONSUMO POL CATIONICO (KG)]]</f>
        <v>5</v>
      </c>
      <c r="X73" s="467">
        <f t="shared" si="55"/>
        <v>422.5</v>
      </c>
      <c r="Y73" s="473">
        <f t="shared" si="56"/>
        <v>198.75</v>
      </c>
      <c r="Z73" s="473">
        <f t="shared" si="57"/>
        <v>375</v>
      </c>
      <c r="AA73" s="473">
        <f t="shared" si="58"/>
        <v>0</v>
      </c>
      <c r="AB73" s="447">
        <f t="shared" si="59"/>
        <v>12.5</v>
      </c>
      <c r="AC73" s="454">
        <v>1.3</v>
      </c>
      <c r="AD73" s="454">
        <v>1.325</v>
      </c>
      <c r="AE73" s="454">
        <v>1.25</v>
      </c>
      <c r="AF73" s="455">
        <v>2500</v>
      </c>
      <c r="AG73" s="456">
        <v>2500</v>
      </c>
      <c r="AH73" s="158">
        <v>830</v>
      </c>
      <c r="AI73" s="158">
        <v>2900</v>
      </c>
      <c r="AJ73" s="158">
        <v>6295</v>
      </c>
      <c r="AK73" s="158">
        <v>19050</v>
      </c>
      <c r="AL73" s="158">
        <v>22050</v>
      </c>
      <c r="AM73" s="468">
        <f t="shared" si="60"/>
        <v>140270</v>
      </c>
      <c r="AN73" s="474">
        <f t="shared" si="61"/>
        <v>230550</v>
      </c>
      <c r="AO73" s="474">
        <f t="shared" si="62"/>
        <v>944250</v>
      </c>
      <c r="AP73" s="474">
        <f t="shared" si="63"/>
        <v>0</v>
      </c>
      <c r="AQ73" s="475">
        <f t="shared" si="64"/>
        <v>110250</v>
      </c>
      <c r="AR73" s="468">
        <f>SUM(Tabla1[[#This Row],[COSTO OPERATIVO ACIDO]:[COSTO OPERATIVO CATIONICO]])</f>
        <v>1425320</v>
      </c>
      <c r="AS73" s="474">
        <v>5250</v>
      </c>
      <c r="AT73" s="460">
        <f t="shared" si="65"/>
        <v>3563.3</v>
      </c>
    </row>
    <row r="74" spans="1:46" s="488" customFormat="1" ht="14.95" thickBot="1" x14ac:dyDescent="0.3">
      <c r="A74" s="213">
        <v>46078</v>
      </c>
      <c r="B74" s="157">
        <f>DAY(Tabla1[[#This Row],[FECHA]])</f>
        <v>25</v>
      </c>
      <c r="C74" s="448" t="s">
        <v>287</v>
      </c>
      <c r="D74" s="449">
        <v>73</v>
      </c>
      <c r="E74" s="449" t="s">
        <v>75</v>
      </c>
      <c r="F74" s="450">
        <v>1870</v>
      </c>
      <c r="G74" s="451">
        <v>3600</v>
      </c>
      <c r="H74" s="451">
        <v>2600</v>
      </c>
      <c r="I74" s="451">
        <v>70</v>
      </c>
      <c r="J74" s="451">
        <v>210</v>
      </c>
      <c r="K74" s="480">
        <v>17158</v>
      </c>
      <c r="L74" s="481">
        <f>+(K75-Tabla1[[#This Row],[Lectura Horometro INICIAL (06:00)]])*Tabla1[[#This Row],[CAUDAL DE TRATAMIENTO]]</f>
        <v>480</v>
      </c>
      <c r="M74" s="482">
        <v>80</v>
      </c>
      <c r="N74" s="442">
        <f t="shared" ref="N74:P76" si="69">F74-F75</f>
        <v>70</v>
      </c>
      <c r="O74" s="497">
        <f t="shared" si="69"/>
        <v>400</v>
      </c>
      <c r="P74" s="442">
        <f t="shared" si="69"/>
        <v>25</v>
      </c>
      <c r="Q74" s="442">
        <f t="shared" si="42"/>
        <v>5</v>
      </c>
      <c r="R74" s="443">
        <f t="shared" si="43"/>
        <v>5</v>
      </c>
      <c r="S74" s="452">
        <f t="shared" si="52"/>
        <v>91</v>
      </c>
      <c r="T74" s="453">
        <f t="shared" si="53"/>
        <v>530</v>
      </c>
      <c r="U74" s="453">
        <f t="shared" si="54"/>
        <v>31.25</v>
      </c>
      <c r="V74" s="453">
        <f>Tabla1[[#This Row],[CONSUMO POL ANIONICO (KG)]]</f>
        <v>5</v>
      </c>
      <c r="W74" s="443">
        <f>Tabla1[[#This Row],[CONSUMO POL CATIONICO (KG)]]</f>
        <v>5</v>
      </c>
      <c r="X74" s="452">
        <f t="shared" si="55"/>
        <v>189.58333333333334</v>
      </c>
      <c r="Y74" s="453">
        <f t="shared" si="56"/>
        <v>1104.1666666666667</v>
      </c>
      <c r="Z74" s="453">
        <f t="shared" si="57"/>
        <v>65.104166666666671</v>
      </c>
      <c r="AA74" s="453">
        <f t="shared" si="58"/>
        <v>10.416666666666666</v>
      </c>
      <c r="AB74" s="443">
        <f t="shared" si="59"/>
        <v>10.416666666666666</v>
      </c>
      <c r="AC74" s="454">
        <v>1.3</v>
      </c>
      <c r="AD74" s="454">
        <v>1.325</v>
      </c>
      <c r="AE74" s="454">
        <v>1.25</v>
      </c>
      <c r="AF74" s="455">
        <v>2500</v>
      </c>
      <c r="AG74" s="456">
        <v>2500</v>
      </c>
      <c r="AH74" s="158">
        <v>830</v>
      </c>
      <c r="AI74" s="158">
        <v>2900</v>
      </c>
      <c r="AJ74" s="158">
        <v>6295</v>
      </c>
      <c r="AK74" s="158">
        <v>19050</v>
      </c>
      <c r="AL74" s="158">
        <v>22050</v>
      </c>
      <c r="AM74" s="457">
        <f t="shared" si="60"/>
        <v>75530</v>
      </c>
      <c r="AN74" s="458">
        <f t="shared" si="61"/>
        <v>1537000</v>
      </c>
      <c r="AO74" s="458">
        <f t="shared" si="62"/>
        <v>196718.75</v>
      </c>
      <c r="AP74" s="458">
        <f t="shared" si="63"/>
        <v>95250</v>
      </c>
      <c r="AQ74" s="459">
        <f t="shared" si="64"/>
        <v>110250</v>
      </c>
      <c r="AR74" s="457">
        <f>SUM(Tabla1[[#This Row],[COSTO OPERATIVO ACIDO]:[COSTO OPERATIVO CATIONICO]])</f>
        <v>2014748.75</v>
      </c>
      <c r="AS74" s="458">
        <v>5250</v>
      </c>
      <c r="AT74" s="460">
        <f t="shared" si="65"/>
        <v>4197.393229166667</v>
      </c>
    </row>
    <row r="75" spans="1:46" s="488" customFormat="1" ht="14.95" thickBot="1" x14ac:dyDescent="0.3">
      <c r="A75" s="461">
        <f t="shared" ref="A75:A76" si="70">A74</f>
        <v>46078</v>
      </c>
      <c r="B75" s="157">
        <f>DAY(Tabla1[[#This Row],[FECHA]])</f>
        <v>25</v>
      </c>
      <c r="C75" s="462" t="s">
        <v>288</v>
      </c>
      <c r="D75" s="463">
        <v>74</v>
      </c>
      <c r="E75" s="463" t="s">
        <v>77</v>
      </c>
      <c r="F75" s="464">
        <v>1800</v>
      </c>
      <c r="G75" s="465">
        <v>3200</v>
      </c>
      <c r="H75" s="465">
        <v>2575</v>
      </c>
      <c r="I75" s="465">
        <v>65</v>
      </c>
      <c r="J75" s="465">
        <v>205</v>
      </c>
      <c r="K75" s="483">
        <v>17164</v>
      </c>
      <c r="L75" s="478">
        <f>+(K76-Tabla1[[#This Row],[Lectura Horometro INICIAL (06:00)]])*Tabla1[[#This Row],[CAUDAL DE TRATAMIENTO]]</f>
        <v>480</v>
      </c>
      <c r="M75" s="479">
        <v>80</v>
      </c>
      <c r="N75" s="444">
        <f t="shared" si="69"/>
        <v>70</v>
      </c>
      <c r="O75" s="498">
        <f>G75-G76</f>
        <v>180</v>
      </c>
      <c r="P75" s="444">
        <f t="shared" si="69"/>
        <v>25</v>
      </c>
      <c r="Q75" s="444">
        <f t="shared" si="42"/>
        <v>0</v>
      </c>
      <c r="R75" s="445">
        <f t="shared" si="43"/>
        <v>5</v>
      </c>
      <c r="S75" s="452">
        <f t="shared" si="52"/>
        <v>91</v>
      </c>
      <c r="T75" s="453">
        <f t="shared" si="53"/>
        <v>238.5</v>
      </c>
      <c r="U75" s="453">
        <f t="shared" si="54"/>
        <v>31.25</v>
      </c>
      <c r="V75" s="466">
        <f>Tabla1[[#This Row],[CONSUMO POL ANIONICO (KG)]]</f>
        <v>0</v>
      </c>
      <c r="W75" s="445">
        <f>Tabla1[[#This Row],[CONSUMO POL CATIONICO (KG)]]</f>
        <v>5</v>
      </c>
      <c r="X75" s="467">
        <f t="shared" si="55"/>
        <v>189.58333333333334</v>
      </c>
      <c r="Y75" s="466">
        <f t="shared" si="56"/>
        <v>496.875</v>
      </c>
      <c r="Z75" s="466">
        <f t="shared" si="57"/>
        <v>65.104166666666671</v>
      </c>
      <c r="AA75" s="466">
        <f t="shared" si="58"/>
        <v>0</v>
      </c>
      <c r="AB75" s="445">
        <f t="shared" si="59"/>
        <v>10.416666666666666</v>
      </c>
      <c r="AC75" s="454">
        <v>1.3</v>
      </c>
      <c r="AD75" s="454">
        <v>1.325</v>
      </c>
      <c r="AE75" s="454">
        <v>1.25</v>
      </c>
      <c r="AF75" s="455">
        <v>2500</v>
      </c>
      <c r="AG75" s="456">
        <v>2500</v>
      </c>
      <c r="AH75" s="158">
        <v>830</v>
      </c>
      <c r="AI75" s="158">
        <v>2900</v>
      </c>
      <c r="AJ75" s="158">
        <v>6295</v>
      </c>
      <c r="AK75" s="158">
        <v>19050</v>
      </c>
      <c r="AL75" s="158">
        <v>22050</v>
      </c>
      <c r="AM75" s="468">
        <f t="shared" si="60"/>
        <v>75530</v>
      </c>
      <c r="AN75" s="460">
        <f t="shared" si="61"/>
        <v>691650</v>
      </c>
      <c r="AO75" s="460">
        <f t="shared" si="62"/>
        <v>196718.75</v>
      </c>
      <c r="AP75" s="460">
        <f t="shared" si="63"/>
        <v>0</v>
      </c>
      <c r="AQ75" s="469">
        <f t="shared" si="64"/>
        <v>110250</v>
      </c>
      <c r="AR75" s="468">
        <f>SUM(Tabla1[[#This Row],[COSTO OPERATIVO ACIDO]:[COSTO OPERATIVO CATIONICO]])</f>
        <v>1074148.75</v>
      </c>
      <c r="AS75" s="460">
        <v>5250</v>
      </c>
      <c r="AT75" s="460">
        <f t="shared" si="65"/>
        <v>2237.8098958333335</v>
      </c>
    </row>
    <row r="76" spans="1:46" s="488" customFormat="1" ht="14.95" thickBot="1" x14ac:dyDescent="0.3">
      <c r="A76" s="470">
        <f t="shared" si="70"/>
        <v>46078</v>
      </c>
      <c r="B76" s="157">
        <f>DAY(Tabla1[[#This Row],[FECHA]])</f>
        <v>25</v>
      </c>
      <c r="C76" s="471" t="s">
        <v>30</v>
      </c>
      <c r="D76" s="472">
        <v>75</v>
      </c>
      <c r="E76" s="472" t="s">
        <v>76</v>
      </c>
      <c r="F76" s="464">
        <v>1730</v>
      </c>
      <c r="G76" s="465">
        <v>3020</v>
      </c>
      <c r="H76" s="465">
        <v>2550</v>
      </c>
      <c r="I76" s="465">
        <v>65</v>
      </c>
      <c r="J76" s="465">
        <v>200</v>
      </c>
      <c r="K76" s="484">
        <v>17170</v>
      </c>
      <c r="L76" s="485">
        <f>+(K77-Tabla1[[#This Row],[Lectura Horometro INICIAL (06:00)]])*Tabla1[[#This Row],[CAUDAL DE TRATAMIENTO]]</f>
        <v>480</v>
      </c>
      <c r="M76" s="486">
        <v>80</v>
      </c>
      <c r="N76" s="446">
        <f t="shared" si="69"/>
        <v>40</v>
      </c>
      <c r="O76" s="499">
        <f t="shared" si="69"/>
        <v>200</v>
      </c>
      <c r="P76" s="446">
        <f t="shared" si="69"/>
        <v>50</v>
      </c>
      <c r="Q76" s="446">
        <f t="shared" si="42"/>
        <v>5</v>
      </c>
      <c r="R76" s="447">
        <f t="shared" si="43"/>
        <v>5</v>
      </c>
      <c r="S76" s="452">
        <f t="shared" si="52"/>
        <v>52</v>
      </c>
      <c r="T76" s="453">
        <f t="shared" si="53"/>
        <v>265</v>
      </c>
      <c r="U76" s="453">
        <f t="shared" si="54"/>
        <v>62.5</v>
      </c>
      <c r="V76" s="473">
        <f>Tabla1[[#This Row],[CONSUMO POL ANIONICO (KG)]]</f>
        <v>5</v>
      </c>
      <c r="W76" s="447">
        <f>Tabla1[[#This Row],[CONSUMO POL CATIONICO (KG)]]</f>
        <v>5</v>
      </c>
      <c r="X76" s="467">
        <f t="shared" si="55"/>
        <v>108.33333333333333</v>
      </c>
      <c r="Y76" s="473">
        <f t="shared" si="56"/>
        <v>552.08333333333337</v>
      </c>
      <c r="Z76" s="473">
        <f t="shared" si="57"/>
        <v>130.20833333333334</v>
      </c>
      <c r="AA76" s="473">
        <f t="shared" si="58"/>
        <v>10.416666666666666</v>
      </c>
      <c r="AB76" s="447">
        <f t="shared" si="59"/>
        <v>10.416666666666666</v>
      </c>
      <c r="AC76" s="454">
        <v>1.3</v>
      </c>
      <c r="AD76" s="454">
        <v>1.325</v>
      </c>
      <c r="AE76" s="454">
        <v>1.25</v>
      </c>
      <c r="AF76" s="455">
        <v>2500</v>
      </c>
      <c r="AG76" s="456">
        <v>2500</v>
      </c>
      <c r="AH76" s="158">
        <v>830</v>
      </c>
      <c r="AI76" s="158">
        <v>2900</v>
      </c>
      <c r="AJ76" s="158">
        <v>6295</v>
      </c>
      <c r="AK76" s="158">
        <v>19050</v>
      </c>
      <c r="AL76" s="158">
        <v>22050</v>
      </c>
      <c r="AM76" s="468">
        <f t="shared" si="60"/>
        <v>43160</v>
      </c>
      <c r="AN76" s="474">
        <f t="shared" si="61"/>
        <v>768500</v>
      </c>
      <c r="AO76" s="474">
        <f t="shared" si="62"/>
        <v>393437.5</v>
      </c>
      <c r="AP76" s="474">
        <f t="shared" si="63"/>
        <v>95250</v>
      </c>
      <c r="AQ76" s="475">
        <f t="shared" si="64"/>
        <v>110250</v>
      </c>
      <c r="AR76" s="468">
        <f>SUM(Tabla1[[#This Row],[COSTO OPERATIVO ACIDO]:[COSTO OPERATIVO CATIONICO]])</f>
        <v>1410597.5</v>
      </c>
      <c r="AS76" s="474">
        <v>5250</v>
      </c>
      <c r="AT76" s="460">
        <f t="shared" si="65"/>
        <v>2938.7447916666665</v>
      </c>
    </row>
    <row r="77" spans="1:46" ht="14.95" thickBot="1" x14ac:dyDescent="0.3">
      <c r="A77" s="213">
        <v>46079</v>
      </c>
      <c r="B77" s="157">
        <f>DAY(Tabla1[[#This Row],[FECHA]])</f>
        <v>26</v>
      </c>
      <c r="C77" s="448" t="s">
        <v>289</v>
      </c>
      <c r="D77" s="449">
        <v>76</v>
      </c>
      <c r="E77" s="449" t="s">
        <v>75</v>
      </c>
      <c r="F77" s="450">
        <v>1690</v>
      </c>
      <c r="G77" s="451">
        <v>2820</v>
      </c>
      <c r="H77" s="451">
        <v>2500</v>
      </c>
      <c r="I77" s="451">
        <v>60</v>
      </c>
      <c r="J77" s="451">
        <v>195</v>
      </c>
      <c r="K77" s="480">
        <v>17176</v>
      </c>
      <c r="L77" s="481">
        <f>+(K78-Tabla1[[#This Row],[Lectura Horometro INICIAL (06:00)]])*Tabla1[[#This Row],[CAUDAL DE TRATAMIENTO]]</f>
        <v>560</v>
      </c>
      <c r="M77" s="482">
        <v>80</v>
      </c>
      <c r="N77" s="442">
        <f t="shared" si="68"/>
        <v>240</v>
      </c>
      <c r="O77" s="497">
        <f>G77-G78</f>
        <v>150</v>
      </c>
      <c r="P77" s="442">
        <f>H77-H78</f>
        <v>0</v>
      </c>
      <c r="Q77" s="442">
        <f t="shared" si="42"/>
        <v>0</v>
      </c>
      <c r="R77" s="443">
        <f t="shared" si="43"/>
        <v>5</v>
      </c>
      <c r="S77" s="452">
        <f t="shared" si="52"/>
        <v>312</v>
      </c>
      <c r="T77" s="453">
        <f t="shared" si="53"/>
        <v>198.75</v>
      </c>
      <c r="U77" s="453">
        <f t="shared" si="54"/>
        <v>0</v>
      </c>
      <c r="V77" s="453">
        <f>Tabla1[[#This Row],[CONSUMO POL ANIONICO (KG)]]</f>
        <v>0</v>
      </c>
      <c r="W77" s="443">
        <f>Tabla1[[#This Row],[CONSUMO POL CATIONICO (KG)]]</f>
        <v>5</v>
      </c>
      <c r="X77" s="452">
        <f t="shared" si="55"/>
        <v>557.14285714285711</v>
      </c>
      <c r="Y77" s="453">
        <f t="shared" si="56"/>
        <v>354.91071428571428</v>
      </c>
      <c r="Z77" s="453">
        <f t="shared" si="57"/>
        <v>0</v>
      </c>
      <c r="AA77" s="453">
        <f t="shared" si="58"/>
        <v>0</v>
      </c>
      <c r="AB77" s="443">
        <f t="shared" si="59"/>
        <v>8.9285714285714288</v>
      </c>
      <c r="AC77" s="454">
        <v>1.3</v>
      </c>
      <c r="AD77" s="454">
        <v>1.325</v>
      </c>
      <c r="AE77" s="454">
        <v>1.25</v>
      </c>
      <c r="AF77" s="455">
        <v>2500</v>
      </c>
      <c r="AG77" s="456">
        <v>2500</v>
      </c>
      <c r="AH77" s="158">
        <v>830</v>
      </c>
      <c r="AI77" s="158">
        <v>2900</v>
      </c>
      <c r="AJ77" s="158">
        <v>6295</v>
      </c>
      <c r="AK77" s="158">
        <v>19050</v>
      </c>
      <c r="AL77" s="158">
        <v>22050</v>
      </c>
      <c r="AM77" s="457">
        <f t="shared" si="60"/>
        <v>258960</v>
      </c>
      <c r="AN77" s="458">
        <f t="shared" si="61"/>
        <v>576375</v>
      </c>
      <c r="AO77" s="458">
        <f t="shared" si="62"/>
        <v>0</v>
      </c>
      <c r="AP77" s="458">
        <f t="shared" si="63"/>
        <v>0</v>
      </c>
      <c r="AQ77" s="459">
        <f t="shared" si="64"/>
        <v>110250</v>
      </c>
      <c r="AR77" s="457">
        <f>SUM(Tabla1[[#This Row],[COSTO OPERATIVO ACIDO]:[COSTO OPERATIVO CATIONICO]])</f>
        <v>945585</v>
      </c>
      <c r="AS77" s="458">
        <v>5250</v>
      </c>
      <c r="AT77" s="460">
        <f t="shared" si="65"/>
        <v>1688.5446428571429</v>
      </c>
    </row>
    <row r="78" spans="1:46" ht="14.95" thickBot="1" x14ac:dyDescent="0.3">
      <c r="A78" s="461">
        <f t="shared" ref="A78:A79" si="71">A77</f>
        <v>46079</v>
      </c>
      <c r="B78" s="157">
        <f>DAY(Tabla1[[#This Row],[FECHA]])</f>
        <v>26</v>
      </c>
      <c r="C78" s="462" t="s">
        <v>290</v>
      </c>
      <c r="D78" s="463">
        <v>77</v>
      </c>
      <c r="E78" s="463" t="s">
        <v>77</v>
      </c>
      <c r="F78" s="464">
        <v>1450</v>
      </c>
      <c r="G78" s="465">
        <v>2670</v>
      </c>
      <c r="H78" s="465">
        <v>2500</v>
      </c>
      <c r="I78" s="465">
        <v>60</v>
      </c>
      <c r="J78" s="465">
        <v>190</v>
      </c>
      <c r="K78" s="483">
        <v>17183</v>
      </c>
      <c r="L78" s="478">
        <f>+(K79-Tabla1[[#This Row],[Lectura Horometro INICIAL (06:00)]])*Tabla1[[#This Row],[CAUDAL DE TRATAMIENTO]]</f>
        <v>560</v>
      </c>
      <c r="M78" s="479">
        <v>80</v>
      </c>
      <c r="N78" s="444">
        <f t="shared" si="68"/>
        <v>350</v>
      </c>
      <c r="O78" s="498">
        <f t="shared" si="66"/>
        <v>190</v>
      </c>
      <c r="P78" s="444">
        <f t="shared" ref="P78:P95" si="72">H78-H79</f>
        <v>100</v>
      </c>
      <c r="Q78" s="444">
        <f t="shared" si="42"/>
        <v>5</v>
      </c>
      <c r="R78" s="445">
        <f t="shared" si="43"/>
        <v>5</v>
      </c>
      <c r="S78" s="452">
        <f t="shared" si="52"/>
        <v>455</v>
      </c>
      <c r="T78" s="453">
        <f t="shared" si="53"/>
        <v>251.75</v>
      </c>
      <c r="U78" s="453">
        <f t="shared" si="54"/>
        <v>125</v>
      </c>
      <c r="V78" s="466">
        <f>Tabla1[[#This Row],[CONSUMO POL ANIONICO (KG)]]</f>
        <v>5</v>
      </c>
      <c r="W78" s="445">
        <f>Tabla1[[#This Row],[CONSUMO POL CATIONICO (KG)]]</f>
        <v>5</v>
      </c>
      <c r="X78" s="467">
        <f t="shared" si="55"/>
        <v>812.5</v>
      </c>
      <c r="Y78" s="466">
        <f t="shared" si="56"/>
        <v>449.55357142857144</v>
      </c>
      <c r="Z78" s="466">
        <f t="shared" si="57"/>
        <v>223.21428571428572</v>
      </c>
      <c r="AA78" s="466">
        <f t="shared" si="58"/>
        <v>8.9285714285714288</v>
      </c>
      <c r="AB78" s="445">
        <f t="shared" si="59"/>
        <v>8.9285714285714288</v>
      </c>
      <c r="AC78" s="454">
        <v>1.3</v>
      </c>
      <c r="AD78" s="454">
        <v>1.325</v>
      </c>
      <c r="AE78" s="454">
        <v>1.25</v>
      </c>
      <c r="AF78" s="455">
        <v>2500</v>
      </c>
      <c r="AG78" s="456">
        <v>2500</v>
      </c>
      <c r="AH78" s="158">
        <v>830</v>
      </c>
      <c r="AI78" s="158">
        <v>2900</v>
      </c>
      <c r="AJ78" s="158">
        <v>6295</v>
      </c>
      <c r="AK78" s="158">
        <v>19050</v>
      </c>
      <c r="AL78" s="158">
        <v>22050</v>
      </c>
      <c r="AM78" s="468">
        <f t="shared" si="60"/>
        <v>377650</v>
      </c>
      <c r="AN78" s="460">
        <f t="shared" si="61"/>
        <v>730075</v>
      </c>
      <c r="AO78" s="460">
        <f t="shared" si="62"/>
        <v>786875</v>
      </c>
      <c r="AP78" s="460">
        <f t="shared" si="63"/>
        <v>95250</v>
      </c>
      <c r="AQ78" s="469">
        <f t="shared" si="64"/>
        <v>110250</v>
      </c>
      <c r="AR78" s="468">
        <f>SUM(Tabla1[[#This Row],[COSTO OPERATIVO ACIDO]:[COSTO OPERATIVO CATIONICO]])</f>
        <v>2100100</v>
      </c>
      <c r="AS78" s="460">
        <v>5250</v>
      </c>
      <c r="AT78" s="460">
        <f t="shared" si="65"/>
        <v>3750.1785714285716</v>
      </c>
    </row>
    <row r="79" spans="1:46" ht="14.95" thickBot="1" x14ac:dyDescent="0.3">
      <c r="A79" s="470">
        <f t="shared" si="71"/>
        <v>46079</v>
      </c>
      <c r="B79" s="157">
        <f>DAY(Tabla1[[#This Row],[FECHA]])</f>
        <v>26</v>
      </c>
      <c r="C79" s="471" t="s">
        <v>30</v>
      </c>
      <c r="D79" s="472">
        <v>78</v>
      </c>
      <c r="E79" s="472" t="s">
        <v>76</v>
      </c>
      <c r="F79" s="464">
        <v>1100</v>
      </c>
      <c r="G79" s="465">
        <v>2480</v>
      </c>
      <c r="H79" s="465">
        <v>2400</v>
      </c>
      <c r="I79" s="465">
        <v>55</v>
      </c>
      <c r="J79" s="465">
        <v>185</v>
      </c>
      <c r="K79" s="484">
        <v>17190</v>
      </c>
      <c r="L79" s="485">
        <f>+(K80-Tabla1[[#This Row],[Lectura Horometro INICIAL (06:00)]])*Tabla1[[#This Row],[CAUDAL DE TRATAMIENTO]]</f>
        <v>640</v>
      </c>
      <c r="M79" s="486">
        <v>80</v>
      </c>
      <c r="N79" s="446">
        <f>F79-F80</f>
        <v>190</v>
      </c>
      <c r="O79" s="499">
        <f>G79-G80</f>
        <v>180</v>
      </c>
      <c r="P79" s="446">
        <f t="shared" si="72"/>
        <v>100</v>
      </c>
      <c r="Q79" s="446">
        <f t="shared" ref="Q79:Q95" si="73">I79-I80</f>
        <v>0</v>
      </c>
      <c r="R79" s="447">
        <f t="shared" ref="R79:R95" si="74">J79-J80</f>
        <v>5</v>
      </c>
      <c r="S79" s="452">
        <f t="shared" si="52"/>
        <v>247</v>
      </c>
      <c r="T79" s="453">
        <f t="shared" si="53"/>
        <v>238.5</v>
      </c>
      <c r="U79" s="453">
        <f t="shared" si="54"/>
        <v>125</v>
      </c>
      <c r="V79" s="473">
        <f>Tabla1[[#This Row],[CONSUMO POL ANIONICO (KG)]]</f>
        <v>0</v>
      </c>
      <c r="W79" s="447">
        <f>Tabla1[[#This Row],[CONSUMO POL CATIONICO (KG)]]</f>
        <v>5</v>
      </c>
      <c r="X79" s="467">
        <f t="shared" si="55"/>
        <v>385.9375</v>
      </c>
      <c r="Y79" s="473">
        <f t="shared" si="56"/>
        <v>372.65625</v>
      </c>
      <c r="Z79" s="473">
        <f t="shared" si="57"/>
        <v>195.3125</v>
      </c>
      <c r="AA79" s="473">
        <f t="shared" si="58"/>
        <v>0</v>
      </c>
      <c r="AB79" s="447">
        <f t="shared" si="59"/>
        <v>7.8125</v>
      </c>
      <c r="AC79" s="454">
        <v>1.3</v>
      </c>
      <c r="AD79" s="454">
        <v>1.325</v>
      </c>
      <c r="AE79" s="454">
        <v>1.25</v>
      </c>
      <c r="AF79" s="455">
        <v>2500</v>
      </c>
      <c r="AG79" s="456">
        <v>2500</v>
      </c>
      <c r="AH79" s="158">
        <v>830</v>
      </c>
      <c r="AI79" s="158">
        <v>2900</v>
      </c>
      <c r="AJ79" s="158">
        <v>6295</v>
      </c>
      <c r="AK79" s="158">
        <v>19050</v>
      </c>
      <c r="AL79" s="158">
        <v>22050</v>
      </c>
      <c r="AM79" s="468">
        <f t="shared" si="60"/>
        <v>205010</v>
      </c>
      <c r="AN79" s="474">
        <f t="shared" si="61"/>
        <v>691650</v>
      </c>
      <c r="AO79" s="474">
        <f t="shared" si="62"/>
        <v>786875</v>
      </c>
      <c r="AP79" s="474">
        <f t="shared" si="63"/>
        <v>0</v>
      </c>
      <c r="AQ79" s="475">
        <f t="shared" si="64"/>
        <v>110250</v>
      </c>
      <c r="AR79" s="468">
        <f>SUM(Tabla1[[#This Row],[COSTO OPERATIVO ACIDO]:[COSTO OPERATIVO CATIONICO]])</f>
        <v>1793785</v>
      </c>
      <c r="AS79" s="474">
        <v>5250</v>
      </c>
      <c r="AT79" s="460">
        <f t="shared" si="65"/>
        <v>2802.7890625</v>
      </c>
    </row>
    <row r="80" spans="1:46" ht="14.95" thickBot="1" x14ac:dyDescent="0.3">
      <c r="A80" s="213">
        <v>46080</v>
      </c>
      <c r="B80" s="157">
        <f>DAY(Tabla1[[#This Row],[FECHA]])</f>
        <v>27</v>
      </c>
      <c r="C80" s="448" t="s">
        <v>291</v>
      </c>
      <c r="D80" s="449">
        <v>79</v>
      </c>
      <c r="E80" s="449" t="s">
        <v>75</v>
      </c>
      <c r="F80" s="450">
        <v>910</v>
      </c>
      <c r="G80" s="451">
        <v>2300</v>
      </c>
      <c r="H80" s="451">
        <v>2300</v>
      </c>
      <c r="I80" s="451">
        <v>55</v>
      </c>
      <c r="J80" s="451">
        <v>180</v>
      </c>
      <c r="K80" s="480">
        <v>17198</v>
      </c>
      <c r="L80" s="481">
        <f>+(K81-Tabla1[[#This Row],[Lectura Horometro INICIAL (06:00)]])*Tabla1[[#This Row],[CAUDAL DE TRATAMIENTO]]</f>
        <v>560</v>
      </c>
      <c r="M80" s="482">
        <v>80</v>
      </c>
      <c r="N80" s="442">
        <f t="shared" si="68"/>
        <v>20</v>
      </c>
      <c r="O80" s="497">
        <f t="shared" si="66"/>
        <v>220</v>
      </c>
      <c r="P80" s="442">
        <f t="shared" si="72"/>
        <v>80</v>
      </c>
      <c r="Q80" s="442">
        <f t="shared" si="73"/>
        <v>5</v>
      </c>
      <c r="R80" s="443">
        <f t="shared" si="74"/>
        <v>5</v>
      </c>
      <c r="S80" s="452">
        <f t="shared" si="52"/>
        <v>26</v>
      </c>
      <c r="T80" s="453">
        <f t="shared" si="53"/>
        <v>291.5</v>
      </c>
      <c r="U80" s="453">
        <f t="shared" si="54"/>
        <v>100</v>
      </c>
      <c r="V80" s="453">
        <f>Tabla1[[#This Row],[CONSUMO POL ANIONICO (KG)]]</f>
        <v>5</v>
      </c>
      <c r="W80" s="443">
        <f>Tabla1[[#This Row],[CONSUMO POL CATIONICO (KG)]]</f>
        <v>5</v>
      </c>
      <c r="X80" s="452">
        <f t="shared" si="55"/>
        <v>46.428571428571431</v>
      </c>
      <c r="Y80" s="453">
        <f t="shared" si="56"/>
        <v>520.53571428571433</v>
      </c>
      <c r="Z80" s="453">
        <f t="shared" si="57"/>
        <v>178.57142857142858</v>
      </c>
      <c r="AA80" s="453">
        <f t="shared" si="58"/>
        <v>8.9285714285714288</v>
      </c>
      <c r="AB80" s="443">
        <f t="shared" si="59"/>
        <v>8.9285714285714288</v>
      </c>
      <c r="AC80" s="454">
        <v>1.3</v>
      </c>
      <c r="AD80" s="454">
        <v>1.325</v>
      </c>
      <c r="AE80" s="454">
        <v>1.25</v>
      </c>
      <c r="AF80" s="455">
        <v>2500</v>
      </c>
      <c r="AG80" s="456">
        <v>2500</v>
      </c>
      <c r="AH80" s="158">
        <v>830</v>
      </c>
      <c r="AI80" s="158">
        <v>2900</v>
      </c>
      <c r="AJ80" s="158">
        <v>6295</v>
      </c>
      <c r="AK80" s="158">
        <v>19050</v>
      </c>
      <c r="AL80" s="158">
        <v>22050</v>
      </c>
      <c r="AM80" s="457">
        <f t="shared" si="60"/>
        <v>21580</v>
      </c>
      <c r="AN80" s="458">
        <f t="shared" si="61"/>
        <v>845350</v>
      </c>
      <c r="AO80" s="458">
        <f t="shared" si="62"/>
        <v>629500</v>
      </c>
      <c r="AP80" s="458">
        <f t="shared" si="63"/>
        <v>95250</v>
      </c>
      <c r="AQ80" s="459">
        <f t="shared" si="64"/>
        <v>110250</v>
      </c>
      <c r="AR80" s="457">
        <f>SUM(Tabla1[[#This Row],[COSTO OPERATIVO ACIDO]:[COSTO OPERATIVO CATIONICO]])</f>
        <v>1701930</v>
      </c>
      <c r="AS80" s="458">
        <v>5250</v>
      </c>
      <c r="AT80" s="460">
        <f t="shared" si="65"/>
        <v>3039.1607142857142</v>
      </c>
    </row>
    <row r="81" spans="1:46" ht="14.95" thickBot="1" x14ac:dyDescent="0.3">
      <c r="A81" s="461">
        <f t="shared" ref="A81:A82" si="75">A80</f>
        <v>46080</v>
      </c>
      <c r="B81" s="157">
        <f>DAY(Tabla1[[#This Row],[FECHA]])</f>
        <v>27</v>
      </c>
      <c r="C81" s="462" t="s">
        <v>292</v>
      </c>
      <c r="D81" s="463">
        <v>80</v>
      </c>
      <c r="E81" s="463" t="s">
        <v>77</v>
      </c>
      <c r="F81" s="464">
        <v>890</v>
      </c>
      <c r="G81" s="465">
        <v>2080</v>
      </c>
      <c r="H81" s="465">
        <v>2220</v>
      </c>
      <c r="I81" s="465">
        <v>50</v>
      </c>
      <c r="J81" s="465">
        <v>175</v>
      </c>
      <c r="K81" s="483">
        <v>17205</v>
      </c>
      <c r="L81" s="478">
        <f>+(K82-Tabla1[[#This Row],[Lectura Horometro INICIAL (06:00)]])*Tabla1[[#This Row],[CAUDAL DE TRATAMIENTO]]</f>
        <v>400</v>
      </c>
      <c r="M81" s="479">
        <v>80</v>
      </c>
      <c r="N81" s="444">
        <f t="shared" si="68"/>
        <v>390</v>
      </c>
      <c r="O81" s="498">
        <f t="shared" si="66"/>
        <v>260</v>
      </c>
      <c r="P81" s="444">
        <f t="shared" si="72"/>
        <v>50</v>
      </c>
      <c r="Q81" s="444">
        <f t="shared" si="73"/>
        <v>0</v>
      </c>
      <c r="R81" s="445">
        <f t="shared" si="74"/>
        <v>5</v>
      </c>
      <c r="S81" s="452">
        <f t="shared" si="52"/>
        <v>507</v>
      </c>
      <c r="T81" s="453">
        <f t="shared" si="53"/>
        <v>344.5</v>
      </c>
      <c r="U81" s="453">
        <f t="shared" si="54"/>
        <v>62.5</v>
      </c>
      <c r="V81" s="466">
        <f>Tabla1[[#This Row],[CONSUMO POL ANIONICO (KG)]]</f>
        <v>0</v>
      </c>
      <c r="W81" s="445">
        <f>Tabla1[[#This Row],[CONSUMO POL CATIONICO (KG)]]</f>
        <v>5</v>
      </c>
      <c r="X81" s="467">
        <f t="shared" si="55"/>
        <v>1267.5</v>
      </c>
      <c r="Y81" s="466">
        <f t="shared" si="56"/>
        <v>861.25</v>
      </c>
      <c r="Z81" s="466">
        <f t="shared" si="57"/>
        <v>156.25</v>
      </c>
      <c r="AA81" s="466">
        <f t="shared" si="58"/>
        <v>0</v>
      </c>
      <c r="AB81" s="445">
        <f t="shared" si="59"/>
        <v>12.5</v>
      </c>
      <c r="AC81" s="454">
        <v>1.3</v>
      </c>
      <c r="AD81" s="454">
        <v>1.325</v>
      </c>
      <c r="AE81" s="454">
        <v>1.25</v>
      </c>
      <c r="AF81" s="455">
        <v>2500</v>
      </c>
      <c r="AG81" s="456">
        <v>2500</v>
      </c>
      <c r="AH81" s="158">
        <v>830</v>
      </c>
      <c r="AI81" s="158">
        <v>2900</v>
      </c>
      <c r="AJ81" s="158">
        <v>6295</v>
      </c>
      <c r="AK81" s="158">
        <v>19050</v>
      </c>
      <c r="AL81" s="158">
        <v>22050</v>
      </c>
      <c r="AM81" s="468">
        <f t="shared" si="60"/>
        <v>420810</v>
      </c>
      <c r="AN81" s="460">
        <f t="shared" si="61"/>
        <v>999050</v>
      </c>
      <c r="AO81" s="460">
        <f t="shared" si="62"/>
        <v>393437.5</v>
      </c>
      <c r="AP81" s="460">
        <f t="shared" si="63"/>
        <v>0</v>
      </c>
      <c r="AQ81" s="469">
        <f t="shared" si="64"/>
        <v>110250</v>
      </c>
      <c r="AR81" s="468">
        <f>SUM(Tabla1[[#This Row],[COSTO OPERATIVO ACIDO]:[COSTO OPERATIVO CATIONICO]])</f>
        <v>1923547.5</v>
      </c>
      <c r="AS81" s="460">
        <v>5250</v>
      </c>
      <c r="AT81" s="460">
        <f t="shared" si="65"/>
        <v>4808.8687499999996</v>
      </c>
    </row>
    <row r="82" spans="1:46" ht="14.95" thickBot="1" x14ac:dyDescent="0.3">
      <c r="A82" s="470">
        <f t="shared" si="75"/>
        <v>46080</v>
      </c>
      <c r="B82" s="157">
        <f>DAY(Tabla1[[#This Row],[FECHA]])</f>
        <v>27</v>
      </c>
      <c r="C82" s="471" t="s">
        <v>30</v>
      </c>
      <c r="D82" s="472">
        <v>81</v>
      </c>
      <c r="E82" s="472" t="s">
        <v>76</v>
      </c>
      <c r="F82" s="464">
        <v>500</v>
      </c>
      <c r="G82" s="465">
        <v>1820</v>
      </c>
      <c r="H82" s="465">
        <v>2170</v>
      </c>
      <c r="I82" s="465">
        <v>50</v>
      </c>
      <c r="J82" s="465">
        <v>170</v>
      </c>
      <c r="K82" s="484">
        <v>17210</v>
      </c>
      <c r="L82" s="485">
        <f>+(K83-Tabla1[[#This Row],[Lectura Horometro INICIAL (06:00)]])*Tabla1[[#This Row],[CAUDAL DE TRATAMIENTO]]</f>
        <v>480</v>
      </c>
      <c r="M82" s="486">
        <v>80</v>
      </c>
      <c r="N82" s="446">
        <f t="shared" si="68"/>
        <v>20</v>
      </c>
      <c r="O82" s="499">
        <f t="shared" si="66"/>
        <v>120</v>
      </c>
      <c r="P82" s="446">
        <f t="shared" si="72"/>
        <v>80</v>
      </c>
      <c r="Q82" s="446">
        <f t="shared" si="73"/>
        <v>5</v>
      </c>
      <c r="R82" s="447">
        <f t="shared" si="74"/>
        <v>5</v>
      </c>
      <c r="S82" s="452">
        <f t="shared" si="52"/>
        <v>26</v>
      </c>
      <c r="T82" s="453">
        <f t="shared" si="53"/>
        <v>159</v>
      </c>
      <c r="U82" s="453">
        <f t="shared" si="54"/>
        <v>100</v>
      </c>
      <c r="V82" s="473">
        <f>Tabla1[[#This Row],[CONSUMO POL ANIONICO (KG)]]</f>
        <v>5</v>
      </c>
      <c r="W82" s="447">
        <f>Tabla1[[#This Row],[CONSUMO POL CATIONICO (KG)]]</f>
        <v>5</v>
      </c>
      <c r="X82" s="467">
        <f t="shared" si="55"/>
        <v>54.166666666666664</v>
      </c>
      <c r="Y82" s="473">
        <f t="shared" si="56"/>
        <v>331.25</v>
      </c>
      <c r="Z82" s="473">
        <f t="shared" si="57"/>
        <v>208.33333333333334</v>
      </c>
      <c r="AA82" s="473">
        <f t="shared" si="58"/>
        <v>10.416666666666666</v>
      </c>
      <c r="AB82" s="447">
        <f t="shared" si="59"/>
        <v>10.416666666666666</v>
      </c>
      <c r="AC82" s="454">
        <v>1.3</v>
      </c>
      <c r="AD82" s="454">
        <v>1.325</v>
      </c>
      <c r="AE82" s="454">
        <v>1.25</v>
      </c>
      <c r="AF82" s="455">
        <v>2500</v>
      </c>
      <c r="AG82" s="456">
        <v>2500</v>
      </c>
      <c r="AH82" s="158">
        <v>830</v>
      </c>
      <c r="AI82" s="158">
        <v>2900</v>
      </c>
      <c r="AJ82" s="158">
        <v>6295</v>
      </c>
      <c r="AK82" s="158">
        <v>19050</v>
      </c>
      <c r="AL82" s="158">
        <v>22050</v>
      </c>
      <c r="AM82" s="468">
        <f t="shared" si="60"/>
        <v>21580</v>
      </c>
      <c r="AN82" s="474">
        <f t="shared" si="61"/>
        <v>461100</v>
      </c>
      <c r="AO82" s="474">
        <f t="shared" si="62"/>
        <v>629500</v>
      </c>
      <c r="AP82" s="474">
        <f t="shared" si="63"/>
        <v>95250</v>
      </c>
      <c r="AQ82" s="475">
        <f t="shared" si="64"/>
        <v>110250</v>
      </c>
      <c r="AR82" s="468">
        <f>SUM(Tabla1[[#This Row],[COSTO OPERATIVO ACIDO]:[COSTO OPERATIVO CATIONICO]])</f>
        <v>1317680</v>
      </c>
      <c r="AS82" s="474">
        <v>5250</v>
      </c>
      <c r="AT82" s="460">
        <f t="shared" si="65"/>
        <v>2745.1666666666665</v>
      </c>
    </row>
    <row r="83" spans="1:46" ht="14.3" customHeight="1" thickBot="1" x14ac:dyDescent="0.3">
      <c r="A83" s="213">
        <v>46081</v>
      </c>
      <c r="B83" s="157">
        <f>DAY(Tabla1[[#This Row],[FECHA]])</f>
        <v>28</v>
      </c>
      <c r="C83" s="448" t="s">
        <v>293</v>
      </c>
      <c r="D83" s="449">
        <v>82</v>
      </c>
      <c r="E83" s="449" t="s">
        <v>75</v>
      </c>
      <c r="F83" s="450">
        <v>480</v>
      </c>
      <c r="G83" s="451">
        <v>1700</v>
      </c>
      <c r="H83" s="451">
        <v>2090</v>
      </c>
      <c r="I83" s="451">
        <v>45</v>
      </c>
      <c r="J83" s="451">
        <v>165</v>
      </c>
      <c r="K83" s="480">
        <v>17216</v>
      </c>
      <c r="L83" s="481">
        <f>+(K84-Tabla1[[#This Row],[Lectura Horometro INICIAL (06:00)]])*Tabla1[[#This Row],[CAUDAL DE TRATAMIENTO]]</f>
        <v>400</v>
      </c>
      <c r="M83" s="482">
        <v>80</v>
      </c>
      <c r="N83" s="442">
        <f>F83-F84</f>
        <v>180</v>
      </c>
      <c r="O83" s="518">
        <f>G83-G84+3000</f>
        <v>350</v>
      </c>
      <c r="P83" s="442">
        <f t="shared" si="72"/>
        <v>150</v>
      </c>
      <c r="Q83" s="442">
        <f t="shared" si="73"/>
        <v>0</v>
      </c>
      <c r="R83" s="443">
        <f t="shared" si="74"/>
        <v>5</v>
      </c>
      <c r="S83" s="452">
        <f t="shared" si="52"/>
        <v>234</v>
      </c>
      <c r="T83" s="453">
        <f t="shared" si="53"/>
        <v>463.75</v>
      </c>
      <c r="U83" s="453">
        <f t="shared" si="54"/>
        <v>187.5</v>
      </c>
      <c r="V83" s="453">
        <f>Tabla1[[#This Row],[CONSUMO POL ANIONICO (KG)]]</f>
        <v>0</v>
      </c>
      <c r="W83" s="443">
        <f>Tabla1[[#This Row],[CONSUMO POL CATIONICO (KG)]]</f>
        <v>5</v>
      </c>
      <c r="X83" s="452">
        <f t="shared" si="55"/>
        <v>585</v>
      </c>
      <c r="Y83" s="453">
        <f t="shared" si="56"/>
        <v>1159.375</v>
      </c>
      <c r="Z83" s="453">
        <f t="shared" si="57"/>
        <v>468.75</v>
      </c>
      <c r="AA83" s="453">
        <f t="shared" si="58"/>
        <v>0</v>
      </c>
      <c r="AB83" s="443">
        <f t="shared" si="59"/>
        <v>12.5</v>
      </c>
      <c r="AC83" s="454">
        <v>1.3</v>
      </c>
      <c r="AD83" s="454">
        <v>1.325</v>
      </c>
      <c r="AE83" s="454">
        <v>1.25</v>
      </c>
      <c r="AF83" s="455">
        <v>2500</v>
      </c>
      <c r="AG83" s="456">
        <v>2500</v>
      </c>
      <c r="AH83" s="158">
        <v>830</v>
      </c>
      <c r="AI83" s="158">
        <v>2900</v>
      </c>
      <c r="AJ83" s="158">
        <v>6295</v>
      </c>
      <c r="AK83" s="158">
        <v>19050</v>
      </c>
      <c r="AL83" s="158">
        <v>22050</v>
      </c>
      <c r="AM83" s="457">
        <f t="shared" si="60"/>
        <v>194220</v>
      </c>
      <c r="AN83" s="458">
        <f t="shared" si="61"/>
        <v>1344875</v>
      </c>
      <c r="AO83" s="458">
        <f t="shared" si="62"/>
        <v>1180312.5</v>
      </c>
      <c r="AP83" s="458">
        <f t="shared" si="63"/>
        <v>0</v>
      </c>
      <c r="AQ83" s="459">
        <f t="shared" si="64"/>
        <v>110250</v>
      </c>
      <c r="AR83" s="457">
        <f>SUM(Tabla1[[#This Row],[COSTO OPERATIVO ACIDO]:[COSTO OPERATIVO CATIONICO]])</f>
        <v>2829657.5</v>
      </c>
      <c r="AS83" s="458">
        <v>5250</v>
      </c>
      <c r="AT83" s="460">
        <f t="shared" si="65"/>
        <v>7074.1437500000002</v>
      </c>
    </row>
    <row r="84" spans="1:46" s="488" customFormat="1" ht="14.95" thickBot="1" x14ac:dyDescent="0.3">
      <c r="A84" s="461">
        <f t="shared" ref="A84:A85" si="76">A83</f>
        <v>46081</v>
      </c>
      <c r="B84" s="157">
        <f>DAY(Tabla1[[#This Row],[FECHA]])</f>
        <v>28</v>
      </c>
      <c r="C84" s="462" t="s">
        <v>294</v>
      </c>
      <c r="D84" s="463">
        <v>83</v>
      </c>
      <c r="E84" s="463" t="s">
        <v>77</v>
      </c>
      <c r="F84" s="464">
        <v>300</v>
      </c>
      <c r="G84" s="465">
        <v>4350</v>
      </c>
      <c r="H84" s="465">
        <v>1940</v>
      </c>
      <c r="I84" s="465">
        <v>45</v>
      </c>
      <c r="J84" s="465">
        <v>160</v>
      </c>
      <c r="K84" s="483">
        <v>17221</v>
      </c>
      <c r="L84" s="478">
        <f>+(K85-Tabla1[[#This Row],[Lectura Horometro INICIAL (06:00)]])*Tabla1[[#This Row],[CAUDAL DE TRATAMIENTO]]</f>
        <v>320</v>
      </c>
      <c r="M84" s="479">
        <v>80</v>
      </c>
      <c r="N84" s="444">
        <f t="shared" si="68"/>
        <v>150</v>
      </c>
      <c r="O84" s="498">
        <f t="shared" si="66"/>
        <v>150</v>
      </c>
      <c r="P84" s="444">
        <f t="shared" si="72"/>
        <v>40</v>
      </c>
      <c r="Q84" s="444">
        <f t="shared" si="73"/>
        <v>5</v>
      </c>
      <c r="R84" s="445">
        <f t="shared" si="74"/>
        <v>5</v>
      </c>
      <c r="S84" s="452">
        <f t="shared" si="52"/>
        <v>195</v>
      </c>
      <c r="T84" s="453">
        <f t="shared" si="53"/>
        <v>198.75</v>
      </c>
      <c r="U84" s="453">
        <f t="shared" si="54"/>
        <v>50</v>
      </c>
      <c r="V84" s="466">
        <f>Tabla1[[#This Row],[CONSUMO POL ANIONICO (KG)]]</f>
        <v>5</v>
      </c>
      <c r="W84" s="445">
        <f>Tabla1[[#This Row],[CONSUMO POL CATIONICO (KG)]]</f>
        <v>5</v>
      </c>
      <c r="X84" s="467">
        <f t="shared" si="55"/>
        <v>609.375</v>
      </c>
      <c r="Y84" s="466">
        <f t="shared" si="56"/>
        <v>621.09375</v>
      </c>
      <c r="Z84" s="466">
        <f t="shared" si="57"/>
        <v>156.25</v>
      </c>
      <c r="AA84" s="466">
        <f t="shared" si="58"/>
        <v>15.625</v>
      </c>
      <c r="AB84" s="445">
        <f t="shared" si="59"/>
        <v>15.625</v>
      </c>
      <c r="AC84" s="454">
        <v>1.3</v>
      </c>
      <c r="AD84" s="454">
        <v>1.325</v>
      </c>
      <c r="AE84" s="454">
        <v>1.25</v>
      </c>
      <c r="AF84" s="455">
        <v>2500</v>
      </c>
      <c r="AG84" s="456">
        <v>2500</v>
      </c>
      <c r="AH84" s="158">
        <v>830</v>
      </c>
      <c r="AI84" s="158">
        <v>2900</v>
      </c>
      <c r="AJ84" s="158">
        <v>6295</v>
      </c>
      <c r="AK84" s="158">
        <v>19050</v>
      </c>
      <c r="AL84" s="158">
        <v>22050</v>
      </c>
      <c r="AM84" s="468">
        <f t="shared" si="60"/>
        <v>161850</v>
      </c>
      <c r="AN84" s="460">
        <f t="shared" si="61"/>
        <v>576375</v>
      </c>
      <c r="AO84" s="460">
        <f t="shared" si="62"/>
        <v>314750</v>
      </c>
      <c r="AP84" s="460">
        <f t="shared" si="63"/>
        <v>95250</v>
      </c>
      <c r="AQ84" s="469">
        <f t="shared" si="64"/>
        <v>110250</v>
      </c>
      <c r="AR84" s="468">
        <f>SUM(Tabla1[[#This Row],[COSTO OPERATIVO ACIDO]:[COSTO OPERATIVO CATIONICO]])</f>
        <v>1258475</v>
      </c>
      <c r="AS84" s="460">
        <v>5250</v>
      </c>
      <c r="AT84" s="460">
        <f t="shared" si="65"/>
        <v>3932.734375</v>
      </c>
    </row>
    <row r="85" spans="1:46" s="488" customFormat="1" ht="14.95" thickBot="1" x14ac:dyDescent="0.3">
      <c r="A85" s="470">
        <f t="shared" si="76"/>
        <v>46081</v>
      </c>
      <c r="B85" s="157">
        <f>DAY(Tabla1[[#This Row],[FECHA]])</f>
        <v>28</v>
      </c>
      <c r="C85" s="471" t="s">
        <v>30</v>
      </c>
      <c r="D85" s="472">
        <v>84</v>
      </c>
      <c r="E85" s="472" t="s">
        <v>76</v>
      </c>
      <c r="F85" s="464">
        <v>150</v>
      </c>
      <c r="G85" s="465">
        <v>4200</v>
      </c>
      <c r="H85" s="465">
        <v>1900</v>
      </c>
      <c r="I85" s="465">
        <v>40</v>
      </c>
      <c r="J85" s="465">
        <v>155</v>
      </c>
      <c r="K85" s="484">
        <v>17225</v>
      </c>
      <c r="L85" s="485">
        <f>+(K86-Tabla1[[#This Row],[Lectura Horometro INICIAL (06:00)]])*Tabla1[[#This Row],[CAUDAL DE TRATAMIENTO]]</f>
        <v>240</v>
      </c>
      <c r="M85" s="486">
        <v>80</v>
      </c>
      <c r="N85" s="446">
        <f t="shared" si="68"/>
        <v>0</v>
      </c>
      <c r="O85" s="499">
        <f t="shared" si="66"/>
        <v>0</v>
      </c>
      <c r="P85" s="446">
        <f t="shared" si="72"/>
        <v>0</v>
      </c>
      <c r="Q85" s="446">
        <f t="shared" si="73"/>
        <v>0</v>
      </c>
      <c r="R85" s="447">
        <f t="shared" si="74"/>
        <v>0</v>
      </c>
      <c r="S85" s="452">
        <f t="shared" si="52"/>
        <v>0</v>
      </c>
      <c r="T85" s="453">
        <f t="shared" si="53"/>
        <v>0</v>
      </c>
      <c r="U85" s="453">
        <f t="shared" si="54"/>
        <v>0</v>
      </c>
      <c r="V85" s="473">
        <f>Tabla1[[#This Row],[CONSUMO POL ANIONICO (KG)]]</f>
        <v>0</v>
      </c>
      <c r="W85" s="447">
        <f>Tabla1[[#This Row],[CONSUMO POL CATIONICO (KG)]]</f>
        <v>0</v>
      </c>
      <c r="X85" s="467">
        <f t="shared" si="55"/>
        <v>0</v>
      </c>
      <c r="Y85" s="473">
        <f t="shared" si="56"/>
        <v>0</v>
      </c>
      <c r="Z85" s="473">
        <f t="shared" si="57"/>
        <v>0</v>
      </c>
      <c r="AA85" s="473">
        <f t="shared" si="58"/>
        <v>0</v>
      </c>
      <c r="AB85" s="447">
        <f t="shared" si="59"/>
        <v>0</v>
      </c>
      <c r="AC85" s="454">
        <v>1.3</v>
      </c>
      <c r="AD85" s="454">
        <v>1.325</v>
      </c>
      <c r="AE85" s="454">
        <v>1.25</v>
      </c>
      <c r="AF85" s="455">
        <v>2500</v>
      </c>
      <c r="AG85" s="456">
        <v>2500</v>
      </c>
      <c r="AH85" s="158">
        <v>830</v>
      </c>
      <c r="AI85" s="158">
        <v>2900</v>
      </c>
      <c r="AJ85" s="158">
        <v>6295</v>
      </c>
      <c r="AK85" s="158">
        <v>19050</v>
      </c>
      <c r="AL85" s="158">
        <v>22050</v>
      </c>
      <c r="AM85" s="468">
        <f t="shared" si="60"/>
        <v>0</v>
      </c>
      <c r="AN85" s="474">
        <f t="shared" si="61"/>
        <v>0</v>
      </c>
      <c r="AO85" s="474">
        <f t="shared" si="62"/>
        <v>0</v>
      </c>
      <c r="AP85" s="474">
        <f t="shared" si="63"/>
        <v>0</v>
      </c>
      <c r="AQ85" s="475">
        <f t="shared" si="64"/>
        <v>0</v>
      </c>
      <c r="AR85" s="468">
        <f>SUM(Tabla1[[#This Row],[COSTO OPERATIVO ACIDO]:[COSTO OPERATIVO CATIONICO]])</f>
        <v>0</v>
      </c>
      <c r="AS85" s="474">
        <v>5250</v>
      </c>
      <c r="AT85" s="460">
        <f t="shared" si="65"/>
        <v>0</v>
      </c>
    </row>
    <row r="86" spans="1:46" ht="14.95" thickBot="1" x14ac:dyDescent="0.3">
      <c r="A86" s="213">
        <v>46082</v>
      </c>
      <c r="B86" s="157">
        <f>DAY(Tabla1[[#This Row],[FECHA]])</f>
        <v>1</v>
      </c>
      <c r="C86" s="448" t="s">
        <v>295</v>
      </c>
      <c r="D86" s="449">
        <v>85</v>
      </c>
      <c r="E86" s="449" t="s">
        <v>75</v>
      </c>
      <c r="F86" s="450">
        <v>150</v>
      </c>
      <c r="G86" s="451">
        <v>4200</v>
      </c>
      <c r="H86" s="451">
        <v>1900</v>
      </c>
      <c r="I86" s="451">
        <v>40</v>
      </c>
      <c r="J86" s="451">
        <v>155</v>
      </c>
      <c r="K86" s="480">
        <v>17228</v>
      </c>
      <c r="L86" s="481">
        <f>+(K87-Tabla1[[#This Row],[Lectura Horometro INICIAL (06:00)]])*Tabla1[[#This Row],[CAUDAL DE TRATAMIENTO]]</f>
        <v>0</v>
      </c>
      <c r="M86" s="482">
        <v>80</v>
      </c>
      <c r="N86" s="442">
        <f t="shared" si="68"/>
        <v>150</v>
      </c>
      <c r="O86" s="497">
        <f>G86-G87</f>
        <v>4200</v>
      </c>
      <c r="P86" s="442">
        <f t="shared" si="72"/>
        <v>1900</v>
      </c>
      <c r="Q86" s="442">
        <f t="shared" si="73"/>
        <v>40</v>
      </c>
      <c r="R86" s="443">
        <f t="shared" si="74"/>
        <v>155</v>
      </c>
      <c r="S86" s="452">
        <f t="shared" si="52"/>
        <v>195</v>
      </c>
      <c r="T86" s="453">
        <f t="shared" si="53"/>
        <v>5565</v>
      </c>
      <c r="U86" s="453">
        <f t="shared" si="54"/>
        <v>2375</v>
      </c>
      <c r="V86" s="453">
        <f>Tabla1[[#This Row],[CONSUMO POL ANIONICO (KG)]]</f>
        <v>40</v>
      </c>
      <c r="W86" s="443">
        <f>Tabla1[[#This Row],[CONSUMO POL CATIONICO (KG)]]</f>
        <v>155</v>
      </c>
      <c r="X86" s="452" t="e">
        <f t="shared" si="55"/>
        <v>#DIV/0!</v>
      </c>
      <c r="Y86" s="453" t="e">
        <f t="shared" si="56"/>
        <v>#DIV/0!</v>
      </c>
      <c r="Z86" s="453" t="e">
        <f t="shared" si="57"/>
        <v>#DIV/0!</v>
      </c>
      <c r="AA86" s="453" t="e">
        <f t="shared" si="58"/>
        <v>#DIV/0!</v>
      </c>
      <c r="AB86" s="443" t="e">
        <f t="shared" si="59"/>
        <v>#DIV/0!</v>
      </c>
      <c r="AC86" s="454">
        <v>1.3</v>
      </c>
      <c r="AD86" s="454">
        <v>1.325</v>
      </c>
      <c r="AE86" s="454">
        <v>1.25</v>
      </c>
      <c r="AF86" s="455">
        <v>2500</v>
      </c>
      <c r="AG86" s="456">
        <v>2500</v>
      </c>
      <c r="AH86" s="158">
        <v>830</v>
      </c>
      <c r="AI86" s="158">
        <v>2900</v>
      </c>
      <c r="AJ86" s="158">
        <v>6295</v>
      </c>
      <c r="AK86" s="158">
        <v>19050</v>
      </c>
      <c r="AL86" s="158">
        <v>22050</v>
      </c>
      <c r="AM86" s="457">
        <f t="shared" si="60"/>
        <v>161850</v>
      </c>
      <c r="AN86" s="458">
        <f t="shared" si="61"/>
        <v>16138500</v>
      </c>
      <c r="AO86" s="458">
        <f t="shared" si="62"/>
        <v>14950625</v>
      </c>
      <c r="AP86" s="458">
        <f t="shared" si="63"/>
        <v>762000</v>
      </c>
      <c r="AQ86" s="459">
        <f t="shared" si="64"/>
        <v>3417750</v>
      </c>
      <c r="AR86" s="457">
        <f>SUM(Tabla1[[#This Row],[COSTO OPERATIVO ACIDO]:[COSTO OPERATIVO CATIONICO]])</f>
        <v>35430725</v>
      </c>
      <c r="AS86" s="458">
        <v>5250</v>
      </c>
      <c r="AT86" s="460" t="e">
        <f t="shared" si="65"/>
        <v>#DIV/0!</v>
      </c>
    </row>
    <row r="87" spans="1:46" ht="14.95" thickBot="1" x14ac:dyDescent="0.3">
      <c r="A87" s="461">
        <f t="shared" ref="A87:A88" si="77">A86</f>
        <v>46082</v>
      </c>
      <c r="B87" s="157">
        <f>DAY(Tabla1[[#This Row],[FECHA]])</f>
        <v>1</v>
      </c>
      <c r="C87" s="462" t="s">
        <v>296</v>
      </c>
      <c r="D87" s="463">
        <v>86</v>
      </c>
      <c r="E87" s="463" t="s">
        <v>77</v>
      </c>
      <c r="F87" s="464"/>
      <c r="G87" s="465"/>
      <c r="H87" s="465"/>
      <c r="I87" s="465"/>
      <c r="J87" s="465"/>
      <c r="K87" s="483">
        <v>17228</v>
      </c>
      <c r="L87" s="478">
        <f>+(K88-Tabla1[[#This Row],[Lectura Horometro INICIAL (06:00)]])*Tabla1[[#This Row],[CAUDAL DE TRATAMIENTO]]</f>
        <v>0</v>
      </c>
      <c r="M87" s="479">
        <v>80</v>
      </c>
      <c r="N87" s="444">
        <f t="shared" si="68"/>
        <v>0</v>
      </c>
      <c r="O87" s="498">
        <f t="shared" si="66"/>
        <v>0</v>
      </c>
      <c r="P87" s="444">
        <f t="shared" si="72"/>
        <v>0</v>
      </c>
      <c r="Q87" s="444">
        <f t="shared" si="73"/>
        <v>0</v>
      </c>
      <c r="R87" s="445">
        <f t="shared" si="74"/>
        <v>0</v>
      </c>
      <c r="S87" s="452">
        <f t="shared" si="52"/>
        <v>0</v>
      </c>
      <c r="T87" s="453">
        <f t="shared" si="53"/>
        <v>0</v>
      </c>
      <c r="U87" s="453">
        <f t="shared" si="54"/>
        <v>0</v>
      </c>
      <c r="V87" s="466">
        <f>Tabla1[[#This Row],[CONSUMO POL ANIONICO (KG)]]</f>
        <v>0</v>
      </c>
      <c r="W87" s="445">
        <f>Tabla1[[#This Row],[CONSUMO POL CATIONICO (KG)]]</f>
        <v>0</v>
      </c>
      <c r="X87" s="467" t="e">
        <f t="shared" si="55"/>
        <v>#DIV/0!</v>
      </c>
      <c r="Y87" s="466" t="e">
        <f t="shared" si="56"/>
        <v>#DIV/0!</v>
      </c>
      <c r="Z87" s="466" t="e">
        <f t="shared" si="57"/>
        <v>#DIV/0!</v>
      </c>
      <c r="AA87" s="466" t="e">
        <f t="shared" si="58"/>
        <v>#DIV/0!</v>
      </c>
      <c r="AB87" s="445" t="e">
        <f t="shared" si="59"/>
        <v>#DIV/0!</v>
      </c>
      <c r="AC87" s="454">
        <v>1.3</v>
      </c>
      <c r="AD87" s="454">
        <v>1.325</v>
      </c>
      <c r="AE87" s="454">
        <v>1.25</v>
      </c>
      <c r="AF87" s="455">
        <v>2500</v>
      </c>
      <c r="AG87" s="456">
        <v>2500</v>
      </c>
      <c r="AH87" s="158">
        <v>830</v>
      </c>
      <c r="AI87" s="158">
        <v>2900</v>
      </c>
      <c r="AJ87" s="158">
        <v>6295</v>
      </c>
      <c r="AK87" s="158">
        <v>19050</v>
      </c>
      <c r="AL87" s="158">
        <v>22050</v>
      </c>
      <c r="AM87" s="468">
        <f t="shared" si="60"/>
        <v>0</v>
      </c>
      <c r="AN87" s="460">
        <f t="shared" si="61"/>
        <v>0</v>
      </c>
      <c r="AO87" s="460">
        <f t="shared" si="62"/>
        <v>0</v>
      </c>
      <c r="AP87" s="460">
        <f t="shared" si="63"/>
        <v>0</v>
      </c>
      <c r="AQ87" s="469">
        <f t="shared" si="64"/>
        <v>0</v>
      </c>
      <c r="AR87" s="468">
        <f>SUM(Tabla1[[#This Row],[COSTO OPERATIVO ACIDO]:[COSTO OPERATIVO CATIONICO]])</f>
        <v>0</v>
      </c>
      <c r="AS87" s="460">
        <v>5250</v>
      </c>
      <c r="AT87" s="460" t="e">
        <f t="shared" si="65"/>
        <v>#DIV/0!</v>
      </c>
    </row>
    <row r="88" spans="1:46" ht="14.95" thickBot="1" x14ac:dyDescent="0.3">
      <c r="A88" s="470">
        <f t="shared" si="77"/>
        <v>46082</v>
      </c>
      <c r="B88" s="157">
        <f>DAY(Tabla1[[#This Row],[FECHA]])</f>
        <v>1</v>
      </c>
      <c r="C88" s="471" t="s">
        <v>30</v>
      </c>
      <c r="D88" s="472">
        <v>87</v>
      </c>
      <c r="E88" s="472" t="s">
        <v>76</v>
      </c>
      <c r="F88" s="464"/>
      <c r="G88" s="465"/>
      <c r="H88" s="465"/>
      <c r="I88" s="465"/>
      <c r="J88" s="465"/>
      <c r="K88" s="484">
        <v>17228</v>
      </c>
      <c r="L88" s="485">
        <f>+(K89-Tabla1[[#This Row],[Lectura Horometro INICIAL (06:00)]])*Tabla1[[#This Row],[CAUDAL DE TRATAMIENTO]]</f>
        <v>0</v>
      </c>
      <c r="M88" s="486">
        <v>80</v>
      </c>
      <c r="N88" s="446">
        <f t="shared" si="68"/>
        <v>0</v>
      </c>
      <c r="O88" s="499">
        <f t="shared" si="66"/>
        <v>0</v>
      </c>
      <c r="P88" s="446">
        <f t="shared" si="72"/>
        <v>0</v>
      </c>
      <c r="Q88" s="446">
        <f t="shared" si="73"/>
        <v>0</v>
      </c>
      <c r="R88" s="447">
        <f t="shared" si="74"/>
        <v>0</v>
      </c>
      <c r="S88" s="452">
        <f t="shared" si="52"/>
        <v>0</v>
      </c>
      <c r="T88" s="453">
        <f t="shared" si="53"/>
        <v>0</v>
      </c>
      <c r="U88" s="453">
        <f t="shared" si="54"/>
        <v>0</v>
      </c>
      <c r="V88" s="473">
        <f>Tabla1[[#This Row],[CONSUMO POL ANIONICO (KG)]]</f>
        <v>0</v>
      </c>
      <c r="W88" s="447">
        <f>Tabla1[[#This Row],[CONSUMO POL CATIONICO (KG)]]</f>
        <v>0</v>
      </c>
      <c r="X88" s="467" t="e">
        <f t="shared" si="55"/>
        <v>#DIV/0!</v>
      </c>
      <c r="Y88" s="473" t="e">
        <f t="shared" si="56"/>
        <v>#DIV/0!</v>
      </c>
      <c r="Z88" s="473" t="e">
        <f t="shared" si="57"/>
        <v>#DIV/0!</v>
      </c>
      <c r="AA88" s="473" t="e">
        <f t="shared" si="58"/>
        <v>#DIV/0!</v>
      </c>
      <c r="AB88" s="447" t="e">
        <f t="shared" si="59"/>
        <v>#DIV/0!</v>
      </c>
      <c r="AC88" s="454">
        <v>1.3</v>
      </c>
      <c r="AD88" s="454">
        <v>1.325</v>
      </c>
      <c r="AE88" s="454">
        <v>1.25</v>
      </c>
      <c r="AF88" s="455">
        <v>2500</v>
      </c>
      <c r="AG88" s="456">
        <v>2500</v>
      </c>
      <c r="AH88" s="158">
        <v>830</v>
      </c>
      <c r="AI88" s="158">
        <v>2900</v>
      </c>
      <c r="AJ88" s="158">
        <v>6295</v>
      </c>
      <c r="AK88" s="158">
        <v>19050</v>
      </c>
      <c r="AL88" s="158">
        <v>22050</v>
      </c>
      <c r="AM88" s="468">
        <f t="shared" si="60"/>
        <v>0</v>
      </c>
      <c r="AN88" s="474">
        <f t="shared" si="61"/>
        <v>0</v>
      </c>
      <c r="AO88" s="474">
        <f t="shared" si="62"/>
        <v>0</v>
      </c>
      <c r="AP88" s="474">
        <f t="shared" si="63"/>
        <v>0</v>
      </c>
      <c r="AQ88" s="475">
        <f t="shared" si="64"/>
        <v>0</v>
      </c>
      <c r="AR88" s="468">
        <f>SUM(Tabla1[[#This Row],[COSTO OPERATIVO ACIDO]:[COSTO OPERATIVO CATIONICO]])</f>
        <v>0</v>
      </c>
      <c r="AS88" s="474">
        <v>5250</v>
      </c>
      <c r="AT88" s="460" t="e">
        <f t="shared" si="65"/>
        <v>#DIV/0!</v>
      </c>
    </row>
    <row r="89" spans="1:46" ht="14.95" thickBot="1" x14ac:dyDescent="0.3">
      <c r="A89" s="213">
        <v>46083</v>
      </c>
      <c r="B89" s="157">
        <f>DAY(Tabla1[[#This Row],[FECHA]])</f>
        <v>2</v>
      </c>
      <c r="C89" s="448" t="s">
        <v>297</v>
      </c>
      <c r="D89" s="449">
        <v>88</v>
      </c>
      <c r="E89" s="449" t="s">
        <v>75</v>
      </c>
      <c r="F89" s="450"/>
      <c r="G89" s="451"/>
      <c r="H89" s="451"/>
      <c r="I89" s="451"/>
      <c r="J89" s="451"/>
      <c r="K89" s="480">
        <v>17228</v>
      </c>
      <c r="L89" s="481">
        <f>+(K90-Tabla1[[#This Row],[Lectura Horometro INICIAL (06:00)]])*Tabla1[[#This Row],[CAUDAL DE TRATAMIENTO]]</f>
        <v>-1378240</v>
      </c>
      <c r="M89" s="482">
        <v>80</v>
      </c>
      <c r="N89" s="442">
        <f t="shared" si="68"/>
        <v>0</v>
      </c>
      <c r="O89" s="497">
        <f t="shared" si="66"/>
        <v>0</v>
      </c>
      <c r="P89" s="442">
        <f t="shared" si="72"/>
        <v>0</v>
      </c>
      <c r="Q89" s="442">
        <f t="shared" si="73"/>
        <v>0</v>
      </c>
      <c r="R89" s="443">
        <f t="shared" si="74"/>
        <v>0</v>
      </c>
      <c r="S89" s="452">
        <f t="shared" si="52"/>
        <v>0</v>
      </c>
      <c r="T89" s="453">
        <f t="shared" si="53"/>
        <v>0</v>
      </c>
      <c r="U89" s="453">
        <f t="shared" si="54"/>
        <v>0</v>
      </c>
      <c r="V89" s="453">
        <f>Tabla1[[#This Row],[CONSUMO POL ANIONICO (KG)]]</f>
        <v>0</v>
      </c>
      <c r="W89" s="443">
        <f>Tabla1[[#This Row],[CONSUMO POL CATIONICO (KG)]]</f>
        <v>0</v>
      </c>
      <c r="X89" s="452">
        <f t="shared" si="55"/>
        <v>0</v>
      </c>
      <c r="Y89" s="453">
        <f t="shared" si="56"/>
        <v>0</v>
      </c>
      <c r="Z89" s="453">
        <f t="shared" si="57"/>
        <v>0</v>
      </c>
      <c r="AA89" s="453">
        <f t="shared" si="58"/>
        <v>0</v>
      </c>
      <c r="AB89" s="443">
        <f t="shared" si="59"/>
        <v>0</v>
      </c>
      <c r="AC89" s="454">
        <v>1.3</v>
      </c>
      <c r="AD89" s="454">
        <v>1.325</v>
      </c>
      <c r="AE89" s="454">
        <v>1.25</v>
      </c>
      <c r="AF89" s="455">
        <v>2500</v>
      </c>
      <c r="AG89" s="456">
        <v>2500</v>
      </c>
      <c r="AH89" s="158">
        <v>830</v>
      </c>
      <c r="AI89" s="158">
        <v>2900</v>
      </c>
      <c r="AJ89" s="158">
        <v>6295</v>
      </c>
      <c r="AK89" s="158">
        <v>19050</v>
      </c>
      <c r="AL89" s="158">
        <v>22050</v>
      </c>
      <c r="AM89" s="457">
        <f t="shared" si="60"/>
        <v>0</v>
      </c>
      <c r="AN89" s="458">
        <f t="shared" si="61"/>
        <v>0</v>
      </c>
      <c r="AO89" s="458">
        <f t="shared" si="62"/>
        <v>0</v>
      </c>
      <c r="AP89" s="458">
        <f t="shared" si="63"/>
        <v>0</v>
      </c>
      <c r="AQ89" s="459">
        <f t="shared" si="64"/>
        <v>0</v>
      </c>
      <c r="AR89" s="457">
        <f>SUM(Tabla1[[#This Row],[COSTO OPERATIVO ACIDO]:[COSTO OPERATIVO CATIONICO]])</f>
        <v>0</v>
      </c>
      <c r="AS89" s="458">
        <v>5250</v>
      </c>
      <c r="AT89" s="460">
        <f t="shared" si="65"/>
        <v>0</v>
      </c>
    </row>
    <row r="90" spans="1:46" ht="14.95" thickBot="1" x14ac:dyDescent="0.3">
      <c r="A90" s="461">
        <f t="shared" ref="A90:A91" si="78">A89</f>
        <v>46083</v>
      </c>
      <c r="B90" s="157">
        <f>DAY(Tabla1[[#This Row],[FECHA]])</f>
        <v>2</v>
      </c>
      <c r="C90" s="462" t="s">
        <v>298</v>
      </c>
      <c r="D90" s="463">
        <v>89</v>
      </c>
      <c r="E90" s="463" t="s">
        <v>77</v>
      </c>
      <c r="F90" s="464"/>
      <c r="G90" s="465"/>
      <c r="H90" s="465"/>
      <c r="I90" s="465"/>
      <c r="J90" s="465"/>
      <c r="K90" s="483"/>
      <c r="L90" s="478">
        <f>+(K91-Tabla1[[#This Row],[Lectura Horometro INICIAL (06:00)]])*Tabla1[[#This Row],[CAUDAL DE TRATAMIENTO]]</f>
        <v>0</v>
      </c>
      <c r="M90" s="479">
        <v>80</v>
      </c>
      <c r="N90" s="444">
        <f t="shared" si="68"/>
        <v>0</v>
      </c>
      <c r="O90" s="498">
        <f t="shared" si="66"/>
        <v>0</v>
      </c>
      <c r="P90" s="444">
        <f t="shared" si="72"/>
        <v>0</v>
      </c>
      <c r="Q90" s="444">
        <f t="shared" si="73"/>
        <v>0</v>
      </c>
      <c r="R90" s="445">
        <f t="shared" si="74"/>
        <v>0</v>
      </c>
      <c r="S90" s="452">
        <f t="shared" si="52"/>
        <v>0</v>
      </c>
      <c r="T90" s="453">
        <f t="shared" si="53"/>
        <v>0</v>
      </c>
      <c r="U90" s="453">
        <f t="shared" si="54"/>
        <v>0</v>
      </c>
      <c r="V90" s="466">
        <f>Tabla1[[#This Row],[CONSUMO POL ANIONICO (KG)]]</f>
        <v>0</v>
      </c>
      <c r="W90" s="445">
        <f>Tabla1[[#This Row],[CONSUMO POL CATIONICO (KG)]]</f>
        <v>0</v>
      </c>
      <c r="X90" s="467" t="e">
        <f t="shared" si="55"/>
        <v>#DIV/0!</v>
      </c>
      <c r="Y90" s="466" t="e">
        <f t="shared" si="56"/>
        <v>#DIV/0!</v>
      </c>
      <c r="Z90" s="466" t="e">
        <f t="shared" si="57"/>
        <v>#DIV/0!</v>
      </c>
      <c r="AA90" s="466" t="e">
        <f t="shared" si="58"/>
        <v>#DIV/0!</v>
      </c>
      <c r="AB90" s="445" t="e">
        <f t="shared" si="59"/>
        <v>#DIV/0!</v>
      </c>
      <c r="AC90" s="454">
        <v>1.3</v>
      </c>
      <c r="AD90" s="454">
        <v>1.325</v>
      </c>
      <c r="AE90" s="454">
        <v>1.25</v>
      </c>
      <c r="AF90" s="455">
        <v>2500</v>
      </c>
      <c r="AG90" s="456">
        <v>2500</v>
      </c>
      <c r="AH90" s="158">
        <v>830</v>
      </c>
      <c r="AI90" s="158">
        <v>2900</v>
      </c>
      <c r="AJ90" s="158">
        <v>6295</v>
      </c>
      <c r="AK90" s="158">
        <v>19050</v>
      </c>
      <c r="AL90" s="158">
        <v>22050</v>
      </c>
      <c r="AM90" s="468">
        <f t="shared" si="60"/>
        <v>0</v>
      </c>
      <c r="AN90" s="460">
        <f t="shared" si="61"/>
        <v>0</v>
      </c>
      <c r="AO90" s="460">
        <f t="shared" si="62"/>
        <v>0</v>
      </c>
      <c r="AP90" s="460">
        <f t="shared" si="63"/>
        <v>0</v>
      </c>
      <c r="AQ90" s="469">
        <f t="shared" si="64"/>
        <v>0</v>
      </c>
      <c r="AR90" s="468">
        <f>SUM(Tabla1[[#This Row],[COSTO OPERATIVO ACIDO]:[COSTO OPERATIVO CATIONICO]])</f>
        <v>0</v>
      </c>
      <c r="AS90" s="460">
        <v>5250</v>
      </c>
      <c r="AT90" s="460" t="e">
        <f t="shared" si="65"/>
        <v>#DIV/0!</v>
      </c>
    </row>
    <row r="91" spans="1:46" ht="14.95" thickBot="1" x14ac:dyDescent="0.3">
      <c r="A91" s="470">
        <f t="shared" si="78"/>
        <v>46083</v>
      </c>
      <c r="B91" s="157">
        <f>DAY(Tabla1[[#This Row],[FECHA]])</f>
        <v>2</v>
      </c>
      <c r="C91" s="471" t="s">
        <v>30</v>
      </c>
      <c r="D91" s="472">
        <v>90</v>
      </c>
      <c r="E91" s="472" t="s">
        <v>76</v>
      </c>
      <c r="F91" s="464"/>
      <c r="G91" s="465"/>
      <c r="H91" s="465"/>
      <c r="I91" s="465"/>
      <c r="J91" s="465"/>
      <c r="K91" s="484"/>
      <c r="L91" s="485">
        <f>+(K92-Tabla1[[#This Row],[Lectura Horometro INICIAL (06:00)]])*Tabla1[[#This Row],[CAUDAL DE TRATAMIENTO]]</f>
        <v>0</v>
      </c>
      <c r="M91" s="486">
        <v>80</v>
      </c>
      <c r="N91" s="446">
        <f>F91-F92</f>
        <v>0</v>
      </c>
      <c r="O91" s="499">
        <f>G91-G92</f>
        <v>0</v>
      </c>
      <c r="P91" s="446">
        <f t="shared" si="72"/>
        <v>0</v>
      </c>
      <c r="Q91" s="446">
        <f t="shared" si="73"/>
        <v>0</v>
      </c>
      <c r="R91" s="447">
        <f t="shared" si="74"/>
        <v>0</v>
      </c>
      <c r="S91" s="452">
        <f t="shared" si="52"/>
        <v>0</v>
      </c>
      <c r="T91" s="453">
        <f t="shared" si="53"/>
        <v>0</v>
      </c>
      <c r="U91" s="453">
        <f t="shared" si="54"/>
        <v>0</v>
      </c>
      <c r="V91" s="473">
        <f>Tabla1[[#This Row],[CONSUMO POL ANIONICO (KG)]]</f>
        <v>0</v>
      </c>
      <c r="W91" s="447">
        <f>Tabla1[[#This Row],[CONSUMO POL CATIONICO (KG)]]</f>
        <v>0</v>
      </c>
      <c r="X91" s="467" t="e">
        <f t="shared" si="55"/>
        <v>#DIV/0!</v>
      </c>
      <c r="Y91" s="473" t="e">
        <f t="shared" si="56"/>
        <v>#DIV/0!</v>
      </c>
      <c r="Z91" s="473" t="e">
        <f t="shared" si="57"/>
        <v>#DIV/0!</v>
      </c>
      <c r="AA91" s="473" t="e">
        <f t="shared" si="58"/>
        <v>#DIV/0!</v>
      </c>
      <c r="AB91" s="447" t="e">
        <f t="shared" si="59"/>
        <v>#DIV/0!</v>
      </c>
      <c r="AC91" s="454">
        <v>1.3</v>
      </c>
      <c r="AD91" s="454">
        <v>1.325</v>
      </c>
      <c r="AE91" s="454">
        <v>1.25</v>
      </c>
      <c r="AF91" s="455">
        <v>2500</v>
      </c>
      <c r="AG91" s="456">
        <v>2500</v>
      </c>
      <c r="AH91" s="158">
        <v>830</v>
      </c>
      <c r="AI91" s="158">
        <v>2900</v>
      </c>
      <c r="AJ91" s="158">
        <v>6295</v>
      </c>
      <c r="AK91" s="158">
        <v>19050</v>
      </c>
      <c r="AL91" s="158">
        <v>22050</v>
      </c>
      <c r="AM91" s="468">
        <f t="shared" si="60"/>
        <v>0</v>
      </c>
      <c r="AN91" s="474">
        <f t="shared" si="61"/>
        <v>0</v>
      </c>
      <c r="AO91" s="474">
        <f t="shared" si="62"/>
        <v>0</v>
      </c>
      <c r="AP91" s="474">
        <f t="shared" si="63"/>
        <v>0</v>
      </c>
      <c r="AQ91" s="475">
        <f t="shared" si="64"/>
        <v>0</v>
      </c>
      <c r="AR91" s="468">
        <f>SUM(Tabla1[[#This Row],[COSTO OPERATIVO ACIDO]:[COSTO OPERATIVO CATIONICO]])</f>
        <v>0</v>
      </c>
      <c r="AS91" s="474">
        <v>5250</v>
      </c>
      <c r="AT91" s="460" t="e">
        <f t="shared" si="65"/>
        <v>#DIV/0!</v>
      </c>
    </row>
    <row r="92" spans="1:46" ht="14.95" thickBot="1" x14ac:dyDescent="0.3">
      <c r="A92" s="213">
        <v>46084</v>
      </c>
      <c r="B92" s="157">
        <f>DAY(Tabla1[[#This Row],[FECHA]])</f>
        <v>3</v>
      </c>
      <c r="C92" s="448" t="s">
        <v>299</v>
      </c>
      <c r="D92" s="449">
        <v>91</v>
      </c>
      <c r="E92" s="449" t="s">
        <v>75</v>
      </c>
      <c r="F92" s="450"/>
      <c r="G92" s="451"/>
      <c r="H92" s="451"/>
      <c r="I92" s="451"/>
      <c r="J92" s="451"/>
      <c r="K92" s="480"/>
      <c r="L92" s="481">
        <f>+(K93-Tabla1[[#This Row],[Lectura Horometro INICIAL (06:00)]])*Tabla1[[#This Row],[CAUDAL DE TRATAMIENTO]]</f>
        <v>0</v>
      </c>
      <c r="M92" s="482">
        <v>80</v>
      </c>
      <c r="N92" s="442">
        <f t="shared" si="68"/>
        <v>0</v>
      </c>
      <c r="O92" s="497">
        <f t="shared" si="66"/>
        <v>0</v>
      </c>
      <c r="P92" s="442">
        <f t="shared" si="72"/>
        <v>0</v>
      </c>
      <c r="Q92" s="442">
        <f t="shared" si="73"/>
        <v>0</v>
      </c>
      <c r="R92" s="443">
        <f t="shared" si="74"/>
        <v>0</v>
      </c>
      <c r="S92" s="452">
        <f t="shared" si="52"/>
        <v>0</v>
      </c>
      <c r="T92" s="453">
        <f t="shared" si="53"/>
        <v>0</v>
      </c>
      <c r="U92" s="453">
        <f t="shared" si="54"/>
        <v>0</v>
      </c>
      <c r="V92" s="453">
        <f>Tabla1[[#This Row],[CONSUMO POL ANIONICO (KG)]]</f>
        <v>0</v>
      </c>
      <c r="W92" s="443">
        <f>Tabla1[[#This Row],[CONSUMO POL CATIONICO (KG)]]</f>
        <v>0</v>
      </c>
      <c r="X92" s="452" t="e">
        <f t="shared" si="55"/>
        <v>#DIV/0!</v>
      </c>
      <c r="Y92" s="453" t="e">
        <f t="shared" si="56"/>
        <v>#DIV/0!</v>
      </c>
      <c r="Z92" s="453" t="e">
        <f t="shared" si="57"/>
        <v>#DIV/0!</v>
      </c>
      <c r="AA92" s="453" t="e">
        <f t="shared" si="58"/>
        <v>#DIV/0!</v>
      </c>
      <c r="AB92" s="443" t="e">
        <f t="shared" si="59"/>
        <v>#DIV/0!</v>
      </c>
      <c r="AC92" s="454">
        <v>1.3</v>
      </c>
      <c r="AD92" s="454">
        <v>1.325</v>
      </c>
      <c r="AE92" s="454">
        <v>1.25</v>
      </c>
      <c r="AF92" s="455">
        <v>2500</v>
      </c>
      <c r="AG92" s="456">
        <v>2500</v>
      </c>
      <c r="AH92" s="158">
        <v>830</v>
      </c>
      <c r="AI92" s="158">
        <v>2900</v>
      </c>
      <c r="AJ92" s="158">
        <v>6295</v>
      </c>
      <c r="AK92" s="158">
        <v>19050</v>
      </c>
      <c r="AL92" s="158">
        <v>22050</v>
      </c>
      <c r="AM92" s="457">
        <f t="shared" si="60"/>
        <v>0</v>
      </c>
      <c r="AN92" s="458">
        <f t="shared" si="61"/>
        <v>0</v>
      </c>
      <c r="AO92" s="458">
        <f t="shared" si="62"/>
        <v>0</v>
      </c>
      <c r="AP92" s="458">
        <f t="shared" si="63"/>
        <v>0</v>
      </c>
      <c r="AQ92" s="459">
        <f t="shared" si="64"/>
        <v>0</v>
      </c>
      <c r="AR92" s="457">
        <f>SUM(Tabla1[[#This Row],[COSTO OPERATIVO ACIDO]:[COSTO OPERATIVO CATIONICO]])</f>
        <v>0</v>
      </c>
      <c r="AS92" s="458">
        <v>5250</v>
      </c>
      <c r="AT92" s="460" t="e">
        <f t="shared" si="65"/>
        <v>#DIV/0!</v>
      </c>
    </row>
    <row r="93" spans="1:46" ht="14.95" thickBot="1" x14ac:dyDescent="0.3">
      <c r="A93" s="461">
        <f t="shared" ref="A93:A94" si="79">A92</f>
        <v>46084</v>
      </c>
      <c r="B93" s="157">
        <f>DAY(Tabla1[[#This Row],[FECHA]])</f>
        <v>3</v>
      </c>
      <c r="C93" s="462" t="s">
        <v>300</v>
      </c>
      <c r="D93" s="463">
        <v>92</v>
      </c>
      <c r="E93" s="463" t="s">
        <v>77</v>
      </c>
      <c r="F93" s="464"/>
      <c r="G93" s="465"/>
      <c r="H93" s="465"/>
      <c r="I93" s="465"/>
      <c r="J93" s="465"/>
      <c r="K93" s="483"/>
      <c r="L93" s="478">
        <f>+(K94-Tabla1[[#This Row],[Lectura Horometro INICIAL (06:00)]])*Tabla1[[#This Row],[CAUDAL DE TRATAMIENTO]]</f>
        <v>0</v>
      </c>
      <c r="M93" s="479">
        <v>80</v>
      </c>
      <c r="N93" s="444">
        <f t="shared" si="68"/>
        <v>0</v>
      </c>
      <c r="O93" s="498">
        <f t="shared" si="66"/>
        <v>0</v>
      </c>
      <c r="P93" s="444">
        <f t="shared" si="72"/>
        <v>0</v>
      </c>
      <c r="Q93" s="444">
        <f t="shared" si="73"/>
        <v>0</v>
      </c>
      <c r="R93" s="445">
        <f t="shared" si="74"/>
        <v>0</v>
      </c>
      <c r="S93" s="452">
        <f t="shared" si="52"/>
        <v>0</v>
      </c>
      <c r="T93" s="453">
        <f t="shared" si="53"/>
        <v>0</v>
      </c>
      <c r="U93" s="453">
        <f t="shared" si="54"/>
        <v>0</v>
      </c>
      <c r="V93" s="466">
        <f>Tabla1[[#This Row],[CONSUMO POL ANIONICO (KG)]]</f>
        <v>0</v>
      </c>
      <c r="W93" s="445">
        <f>Tabla1[[#This Row],[CONSUMO POL CATIONICO (KG)]]</f>
        <v>0</v>
      </c>
      <c r="X93" s="467" t="e">
        <f t="shared" si="55"/>
        <v>#DIV/0!</v>
      </c>
      <c r="Y93" s="466" t="e">
        <f t="shared" si="56"/>
        <v>#DIV/0!</v>
      </c>
      <c r="Z93" s="466" t="e">
        <f t="shared" si="57"/>
        <v>#DIV/0!</v>
      </c>
      <c r="AA93" s="466" t="e">
        <f t="shared" si="58"/>
        <v>#DIV/0!</v>
      </c>
      <c r="AB93" s="445" t="e">
        <f t="shared" si="59"/>
        <v>#DIV/0!</v>
      </c>
      <c r="AC93" s="454">
        <v>1.3</v>
      </c>
      <c r="AD93" s="454">
        <v>1.325</v>
      </c>
      <c r="AE93" s="454">
        <v>1.25</v>
      </c>
      <c r="AF93" s="455">
        <v>2500</v>
      </c>
      <c r="AG93" s="456">
        <v>2500</v>
      </c>
      <c r="AH93" s="158">
        <v>830</v>
      </c>
      <c r="AI93" s="158">
        <v>2900</v>
      </c>
      <c r="AJ93" s="158">
        <v>6295</v>
      </c>
      <c r="AK93" s="158">
        <v>19050</v>
      </c>
      <c r="AL93" s="158">
        <v>22050</v>
      </c>
      <c r="AM93" s="468">
        <f t="shared" si="60"/>
        <v>0</v>
      </c>
      <c r="AN93" s="460">
        <f t="shared" si="61"/>
        <v>0</v>
      </c>
      <c r="AO93" s="460">
        <f t="shared" si="62"/>
        <v>0</v>
      </c>
      <c r="AP93" s="460">
        <f t="shared" si="63"/>
        <v>0</v>
      </c>
      <c r="AQ93" s="469">
        <f t="shared" si="64"/>
        <v>0</v>
      </c>
      <c r="AR93" s="468">
        <f>SUM(Tabla1[[#This Row],[COSTO OPERATIVO ACIDO]:[COSTO OPERATIVO CATIONICO]])</f>
        <v>0</v>
      </c>
      <c r="AS93" s="460">
        <v>5250</v>
      </c>
      <c r="AT93" s="460" t="e">
        <f t="shared" si="65"/>
        <v>#DIV/0!</v>
      </c>
    </row>
    <row r="94" spans="1:46" s="488" customFormat="1" ht="14.95" thickBot="1" x14ac:dyDescent="0.3">
      <c r="A94" s="470">
        <f t="shared" si="79"/>
        <v>46084</v>
      </c>
      <c r="B94" s="157">
        <f>DAY(Tabla1[[#This Row],[FECHA]])</f>
        <v>3</v>
      </c>
      <c r="C94" s="471" t="s">
        <v>30</v>
      </c>
      <c r="D94" s="472">
        <v>93</v>
      </c>
      <c r="E94" s="472" t="s">
        <v>76</v>
      </c>
      <c r="F94" s="464"/>
      <c r="G94" s="465"/>
      <c r="H94" s="465"/>
      <c r="I94" s="465"/>
      <c r="J94" s="465"/>
      <c r="K94" s="484"/>
      <c r="L94" s="485">
        <f>+(K95-Tabla1[[#This Row],[Lectura Horometro INICIAL (06:00)]])*Tabla1[[#This Row],[CAUDAL DE TRATAMIENTO]]</f>
        <v>0</v>
      </c>
      <c r="M94" s="486">
        <v>80</v>
      </c>
      <c r="N94" s="446">
        <f>F94-F95</f>
        <v>0</v>
      </c>
      <c r="O94" s="446">
        <f t="shared" si="66"/>
        <v>0</v>
      </c>
      <c r="P94" s="446">
        <f t="shared" si="72"/>
        <v>0</v>
      </c>
      <c r="Q94" s="446">
        <f t="shared" si="73"/>
        <v>0</v>
      </c>
      <c r="R94" s="446">
        <f t="shared" si="74"/>
        <v>0</v>
      </c>
      <c r="S94" s="452">
        <f t="shared" si="52"/>
        <v>0</v>
      </c>
      <c r="T94" s="453">
        <f t="shared" si="53"/>
        <v>0</v>
      </c>
      <c r="U94" s="453">
        <f t="shared" si="54"/>
        <v>0</v>
      </c>
      <c r="V94" s="473">
        <f>Tabla1[[#This Row],[CONSUMO POL ANIONICO (KG)]]</f>
        <v>0</v>
      </c>
      <c r="W94" s="447">
        <f>Tabla1[[#This Row],[CONSUMO POL CATIONICO (KG)]]</f>
        <v>0</v>
      </c>
      <c r="X94" s="467" t="e">
        <f t="shared" si="55"/>
        <v>#DIV/0!</v>
      </c>
      <c r="Y94" s="473" t="e">
        <f t="shared" si="56"/>
        <v>#DIV/0!</v>
      </c>
      <c r="Z94" s="473" t="e">
        <f t="shared" si="57"/>
        <v>#DIV/0!</v>
      </c>
      <c r="AA94" s="473" t="e">
        <f t="shared" si="58"/>
        <v>#DIV/0!</v>
      </c>
      <c r="AB94" s="447" t="e">
        <f t="shared" si="59"/>
        <v>#DIV/0!</v>
      </c>
      <c r="AC94" s="454">
        <v>1.3</v>
      </c>
      <c r="AD94" s="454">
        <v>1.325</v>
      </c>
      <c r="AE94" s="454">
        <v>1.25</v>
      </c>
      <c r="AF94" s="455">
        <v>2500</v>
      </c>
      <c r="AG94" s="456">
        <v>2500</v>
      </c>
      <c r="AH94" s="158">
        <v>830</v>
      </c>
      <c r="AI94" s="158">
        <v>2900</v>
      </c>
      <c r="AJ94" s="158">
        <v>6295</v>
      </c>
      <c r="AK94" s="158">
        <v>19050</v>
      </c>
      <c r="AL94" s="158">
        <v>22050</v>
      </c>
      <c r="AM94" s="468">
        <f t="shared" si="60"/>
        <v>0</v>
      </c>
      <c r="AN94" s="474">
        <f t="shared" si="61"/>
        <v>0</v>
      </c>
      <c r="AO94" s="474">
        <f t="shared" si="62"/>
        <v>0</v>
      </c>
      <c r="AP94" s="474">
        <f t="shared" si="63"/>
        <v>0</v>
      </c>
      <c r="AQ94" s="475">
        <f t="shared" si="64"/>
        <v>0</v>
      </c>
      <c r="AR94" s="468">
        <f>SUM(Tabla1[[#This Row],[COSTO OPERATIVO ACIDO]:[COSTO OPERATIVO CATIONICO]])</f>
        <v>0</v>
      </c>
      <c r="AS94" s="474">
        <v>5250</v>
      </c>
      <c r="AT94" s="460" t="e">
        <f t="shared" si="65"/>
        <v>#DIV/0!</v>
      </c>
    </row>
    <row r="95" spans="1:46" ht="14.95" thickBot="1" x14ac:dyDescent="0.3">
      <c r="B95" s="500"/>
      <c r="I95" s="465"/>
      <c r="J95" s="465"/>
      <c r="K95" s="484"/>
      <c r="L95" s="501">
        <f>+(K96-Tabla1[[#This Row],[Lectura Horometro INICIAL (06:00)]])*Tabla1[[#This Row],[CAUDAL DE TRATAMIENTO]]</f>
        <v>0</v>
      </c>
      <c r="M95" s="482">
        <v>80</v>
      </c>
      <c r="N95" s="90">
        <f>F95-F96</f>
        <v>0</v>
      </c>
      <c r="O95" s="90">
        <f>G95-G96</f>
        <v>0</v>
      </c>
      <c r="P95" s="90">
        <f t="shared" si="72"/>
        <v>0</v>
      </c>
      <c r="Q95" s="90">
        <f t="shared" si="73"/>
        <v>0</v>
      </c>
      <c r="R95" s="502">
        <f t="shared" si="74"/>
        <v>0</v>
      </c>
      <c r="S95" s="452">
        <f>(N95*$AC$2)</f>
        <v>0</v>
      </c>
      <c r="T95" s="453">
        <f>(O95*$AD$2)</f>
        <v>0</v>
      </c>
      <c r="U95" s="453">
        <f>(P95*$AE$2)</f>
        <v>0</v>
      </c>
      <c r="V95" s="466">
        <f>Tabla1[[#This Row],[CONSUMO POL ANIONICO (KG)]]</f>
        <v>0</v>
      </c>
      <c r="W95" s="445">
        <f>Tabla1[[#This Row],[CONSUMO POL CATIONICO (KG)]]</f>
        <v>0</v>
      </c>
      <c r="X95" s="503" t="e">
        <f>(S95*1000)/L95</f>
        <v>#DIV/0!</v>
      </c>
      <c r="Y95" s="503" t="e">
        <f>(T95*1000)/L95</f>
        <v>#DIV/0!</v>
      </c>
      <c r="Z95" s="503" t="e">
        <f>(U95*1000)/L95</f>
        <v>#DIV/0!</v>
      </c>
      <c r="AA95" s="503" t="e">
        <f>(V95*1000)/L95</f>
        <v>#DIV/0!</v>
      </c>
      <c r="AB95" s="503" t="e">
        <f>(W95*1000)/L95</f>
        <v>#DIV/0!</v>
      </c>
      <c r="AC95" s="455"/>
      <c r="AD95" s="455"/>
      <c r="AE95" s="455"/>
      <c r="AF95" s="455"/>
      <c r="AG95" s="456"/>
      <c r="AH95" s="158"/>
      <c r="AI95" s="158"/>
      <c r="AJ95" s="158"/>
      <c r="AK95" s="158"/>
      <c r="AL95" s="158"/>
      <c r="AM95" s="504">
        <f>S95*AH95</f>
        <v>0</v>
      </c>
      <c r="AN95" s="504">
        <f>T95*AI95</f>
        <v>0</v>
      </c>
      <c r="AO95" s="504">
        <f>U95*AJ95</f>
        <v>0</v>
      </c>
      <c r="AP95" s="504">
        <f>V95*AK95</f>
        <v>0</v>
      </c>
      <c r="AQ95" s="504">
        <f>W95*AL95</f>
        <v>0</v>
      </c>
      <c r="AR95" s="504">
        <f>SUM(Tabla1[[#This Row],[COSTO OPERATIVO ACIDO]:[COSTO OPERATIVO CATIONICO]])</f>
        <v>0</v>
      </c>
      <c r="AS95" s="460"/>
      <c r="AT95" s="504" t="e">
        <f>AR95/L95</f>
        <v>#DIV/0!</v>
      </c>
    </row>
    <row r="96" spans="1:46" x14ac:dyDescent="0.25">
      <c r="A96" s="39"/>
      <c r="B96" s="178"/>
      <c r="C96" s="38"/>
      <c r="D96" s="67"/>
      <c r="E96" s="67"/>
      <c r="F96" s="411"/>
      <c r="G96" s="411"/>
      <c r="H96" s="411"/>
      <c r="I96" s="411"/>
      <c r="J96" s="411"/>
      <c r="K96" s="74"/>
      <c r="L96" s="425"/>
      <c r="M96" s="425"/>
      <c r="N96" s="38"/>
      <c r="O96" s="38"/>
      <c r="P96" s="38"/>
      <c r="Q96" s="38"/>
      <c r="R96" s="38"/>
      <c r="S96" s="179"/>
      <c r="T96" s="180"/>
      <c r="U96" s="180"/>
      <c r="V96" s="38"/>
      <c r="W96" s="38"/>
      <c r="X96" s="181"/>
      <c r="Y96" s="181"/>
      <c r="Z96" s="181"/>
      <c r="AA96" s="181"/>
      <c r="AB96" s="181"/>
      <c r="AC96" s="182"/>
      <c r="AD96" s="182"/>
      <c r="AE96" s="182"/>
      <c r="AF96" s="182"/>
      <c r="AG96" s="182"/>
      <c r="AH96" s="72"/>
      <c r="AI96" s="72"/>
      <c r="AJ96" s="72"/>
      <c r="AK96" s="72"/>
      <c r="AL96" s="72"/>
      <c r="AM96" s="183"/>
      <c r="AN96" s="183"/>
      <c r="AO96" s="183"/>
      <c r="AP96" s="183"/>
      <c r="AQ96" s="183"/>
      <c r="AR96" s="183">
        <f>SUM(Tabla1[[COSTO QUIMICA ]])</f>
        <v>132880652.5</v>
      </c>
      <c r="AS96" s="183"/>
      <c r="AT96" s="183"/>
    </row>
    <row r="97" spans="1:44" x14ac:dyDescent="0.25">
      <c r="A97" s="39"/>
      <c r="B97" s="39"/>
      <c r="C97" s="38"/>
      <c r="D97" s="67"/>
      <c r="E97" s="67"/>
      <c r="F97" s="412"/>
      <c r="H97" s="412"/>
      <c r="I97" s="412"/>
      <c r="J97" s="412"/>
      <c r="K97" s="74"/>
      <c r="L97" s="425">
        <f>+SUM(L2:L13)</f>
        <v>4350</v>
      </c>
      <c r="M97" s="425"/>
      <c r="N97" s="102">
        <f>+SUM(N2:N88)</f>
        <v>8360</v>
      </c>
      <c r="O97" s="102">
        <f>+SUM(O2:O88)</f>
        <v>17180</v>
      </c>
      <c r="P97" s="102">
        <f>+SUM(P2:P87)</f>
        <v>5510</v>
      </c>
      <c r="Q97" s="102">
        <f>+SUM(Q2:Q87)</f>
        <v>205</v>
      </c>
      <c r="R97" s="102">
        <f>+SUM(R2:R87)</f>
        <v>480</v>
      </c>
      <c r="S97" s="429">
        <f>+SUM(S2:S85)</f>
        <v>10673</v>
      </c>
      <c r="T97" s="429">
        <f t="shared" ref="T97:W97" si="80">+SUM(T2:T85)</f>
        <v>17198.5</v>
      </c>
      <c r="U97" s="429">
        <f t="shared" si="80"/>
        <v>4512.5</v>
      </c>
      <c r="V97" s="429">
        <f t="shared" si="80"/>
        <v>165</v>
      </c>
      <c r="W97" s="429">
        <f t="shared" si="80"/>
        <v>325</v>
      </c>
      <c r="X97" s="68"/>
      <c r="Y97" s="38"/>
      <c r="Z97" s="38"/>
      <c r="AA97" s="38"/>
      <c r="AB97" s="38"/>
      <c r="AM97" s="158">
        <f>+SUM(AM2:AM95)</f>
        <v>9020440</v>
      </c>
      <c r="AN97" s="158">
        <f>+SUM(AN2:AN95)</f>
        <v>66014150</v>
      </c>
      <c r="AO97" s="158">
        <f>+SUM(AO2:AO95)</f>
        <v>43356812.5</v>
      </c>
      <c r="AP97" s="158">
        <f>+SUM(AP2:AP95)</f>
        <v>3905250</v>
      </c>
      <c r="AQ97" s="158">
        <f>+SUM(AQ2:AQ95)</f>
        <v>10584000</v>
      </c>
    </row>
    <row r="98" spans="1:44" x14ac:dyDescent="0.25">
      <c r="A98" s="39"/>
      <c r="B98" s="39"/>
      <c r="C98" s="38"/>
      <c r="D98" s="67"/>
      <c r="E98" s="67"/>
      <c r="F98" s="412"/>
      <c r="G98" s="412"/>
      <c r="H98" s="412"/>
      <c r="I98" s="412"/>
      <c r="J98" s="412"/>
      <c r="K98" s="74"/>
      <c r="L98" s="425">
        <f>+SUM(L2:L13)</f>
        <v>4350</v>
      </c>
      <c r="M98" s="425"/>
      <c r="N98" s="38"/>
      <c r="O98" s="38"/>
      <c r="P98" s="102">
        <f>+MEDIAN(P2:P78)+2000</f>
        <v>2040</v>
      </c>
      <c r="Q98" s="38"/>
      <c r="R98" s="38"/>
      <c r="S98" s="68"/>
      <c r="T98" s="38"/>
      <c r="U98" s="38"/>
      <c r="V98" s="38"/>
      <c r="W98" s="38"/>
      <c r="X98" s="68"/>
      <c r="Y98" s="38"/>
      <c r="Z98" s="38"/>
      <c r="AA98" s="38"/>
      <c r="AB98" s="38"/>
      <c r="AR98" s="158">
        <f>+SUM(AR2:AR85)</f>
        <v>97449927.5</v>
      </c>
    </row>
    <row r="99" spans="1:44" x14ac:dyDescent="0.25">
      <c r="A99" s="39"/>
      <c r="B99" s="39"/>
      <c r="C99" s="38"/>
      <c r="D99" s="67"/>
      <c r="E99" s="67"/>
      <c r="F99" s="412"/>
      <c r="G99" s="412"/>
      <c r="H99" s="412"/>
      <c r="I99" s="412"/>
      <c r="J99" s="412"/>
      <c r="K99" s="74"/>
      <c r="L99" s="414"/>
      <c r="M99" s="414"/>
      <c r="N99" s="38">
        <f>+N97*1.3</f>
        <v>10868</v>
      </c>
      <c r="O99" s="38">
        <f>+O97*1.325</f>
        <v>22763.5</v>
      </c>
      <c r="P99" s="38">
        <f>+P97*1.25</f>
        <v>6887.5</v>
      </c>
      <c r="Q99" s="38"/>
      <c r="R99" s="38"/>
      <c r="S99" s="68"/>
      <c r="T99" s="38"/>
      <c r="U99" s="38"/>
      <c r="V99" s="38"/>
      <c r="W99" s="38"/>
      <c r="X99" s="68"/>
      <c r="Y99" s="38"/>
      <c r="Z99" s="38"/>
      <c r="AA99" s="38"/>
      <c r="AB99" s="38"/>
    </row>
    <row r="100" spans="1:44" x14ac:dyDescent="0.25">
      <c r="S100" s="91">
        <f>+SUM(S2:S82)</f>
        <v>10244</v>
      </c>
      <c r="T100" s="91">
        <f>+SUM(T2:T82)</f>
        <v>16536</v>
      </c>
      <c r="U100" s="91">
        <f>+SUM(U2:U82)</f>
        <v>4275</v>
      </c>
      <c r="V100" s="91">
        <f>+SUM(V2:V82)</f>
        <v>160</v>
      </c>
      <c r="W100" s="91">
        <f>+SUM(W2:W82)</f>
        <v>315</v>
      </c>
    </row>
    <row r="101" spans="1:44" x14ac:dyDescent="0.25">
      <c r="L101" s="1">
        <v>29757</v>
      </c>
    </row>
    <row r="102" spans="1:44" x14ac:dyDescent="0.25">
      <c r="L102" s="433">
        <f>+L98-L101</f>
        <v>-25407</v>
      </c>
      <c r="M102" s="433"/>
      <c r="T102">
        <v>1882</v>
      </c>
    </row>
    <row r="103" spans="1:44" x14ac:dyDescent="0.25">
      <c r="L103" s="1">
        <v>2860</v>
      </c>
      <c r="T103" s="91">
        <f>+SUM(T100:T102)</f>
        <v>18418</v>
      </c>
    </row>
    <row r="104" spans="1:44" x14ac:dyDescent="0.25">
      <c r="L104" s="433">
        <f>+L102-L103</f>
        <v>-28267</v>
      </c>
      <c r="M104" s="433"/>
    </row>
    <row r="105" spans="1:44" x14ac:dyDescent="0.25">
      <c r="A105" t="s">
        <v>217</v>
      </c>
      <c r="B105">
        <v>71</v>
      </c>
    </row>
    <row r="106" spans="1:44" x14ac:dyDescent="0.25">
      <c r="P106">
        <f>80*3</f>
        <v>240</v>
      </c>
    </row>
  </sheetData>
  <protectedRanges>
    <protectedRange sqref="K1:M1" name="Rango1_3_1_1_2"/>
  </protectedRanges>
  <phoneticPr fontId="14" type="noConversion"/>
  <conditionalFormatting sqref="N1:W1048576 AT2:AT95">
    <cfRule type="cellIs" dxfId="105" priority="11" operator="lessThan">
      <formula>0</formula>
    </cfRule>
  </conditionalFormatting>
  <conditionalFormatting sqref="AM2:AQ95">
    <cfRule type="cellIs" dxfId="104" priority="4" operator="lessThan">
      <formula>0</formula>
    </cfRule>
  </conditionalFormatting>
  <conditionalFormatting sqref="AR2:AR3 AR5:AR6 AR8:AR9 AR11:AR12 AR14:AR15 AR17:AR18 AR20:AR21 AR23:AR24 AR26:AR27 AR29:AR30 AR32:AR33 AR35:AR36 AR38:AR39 AR41:AR42 AR44:AR45 AR47:AR48 AR50:AR51 AR53:AR54 AR56:AR57 AR59:AR60 AR62:AR63 AR65:AR66 AR68:AR69 AR71:AR72 AR74:AR75 AR77:AR78 AR80:AR81 AR83:AR84 AR86:AR87 AR89:AR90 AR92:AR93">
    <cfRule type="cellIs" dxfId="103" priority="3" operator="lessThan">
      <formula>0</formula>
    </cfRule>
  </conditionalFormatting>
  <conditionalFormatting sqref="AR4:AS4 AR7:AS7 AR10:AS10 AR13:AS13 AR16:AS16 AR19:AS19 AR22:AS22 AR25:AS25 AR28:AS28 AR31:AS31 AR34:AS34 AR37:AS37 AR40:AS40 AR43:AS43 AR46:AS46 AR49:AS49 AR52:AS52 AR55:AS55 AR58:AS58 AR61:AS61 AR64:AS64 AR67:AS67 AR70:AS70 AR73:AS73 AR76:AS76 AR79:AS79 AR82:AS82 AR85:AS85 AR88:AS88 AR91:AS91 AR94:AS94">
    <cfRule type="cellIs" dxfId="102" priority="2" operator="lessThan">
      <formula>0</formula>
    </cfRule>
  </conditionalFormatting>
  <conditionalFormatting sqref="AS2:AS3 AS5:AS6 AS8:AS9 AS11:AS12 AS14:AS15 AS17:AS18 AS20:AS21 AS23:AS24 AS26:AS27 AS29:AS30 AS32:AS33 AS35:AS36 AS38:AS39 AS41:AS42 AS44:AS45 AS47:AS48 AS50:AS51 AS53:AS54 AS56:AS57 AS59:AS60 AS62:AS63 AS65:AS66 AS68:AS69 AS71:AS72 AS74:AS75 AS77:AS78 AS80:AS81 AS83:AS84 AS86:AS87 AS89:AS90 AS92:AS93">
    <cfRule type="cellIs" dxfId="101" priority="1" operator="lessThan">
      <formula>0</formula>
    </cfRule>
  </conditionalFormatting>
  <conditionalFormatting sqref="AT1:AT1048576">
    <cfRule type="cellIs" dxfId="100" priority="6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AO93"/>
  <sheetViews>
    <sheetView topLeftCell="A40" zoomScale="55" zoomScaleNormal="55" workbookViewId="0">
      <selection activeCell="F64" sqref="F64"/>
    </sheetView>
  </sheetViews>
  <sheetFormatPr baseColWidth="10" defaultRowHeight="14.3" x14ac:dyDescent="0.25"/>
  <cols>
    <col min="1" max="1" width="60" style="172" customWidth="1"/>
    <col min="2" max="2" width="49.875" style="172" customWidth="1"/>
    <col min="3" max="4" width="30.375" style="172" customWidth="1"/>
    <col min="5" max="6" width="60" style="172" customWidth="1"/>
    <col min="7" max="7" width="31.875" style="172" customWidth="1"/>
    <col min="8" max="8" width="23.75" style="172" customWidth="1"/>
    <col min="9" max="10" width="60" style="172" customWidth="1"/>
    <col min="11" max="11" width="11.375" customWidth="1"/>
    <col min="12" max="12" width="18.75" bestFit="1" customWidth="1"/>
    <col min="13" max="13" width="22" bestFit="1" customWidth="1"/>
    <col min="14" max="15" width="21" bestFit="1" customWidth="1"/>
    <col min="16" max="16" width="16.5" bestFit="1" customWidth="1"/>
    <col min="17" max="17" width="21" bestFit="1" customWidth="1"/>
    <col min="18" max="18" width="21.75" bestFit="1" customWidth="1"/>
    <col min="19" max="19" width="11.375" customWidth="1"/>
    <col min="20" max="20" width="11.375" style="173"/>
    <col min="21" max="21" width="17.125" style="174" bestFit="1" customWidth="1"/>
    <col min="22" max="22" width="22.625" style="174" bestFit="1" customWidth="1"/>
    <col min="23" max="23" width="17.375" style="175" bestFit="1" customWidth="1"/>
    <col min="24" max="25" width="13.25" style="175" bestFit="1" customWidth="1"/>
    <col min="26" max="26" width="12.875" style="173" bestFit="1" customWidth="1"/>
    <col min="27" max="27" width="16.75" bestFit="1" customWidth="1"/>
    <col min="28" max="28" width="24.25" bestFit="1" customWidth="1"/>
    <col min="29" max="29" width="18.625" bestFit="1" customWidth="1"/>
    <col min="30" max="30" width="29" style="357" customWidth="1"/>
    <col min="31" max="32" width="12.875" style="173" bestFit="1" customWidth="1"/>
    <col min="34" max="34" width="15.125" customWidth="1"/>
    <col min="35" max="39" width="17.125" customWidth="1"/>
    <col min="40" max="41" width="12.875" style="173" bestFit="1" customWidth="1"/>
  </cols>
  <sheetData>
    <row r="1" spans="1:39" ht="28.55" customHeight="1" x14ac:dyDescent="0.25">
      <c r="A1" s="554" t="s">
        <v>116</v>
      </c>
      <c r="B1" s="554"/>
      <c r="C1" s="554"/>
      <c r="D1" s="554"/>
      <c r="E1" s="554"/>
      <c r="F1" s="554"/>
      <c r="G1" s="554"/>
      <c r="H1" s="554"/>
      <c r="I1" s="554"/>
      <c r="J1" s="554"/>
      <c r="K1" s="173"/>
      <c r="L1" s="173"/>
      <c r="M1" s="551" t="s">
        <v>126</v>
      </c>
      <c r="N1" s="551"/>
      <c r="O1" s="551"/>
      <c r="P1" s="551"/>
      <c r="Q1" s="551"/>
      <c r="R1" s="173"/>
      <c r="S1" s="173"/>
      <c r="U1" s="551" t="s">
        <v>184</v>
      </c>
      <c r="V1" s="551"/>
      <c r="W1" s="551"/>
      <c r="X1" s="551"/>
      <c r="Y1" s="173"/>
      <c r="AA1" s="551" t="s">
        <v>185</v>
      </c>
      <c r="AB1" s="551"/>
      <c r="AC1" s="551"/>
      <c r="AD1" s="551"/>
      <c r="AG1" s="551" t="s">
        <v>202</v>
      </c>
      <c r="AH1" s="551"/>
      <c r="AI1" s="551"/>
      <c r="AJ1" s="551"/>
      <c r="AK1" s="551"/>
      <c r="AL1" s="551"/>
      <c r="AM1" s="551"/>
    </row>
    <row r="2" spans="1:39" ht="25.85" x14ac:dyDescent="0.45">
      <c r="A2" s="360" t="s">
        <v>125</v>
      </c>
      <c r="K2" s="173"/>
      <c r="L2" s="173"/>
      <c r="M2" s="173"/>
      <c r="N2" s="173"/>
      <c r="O2" s="173"/>
      <c r="P2" s="173"/>
      <c r="Q2" s="173"/>
      <c r="R2" s="173"/>
      <c r="S2" s="173"/>
      <c r="AA2" s="174"/>
      <c r="AB2" s="174"/>
      <c r="AC2" s="175"/>
      <c r="AD2" s="175"/>
      <c r="AE2" s="173" t="s">
        <v>186</v>
      </c>
      <c r="AG2" s="174"/>
      <c r="AH2" s="174"/>
      <c r="AI2" s="175"/>
      <c r="AJ2" s="175"/>
      <c r="AK2" s="173"/>
      <c r="AL2" s="173"/>
      <c r="AM2" s="175"/>
    </row>
    <row r="3" spans="1:39" ht="21.1" x14ac:dyDescent="0.25">
      <c r="B3" s="553" t="s">
        <v>203</v>
      </c>
      <c r="C3" s="553"/>
      <c r="K3" s="173"/>
      <c r="L3" s="173"/>
      <c r="M3" s="173"/>
      <c r="N3" s="173"/>
      <c r="O3" s="173"/>
      <c r="P3" s="173"/>
      <c r="Q3" s="173"/>
      <c r="R3" s="173"/>
      <c r="S3" s="173"/>
      <c r="AA3" s="174"/>
      <c r="AB3" s="174"/>
      <c r="AC3" s="175"/>
      <c r="AD3" s="175"/>
      <c r="AG3" s="174"/>
      <c r="AH3" s="174"/>
      <c r="AI3" s="175"/>
      <c r="AJ3" s="175"/>
      <c r="AK3" s="173"/>
      <c r="AL3" s="173"/>
      <c r="AM3" s="175"/>
    </row>
    <row r="4" spans="1:39" ht="42.8" x14ac:dyDescent="0.25">
      <c r="K4" s="173"/>
      <c r="L4" s="189" t="s">
        <v>27</v>
      </c>
      <c r="M4" s="359" t="s">
        <v>78</v>
      </c>
      <c r="N4" s="383" t="s">
        <v>169</v>
      </c>
      <c r="O4" s="383" t="s">
        <v>170</v>
      </c>
      <c r="P4" s="383" t="s">
        <v>171</v>
      </c>
      <c r="Q4" s="383" t="s">
        <v>172</v>
      </c>
      <c r="R4" s="383" t="s">
        <v>173</v>
      </c>
      <c r="S4" s="173"/>
      <c r="U4" s="176" t="s">
        <v>79</v>
      </c>
      <c r="V4" s="356" t="s">
        <v>117</v>
      </c>
      <c r="W4" s="356" t="s">
        <v>118</v>
      </c>
      <c r="X4" s="358" t="s">
        <v>216</v>
      </c>
      <c r="Y4" s="358" t="s">
        <v>215</v>
      </c>
      <c r="AA4" s="332" t="s">
        <v>183</v>
      </c>
      <c r="AB4" t="s">
        <v>180</v>
      </c>
      <c r="AC4" t="s">
        <v>181</v>
      </c>
      <c r="AD4" t="s">
        <v>182</v>
      </c>
      <c r="AG4" s="378" t="s">
        <v>183</v>
      </c>
      <c r="AH4" s="496" t="s">
        <v>180</v>
      </c>
      <c r="AI4" s="496" t="s">
        <v>198</v>
      </c>
      <c r="AJ4" s="496" t="s">
        <v>199</v>
      </c>
      <c r="AK4" s="496" t="s">
        <v>200</v>
      </c>
      <c r="AL4" s="496" t="s">
        <v>201</v>
      </c>
    </row>
    <row r="5" spans="1:39" ht="23.8" x14ac:dyDescent="0.25">
      <c r="K5" s="173"/>
      <c r="L5" s="490" t="s">
        <v>301</v>
      </c>
      <c r="M5" s="493">
        <v>0</v>
      </c>
      <c r="N5" s="493">
        <v>0</v>
      </c>
      <c r="O5" s="493">
        <v>0</v>
      </c>
      <c r="P5" s="493">
        <v>0</v>
      </c>
      <c r="Q5" s="493">
        <v>0</v>
      </c>
      <c r="R5" s="493">
        <v>0</v>
      </c>
      <c r="S5" s="173"/>
      <c r="U5" s="492">
        <v>1</v>
      </c>
      <c r="V5" s="493">
        <v>0</v>
      </c>
      <c r="W5" s="493">
        <v>0</v>
      </c>
      <c r="X5" s="423">
        <v>5250</v>
      </c>
      <c r="Y5" s="424">
        <v>4909</v>
      </c>
      <c r="AA5" s="381">
        <v>1</v>
      </c>
      <c r="AB5">
        <v>0</v>
      </c>
      <c r="AC5" s="382">
        <v>1000</v>
      </c>
      <c r="AD5" s="73">
        <v>0</v>
      </c>
      <c r="AG5" s="379">
        <v>1</v>
      </c>
      <c r="AH5" s="380">
        <v>0</v>
      </c>
      <c r="AI5" s="380">
        <v>0</v>
      </c>
      <c r="AJ5" s="380">
        <v>0</v>
      </c>
      <c r="AK5" s="380">
        <v>0</v>
      </c>
      <c r="AL5" s="380">
        <v>0</v>
      </c>
    </row>
    <row r="6" spans="1:39" ht="23.8" x14ac:dyDescent="0.25">
      <c r="K6" s="173"/>
      <c r="L6" s="188">
        <v>46054</v>
      </c>
      <c r="M6" s="493">
        <v>0</v>
      </c>
      <c r="N6" s="493">
        <v>0</v>
      </c>
      <c r="O6" s="493">
        <v>0</v>
      </c>
      <c r="P6" s="493">
        <v>0</v>
      </c>
      <c r="Q6" s="493">
        <v>0</v>
      </c>
      <c r="R6" s="493">
        <v>0</v>
      </c>
      <c r="S6" s="173"/>
      <c r="U6" s="492">
        <v>2</v>
      </c>
      <c r="V6" s="493">
        <v>1125</v>
      </c>
      <c r="W6" s="493">
        <v>4748.1533333333336</v>
      </c>
      <c r="X6" s="423">
        <v>5250</v>
      </c>
      <c r="Y6" s="424">
        <v>4909</v>
      </c>
      <c r="AA6" s="381">
        <v>2</v>
      </c>
      <c r="AB6">
        <v>837.58400000000006</v>
      </c>
      <c r="AC6" s="382">
        <v>1000</v>
      </c>
      <c r="AD6" s="73">
        <v>0</v>
      </c>
      <c r="AG6" s="379">
        <v>2</v>
      </c>
      <c r="AH6" s="380">
        <v>837.58400000000006</v>
      </c>
      <c r="AI6" s="380">
        <v>0</v>
      </c>
      <c r="AJ6" s="380">
        <v>0</v>
      </c>
      <c r="AK6" s="380">
        <v>0</v>
      </c>
      <c r="AL6" s="380">
        <v>0</v>
      </c>
    </row>
    <row r="7" spans="1:39" ht="23.8" x14ac:dyDescent="0.25">
      <c r="K7" s="173"/>
      <c r="L7" s="188">
        <v>46055</v>
      </c>
      <c r="M7" s="493">
        <v>1125</v>
      </c>
      <c r="N7" s="493">
        <v>965.77777777777783</v>
      </c>
      <c r="O7" s="493">
        <v>188.88888888888889</v>
      </c>
      <c r="P7" s="493">
        <v>508.44444444444446</v>
      </c>
      <c r="Q7" s="493">
        <v>2.2222222222222223</v>
      </c>
      <c r="R7" s="493">
        <v>13.333333333333334</v>
      </c>
      <c r="S7" s="173"/>
      <c r="U7" s="492">
        <v>3</v>
      </c>
      <c r="V7" s="493">
        <v>1650</v>
      </c>
      <c r="W7" s="493">
        <v>3732.7651515151515</v>
      </c>
      <c r="X7" s="423">
        <v>5250</v>
      </c>
      <c r="Y7" s="424">
        <v>4909</v>
      </c>
      <c r="AA7" s="381">
        <v>3</v>
      </c>
      <c r="AB7">
        <v>1099.6590000000001</v>
      </c>
      <c r="AC7" s="382">
        <v>1000</v>
      </c>
      <c r="AD7" s="73">
        <v>436.75388174161736</v>
      </c>
      <c r="AG7" s="379">
        <v>3</v>
      </c>
      <c r="AH7" s="380">
        <v>1099.6590000000001</v>
      </c>
      <c r="AI7" s="380">
        <v>0</v>
      </c>
      <c r="AJ7" s="380">
        <v>173.57853023751559</v>
      </c>
      <c r="AK7" s="380">
        <v>248.88098085526127</v>
      </c>
      <c r="AL7" s="380">
        <v>0</v>
      </c>
    </row>
    <row r="8" spans="1:39" ht="23.8" x14ac:dyDescent="0.25">
      <c r="K8" s="173"/>
      <c r="L8" s="188">
        <v>46056</v>
      </c>
      <c r="M8" s="493">
        <v>1650</v>
      </c>
      <c r="N8" s="493">
        <v>610.30303030303025</v>
      </c>
      <c r="O8" s="493">
        <v>219.69696969696969</v>
      </c>
      <c r="P8" s="493">
        <v>433.33333333333331</v>
      </c>
      <c r="Q8" s="493">
        <v>4.5454545454545459</v>
      </c>
      <c r="R8" s="493">
        <v>6.0606060606060606</v>
      </c>
      <c r="S8" s="173"/>
      <c r="U8" s="492">
        <v>4</v>
      </c>
      <c r="V8" s="493">
        <v>1575</v>
      </c>
      <c r="W8" s="493">
        <v>3747.9793650793649</v>
      </c>
      <c r="X8" s="423">
        <v>5250</v>
      </c>
      <c r="Y8" s="424">
        <v>4909</v>
      </c>
      <c r="AA8" s="381">
        <v>4</v>
      </c>
      <c r="AB8">
        <v>697.48299999999995</v>
      </c>
      <c r="AC8" s="382">
        <v>1000</v>
      </c>
      <c r="AD8" s="73">
        <v>183.25447962248009</v>
      </c>
      <c r="AG8" s="379">
        <v>4</v>
      </c>
      <c r="AH8" s="380">
        <v>697.48299999999995</v>
      </c>
      <c r="AI8" s="380">
        <v>0</v>
      </c>
      <c r="AJ8" s="380">
        <v>64.391936006690329</v>
      </c>
      <c r="AK8" s="380">
        <v>105.64302001097629</v>
      </c>
      <c r="AL8" s="380">
        <v>0</v>
      </c>
    </row>
    <row r="9" spans="1:39" ht="23.8" x14ac:dyDescent="0.25">
      <c r="K9" s="173"/>
      <c r="L9" s="188">
        <v>46057</v>
      </c>
      <c r="M9" s="493">
        <v>1575</v>
      </c>
      <c r="N9" s="493">
        <v>656.19047619047615</v>
      </c>
      <c r="O9" s="493">
        <v>198.4126984126984</v>
      </c>
      <c r="P9" s="493">
        <v>718.09523809523807</v>
      </c>
      <c r="Q9" s="493">
        <v>0</v>
      </c>
      <c r="R9" s="493">
        <v>0</v>
      </c>
      <c r="S9" s="173"/>
      <c r="U9" s="492">
        <v>5</v>
      </c>
      <c r="V9" s="493">
        <v>1500</v>
      </c>
      <c r="W9" s="493">
        <v>2896.65</v>
      </c>
      <c r="X9" s="423">
        <v>5250</v>
      </c>
      <c r="Y9" s="424">
        <v>4909</v>
      </c>
      <c r="AA9" s="381">
        <v>5</v>
      </c>
      <c r="AB9">
        <v>891.00900000000001</v>
      </c>
      <c r="AC9" s="382">
        <v>1000</v>
      </c>
      <c r="AD9" s="73">
        <v>210.68449955405379</v>
      </c>
      <c r="AG9" s="379">
        <v>5</v>
      </c>
      <c r="AH9" s="380">
        <v>891.00900000000001</v>
      </c>
      <c r="AI9" s="380">
        <v>0</v>
      </c>
      <c r="AJ9" s="380">
        <v>97.031725101404334</v>
      </c>
      <c r="AK9" s="380">
        <v>118.13927569164494</v>
      </c>
      <c r="AL9" s="380">
        <v>0</v>
      </c>
    </row>
    <row r="10" spans="1:39" ht="23.8" x14ac:dyDescent="0.25">
      <c r="K10" s="173"/>
      <c r="L10" s="188">
        <v>46058</v>
      </c>
      <c r="M10" s="493">
        <v>1500</v>
      </c>
      <c r="N10" s="493">
        <v>468.16666666666669</v>
      </c>
      <c r="O10" s="493">
        <v>166.66666666666666</v>
      </c>
      <c r="P10" s="493">
        <v>260</v>
      </c>
      <c r="Q10" s="493">
        <v>6.666666666666667</v>
      </c>
      <c r="R10" s="493">
        <v>6.666666666666667</v>
      </c>
      <c r="S10" s="173"/>
      <c r="U10" s="492">
        <v>6</v>
      </c>
      <c r="V10" s="493">
        <v>1350</v>
      </c>
      <c r="W10" s="493">
        <v>4029.6759259259261</v>
      </c>
      <c r="X10" s="423">
        <v>5250</v>
      </c>
      <c r="Y10" s="424">
        <v>4909</v>
      </c>
      <c r="AA10" s="381">
        <v>6</v>
      </c>
      <c r="AB10">
        <v>940.07600000000002</v>
      </c>
      <c r="AC10" s="382">
        <v>1000</v>
      </c>
      <c r="AD10" s="73">
        <v>136.59339883158378</v>
      </c>
      <c r="AG10" s="379">
        <v>6</v>
      </c>
      <c r="AH10" s="380">
        <v>940.07600000000002</v>
      </c>
      <c r="AI10" s="380">
        <v>0</v>
      </c>
      <c r="AJ10" s="380">
        <v>95.550318701369662</v>
      </c>
      <c r="AK10" s="380">
        <v>71.886685085483535</v>
      </c>
      <c r="AL10" s="380">
        <v>0</v>
      </c>
    </row>
    <row r="11" spans="1:39" ht="23.8" x14ac:dyDescent="0.25">
      <c r="K11" s="173"/>
      <c r="L11" s="188">
        <v>46059</v>
      </c>
      <c r="M11" s="493">
        <v>1350</v>
      </c>
      <c r="N11" s="493">
        <v>775.37037037037032</v>
      </c>
      <c r="O11" s="493">
        <v>194.44444444444446</v>
      </c>
      <c r="P11" s="493">
        <v>192.59259259259258</v>
      </c>
      <c r="Q11" s="493">
        <v>3.7037037037037037</v>
      </c>
      <c r="R11" s="493">
        <v>14.814814814814815</v>
      </c>
      <c r="S11" s="173"/>
      <c r="U11" s="492">
        <v>7</v>
      </c>
      <c r="V11" s="493">
        <v>900</v>
      </c>
      <c r="W11" s="493">
        <v>3415.6944444444443</v>
      </c>
      <c r="X11" s="423">
        <v>5250</v>
      </c>
      <c r="Y11" s="424">
        <v>4909</v>
      </c>
      <c r="AA11" s="381">
        <v>7</v>
      </c>
      <c r="AB11">
        <v>0</v>
      </c>
      <c r="AC11" s="382">
        <v>1000</v>
      </c>
      <c r="AD11" s="73">
        <v>0</v>
      </c>
      <c r="AG11" s="379">
        <v>7</v>
      </c>
      <c r="AH11" s="380">
        <v>0</v>
      </c>
      <c r="AI11" s="380">
        <v>0</v>
      </c>
      <c r="AJ11" s="380">
        <v>0</v>
      </c>
      <c r="AK11" s="380">
        <v>0</v>
      </c>
      <c r="AL11" s="380">
        <v>0</v>
      </c>
    </row>
    <row r="12" spans="1:39" ht="23.8" x14ac:dyDescent="0.25">
      <c r="K12" s="173"/>
      <c r="L12" s="188">
        <v>46060</v>
      </c>
      <c r="M12" s="493">
        <v>900</v>
      </c>
      <c r="N12" s="493">
        <v>736.11111111111109</v>
      </c>
      <c r="O12" s="493">
        <v>83.333333333333329</v>
      </c>
      <c r="P12" s="493">
        <v>361.11111111111109</v>
      </c>
      <c r="Q12" s="493">
        <v>11.111111111111111</v>
      </c>
      <c r="R12" s="493">
        <v>11.111111111111111</v>
      </c>
      <c r="S12" s="173"/>
      <c r="U12" s="492">
        <v>8</v>
      </c>
      <c r="V12" s="493">
        <v>0</v>
      </c>
      <c r="W12" s="493">
        <v>0</v>
      </c>
      <c r="X12" s="423">
        <v>5250</v>
      </c>
      <c r="Y12" s="424">
        <v>4909</v>
      </c>
      <c r="AA12" s="381">
        <v>8</v>
      </c>
      <c r="AB12">
        <v>0</v>
      </c>
      <c r="AC12" s="382">
        <v>1000</v>
      </c>
      <c r="AD12" s="73">
        <v>0</v>
      </c>
      <c r="AG12" s="379">
        <v>8</v>
      </c>
      <c r="AH12" s="380">
        <v>0</v>
      </c>
      <c r="AI12" s="380">
        <v>0</v>
      </c>
      <c r="AJ12" s="380">
        <v>0</v>
      </c>
      <c r="AK12" s="380">
        <v>0</v>
      </c>
      <c r="AL12" s="380">
        <v>0</v>
      </c>
    </row>
    <row r="13" spans="1:39" ht="23.8" x14ac:dyDescent="0.25">
      <c r="K13" s="173"/>
      <c r="L13" s="188">
        <v>46061</v>
      </c>
      <c r="M13" s="493">
        <v>0</v>
      </c>
      <c r="N13" s="493">
        <v>0</v>
      </c>
      <c r="O13" s="493">
        <v>0</v>
      </c>
      <c r="P13" s="493">
        <v>0</v>
      </c>
      <c r="Q13" s="493">
        <v>0</v>
      </c>
      <c r="R13" s="493">
        <v>0</v>
      </c>
      <c r="S13" s="173"/>
      <c r="U13" s="492">
        <v>9</v>
      </c>
      <c r="V13" s="493">
        <v>1350</v>
      </c>
      <c r="W13" s="493">
        <v>3314.4259259259261</v>
      </c>
      <c r="X13" s="423">
        <v>5250</v>
      </c>
      <c r="Y13" s="424">
        <v>4909</v>
      </c>
      <c r="AA13" s="381">
        <v>9</v>
      </c>
      <c r="AB13">
        <v>257</v>
      </c>
      <c r="AC13" s="382">
        <v>1000</v>
      </c>
      <c r="AD13" s="73">
        <v>681.20797870161755</v>
      </c>
      <c r="AG13" s="379">
        <v>9</v>
      </c>
      <c r="AH13" s="380">
        <v>257</v>
      </c>
      <c r="AI13" s="380">
        <v>0</v>
      </c>
      <c r="AJ13" s="380">
        <v>235.92054065123889</v>
      </c>
      <c r="AK13" s="380">
        <v>393.20090108539813</v>
      </c>
      <c r="AL13" s="380">
        <v>0</v>
      </c>
    </row>
    <row r="14" spans="1:39" ht="23.8" x14ac:dyDescent="0.25">
      <c r="K14" s="173"/>
      <c r="L14" s="188">
        <v>46062</v>
      </c>
      <c r="M14" s="493">
        <v>1350</v>
      </c>
      <c r="N14" s="493">
        <v>687.03703703703707</v>
      </c>
      <c r="O14" s="493">
        <v>129.62962962962962</v>
      </c>
      <c r="P14" s="493">
        <v>144.44444444444446</v>
      </c>
      <c r="Q14" s="493">
        <v>7.4074074074074074</v>
      </c>
      <c r="R14" s="493">
        <v>11.111111111111111</v>
      </c>
      <c r="S14" s="173"/>
      <c r="U14" s="492">
        <v>10</v>
      </c>
      <c r="V14" s="493">
        <v>1425</v>
      </c>
      <c r="W14" s="493">
        <v>1834.9859649122807</v>
      </c>
      <c r="X14" s="423">
        <v>5250</v>
      </c>
      <c r="Y14" s="424">
        <v>4909</v>
      </c>
      <c r="AA14" s="381">
        <v>10</v>
      </c>
      <c r="AB14">
        <v>758.19399999999996</v>
      </c>
      <c r="AC14" s="382">
        <v>1000</v>
      </c>
      <c r="AD14" s="73">
        <v>98.763890869202683</v>
      </c>
      <c r="AG14" s="379">
        <v>10</v>
      </c>
      <c r="AH14" s="380">
        <v>758.19399999999996</v>
      </c>
      <c r="AI14" s="380">
        <v>0</v>
      </c>
      <c r="AJ14" s="380">
        <v>44.426901988561937</v>
      </c>
      <c r="AK14" s="380">
        <v>55.533627485702574</v>
      </c>
      <c r="AL14" s="380">
        <v>0</v>
      </c>
    </row>
    <row r="15" spans="1:39" ht="23.8" x14ac:dyDescent="0.25">
      <c r="K15" s="173"/>
      <c r="L15" s="188">
        <v>46063</v>
      </c>
      <c r="M15" s="493">
        <v>1425</v>
      </c>
      <c r="N15" s="493">
        <v>306.84210526315792</v>
      </c>
      <c r="O15" s="493">
        <v>70.175438596491233</v>
      </c>
      <c r="P15" s="493">
        <v>246.31578947368422</v>
      </c>
      <c r="Q15" s="493">
        <v>3.5087719298245612</v>
      </c>
      <c r="R15" s="493">
        <v>10.526315789473685</v>
      </c>
      <c r="S15" s="173"/>
      <c r="U15" s="492">
        <v>11</v>
      </c>
      <c r="V15" s="493">
        <v>1275</v>
      </c>
      <c r="W15" s="493">
        <v>2305.9705882352941</v>
      </c>
      <c r="X15" s="423">
        <v>5250</v>
      </c>
      <c r="Y15" s="424">
        <v>4909</v>
      </c>
      <c r="AA15" s="381">
        <v>11</v>
      </c>
      <c r="AB15">
        <v>547.27200000000005</v>
      </c>
      <c r="AC15" s="382">
        <v>1000</v>
      </c>
      <c r="AD15" s="73">
        <v>434.07000156181346</v>
      </c>
      <c r="AG15" s="379">
        <v>11</v>
      </c>
      <c r="AH15" s="380">
        <v>547.27200000000005</v>
      </c>
      <c r="AI15" s="380">
        <v>0</v>
      </c>
      <c r="AJ15" s="380">
        <v>287.2300838634909</v>
      </c>
      <c r="AK15" s="380">
        <v>230.80988881887646</v>
      </c>
      <c r="AL15" s="380">
        <v>0</v>
      </c>
    </row>
    <row r="16" spans="1:39" ht="23.8" x14ac:dyDescent="0.25">
      <c r="K16" s="173"/>
      <c r="L16" s="188">
        <v>46064</v>
      </c>
      <c r="M16" s="493">
        <v>1275</v>
      </c>
      <c r="N16" s="493">
        <v>332.54901960784315</v>
      </c>
      <c r="O16" s="493">
        <v>107.84313725490196</v>
      </c>
      <c r="P16" s="493">
        <v>305.88235294117646</v>
      </c>
      <c r="Q16" s="493">
        <v>7.8431372549019605</v>
      </c>
      <c r="R16" s="493">
        <v>11.764705882352942</v>
      </c>
      <c r="S16" s="173"/>
      <c r="U16" s="492">
        <v>12</v>
      </c>
      <c r="V16" s="493">
        <v>1200</v>
      </c>
      <c r="W16" s="493">
        <v>2339.7979166666669</v>
      </c>
      <c r="X16" s="423">
        <v>5250</v>
      </c>
      <c r="Y16" s="424">
        <v>4909</v>
      </c>
      <c r="AA16" s="381">
        <v>12</v>
      </c>
      <c r="AB16">
        <v>859.35299999999995</v>
      </c>
      <c r="AC16" s="382">
        <v>1000</v>
      </c>
      <c r="AD16" s="73">
        <v>214.8677724312422</v>
      </c>
      <c r="AG16" s="379">
        <v>12</v>
      </c>
      <c r="AH16" s="380">
        <v>859.35299999999995</v>
      </c>
      <c r="AI16" s="380">
        <v>0</v>
      </c>
      <c r="AJ16" s="380">
        <v>134.31565538667905</v>
      </c>
      <c r="AK16" s="380">
        <v>115.38668595657677</v>
      </c>
      <c r="AL16" s="380">
        <v>0</v>
      </c>
    </row>
    <row r="17" spans="2:38" ht="23.8" x14ac:dyDescent="0.25">
      <c r="K17" s="173"/>
      <c r="L17" s="188">
        <v>46065</v>
      </c>
      <c r="M17" s="493">
        <v>1200</v>
      </c>
      <c r="N17" s="493">
        <v>441.66666666666669</v>
      </c>
      <c r="O17" s="493">
        <v>52.083333333333336</v>
      </c>
      <c r="P17" s="493">
        <v>357.5</v>
      </c>
      <c r="Q17" s="493">
        <v>8.3333333333333339</v>
      </c>
      <c r="R17" s="493">
        <v>12.5</v>
      </c>
      <c r="S17" s="173"/>
      <c r="U17" s="492">
        <v>13</v>
      </c>
      <c r="V17" s="493">
        <v>1125</v>
      </c>
      <c r="W17" s="493">
        <v>3432.9355555555558</v>
      </c>
      <c r="X17" s="423">
        <v>5250</v>
      </c>
      <c r="Y17" s="424">
        <v>4909</v>
      </c>
      <c r="AA17" s="381">
        <v>13</v>
      </c>
      <c r="AB17">
        <v>651.49399999999991</v>
      </c>
      <c r="AC17" s="382">
        <v>1000</v>
      </c>
      <c r="AD17" s="73">
        <v>269.49051354514233</v>
      </c>
      <c r="AG17" s="379">
        <v>13</v>
      </c>
      <c r="AH17" s="380">
        <v>651.49399999999991</v>
      </c>
      <c r="AI17" s="380">
        <v>0</v>
      </c>
      <c r="AJ17" s="380">
        <v>499.79590769480495</v>
      </c>
      <c r="AK17" s="380">
        <v>96.94317175114756</v>
      </c>
      <c r="AL17" s="380">
        <v>0</v>
      </c>
    </row>
    <row r="18" spans="2:38" ht="23.8" x14ac:dyDescent="0.25">
      <c r="K18" s="173"/>
      <c r="L18" s="188">
        <v>46066</v>
      </c>
      <c r="M18" s="493">
        <v>1125</v>
      </c>
      <c r="N18" s="493">
        <v>588.88888888888891</v>
      </c>
      <c r="O18" s="493">
        <v>166.66666666666666</v>
      </c>
      <c r="P18" s="493">
        <v>358.22222222222223</v>
      </c>
      <c r="Q18" s="493">
        <v>4.4444444444444446</v>
      </c>
      <c r="R18" s="493">
        <v>13.333333333333334</v>
      </c>
      <c r="S18" s="173"/>
      <c r="U18" s="492">
        <v>14</v>
      </c>
      <c r="V18" s="493">
        <v>1125</v>
      </c>
      <c r="W18" s="493">
        <v>2265.1644444444446</v>
      </c>
      <c r="X18" s="423">
        <v>5250</v>
      </c>
      <c r="Y18" s="424">
        <v>4909</v>
      </c>
      <c r="AA18" s="381">
        <v>14</v>
      </c>
      <c r="AB18">
        <v>471.83499999999998</v>
      </c>
      <c r="AC18" s="382">
        <v>1000</v>
      </c>
      <c r="AD18" s="73">
        <v>164.94148478532586</v>
      </c>
      <c r="AG18" s="379">
        <v>14</v>
      </c>
      <c r="AH18" s="380">
        <v>471.83499999999998</v>
      </c>
      <c r="AI18" s="380">
        <v>0</v>
      </c>
      <c r="AJ18" s="380">
        <v>98.517936410643287</v>
      </c>
      <c r="AK18" s="380">
        <v>89.237261241524564</v>
      </c>
      <c r="AL18" s="380">
        <v>0</v>
      </c>
    </row>
    <row r="19" spans="2:38" ht="23.8" x14ac:dyDescent="0.25">
      <c r="K19" s="173"/>
      <c r="L19" s="188">
        <v>46067</v>
      </c>
      <c r="M19" s="493">
        <v>1125</v>
      </c>
      <c r="N19" s="493">
        <v>577.11111111111109</v>
      </c>
      <c r="O19" s="493">
        <v>22.222222222222221</v>
      </c>
      <c r="P19" s="493">
        <v>104</v>
      </c>
      <c r="Q19" s="493">
        <v>8.8888888888888893</v>
      </c>
      <c r="R19" s="493">
        <v>8.8888888888888893</v>
      </c>
      <c r="S19" s="173"/>
      <c r="U19" s="492">
        <v>15</v>
      </c>
      <c r="V19" s="493">
        <v>0</v>
      </c>
      <c r="W19" s="493">
        <v>0</v>
      </c>
      <c r="X19" s="423">
        <v>5250</v>
      </c>
      <c r="Y19" s="424">
        <v>4909</v>
      </c>
      <c r="AA19" s="381">
        <v>15</v>
      </c>
      <c r="AB19">
        <v>0</v>
      </c>
      <c r="AC19" s="382">
        <v>1000</v>
      </c>
      <c r="AD19" s="73">
        <v>0</v>
      </c>
      <c r="AG19" s="379">
        <v>15</v>
      </c>
      <c r="AH19" s="380">
        <v>0</v>
      </c>
      <c r="AI19" s="380">
        <v>0</v>
      </c>
      <c r="AJ19" s="380">
        <v>0</v>
      </c>
      <c r="AK19" s="380">
        <v>0</v>
      </c>
      <c r="AL19" s="380">
        <v>0</v>
      </c>
    </row>
    <row r="20" spans="2:38" ht="23.8" x14ac:dyDescent="0.25">
      <c r="K20" s="173"/>
      <c r="L20" s="188">
        <v>46068</v>
      </c>
      <c r="M20" s="493">
        <v>0</v>
      </c>
      <c r="N20" s="493">
        <v>0</v>
      </c>
      <c r="O20" s="493">
        <v>0</v>
      </c>
      <c r="P20" s="493">
        <v>0</v>
      </c>
      <c r="Q20" s="493">
        <v>0</v>
      </c>
      <c r="R20" s="493">
        <v>0</v>
      </c>
      <c r="S20" s="173"/>
      <c r="U20" s="492">
        <v>16</v>
      </c>
      <c r="V20" s="493">
        <v>1440</v>
      </c>
      <c r="W20" s="493">
        <v>3873.9756944444443</v>
      </c>
      <c r="X20" s="423">
        <v>5250</v>
      </c>
      <c r="Y20" s="424">
        <v>4909</v>
      </c>
      <c r="AA20" s="381">
        <v>16</v>
      </c>
      <c r="AB20">
        <v>738.94299999999998</v>
      </c>
      <c r="AC20" s="382">
        <v>1000</v>
      </c>
      <c r="AD20" s="73">
        <v>33.194783131552704</v>
      </c>
      <c r="AG20" s="379">
        <v>16</v>
      </c>
      <c r="AH20" s="380">
        <v>738.94299999999998</v>
      </c>
      <c r="AI20" s="380">
        <v>0</v>
      </c>
      <c r="AJ20" s="380">
        <v>45.584315063970834</v>
      </c>
      <c r="AK20" s="380">
        <v>14.245098457490883</v>
      </c>
      <c r="AL20" s="380">
        <v>0</v>
      </c>
    </row>
    <row r="21" spans="2:38" ht="23.8" x14ac:dyDescent="0.25">
      <c r="K21" s="173"/>
      <c r="L21" s="188">
        <v>46069</v>
      </c>
      <c r="M21" s="493">
        <v>1440</v>
      </c>
      <c r="N21" s="493">
        <v>791.31944444444446</v>
      </c>
      <c r="O21" s="493">
        <v>156.25</v>
      </c>
      <c r="P21" s="493">
        <v>361.11111111111109</v>
      </c>
      <c r="Q21" s="493">
        <v>3.4722222222222223</v>
      </c>
      <c r="R21" s="493">
        <v>10.416666666666666</v>
      </c>
      <c r="S21" s="173"/>
      <c r="U21" s="492">
        <v>17</v>
      </c>
      <c r="V21" s="493">
        <v>1200</v>
      </c>
      <c r="W21" s="493">
        <v>2261.71875</v>
      </c>
      <c r="X21" s="423">
        <v>5250</v>
      </c>
      <c r="Y21" s="424">
        <v>4909</v>
      </c>
      <c r="AA21" s="381">
        <v>17</v>
      </c>
      <c r="AB21">
        <v>758.77500000000009</v>
      </c>
      <c r="AC21" s="382">
        <v>1000</v>
      </c>
      <c r="AD21" s="73">
        <v>492.42625630994524</v>
      </c>
      <c r="AG21" s="379">
        <v>17</v>
      </c>
      <c r="AH21" s="380">
        <v>758.77500000000009</v>
      </c>
      <c r="AI21" s="380">
        <v>0</v>
      </c>
      <c r="AJ21" s="380">
        <v>121.34054948910619</v>
      </c>
      <c r="AK21" s="380">
        <v>291.32830098375302</v>
      </c>
      <c r="AL21" s="380">
        <v>0</v>
      </c>
    </row>
    <row r="22" spans="2:38" ht="23.8" x14ac:dyDescent="0.25">
      <c r="K22" s="173"/>
      <c r="L22" s="188">
        <v>46070</v>
      </c>
      <c r="M22" s="493">
        <v>1200</v>
      </c>
      <c r="N22" s="493">
        <v>331.25</v>
      </c>
      <c r="O22" s="493">
        <v>114.58333333333333</v>
      </c>
      <c r="P22" s="493">
        <v>270.83333333333331</v>
      </c>
      <c r="Q22" s="493">
        <v>4.166666666666667</v>
      </c>
      <c r="R22" s="493">
        <v>12.5</v>
      </c>
      <c r="S22" s="173"/>
      <c r="U22" s="492">
        <v>18</v>
      </c>
      <c r="V22" s="493">
        <v>960</v>
      </c>
      <c r="W22" s="493">
        <v>2397.78125</v>
      </c>
      <c r="X22" s="423">
        <v>5250</v>
      </c>
      <c r="Y22" s="424">
        <v>4909</v>
      </c>
      <c r="AA22" s="381">
        <v>18</v>
      </c>
      <c r="AB22">
        <v>809.74900000000002</v>
      </c>
      <c r="AC22" s="382">
        <v>1000</v>
      </c>
      <c r="AD22" s="73">
        <v>526.15145004972624</v>
      </c>
      <c r="AG22" s="379">
        <v>18</v>
      </c>
      <c r="AH22" s="380">
        <v>809.74900000000002</v>
      </c>
      <c r="AI22" s="380">
        <v>0</v>
      </c>
      <c r="AJ22" s="380">
        <v>305.05445991245324</v>
      </c>
      <c r="AK22" s="380">
        <v>285.98855616792497</v>
      </c>
      <c r="AL22" s="380">
        <v>0</v>
      </c>
    </row>
    <row r="23" spans="2:38" ht="23.8" x14ac:dyDescent="0.25">
      <c r="K23" s="173"/>
      <c r="L23" s="188">
        <v>46071</v>
      </c>
      <c r="M23" s="493">
        <v>960</v>
      </c>
      <c r="N23" s="493">
        <v>0</v>
      </c>
      <c r="O23" s="493">
        <v>260.41666666666669</v>
      </c>
      <c r="P23" s="493">
        <v>379.16666666666669</v>
      </c>
      <c r="Q23" s="493">
        <v>5.208333333333333</v>
      </c>
      <c r="R23" s="493">
        <v>15.625</v>
      </c>
      <c r="S23" s="173"/>
      <c r="U23" s="492">
        <v>19</v>
      </c>
      <c r="V23" s="493">
        <v>1200</v>
      </c>
      <c r="W23" s="493">
        <v>2745.5250000000001</v>
      </c>
      <c r="X23" s="423">
        <v>5250</v>
      </c>
      <c r="Y23" s="424">
        <v>4909</v>
      </c>
      <c r="AA23" s="381">
        <v>19</v>
      </c>
      <c r="AB23">
        <v>604.94299999999998</v>
      </c>
      <c r="AC23" s="382">
        <v>1000</v>
      </c>
      <c r="AD23" s="73">
        <v>704.28223903130674</v>
      </c>
      <c r="AG23" s="379">
        <v>19</v>
      </c>
      <c r="AH23" s="380">
        <v>604.94299999999998</v>
      </c>
      <c r="AI23" s="380">
        <v>0</v>
      </c>
      <c r="AJ23" s="380">
        <v>408.33193186738112</v>
      </c>
      <c r="AK23" s="380">
        <v>382.81118612566979</v>
      </c>
      <c r="AL23" s="380">
        <v>0</v>
      </c>
    </row>
    <row r="24" spans="2:38" ht="23.8" x14ac:dyDescent="0.25">
      <c r="K24" s="173"/>
      <c r="L24" s="188">
        <v>46072</v>
      </c>
      <c r="M24" s="493">
        <v>1200</v>
      </c>
      <c r="N24" s="493">
        <v>408.54166666666669</v>
      </c>
      <c r="O24" s="493">
        <v>145.83333333333334</v>
      </c>
      <c r="P24" s="493">
        <v>346.66666666666669</v>
      </c>
      <c r="Q24" s="493">
        <v>4.166666666666667</v>
      </c>
      <c r="R24" s="493">
        <v>12.5</v>
      </c>
      <c r="S24" s="173"/>
      <c r="U24" s="492">
        <v>20</v>
      </c>
      <c r="V24" s="493">
        <v>1360</v>
      </c>
      <c r="W24" s="493">
        <v>2221.6636029411766</v>
      </c>
      <c r="X24" s="423">
        <v>5250</v>
      </c>
      <c r="Y24" s="424">
        <v>4909</v>
      </c>
      <c r="AA24" s="381">
        <v>20</v>
      </c>
      <c r="AB24">
        <v>0</v>
      </c>
      <c r="AC24" s="382">
        <v>1000</v>
      </c>
      <c r="AD24" s="73">
        <v>0</v>
      </c>
      <c r="AG24" s="379">
        <v>20</v>
      </c>
      <c r="AH24" s="380">
        <v>0</v>
      </c>
      <c r="AI24" s="380">
        <v>0</v>
      </c>
      <c r="AJ24" s="380">
        <v>0</v>
      </c>
      <c r="AK24" s="380">
        <v>0</v>
      </c>
      <c r="AL24" s="380">
        <v>0</v>
      </c>
    </row>
    <row r="25" spans="2:38" ht="23.8" x14ac:dyDescent="0.25">
      <c r="K25" s="173"/>
      <c r="L25" s="188">
        <v>46073</v>
      </c>
      <c r="M25" s="493">
        <v>1360</v>
      </c>
      <c r="N25" s="493">
        <v>370.22058823529414</v>
      </c>
      <c r="O25" s="493">
        <v>101.10294117647059</v>
      </c>
      <c r="P25" s="493">
        <v>238.97058823529412</v>
      </c>
      <c r="Q25" s="493">
        <v>3.6764705882352939</v>
      </c>
      <c r="R25" s="493">
        <v>11.029411764705882</v>
      </c>
      <c r="S25" s="173"/>
      <c r="U25" s="492">
        <v>21</v>
      </c>
      <c r="V25" s="493">
        <v>880</v>
      </c>
      <c r="W25" s="493">
        <v>4173.076704545455</v>
      </c>
      <c r="X25" s="423">
        <v>5250</v>
      </c>
      <c r="Y25" s="424">
        <v>4909</v>
      </c>
      <c r="AA25" s="381">
        <v>21</v>
      </c>
      <c r="AB25">
        <v>0</v>
      </c>
      <c r="AC25" s="382">
        <v>1000</v>
      </c>
      <c r="AD25" s="73">
        <v>0</v>
      </c>
      <c r="AG25" s="379">
        <v>21</v>
      </c>
      <c r="AH25" s="380">
        <v>0</v>
      </c>
      <c r="AI25" s="380">
        <v>0</v>
      </c>
      <c r="AJ25" s="380">
        <v>0</v>
      </c>
      <c r="AK25" s="380">
        <v>0</v>
      </c>
      <c r="AL25" s="380">
        <v>0</v>
      </c>
    </row>
    <row r="26" spans="2:38" ht="23.8" x14ac:dyDescent="0.25">
      <c r="K26" s="173"/>
      <c r="L26" s="188">
        <v>46074</v>
      </c>
      <c r="M26" s="493">
        <v>880</v>
      </c>
      <c r="N26" s="493">
        <v>752.84090909090912</v>
      </c>
      <c r="O26" s="493">
        <v>184.65909090909091</v>
      </c>
      <c r="P26" s="493">
        <v>413.63636363636363</v>
      </c>
      <c r="Q26" s="493">
        <v>5.6818181818181817</v>
      </c>
      <c r="R26" s="493">
        <v>17.045454545454547</v>
      </c>
      <c r="S26" s="173"/>
      <c r="U26" s="492">
        <v>22</v>
      </c>
      <c r="V26" s="493">
        <v>0</v>
      </c>
      <c r="W26" s="493">
        <v>0</v>
      </c>
      <c r="X26" s="423">
        <v>5250</v>
      </c>
      <c r="Y26" s="424">
        <v>4909</v>
      </c>
      <c r="AA26" s="381">
        <v>22</v>
      </c>
      <c r="AB26">
        <v>0</v>
      </c>
      <c r="AC26" s="382">
        <v>1000</v>
      </c>
      <c r="AD26" s="73">
        <v>0</v>
      </c>
      <c r="AG26" s="379">
        <v>22</v>
      </c>
      <c r="AH26" s="380">
        <v>0</v>
      </c>
      <c r="AI26" s="380">
        <v>0</v>
      </c>
      <c r="AJ26" s="380">
        <v>0</v>
      </c>
      <c r="AK26" s="380">
        <v>0</v>
      </c>
      <c r="AL26" s="380">
        <v>0</v>
      </c>
    </row>
    <row r="27" spans="2:38" ht="23.8" x14ac:dyDescent="0.25">
      <c r="K27" s="173"/>
      <c r="L27" s="188">
        <v>46075</v>
      </c>
      <c r="M27" s="493">
        <v>0</v>
      </c>
      <c r="N27" s="493">
        <v>0</v>
      </c>
      <c r="O27" s="493">
        <v>0</v>
      </c>
      <c r="P27" s="493">
        <v>0</v>
      </c>
      <c r="Q27" s="493">
        <v>0</v>
      </c>
      <c r="R27" s="493">
        <v>0</v>
      </c>
      <c r="S27" s="173"/>
      <c r="U27" s="492">
        <v>23</v>
      </c>
      <c r="V27" s="493">
        <v>720</v>
      </c>
      <c r="W27" s="493">
        <v>4786.760416666667</v>
      </c>
      <c r="X27" s="423">
        <v>5250</v>
      </c>
      <c r="Y27" s="424">
        <v>4909</v>
      </c>
      <c r="AA27" s="381">
        <v>23</v>
      </c>
      <c r="AB27">
        <v>79.930999999999997</v>
      </c>
      <c r="AC27" s="382">
        <v>1000</v>
      </c>
      <c r="AD27" s="73">
        <v>0</v>
      </c>
      <c r="AG27" s="379">
        <v>23</v>
      </c>
      <c r="AH27" s="380">
        <v>79.930999999999997</v>
      </c>
      <c r="AI27" s="380">
        <v>0</v>
      </c>
      <c r="AJ27" s="380">
        <v>0</v>
      </c>
      <c r="AK27" s="380">
        <v>0</v>
      </c>
      <c r="AL27" s="380">
        <v>0</v>
      </c>
    </row>
    <row r="28" spans="2:38" ht="23.8" x14ac:dyDescent="0.25">
      <c r="B28" s="553" t="s">
        <v>119</v>
      </c>
      <c r="C28" s="553"/>
      <c r="K28" s="173"/>
      <c r="L28" s="188">
        <v>46076</v>
      </c>
      <c r="M28" s="493">
        <v>720</v>
      </c>
      <c r="N28" s="493">
        <v>717.70833333333337</v>
      </c>
      <c r="O28" s="493">
        <v>190.97222222222223</v>
      </c>
      <c r="P28" s="493">
        <v>938.88888888888891</v>
      </c>
      <c r="Q28" s="493">
        <v>13.888888888888889</v>
      </c>
      <c r="R28" s="493">
        <v>20.833333333333332</v>
      </c>
      <c r="S28" s="173"/>
      <c r="U28" s="492">
        <v>24</v>
      </c>
      <c r="V28" s="493">
        <v>1120</v>
      </c>
      <c r="W28" s="493">
        <v>4312.2946428571431</v>
      </c>
      <c r="X28" s="423">
        <v>5250</v>
      </c>
      <c r="Y28" s="424">
        <v>4909</v>
      </c>
      <c r="AA28" s="381">
        <v>24</v>
      </c>
      <c r="AB28">
        <v>570.72</v>
      </c>
      <c r="AC28" s="382">
        <v>1000</v>
      </c>
      <c r="AD28" s="73">
        <v>131.83979460847232</v>
      </c>
      <c r="AG28" s="379">
        <v>24</v>
      </c>
      <c r="AH28" s="380">
        <v>570.72</v>
      </c>
      <c r="AI28" s="380">
        <v>0</v>
      </c>
      <c r="AJ28" s="380">
        <v>61.774846423600394</v>
      </c>
      <c r="AK28" s="380">
        <v>73.775692384872968</v>
      </c>
      <c r="AL28" s="380">
        <v>0</v>
      </c>
    </row>
    <row r="29" spans="2:38" ht="23.8" x14ac:dyDescent="0.25">
      <c r="K29" s="173"/>
      <c r="L29" s="188">
        <v>46077</v>
      </c>
      <c r="M29" s="493">
        <v>1120</v>
      </c>
      <c r="N29" s="493">
        <v>828.125</v>
      </c>
      <c r="O29" s="493">
        <v>223.21428571428572</v>
      </c>
      <c r="P29" s="493">
        <v>150.89285714285714</v>
      </c>
      <c r="Q29" s="493">
        <v>4.4642857142857144</v>
      </c>
      <c r="R29" s="493">
        <v>13.392857142857142</v>
      </c>
      <c r="S29" s="173"/>
      <c r="U29" s="492">
        <v>25</v>
      </c>
      <c r="V29" s="493">
        <v>1440</v>
      </c>
      <c r="W29" s="493">
        <v>3124.6493055555557</v>
      </c>
      <c r="X29" s="423">
        <v>5250</v>
      </c>
      <c r="Y29" s="424">
        <v>4909</v>
      </c>
      <c r="AA29" s="381">
        <v>25</v>
      </c>
      <c r="AB29">
        <v>517.12799999999993</v>
      </c>
      <c r="AC29" s="382">
        <v>1000</v>
      </c>
      <c r="AD29" s="73">
        <v>401.95500818691744</v>
      </c>
      <c r="AG29" s="379">
        <v>25</v>
      </c>
      <c r="AH29" s="380">
        <v>517.12799999999993</v>
      </c>
      <c r="AI29" s="380">
        <v>0</v>
      </c>
      <c r="AJ29" s="380">
        <v>195.4112551997714</v>
      </c>
      <c r="AK29" s="380">
        <v>223.90872991640475</v>
      </c>
      <c r="AL29" s="380">
        <v>0</v>
      </c>
    </row>
    <row r="30" spans="2:38" ht="23.8" x14ac:dyDescent="0.25">
      <c r="K30" s="173"/>
      <c r="L30" s="188">
        <v>46078</v>
      </c>
      <c r="M30" s="493">
        <v>1440</v>
      </c>
      <c r="N30" s="493">
        <v>717.70833333333337</v>
      </c>
      <c r="O30" s="493">
        <v>86.805555555555557</v>
      </c>
      <c r="P30" s="493">
        <v>162.5</v>
      </c>
      <c r="Q30" s="493">
        <v>6.9444444444444446</v>
      </c>
      <c r="R30" s="493">
        <v>10.416666666666666</v>
      </c>
      <c r="S30" s="173"/>
      <c r="U30" s="492">
        <v>26</v>
      </c>
      <c r="V30" s="493">
        <v>1760</v>
      </c>
      <c r="W30" s="493">
        <v>2749.6988636363635</v>
      </c>
      <c r="X30" s="423">
        <v>5250</v>
      </c>
      <c r="Y30" s="424">
        <v>4909</v>
      </c>
      <c r="AA30" s="381">
        <v>26</v>
      </c>
      <c r="AB30">
        <v>523.89099999999996</v>
      </c>
      <c r="AC30" s="382">
        <v>1000</v>
      </c>
      <c r="AD30" s="73">
        <v>450.98662045911715</v>
      </c>
      <c r="AG30" s="379">
        <v>26</v>
      </c>
      <c r="AH30" s="380">
        <v>523.89099999999996</v>
      </c>
      <c r="AI30" s="380">
        <v>0</v>
      </c>
      <c r="AJ30" s="380">
        <v>150.02451125915539</v>
      </c>
      <c r="AK30" s="380">
        <v>261.20339013870807</v>
      </c>
      <c r="AL30" s="380">
        <v>0</v>
      </c>
    </row>
    <row r="31" spans="2:38" ht="23.8" x14ac:dyDescent="0.25">
      <c r="K31" s="173"/>
      <c r="L31" s="188">
        <v>46079</v>
      </c>
      <c r="M31" s="493">
        <v>1760</v>
      </c>
      <c r="N31" s="493">
        <v>391.47727272727275</v>
      </c>
      <c r="O31" s="493">
        <v>142.04545454545453</v>
      </c>
      <c r="P31" s="493">
        <v>576.13636363636363</v>
      </c>
      <c r="Q31" s="493">
        <v>2.8409090909090908</v>
      </c>
      <c r="R31" s="493">
        <v>8.5227272727272734</v>
      </c>
      <c r="S31" s="173"/>
      <c r="U31" s="492">
        <v>27</v>
      </c>
      <c r="V31" s="493">
        <v>1440</v>
      </c>
      <c r="W31" s="493">
        <v>3432.7482638888887</v>
      </c>
      <c r="X31" s="423">
        <v>5250</v>
      </c>
      <c r="Y31" s="424">
        <v>4909</v>
      </c>
      <c r="AA31" s="381">
        <v>27</v>
      </c>
      <c r="AB31">
        <v>689.86900000000003</v>
      </c>
      <c r="AC31" s="382">
        <v>1000</v>
      </c>
      <c r="AD31" s="73">
        <v>696.20296332385306</v>
      </c>
      <c r="AG31" s="379">
        <v>27</v>
      </c>
      <c r="AH31" s="380">
        <v>689.86900000000003</v>
      </c>
      <c r="AI31" s="380">
        <v>0</v>
      </c>
      <c r="AJ31" s="380">
        <v>65.102621949608121</v>
      </c>
      <c r="AK31" s="380">
        <v>427.235956544305</v>
      </c>
      <c r="AL31" s="380">
        <v>0</v>
      </c>
    </row>
    <row r="32" spans="2:38" ht="23.8" x14ac:dyDescent="0.25">
      <c r="K32" s="173"/>
      <c r="L32" s="188">
        <v>46080</v>
      </c>
      <c r="M32" s="493">
        <v>1440</v>
      </c>
      <c r="N32" s="493">
        <v>552.08333333333337</v>
      </c>
      <c r="O32" s="493">
        <v>182.29166666666666</v>
      </c>
      <c r="P32" s="493">
        <v>388.19444444444446</v>
      </c>
      <c r="Q32" s="493">
        <v>6.9444444444444446</v>
      </c>
      <c r="R32" s="493">
        <v>10.416666666666666</v>
      </c>
      <c r="S32" s="173"/>
      <c r="U32" s="492">
        <v>28</v>
      </c>
      <c r="V32" s="493">
        <v>960</v>
      </c>
      <c r="W32" s="493">
        <v>4258.471354166667</v>
      </c>
      <c r="X32" s="423">
        <v>5250</v>
      </c>
      <c r="Y32" s="424">
        <v>4909</v>
      </c>
      <c r="AA32" s="381">
        <v>28</v>
      </c>
      <c r="AB32">
        <v>748.37099999999998</v>
      </c>
      <c r="AC32" s="382">
        <v>1000</v>
      </c>
      <c r="AD32" s="73">
        <v>707.3322554834715</v>
      </c>
      <c r="AG32" s="379">
        <v>28</v>
      </c>
      <c r="AH32" s="380">
        <v>748.37099999999998</v>
      </c>
      <c r="AI32" s="380">
        <v>0</v>
      </c>
      <c r="AJ32" s="380">
        <v>150.03347504698351</v>
      </c>
      <c r="AK32" s="380">
        <v>421.96914856964054</v>
      </c>
      <c r="AL32" s="380">
        <v>0</v>
      </c>
    </row>
    <row r="33" spans="11:38" ht="23.8" x14ac:dyDescent="0.25">
      <c r="K33" s="173"/>
      <c r="L33" s="188">
        <v>46081</v>
      </c>
      <c r="M33" s="493">
        <v>960</v>
      </c>
      <c r="N33" s="493">
        <v>690.10416666666663</v>
      </c>
      <c r="O33" s="493">
        <v>247.39583333333334</v>
      </c>
      <c r="P33" s="493">
        <v>446.875</v>
      </c>
      <c r="Q33" s="493">
        <v>5.208333333333333</v>
      </c>
      <c r="R33" s="493">
        <v>10.416666666666666</v>
      </c>
      <c r="S33" s="173"/>
      <c r="U33" s="492" t="s">
        <v>72</v>
      </c>
      <c r="V33" s="493">
        <v>30080</v>
      </c>
      <c r="W33" s="493">
        <v>3239.6917386968084</v>
      </c>
      <c r="X33" s="423">
        <v>5250</v>
      </c>
      <c r="Y33" s="424">
        <v>4909</v>
      </c>
      <c r="AA33" s="381" t="s">
        <v>72</v>
      </c>
      <c r="AB33">
        <v>14053.279000000002</v>
      </c>
      <c r="AC33" s="382">
        <v>1000</v>
      </c>
      <c r="AD33" s="73">
        <v>425.38438496884072</v>
      </c>
      <c r="AG33" s="379" t="s">
        <v>72</v>
      </c>
      <c r="AH33" s="380">
        <v>14053.278999999997</v>
      </c>
      <c r="AI33" s="380">
        <v>0</v>
      </c>
      <c r="AJ33" s="380">
        <v>177.38059191512676</v>
      </c>
      <c r="AK33" s="380">
        <v>241.20237067280286</v>
      </c>
      <c r="AL33" s="380">
        <v>0</v>
      </c>
    </row>
    <row r="34" spans="11:38" x14ac:dyDescent="0.25">
      <c r="K34" s="173"/>
      <c r="L34" s="188">
        <v>46082</v>
      </c>
      <c r="M34" s="493">
        <v>0</v>
      </c>
      <c r="N34" s="493">
        <v>0</v>
      </c>
      <c r="O34" s="493">
        <v>0</v>
      </c>
      <c r="P34" s="493">
        <v>0</v>
      </c>
      <c r="Q34" s="493">
        <v>0</v>
      </c>
      <c r="R34" s="493">
        <v>0</v>
      </c>
      <c r="S34" s="173"/>
      <c r="U34"/>
      <c r="V34"/>
      <c r="W34"/>
      <c r="X34"/>
      <c r="Y34"/>
      <c r="AD34"/>
    </row>
    <row r="35" spans="11:38" x14ac:dyDescent="0.25">
      <c r="K35" s="173"/>
      <c r="L35" s="188">
        <v>46083</v>
      </c>
      <c r="M35" s="493">
        <v>-1378240</v>
      </c>
      <c r="N35" s="493">
        <v>0</v>
      </c>
      <c r="O35" s="493">
        <v>0</v>
      </c>
      <c r="P35" s="493">
        <v>0</v>
      </c>
      <c r="Q35" s="493">
        <v>0</v>
      </c>
      <c r="R35" s="493">
        <v>0</v>
      </c>
      <c r="S35" s="173"/>
      <c r="U35"/>
      <c r="V35"/>
      <c r="W35"/>
      <c r="X35"/>
      <c r="Y35"/>
      <c r="AD35"/>
    </row>
    <row r="36" spans="11:38" x14ac:dyDescent="0.25">
      <c r="K36" s="173"/>
      <c r="L36" s="188">
        <v>46084</v>
      </c>
      <c r="M36" s="493">
        <v>0</v>
      </c>
      <c r="N36" s="493">
        <v>0</v>
      </c>
      <c r="O36" s="493">
        <v>0</v>
      </c>
      <c r="P36" s="493">
        <v>0</v>
      </c>
      <c r="Q36" s="493">
        <v>0</v>
      </c>
      <c r="R36" s="493">
        <v>0</v>
      </c>
      <c r="S36" s="173"/>
      <c r="U36"/>
      <c r="V36"/>
      <c r="W36"/>
      <c r="X36"/>
      <c r="Y36"/>
      <c r="AD36"/>
    </row>
    <row r="37" spans="11:38" x14ac:dyDescent="0.25">
      <c r="K37" s="173"/>
      <c r="L37" s="490" t="s">
        <v>72</v>
      </c>
      <c r="M37" s="493">
        <v>-1348160</v>
      </c>
      <c r="N37" s="493">
        <v>-16.88486529788749</v>
      </c>
      <c r="O37" s="493">
        <v>-5.1088149774507476</v>
      </c>
      <c r="P37" s="493">
        <v>-8.0613577023498699</v>
      </c>
      <c r="Q37" s="493">
        <v>-0.15205910277711845</v>
      </c>
      <c r="R37" s="493">
        <v>-0.35604082601471637</v>
      </c>
      <c r="S37" s="173"/>
      <c r="X37" s="174"/>
      <c r="Y37" s="174"/>
      <c r="AD37"/>
    </row>
    <row r="38" spans="11:38" x14ac:dyDescent="0.25">
      <c r="K38" s="173"/>
      <c r="S38" s="173"/>
      <c r="AD38"/>
    </row>
    <row r="39" spans="11:38" x14ac:dyDescent="0.25">
      <c r="K39" s="173"/>
      <c r="S39" s="173"/>
      <c r="AD39"/>
    </row>
    <row r="40" spans="11:38" x14ac:dyDescent="0.25">
      <c r="K40" s="173"/>
      <c r="S40" s="173"/>
      <c r="AD40"/>
    </row>
    <row r="41" spans="11:38" x14ac:dyDescent="0.25">
      <c r="K41" s="173"/>
      <c r="S41" s="173"/>
      <c r="AD41"/>
    </row>
    <row r="42" spans="11:38" x14ac:dyDescent="0.25">
      <c r="K42" s="173"/>
      <c r="S42" s="173"/>
      <c r="AD42"/>
    </row>
    <row r="43" spans="11:38" x14ac:dyDescent="0.25">
      <c r="K43" s="173"/>
      <c r="S43" s="173"/>
      <c r="AD43"/>
    </row>
    <row r="44" spans="11:38" x14ac:dyDescent="0.25">
      <c r="K44" s="173"/>
      <c r="S44" s="173"/>
      <c r="AD44"/>
    </row>
    <row r="45" spans="11:38" x14ac:dyDescent="0.25">
      <c r="K45" s="173"/>
      <c r="S45" s="173"/>
      <c r="AD45"/>
    </row>
    <row r="46" spans="11:38" x14ac:dyDescent="0.25">
      <c r="K46" s="173"/>
      <c r="S46" s="173"/>
      <c r="AD46"/>
    </row>
    <row r="47" spans="11:38" x14ac:dyDescent="0.25">
      <c r="K47" s="173"/>
      <c r="S47" s="173"/>
      <c r="AD47"/>
    </row>
    <row r="48" spans="11:38" x14ac:dyDescent="0.25">
      <c r="K48" s="173"/>
      <c r="S48" s="173"/>
      <c r="AD48"/>
    </row>
    <row r="49" spans="1:30" x14ac:dyDescent="0.25">
      <c r="K49" s="173"/>
      <c r="S49" s="173"/>
      <c r="AD49"/>
    </row>
    <row r="50" spans="1:30" x14ac:dyDescent="0.25">
      <c r="K50" s="173"/>
      <c r="S50" s="173"/>
      <c r="AD50"/>
    </row>
    <row r="51" spans="1:30" ht="21.1" x14ac:dyDescent="0.25">
      <c r="B51" s="177" t="s">
        <v>120</v>
      </c>
      <c r="C51" s="177"/>
      <c r="F51" s="177" t="s">
        <v>188</v>
      </c>
      <c r="G51" s="177"/>
      <c r="K51" s="173"/>
      <c r="S51" s="173"/>
      <c r="AD51"/>
    </row>
    <row r="52" spans="1:30" x14ac:dyDescent="0.25">
      <c r="K52" s="173"/>
      <c r="S52" s="173"/>
      <c r="AD52"/>
    </row>
    <row r="53" spans="1:30" ht="22.45" x14ac:dyDescent="0.25">
      <c r="B53" s="552" t="s">
        <v>121</v>
      </c>
      <c r="C53" s="552"/>
      <c r="D53" s="172">
        <v>97449927.5</v>
      </c>
      <c r="F53" s="552" t="s">
        <v>209</v>
      </c>
      <c r="G53" s="552"/>
      <c r="H53" s="172">
        <v>6078804.1298526311</v>
      </c>
      <c r="K53" s="173"/>
      <c r="S53" s="173"/>
      <c r="AD53"/>
    </row>
    <row r="54" spans="1:30" ht="22.45" x14ac:dyDescent="0.4">
      <c r="B54" s="186" t="s">
        <v>122</v>
      </c>
      <c r="C54" s="186" t="s">
        <v>123</v>
      </c>
      <c r="D54" s="325">
        <v>114996411</v>
      </c>
      <c r="F54" s="186" t="s">
        <v>189</v>
      </c>
      <c r="G54" s="186" t="s">
        <v>123</v>
      </c>
      <c r="H54" s="384">
        <v>2515885.201178947</v>
      </c>
      <c r="K54" s="173"/>
      <c r="S54" s="173"/>
      <c r="AD54"/>
    </row>
    <row r="55" spans="1:30" ht="22.45" x14ac:dyDescent="0.4">
      <c r="A55" s="513" t="s">
        <v>125</v>
      </c>
      <c r="B55" s="185">
        <f>+GETPIVOTDATA("  CAUDAL TOTAL TRATADO GEM ",$U$4)</f>
        <v>30080</v>
      </c>
      <c r="C55" s="187">
        <f>+D53/B55</f>
        <v>3239.6917386968084</v>
      </c>
      <c r="D55" s="325">
        <f>C55*B55</f>
        <v>97449927.5</v>
      </c>
      <c r="F55" s="185">
        <f>+GETPIVOTDATA(" VOLUMEN ENVIADO A RO (m3)",$AA$4)</f>
        <v>14053.279000000002</v>
      </c>
      <c r="G55" s="393">
        <f>H53/F55</f>
        <v>432.55414838434717</v>
      </c>
      <c r="H55" s="325">
        <f>G55*F55</f>
        <v>6078804.1298526311</v>
      </c>
      <c r="K55" s="173"/>
      <c r="S55" s="173"/>
      <c r="AD55"/>
    </row>
    <row r="56" spans="1:30" ht="22.45" x14ac:dyDescent="0.4">
      <c r="A56" s="513" t="s">
        <v>302</v>
      </c>
      <c r="B56" s="185">
        <v>13239</v>
      </c>
      <c r="C56" s="187">
        <f>+D53/B56</f>
        <v>7360.8223808444745</v>
      </c>
      <c r="K56" s="173"/>
      <c r="S56" s="173"/>
      <c r="AD56"/>
    </row>
    <row r="57" spans="1:30" x14ac:dyDescent="0.25">
      <c r="K57" s="173"/>
      <c r="S57" s="173"/>
      <c r="AD57"/>
    </row>
    <row r="58" spans="1:30" ht="25.85" x14ac:dyDescent="0.45">
      <c r="A58" s="360" t="s">
        <v>187</v>
      </c>
      <c r="B58" s="361"/>
      <c r="C58" s="361"/>
      <c r="D58" s="361"/>
      <c r="E58" s="361"/>
      <c r="K58" s="173"/>
      <c r="S58" s="173"/>
      <c r="AD58"/>
    </row>
    <row r="59" spans="1:30" x14ac:dyDescent="0.25">
      <c r="K59" s="173"/>
      <c r="S59" s="173"/>
      <c r="AD59"/>
    </row>
    <row r="60" spans="1:30" x14ac:dyDescent="0.25">
      <c r="K60" s="173"/>
      <c r="S60" s="173"/>
      <c r="AD60"/>
    </row>
    <row r="61" spans="1:30" x14ac:dyDescent="0.25">
      <c r="K61" s="173"/>
      <c r="S61" s="173"/>
      <c r="AD61"/>
    </row>
    <row r="62" spans="1:30" x14ac:dyDescent="0.25">
      <c r="K62" s="173"/>
      <c r="S62" s="173"/>
      <c r="AD62"/>
    </row>
    <row r="63" spans="1:30" x14ac:dyDescent="0.25">
      <c r="K63" s="173"/>
      <c r="S63" s="173"/>
      <c r="AD63"/>
    </row>
    <row r="64" spans="1:30" x14ac:dyDescent="0.25">
      <c r="K64" s="173"/>
      <c r="S64" s="173"/>
      <c r="AD64"/>
    </row>
    <row r="65" spans="11:30" x14ac:dyDescent="0.25">
      <c r="K65" s="173"/>
      <c r="S65" s="173"/>
      <c r="AD65"/>
    </row>
    <row r="66" spans="11:30" x14ac:dyDescent="0.25">
      <c r="K66" s="173"/>
      <c r="S66" s="173"/>
      <c r="AD66"/>
    </row>
    <row r="67" spans="11:30" x14ac:dyDescent="0.25">
      <c r="K67" s="173"/>
      <c r="S67" s="173"/>
      <c r="AD67"/>
    </row>
    <row r="68" spans="11:30" x14ac:dyDescent="0.25">
      <c r="K68" s="173"/>
      <c r="S68" s="173"/>
    </row>
    <row r="69" spans="11:30" x14ac:dyDescent="0.25">
      <c r="K69" s="173"/>
      <c r="S69" s="173"/>
    </row>
    <row r="70" spans="11:30" x14ac:dyDescent="0.25">
      <c r="K70" s="173"/>
      <c r="S70" s="173"/>
    </row>
    <row r="71" spans="11:30" x14ac:dyDescent="0.25">
      <c r="K71" s="173"/>
      <c r="S71" s="173"/>
    </row>
    <row r="72" spans="11:30" x14ac:dyDescent="0.25">
      <c r="K72" s="173"/>
      <c r="S72" s="173"/>
    </row>
    <row r="73" spans="11:30" x14ac:dyDescent="0.25">
      <c r="K73" s="173"/>
      <c r="S73" s="173"/>
    </row>
    <row r="74" spans="11:30" x14ac:dyDescent="0.25">
      <c r="K74" s="173"/>
      <c r="S74" s="173"/>
    </row>
    <row r="75" spans="11:30" x14ac:dyDescent="0.25">
      <c r="K75" s="173"/>
      <c r="S75" s="173"/>
    </row>
    <row r="76" spans="11:30" x14ac:dyDescent="0.25">
      <c r="K76" s="173"/>
      <c r="S76" s="173"/>
    </row>
    <row r="77" spans="11:30" x14ac:dyDescent="0.25">
      <c r="K77" s="173"/>
      <c r="S77" s="173"/>
    </row>
    <row r="78" spans="11:30" x14ac:dyDescent="0.25">
      <c r="K78" s="173"/>
      <c r="S78" s="173"/>
    </row>
    <row r="79" spans="11:30" x14ac:dyDescent="0.25">
      <c r="K79" s="173"/>
      <c r="S79" s="173"/>
    </row>
    <row r="80" spans="11:30" x14ac:dyDescent="0.25">
      <c r="K80" s="173"/>
      <c r="S80" s="173"/>
    </row>
    <row r="81" spans="2:19" ht="21.1" x14ac:dyDescent="0.25">
      <c r="B81" s="553" t="s">
        <v>203</v>
      </c>
      <c r="C81" s="553"/>
      <c r="K81" s="173"/>
      <c r="S81" s="173"/>
    </row>
    <row r="82" spans="2:19" x14ac:dyDescent="0.25">
      <c r="K82" s="173"/>
      <c r="S82" s="173"/>
    </row>
    <row r="83" spans="2:19" x14ac:dyDescent="0.25">
      <c r="K83" s="173"/>
      <c r="S83" s="173"/>
    </row>
    <row r="84" spans="2:19" x14ac:dyDescent="0.25">
      <c r="K84" s="173"/>
      <c r="S84" s="173"/>
    </row>
    <row r="85" spans="2:19" x14ac:dyDescent="0.25">
      <c r="K85" s="173"/>
      <c r="S85" s="173"/>
    </row>
    <row r="86" spans="2:19" x14ac:dyDescent="0.25">
      <c r="K86" s="173"/>
      <c r="S86" s="173"/>
    </row>
    <row r="87" spans="2:19" x14ac:dyDescent="0.25">
      <c r="K87" s="173"/>
      <c r="S87" s="173"/>
    </row>
    <row r="88" spans="2:19" x14ac:dyDescent="0.25">
      <c r="K88" s="173"/>
      <c r="S88" s="173"/>
    </row>
    <row r="89" spans="2:19" x14ac:dyDescent="0.25">
      <c r="K89" s="173"/>
      <c r="S89" s="173"/>
    </row>
    <row r="90" spans="2:19" x14ac:dyDescent="0.25">
      <c r="K90" s="173"/>
      <c r="S90" s="173"/>
    </row>
    <row r="91" spans="2:19" x14ac:dyDescent="0.25">
      <c r="K91" s="173"/>
      <c r="S91" s="173"/>
    </row>
    <row r="92" spans="2:19" x14ac:dyDescent="0.25">
      <c r="K92" s="173"/>
      <c r="S92" s="173"/>
    </row>
    <row r="93" spans="2:19" x14ac:dyDescent="0.25">
      <c r="K93" s="173"/>
      <c r="S93" s="173"/>
    </row>
  </sheetData>
  <mergeCells count="10">
    <mergeCell ref="AA1:AD1"/>
    <mergeCell ref="F53:G53"/>
    <mergeCell ref="AG1:AM1"/>
    <mergeCell ref="B81:C81"/>
    <mergeCell ref="U1:X1"/>
    <mergeCell ref="B53:C53"/>
    <mergeCell ref="A1:J1"/>
    <mergeCell ref="B3:C3"/>
    <mergeCell ref="B28:C28"/>
    <mergeCell ref="M1:Q1"/>
  </mergeCells>
  <pageMargins left="0.7" right="0.7" top="0.75" bottom="0.75" header="0.3" footer="0.3"/>
  <pageSetup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2"/>
  <sheetViews>
    <sheetView topLeftCell="I3" zoomScale="85" zoomScaleNormal="85" workbookViewId="0">
      <selection activeCell="R25" sqref="R25"/>
    </sheetView>
  </sheetViews>
  <sheetFormatPr baseColWidth="10" defaultRowHeight="14.3" x14ac:dyDescent="0.25"/>
  <cols>
    <col min="1" max="1" width="55" bestFit="1" customWidth="1"/>
    <col min="2" max="3" width="8.125" style="90" customWidth="1"/>
    <col min="4" max="4" width="8.25" style="90" customWidth="1"/>
    <col min="5" max="5" width="8.625" style="90" bestFit="1" customWidth="1"/>
    <col min="6" max="6" width="8.125" style="90" customWidth="1"/>
    <col min="7" max="7" width="8.125" style="101" customWidth="1"/>
    <col min="8" max="13" width="8.125" style="90" customWidth="1"/>
    <col min="14" max="14" width="8.125" style="102" customWidth="1"/>
    <col min="15" max="20" width="8.125" style="91" customWidth="1"/>
    <col min="21" max="21" width="8.125" style="102" customWidth="1"/>
    <col min="22" max="22" width="8.125" style="91" customWidth="1"/>
    <col min="23" max="24" width="8.125" style="90" customWidth="1"/>
    <col min="25" max="31" width="8.125" style="91" customWidth="1"/>
    <col min="32" max="32" width="12.875" bestFit="1" customWidth="1"/>
    <col min="33" max="33" width="15.625" bestFit="1" customWidth="1"/>
    <col min="34" max="34" width="12.625" bestFit="1" customWidth="1"/>
    <col min="35" max="35" width="15.625" bestFit="1" customWidth="1"/>
    <col min="36" max="36" width="12.625" bestFit="1" customWidth="1"/>
    <col min="37" max="37" width="15.625" bestFit="1" customWidth="1"/>
    <col min="38" max="38" width="12.625" bestFit="1" customWidth="1"/>
    <col min="39" max="39" width="15.625" bestFit="1" customWidth="1"/>
    <col min="40" max="40" width="12.625" bestFit="1" customWidth="1"/>
    <col min="41" max="41" width="15.625" bestFit="1" customWidth="1"/>
    <col min="42" max="42" width="12.625" bestFit="1" customWidth="1"/>
    <col min="43" max="43" width="15.625" bestFit="1" customWidth="1"/>
    <col min="44" max="44" width="12.625" bestFit="1" customWidth="1"/>
    <col min="45" max="45" width="15.625" bestFit="1" customWidth="1"/>
    <col min="46" max="46" width="12.625" bestFit="1" customWidth="1"/>
    <col min="47" max="47" width="15.625" bestFit="1" customWidth="1"/>
    <col min="48" max="48" width="12.625" bestFit="1" customWidth="1"/>
    <col min="49" max="49" width="15.625" bestFit="1" customWidth="1"/>
    <col min="50" max="50" width="12.625" bestFit="1" customWidth="1"/>
    <col min="51" max="51" width="15.625" bestFit="1" customWidth="1"/>
    <col min="52" max="52" width="12.625" bestFit="1" customWidth="1"/>
    <col min="53" max="53" width="15.625" bestFit="1" customWidth="1"/>
    <col min="54" max="54" width="12.625" bestFit="1" customWidth="1"/>
    <col min="55" max="55" width="15.625" bestFit="1" customWidth="1"/>
    <col min="56" max="56" width="12.625" bestFit="1" customWidth="1"/>
    <col min="57" max="57" width="15.625" bestFit="1" customWidth="1"/>
    <col min="58" max="58" width="12.625" bestFit="1" customWidth="1"/>
    <col min="59" max="59" width="15.625" bestFit="1" customWidth="1"/>
    <col min="60" max="60" width="12.625" bestFit="1" customWidth="1"/>
    <col min="61" max="61" width="15.625" bestFit="1" customWidth="1"/>
    <col min="62" max="62" width="11.625" bestFit="1" customWidth="1"/>
    <col min="63" max="63" width="14.625" bestFit="1" customWidth="1"/>
    <col min="64" max="65" width="12.625" bestFit="1" customWidth="1"/>
    <col min="66" max="165" width="22.375" bestFit="1" customWidth="1"/>
    <col min="166" max="166" width="31.875" bestFit="1" customWidth="1"/>
    <col min="167" max="167" width="38.625" bestFit="1" customWidth="1"/>
    <col min="168" max="168" width="39.25" bestFit="1" customWidth="1"/>
    <col min="169" max="169" width="34.625" bestFit="1" customWidth="1"/>
    <col min="170" max="170" width="35.25" bestFit="1" customWidth="1"/>
    <col min="171" max="172" width="24.75" bestFit="1" customWidth="1"/>
    <col min="173" max="173" width="15.375" bestFit="1" customWidth="1"/>
    <col min="174" max="174" width="22.25" bestFit="1" customWidth="1"/>
    <col min="175" max="175" width="23.375" bestFit="1" customWidth="1"/>
    <col min="176" max="176" width="23.625" bestFit="1" customWidth="1"/>
    <col min="177" max="177" width="24.25" bestFit="1" customWidth="1"/>
    <col min="178" max="179" width="24.75" bestFit="1" customWidth="1"/>
    <col min="180" max="180" width="17.625" bestFit="1" customWidth="1"/>
    <col min="181" max="181" width="24.25" bestFit="1" customWidth="1"/>
    <col min="182" max="182" width="25" bestFit="1" customWidth="1"/>
    <col min="183" max="183" width="25.125" bestFit="1" customWidth="1"/>
    <col min="184" max="184" width="25.375" bestFit="1" customWidth="1"/>
    <col min="185" max="185" width="43.125" bestFit="1" customWidth="1"/>
    <col min="186" max="186" width="42.375" bestFit="1" customWidth="1"/>
  </cols>
  <sheetData>
    <row r="1" spans="1:184" s="38" customFormat="1" ht="15.8" customHeight="1" thickBot="1" x14ac:dyDescent="0.3">
      <c r="A1" s="558" t="s">
        <v>5</v>
      </c>
      <c r="B1" s="559"/>
      <c r="C1" s="559"/>
      <c r="D1" s="559"/>
      <c r="E1" s="559"/>
      <c r="F1" s="560"/>
      <c r="G1" s="101"/>
      <c r="H1" s="101"/>
      <c r="I1" s="101"/>
      <c r="J1" s="101"/>
      <c r="K1" s="101"/>
      <c r="L1" s="101"/>
      <c r="M1" s="101"/>
      <c r="N1" s="102"/>
      <c r="O1" s="102"/>
      <c r="P1" s="102"/>
      <c r="Q1" s="102"/>
      <c r="R1" s="102"/>
      <c r="S1" s="102"/>
      <c r="T1" s="102"/>
      <c r="U1" s="102"/>
      <c r="V1" s="102"/>
      <c r="W1" s="101"/>
      <c r="X1" s="101"/>
      <c r="Y1" s="102"/>
      <c r="Z1" s="102"/>
      <c r="AA1" s="102"/>
      <c r="AB1" s="102"/>
      <c r="AC1" s="102"/>
      <c r="AD1" s="102"/>
      <c r="AE1" s="102"/>
    </row>
    <row r="2" spans="1:184" s="93" customFormat="1" ht="14.95" thickBot="1" x14ac:dyDescent="0.3">
      <c r="A2" s="125"/>
      <c r="B2" s="125" t="s">
        <v>80</v>
      </c>
      <c r="C2" s="126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8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4.95" thickBot="1" x14ac:dyDescent="0.3">
      <c r="A3" s="136" t="s">
        <v>7</v>
      </c>
      <c r="B3" s="129">
        <v>1</v>
      </c>
      <c r="C3" s="130">
        <v>2</v>
      </c>
      <c r="D3" s="130">
        <v>3</v>
      </c>
      <c r="E3" s="130">
        <v>4</v>
      </c>
      <c r="F3" s="130">
        <v>5</v>
      </c>
      <c r="G3" s="130">
        <v>6</v>
      </c>
      <c r="H3" s="130">
        <v>7</v>
      </c>
      <c r="I3" s="130">
        <v>8</v>
      </c>
      <c r="J3" s="130">
        <v>9</v>
      </c>
      <c r="K3" s="130">
        <v>10</v>
      </c>
      <c r="L3" s="130">
        <v>11</v>
      </c>
      <c r="M3" s="130">
        <v>12</v>
      </c>
      <c r="N3" s="130">
        <v>13</v>
      </c>
      <c r="O3" s="130">
        <v>14</v>
      </c>
      <c r="P3" s="130">
        <v>15</v>
      </c>
      <c r="Q3" s="130">
        <v>16</v>
      </c>
      <c r="R3" s="130">
        <v>17</v>
      </c>
      <c r="S3" s="130">
        <v>18</v>
      </c>
      <c r="T3" s="130">
        <v>19</v>
      </c>
      <c r="U3" s="130">
        <v>20</v>
      </c>
      <c r="V3" s="130">
        <v>21</v>
      </c>
      <c r="W3" s="130">
        <v>22</v>
      </c>
      <c r="X3" s="130">
        <v>23</v>
      </c>
      <c r="Y3" s="130">
        <v>24</v>
      </c>
      <c r="Z3" s="130">
        <v>25</v>
      </c>
      <c r="AA3" s="130">
        <v>26</v>
      </c>
      <c r="AB3" s="130">
        <v>27</v>
      </c>
      <c r="AC3" s="130">
        <v>28</v>
      </c>
      <c r="AD3" s="131" t="s">
        <v>301</v>
      </c>
      <c r="AE3" s="132" t="s">
        <v>72</v>
      </c>
    </row>
    <row r="4" spans="1:184" x14ac:dyDescent="0.25">
      <c r="A4" s="133" t="s">
        <v>82</v>
      </c>
      <c r="B4" s="544">
        <v>150</v>
      </c>
      <c r="C4" s="545">
        <v>440</v>
      </c>
      <c r="D4" s="545">
        <v>550</v>
      </c>
      <c r="E4" s="545">
        <v>870</v>
      </c>
      <c r="F4" s="545">
        <v>300</v>
      </c>
      <c r="G4" s="545">
        <v>200</v>
      </c>
      <c r="H4" s="545">
        <v>250</v>
      </c>
      <c r="I4" s="545">
        <v>0</v>
      </c>
      <c r="J4" s="545">
        <v>150</v>
      </c>
      <c r="K4" s="545">
        <v>270</v>
      </c>
      <c r="L4" s="545">
        <v>300</v>
      </c>
      <c r="M4" s="545">
        <v>330</v>
      </c>
      <c r="N4" s="545">
        <v>310</v>
      </c>
      <c r="O4" s="545">
        <v>90</v>
      </c>
      <c r="P4" s="545">
        <v>0</v>
      </c>
      <c r="Q4" s="545">
        <v>400</v>
      </c>
      <c r="R4" s="545">
        <v>250</v>
      </c>
      <c r="S4" s="545">
        <v>280</v>
      </c>
      <c r="T4" s="545">
        <v>320</v>
      </c>
      <c r="U4" s="545">
        <v>250</v>
      </c>
      <c r="V4" s="545">
        <v>280</v>
      </c>
      <c r="W4" s="545">
        <v>0</v>
      </c>
      <c r="X4" s="545">
        <v>520</v>
      </c>
      <c r="Y4" s="545">
        <v>130</v>
      </c>
      <c r="Z4" s="545">
        <v>180</v>
      </c>
      <c r="AA4" s="545">
        <v>780</v>
      </c>
      <c r="AB4" s="545">
        <v>430</v>
      </c>
      <c r="AC4" s="545">
        <v>330</v>
      </c>
      <c r="AD4" s="545">
        <v>0</v>
      </c>
      <c r="AE4" s="546">
        <v>8360</v>
      </c>
    </row>
    <row r="5" spans="1:184" x14ac:dyDescent="0.25">
      <c r="A5" s="134" t="s">
        <v>83</v>
      </c>
      <c r="B5" s="522">
        <v>4200</v>
      </c>
      <c r="C5" s="70">
        <v>820</v>
      </c>
      <c r="D5" s="70">
        <v>760</v>
      </c>
      <c r="E5" s="70">
        <v>780</v>
      </c>
      <c r="F5" s="70">
        <v>530</v>
      </c>
      <c r="G5" s="70">
        <v>790</v>
      </c>
      <c r="H5" s="70">
        <v>500</v>
      </c>
      <c r="I5" s="70">
        <v>0</v>
      </c>
      <c r="J5" s="70">
        <v>700</v>
      </c>
      <c r="K5" s="70">
        <v>330</v>
      </c>
      <c r="L5" s="70">
        <v>320</v>
      </c>
      <c r="M5" s="70">
        <v>400</v>
      </c>
      <c r="N5" s="70">
        <v>500</v>
      </c>
      <c r="O5" s="70">
        <v>490</v>
      </c>
      <c r="P5" s="70">
        <v>0</v>
      </c>
      <c r="Q5" s="70">
        <v>860</v>
      </c>
      <c r="R5" s="70">
        <v>300</v>
      </c>
      <c r="S5" s="70">
        <v>0</v>
      </c>
      <c r="T5" s="70">
        <v>370</v>
      </c>
      <c r="U5" s="70">
        <v>380</v>
      </c>
      <c r="V5" s="70">
        <v>500</v>
      </c>
      <c r="W5" s="70">
        <v>160</v>
      </c>
      <c r="X5" s="70">
        <v>390</v>
      </c>
      <c r="Y5" s="70">
        <v>700</v>
      </c>
      <c r="Z5" s="70">
        <v>780</v>
      </c>
      <c r="AA5" s="70">
        <v>520</v>
      </c>
      <c r="AB5" s="70">
        <v>600</v>
      </c>
      <c r="AC5" s="70">
        <v>500</v>
      </c>
      <c r="AD5" s="70">
        <v>0</v>
      </c>
      <c r="AE5" s="547">
        <v>17180</v>
      </c>
    </row>
    <row r="6" spans="1:184" x14ac:dyDescent="0.25">
      <c r="A6" s="134" t="s">
        <v>84</v>
      </c>
      <c r="B6" s="522">
        <v>1900</v>
      </c>
      <c r="C6" s="70">
        <v>170</v>
      </c>
      <c r="D6" s="70">
        <v>290</v>
      </c>
      <c r="E6" s="70">
        <v>250</v>
      </c>
      <c r="F6" s="70">
        <v>200</v>
      </c>
      <c r="G6" s="70">
        <v>210</v>
      </c>
      <c r="H6" s="70">
        <v>60</v>
      </c>
      <c r="I6" s="70">
        <v>0</v>
      </c>
      <c r="J6" s="70">
        <v>140</v>
      </c>
      <c r="K6" s="70">
        <v>80</v>
      </c>
      <c r="L6" s="70">
        <v>110</v>
      </c>
      <c r="M6" s="70">
        <v>50</v>
      </c>
      <c r="N6" s="70">
        <v>150</v>
      </c>
      <c r="O6" s="70">
        <v>20</v>
      </c>
      <c r="P6" s="70">
        <v>0</v>
      </c>
      <c r="Q6" s="70">
        <v>180</v>
      </c>
      <c r="R6" s="70">
        <v>110</v>
      </c>
      <c r="S6" s="70">
        <v>200</v>
      </c>
      <c r="T6" s="70">
        <v>140</v>
      </c>
      <c r="U6" s="70">
        <v>110</v>
      </c>
      <c r="V6" s="70">
        <v>130</v>
      </c>
      <c r="W6" s="70">
        <v>0</v>
      </c>
      <c r="X6" s="70">
        <v>110</v>
      </c>
      <c r="Y6" s="70">
        <v>200</v>
      </c>
      <c r="Z6" s="70">
        <v>100</v>
      </c>
      <c r="AA6" s="70">
        <v>200</v>
      </c>
      <c r="AB6" s="70">
        <v>210</v>
      </c>
      <c r="AC6" s="70">
        <v>190</v>
      </c>
      <c r="AD6" s="70">
        <v>0</v>
      </c>
      <c r="AE6" s="547">
        <v>5510</v>
      </c>
    </row>
    <row r="7" spans="1:184" x14ac:dyDescent="0.25">
      <c r="A7" s="134" t="s">
        <v>85</v>
      </c>
      <c r="B7" s="522">
        <v>40</v>
      </c>
      <c r="C7" s="70">
        <v>2.5</v>
      </c>
      <c r="D7" s="70">
        <v>7.5</v>
      </c>
      <c r="E7" s="70">
        <v>0</v>
      </c>
      <c r="F7" s="70">
        <v>10</v>
      </c>
      <c r="G7" s="70">
        <v>5</v>
      </c>
      <c r="H7" s="70">
        <v>10</v>
      </c>
      <c r="I7" s="70">
        <v>5</v>
      </c>
      <c r="J7" s="70">
        <v>10</v>
      </c>
      <c r="K7" s="70">
        <v>5</v>
      </c>
      <c r="L7" s="70">
        <v>10</v>
      </c>
      <c r="M7" s="70">
        <v>10</v>
      </c>
      <c r="N7" s="70">
        <v>5</v>
      </c>
      <c r="O7" s="70">
        <v>10</v>
      </c>
      <c r="P7" s="70">
        <v>0</v>
      </c>
      <c r="Q7" s="70">
        <v>5</v>
      </c>
      <c r="R7" s="70">
        <v>5</v>
      </c>
      <c r="S7" s="70">
        <v>5</v>
      </c>
      <c r="T7" s="70">
        <v>5</v>
      </c>
      <c r="U7" s="70">
        <v>5</v>
      </c>
      <c r="V7" s="70">
        <v>5</v>
      </c>
      <c r="W7" s="70">
        <v>0</v>
      </c>
      <c r="X7" s="70">
        <v>10</v>
      </c>
      <c r="Y7" s="70">
        <v>5</v>
      </c>
      <c r="Z7" s="70">
        <v>10</v>
      </c>
      <c r="AA7" s="70">
        <v>5</v>
      </c>
      <c r="AB7" s="70">
        <v>10</v>
      </c>
      <c r="AC7" s="70">
        <v>5</v>
      </c>
      <c r="AD7" s="70">
        <v>0</v>
      </c>
      <c r="AE7" s="547">
        <v>205</v>
      </c>
    </row>
    <row r="8" spans="1:184" ht="14.95" thickBot="1" x14ac:dyDescent="0.3">
      <c r="A8" s="135" t="s">
        <v>86</v>
      </c>
      <c r="B8" s="548">
        <v>155</v>
      </c>
      <c r="C8" s="549">
        <v>15</v>
      </c>
      <c r="D8" s="549">
        <v>10</v>
      </c>
      <c r="E8" s="549">
        <v>0</v>
      </c>
      <c r="F8" s="549">
        <v>10</v>
      </c>
      <c r="G8" s="549">
        <v>20</v>
      </c>
      <c r="H8" s="549">
        <v>10</v>
      </c>
      <c r="I8" s="549">
        <v>0</v>
      </c>
      <c r="J8" s="549">
        <v>15</v>
      </c>
      <c r="K8" s="549">
        <v>15</v>
      </c>
      <c r="L8" s="549">
        <v>15</v>
      </c>
      <c r="M8" s="549">
        <v>15</v>
      </c>
      <c r="N8" s="549">
        <v>15</v>
      </c>
      <c r="O8" s="549">
        <v>10</v>
      </c>
      <c r="P8" s="549">
        <v>0</v>
      </c>
      <c r="Q8" s="549">
        <v>15</v>
      </c>
      <c r="R8" s="549">
        <v>15</v>
      </c>
      <c r="S8" s="549">
        <v>15</v>
      </c>
      <c r="T8" s="549">
        <v>15</v>
      </c>
      <c r="U8" s="549">
        <v>15</v>
      </c>
      <c r="V8" s="549">
        <v>15</v>
      </c>
      <c r="W8" s="549">
        <v>0</v>
      </c>
      <c r="X8" s="549">
        <v>15</v>
      </c>
      <c r="Y8" s="549">
        <v>15</v>
      </c>
      <c r="Z8" s="549">
        <v>15</v>
      </c>
      <c r="AA8" s="549">
        <v>15</v>
      </c>
      <c r="AB8" s="549">
        <v>15</v>
      </c>
      <c r="AC8" s="549">
        <v>10</v>
      </c>
      <c r="AD8" s="549">
        <v>0</v>
      </c>
      <c r="AE8" s="550">
        <v>480</v>
      </c>
    </row>
    <row r="9" spans="1:184" ht="14.95" thickBo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U9" s="91"/>
      <c r="W9" s="91"/>
      <c r="X9" s="91"/>
    </row>
    <row r="10" spans="1:184" ht="14.95" thickBot="1" x14ac:dyDescent="0.3">
      <c r="A10" s="561" t="s">
        <v>4</v>
      </c>
      <c r="B10" s="562"/>
      <c r="C10" s="562"/>
      <c r="D10" s="562"/>
      <c r="E10" s="562"/>
      <c r="F10" s="563"/>
      <c r="H10" s="91"/>
      <c r="I10" s="91"/>
      <c r="J10" s="91"/>
      <c r="K10" s="91"/>
      <c r="L10" s="91"/>
      <c r="M10" s="91"/>
      <c r="N10" s="91"/>
      <c r="W10" s="91"/>
      <c r="X10" s="91"/>
    </row>
    <row r="11" spans="1:184" ht="14.95" thickBot="1" x14ac:dyDescent="0.3">
      <c r="A11" s="159"/>
      <c r="B11" s="118" t="s">
        <v>80</v>
      </c>
      <c r="C11" s="119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1"/>
    </row>
    <row r="12" spans="1:184" ht="14.95" thickBot="1" x14ac:dyDescent="0.3">
      <c r="A12" s="137" t="s">
        <v>81</v>
      </c>
      <c r="B12" s="111">
        <v>1</v>
      </c>
      <c r="C12" s="112">
        <v>2</v>
      </c>
      <c r="D12" s="112">
        <v>3</v>
      </c>
      <c r="E12" s="112">
        <v>4</v>
      </c>
      <c r="F12" s="112">
        <v>5</v>
      </c>
      <c r="G12" s="112">
        <v>6</v>
      </c>
      <c r="H12" s="112">
        <v>7</v>
      </c>
      <c r="I12" s="112">
        <v>8</v>
      </c>
      <c r="J12" s="112">
        <v>9</v>
      </c>
      <c r="K12" s="112">
        <v>10</v>
      </c>
      <c r="L12" s="112">
        <v>11</v>
      </c>
      <c r="M12" s="112">
        <v>12</v>
      </c>
      <c r="N12" s="112">
        <v>13</v>
      </c>
      <c r="O12" s="112">
        <v>14</v>
      </c>
      <c r="P12" s="112">
        <v>15</v>
      </c>
      <c r="Q12" s="112">
        <v>16</v>
      </c>
      <c r="R12" s="112">
        <v>17</v>
      </c>
      <c r="S12" s="112">
        <v>18</v>
      </c>
      <c r="T12" s="112">
        <v>19</v>
      </c>
      <c r="U12" s="112">
        <v>20</v>
      </c>
      <c r="V12" s="112">
        <v>21</v>
      </c>
      <c r="W12" s="112">
        <v>22</v>
      </c>
      <c r="X12" s="112">
        <v>23</v>
      </c>
      <c r="Y12" s="112">
        <v>24</v>
      </c>
      <c r="Z12" s="112">
        <v>25</v>
      </c>
      <c r="AA12" s="112">
        <v>26</v>
      </c>
      <c r="AB12" s="112">
        <v>27</v>
      </c>
      <c r="AC12" s="112">
        <v>28</v>
      </c>
      <c r="AD12" s="122" t="s">
        <v>301</v>
      </c>
      <c r="AE12" s="123" t="s">
        <v>72</v>
      </c>
    </row>
    <row r="13" spans="1:184" x14ac:dyDescent="0.25">
      <c r="A13" s="115" t="s">
        <v>87</v>
      </c>
      <c r="B13" s="95">
        <v>195</v>
      </c>
      <c r="C13" s="96">
        <v>572</v>
      </c>
      <c r="D13" s="96">
        <v>715</v>
      </c>
      <c r="E13" s="96">
        <v>1131</v>
      </c>
      <c r="F13" s="96">
        <v>390</v>
      </c>
      <c r="G13" s="96">
        <v>260</v>
      </c>
      <c r="H13" s="96">
        <v>325</v>
      </c>
      <c r="I13" s="96">
        <v>0</v>
      </c>
      <c r="J13" s="96">
        <v>195</v>
      </c>
      <c r="K13" s="96">
        <v>351</v>
      </c>
      <c r="L13" s="96">
        <v>390</v>
      </c>
      <c r="M13" s="96">
        <v>429</v>
      </c>
      <c r="N13" s="96">
        <v>403</v>
      </c>
      <c r="O13" s="96">
        <v>117</v>
      </c>
      <c r="P13" s="96">
        <v>0</v>
      </c>
      <c r="Q13" s="96">
        <v>520</v>
      </c>
      <c r="R13" s="96">
        <v>325</v>
      </c>
      <c r="S13" s="96">
        <v>364</v>
      </c>
      <c r="T13" s="96">
        <v>416</v>
      </c>
      <c r="U13" s="96">
        <v>325</v>
      </c>
      <c r="V13" s="96">
        <v>364</v>
      </c>
      <c r="W13" s="96">
        <v>0</v>
      </c>
      <c r="X13" s="96">
        <v>676</v>
      </c>
      <c r="Y13" s="96">
        <v>169</v>
      </c>
      <c r="Z13" s="96">
        <v>234</v>
      </c>
      <c r="AA13" s="96">
        <v>1014</v>
      </c>
      <c r="AB13" s="96">
        <v>559</v>
      </c>
      <c r="AC13" s="96">
        <v>429</v>
      </c>
      <c r="AD13" s="96">
        <v>0</v>
      </c>
      <c r="AE13" s="97">
        <v>10868</v>
      </c>
    </row>
    <row r="14" spans="1:184" x14ac:dyDescent="0.25">
      <c r="A14" s="116" t="s">
        <v>88</v>
      </c>
      <c r="B14" s="113">
        <v>5565</v>
      </c>
      <c r="C14" s="90">
        <v>1086.5</v>
      </c>
      <c r="D14" s="90">
        <v>1007</v>
      </c>
      <c r="E14" s="90">
        <v>1033.5</v>
      </c>
      <c r="F14" s="90">
        <v>702.25</v>
      </c>
      <c r="G14" s="90">
        <v>1046.75</v>
      </c>
      <c r="H14" s="90">
        <v>662.5</v>
      </c>
      <c r="I14" s="90">
        <v>0</v>
      </c>
      <c r="J14" s="90">
        <v>927.5</v>
      </c>
      <c r="K14" s="90">
        <v>437.25</v>
      </c>
      <c r="L14" s="90">
        <v>424</v>
      </c>
      <c r="M14" s="90">
        <v>530</v>
      </c>
      <c r="N14" s="90">
        <v>662.5</v>
      </c>
      <c r="O14" s="90">
        <v>649.25</v>
      </c>
      <c r="P14" s="90">
        <v>0</v>
      </c>
      <c r="Q14" s="90">
        <v>1139.5</v>
      </c>
      <c r="R14" s="90">
        <v>397.5</v>
      </c>
      <c r="S14" s="90">
        <v>0</v>
      </c>
      <c r="T14" s="90">
        <v>490.25</v>
      </c>
      <c r="U14" s="90">
        <v>503.5</v>
      </c>
      <c r="V14" s="90">
        <v>662.5</v>
      </c>
      <c r="W14" s="90">
        <v>212</v>
      </c>
      <c r="X14" s="90">
        <v>516.75</v>
      </c>
      <c r="Y14" s="90">
        <v>927.5</v>
      </c>
      <c r="Z14" s="90">
        <v>1033.5</v>
      </c>
      <c r="AA14" s="90">
        <v>689</v>
      </c>
      <c r="AB14" s="90">
        <v>795</v>
      </c>
      <c r="AC14" s="90">
        <v>662.5</v>
      </c>
      <c r="AD14" s="90">
        <v>0</v>
      </c>
      <c r="AE14" s="114">
        <v>22763.5</v>
      </c>
    </row>
    <row r="15" spans="1:184" x14ac:dyDescent="0.25">
      <c r="A15" s="116" t="s">
        <v>89</v>
      </c>
      <c r="B15" s="113">
        <v>2375</v>
      </c>
      <c r="C15" s="90">
        <v>212.5</v>
      </c>
      <c r="D15" s="90">
        <v>362.5</v>
      </c>
      <c r="E15" s="90">
        <v>312.5</v>
      </c>
      <c r="F15" s="90">
        <v>250</v>
      </c>
      <c r="G15" s="90">
        <v>262.5</v>
      </c>
      <c r="H15" s="90">
        <v>75</v>
      </c>
      <c r="I15" s="90">
        <v>0</v>
      </c>
      <c r="J15" s="90">
        <v>175</v>
      </c>
      <c r="K15" s="90">
        <v>100</v>
      </c>
      <c r="L15" s="90">
        <v>137.5</v>
      </c>
      <c r="M15" s="90">
        <v>62.5</v>
      </c>
      <c r="N15" s="90">
        <v>187.5</v>
      </c>
      <c r="O15" s="90">
        <v>25</v>
      </c>
      <c r="P15" s="90">
        <v>0</v>
      </c>
      <c r="Q15" s="90">
        <v>225</v>
      </c>
      <c r="R15" s="90">
        <v>137.5</v>
      </c>
      <c r="S15" s="90">
        <v>250</v>
      </c>
      <c r="T15" s="90">
        <v>175</v>
      </c>
      <c r="U15" s="90">
        <v>137.5</v>
      </c>
      <c r="V15" s="90">
        <v>162.5</v>
      </c>
      <c r="W15" s="90">
        <v>0</v>
      </c>
      <c r="X15" s="90">
        <v>137.5</v>
      </c>
      <c r="Y15" s="90">
        <v>250</v>
      </c>
      <c r="Z15" s="90">
        <v>125</v>
      </c>
      <c r="AA15" s="90">
        <v>250</v>
      </c>
      <c r="AB15" s="90">
        <v>262.5</v>
      </c>
      <c r="AC15" s="90">
        <v>237.5</v>
      </c>
      <c r="AD15" s="90">
        <v>0</v>
      </c>
      <c r="AE15" s="114">
        <v>6887.5</v>
      </c>
    </row>
    <row r="16" spans="1:184" x14ac:dyDescent="0.25">
      <c r="A16" s="116" t="s">
        <v>90</v>
      </c>
      <c r="B16" s="113">
        <v>40</v>
      </c>
      <c r="C16" s="90">
        <v>2.5</v>
      </c>
      <c r="D16" s="90">
        <v>7.5</v>
      </c>
      <c r="E16" s="90">
        <v>0</v>
      </c>
      <c r="F16" s="90">
        <v>10</v>
      </c>
      <c r="G16" s="90">
        <v>5</v>
      </c>
      <c r="H16" s="90">
        <v>10</v>
      </c>
      <c r="I16" s="90">
        <v>5</v>
      </c>
      <c r="J16" s="90">
        <v>10</v>
      </c>
      <c r="K16" s="90">
        <v>5</v>
      </c>
      <c r="L16" s="90">
        <v>10</v>
      </c>
      <c r="M16" s="90">
        <v>10</v>
      </c>
      <c r="N16" s="90">
        <v>5</v>
      </c>
      <c r="O16" s="90">
        <v>10</v>
      </c>
      <c r="P16" s="90">
        <v>0</v>
      </c>
      <c r="Q16" s="90">
        <v>5</v>
      </c>
      <c r="R16" s="90">
        <v>5</v>
      </c>
      <c r="S16" s="90">
        <v>5</v>
      </c>
      <c r="T16" s="90">
        <v>5</v>
      </c>
      <c r="U16" s="90">
        <v>5</v>
      </c>
      <c r="V16" s="90">
        <v>5</v>
      </c>
      <c r="W16" s="90">
        <v>0</v>
      </c>
      <c r="X16" s="90">
        <v>10</v>
      </c>
      <c r="Y16" s="90">
        <v>5</v>
      </c>
      <c r="Z16" s="90">
        <v>10</v>
      </c>
      <c r="AA16" s="90">
        <v>5</v>
      </c>
      <c r="AB16" s="90">
        <v>10</v>
      </c>
      <c r="AC16" s="90">
        <v>5</v>
      </c>
      <c r="AD16" s="90">
        <v>0</v>
      </c>
      <c r="AE16" s="114">
        <v>205</v>
      </c>
    </row>
    <row r="17" spans="1:31" ht="14.95" thickBot="1" x14ac:dyDescent="0.3">
      <c r="A17" s="117" t="s">
        <v>91</v>
      </c>
      <c r="B17" s="98">
        <v>155</v>
      </c>
      <c r="C17" s="99">
        <v>15</v>
      </c>
      <c r="D17" s="99">
        <v>10</v>
      </c>
      <c r="E17" s="99">
        <v>0</v>
      </c>
      <c r="F17" s="99">
        <v>10</v>
      </c>
      <c r="G17" s="99">
        <v>20</v>
      </c>
      <c r="H17" s="99">
        <v>10</v>
      </c>
      <c r="I17" s="99">
        <v>0</v>
      </c>
      <c r="J17" s="99">
        <v>15</v>
      </c>
      <c r="K17" s="99">
        <v>15</v>
      </c>
      <c r="L17" s="99">
        <v>15</v>
      </c>
      <c r="M17" s="99">
        <v>15</v>
      </c>
      <c r="N17" s="99">
        <v>15</v>
      </c>
      <c r="O17" s="99">
        <v>10</v>
      </c>
      <c r="P17" s="99">
        <v>0</v>
      </c>
      <c r="Q17" s="99">
        <v>15</v>
      </c>
      <c r="R17" s="99">
        <v>15</v>
      </c>
      <c r="S17" s="99">
        <v>15</v>
      </c>
      <c r="T17" s="99">
        <v>15</v>
      </c>
      <c r="U17" s="99">
        <v>15</v>
      </c>
      <c r="V17" s="99">
        <v>15</v>
      </c>
      <c r="W17" s="99">
        <v>0</v>
      </c>
      <c r="X17" s="99">
        <v>15</v>
      </c>
      <c r="Y17" s="99">
        <v>15</v>
      </c>
      <c r="Z17" s="99">
        <v>15</v>
      </c>
      <c r="AA17" s="99">
        <v>15</v>
      </c>
      <c r="AB17" s="99">
        <v>15</v>
      </c>
      <c r="AC17" s="99">
        <v>10</v>
      </c>
      <c r="AD17" s="99">
        <v>0</v>
      </c>
      <c r="AE17" s="100">
        <v>480</v>
      </c>
    </row>
    <row r="18" spans="1:31" ht="14.95" thickBot="1" x14ac:dyDescent="0.3"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U18" s="91"/>
      <c r="W18" s="91"/>
      <c r="X18" s="91"/>
    </row>
    <row r="19" spans="1:31" ht="14.95" thickBot="1" x14ac:dyDescent="0.3">
      <c r="A19" s="555" t="s">
        <v>16</v>
      </c>
      <c r="B19" s="556"/>
      <c r="C19" s="556"/>
      <c r="D19" s="556"/>
      <c r="E19" s="556"/>
      <c r="F19" s="557"/>
      <c r="H19" s="91"/>
      <c r="I19" s="91"/>
      <c r="J19" s="91"/>
      <c r="K19" s="91"/>
      <c r="L19" s="91"/>
      <c r="M19" s="91"/>
      <c r="W19" s="91"/>
      <c r="X19" s="91"/>
    </row>
    <row r="20" spans="1:31" ht="14.95" thickBot="1" x14ac:dyDescent="0.3">
      <c r="A20" s="543"/>
      <c r="B20" s="143" t="s">
        <v>80</v>
      </c>
      <c r="C20" s="144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9"/>
      <c r="AE20"/>
    </row>
    <row r="21" spans="1:31" ht="14.95" thickBot="1" x14ac:dyDescent="0.3">
      <c r="A21" s="148" t="s">
        <v>81</v>
      </c>
      <c r="B21" s="145">
        <v>1</v>
      </c>
      <c r="C21" s="146">
        <v>2</v>
      </c>
      <c r="D21" s="146">
        <v>3</v>
      </c>
      <c r="E21" s="146">
        <v>4</v>
      </c>
      <c r="F21" s="146">
        <v>5</v>
      </c>
      <c r="G21" s="146">
        <v>6</v>
      </c>
      <c r="H21" s="146">
        <v>7</v>
      </c>
      <c r="I21" s="146">
        <v>8</v>
      </c>
      <c r="J21" s="146">
        <v>9</v>
      </c>
      <c r="K21" s="146">
        <v>10</v>
      </c>
      <c r="L21" s="146">
        <v>11</v>
      </c>
      <c r="M21" s="146">
        <v>12</v>
      </c>
      <c r="N21" s="146">
        <v>13</v>
      </c>
      <c r="O21" s="146">
        <v>14</v>
      </c>
      <c r="P21" s="146">
        <v>15</v>
      </c>
      <c r="Q21" s="146">
        <v>16</v>
      </c>
      <c r="R21" s="146">
        <v>17</v>
      </c>
      <c r="S21" s="146">
        <v>18</v>
      </c>
      <c r="T21" s="146">
        <v>19</v>
      </c>
      <c r="U21" s="146">
        <v>20</v>
      </c>
      <c r="V21" s="146">
        <v>21</v>
      </c>
      <c r="W21" s="146">
        <v>22</v>
      </c>
      <c r="X21" s="146">
        <v>23</v>
      </c>
      <c r="Y21" s="146">
        <v>24</v>
      </c>
      <c r="Z21" s="146">
        <v>25</v>
      </c>
      <c r="AA21" s="146">
        <v>26</v>
      </c>
      <c r="AB21" s="146">
        <v>27</v>
      </c>
      <c r="AC21" s="146">
        <v>28</v>
      </c>
      <c r="AD21" s="147" t="s">
        <v>301</v>
      </c>
      <c r="AE21"/>
    </row>
    <row r="22" spans="1:31" x14ac:dyDescent="0.25">
      <c r="A22" s="140" t="s">
        <v>92</v>
      </c>
      <c r="B22" s="108" t="e">
        <v>#DIV/0!</v>
      </c>
      <c r="C22" s="103">
        <v>-0.41536109910936997</v>
      </c>
      <c r="D22" s="103">
        <v>433.33333333333331</v>
      </c>
      <c r="E22" s="103">
        <v>718.09523809523807</v>
      </c>
      <c r="F22" s="103">
        <v>260</v>
      </c>
      <c r="G22" s="103">
        <v>192.59259259259258</v>
      </c>
      <c r="H22" s="103">
        <v>361.11111111111109</v>
      </c>
      <c r="I22" s="103" t="e">
        <v>#DIV/0!</v>
      </c>
      <c r="J22" s="103">
        <v>144.44444444444446</v>
      </c>
      <c r="K22" s="103">
        <v>246.31578947368422</v>
      </c>
      <c r="L22" s="103">
        <v>305.88235294117646</v>
      </c>
      <c r="M22" s="103">
        <v>357.5</v>
      </c>
      <c r="N22" s="103">
        <v>358.22222222222223</v>
      </c>
      <c r="O22" s="103">
        <v>104</v>
      </c>
      <c r="P22" s="103" t="e">
        <v>#DIV/0!</v>
      </c>
      <c r="Q22" s="103">
        <v>361.11111111111109</v>
      </c>
      <c r="R22" s="103">
        <v>270.83333333333331</v>
      </c>
      <c r="S22" s="103">
        <v>379.16666666666669</v>
      </c>
      <c r="T22" s="103">
        <v>346.66666666666669</v>
      </c>
      <c r="U22" s="103">
        <v>238.97058823529412</v>
      </c>
      <c r="V22" s="103">
        <v>413.63636363636363</v>
      </c>
      <c r="W22" s="103" t="e">
        <v>#DIV/0!</v>
      </c>
      <c r="X22" s="103">
        <v>938.88888888888891</v>
      </c>
      <c r="Y22" s="103">
        <v>150.89285714285714</v>
      </c>
      <c r="Z22" s="103">
        <v>162.5</v>
      </c>
      <c r="AA22" s="103">
        <v>576.13636363636363</v>
      </c>
      <c r="AB22" s="103">
        <v>388.19444444444446</v>
      </c>
      <c r="AC22" s="103">
        <v>446.875</v>
      </c>
      <c r="AD22" s="104" t="e">
        <v>#DIV/0!</v>
      </c>
      <c r="AE22"/>
    </row>
    <row r="23" spans="1:31" x14ac:dyDescent="0.25">
      <c r="A23" s="141" t="s">
        <v>93</v>
      </c>
      <c r="B23" s="124" t="e">
        <v>#DIV/0!</v>
      </c>
      <c r="C23" s="94">
        <v>-0.78896824157750078</v>
      </c>
      <c r="D23" s="94">
        <v>610.30303030303025</v>
      </c>
      <c r="E23" s="94">
        <v>656.19047619047615</v>
      </c>
      <c r="F23" s="94">
        <v>468.16666666666669</v>
      </c>
      <c r="G23" s="94">
        <v>775.37037037037032</v>
      </c>
      <c r="H23" s="94">
        <v>736.11111111111109</v>
      </c>
      <c r="I23" s="94" t="e">
        <v>#DIV/0!</v>
      </c>
      <c r="J23" s="94">
        <v>687.03703703703707</v>
      </c>
      <c r="K23" s="94">
        <v>306.84210526315792</v>
      </c>
      <c r="L23" s="94">
        <v>332.54901960784315</v>
      </c>
      <c r="M23" s="94">
        <v>441.66666666666669</v>
      </c>
      <c r="N23" s="94">
        <v>588.88888888888891</v>
      </c>
      <c r="O23" s="94">
        <v>577.11111111111109</v>
      </c>
      <c r="P23" s="94" t="e">
        <v>#DIV/0!</v>
      </c>
      <c r="Q23" s="94">
        <v>791.31944444444446</v>
      </c>
      <c r="R23" s="94">
        <v>331.25</v>
      </c>
      <c r="S23" s="94">
        <v>0</v>
      </c>
      <c r="T23" s="94">
        <v>408.54166666666669</v>
      </c>
      <c r="U23" s="94">
        <v>370.22058823529414</v>
      </c>
      <c r="V23" s="94">
        <v>752.84090909090912</v>
      </c>
      <c r="W23" s="94" t="e">
        <v>#DIV/0!</v>
      </c>
      <c r="X23" s="94">
        <v>717.70833333333337</v>
      </c>
      <c r="Y23" s="94">
        <v>828.125</v>
      </c>
      <c r="Z23" s="94">
        <v>717.70833333333337</v>
      </c>
      <c r="AA23" s="94">
        <v>391.47727272727275</v>
      </c>
      <c r="AB23" s="94">
        <v>552.08333333333337</v>
      </c>
      <c r="AC23" s="94">
        <v>690.10416666666663</v>
      </c>
      <c r="AD23" s="110" t="e">
        <v>#DIV/0!</v>
      </c>
      <c r="AE23"/>
    </row>
    <row r="24" spans="1:31" x14ac:dyDescent="0.25">
      <c r="A24" s="141" t="s">
        <v>94</v>
      </c>
      <c r="B24" s="124" t="e">
        <v>#DIV/0!</v>
      </c>
      <c r="C24" s="94">
        <v>-0.15430810063066627</v>
      </c>
      <c r="D24" s="94">
        <v>219.69696969696969</v>
      </c>
      <c r="E24" s="94">
        <v>198.4126984126984</v>
      </c>
      <c r="F24" s="94">
        <v>166.66666666666666</v>
      </c>
      <c r="G24" s="94">
        <v>194.44444444444446</v>
      </c>
      <c r="H24" s="94">
        <v>83.333333333333329</v>
      </c>
      <c r="I24" s="94" t="e">
        <v>#DIV/0!</v>
      </c>
      <c r="J24" s="94">
        <v>129.62962962962962</v>
      </c>
      <c r="K24" s="94">
        <v>70.175438596491233</v>
      </c>
      <c r="L24" s="94">
        <v>107.84313725490196</v>
      </c>
      <c r="M24" s="94">
        <v>52.083333333333336</v>
      </c>
      <c r="N24" s="94">
        <v>166.66666666666666</v>
      </c>
      <c r="O24" s="94">
        <v>22.222222222222221</v>
      </c>
      <c r="P24" s="94" t="e">
        <v>#DIV/0!</v>
      </c>
      <c r="Q24" s="94">
        <v>156.25</v>
      </c>
      <c r="R24" s="94">
        <v>114.58333333333333</v>
      </c>
      <c r="S24" s="94">
        <v>260.41666666666669</v>
      </c>
      <c r="T24" s="94">
        <v>145.83333333333334</v>
      </c>
      <c r="U24" s="94">
        <v>101.10294117647059</v>
      </c>
      <c r="V24" s="94">
        <v>184.65909090909091</v>
      </c>
      <c r="W24" s="94" t="e">
        <v>#DIV/0!</v>
      </c>
      <c r="X24" s="94">
        <v>190.97222222222223</v>
      </c>
      <c r="Y24" s="94">
        <v>223.21428571428572</v>
      </c>
      <c r="Z24" s="94">
        <v>86.805555555555557</v>
      </c>
      <c r="AA24" s="94">
        <v>142.04545454545453</v>
      </c>
      <c r="AB24" s="94">
        <v>182.29166666666666</v>
      </c>
      <c r="AC24" s="94">
        <v>247.39583333333334</v>
      </c>
      <c r="AD24" s="110" t="e">
        <v>#DIV/0!</v>
      </c>
      <c r="AE24"/>
    </row>
    <row r="25" spans="1:31" x14ac:dyDescent="0.25">
      <c r="A25" s="141" t="s">
        <v>95</v>
      </c>
      <c r="B25" s="124" t="e">
        <v>#DIV/0!</v>
      </c>
      <c r="C25" s="94">
        <v>-1.8153894191843092E-3</v>
      </c>
      <c r="D25" s="94">
        <v>4.5454545454545459</v>
      </c>
      <c r="E25" s="94">
        <v>0</v>
      </c>
      <c r="F25" s="94">
        <v>6.666666666666667</v>
      </c>
      <c r="G25" s="94">
        <v>3.7037037037037037</v>
      </c>
      <c r="H25" s="94">
        <v>11.111111111111111</v>
      </c>
      <c r="I25" s="94" t="e">
        <v>#DIV/0!</v>
      </c>
      <c r="J25" s="94">
        <v>7.4074074074074074</v>
      </c>
      <c r="K25" s="94">
        <v>3.5087719298245612</v>
      </c>
      <c r="L25" s="94">
        <v>7.8431372549019605</v>
      </c>
      <c r="M25" s="94">
        <v>8.3333333333333339</v>
      </c>
      <c r="N25" s="94">
        <v>4.4444444444444446</v>
      </c>
      <c r="O25" s="94">
        <v>8.8888888888888893</v>
      </c>
      <c r="P25" s="94" t="e">
        <v>#DIV/0!</v>
      </c>
      <c r="Q25" s="94">
        <v>3.4722222222222223</v>
      </c>
      <c r="R25" s="94">
        <v>4.166666666666667</v>
      </c>
      <c r="S25" s="94">
        <v>5.208333333333333</v>
      </c>
      <c r="T25" s="94">
        <v>4.166666666666667</v>
      </c>
      <c r="U25" s="94">
        <v>3.6764705882352939</v>
      </c>
      <c r="V25" s="94">
        <v>5.6818181818181817</v>
      </c>
      <c r="W25" s="94" t="e">
        <v>#DIV/0!</v>
      </c>
      <c r="X25" s="94">
        <v>13.888888888888889</v>
      </c>
      <c r="Y25" s="94">
        <v>4.4642857142857144</v>
      </c>
      <c r="Z25" s="94">
        <v>6.9444444444444446</v>
      </c>
      <c r="AA25" s="94">
        <v>2.8409090909090908</v>
      </c>
      <c r="AB25" s="94">
        <v>6.9444444444444446</v>
      </c>
      <c r="AC25" s="94">
        <v>5.208333333333333</v>
      </c>
      <c r="AD25" s="110" t="e">
        <v>#DIV/0!</v>
      </c>
      <c r="AE25"/>
    </row>
    <row r="26" spans="1:31" ht="14.95" thickBot="1" x14ac:dyDescent="0.3">
      <c r="A26" s="142" t="s">
        <v>96</v>
      </c>
      <c r="B26" s="107" t="e">
        <v>#DIV/0!</v>
      </c>
      <c r="C26" s="105">
        <v>-1.0892336515105855E-2</v>
      </c>
      <c r="D26" s="105">
        <v>6.0606060606060606</v>
      </c>
      <c r="E26" s="105">
        <v>0</v>
      </c>
      <c r="F26" s="105">
        <v>6.666666666666667</v>
      </c>
      <c r="G26" s="105">
        <v>14.814814814814815</v>
      </c>
      <c r="H26" s="105">
        <v>11.111111111111111</v>
      </c>
      <c r="I26" s="105" t="e">
        <v>#DIV/0!</v>
      </c>
      <c r="J26" s="105">
        <v>11.111111111111111</v>
      </c>
      <c r="K26" s="105">
        <v>10.526315789473685</v>
      </c>
      <c r="L26" s="105">
        <v>11.764705882352942</v>
      </c>
      <c r="M26" s="105">
        <v>12.5</v>
      </c>
      <c r="N26" s="105">
        <v>13.333333333333334</v>
      </c>
      <c r="O26" s="105">
        <v>8.8888888888888893</v>
      </c>
      <c r="P26" s="105" t="e">
        <v>#DIV/0!</v>
      </c>
      <c r="Q26" s="105">
        <v>10.416666666666666</v>
      </c>
      <c r="R26" s="105">
        <v>12.5</v>
      </c>
      <c r="S26" s="105">
        <v>15.625</v>
      </c>
      <c r="T26" s="105">
        <v>12.5</v>
      </c>
      <c r="U26" s="105">
        <v>11.029411764705882</v>
      </c>
      <c r="V26" s="105">
        <v>17.045454545454547</v>
      </c>
      <c r="W26" s="105" t="e">
        <v>#DIV/0!</v>
      </c>
      <c r="X26" s="105">
        <v>20.833333333333332</v>
      </c>
      <c r="Y26" s="105">
        <v>13.392857142857142</v>
      </c>
      <c r="Z26" s="105">
        <v>10.416666666666666</v>
      </c>
      <c r="AA26" s="105">
        <v>8.5227272727272734</v>
      </c>
      <c r="AB26" s="105">
        <v>10.416666666666666</v>
      </c>
      <c r="AC26" s="105">
        <v>10.416666666666666</v>
      </c>
      <c r="AD26" s="106" t="e">
        <v>#DIV/0!</v>
      </c>
      <c r="AE26"/>
    </row>
    <row r="27" spans="1:31" x14ac:dyDescent="0.25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U27" s="91"/>
      <c r="W27" s="91"/>
      <c r="X27" s="91"/>
    </row>
    <row r="28" spans="1:31" ht="14.95" thickBo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U28" s="91"/>
      <c r="W28" s="91"/>
      <c r="X28" s="91"/>
    </row>
    <row r="29" spans="1:31" ht="14.95" thickBot="1" x14ac:dyDescent="0.3">
      <c r="A29" s="508"/>
      <c r="B29" s="109" t="s">
        <v>80</v>
      </c>
      <c r="C29" s="149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1"/>
    </row>
    <row r="30" spans="1:31" ht="14.95" thickBot="1" x14ac:dyDescent="0.3">
      <c r="A30" s="509"/>
      <c r="B30" s="152">
        <v>1</v>
      </c>
      <c r="C30" s="153">
        <v>2</v>
      </c>
      <c r="D30" s="153">
        <v>3</v>
      </c>
      <c r="E30" s="153">
        <v>4</v>
      </c>
      <c r="F30" s="153">
        <v>5</v>
      </c>
      <c r="G30" s="153">
        <v>6</v>
      </c>
      <c r="H30" s="153">
        <v>7</v>
      </c>
      <c r="I30" s="153">
        <v>8</v>
      </c>
      <c r="J30" s="153">
        <v>9</v>
      </c>
      <c r="K30" s="153">
        <v>10</v>
      </c>
      <c r="L30" s="153">
        <v>11</v>
      </c>
      <c r="M30" s="153">
        <v>12</v>
      </c>
      <c r="N30" s="153">
        <v>13</v>
      </c>
      <c r="O30" s="153">
        <v>14</v>
      </c>
      <c r="P30" s="153">
        <v>15</v>
      </c>
      <c r="Q30" s="153">
        <v>16</v>
      </c>
      <c r="R30" s="153">
        <v>17</v>
      </c>
      <c r="S30" s="153">
        <v>18</v>
      </c>
      <c r="T30" s="153">
        <v>19</v>
      </c>
      <c r="U30" s="153">
        <v>20</v>
      </c>
      <c r="V30" s="153">
        <v>21</v>
      </c>
      <c r="W30" s="153">
        <v>22</v>
      </c>
      <c r="X30" s="153">
        <v>23</v>
      </c>
      <c r="Y30" s="153">
        <v>24</v>
      </c>
      <c r="Z30" s="153">
        <v>25</v>
      </c>
      <c r="AA30" s="153">
        <v>26</v>
      </c>
      <c r="AB30" s="153">
        <v>27</v>
      </c>
      <c r="AC30" s="153">
        <v>28</v>
      </c>
      <c r="AD30" s="154" t="s">
        <v>301</v>
      </c>
      <c r="AE30" s="155" t="s">
        <v>72</v>
      </c>
    </row>
    <row r="31" spans="1:31" ht="14.95" thickBot="1" x14ac:dyDescent="0.3">
      <c r="A31" t="s">
        <v>78</v>
      </c>
      <c r="B31" s="510">
        <v>0</v>
      </c>
      <c r="C31" s="511">
        <v>-1377115</v>
      </c>
      <c r="D31" s="511">
        <v>1650</v>
      </c>
      <c r="E31" s="511">
        <v>1575</v>
      </c>
      <c r="F31" s="511">
        <v>1500</v>
      </c>
      <c r="G31" s="511">
        <v>1350</v>
      </c>
      <c r="H31" s="511">
        <v>900</v>
      </c>
      <c r="I31" s="511">
        <v>0</v>
      </c>
      <c r="J31" s="511">
        <v>1350</v>
      </c>
      <c r="K31" s="511">
        <v>1425</v>
      </c>
      <c r="L31" s="511">
        <v>1275</v>
      </c>
      <c r="M31" s="511">
        <v>1200</v>
      </c>
      <c r="N31" s="511">
        <v>1125</v>
      </c>
      <c r="O31" s="511">
        <v>1125</v>
      </c>
      <c r="P31" s="511">
        <v>0</v>
      </c>
      <c r="Q31" s="511">
        <v>1440</v>
      </c>
      <c r="R31" s="511">
        <v>1200</v>
      </c>
      <c r="S31" s="511">
        <v>960</v>
      </c>
      <c r="T31" s="511">
        <v>1200</v>
      </c>
      <c r="U31" s="511">
        <v>1360</v>
      </c>
      <c r="V31" s="511">
        <v>880</v>
      </c>
      <c r="W31" s="511">
        <v>0</v>
      </c>
      <c r="X31" s="511">
        <v>720</v>
      </c>
      <c r="Y31" s="511">
        <v>1120</v>
      </c>
      <c r="Z31" s="511">
        <v>1440</v>
      </c>
      <c r="AA31" s="511">
        <v>1760</v>
      </c>
      <c r="AB31" s="511">
        <v>1440</v>
      </c>
      <c r="AC31" s="511">
        <v>960</v>
      </c>
      <c r="AD31" s="511">
        <v>0</v>
      </c>
      <c r="AE31" s="512">
        <v>-1348160</v>
      </c>
    </row>
    <row r="32" spans="1:31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24" x14ac:dyDescent="0.25">
      <c r="B33" s="91"/>
      <c r="C33" s="91"/>
      <c r="D33" s="91"/>
      <c r="E33" s="91"/>
      <c r="F33" s="91"/>
      <c r="H33" s="91"/>
      <c r="I33" s="91"/>
      <c r="J33" s="91"/>
      <c r="K33" s="91"/>
      <c r="L33" s="91"/>
      <c r="M33" s="91"/>
      <c r="W33" s="91"/>
      <c r="X33" s="91"/>
    </row>
    <row r="34" spans="2:24" x14ac:dyDescent="0.25">
      <c r="B34" s="91"/>
      <c r="C34" s="91"/>
      <c r="D34" s="91"/>
      <c r="E34" s="91"/>
      <c r="F34" s="91"/>
      <c r="H34" s="91"/>
      <c r="I34" s="91"/>
      <c r="J34" s="91"/>
      <c r="K34" s="91"/>
      <c r="L34" s="91"/>
      <c r="M34" s="91"/>
      <c r="W34" s="91"/>
      <c r="X34" s="91"/>
    </row>
    <row r="35" spans="2:24" x14ac:dyDescent="0.25">
      <c r="B35" s="91"/>
      <c r="C35" s="91"/>
      <c r="D35" s="91"/>
      <c r="E35" s="91"/>
      <c r="F35" s="91"/>
      <c r="H35" s="91"/>
      <c r="I35" s="91"/>
      <c r="J35" s="91"/>
      <c r="K35" s="91"/>
      <c r="L35" s="91"/>
      <c r="M35" s="91"/>
      <c r="W35" s="91"/>
      <c r="X35" s="91"/>
    </row>
    <row r="36" spans="2:24" x14ac:dyDescent="0.25">
      <c r="W36" s="91"/>
      <c r="X36" s="91"/>
    </row>
    <row r="44" spans="2:24" x14ac:dyDescent="0.25">
      <c r="W44" s="91"/>
      <c r="X44" s="91"/>
    </row>
    <row r="45" spans="2:24" x14ac:dyDescent="0.25">
      <c r="W45" s="91"/>
      <c r="X45" s="91"/>
    </row>
    <row r="46" spans="2:24" x14ac:dyDescent="0.25">
      <c r="W46" s="91"/>
      <c r="X46" s="91"/>
    </row>
    <row r="51" spans="2:24" x14ac:dyDescent="0.25"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U51" s="91"/>
      <c r="W51" s="91"/>
      <c r="X51" s="91"/>
    </row>
    <row r="52" spans="2:24" x14ac:dyDescent="0.25">
      <c r="W52" s="91"/>
      <c r="X52" s="91"/>
    </row>
    <row r="60" spans="2:24" x14ac:dyDescent="0.25">
      <c r="W60" s="91"/>
      <c r="X60" s="91"/>
    </row>
    <row r="61" spans="2:24" x14ac:dyDescent="0.25">
      <c r="W61" s="91"/>
      <c r="X61" s="91"/>
    </row>
    <row r="62" spans="2:24" x14ac:dyDescent="0.25">
      <c r="W62" s="91"/>
      <c r="X62" s="91"/>
    </row>
    <row r="63" spans="2:24" x14ac:dyDescent="0.25">
      <c r="W63" s="91"/>
      <c r="X63" s="91"/>
    </row>
    <row r="64" spans="2:24" x14ac:dyDescent="0.25">
      <c r="W64" s="91"/>
      <c r="X64" s="91"/>
    </row>
    <row r="65" spans="23:24" x14ac:dyDescent="0.25">
      <c r="W65" s="91"/>
      <c r="X65" s="91"/>
    </row>
    <row r="66" spans="23:24" x14ac:dyDescent="0.25">
      <c r="W66" s="91"/>
      <c r="X66" s="91"/>
    </row>
    <row r="67" spans="23:24" x14ac:dyDescent="0.25">
      <c r="W67" s="91"/>
      <c r="X67" s="91"/>
    </row>
    <row r="68" spans="23:24" x14ac:dyDescent="0.25">
      <c r="W68" s="91"/>
      <c r="X68" s="91"/>
    </row>
    <row r="69" spans="23:24" x14ac:dyDescent="0.25">
      <c r="W69" s="91"/>
      <c r="X69" s="91"/>
    </row>
    <row r="70" spans="23:24" x14ac:dyDescent="0.25">
      <c r="W70" s="91"/>
      <c r="X70" s="91"/>
    </row>
    <row r="71" spans="23:24" x14ac:dyDescent="0.25">
      <c r="W71" s="91"/>
      <c r="X71" s="91"/>
    </row>
    <row r="72" spans="23:24" x14ac:dyDescent="0.25">
      <c r="W72" s="91"/>
      <c r="X72" s="91"/>
    </row>
    <row r="73" spans="23:24" x14ac:dyDescent="0.25">
      <c r="W73" s="91"/>
      <c r="X73" s="91"/>
    </row>
    <row r="74" spans="23:24" x14ac:dyDescent="0.25">
      <c r="W74" s="91"/>
      <c r="X74" s="91"/>
    </row>
    <row r="75" spans="23:24" x14ac:dyDescent="0.25">
      <c r="W75" s="91"/>
      <c r="X75" s="91"/>
    </row>
    <row r="76" spans="23:24" x14ac:dyDescent="0.25">
      <c r="W76" s="91"/>
      <c r="X76" s="91"/>
    </row>
    <row r="77" spans="23:24" x14ac:dyDescent="0.25">
      <c r="W77" s="91"/>
      <c r="X77" s="91"/>
    </row>
    <row r="78" spans="23:24" x14ac:dyDescent="0.25">
      <c r="W78" s="91"/>
      <c r="X78" s="91"/>
    </row>
    <row r="79" spans="23:24" x14ac:dyDescent="0.25">
      <c r="W79" s="91"/>
      <c r="X79" s="91"/>
    </row>
    <row r="80" spans="23:24" x14ac:dyDescent="0.25">
      <c r="W80" s="91"/>
      <c r="X80" s="91"/>
    </row>
    <row r="81" spans="23:24" x14ac:dyDescent="0.25">
      <c r="W81" s="91"/>
      <c r="X81" s="91"/>
    </row>
    <row r="82" spans="23:24" x14ac:dyDescent="0.25">
      <c r="W82" s="91"/>
      <c r="X82" s="91"/>
    </row>
    <row r="83" spans="23:24" x14ac:dyDescent="0.25">
      <c r="W83" s="91"/>
      <c r="X83" s="91"/>
    </row>
    <row r="84" spans="23:24" x14ac:dyDescent="0.25">
      <c r="W84" s="91"/>
      <c r="X84" s="91"/>
    </row>
    <row r="85" spans="23:24" x14ac:dyDescent="0.25">
      <c r="W85" s="91"/>
      <c r="X85" s="91"/>
    </row>
    <row r="86" spans="23:24" x14ac:dyDescent="0.25">
      <c r="W86" s="91"/>
      <c r="X86" s="91"/>
    </row>
    <row r="87" spans="23:24" x14ac:dyDescent="0.25">
      <c r="W87" s="91"/>
      <c r="X87" s="91"/>
    </row>
    <row r="88" spans="23:24" x14ac:dyDescent="0.25">
      <c r="W88" s="91"/>
      <c r="X88" s="91"/>
    </row>
    <row r="89" spans="23:24" x14ac:dyDescent="0.25">
      <c r="W89" s="91"/>
      <c r="X89" s="91"/>
    </row>
    <row r="90" spans="23:24" x14ac:dyDescent="0.25">
      <c r="W90" s="91"/>
      <c r="X90" s="91"/>
    </row>
    <row r="91" spans="23:24" x14ac:dyDescent="0.25">
      <c r="W91" s="91"/>
      <c r="X91" s="91"/>
    </row>
    <row r="92" spans="23:24" x14ac:dyDescent="0.25">
      <c r="W92" s="91"/>
      <c r="X92" s="91"/>
    </row>
    <row r="93" spans="23:24" x14ac:dyDescent="0.25">
      <c r="W93" s="91"/>
      <c r="X93" s="91"/>
    </row>
    <row r="94" spans="23:24" x14ac:dyDescent="0.25">
      <c r="W94" s="91"/>
      <c r="X94" s="91"/>
    </row>
    <row r="95" spans="23:24" x14ac:dyDescent="0.25">
      <c r="W95" s="91"/>
      <c r="X95" s="91"/>
    </row>
    <row r="96" spans="23:24" x14ac:dyDescent="0.25">
      <c r="W96" s="91"/>
      <c r="X96" s="91"/>
    </row>
    <row r="97" spans="23:24" x14ac:dyDescent="0.25">
      <c r="W97" s="91"/>
      <c r="X97" s="91"/>
    </row>
    <row r="98" spans="23:24" x14ac:dyDescent="0.25">
      <c r="W98" s="91"/>
      <c r="X98" s="91"/>
    </row>
    <row r="99" spans="23:24" x14ac:dyDescent="0.25">
      <c r="W99" s="91"/>
      <c r="X99" s="91"/>
    </row>
    <row r="100" spans="23:24" x14ac:dyDescent="0.25">
      <c r="W100" s="91"/>
      <c r="X100" s="91"/>
    </row>
    <row r="101" spans="23:24" x14ac:dyDescent="0.25">
      <c r="W101" s="91"/>
      <c r="X101" s="91"/>
    </row>
    <row r="102" spans="23:24" x14ac:dyDescent="0.25">
      <c r="W102" s="91"/>
      <c r="X102" s="91"/>
    </row>
  </sheetData>
  <mergeCells count="3">
    <mergeCell ref="A19:F19"/>
    <mergeCell ref="A1:F1"/>
    <mergeCell ref="A10:F10"/>
  </mergeCells>
  <conditionalFormatting pivot="1" sqref="B22:AD22">
    <cfRule type="cellIs" dxfId="399" priority="4" operator="greaterThan">
      <formula>350</formula>
    </cfRule>
  </conditionalFormatting>
  <conditionalFormatting pivot="1" sqref="C23:AC23">
    <cfRule type="cellIs" dxfId="398" priority="3" operator="greaterThan">
      <formula>700</formula>
    </cfRule>
  </conditionalFormatting>
  <conditionalFormatting pivot="1" sqref="B24:AD24">
    <cfRule type="cellIs" dxfId="397" priority="2" operator="greaterThan">
      <formula>300</formula>
    </cfRule>
  </conditionalFormatting>
  <conditionalFormatting pivot="1" sqref="B31:AE31">
    <cfRule type="cellIs" dxfId="396" priority="1" operator="greaterThan">
      <formula>1920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3" x14ac:dyDescent="0.25"/>
  <cols>
    <col min="1" max="1" width="0.375" customWidth="1"/>
    <col min="2" max="2" width="26.125" customWidth="1"/>
    <col min="3" max="3" width="11.625" customWidth="1"/>
    <col min="4" max="4" width="10.875" style="1" customWidth="1"/>
    <col min="5" max="5" width="7.75" bestFit="1" customWidth="1"/>
    <col min="6" max="6" width="8.25" customWidth="1"/>
    <col min="7" max="7" width="9.125" style="1" customWidth="1"/>
    <col min="8" max="8" width="8.125" bestFit="1" customWidth="1"/>
    <col min="9" max="9" width="10" customWidth="1"/>
    <col min="10" max="10" width="8.75" style="1" bestFit="1" customWidth="1"/>
    <col min="11" max="11" width="7.875" customWidth="1"/>
    <col min="13" max="13" width="8.875" style="1" bestFit="1" customWidth="1"/>
    <col min="17" max="17" width="11.875" customWidth="1"/>
    <col min="18" max="23" width="12" customWidth="1"/>
  </cols>
  <sheetData>
    <row r="1" spans="2:68" ht="3.75" customHeight="1" thickBot="1" x14ac:dyDescent="0.3"/>
    <row r="2" spans="2:68" ht="48.75" customHeight="1" x14ac:dyDescent="0.25">
      <c r="B2" s="582" t="s">
        <v>7</v>
      </c>
      <c r="C2" s="591" t="s">
        <v>12</v>
      </c>
      <c r="D2" s="587" t="s">
        <v>14</v>
      </c>
      <c r="E2" s="588"/>
      <c r="F2" s="589" t="s">
        <v>9</v>
      </c>
      <c r="G2" s="590"/>
      <c r="H2" s="593" t="s">
        <v>18</v>
      </c>
      <c r="I2" s="594"/>
      <c r="J2" s="575" t="s">
        <v>13</v>
      </c>
      <c r="K2" s="576"/>
      <c r="L2" s="572" t="s">
        <v>37</v>
      </c>
      <c r="M2" s="573"/>
      <c r="N2" s="572" t="s">
        <v>38</v>
      </c>
      <c r="O2" s="573"/>
    </row>
    <row r="3" spans="2:68" ht="14.95" thickBot="1" x14ac:dyDescent="0.3">
      <c r="B3" s="583"/>
      <c r="C3" s="592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25">
      <c r="B4" s="3" t="s">
        <v>1</v>
      </c>
      <c r="C4" s="2">
        <v>1.24</v>
      </c>
      <c r="D4" s="20" t="s">
        <v>210</v>
      </c>
      <c r="E4" s="4">
        <f>D4*C4</f>
        <v>1860</v>
      </c>
      <c r="F4" s="20">
        <f>GETPIVOTDATA("COF 280 ACIDO (L)",'CONSUMO QUÍMICA-CAUDALES GEM  '!$A$2)</f>
        <v>8360</v>
      </c>
      <c r="G4" s="4">
        <f>GETPIVOTDATA("COF 280 - KG ACIDO",'CONSUMO QUÍMICA-CAUDALES GEM  '!$A$11)</f>
        <v>10868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1527.1612903225814</v>
      </c>
      <c r="K4" s="51">
        <f>J4*$C4</f>
        <v>1893.680000000001</v>
      </c>
      <c r="L4" s="50">
        <f>97+48+97</f>
        <v>242</v>
      </c>
      <c r="M4" s="51">
        <f>L4*$C4</f>
        <v>300.08</v>
      </c>
      <c r="N4" s="50">
        <f>J4-L4-1000</f>
        <v>285.16129032258141</v>
      </c>
      <c r="O4" s="51">
        <f>N4*$C4</f>
        <v>353.60000000000093</v>
      </c>
      <c r="P4" s="1"/>
    </row>
    <row r="5" spans="2:68" ht="15.8" customHeight="1" x14ac:dyDescent="0.25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17180</v>
      </c>
      <c r="G5" s="6">
        <f>GETPIVOTDATA("COF 235 - KG COAGULANTE",'CONSUMO QUÍMICA-CAUDALES GEM  '!$A$11)</f>
        <v>22763.5</v>
      </c>
      <c r="H5" s="20">
        <f>(+C16+E16+G16+I16+K16+M16+O16+Q16+S16)</f>
        <v>13000</v>
      </c>
      <c r="I5" s="4">
        <f>H5*C5</f>
        <v>17225</v>
      </c>
      <c r="J5" s="6">
        <f>(D5+H5)-F5</f>
        <v>-680</v>
      </c>
      <c r="K5" s="6">
        <f t="shared" ref="K5:M8" si="0">J5*$C5</f>
        <v>-901</v>
      </c>
      <c r="L5" s="20">
        <v>0</v>
      </c>
      <c r="M5" s="6">
        <f t="shared" si="0"/>
        <v>0</v>
      </c>
      <c r="N5" s="20">
        <f>J5-L5</f>
        <v>-680</v>
      </c>
      <c r="O5" s="6">
        <f>N5*$C5</f>
        <v>-901</v>
      </c>
      <c r="P5" s="1"/>
    </row>
    <row r="6" spans="2:68" x14ac:dyDescent="0.25">
      <c r="B6" s="5" t="s">
        <v>0</v>
      </c>
      <c r="C6" s="2">
        <v>1.1000000000000001</v>
      </c>
      <c r="D6" s="20" t="s">
        <v>211</v>
      </c>
      <c r="E6" s="6">
        <f>D6*C6</f>
        <v>462.00000000000006</v>
      </c>
      <c r="F6" s="20">
        <f>GETPIVOTDATA("COF 255  DECOLORANTE (L)",'CONSUMO QUÍMICA-CAUDALES GEM  '!$A$2)</f>
        <v>5510</v>
      </c>
      <c r="G6" s="6">
        <f>GETPIVOTDATA("COF 255 - KG DECOLORANTE ",'CONSUMO QUÍMICA-CAUDALES GEM  '!$A$11)</f>
        <v>6887.5</v>
      </c>
      <c r="H6" s="20">
        <f>(+C17+E17+G17+I17+K17+M17+O17+Q17+S17)</f>
        <v>7681.7272727272721</v>
      </c>
      <c r="I6" s="4">
        <f>H6*C6</f>
        <v>8449.9</v>
      </c>
      <c r="J6" s="6">
        <f>(D6+H6)-F6</f>
        <v>2591.7272727272721</v>
      </c>
      <c r="K6" s="6">
        <f t="shared" si="0"/>
        <v>2850.8999999999996</v>
      </c>
      <c r="L6" s="20">
        <f>273+273+273+409+136</f>
        <v>1364</v>
      </c>
      <c r="M6" s="6">
        <f t="shared" si="0"/>
        <v>1500.4</v>
      </c>
      <c r="N6" s="20">
        <f>J6-L6</f>
        <v>1227.7272727272721</v>
      </c>
      <c r="O6" s="6">
        <f>N6*$C6</f>
        <v>1350.4999999999993</v>
      </c>
      <c r="P6" s="1"/>
    </row>
    <row r="7" spans="2:68" x14ac:dyDescent="0.25">
      <c r="B7" s="5" t="s">
        <v>3</v>
      </c>
      <c r="C7" s="2">
        <v>2.5000000000000001E-3</v>
      </c>
      <c r="D7" s="20" t="s">
        <v>212</v>
      </c>
      <c r="E7" s="6">
        <f>D7*C7</f>
        <v>0.35000000000000003</v>
      </c>
      <c r="F7" s="20">
        <f>(GETPIVOTDATA("COF 440 POL ANIONICO (KG)",'CONSUMO QUÍMICA-CAUDALES GEM  '!$A$2)/C7)</f>
        <v>82000</v>
      </c>
      <c r="G7" s="6">
        <f>GETPIVOTDATA("COF 440 - KG POL ANIONICO ",'CONSUMO QUÍMICA-CAUDALES GEM  '!$A$11)</f>
        <v>205</v>
      </c>
      <c r="H7" s="20">
        <f>(+C18+E18+G18+I18+K18+M18+O18+Q18+S18)</f>
        <v>30000</v>
      </c>
      <c r="I7" s="4">
        <f>H7*C7</f>
        <v>75</v>
      </c>
      <c r="J7" s="6">
        <f>(D7+H7)-F7</f>
        <v>-51860</v>
      </c>
      <c r="K7" s="6">
        <f t="shared" si="0"/>
        <v>-129.65</v>
      </c>
      <c r="L7" s="20">
        <v>0</v>
      </c>
      <c r="M7" s="6">
        <f t="shared" si="0"/>
        <v>0</v>
      </c>
      <c r="N7" s="20">
        <f>J7-L7</f>
        <v>-51860</v>
      </c>
      <c r="O7" s="6">
        <f>N7*$C7</f>
        <v>-129.65</v>
      </c>
      <c r="P7" s="1"/>
    </row>
    <row r="8" spans="2:68" ht="14.95" thickBot="1" x14ac:dyDescent="0.3">
      <c r="B8" s="7" t="s">
        <v>8</v>
      </c>
      <c r="C8" s="29">
        <v>2.5000000000000001E-3</v>
      </c>
      <c r="D8" s="21" t="s">
        <v>213</v>
      </c>
      <c r="E8" s="8">
        <f>D8*C8</f>
        <v>0.38750000000000001</v>
      </c>
      <c r="F8" s="21">
        <v>150000</v>
      </c>
      <c r="G8" s="8">
        <f>GETPIVOTDATA("COF 494 - KG POL CATIONICO ",'CONSUMO QUÍMICA-CAUDALES GEM  '!$A$11)</f>
        <v>480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">
      <c r="B9" s="9"/>
      <c r="C9" s="9"/>
      <c r="D9" s="37"/>
      <c r="E9" s="9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  <c r="AS9" s="574"/>
      <c r="AT9" s="574"/>
      <c r="AU9" s="574"/>
      <c r="AV9" s="574"/>
      <c r="AW9" s="574"/>
      <c r="AX9" s="574"/>
      <c r="AY9" s="574"/>
      <c r="AZ9" s="574"/>
      <c r="BA9" s="574"/>
      <c r="BB9" s="574"/>
      <c r="BC9" s="574"/>
      <c r="BD9" s="574"/>
      <c r="BE9" s="574"/>
      <c r="BF9" s="574"/>
      <c r="BG9" s="574"/>
      <c r="BH9" s="574"/>
      <c r="BI9" s="574"/>
      <c r="BJ9" s="574"/>
      <c r="BK9" s="574"/>
      <c r="BL9" s="574"/>
      <c r="BM9" s="574"/>
      <c r="BN9" s="574"/>
      <c r="BO9" s="574"/>
      <c r="BP9" s="574"/>
    </row>
    <row r="10" spans="2:68" ht="16.5" customHeight="1" thickBot="1" x14ac:dyDescent="0.3">
      <c r="B10" s="584" t="s">
        <v>7</v>
      </c>
      <c r="C10" s="569" t="s">
        <v>17</v>
      </c>
      <c r="D10" s="570"/>
      <c r="E10" s="570"/>
      <c r="F10" s="570"/>
      <c r="G10" s="570"/>
      <c r="H10" s="570"/>
      <c r="I10" s="570"/>
      <c r="J10" s="570"/>
      <c r="K10" s="570"/>
      <c r="L10" s="570"/>
      <c r="M10" s="570"/>
      <c r="N10" s="570"/>
      <c r="O10" s="570"/>
      <c r="P10" s="570"/>
      <c r="Q10" s="570"/>
      <c r="R10" s="570"/>
      <c r="S10" s="570"/>
      <c r="T10" s="571"/>
    </row>
    <row r="11" spans="2:68" ht="26.5" customHeight="1" x14ac:dyDescent="0.25">
      <c r="B11" s="585"/>
      <c r="C11" s="577">
        <v>45660</v>
      </c>
      <c r="D11" s="579"/>
      <c r="E11" s="577" t="s">
        <v>214</v>
      </c>
      <c r="F11" s="579"/>
      <c r="G11" s="577">
        <v>45672</v>
      </c>
      <c r="H11" s="579"/>
      <c r="I11" s="577">
        <v>45674</v>
      </c>
      <c r="J11" s="578"/>
      <c r="K11" s="577"/>
      <c r="L11" s="579"/>
      <c r="M11" s="577"/>
      <c r="N11" s="579"/>
      <c r="O11" s="577"/>
      <c r="P11" s="579"/>
      <c r="Q11" s="577"/>
      <c r="R11" s="579"/>
      <c r="S11" s="580"/>
      <c r="T11" s="581"/>
    </row>
    <row r="12" spans="2:68" x14ac:dyDescent="0.25">
      <c r="B12" s="585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25">
      <c r="B13" s="585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4.95" thickBot="1" x14ac:dyDescent="0.3">
      <c r="B14" s="586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25">
      <c r="B15" s="12" t="s">
        <v>1</v>
      </c>
      <c r="C15" s="415">
        <v>0</v>
      </c>
      <c r="D15" s="388">
        <f>C15*$C$4</f>
        <v>0</v>
      </c>
      <c r="E15" s="415">
        <v>2097</v>
      </c>
      <c r="F15" s="388">
        <f>E15*$C$4</f>
        <v>2600.2800000000002</v>
      </c>
      <c r="G15" s="415">
        <v>3145</v>
      </c>
      <c r="H15" s="388">
        <f>G15*$C$4</f>
        <v>3899.8</v>
      </c>
      <c r="I15" s="415">
        <v>3145.161290322581</v>
      </c>
      <c r="J15" s="388">
        <f>I15*$C$4</f>
        <v>3900.0000000000005</v>
      </c>
      <c r="K15" s="387"/>
      <c r="L15" s="388"/>
      <c r="M15" s="57"/>
      <c r="N15" s="58"/>
      <c r="O15" s="57"/>
      <c r="P15" s="58"/>
      <c r="Q15" s="57"/>
      <c r="R15" s="58"/>
      <c r="S15" s="57"/>
      <c r="T15" s="14"/>
    </row>
    <row r="16" spans="2:68" x14ac:dyDescent="0.25">
      <c r="B16" s="15" t="s">
        <v>2</v>
      </c>
      <c r="C16" s="416">
        <v>1000</v>
      </c>
      <c r="D16" s="390">
        <f>+C16*$C$5</f>
        <v>1325</v>
      </c>
      <c r="E16" s="416">
        <v>3000</v>
      </c>
      <c r="F16" s="390">
        <f>+E16*$C$5</f>
        <v>3975</v>
      </c>
      <c r="G16" s="416">
        <v>4000</v>
      </c>
      <c r="H16" s="390">
        <f>+G16*$C$5</f>
        <v>5300</v>
      </c>
      <c r="I16" s="416">
        <v>5000.0000000000009</v>
      </c>
      <c r="J16" s="390">
        <f>+I16*$C$5</f>
        <v>6625.0000000000009</v>
      </c>
      <c r="K16" s="389"/>
      <c r="L16" s="390"/>
      <c r="M16" s="16"/>
      <c r="N16" s="14"/>
      <c r="O16" s="16"/>
      <c r="P16" s="14"/>
      <c r="Q16" s="16"/>
      <c r="R16" s="14"/>
      <c r="S16" s="16"/>
      <c r="T16" s="14"/>
    </row>
    <row r="17" spans="2:92" x14ac:dyDescent="0.25">
      <c r="B17" s="15" t="s">
        <v>0</v>
      </c>
      <c r="C17" s="416">
        <v>1136</v>
      </c>
      <c r="D17" s="390">
        <f>+C17*$C$6</f>
        <v>1249.6000000000001</v>
      </c>
      <c r="E17" s="416">
        <v>2273</v>
      </c>
      <c r="F17" s="390">
        <f>+E17*$C$6</f>
        <v>2500.3000000000002</v>
      </c>
      <c r="G17" s="416">
        <v>2000</v>
      </c>
      <c r="H17" s="390">
        <f>+G17*$C$6</f>
        <v>2200</v>
      </c>
      <c r="I17" s="416">
        <v>2272.7272727272725</v>
      </c>
      <c r="J17" s="390">
        <f>+I17*$C$6</f>
        <v>2500</v>
      </c>
      <c r="K17" s="389"/>
      <c r="L17" s="390"/>
      <c r="M17" s="16"/>
      <c r="N17" s="14"/>
      <c r="O17" s="16"/>
      <c r="P17" s="14"/>
      <c r="Q17" s="16"/>
      <c r="R17" s="14"/>
      <c r="S17" s="16"/>
      <c r="T17" s="14"/>
    </row>
    <row r="18" spans="2:92" x14ac:dyDescent="0.25">
      <c r="B18" s="15" t="s">
        <v>3</v>
      </c>
      <c r="C18" s="416">
        <v>30000</v>
      </c>
      <c r="D18" s="390">
        <f>+C18*$C$7</f>
        <v>75</v>
      </c>
      <c r="E18" s="416">
        <v>0</v>
      </c>
      <c r="F18" s="390">
        <f>+E18*$C$7</f>
        <v>0</v>
      </c>
      <c r="G18" s="416">
        <v>0</v>
      </c>
      <c r="H18" s="390">
        <f>+G18*$C$7</f>
        <v>0</v>
      </c>
      <c r="I18" s="416">
        <v>0</v>
      </c>
      <c r="J18" s="390">
        <f>+I18*$C$7</f>
        <v>0</v>
      </c>
      <c r="K18" s="389"/>
      <c r="L18" s="390"/>
      <c r="M18" s="16"/>
      <c r="N18" s="14"/>
      <c r="O18" s="16"/>
      <c r="P18" s="14"/>
      <c r="Q18" s="16"/>
      <c r="R18" s="14"/>
      <c r="S18" s="16"/>
      <c r="T18" s="14"/>
    </row>
    <row r="19" spans="2:92" ht="14.95" customHeight="1" thickBot="1" x14ac:dyDescent="0.3">
      <c r="B19" s="17" t="s">
        <v>8</v>
      </c>
      <c r="C19" s="417">
        <v>0</v>
      </c>
      <c r="D19" s="390">
        <f>+C19*$C$8</f>
        <v>0</v>
      </c>
      <c r="E19" s="417">
        <v>0</v>
      </c>
      <c r="F19" s="390">
        <f>+E19*$C$8</f>
        <v>0</v>
      </c>
      <c r="G19" s="417">
        <v>0</v>
      </c>
      <c r="H19" s="390">
        <f>+G19*$C$8</f>
        <v>0</v>
      </c>
      <c r="I19" s="417">
        <v>40000</v>
      </c>
      <c r="J19" s="390">
        <f>+I19*$C$8</f>
        <v>100</v>
      </c>
      <c r="K19" s="391"/>
      <c r="L19" s="392"/>
      <c r="M19" s="18"/>
      <c r="N19" s="19"/>
      <c r="O19" s="18"/>
      <c r="P19" s="19"/>
      <c r="Q19" s="18"/>
      <c r="R19" s="19"/>
      <c r="S19" s="18"/>
      <c r="T19" s="19"/>
    </row>
    <row r="20" spans="2:92" ht="3.25" customHeight="1" x14ac:dyDescent="0.25">
      <c r="M20"/>
    </row>
    <row r="21" spans="2:92" ht="7.5" customHeight="1" thickBot="1" x14ac:dyDescent="0.3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8" customHeight="1" thickBot="1" x14ac:dyDescent="0.3">
      <c r="B22" s="595" t="s">
        <v>7</v>
      </c>
      <c r="C22" s="567" t="s">
        <v>25</v>
      </c>
      <c r="D22" s="568"/>
      <c r="E22" s="568"/>
      <c r="F22" s="568"/>
      <c r="G22" s="568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8"/>
      <c r="W22" s="568"/>
      <c r="X22" s="568"/>
      <c r="Y22" s="568"/>
      <c r="Z22" s="568"/>
      <c r="AA22" s="568"/>
      <c r="AB22" s="568"/>
      <c r="AC22" s="568"/>
      <c r="AD22" s="568"/>
      <c r="AE22" s="568"/>
      <c r="AF22" s="568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8" customHeight="1" thickBot="1" x14ac:dyDescent="0.3">
      <c r="B23" s="596"/>
      <c r="C23" s="564">
        <v>2</v>
      </c>
      <c r="D23" s="565"/>
      <c r="E23" s="566"/>
      <c r="F23" s="564">
        <v>3</v>
      </c>
      <c r="G23" s="565"/>
      <c r="H23" s="566"/>
      <c r="I23" s="564">
        <v>4</v>
      </c>
      <c r="J23" s="565"/>
      <c r="K23" s="566"/>
      <c r="L23" s="564">
        <v>45667</v>
      </c>
      <c r="M23" s="565"/>
      <c r="N23" s="566"/>
      <c r="O23" s="564">
        <v>45668</v>
      </c>
      <c r="P23" s="565"/>
      <c r="Q23" s="566"/>
      <c r="R23" s="564">
        <v>45670</v>
      </c>
      <c r="S23" s="565"/>
      <c r="T23" s="566"/>
      <c r="U23" s="564">
        <v>45672</v>
      </c>
      <c r="V23" s="565"/>
      <c r="W23" s="566"/>
      <c r="X23" s="564">
        <v>45673</v>
      </c>
      <c r="Y23" s="565"/>
      <c r="Z23" s="566"/>
      <c r="AA23" s="564">
        <v>45674</v>
      </c>
      <c r="AB23" s="565"/>
      <c r="AC23" s="566"/>
      <c r="AD23" s="564">
        <v>45677</v>
      </c>
      <c r="AE23" s="565"/>
      <c r="AF23" s="566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99999999999997" customHeight="1" thickBot="1" x14ac:dyDescent="0.3">
      <c r="B24" s="597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25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418">
        <v>2</v>
      </c>
      <c r="M25" s="53"/>
      <c r="N25" s="4">
        <f>L25*M25</f>
        <v>0</v>
      </c>
      <c r="O25" s="13"/>
      <c r="P25" s="53"/>
      <c r="Q25" s="4">
        <f>O25*P25</f>
        <v>0</v>
      </c>
      <c r="R25" s="418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25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25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25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4.95" thickBot="1" x14ac:dyDescent="0.3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25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25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25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25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25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25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25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25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25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25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25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25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25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25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25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25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25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25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25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25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25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25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25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25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25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25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25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25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25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25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25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25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25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25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25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25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25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25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25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25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25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25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25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25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25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25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25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25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25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25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25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25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25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25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25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25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25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25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25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25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25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25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25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25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25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25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25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25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25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25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25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25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25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25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25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25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25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25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25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25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25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25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25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25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25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25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25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25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25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25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25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25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25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25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25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25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25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25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25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25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25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25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25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25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25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25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25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25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25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25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25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25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25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25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25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25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25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25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25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25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25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25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25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25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25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25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25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25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25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25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25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25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25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25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25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25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25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25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25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25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25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25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25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25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25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25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25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25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25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25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25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25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25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25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25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25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25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25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25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25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25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25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25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25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25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25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25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25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25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25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25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25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25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25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25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25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25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25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25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25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25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25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25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25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25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25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25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25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25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25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25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25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25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25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25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25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25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25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25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25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25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25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25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25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25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25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25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25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25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25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25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25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25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25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25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25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25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25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25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25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25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25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25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25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25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25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25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25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25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25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25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25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25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25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25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25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25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25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25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25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25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25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25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25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25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25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25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25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25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25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25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25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25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25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25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25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25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25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25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25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25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25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25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25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25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25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25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25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25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25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25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25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25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25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25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25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25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25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25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25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25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25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25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25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25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25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25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25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25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25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25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25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25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25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25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25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25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25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25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25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25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25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25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25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25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25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25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25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25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25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25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25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25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25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25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25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25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25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25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25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25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25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25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25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25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25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25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25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25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25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25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25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25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25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25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25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25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25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25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25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25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25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25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25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25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25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25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25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25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25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25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25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25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25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25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25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25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25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25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25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25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25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25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25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25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25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25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25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25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25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25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25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25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25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25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25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25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25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25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25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25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25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25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25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25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25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>
    <tabColor rgb="FFFFFF00"/>
  </sheetPr>
  <dimension ref="A1:BH100"/>
  <sheetViews>
    <sheetView zoomScale="70" zoomScaleNormal="7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V10" sqref="V10"/>
    </sheetView>
  </sheetViews>
  <sheetFormatPr baseColWidth="10" defaultRowHeight="14.3" x14ac:dyDescent="0.25"/>
  <cols>
    <col min="2" max="2" width="8.75" customWidth="1"/>
    <col min="3" max="3" width="12.25" bestFit="1" customWidth="1"/>
    <col min="4" max="8" width="11.375" hidden="1" customWidth="1"/>
    <col min="9" max="9" width="15.25" style="337" bestFit="1" customWidth="1"/>
    <col min="10" max="10" width="9.875" style="70" customWidth="1"/>
    <col min="11" max="11" width="10.125" style="70" customWidth="1"/>
    <col min="12" max="12" width="10.625" style="70" customWidth="1"/>
    <col min="13" max="13" width="9.75" style="70" hidden="1" customWidth="1"/>
    <col min="14" max="14" width="13.75" style="70" customWidth="1"/>
    <col min="15" max="15" width="10.875" style="70" customWidth="1"/>
    <col min="16" max="16" width="19.125" style="70" customWidth="1"/>
    <col min="17" max="17" width="17" style="70" customWidth="1"/>
    <col min="18" max="18" width="19.625" style="70" hidden="1" customWidth="1"/>
    <col min="19" max="19" width="15.25" style="70" customWidth="1"/>
    <col min="20" max="20" width="12.875" style="70" customWidth="1"/>
    <col min="21" max="21" width="17.25" style="70" customWidth="1"/>
    <col min="22" max="22" width="17.875" style="70" customWidth="1"/>
    <col min="23" max="23" width="16.125" style="70" hidden="1" customWidth="1"/>
    <col min="24" max="24" width="16.75" style="70" customWidth="1"/>
    <col min="25" max="29" width="11.375" style="70" customWidth="1"/>
    <col min="30" max="30" width="16.25" style="70" customWidth="1"/>
    <col min="31" max="31" width="25.25" style="70" customWidth="1"/>
    <col min="32" max="32" width="19.625" style="70" customWidth="1"/>
    <col min="33" max="33" width="21.625" style="70" hidden="1" customWidth="1"/>
    <col min="34" max="34" width="20.375" style="70" customWidth="1"/>
    <col min="35" max="35" width="19.625" style="70" customWidth="1"/>
    <col min="36" max="36" width="16.375" customWidth="1"/>
    <col min="37" max="38" width="17.375" customWidth="1"/>
    <col min="39" max="39" width="17.375" hidden="1" customWidth="1"/>
    <col min="40" max="40" width="17.375" customWidth="1"/>
    <col min="41" max="45" width="16.125" customWidth="1"/>
    <col min="46" max="46" width="18.125" customWidth="1"/>
    <col min="47" max="48" width="18.375" customWidth="1"/>
    <col min="49" max="49" width="17.875" hidden="1" customWidth="1"/>
    <col min="50" max="50" width="19.625" customWidth="1"/>
    <col min="51" max="51" width="13.875" bestFit="1" customWidth="1"/>
    <col min="52" max="52" width="12.25" customWidth="1"/>
    <col min="53" max="53" width="13.125" customWidth="1"/>
    <col min="54" max="54" width="13" hidden="1" customWidth="1"/>
    <col min="55" max="55" width="11.25" hidden="1" customWidth="1"/>
  </cols>
  <sheetData>
    <row r="1" spans="1:60" s="253" customFormat="1" ht="57.75" thickBot="1" x14ac:dyDescent="0.3">
      <c r="A1" s="231" t="s">
        <v>27</v>
      </c>
      <c r="B1" s="231" t="s">
        <v>79</v>
      </c>
      <c r="C1" s="232" t="s">
        <v>26</v>
      </c>
      <c r="D1" s="233" t="s">
        <v>23</v>
      </c>
      <c r="E1" s="234" t="s">
        <v>22</v>
      </c>
      <c r="F1" s="235" t="s">
        <v>21</v>
      </c>
      <c r="G1" s="235" t="s">
        <v>20</v>
      </c>
      <c r="H1" s="234" t="s">
        <v>19</v>
      </c>
      <c r="I1" s="336" t="s">
        <v>174</v>
      </c>
      <c r="J1" s="335" t="s">
        <v>132</v>
      </c>
      <c r="K1" s="236" t="s">
        <v>133</v>
      </c>
      <c r="L1" s="236" t="s">
        <v>134</v>
      </c>
      <c r="M1" s="236" t="s">
        <v>135</v>
      </c>
      <c r="N1" s="237" t="s">
        <v>136</v>
      </c>
      <c r="O1" s="238" t="s">
        <v>137</v>
      </c>
      <c r="P1" s="239" t="s">
        <v>138</v>
      </c>
      <c r="Q1" s="239" t="s">
        <v>139</v>
      </c>
      <c r="R1" s="239" t="s">
        <v>140</v>
      </c>
      <c r="S1" s="239" t="s">
        <v>141</v>
      </c>
      <c r="T1" s="240" t="s">
        <v>143</v>
      </c>
      <c r="U1" s="241" t="s">
        <v>144</v>
      </c>
      <c r="V1" s="242" t="s">
        <v>145</v>
      </c>
      <c r="W1" s="242" t="s">
        <v>146</v>
      </c>
      <c r="X1" s="243" t="s">
        <v>142</v>
      </c>
      <c r="Y1" s="244" t="s">
        <v>97</v>
      </c>
      <c r="Z1" s="245" t="s">
        <v>98</v>
      </c>
      <c r="AA1" s="246" t="s">
        <v>99</v>
      </c>
      <c r="AB1" s="246" t="s">
        <v>100</v>
      </c>
      <c r="AC1" s="247" t="s">
        <v>101</v>
      </c>
      <c r="AD1" s="248" t="s">
        <v>147</v>
      </c>
      <c r="AE1" s="249" t="s">
        <v>151</v>
      </c>
      <c r="AF1" s="250" t="s">
        <v>150</v>
      </c>
      <c r="AG1" s="250" t="s">
        <v>149</v>
      </c>
      <c r="AH1" s="251" t="s">
        <v>148</v>
      </c>
      <c r="AI1" s="422" t="s">
        <v>102</v>
      </c>
      <c r="AJ1" s="226" t="s">
        <v>103</v>
      </c>
      <c r="AK1" s="227" t="s">
        <v>104</v>
      </c>
      <c r="AL1" s="227" t="s">
        <v>105</v>
      </c>
      <c r="AM1" s="227" t="s">
        <v>106</v>
      </c>
      <c r="AN1" s="228" t="s">
        <v>107</v>
      </c>
      <c r="AO1" s="252" t="s">
        <v>131</v>
      </c>
      <c r="AP1" s="245" t="s">
        <v>130</v>
      </c>
      <c r="AQ1" s="246" t="s">
        <v>129</v>
      </c>
      <c r="AR1" s="246" t="s">
        <v>128</v>
      </c>
      <c r="AS1" s="247" t="s">
        <v>127</v>
      </c>
      <c r="AT1" s="252" t="s">
        <v>108</v>
      </c>
      <c r="AU1" s="246" t="s">
        <v>109</v>
      </c>
      <c r="AV1" s="246" t="s">
        <v>110</v>
      </c>
      <c r="AW1" s="246" t="s">
        <v>111</v>
      </c>
      <c r="AX1" s="247" t="s">
        <v>112</v>
      </c>
      <c r="AY1" s="229" t="s">
        <v>73</v>
      </c>
      <c r="AZ1" s="229" t="s">
        <v>74</v>
      </c>
      <c r="BA1" s="229" t="s">
        <v>115</v>
      </c>
      <c r="BB1" s="229" t="s">
        <v>113</v>
      </c>
      <c r="BC1" s="230" t="s">
        <v>114</v>
      </c>
    </row>
    <row r="2" spans="1:60" ht="14.95" thickBot="1" x14ac:dyDescent="0.3">
      <c r="A2" s="190">
        <v>46054</v>
      </c>
      <c r="B2" s="276">
        <f>DAY(Tabla2[[#This Row],[FECHA]])</f>
        <v>1</v>
      </c>
      <c r="C2" s="191" t="s">
        <v>28</v>
      </c>
      <c r="D2" s="192"/>
      <c r="E2" s="193"/>
      <c r="F2" s="194"/>
      <c r="G2" s="194"/>
      <c r="H2" s="193"/>
      <c r="I2" s="408">
        <f>((Tabla2[[#This Row],[VOLUMEN ENVIADO A RO (m3)]]/80)/3)*60</f>
        <v>0</v>
      </c>
      <c r="J2" s="394">
        <v>0</v>
      </c>
      <c r="K2" s="394">
        <v>38</v>
      </c>
      <c r="L2" s="396">
        <v>68</v>
      </c>
      <c r="M2" s="395">
        <v>0</v>
      </c>
      <c r="N2" s="396">
        <v>0</v>
      </c>
      <c r="O2" s="254">
        <f t="shared" ref="O2:O65" si="0">J2*(1000/114)</f>
        <v>0</v>
      </c>
      <c r="P2" s="255">
        <f t="shared" ref="P2:P33" si="1">K2*(1000/114)</f>
        <v>333.33333333333337</v>
      </c>
      <c r="Q2" s="255">
        <f t="shared" ref="Q2:Q65" si="2">L2*(1000/114)</f>
        <v>596.49122807017545</v>
      </c>
      <c r="R2" s="255">
        <f t="shared" ref="R2:R33" si="3">M2*(1000/114)</f>
        <v>0</v>
      </c>
      <c r="S2" s="256">
        <f t="shared" ref="S2:S33" si="4">N2*(1000/114)</f>
        <v>0</v>
      </c>
      <c r="T2" s="257">
        <f>O2-O3</f>
        <v>0</v>
      </c>
      <c r="U2" s="258">
        <f>P2-P3</f>
        <v>0</v>
      </c>
      <c r="V2" s="258">
        <f>Q2-Q3</f>
        <v>0</v>
      </c>
      <c r="W2" s="258">
        <f>R2-R3</f>
        <v>0</v>
      </c>
      <c r="X2" s="259">
        <f>S2-S3</f>
        <v>0</v>
      </c>
      <c r="Y2" s="260">
        <v>1.18</v>
      </c>
      <c r="Z2" s="260">
        <v>1.28</v>
      </c>
      <c r="AA2" s="260">
        <v>1.2</v>
      </c>
      <c r="AB2" s="260">
        <v>1.53</v>
      </c>
      <c r="AC2" s="260">
        <v>1.2</v>
      </c>
      <c r="AD2" s="257">
        <f t="shared" ref="AD2:AF33" si="5">T2*Y2</f>
        <v>0</v>
      </c>
      <c r="AE2" s="258">
        <v>38</v>
      </c>
      <c r="AF2" s="258">
        <v>68</v>
      </c>
      <c r="AG2" s="258">
        <f t="shared" ref="AG2:AG33" si="6">W2*AB2</f>
        <v>0</v>
      </c>
      <c r="AH2" s="259">
        <f t="shared" ref="AH2:AH33" si="7">X2*AC2</f>
        <v>0</v>
      </c>
      <c r="AI2" s="430">
        <v>0</v>
      </c>
      <c r="AJ2" s="195" t="e">
        <f t="shared" ref="AJ2:AN6" si="8">(AD2*1000)/$AI2</f>
        <v>#DIV/0!</v>
      </c>
      <c r="AK2" s="196" t="e">
        <f t="shared" si="8"/>
        <v>#DIV/0!</v>
      </c>
      <c r="AL2" s="196" t="e">
        <f t="shared" si="8"/>
        <v>#DIV/0!</v>
      </c>
      <c r="AM2" s="196" t="e">
        <f t="shared" si="8"/>
        <v>#DIV/0!</v>
      </c>
      <c r="AN2" s="197" t="e">
        <f t="shared" si="8"/>
        <v>#DIV/0!</v>
      </c>
      <c r="AO2" s="166">
        <v>1550</v>
      </c>
      <c r="AP2" s="167">
        <v>19160</v>
      </c>
      <c r="AQ2" s="167">
        <v>36239</v>
      </c>
      <c r="AR2" s="167">
        <v>1560</v>
      </c>
      <c r="AS2" s="168">
        <v>3640</v>
      </c>
      <c r="AT2" s="166">
        <f t="shared" ref="AT2:AT33" si="9">AO2*(AD2*0.8)</f>
        <v>0</v>
      </c>
      <c r="AU2" s="167">
        <f>AP2*(AE2*0.012)</f>
        <v>8736.9600000000009</v>
      </c>
      <c r="AV2" s="167">
        <f>AQ2*(AF2*0.044)</f>
        <v>108427.088</v>
      </c>
      <c r="AW2" s="167">
        <f t="shared" ref="AW2:AW33" si="10">AR2*AG2</f>
        <v>0</v>
      </c>
      <c r="AX2" s="168">
        <f t="shared" ref="AX2:AX33" si="11">AS2*(AH2*0.025)</f>
        <v>0</v>
      </c>
      <c r="AY2" s="166">
        <f t="shared" ref="AY2:AY65" si="12">AT2+AU2+AV2+AW2+AX2</f>
        <v>117164.04800000001</v>
      </c>
      <c r="AZ2" s="167">
        <v>1000</v>
      </c>
      <c r="BA2" s="167" t="e">
        <f>$AY2/AI2</f>
        <v>#DIV/0!</v>
      </c>
      <c r="BB2" s="164" t="e">
        <f>$AY2/#REF!</f>
        <v>#REF!</v>
      </c>
      <c r="BC2" s="165" t="e">
        <f>$AY2/#REF!</f>
        <v>#REF!</v>
      </c>
    </row>
    <row r="3" spans="1:60" ht="14.95" thickBot="1" x14ac:dyDescent="0.3">
      <c r="A3" s="198">
        <f>+A2</f>
        <v>46054</v>
      </c>
      <c r="B3" s="277">
        <f>DAY(Tabla2[[#This Row],[FECHA]])</f>
        <v>1</v>
      </c>
      <c r="C3" s="199" t="s">
        <v>29</v>
      </c>
      <c r="D3" s="200"/>
      <c r="E3" s="201"/>
      <c r="F3" s="202"/>
      <c r="G3" s="202"/>
      <c r="H3" s="201"/>
      <c r="I3" s="408">
        <f>((Tabla2[[#This Row],[VOLUMEN ENVIADO A RO (m3)]]/80)/3)*60</f>
        <v>0</v>
      </c>
      <c r="J3" s="394">
        <v>0</v>
      </c>
      <c r="K3" s="398">
        <v>38</v>
      </c>
      <c r="L3" s="399">
        <v>68</v>
      </c>
      <c r="M3" s="398">
        <v>0</v>
      </c>
      <c r="N3" s="399">
        <v>0</v>
      </c>
      <c r="O3" s="261">
        <f t="shared" si="0"/>
        <v>0</v>
      </c>
      <c r="P3" s="262">
        <f t="shared" si="1"/>
        <v>333.33333333333337</v>
      </c>
      <c r="Q3" s="262">
        <f t="shared" si="2"/>
        <v>596.49122807017545</v>
      </c>
      <c r="R3" s="262">
        <f t="shared" si="3"/>
        <v>0</v>
      </c>
      <c r="S3" s="263">
        <f t="shared" si="4"/>
        <v>0</v>
      </c>
      <c r="T3" s="257">
        <f t="shared" ref="T3:T66" si="13">O3-O4</f>
        <v>0</v>
      </c>
      <c r="U3" s="258">
        <f t="shared" ref="U3:U66" si="14">P3-P4</f>
        <v>0</v>
      </c>
      <c r="V3" s="258">
        <f t="shared" ref="V3:V66" si="15">Q3-Q4</f>
        <v>0</v>
      </c>
      <c r="W3" s="258">
        <f t="shared" ref="W3:W66" si="16">R3-R4</f>
        <v>0</v>
      </c>
      <c r="X3" s="259">
        <f t="shared" ref="X3:X66" si="17">S3-S4</f>
        <v>0</v>
      </c>
      <c r="Y3" s="264">
        <v>1.18</v>
      </c>
      <c r="Z3" s="264">
        <v>1.28</v>
      </c>
      <c r="AA3" s="264">
        <v>1.2</v>
      </c>
      <c r="AB3" s="264">
        <v>1.53</v>
      </c>
      <c r="AC3" s="264">
        <v>1.2</v>
      </c>
      <c r="AD3" s="257">
        <f t="shared" si="5"/>
        <v>0</v>
      </c>
      <c r="AE3" s="258">
        <v>38</v>
      </c>
      <c r="AF3" s="258">
        <v>68</v>
      </c>
      <c r="AG3" s="258">
        <f t="shared" si="6"/>
        <v>0</v>
      </c>
      <c r="AH3" s="259">
        <f t="shared" si="7"/>
        <v>0</v>
      </c>
      <c r="AI3" s="431">
        <v>0</v>
      </c>
      <c r="AJ3" s="195" t="e">
        <f t="shared" si="8"/>
        <v>#DIV/0!</v>
      </c>
      <c r="AK3" s="196" t="e">
        <f t="shared" si="8"/>
        <v>#DIV/0!</v>
      </c>
      <c r="AL3" s="196" t="e">
        <f t="shared" si="8"/>
        <v>#DIV/0!</v>
      </c>
      <c r="AM3" s="196" t="e">
        <f t="shared" si="8"/>
        <v>#DIV/0!</v>
      </c>
      <c r="AN3" s="197" t="e">
        <f t="shared" si="8"/>
        <v>#DIV/0!</v>
      </c>
      <c r="AO3" s="166">
        <f t="shared" ref="AO3:AO34" si="18">AO2</f>
        <v>1550</v>
      </c>
      <c r="AP3" s="167">
        <f t="shared" ref="AP3:AP34" si="19">AP2</f>
        <v>19160</v>
      </c>
      <c r="AQ3" s="167">
        <f t="shared" ref="AQ3:AQ34" si="20">AQ2</f>
        <v>36239</v>
      </c>
      <c r="AR3" s="167">
        <f t="shared" ref="AR3:AR34" si="21">AR2</f>
        <v>1560</v>
      </c>
      <c r="AS3" s="168">
        <f t="shared" ref="AS3:AS34" si="22">AS2</f>
        <v>3640</v>
      </c>
      <c r="AT3" s="166">
        <f t="shared" si="9"/>
        <v>0</v>
      </c>
      <c r="AU3" s="167">
        <f t="shared" ref="AU3:AU66" si="23">AP3*(AE3*0.012)</f>
        <v>8736.9600000000009</v>
      </c>
      <c r="AV3" s="167">
        <f t="shared" ref="AV3:AV66" si="24">AQ3*(AF3*0.044)</f>
        <v>108427.088</v>
      </c>
      <c r="AW3" s="167">
        <f t="shared" si="10"/>
        <v>0</v>
      </c>
      <c r="AX3" s="168">
        <f t="shared" si="11"/>
        <v>0</v>
      </c>
      <c r="AY3" s="166">
        <f t="shared" si="12"/>
        <v>117164.04800000001</v>
      </c>
      <c r="AZ3" s="167">
        <v>1000</v>
      </c>
      <c r="BA3" s="167" t="e">
        <f>AY3/AI3</f>
        <v>#DIV/0!</v>
      </c>
      <c r="BB3" s="164" t="e">
        <f>$AY3/#REF!</f>
        <v>#REF!</v>
      </c>
      <c r="BC3" s="165" t="e">
        <f>$AY3/#REF!</f>
        <v>#REF!</v>
      </c>
    </row>
    <row r="4" spans="1:60" ht="14.95" thickBot="1" x14ac:dyDescent="0.3">
      <c r="A4" s="203">
        <f>+A3</f>
        <v>46054</v>
      </c>
      <c r="B4" s="278">
        <f>DAY(Tabla2[[#This Row],[FECHA]])</f>
        <v>1</v>
      </c>
      <c r="C4" s="204" t="s">
        <v>30</v>
      </c>
      <c r="D4" s="205"/>
      <c r="E4" s="206"/>
      <c r="F4" s="207"/>
      <c r="G4" s="208"/>
      <c r="H4" s="209"/>
      <c r="I4" s="408">
        <f>((Tabla2[[#This Row],[VOLUMEN ENVIADO A RO (m3)]]/80)/3)*60</f>
        <v>0</v>
      </c>
      <c r="J4" s="394">
        <v>0</v>
      </c>
      <c r="K4" s="401">
        <v>38</v>
      </c>
      <c r="L4" s="402">
        <v>68</v>
      </c>
      <c r="M4" s="401">
        <v>0</v>
      </c>
      <c r="N4" s="402">
        <v>0</v>
      </c>
      <c r="O4" s="265">
        <f t="shared" si="0"/>
        <v>0</v>
      </c>
      <c r="P4" s="266">
        <f t="shared" si="1"/>
        <v>333.33333333333337</v>
      </c>
      <c r="Q4" s="266">
        <f t="shared" si="2"/>
        <v>596.49122807017545</v>
      </c>
      <c r="R4" s="266">
        <f t="shared" si="3"/>
        <v>0</v>
      </c>
      <c r="S4" s="267">
        <f t="shared" si="4"/>
        <v>0</v>
      </c>
      <c r="T4" s="257">
        <f t="shared" si="13"/>
        <v>0</v>
      </c>
      <c r="U4" s="258">
        <f t="shared" si="14"/>
        <v>0</v>
      </c>
      <c r="V4" s="258">
        <f t="shared" si="15"/>
        <v>0</v>
      </c>
      <c r="W4" s="258">
        <f t="shared" si="16"/>
        <v>0</v>
      </c>
      <c r="X4" s="259">
        <f t="shared" si="17"/>
        <v>0</v>
      </c>
      <c r="Y4" s="264">
        <v>1.18</v>
      </c>
      <c r="Z4" s="264">
        <v>1.28</v>
      </c>
      <c r="AA4" s="264">
        <v>1.2</v>
      </c>
      <c r="AB4" s="264">
        <v>1.53</v>
      </c>
      <c r="AC4" s="264">
        <v>1.2</v>
      </c>
      <c r="AD4" s="268">
        <f t="shared" si="5"/>
        <v>0</v>
      </c>
      <c r="AE4" s="269">
        <v>38</v>
      </c>
      <c r="AF4" s="269">
        <v>68</v>
      </c>
      <c r="AG4" s="269">
        <f t="shared" si="6"/>
        <v>0</v>
      </c>
      <c r="AH4" s="270">
        <f t="shared" si="7"/>
        <v>0</v>
      </c>
      <c r="AI4" s="432">
        <v>0</v>
      </c>
      <c r="AJ4" s="210" t="e">
        <f t="shared" si="8"/>
        <v>#DIV/0!</v>
      </c>
      <c r="AK4" s="211" t="e">
        <f t="shared" si="8"/>
        <v>#DIV/0!</v>
      </c>
      <c r="AL4" s="211" t="e">
        <f t="shared" si="8"/>
        <v>#DIV/0!</v>
      </c>
      <c r="AM4" s="211" t="e">
        <f t="shared" si="8"/>
        <v>#DIV/0!</v>
      </c>
      <c r="AN4" s="212" t="e">
        <f t="shared" si="8"/>
        <v>#DIV/0!</v>
      </c>
      <c r="AO4" s="166">
        <f t="shared" si="18"/>
        <v>1550</v>
      </c>
      <c r="AP4" s="167">
        <f t="shared" si="19"/>
        <v>19160</v>
      </c>
      <c r="AQ4" s="167">
        <f t="shared" si="20"/>
        <v>36239</v>
      </c>
      <c r="AR4" s="167">
        <f t="shared" si="21"/>
        <v>1560</v>
      </c>
      <c r="AS4" s="168">
        <f t="shared" si="22"/>
        <v>3640</v>
      </c>
      <c r="AT4" s="169">
        <f t="shared" si="9"/>
        <v>0</v>
      </c>
      <c r="AU4" s="170">
        <f t="shared" si="23"/>
        <v>8736.9600000000009</v>
      </c>
      <c r="AV4" s="170">
        <f t="shared" si="24"/>
        <v>108427.088</v>
      </c>
      <c r="AW4" s="170">
        <f t="shared" si="10"/>
        <v>0</v>
      </c>
      <c r="AX4" s="171">
        <f t="shared" si="11"/>
        <v>0</v>
      </c>
      <c r="AY4" s="169">
        <f t="shared" si="12"/>
        <v>117164.04800000001</v>
      </c>
      <c r="AZ4" s="170">
        <v>1000</v>
      </c>
      <c r="BA4" s="170" t="e">
        <f>AY4/AI4</f>
        <v>#DIV/0!</v>
      </c>
      <c r="BB4" s="160"/>
      <c r="BC4" s="163"/>
      <c r="BE4" s="427"/>
      <c r="BG4" s="428"/>
      <c r="BH4" s="427"/>
    </row>
    <row r="5" spans="1:60" ht="14.95" thickBot="1" x14ac:dyDescent="0.3">
      <c r="A5" s="213">
        <f>+A4+1</f>
        <v>46055</v>
      </c>
      <c r="B5" s="157">
        <f>DAY(Tabla2[[#This Row],[FECHA]])</f>
        <v>2</v>
      </c>
      <c r="C5" s="191" t="s">
        <v>28</v>
      </c>
      <c r="D5" s="214"/>
      <c r="E5" s="215"/>
      <c r="F5" s="216"/>
      <c r="G5" s="216"/>
      <c r="H5" s="215"/>
      <c r="I5" s="408">
        <f>((Tabla2[[#This Row],[VOLUMEN ENVIADO A RO (m3)]]/80)/3)*60</f>
        <v>41.28649999999999</v>
      </c>
      <c r="J5" s="394">
        <v>0</v>
      </c>
      <c r="K5" s="395">
        <v>38</v>
      </c>
      <c r="L5" s="396">
        <v>68</v>
      </c>
      <c r="M5" s="395">
        <v>0</v>
      </c>
      <c r="N5" s="396">
        <v>0</v>
      </c>
      <c r="O5" s="271">
        <f t="shared" si="0"/>
        <v>0</v>
      </c>
      <c r="P5" s="272">
        <f t="shared" si="1"/>
        <v>333.33333333333337</v>
      </c>
      <c r="Q5" s="255">
        <f t="shared" si="2"/>
        <v>596.49122807017545</v>
      </c>
      <c r="R5" s="272">
        <f t="shared" si="3"/>
        <v>0</v>
      </c>
      <c r="S5" s="272">
        <f t="shared" si="4"/>
        <v>0</v>
      </c>
      <c r="T5" s="257">
        <f t="shared" si="13"/>
        <v>0</v>
      </c>
      <c r="U5" s="258">
        <f t="shared" si="14"/>
        <v>0</v>
      </c>
      <c r="V5" s="258">
        <f t="shared" si="15"/>
        <v>0</v>
      </c>
      <c r="W5" s="258">
        <f t="shared" si="16"/>
        <v>0</v>
      </c>
      <c r="X5" s="259">
        <f t="shared" si="17"/>
        <v>0</v>
      </c>
      <c r="Y5" s="264">
        <v>1.18</v>
      </c>
      <c r="Z5" s="264">
        <v>1.28</v>
      </c>
      <c r="AA5" s="264">
        <v>1.2</v>
      </c>
      <c r="AB5" s="264">
        <v>1.53</v>
      </c>
      <c r="AC5" s="264">
        <v>1.2</v>
      </c>
      <c r="AD5" s="273">
        <f t="shared" si="5"/>
        <v>0</v>
      </c>
      <c r="AE5" s="258">
        <f t="shared" si="5"/>
        <v>0</v>
      </c>
      <c r="AF5" s="258">
        <f t="shared" si="5"/>
        <v>0</v>
      </c>
      <c r="AG5" s="274">
        <f t="shared" si="6"/>
        <v>0</v>
      </c>
      <c r="AH5" s="275">
        <f t="shared" si="7"/>
        <v>0</v>
      </c>
      <c r="AI5" s="430">
        <v>165.14599999999999</v>
      </c>
      <c r="AJ5" s="217">
        <f t="shared" si="8"/>
        <v>0</v>
      </c>
      <c r="AK5" s="218">
        <f t="shared" si="8"/>
        <v>0</v>
      </c>
      <c r="AL5" s="218">
        <f t="shared" si="8"/>
        <v>0</v>
      </c>
      <c r="AM5" s="218">
        <f t="shared" si="8"/>
        <v>0</v>
      </c>
      <c r="AN5" s="219">
        <f t="shared" si="8"/>
        <v>0</v>
      </c>
      <c r="AO5" s="166">
        <f t="shared" si="18"/>
        <v>1550</v>
      </c>
      <c r="AP5" s="167">
        <f t="shared" si="19"/>
        <v>19160</v>
      </c>
      <c r="AQ5" s="167">
        <f t="shared" si="20"/>
        <v>36239</v>
      </c>
      <c r="AR5" s="167">
        <f t="shared" si="21"/>
        <v>1560</v>
      </c>
      <c r="AS5" s="168">
        <f t="shared" si="22"/>
        <v>3640</v>
      </c>
      <c r="AT5" s="166">
        <f t="shared" si="9"/>
        <v>0</v>
      </c>
      <c r="AU5" s="167">
        <f t="shared" si="23"/>
        <v>0</v>
      </c>
      <c r="AV5" s="167">
        <f t="shared" si="24"/>
        <v>0</v>
      </c>
      <c r="AW5" s="167">
        <f t="shared" si="10"/>
        <v>0</v>
      </c>
      <c r="AX5" s="168">
        <f t="shared" si="11"/>
        <v>0</v>
      </c>
      <c r="AY5" s="166">
        <f t="shared" si="12"/>
        <v>0</v>
      </c>
      <c r="AZ5" s="167">
        <v>1000</v>
      </c>
      <c r="BA5" s="167">
        <f>AY5/AI5</f>
        <v>0</v>
      </c>
      <c r="BB5" s="161"/>
      <c r="BC5" s="162"/>
      <c r="BE5" s="427"/>
      <c r="BG5" s="428"/>
      <c r="BH5" s="427"/>
    </row>
    <row r="6" spans="1:60" ht="14.95" thickBot="1" x14ac:dyDescent="0.3">
      <c r="A6" s="220">
        <f>+A5</f>
        <v>46055</v>
      </c>
      <c r="B6" s="279">
        <f>DAY(Tabla2[[#This Row],[FECHA]])</f>
        <v>2</v>
      </c>
      <c r="C6" s="199" t="s">
        <v>29</v>
      </c>
      <c r="D6" s="200"/>
      <c r="E6" s="201"/>
      <c r="F6" s="202"/>
      <c r="G6" s="202"/>
      <c r="H6" s="201"/>
      <c r="I6" s="408">
        <f>((Tabla2[[#This Row],[VOLUMEN ENVIADO A RO (m3)]]/80)/3)*60</f>
        <v>77.084999999999994</v>
      </c>
      <c r="J6" s="394">
        <v>0</v>
      </c>
      <c r="K6" s="398">
        <v>38</v>
      </c>
      <c r="L6" s="399">
        <v>68</v>
      </c>
      <c r="M6" s="398">
        <v>0</v>
      </c>
      <c r="N6" s="399">
        <v>0</v>
      </c>
      <c r="O6" s="261">
        <f t="shared" si="0"/>
        <v>0</v>
      </c>
      <c r="P6" s="262">
        <f t="shared" si="1"/>
        <v>333.33333333333337</v>
      </c>
      <c r="Q6" s="262">
        <f t="shared" si="2"/>
        <v>596.49122807017545</v>
      </c>
      <c r="R6" s="262">
        <f t="shared" si="3"/>
        <v>0</v>
      </c>
      <c r="S6" s="262">
        <f t="shared" si="4"/>
        <v>0</v>
      </c>
      <c r="T6" s="257">
        <f t="shared" si="13"/>
        <v>0</v>
      </c>
      <c r="U6" s="258">
        <f t="shared" si="14"/>
        <v>0</v>
      </c>
      <c r="V6" s="258">
        <f t="shared" si="15"/>
        <v>0</v>
      </c>
      <c r="W6" s="258">
        <f t="shared" si="16"/>
        <v>0</v>
      </c>
      <c r="X6" s="259">
        <f t="shared" si="17"/>
        <v>0</v>
      </c>
      <c r="Y6" s="264">
        <v>1.18</v>
      </c>
      <c r="Z6" s="264">
        <v>1.28</v>
      </c>
      <c r="AA6" s="264">
        <v>1.2</v>
      </c>
      <c r="AB6" s="264">
        <v>1.53</v>
      </c>
      <c r="AC6" s="264">
        <v>1.2</v>
      </c>
      <c r="AD6" s="257">
        <f t="shared" si="5"/>
        <v>0</v>
      </c>
      <c r="AE6" s="258">
        <f t="shared" si="5"/>
        <v>0</v>
      </c>
      <c r="AF6" s="258">
        <f t="shared" si="5"/>
        <v>0</v>
      </c>
      <c r="AG6" s="258">
        <f t="shared" si="6"/>
        <v>0</v>
      </c>
      <c r="AH6" s="259">
        <f t="shared" si="7"/>
        <v>0</v>
      </c>
      <c r="AI6" s="431">
        <v>308.33999999999997</v>
      </c>
      <c r="AJ6" s="195">
        <f t="shared" si="8"/>
        <v>0</v>
      </c>
      <c r="AK6" s="196">
        <f t="shared" si="8"/>
        <v>0</v>
      </c>
      <c r="AL6" s="196">
        <f t="shared" si="8"/>
        <v>0</v>
      </c>
      <c r="AM6" s="196">
        <f t="shared" si="8"/>
        <v>0</v>
      </c>
      <c r="AN6" s="197">
        <f t="shared" si="8"/>
        <v>0</v>
      </c>
      <c r="AO6" s="166">
        <f t="shared" si="18"/>
        <v>1550</v>
      </c>
      <c r="AP6" s="167">
        <f t="shared" si="19"/>
        <v>19160</v>
      </c>
      <c r="AQ6" s="167">
        <f t="shared" si="20"/>
        <v>36239</v>
      </c>
      <c r="AR6" s="167">
        <f t="shared" si="21"/>
        <v>1560</v>
      </c>
      <c r="AS6" s="168">
        <f t="shared" si="22"/>
        <v>3640</v>
      </c>
      <c r="AT6" s="166">
        <f t="shared" si="9"/>
        <v>0</v>
      </c>
      <c r="AU6" s="167">
        <f t="shared" si="23"/>
        <v>0</v>
      </c>
      <c r="AV6" s="167">
        <f t="shared" si="24"/>
        <v>0</v>
      </c>
      <c r="AW6" s="167">
        <f t="shared" si="10"/>
        <v>0</v>
      </c>
      <c r="AX6" s="168">
        <f t="shared" si="11"/>
        <v>0</v>
      </c>
      <c r="AY6" s="166">
        <f t="shared" si="12"/>
        <v>0</v>
      </c>
      <c r="AZ6" s="167">
        <v>1000</v>
      </c>
      <c r="BA6" s="167">
        <f>AY6/AI6</f>
        <v>0</v>
      </c>
      <c r="BB6" s="161"/>
      <c r="BC6" s="162"/>
      <c r="BE6" s="427"/>
      <c r="BG6" s="428"/>
      <c r="BH6" s="427"/>
    </row>
    <row r="7" spans="1:60" ht="14.95" thickBot="1" x14ac:dyDescent="0.3">
      <c r="A7" s="221">
        <f>+A6</f>
        <v>46055</v>
      </c>
      <c r="B7" s="280">
        <f>DAY(Tabla2[[#This Row],[FECHA]])</f>
        <v>2</v>
      </c>
      <c r="C7" s="204" t="s">
        <v>30</v>
      </c>
      <c r="D7" s="205"/>
      <c r="E7" s="206"/>
      <c r="F7" s="207"/>
      <c r="G7" s="208"/>
      <c r="H7" s="209"/>
      <c r="I7" s="408">
        <f>((Tabla2[[#This Row],[VOLUMEN ENVIADO A RO (m3)]]/80)/3)*60</f>
        <v>91.024500000000018</v>
      </c>
      <c r="J7" s="394">
        <v>0</v>
      </c>
      <c r="K7" s="401">
        <v>38</v>
      </c>
      <c r="L7" s="402">
        <v>68</v>
      </c>
      <c r="M7" s="401">
        <v>0</v>
      </c>
      <c r="N7" s="402">
        <v>0</v>
      </c>
      <c r="O7" s="265">
        <f t="shared" si="0"/>
        <v>0</v>
      </c>
      <c r="P7" s="266">
        <f t="shared" si="1"/>
        <v>333.33333333333337</v>
      </c>
      <c r="Q7" s="266">
        <f t="shared" si="2"/>
        <v>596.49122807017545</v>
      </c>
      <c r="R7" s="266">
        <f t="shared" si="3"/>
        <v>0</v>
      </c>
      <c r="S7" s="266">
        <f t="shared" si="4"/>
        <v>0</v>
      </c>
      <c r="T7" s="257">
        <f t="shared" si="13"/>
        <v>0</v>
      </c>
      <c r="U7" s="258">
        <f t="shared" si="14"/>
        <v>0</v>
      </c>
      <c r="V7" s="258">
        <f t="shared" si="15"/>
        <v>0</v>
      </c>
      <c r="W7" s="258">
        <f t="shared" si="16"/>
        <v>0</v>
      </c>
      <c r="X7" s="259">
        <f t="shared" si="17"/>
        <v>0</v>
      </c>
      <c r="Y7" s="264">
        <v>1.18</v>
      </c>
      <c r="Z7" s="264">
        <v>1.28</v>
      </c>
      <c r="AA7" s="264">
        <v>1.2</v>
      </c>
      <c r="AB7" s="264">
        <v>1.53</v>
      </c>
      <c r="AC7" s="264">
        <v>1.2</v>
      </c>
      <c r="AD7" s="268">
        <f t="shared" si="5"/>
        <v>0</v>
      </c>
      <c r="AE7" s="269">
        <f t="shared" si="5"/>
        <v>0</v>
      </c>
      <c r="AF7" s="269">
        <f t="shared" si="5"/>
        <v>0</v>
      </c>
      <c r="AG7" s="269">
        <f t="shared" si="6"/>
        <v>0</v>
      </c>
      <c r="AH7" s="270">
        <f t="shared" si="7"/>
        <v>0</v>
      </c>
      <c r="AI7" s="432">
        <v>364.09800000000001</v>
      </c>
      <c r="AJ7" s="210">
        <f>(AD7*1000)/$AI9</f>
        <v>0</v>
      </c>
      <c r="AK7" s="211">
        <f>(AE7*1000)/$AI9</f>
        <v>0</v>
      </c>
      <c r="AL7" s="211">
        <f>(AF7*1000)/$AI9</f>
        <v>0</v>
      </c>
      <c r="AM7" s="211">
        <f>(AG7*1000)/$AI9</f>
        <v>0</v>
      </c>
      <c r="AN7" s="212">
        <f>(AH7*1000)/$AI9</f>
        <v>0</v>
      </c>
      <c r="AO7" s="166">
        <f t="shared" si="18"/>
        <v>1550</v>
      </c>
      <c r="AP7" s="167">
        <f t="shared" si="19"/>
        <v>19160</v>
      </c>
      <c r="AQ7" s="167">
        <f t="shared" si="20"/>
        <v>36239</v>
      </c>
      <c r="AR7" s="167">
        <f t="shared" si="21"/>
        <v>1560</v>
      </c>
      <c r="AS7" s="168">
        <f t="shared" si="22"/>
        <v>3640</v>
      </c>
      <c r="AT7" s="169">
        <f t="shared" si="9"/>
        <v>0</v>
      </c>
      <c r="AU7" s="170">
        <f t="shared" si="23"/>
        <v>0</v>
      </c>
      <c r="AV7" s="170">
        <f t="shared" si="24"/>
        <v>0</v>
      </c>
      <c r="AW7" s="170">
        <f t="shared" si="10"/>
        <v>0</v>
      </c>
      <c r="AX7" s="171">
        <f t="shared" si="11"/>
        <v>0</v>
      </c>
      <c r="AY7" s="169">
        <f t="shared" si="12"/>
        <v>0</v>
      </c>
      <c r="AZ7" s="170">
        <v>1000</v>
      </c>
      <c r="BA7" s="170">
        <f>AY7/AI9</f>
        <v>0</v>
      </c>
      <c r="BB7" s="160"/>
      <c r="BC7" s="163"/>
      <c r="BE7" s="427"/>
      <c r="BG7" s="428"/>
      <c r="BH7" s="427"/>
    </row>
    <row r="8" spans="1:60" ht="14.95" thickBot="1" x14ac:dyDescent="0.3">
      <c r="A8" s="213">
        <f>+A7+1</f>
        <v>46056</v>
      </c>
      <c r="B8" s="157">
        <f>DAY(Tabla2[[#This Row],[FECHA]])</f>
        <v>3</v>
      </c>
      <c r="C8" s="191" t="s">
        <v>28</v>
      </c>
      <c r="D8" s="214"/>
      <c r="E8" s="215"/>
      <c r="F8" s="216"/>
      <c r="G8" s="216"/>
      <c r="H8" s="215"/>
      <c r="I8" s="408">
        <f>((Tabla2[[#This Row],[VOLUMEN ENVIADO A RO (m3)]]/80)/3)*60</f>
        <v>99.468250000000012</v>
      </c>
      <c r="J8" s="394">
        <v>0</v>
      </c>
      <c r="K8" s="395">
        <v>38</v>
      </c>
      <c r="L8" s="396">
        <v>68</v>
      </c>
      <c r="M8" s="395">
        <v>0</v>
      </c>
      <c r="N8" s="396">
        <v>0</v>
      </c>
      <c r="O8" s="271">
        <f t="shared" si="0"/>
        <v>0</v>
      </c>
      <c r="P8" s="272">
        <f t="shared" si="1"/>
        <v>333.33333333333337</v>
      </c>
      <c r="Q8" s="255">
        <f t="shared" si="2"/>
        <v>596.49122807017545</v>
      </c>
      <c r="R8" s="272">
        <f t="shared" si="3"/>
        <v>0</v>
      </c>
      <c r="S8" s="272">
        <f t="shared" si="4"/>
        <v>0</v>
      </c>
      <c r="T8" s="257">
        <f t="shared" si="13"/>
        <v>0</v>
      </c>
      <c r="U8" s="258">
        <f>P8-P9</f>
        <v>0</v>
      </c>
      <c r="V8" s="258">
        <f>Q8-Q9</f>
        <v>0</v>
      </c>
      <c r="W8" s="258">
        <f t="shared" si="16"/>
        <v>0</v>
      </c>
      <c r="X8" s="259">
        <f t="shared" si="17"/>
        <v>0</v>
      </c>
      <c r="Y8" s="264">
        <v>1.18</v>
      </c>
      <c r="Z8" s="264">
        <v>1.28</v>
      </c>
      <c r="AA8" s="264">
        <v>1.2</v>
      </c>
      <c r="AB8" s="264">
        <v>1.53</v>
      </c>
      <c r="AC8" s="264">
        <v>1.2</v>
      </c>
      <c r="AD8" s="273">
        <f t="shared" si="5"/>
        <v>0</v>
      </c>
      <c r="AE8" s="274">
        <f t="shared" si="5"/>
        <v>0</v>
      </c>
      <c r="AF8" s="274">
        <f t="shared" si="5"/>
        <v>0</v>
      </c>
      <c r="AG8" s="274">
        <f t="shared" si="6"/>
        <v>0</v>
      </c>
      <c r="AH8" s="275">
        <f t="shared" si="7"/>
        <v>0</v>
      </c>
      <c r="AI8" s="430">
        <v>397.87299999999999</v>
      </c>
      <c r="AJ8" s="217">
        <f>(AD8*1000)/$AI12</f>
        <v>0</v>
      </c>
      <c r="AK8" s="218">
        <f>(AE8*1000)/$AI12</f>
        <v>0</v>
      </c>
      <c r="AL8" s="218">
        <f>(AF8*1000)/$AI12</f>
        <v>0</v>
      </c>
      <c r="AM8" s="218">
        <f>(AG8*1000)/$AI12</f>
        <v>0</v>
      </c>
      <c r="AN8" s="219">
        <f>(AH8*1000)/$AI12</f>
        <v>0</v>
      </c>
      <c r="AO8" s="166">
        <f t="shared" si="18"/>
        <v>1550</v>
      </c>
      <c r="AP8" s="167">
        <f t="shared" si="19"/>
        <v>19160</v>
      </c>
      <c r="AQ8" s="167">
        <f t="shared" si="20"/>
        <v>36239</v>
      </c>
      <c r="AR8" s="167">
        <f t="shared" si="21"/>
        <v>1560</v>
      </c>
      <c r="AS8" s="168">
        <f t="shared" si="22"/>
        <v>3640</v>
      </c>
      <c r="AT8" s="166">
        <f t="shared" si="9"/>
        <v>0</v>
      </c>
      <c r="AU8" s="167">
        <f t="shared" si="23"/>
        <v>0</v>
      </c>
      <c r="AV8" s="167">
        <f t="shared" si="24"/>
        <v>0</v>
      </c>
      <c r="AW8" s="167">
        <f t="shared" si="10"/>
        <v>0</v>
      </c>
      <c r="AX8" s="168">
        <f t="shared" si="11"/>
        <v>0</v>
      </c>
      <c r="AY8" s="166">
        <f t="shared" si="12"/>
        <v>0</v>
      </c>
      <c r="AZ8" s="167">
        <v>1000</v>
      </c>
      <c r="BA8" s="167">
        <f>AY8/AI12</f>
        <v>0</v>
      </c>
      <c r="BB8" s="161"/>
      <c r="BC8" s="162"/>
      <c r="BE8" s="427"/>
      <c r="BG8" s="428"/>
      <c r="BH8" s="427"/>
    </row>
    <row r="9" spans="1:60" ht="14.95" thickBot="1" x14ac:dyDescent="0.3">
      <c r="A9" s="220">
        <f>+A8</f>
        <v>46056</v>
      </c>
      <c r="B9" s="279">
        <f>DAY(Tabla2[[#This Row],[FECHA]])</f>
        <v>3</v>
      </c>
      <c r="C9" s="199" t="s">
        <v>29</v>
      </c>
      <c r="D9" s="200"/>
      <c r="E9" s="201"/>
      <c r="F9" s="202"/>
      <c r="G9" s="202"/>
      <c r="H9" s="201"/>
      <c r="I9" s="408">
        <f>((Tabla2[[#This Row],[VOLUMEN ENVIADO A RO (m3)]]/80)/3)*60</f>
        <v>95.882999999999996</v>
      </c>
      <c r="J9" s="394">
        <v>0</v>
      </c>
      <c r="K9" s="398">
        <v>38</v>
      </c>
      <c r="L9" s="399">
        <v>68</v>
      </c>
      <c r="M9" s="398">
        <v>0</v>
      </c>
      <c r="N9" s="399">
        <v>0</v>
      </c>
      <c r="O9" s="261">
        <f t="shared" si="0"/>
        <v>0</v>
      </c>
      <c r="P9" s="262">
        <f t="shared" si="1"/>
        <v>333.33333333333337</v>
      </c>
      <c r="Q9" s="262">
        <f t="shared" si="2"/>
        <v>596.49122807017545</v>
      </c>
      <c r="R9" s="262">
        <f t="shared" si="3"/>
        <v>0</v>
      </c>
      <c r="S9" s="262">
        <f t="shared" si="4"/>
        <v>0</v>
      </c>
      <c r="T9" s="257">
        <f t="shared" si="13"/>
        <v>0</v>
      </c>
      <c r="U9" s="258">
        <f>P9-P10</f>
        <v>43.859649122807014</v>
      </c>
      <c r="V9" s="258">
        <f t="shared" si="15"/>
        <v>105.26315789473682</v>
      </c>
      <c r="W9" s="258">
        <f t="shared" si="16"/>
        <v>0</v>
      </c>
      <c r="X9" s="259">
        <f t="shared" si="17"/>
        <v>0</v>
      </c>
      <c r="Y9" s="264">
        <v>1.18</v>
      </c>
      <c r="Z9" s="264">
        <v>1.28</v>
      </c>
      <c r="AA9" s="264">
        <v>1.2</v>
      </c>
      <c r="AB9" s="264">
        <v>1.53</v>
      </c>
      <c r="AC9" s="264">
        <v>1.2</v>
      </c>
      <c r="AD9" s="257">
        <f t="shared" si="5"/>
        <v>0</v>
      </c>
      <c r="AE9" s="258">
        <f t="shared" si="5"/>
        <v>56.140350877192979</v>
      </c>
      <c r="AF9" s="258">
        <f t="shared" si="5"/>
        <v>126.31578947368418</v>
      </c>
      <c r="AG9" s="258">
        <f t="shared" si="6"/>
        <v>0</v>
      </c>
      <c r="AH9" s="259">
        <f t="shared" si="7"/>
        <v>0</v>
      </c>
      <c r="AI9" s="431">
        <v>383.53199999999998</v>
      </c>
      <c r="AJ9" s="195">
        <f>(AD9*1000)/$AI15</f>
        <v>0</v>
      </c>
      <c r="AK9" s="196">
        <f>(AE9*1000)/$AI15</f>
        <v>162.00204557957926</v>
      </c>
      <c r="AL9" s="196">
        <f>(AF9*1000)/$AI15</f>
        <v>364.50460255405324</v>
      </c>
      <c r="AM9" s="196">
        <f>(AG9*1000)/$AI15</f>
        <v>0</v>
      </c>
      <c r="AN9" s="197">
        <f>(AH9*1000)/$AI15</f>
        <v>0</v>
      </c>
      <c r="AO9" s="166">
        <f t="shared" si="18"/>
        <v>1550</v>
      </c>
      <c r="AP9" s="167">
        <f t="shared" si="19"/>
        <v>19160</v>
      </c>
      <c r="AQ9" s="167">
        <f t="shared" si="20"/>
        <v>36239</v>
      </c>
      <c r="AR9" s="167">
        <f t="shared" si="21"/>
        <v>1560</v>
      </c>
      <c r="AS9" s="168">
        <f t="shared" si="22"/>
        <v>3640</v>
      </c>
      <c r="AT9" s="166">
        <f t="shared" si="9"/>
        <v>0</v>
      </c>
      <c r="AU9" s="167">
        <f t="shared" si="23"/>
        <v>12907.78947368421</v>
      </c>
      <c r="AV9" s="167">
        <f t="shared" si="24"/>
        <v>201412.54736842102</v>
      </c>
      <c r="AW9" s="167">
        <f t="shared" si="10"/>
        <v>0</v>
      </c>
      <c r="AX9" s="168">
        <f t="shared" si="11"/>
        <v>0</v>
      </c>
      <c r="AY9" s="166">
        <f t="shared" si="12"/>
        <v>214320.33684210523</v>
      </c>
      <c r="AZ9" s="167">
        <v>1000</v>
      </c>
      <c r="BA9" s="167">
        <f>AY9/AI15</f>
        <v>618.45593116573571</v>
      </c>
      <c r="BB9" s="161"/>
      <c r="BC9" s="162"/>
      <c r="BE9" s="427"/>
      <c r="BG9" s="428"/>
      <c r="BH9" s="427"/>
    </row>
    <row r="10" spans="1:60" ht="14.95" thickBot="1" x14ac:dyDescent="0.3">
      <c r="A10" s="221">
        <f>+A9</f>
        <v>46056</v>
      </c>
      <c r="B10" s="280">
        <f>DAY(Tabla2[[#This Row],[FECHA]])</f>
        <v>3</v>
      </c>
      <c r="C10" s="204" t="s">
        <v>30</v>
      </c>
      <c r="D10" s="205"/>
      <c r="E10" s="206"/>
      <c r="F10" s="207"/>
      <c r="G10" s="208"/>
      <c r="H10" s="209"/>
      <c r="I10" s="408">
        <f>((Tabla2[[#This Row],[VOLUMEN ENVIADO A RO (m3)]]/80)/3)*60</f>
        <v>79.563500000000005</v>
      </c>
      <c r="J10" s="394">
        <v>0</v>
      </c>
      <c r="K10" s="401">
        <v>33</v>
      </c>
      <c r="L10" s="402">
        <v>56</v>
      </c>
      <c r="M10" s="401">
        <v>0</v>
      </c>
      <c r="N10" s="402">
        <v>0</v>
      </c>
      <c r="O10" s="261">
        <f t="shared" si="0"/>
        <v>0</v>
      </c>
      <c r="P10" s="266">
        <f t="shared" si="1"/>
        <v>289.47368421052636</v>
      </c>
      <c r="Q10" s="266">
        <f t="shared" si="2"/>
        <v>491.22807017543863</v>
      </c>
      <c r="R10" s="266">
        <f t="shared" si="3"/>
        <v>0</v>
      </c>
      <c r="S10" s="266">
        <f t="shared" si="4"/>
        <v>0</v>
      </c>
      <c r="T10" s="257">
        <f t="shared" si="13"/>
        <v>0</v>
      </c>
      <c r="U10" s="258">
        <f t="shared" si="14"/>
        <v>105.26315789473688</v>
      </c>
      <c r="V10" s="258">
        <f t="shared" si="15"/>
        <v>122.80701754385967</v>
      </c>
      <c r="W10" s="258">
        <f t="shared" si="16"/>
        <v>0</v>
      </c>
      <c r="X10" s="259">
        <f t="shared" si="17"/>
        <v>0</v>
      </c>
      <c r="Y10" s="264">
        <v>1.18</v>
      </c>
      <c r="Z10" s="264">
        <v>1.28</v>
      </c>
      <c r="AA10" s="264">
        <v>1.2</v>
      </c>
      <c r="AB10" s="264">
        <v>1.53</v>
      </c>
      <c r="AC10" s="264">
        <v>1.2</v>
      </c>
      <c r="AD10" s="268">
        <f t="shared" si="5"/>
        <v>0</v>
      </c>
      <c r="AE10" s="269">
        <f t="shared" si="5"/>
        <v>134.73684210526321</v>
      </c>
      <c r="AF10" s="269">
        <f t="shared" si="5"/>
        <v>147.36842105263159</v>
      </c>
      <c r="AG10" s="269">
        <f t="shared" si="6"/>
        <v>0</v>
      </c>
      <c r="AH10" s="270">
        <f t="shared" si="7"/>
        <v>0</v>
      </c>
      <c r="AI10" s="432">
        <v>318.25400000000002</v>
      </c>
      <c r="AJ10" s="210">
        <f>(AD10*1000)/$AI18</f>
        <v>0</v>
      </c>
      <c r="AK10" s="211">
        <f>(AE10*1000)/$AI18</f>
        <v>215.57756767198802</v>
      </c>
      <c r="AL10" s="211">
        <f>(AF10*1000)/$AI18</f>
        <v>235.78796464123684</v>
      </c>
      <c r="AM10" s="211">
        <f>(AG10*1000)/$AI18</f>
        <v>0</v>
      </c>
      <c r="AN10" s="212">
        <f>(AH10*1000)/$AI18</f>
        <v>0</v>
      </c>
      <c r="AO10" s="166">
        <f t="shared" si="18"/>
        <v>1550</v>
      </c>
      <c r="AP10" s="167">
        <f t="shared" si="19"/>
        <v>19160</v>
      </c>
      <c r="AQ10" s="167">
        <f t="shared" si="20"/>
        <v>36239</v>
      </c>
      <c r="AR10" s="167">
        <f t="shared" si="21"/>
        <v>1560</v>
      </c>
      <c r="AS10" s="168">
        <f t="shared" si="22"/>
        <v>3640</v>
      </c>
      <c r="AT10" s="169">
        <f t="shared" si="9"/>
        <v>0</v>
      </c>
      <c r="AU10" s="170">
        <f t="shared" si="23"/>
        <v>30978.694736842117</v>
      </c>
      <c r="AV10" s="170">
        <f t="shared" si="24"/>
        <v>234981.30526315788</v>
      </c>
      <c r="AW10" s="170">
        <f t="shared" si="10"/>
        <v>0</v>
      </c>
      <c r="AX10" s="171">
        <f t="shared" si="11"/>
        <v>0</v>
      </c>
      <c r="AY10" s="169">
        <f t="shared" si="12"/>
        <v>265960</v>
      </c>
      <c r="AZ10" s="170">
        <v>1000</v>
      </c>
      <c r="BA10" s="170">
        <f>AY10/AI18</f>
        <v>425.53327658702983</v>
      </c>
      <c r="BB10" s="160"/>
      <c r="BC10" s="163"/>
      <c r="BE10" s="427"/>
      <c r="BG10" s="428"/>
      <c r="BH10" s="427"/>
    </row>
    <row r="11" spans="1:60" ht="14.95" thickBot="1" x14ac:dyDescent="0.3">
      <c r="A11" s="213">
        <f>+A10+1</f>
        <v>46057</v>
      </c>
      <c r="B11" s="157">
        <f>DAY(Tabla2[[#This Row],[FECHA]])</f>
        <v>4</v>
      </c>
      <c r="C11" s="191" t="s">
        <v>28</v>
      </c>
      <c r="D11" s="214"/>
      <c r="E11" s="215"/>
      <c r="F11" s="216"/>
      <c r="G11" s="216"/>
      <c r="H11" s="215"/>
      <c r="I11" s="408">
        <f>((Tabla2[[#This Row],[VOLUMEN ENVIADO A RO (m3)]]/80)/3)*60</f>
        <v>76.375249999999994</v>
      </c>
      <c r="J11" s="394">
        <v>0</v>
      </c>
      <c r="K11" s="398">
        <v>21</v>
      </c>
      <c r="L11" s="399">
        <v>42</v>
      </c>
      <c r="M11" s="395">
        <v>0</v>
      </c>
      <c r="N11" s="399">
        <v>0</v>
      </c>
      <c r="O11" s="261">
        <f t="shared" si="0"/>
        <v>0</v>
      </c>
      <c r="P11" s="272">
        <f t="shared" si="1"/>
        <v>184.21052631578948</v>
      </c>
      <c r="Q11" s="255">
        <f t="shared" si="2"/>
        <v>368.42105263157896</v>
      </c>
      <c r="R11" s="272">
        <f t="shared" si="3"/>
        <v>0</v>
      </c>
      <c r="S11" s="272">
        <f t="shared" si="4"/>
        <v>0</v>
      </c>
      <c r="T11" s="257">
        <f t="shared" si="13"/>
        <v>0</v>
      </c>
      <c r="U11" s="258">
        <f t="shared" si="14"/>
        <v>0</v>
      </c>
      <c r="V11" s="258">
        <f t="shared" si="15"/>
        <v>0</v>
      </c>
      <c r="W11" s="258">
        <f t="shared" si="16"/>
        <v>0</v>
      </c>
      <c r="X11" s="259">
        <f t="shared" si="17"/>
        <v>0</v>
      </c>
      <c r="Y11" s="264">
        <v>1.18</v>
      </c>
      <c r="Z11" s="264">
        <v>1.28</v>
      </c>
      <c r="AA11" s="264">
        <v>1.2</v>
      </c>
      <c r="AB11" s="264">
        <v>1.53</v>
      </c>
      <c r="AC11" s="264">
        <v>1.2</v>
      </c>
      <c r="AD11" s="273">
        <f t="shared" si="5"/>
        <v>0</v>
      </c>
      <c r="AE11" s="274">
        <f t="shared" si="5"/>
        <v>0</v>
      </c>
      <c r="AF11" s="274">
        <f t="shared" si="5"/>
        <v>0</v>
      </c>
      <c r="AG11" s="274">
        <f t="shared" si="6"/>
        <v>0</v>
      </c>
      <c r="AH11" s="275">
        <f t="shared" si="7"/>
        <v>0</v>
      </c>
      <c r="AI11" s="430">
        <v>305.50099999999998</v>
      </c>
      <c r="AJ11" s="217" t="e">
        <f>(AD11*1000)/$AI21</f>
        <v>#DIV/0!</v>
      </c>
      <c r="AK11" s="218" t="e">
        <f>(AE11*1000)/$AI21</f>
        <v>#DIV/0!</v>
      </c>
      <c r="AL11" s="218" t="e">
        <f>(AF11*1000)/$AI21</f>
        <v>#DIV/0!</v>
      </c>
      <c r="AM11" s="218" t="e">
        <f>(AG11*1000)/$AI21</f>
        <v>#DIV/0!</v>
      </c>
      <c r="AN11" s="219" t="e">
        <f>(AH11*1000)/$AI21</f>
        <v>#DIV/0!</v>
      </c>
      <c r="AO11" s="166">
        <f t="shared" si="18"/>
        <v>1550</v>
      </c>
      <c r="AP11" s="167">
        <f t="shared" si="19"/>
        <v>19160</v>
      </c>
      <c r="AQ11" s="167">
        <f t="shared" si="20"/>
        <v>36239</v>
      </c>
      <c r="AR11" s="167">
        <f t="shared" si="21"/>
        <v>1560</v>
      </c>
      <c r="AS11" s="168">
        <f t="shared" si="22"/>
        <v>3640</v>
      </c>
      <c r="AT11" s="166">
        <f t="shared" si="9"/>
        <v>0</v>
      </c>
      <c r="AU11" s="167">
        <f t="shared" si="23"/>
        <v>0</v>
      </c>
      <c r="AV11" s="167">
        <f t="shared" si="24"/>
        <v>0</v>
      </c>
      <c r="AW11" s="167">
        <f t="shared" si="10"/>
        <v>0</v>
      </c>
      <c r="AX11" s="168">
        <f t="shared" si="11"/>
        <v>0</v>
      </c>
      <c r="AY11" s="166">
        <f t="shared" si="12"/>
        <v>0</v>
      </c>
      <c r="AZ11" s="167">
        <v>1000</v>
      </c>
      <c r="BA11" s="167" t="e">
        <f>AY11/AI21</f>
        <v>#DIV/0!</v>
      </c>
      <c r="BB11" s="161"/>
      <c r="BC11" s="162"/>
      <c r="BE11" s="427"/>
      <c r="BG11" s="428"/>
      <c r="BH11" s="427"/>
    </row>
    <row r="12" spans="1:60" ht="14.95" thickBot="1" x14ac:dyDescent="0.3">
      <c r="A12" s="220">
        <f>+A11</f>
        <v>46057</v>
      </c>
      <c r="B12" s="279">
        <f>DAY(Tabla2[[#This Row],[FECHA]])</f>
        <v>4</v>
      </c>
      <c r="C12" s="199" t="s">
        <v>29</v>
      </c>
      <c r="D12" s="200"/>
      <c r="E12" s="201"/>
      <c r="F12" s="202"/>
      <c r="G12" s="202"/>
      <c r="H12" s="201"/>
      <c r="I12" s="408">
        <f>((Tabla2[[#This Row],[VOLUMEN ENVIADO A RO (m3)]]/80)/3)*60</f>
        <v>78.03125</v>
      </c>
      <c r="J12" s="394">
        <v>0</v>
      </c>
      <c r="K12" s="398">
        <v>21</v>
      </c>
      <c r="L12" s="399">
        <v>42</v>
      </c>
      <c r="M12" s="398">
        <v>0</v>
      </c>
      <c r="N12" s="399">
        <v>0</v>
      </c>
      <c r="O12" s="261">
        <f t="shared" si="0"/>
        <v>0</v>
      </c>
      <c r="P12" s="262">
        <f t="shared" si="1"/>
        <v>184.21052631578948</v>
      </c>
      <c r="Q12" s="262">
        <f t="shared" si="2"/>
        <v>368.42105263157896</v>
      </c>
      <c r="R12" s="262">
        <f t="shared" si="3"/>
        <v>0</v>
      </c>
      <c r="S12" s="262">
        <f t="shared" si="4"/>
        <v>0</v>
      </c>
      <c r="T12" s="257">
        <f t="shared" si="13"/>
        <v>0</v>
      </c>
      <c r="U12" s="258">
        <f t="shared" si="14"/>
        <v>17.543859649122794</v>
      </c>
      <c r="V12" s="258">
        <f t="shared" si="15"/>
        <v>35.087719298245588</v>
      </c>
      <c r="W12" s="258">
        <f t="shared" si="16"/>
        <v>0</v>
      </c>
      <c r="X12" s="259">
        <f t="shared" si="17"/>
        <v>0</v>
      </c>
      <c r="Y12" s="264">
        <v>1.18</v>
      </c>
      <c r="Z12" s="264">
        <v>1.28</v>
      </c>
      <c r="AA12" s="264">
        <v>1.2</v>
      </c>
      <c r="AB12" s="264">
        <v>1.53</v>
      </c>
      <c r="AC12" s="264">
        <v>1.2</v>
      </c>
      <c r="AD12" s="257">
        <f t="shared" si="5"/>
        <v>0</v>
      </c>
      <c r="AE12" s="258">
        <f t="shared" si="5"/>
        <v>22.456140350877178</v>
      </c>
      <c r="AF12" s="258">
        <f t="shared" si="5"/>
        <v>42.105263157894704</v>
      </c>
      <c r="AG12" s="258">
        <f t="shared" si="6"/>
        <v>0</v>
      </c>
      <c r="AH12" s="259">
        <f t="shared" si="7"/>
        <v>0</v>
      </c>
      <c r="AI12" s="431">
        <v>312.125</v>
      </c>
      <c r="AJ12" s="195" t="e">
        <f>(AD12*1000)/$AI24</f>
        <v>#DIV/0!</v>
      </c>
      <c r="AK12" s="196" t="e">
        <f>(AE12*1000)/$AI24</f>
        <v>#DIV/0!</v>
      </c>
      <c r="AL12" s="196" t="e">
        <f>(AF12*1000)/$AI24</f>
        <v>#DIV/0!</v>
      </c>
      <c r="AM12" s="196" t="e">
        <f>(AG12*1000)/$AI24</f>
        <v>#DIV/0!</v>
      </c>
      <c r="AN12" s="197" t="e">
        <f>(AH12*1000)/$AI24</f>
        <v>#DIV/0!</v>
      </c>
      <c r="AO12" s="166">
        <f t="shared" si="18"/>
        <v>1550</v>
      </c>
      <c r="AP12" s="167">
        <f t="shared" si="19"/>
        <v>19160</v>
      </c>
      <c r="AQ12" s="167">
        <f t="shared" si="20"/>
        <v>36239</v>
      </c>
      <c r="AR12" s="167">
        <f t="shared" si="21"/>
        <v>1560</v>
      </c>
      <c r="AS12" s="168">
        <f t="shared" si="22"/>
        <v>3640</v>
      </c>
      <c r="AT12" s="166">
        <f t="shared" si="9"/>
        <v>0</v>
      </c>
      <c r="AU12" s="167">
        <f t="shared" si="23"/>
        <v>5163.1157894736807</v>
      </c>
      <c r="AV12" s="167">
        <f t="shared" si="24"/>
        <v>67137.515789473633</v>
      </c>
      <c r="AW12" s="167">
        <f t="shared" si="10"/>
        <v>0</v>
      </c>
      <c r="AX12" s="168">
        <f t="shared" si="11"/>
        <v>0</v>
      </c>
      <c r="AY12" s="166">
        <f t="shared" si="12"/>
        <v>72300.631578947316</v>
      </c>
      <c r="AZ12" s="167">
        <v>1000</v>
      </c>
      <c r="BA12" s="167" t="e">
        <f>AY12/AI24</f>
        <v>#DIV/0!</v>
      </c>
      <c r="BB12" s="161"/>
      <c r="BC12" s="162"/>
      <c r="BE12" s="427"/>
      <c r="BG12" s="428"/>
      <c r="BH12" s="427"/>
    </row>
    <row r="13" spans="1:60" ht="14.95" thickBot="1" x14ac:dyDescent="0.3">
      <c r="A13" s="221">
        <f>+A12</f>
        <v>46057</v>
      </c>
      <c r="B13" s="280">
        <f>DAY(Tabla2[[#This Row],[FECHA]])</f>
        <v>4</v>
      </c>
      <c r="C13" s="204" t="s">
        <v>30</v>
      </c>
      <c r="D13" s="205"/>
      <c r="E13" s="206"/>
      <c r="F13" s="207"/>
      <c r="G13" s="208"/>
      <c r="H13" s="209"/>
      <c r="I13" s="408">
        <f>((Tabla2[[#This Row],[VOLUMEN ENVIADO A RO (m3)]]/80)/3)*60</f>
        <v>19.964249999999996</v>
      </c>
      <c r="J13" s="394">
        <v>0</v>
      </c>
      <c r="K13" s="401">
        <v>19</v>
      </c>
      <c r="L13" s="402">
        <v>38</v>
      </c>
      <c r="M13" s="401">
        <v>0</v>
      </c>
      <c r="N13" s="402">
        <v>0</v>
      </c>
      <c r="O13" s="261">
        <f t="shared" si="0"/>
        <v>0</v>
      </c>
      <c r="P13" s="266">
        <f t="shared" si="1"/>
        <v>166.66666666666669</v>
      </c>
      <c r="Q13" s="266">
        <f t="shared" si="2"/>
        <v>333.33333333333337</v>
      </c>
      <c r="R13" s="266">
        <f t="shared" si="3"/>
        <v>0</v>
      </c>
      <c r="S13" s="266">
        <f t="shared" si="4"/>
        <v>0</v>
      </c>
      <c r="T13" s="257">
        <f t="shared" si="13"/>
        <v>0</v>
      </c>
      <c r="U13" s="258">
        <f>P13-P14</f>
        <v>17.543859649122822</v>
      </c>
      <c r="V13" s="258">
        <f>Q13-Q14</f>
        <v>26.31578947368422</v>
      </c>
      <c r="W13" s="258">
        <f t="shared" si="16"/>
        <v>0</v>
      </c>
      <c r="X13" s="259">
        <f t="shared" si="17"/>
        <v>0</v>
      </c>
      <c r="Y13" s="264">
        <v>1.18</v>
      </c>
      <c r="Z13" s="264">
        <v>1.28</v>
      </c>
      <c r="AA13" s="264">
        <v>1.2</v>
      </c>
      <c r="AB13" s="264">
        <v>1.53</v>
      </c>
      <c r="AC13" s="264">
        <v>1.2</v>
      </c>
      <c r="AD13" s="268">
        <f t="shared" si="5"/>
        <v>0</v>
      </c>
      <c r="AE13" s="269">
        <f t="shared" si="5"/>
        <v>22.456140350877213</v>
      </c>
      <c r="AF13" s="269">
        <f t="shared" si="5"/>
        <v>31.578947368421062</v>
      </c>
      <c r="AG13" s="269">
        <f t="shared" si="6"/>
        <v>0</v>
      </c>
      <c r="AH13" s="270">
        <f t="shared" si="7"/>
        <v>0</v>
      </c>
      <c r="AI13" s="432">
        <v>79.856999999999999</v>
      </c>
      <c r="AJ13" s="210">
        <f>(AD13*1000)/$AI27</f>
        <v>0</v>
      </c>
      <c r="AK13" s="211">
        <f>(AE13*1000)/$AI27</f>
        <v>181.43590358552797</v>
      </c>
      <c r="AL13" s="211">
        <f>(AF13*1000)/$AI27</f>
        <v>255.14423941714855</v>
      </c>
      <c r="AM13" s="211">
        <f>(AG13*1000)/$AI27</f>
        <v>0</v>
      </c>
      <c r="AN13" s="212">
        <f>(AH13*1000)/$AI27</f>
        <v>0</v>
      </c>
      <c r="AO13" s="166">
        <f t="shared" si="18"/>
        <v>1550</v>
      </c>
      <c r="AP13" s="167">
        <f t="shared" si="19"/>
        <v>19160</v>
      </c>
      <c r="AQ13" s="167">
        <f t="shared" si="20"/>
        <v>36239</v>
      </c>
      <c r="AR13" s="167">
        <f t="shared" si="21"/>
        <v>1560</v>
      </c>
      <c r="AS13" s="168">
        <f t="shared" si="22"/>
        <v>3640</v>
      </c>
      <c r="AT13" s="169">
        <f t="shared" si="9"/>
        <v>0</v>
      </c>
      <c r="AU13" s="170">
        <f t="shared" si="23"/>
        <v>5163.1157894736898</v>
      </c>
      <c r="AV13" s="170">
        <f t="shared" si="24"/>
        <v>50353.136842105276</v>
      </c>
      <c r="AW13" s="170">
        <f t="shared" si="10"/>
        <v>0</v>
      </c>
      <c r="AX13" s="171">
        <f t="shared" si="11"/>
        <v>0</v>
      </c>
      <c r="AY13" s="169">
        <f t="shared" si="12"/>
        <v>55516.252631578966</v>
      </c>
      <c r="AZ13" s="170">
        <v>1000</v>
      </c>
      <c r="BA13" s="170">
        <f>AY13/AI27</f>
        <v>448.54731501085865</v>
      </c>
      <c r="BB13" s="160"/>
      <c r="BC13" s="163"/>
      <c r="BE13" s="427"/>
      <c r="BG13" s="428"/>
      <c r="BH13" s="427"/>
    </row>
    <row r="14" spans="1:60" ht="14.95" thickBot="1" x14ac:dyDescent="0.3">
      <c r="A14" s="213">
        <f>+A13+1</f>
        <v>46058</v>
      </c>
      <c r="B14" s="157">
        <f>DAY(Tabla2[[#This Row],[FECHA]])</f>
        <v>5</v>
      </c>
      <c r="C14" s="191" t="s">
        <v>28</v>
      </c>
      <c r="D14" s="214"/>
      <c r="E14" s="215"/>
      <c r="F14" s="216"/>
      <c r="G14" s="216"/>
      <c r="H14" s="215"/>
      <c r="I14" s="408">
        <f>((Tabla2[[#This Row],[VOLUMEN ENVIADO A RO (m3)]]/80)/3)*60</f>
        <v>62.320500000000003</v>
      </c>
      <c r="J14" s="394">
        <v>0</v>
      </c>
      <c r="K14" s="395">
        <v>17</v>
      </c>
      <c r="L14" s="396">
        <v>35</v>
      </c>
      <c r="M14" s="395">
        <v>0</v>
      </c>
      <c r="N14" s="396">
        <v>0</v>
      </c>
      <c r="O14" s="261">
        <f t="shared" si="0"/>
        <v>0</v>
      </c>
      <c r="P14" s="272">
        <f t="shared" si="1"/>
        <v>149.12280701754386</v>
      </c>
      <c r="Q14" s="255">
        <f t="shared" si="2"/>
        <v>307.01754385964915</v>
      </c>
      <c r="R14" s="272">
        <f t="shared" si="3"/>
        <v>0</v>
      </c>
      <c r="S14" s="272">
        <f t="shared" si="4"/>
        <v>0</v>
      </c>
      <c r="T14" s="257">
        <f t="shared" si="13"/>
        <v>0</v>
      </c>
      <c r="U14" s="258">
        <f>P14-P15+50</f>
        <v>14.912280701754383</v>
      </c>
      <c r="V14" s="258">
        <f t="shared" si="15"/>
        <v>17.543859649122794</v>
      </c>
      <c r="W14" s="258">
        <f t="shared" si="16"/>
        <v>0</v>
      </c>
      <c r="X14" s="259">
        <f t="shared" si="17"/>
        <v>0</v>
      </c>
      <c r="Y14" s="264">
        <v>1.18</v>
      </c>
      <c r="Z14" s="264">
        <v>1.28</v>
      </c>
      <c r="AA14" s="264">
        <v>1.2</v>
      </c>
      <c r="AB14" s="264">
        <v>1.53</v>
      </c>
      <c r="AC14" s="264">
        <v>1.2</v>
      </c>
      <c r="AD14" s="273">
        <f t="shared" si="5"/>
        <v>0</v>
      </c>
      <c r="AE14" s="274">
        <f t="shared" si="5"/>
        <v>19.087719298245613</v>
      </c>
      <c r="AF14" s="274">
        <f t="shared" si="5"/>
        <v>21.052631578947352</v>
      </c>
      <c r="AG14" s="274">
        <f t="shared" si="6"/>
        <v>0</v>
      </c>
      <c r="AH14" s="275">
        <f t="shared" si="7"/>
        <v>0</v>
      </c>
      <c r="AI14" s="430">
        <v>249.28200000000001</v>
      </c>
      <c r="AJ14" s="217">
        <f>(AD14*1000)/$AI30</f>
        <v>0</v>
      </c>
      <c r="AK14" s="218">
        <f>(AE14*1000)/$AI30</f>
        <v>94.564349083946993</v>
      </c>
      <c r="AL14" s="218">
        <f>(AF14*1000)/$AI30</f>
        <v>104.2989144308238</v>
      </c>
      <c r="AM14" s="218">
        <f>(AG14*1000)/$AI30</f>
        <v>0</v>
      </c>
      <c r="AN14" s="219">
        <f>(AH14*1000)/$AI30</f>
        <v>0</v>
      </c>
      <c r="AO14" s="166">
        <f t="shared" si="18"/>
        <v>1550</v>
      </c>
      <c r="AP14" s="167">
        <f t="shared" si="19"/>
        <v>19160</v>
      </c>
      <c r="AQ14" s="167">
        <f t="shared" si="20"/>
        <v>36239</v>
      </c>
      <c r="AR14" s="167">
        <f t="shared" si="21"/>
        <v>1560</v>
      </c>
      <c r="AS14" s="168">
        <f t="shared" si="22"/>
        <v>3640</v>
      </c>
      <c r="AT14" s="166">
        <f t="shared" si="9"/>
        <v>0</v>
      </c>
      <c r="AU14" s="167">
        <f t="shared" si="23"/>
        <v>4388.6484210526314</v>
      </c>
      <c r="AV14" s="167">
        <f t="shared" si="24"/>
        <v>33568.757894736817</v>
      </c>
      <c r="AW14" s="167">
        <f t="shared" si="10"/>
        <v>0</v>
      </c>
      <c r="AX14" s="168">
        <f t="shared" si="11"/>
        <v>0</v>
      </c>
      <c r="AY14" s="166">
        <f t="shared" si="12"/>
        <v>37957.406315789449</v>
      </c>
      <c r="AZ14" s="167">
        <v>1000</v>
      </c>
      <c r="BA14" s="167">
        <f>AY14/AI30</f>
        <v>188.04852298396054</v>
      </c>
      <c r="BB14" s="161"/>
      <c r="BC14" s="162"/>
      <c r="BE14" s="427"/>
      <c r="BG14" s="428"/>
      <c r="BH14" s="427"/>
    </row>
    <row r="15" spans="1:60" ht="14.95" thickBot="1" x14ac:dyDescent="0.3">
      <c r="A15" s="220">
        <f>+A14</f>
        <v>46058</v>
      </c>
      <c r="B15" s="279">
        <f>DAY(Tabla2[[#This Row],[FECHA]])</f>
        <v>5</v>
      </c>
      <c r="C15" s="199" t="s">
        <v>29</v>
      </c>
      <c r="D15" s="192"/>
      <c r="E15" s="193"/>
      <c r="F15" s="194"/>
      <c r="G15" s="194"/>
      <c r="H15" s="193"/>
      <c r="I15" s="408">
        <f>((Tabla2[[#This Row],[VOLUMEN ENVIADO A RO (m3)]]/80)/3)*60</f>
        <v>86.635249999999999</v>
      </c>
      <c r="J15" s="394">
        <v>0</v>
      </c>
      <c r="K15" s="398">
        <v>21</v>
      </c>
      <c r="L15" s="399">
        <v>33</v>
      </c>
      <c r="M15" s="398">
        <v>0</v>
      </c>
      <c r="N15" s="399">
        <v>0</v>
      </c>
      <c r="O15" s="261">
        <f t="shared" si="0"/>
        <v>0</v>
      </c>
      <c r="P15" s="262">
        <f t="shared" si="1"/>
        <v>184.21052631578948</v>
      </c>
      <c r="Q15" s="262">
        <f t="shared" si="2"/>
        <v>289.47368421052636</v>
      </c>
      <c r="R15" s="262">
        <f t="shared" si="3"/>
        <v>0</v>
      </c>
      <c r="S15" s="262">
        <f t="shared" si="4"/>
        <v>0</v>
      </c>
      <c r="T15" s="257">
        <f t="shared" si="13"/>
        <v>0</v>
      </c>
      <c r="U15" s="258">
        <f t="shared" si="14"/>
        <v>17.543859649122794</v>
      </c>
      <c r="V15" s="258">
        <f t="shared" si="15"/>
        <v>35.087719298245645</v>
      </c>
      <c r="W15" s="258">
        <f t="shared" si="16"/>
        <v>0</v>
      </c>
      <c r="X15" s="259">
        <f t="shared" si="17"/>
        <v>0</v>
      </c>
      <c r="Y15" s="264">
        <v>1.18</v>
      </c>
      <c r="Z15" s="264">
        <v>1.28</v>
      </c>
      <c r="AA15" s="264">
        <v>1.2</v>
      </c>
      <c r="AB15" s="264">
        <v>1.53</v>
      </c>
      <c r="AC15" s="264">
        <v>1.2</v>
      </c>
      <c r="AD15" s="257">
        <f t="shared" si="5"/>
        <v>0</v>
      </c>
      <c r="AE15" s="258">
        <f t="shared" si="5"/>
        <v>22.456140350877178</v>
      </c>
      <c r="AF15" s="258">
        <f t="shared" si="5"/>
        <v>42.105263157894775</v>
      </c>
      <c r="AG15" s="258">
        <f t="shared" si="6"/>
        <v>0</v>
      </c>
      <c r="AH15" s="259">
        <f t="shared" si="7"/>
        <v>0</v>
      </c>
      <c r="AI15" s="431">
        <v>346.541</v>
      </c>
      <c r="AJ15" s="195">
        <f>(AD15*1000)/$AI33</f>
        <v>0</v>
      </c>
      <c r="AK15" s="196">
        <f>(AE15*1000)/$AI33</f>
        <v>110.40275096054698</v>
      </c>
      <c r="AL15" s="196">
        <f>(AF15*1000)/$AI33</f>
        <v>207.00515805102594</v>
      </c>
      <c r="AM15" s="196">
        <f>(AG15*1000)/$AI33</f>
        <v>0</v>
      </c>
      <c r="AN15" s="197">
        <f>(AH15*1000)/$AI33</f>
        <v>0</v>
      </c>
      <c r="AO15" s="166">
        <f t="shared" si="18"/>
        <v>1550</v>
      </c>
      <c r="AP15" s="167">
        <f t="shared" si="19"/>
        <v>19160</v>
      </c>
      <c r="AQ15" s="167">
        <f t="shared" si="20"/>
        <v>36239</v>
      </c>
      <c r="AR15" s="167">
        <f t="shared" si="21"/>
        <v>1560</v>
      </c>
      <c r="AS15" s="168">
        <f t="shared" si="22"/>
        <v>3640</v>
      </c>
      <c r="AT15" s="166">
        <f t="shared" si="9"/>
        <v>0</v>
      </c>
      <c r="AU15" s="167">
        <f t="shared" si="23"/>
        <v>5163.1157894736807</v>
      </c>
      <c r="AV15" s="167">
        <f t="shared" si="24"/>
        <v>67137.515789473735</v>
      </c>
      <c r="AW15" s="167">
        <f t="shared" si="10"/>
        <v>0</v>
      </c>
      <c r="AX15" s="168">
        <f t="shared" si="11"/>
        <v>0</v>
      </c>
      <c r="AY15" s="166">
        <f t="shared" si="12"/>
        <v>72300.631578947417</v>
      </c>
      <c r="AZ15" s="167">
        <v>1000</v>
      </c>
      <c r="BA15" s="167">
        <f>AY15/AI33</f>
        <v>355.45683709573859</v>
      </c>
      <c r="BB15" s="161"/>
      <c r="BC15" s="162"/>
      <c r="BE15" s="427"/>
      <c r="BG15" s="428"/>
      <c r="BH15" s="427"/>
    </row>
    <row r="16" spans="1:60" ht="14.95" thickBot="1" x14ac:dyDescent="0.3">
      <c r="A16" s="221">
        <f>+A15</f>
        <v>46058</v>
      </c>
      <c r="B16" s="280">
        <f>DAY(Tabla2[[#This Row],[FECHA]])</f>
        <v>5</v>
      </c>
      <c r="C16" s="204" t="s">
        <v>30</v>
      </c>
      <c r="D16" s="222"/>
      <c r="E16" s="223"/>
      <c r="F16" s="224"/>
      <c r="G16" s="224"/>
      <c r="H16" s="223"/>
      <c r="I16" s="408">
        <f>((Tabla2[[#This Row],[VOLUMEN ENVIADO A RO (m3)]]/80)/3)*60</f>
        <v>73.796500000000009</v>
      </c>
      <c r="J16" s="394">
        <v>0</v>
      </c>
      <c r="K16" s="401">
        <v>19</v>
      </c>
      <c r="L16" s="402">
        <v>29</v>
      </c>
      <c r="M16" s="401">
        <v>0</v>
      </c>
      <c r="N16" s="402">
        <v>0</v>
      </c>
      <c r="O16" s="261">
        <f t="shared" si="0"/>
        <v>0</v>
      </c>
      <c r="P16" s="266">
        <f t="shared" si="1"/>
        <v>166.66666666666669</v>
      </c>
      <c r="Q16" s="266">
        <f t="shared" si="2"/>
        <v>254.38596491228071</v>
      </c>
      <c r="R16" s="266">
        <f t="shared" si="3"/>
        <v>0</v>
      </c>
      <c r="S16" s="266">
        <f t="shared" si="4"/>
        <v>0</v>
      </c>
      <c r="T16" s="257">
        <f t="shared" si="13"/>
        <v>0</v>
      </c>
      <c r="U16" s="258">
        <f t="shared" si="14"/>
        <v>35.087719298245617</v>
      </c>
      <c r="V16" s="258">
        <f t="shared" si="15"/>
        <v>35.087719298245617</v>
      </c>
      <c r="W16" s="258">
        <f t="shared" si="16"/>
        <v>0</v>
      </c>
      <c r="X16" s="259">
        <f t="shared" si="17"/>
        <v>0</v>
      </c>
      <c r="Y16" s="264">
        <v>1.18</v>
      </c>
      <c r="Z16" s="264">
        <v>1.28</v>
      </c>
      <c r="AA16" s="264">
        <v>1.2</v>
      </c>
      <c r="AB16" s="264">
        <v>1.53</v>
      </c>
      <c r="AC16" s="264">
        <v>1.2</v>
      </c>
      <c r="AD16" s="268">
        <f t="shared" si="5"/>
        <v>0</v>
      </c>
      <c r="AE16" s="269">
        <f t="shared" si="5"/>
        <v>44.912280701754391</v>
      </c>
      <c r="AF16" s="269">
        <f t="shared" si="5"/>
        <v>42.10526315789474</v>
      </c>
      <c r="AG16" s="269">
        <f t="shared" si="6"/>
        <v>0</v>
      </c>
      <c r="AH16" s="270">
        <f t="shared" si="7"/>
        <v>0</v>
      </c>
      <c r="AI16" s="432">
        <v>295.18599999999998</v>
      </c>
      <c r="AJ16" s="210">
        <f>(AD16*1000)/$AI36</f>
        <v>0</v>
      </c>
      <c r="AK16" s="211">
        <f>(AE16*1000)/$AI36</f>
        <v>181.8936909533823</v>
      </c>
      <c r="AL16" s="211">
        <f>(AF16*1000)/$AI36</f>
        <v>170.52533526879591</v>
      </c>
      <c r="AM16" s="211">
        <f>(AG16*1000)/$AI36</f>
        <v>0</v>
      </c>
      <c r="AN16" s="212">
        <f>(AH16*1000)/$AI36</f>
        <v>0</v>
      </c>
      <c r="AO16" s="166">
        <f t="shared" si="18"/>
        <v>1550</v>
      </c>
      <c r="AP16" s="167">
        <f t="shared" si="19"/>
        <v>19160</v>
      </c>
      <c r="AQ16" s="167">
        <f t="shared" si="20"/>
        <v>36239</v>
      </c>
      <c r="AR16" s="167">
        <f t="shared" si="21"/>
        <v>1560</v>
      </c>
      <c r="AS16" s="168">
        <f t="shared" si="22"/>
        <v>3640</v>
      </c>
      <c r="AT16" s="169">
        <f t="shared" si="9"/>
        <v>0</v>
      </c>
      <c r="AU16" s="170">
        <f t="shared" si="23"/>
        <v>10326.231578947371</v>
      </c>
      <c r="AV16" s="170">
        <f t="shared" si="24"/>
        <v>67137.515789473677</v>
      </c>
      <c r="AW16" s="170">
        <f t="shared" si="10"/>
        <v>0</v>
      </c>
      <c r="AX16" s="171">
        <f t="shared" si="11"/>
        <v>0</v>
      </c>
      <c r="AY16" s="169">
        <f t="shared" si="12"/>
        <v>77463.747368421042</v>
      </c>
      <c r="AZ16" s="170">
        <v>1000</v>
      </c>
      <c r="BA16" s="170">
        <f>AY16/AI36</f>
        <v>313.72637291546096</v>
      </c>
      <c r="BB16" s="160"/>
      <c r="BC16" s="163"/>
      <c r="BE16" s="427"/>
      <c r="BG16" s="428"/>
      <c r="BH16" s="427"/>
    </row>
    <row r="17" spans="1:60" ht="14.95" thickBot="1" x14ac:dyDescent="0.3">
      <c r="A17" s="213">
        <f>+A16+1</f>
        <v>46059</v>
      </c>
      <c r="B17" s="281">
        <f>DAY(Tabla2[[#This Row],[FECHA]])</f>
        <v>6</v>
      </c>
      <c r="C17" s="225" t="s">
        <v>28</v>
      </c>
      <c r="D17" s="214"/>
      <c r="E17" s="215"/>
      <c r="F17" s="216"/>
      <c r="G17" s="216"/>
      <c r="H17" s="215"/>
      <c r="I17" s="408">
        <f>((Tabla2[[#This Row],[VOLUMEN ENVIADO A RO (m3)]]/80)/3)*60</f>
        <v>-1.3500000000000002E-2</v>
      </c>
      <c r="J17" s="394">
        <v>0</v>
      </c>
      <c r="K17" s="395">
        <v>15</v>
      </c>
      <c r="L17" s="396">
        <v>25</v>
      </c>
      <c r="M17" s="395">
        <v>0</v>
      </c>
      <c r="N17" s="396">
        <v>0</v>
      </c>
      <c r="O17" s="261">
        <f t="shared" si="0"/>
        <v>0</v>
      </c>
      <c r="P17" s="272">
        <f t="shared" si="1"/>
        <v>131.57894736842107</v>
      </c>
      <c r="Q17" s="255">
        <f t="shared" si="2"/>
        <v>219.2982456140351</v>
      </c>
      <c r="R17" s="272">
        <f t="shared" si="3"/>
        <v>0</v>
      </c>
      <c r="S17" s="272">
        <f t="shared" si="4"/>
        <v>0</v>
      </c>
      <c r="T17" s="257">
        <f t="shared" si="13"/>
        <v>0</v>
      </c>
      <c r="U17" s="258">
        <f t="shared" si="14"/>
        <v>17.543859649122822</v>
      </c>
      <c r="V17" s="258">
        <f t="shared" si="15"/>
        <v>52.631578947368411</v>
      </c>
      <c r="W17" s="258">
        <f t="shared" si="16"/>
        <v>0</v>
      </c>
      <c r="X17" s="259">
        <f t="shared" si="17"/>
        <v>0</v>
      </c>
      <c r="Y17" s="264">
        <v>1.18</v>
      </c>
      <c r="Z17" s="264">
        <v>1.28</v>
      </c>
      <c r="AA17" s="264">
        <v>1.2</v>
      </c>
      <c r="AB17" s="264">
        <v>1.53</v>
      </c>
      <c r="AC17" s="264">
        <v>1.2</v>
      </c>
      <c r="AD17" s="273">
        <f t="shared" si="5"/>
        <v>0</v>
      </c>
      <c r="AE17" s="274">
        <f t="shared" si="5"/>
        <v>22.456140350877213</v>
      </c>
      <c r="AF17" s="274">
        <f t="shared" si="5"/>
        <v>63.157894736842088</v>
      </c>
      <c r="AG17" s="274">
        <f t="shared" si="6"/>
        <v>0</v>
      </c>
      <c r="AH17" s="275">
        <f t="shared" si="7"/>
        <v>0</v>
      </c>
      <c r="AI17" s="430">
        <v>-5.3999999999999999E-2</v>
      </c>
      <c r="AJ17" s="217">
        <f>(AD17*1000)/$AI39</f>
        <v>0</v>
      </c>
      <c r="AK17" s="218">
        <f>(AE17*1000)/$AI39</f>
        <v>104.90827287789219</v>
      </c>
      <c r="AL17" s="218">
        <f>(AF17*1000)/$AI39</f>
        <v>295.05451746907141</v>
      </c>
      <c r="AM17" s="218">
        <f>(AG17*1000)/$AI39</f>
        <v>0</v>
      </c>
      <c r="AN17" s="219">
        <f>(AH17*1000)/$AI39</f>
        <v>0</v>
      </c>
      <c r="AO17" s="166">
        <f t="shared" si="18"/>
        <v>1550</v>
      </c>
      <c r="AP17" s="167">
        <f t="shared" si="19"/>
        <v>19160</v>
      </c>
      <c r="AQ17" s="167">
        <f t="shared" si="20"/>
        <v>36239</v>
      </c>
      <c r="AR17" s="167">
        <f t="shared" si="21"/>
        <v>1560</v>
      </c>
      <c r="AS17" s="168">
        <f t="shared" si="22"/>
        <v>3640</v>
      </c>
      <c r="AT17" s="166">
        <f t="shared" si="9"/>
        <v>0</v>
      </c>
      <c r="AU17" s="167">
        <f t="shared" si="23"/>
        <v>5163.1157894736898</v>
      </c>
      <c r="AV17" s="167">
        <f t="shared" si="24"/>
        <v>100706.27368421051</v>
      </c>
      <c r="AW17" s="167">
        <f t="shared" si="10"/>
        <v>0</v>
      </c>
      <c r="AX17" s="168">
        <f t="shared" si="11"/>
        <v>0</v>
      </c>
      <c r="AY17" s="166">
        <f t="shared" si="12"/>
        <v>105869.38947368419</v>
      </c>
      <c r="AZ17" s="167">
        <v>1000</v>
      </c>
      <c r="BA17" s="167">
        <f>AY17/AI39</f>
        <v>494.58965907679891</v>
      </c>
      <c r="BB17" s="161"/>
      <c r="BC17" s="162"/>
      <c r="BE17" s="427"/>
      <c r="BG17" s="428"/>
      <c r="BH17" s="427"/>
    </row>
    <row r="18" spans="1:60" ht="14.95" thickBot="1" x14ac:dyDescent="0.3">
      <c r="A18" s="220">
        <f>+A17</f>
        <v>46059</v>
      </c>
      <c r="B18" s="279">
        <f>DAY(Tabla2[[#This Row],[FECHA]])</f>
        <v>6</v>
      </c>
      <c r="C18" s="199" t="s">
        <v>29</v>
      </c>
      <c r="D18" s="192"/>
      <c r="E18" s="193"/>
      <c r="F18" s="194"/>
      <c r="G18" s="194"/>
      <c r="H18" s="193"/>
      <c r="I18" s="408">
        <f>((Tabla2[[#This Row],[VOLUMEN ENVIADO A RO (m3)]]/80)/3)*60</f>
        <v>156.251</v>
      </c>
      <c r="J18" s="394">
        <v>0</v>
      </c>
      <c r="K18" s="398">
        <v>13</v>
      </c>
      <c r="L18" s="399">
        <v>19</v>
      </c>
      <c r="M18" s="398">
        <v>0</v>
      </c>
      <c r="N18" s="399">
        <v>0</v>
      </c>
      <c r="O18" s="261">
        <f t="shared" si="0"/>
        <v>0</v>
      </c>
      <c r="P18" s="262">
        <f t="shared" si="1"/>
        <v>114.03508771929825</v>
      </c>
      <c r="Q18" s="262">
        <f t="shared" si="2"/>
        <v>166.66666666666669</v>
      </c>
      <c r="R18" s="262">
        <f t="shared" si="3"/>
        <v>0</v>
      </c>
      <c r="S18" s="262">
        <f t="shared" si="4"/>
        <v>0</v>
      </c>
      <c r="T18" s="257">
        <f t="shared" si="13"/>
        <v>0</v>
      </c>
      <c r="U18" s="258">
        <f>P18-P19</f>
        <v>52.631578947368418</v>
      </c>
      <c r="V18" s="258">
        <f>Q18-Q19+30</f>
        <v>3.6842105263157805</v>
      </c>
      <c r="W18" s="258">
        <f t="shared" si="16"/>
        <v>0</v>
      </c>
      <c r="X18" s="259">
        <f t="shared" si="17"/>
        <v>0</v>
      </c>
      <c r="Y18" s="264">
        <v>1.18</v>
      </c>
      <c r="Z18" s="264">
        <v>1.28</v>
      </c>
      <c r="AA18" s="264">
        <v>1.2</v>
      </c>
      <c r="AB18" s="264">
        <v>1.53</v>
      </c>
      <c r="AC18" s="264">
        <v>1.2</v>
      </c>
      <c r="AD18" s="257">
        <f t="shared" si="5"/>
        <v>0</v>
      </c>
      <c r="AE18" s="258">
        <f t="shared" si="5"/>
        <v>67.368421052631575</v>
      </c>
      <c r="AF18" s="258">
        <f t="shared" si="5"/>
        <v>4.4210526315789362</v>
      </c>
      <c r="AG18" s="258">
        <f t="shared" si="6"/>
        <v>0</v>
      </c>
      <c r="AH18" s="259">
        <f t="shared" si="7"/>
        <v>0</v>
      </c>
      <c r="AI18" s="431">
        <v>625.00400000000002</v>
      </c>
      <c r="AJ18" s="195">
        <f>(AD18*1000)/$AI42</f>
        <v>0</v>
      </c>
      <c r="AK18" s="196">
        <f>(AE18*1000)/$AI42</f>
        <v>467.81676494473544</v>
      </c>
      <c r="AL18" s="196">
        <f>(AF18*1000)/$AI42</f>
        <v>30.700475199498193</v>
      </c>
      <c r="AM18" s="196">
        <f>(AG18*1000)/$AI42</f>
        <v>0</v>
      </c>
      <c r="AN18" s="197">
        <f>(AH18*1000)/$AI42</f>
        <v>0</v>
      </c>
      <c r="AO18" s="166">
        <f t="shared" si="18"/>
        <v>1550</v>
      </c>
      <c r="AP18" s="167">
        <f t="shared" si="19"/>
        <v>19160</v>
      </c>
      <c r="AQ18" s="167">
        <f t="shared" si="20"/>
        <v>36239</v>
      </c>
      <c r="AR18" s="167">
        <f t="shared" si="21"/>
        <v>1560</v>
      </c>
      <c r="AS18" s="168">
        <f t="shared" si="22"/>
        <v>3640</v>
      </c>
      <c r="AT18" s="166">
        <f t="shared" si="9"/>
        <v>0</v>
      </c>
      <c r="AU18" s="167">
        <f t="shared" si="23"/>
        <v>15489.347368421053</v>
      </c>
      <c r="AV18" s="167">
        <f t="shared" si="24"/>
        <v>7049.4391578947188</v>
      </c>
      <c r="AW18" s="167">
        <f t="shared" si="10"/>
        <v>0</v>
      </c>
      <c r="AX18" s="168">
        <f t="shared" si="11"/>
        <v>0</v>
      </c>
      <c r="AY18" s="166">
        <f t="shared" si="12"/>
        <v>22538.786526315773</v>
      </c>
      <c r="AZ18" s="167">
        <v>1000</v>
      </c>
      <c r="BA18" s="167">
        <f>AY18/AI42</f>
        <v>156.51282950929664</v>
      </c>
      <c r="BB18" s="161"/>
      <c r="BC18" s="162"/>
      <c r="BE18" s="427"/>
      <c r="BG18" s="428"/>
      <c r="BH18" s="427"/>
    </row>
    <row r="19" spans="1:60" ht="14.95" thickBot="1" x14ac:dyDescent="0.3">
      <c r="A19" s="221">
        <f>+A18</f>
        <v>46059</v>
      </c>
      <c r="B19" s="280">
        <f>DAY(Tabla2[[#This Row],[FECHA]])</f>
        <v>6</v>
      </c>
      <c r="C19" s="204" t="s">
        <v>30</v>
      </c>
      <c r="D19" s="222"/>
      <c r="E19" s="223"/>
      <c r="F19" s="224"/>
      <c r="G19" s="224"/>
      <c r="H19" s="223"/>
      <c r="I19" s="408">
        <f>((Tabla2[[#This Row],[VOLUMEN ENVIADO A RO (m3)]]/80)/3)*60</f>
        <v>78.781499999999994</v>
      </c>
      <c r="J19" s="394">
        <v>0</v>
      </c>
      <c r="K19" s="401">
        <v>7</v>
      </c>
      <c r="L19" s="402">
        <v>22</v>
      </c>
      <c r="M19" s="401">
        <v>0</v>
      </c>
      <c r="N19" s="402">
        <v>0</v>
      </c>
      <c r="O19" s="261">
        <f t="shared" si="0"/>
        <v>0</v>
      </c>
      <c r="P19" s="266">
        <f t="shared" si="1"/>
        <v>61.403508771929829</v>
      </c>
      <c r="Q19" s="266">
        <f t="shared" si="2"/>
        <v>192.98245614035091</v>
      </c>
      <c r="R19" s="266">
        <f t="shared" si="3"/>
        <v>0</v>
      </c>
      <c r="S19" s="266">
        <f t="shared" si="4"/>
        <v>0</v>
      </c>
      <c r="T19" s="257">
        <f t="shared" si="13"/>
        <v>0</v>
      </c>
      <c r="U19" s="258">
        <f t="shared" si="14"/>
        <v>0</v>
      </c>
      <c r="V19" s="258">
        <f t="shared" si="15"/>
        <v>0</v>
      </c>
      <c r="W19" s="258">
        <f t="shared" si="16"/>
        <v>0</v>
      </c>
      <c r="X19" s="259">
        <f t="shared" si="17"/>
        <v>0</v>
      </c>
      <c r="Y19" s="264">
        <v>1.18</v>
      </c>
      <c r="Z19" s="264">
        <v>1.28</v>
      </c>
      <c r="AA19" s="264">
        <v>1.2</v>
      </c>
      <c r="AB19" s="264">
        <v>1.53</v>
      </c>
      <c r="AC19" s="264">
        <v>1.2</v>
      </c>
      <c r="AD19" s="268">
        <f t="shared" si="5"/>
        <v>0</v>
      </c>
      <c r="AE19" s="269">
        <f t="shared" si="5"/>
        <v>0</v>
      </c>
      <c r="AF19" s="269">
        <f t="shared" si="5"/>
        <v>0</v>
      </c>
      <c r="AG19" s="269">
        <f t="shared" si="6"/>
        <v>0</v>
      </c>
      <c r="AH19" s="270">
        <f t="shared" si="7"/>
        <v>0</v>
      </c>
      <c r="AI19" s="432">
        <v>315.12599999999998</v>
      </c>
      <c r="AJ19" s="210" t="e">
        <f>(AD19*1000)/$AI45</f>
        <v>#DIV/0!</v>
      </c>
      <c r="AK19" s="211" t="e">
        <f>(AE19*1000)/$AI45</f>
        <v>#DIV/0!</v>
      </c>
      <c r="AL19" s="211" t="e">
        <f>(AF19*1000)/$AI45</f>
        <v>#DIV/0!</v>
      </c>
      <c r="AM19" s="211" t="e">
        <f>(AG19*1000)/$AI45</f>
        <v>#DIV/0!</v>
      </c>
      <c r="AN19" s="212" t="e">
        <f>(AH19*1000)/$AI45</f>
        <v>#DIV/0!</v>
      </c>
      <c r="AO19" s="166">
        <f t="shared" si="18"/>
        <v>1550</v>
      </c>
      <c r="AP19" s="167">
        <f t="shared" si="19"/>
        <v>19160</v>
      </c>
      <c r="AQ19" s="167">
        <f t="shared" si="20"/>
        <v>36239</v>
      </c>
      <c r="AR19" s="167">
        <f t="shared" si="21"/>
        <v>1560</v>
      </c>
      <c r="AS19" s="168">
        <f t="shared" si="22"/>
        <v>3640</v>
      </c>
      <c r="AT19" s="169">
        <f t="shared" si="9"/>
        <v>0</v>
      </c>
      <c r="AU19" s="170">
        <f t="shared" si="23"/>
        <v>0</v>
      </c>
      <c r="AV19" s="170">
        <f t="shared" si="24"/>
        <v>0</v>
      </c>
      <c r="AW19" s="170">
        <f t="shared" si="10"/>
        <v>0</v>
      </c>
      <c r="AX19" s="171">
        <f t="shared" si="11"/>
        <v>0</v>
      </c>
      <c r="AY19" s="169">
        <f t="shared" si="12"/>
        <v>0</v>
      </c>
      <c r="AZ19" s="170">
        <v>1000</v>
      </c>
      <c r="BA19" s="170" t="e">
        <f>AY19/AI45</f>
        <v>#DIV/0!</v>
      </c>
      <c r="BB19" s="160"/>
      <c r="BC19" s="163"/>
      <c r="BE19" s="427"/>
      <c r="BG19" s="428"/>
      <c r="BH19" s="427"/>
    </row>
    <row r="20" spans="1:60" ht="14.95" thickBot="1" x14ac:dyDescent="0.3">
      <c r="A20" s="213">
        <f>+A19+1</f>
        <v>46060</v>
      </c>
      <c r="B20" s="281">
        <f>DAY(Tabla2[[#This Row],[FECHA]])</f>
        <v>7</v>
      </c>
      <c r="C20" s="225" t="s">
        <v>28</v>
      </c>
      <c r="D20" s="214"/>
      <c r="E20" s="215"/>
      <c r="F20" s="216"/>
      <c r="G20" s="216"/>
      <c r="H20" s="215"/>
      <c r="I20" s="408">
        <f>((Tabla2[[#This Row],[VOLUMEN ENVIADO A RO (m3)]]/80)/3)*60</f>
        <v>0</v>
      </c>
      <c r="J20" s="394">
        <v>0</v>
      </c>
      <c r="K20" s="395">
        <v>7</v>
      </c>
      <c r="L20" s="396">
        <v>22</v>
      </c>
      <c r="M20" s="395">
        <v>0</v>
      </c>
      <c r="N20" s="396">
        <v>0</v>
      </c>
      <c r="O20" s="261">
        <f t="shared" si="0"/>
        <v>0</v>
      </c>
      <c r="P20" s="272">
        <f t="shared" si="1"/>
        <v>61.403508771929829</v>
      </c>
      <c r="Q20" s="255">
        <f t="shared" si="2"/>
        <v>192.98245614035091</v>
      </c>
      <c r="R20" s="272">
        <f t="shared" si="3"/>
        <v>0</v>
      </c>
      <c r="S20" s="272">
        <f t="shared" si="4"/>
        <v>0</v>
      </c>
      <c r="T20" s="257">
        <f t="shared" si="13"/>
        <v>0</v>
      </c>
      <c r="U20" s="258">
        <f t="shared" si="14"/>
        <v>17.543859649122808</v>
      </c>
      <c r="V20" s="258">
        <f t="shared" si="15"/>
        <v>8.7719298245614254</v>
      </c>
      <c r="W20" s="258">
        <f t="shared" si="16"/>
        <v>0</v>
      </c>
      <c r="X20" s="259">
        <f t="shared" si="17"/>
        <v>0</v>
      </c>
      <c r="Y20" s="264">
        <v>1.18</v>
      </c>
      <c r="Z20" s="264">
        <v>1.28</v>
      </c>
      <c r="AA20" s="264">
        <v>1.2</v>
      </c>
      <c r="AB20" s="264">
        <v>1.53</v>
      </c>
      <c r="AC20" s="264">
        <v>1.2</v>
      </c>
      <c r="AD20" s="273">
        <f t="shared" si="5"/>
        <v>0</v>
      </c>
      <c r="AE20" s="274">
        <f t="shared" si="5"/>
        <v>22.456140350877195</v>
      </c>
      <c r="AF20" s="274">
        <f t="shared" si="5"/>
        <v>10.52631578947371</v>
      </c>
      <c r="AG20" s="274">
        <f t="shared" si="6"/>
        <v>0</v>
      </c>
      <c r="AH20" s="275">
        <f t="shared" si="7"/>
        <v>0</v>
      </c>
      <c r="AI20" s="430">
        <v>0</v>
      </c>
      <c r="AJ20" s="217">
        <f>(AD20*1000)/$AI48</f>
        <v>0</v>
      </c>
      <c r="AK20" s="218">
        <f>(AE20*1000)/$AI48</f>
        <v>112.60952155733339</v>
      </c>
      <c r="AL20" s="218">
        <f>(AF20*1000)/$AI48</f>
        <v>52.785713230000155</v>
      </c>
      <c r="AM20" s="218">
        <f>(AG20*1000)/$AI48</f>
        <v>0</v>
      </c>
      <c r="AN20" s="219">
        <f>(AH20*1000)/$AI48</f>
        <v>0</v>
      </c>
      <c r="AO20" s="166">
        <f t="shared" si="18"/>
        <v>1550</v>
      </c>
      <c r="AP20" s="167">
        <f t="shared" si="19"/>
        <v>19160</v>
      </c>
      <c r="AQ20" s="167">
        <f t="shared" si="20"/>
        <v>36239</v>
      </c>
      <c r="AR20" s="167">
        <f t="shared" si="21"/>
        <v>1560</v>
      </c>
      <c r="AS20" s="168">
        <f t="shared" si="22"/>
        <v>3640</v>
      </c>
      <c r="AT20" s="166">
        <f t="shared" si="9"/>
        <v>0</v>
      </c>
      <c r="AU20" s="167">
        <f t="shared" si="23"/>
        <v>5163.1157894736853</v>
      </c>
      <c r="AV20" s="167">
        <f t="shared" si="24"/>
        <v>16784.378947368463</v>
      </c>
      <c r="AW20" s="167">
        <f t="shared" si="10"/>
        <v>0</v>
      </c>
      <c r="AX20" s="168">
        <f t="shared" si="11"/>
        <v>0</v>
      </c>
      <c r="AY20" s="166">
        <f t="shared" si="12"/>
        <v>21947.494736842149</v>
      </c>
      <c r="AZ20" s="167">
        <v>1000</v>
      </c>
      <c r="BA20" s="167">
        <f>AY20/AI48</f>
        <v>110.05884551310902</v>
      </c>
      <c r="BB20" s="161"/>
      <c r="BC20" s="162"/>
      <c r="BE20" s="427"/>
      <c r="BG20" s="428"/>
      <c r="BH20" s="427"/>
    </row>
    <row r="21" spans="1:60" ht="14.95" thickBot="1" x14ac:dyDescent="0.3">
      <c r="A21" s="220">
        <f>+A20</f>
        <v>46060</v>
      </c>
      <c r="B21" s="279">
        <f>DAY(Tabla2[[#This Row],[FECHA]])</f>
        <v>7</v>
      </c>
      <c r="C21" s="199" t="s">
        <v>29</v>
      </c>
      <c r="D21" s="192"/>
      <c r="E21" s="193"/>
      <c r="F21" s="194"/>
      <c r="G21" s="194"/>
      <c r="H21" s="193"/>
      <c r="I21" s="408">
        <f>((Tabla2[[#This Row],[VOLUMEN ENVIADO A RO (m3)]]/80)/3)*60</f>
        <v>0</v>
      </c>
      <c r="J21" s="394">
        <v>0</v>
      </c>
      <c r="K21" s="398">
        <v>5</v>
      </c>
      <c r="L21" s="399">
        <v>21</v>
      </c>
      <c r="M21" s="398">
        <v>0</v>
      </c>
      <c r="N21" s="399">
        <v>0</v>
      </c>
      <c r="O21" s="261">
        <f t="shared" si="0"/>
        <v>0</v>
      </c>
      <c r="P21" s="262">
        <f t="shared" si="1"/>
        <v>43.859649122807021</v>
      </c>
      <c r="Q21" s="262">
        <f t="shared" si="2"/>
        <v>184.21052631578948</v>
      </c>
      <c r="R21" s="262">
        <f t="shared" si="3"/>
        <v>0</v>
      </c>
      <c r="S21" s="262">
        <f t="shared" si="4"/>
        <v>0</v>
      </c>
      <c r="T21" s="257">
        <f t="shared" si="13"/>
        <v>0</v>
      </c>
      <c r="U21" s="258">
        <f t="shared" si="14"/>
        <v>0</v>
      </c>
      <c r="V21" s="258">
        <f t="shared" si="15"/>
        <v>0</v>
      </c>
      <c r="W21" s="258">
        <f t="shared" si="16"/>
        <v>0</v>
      </c>
      <c r="X21" s="259">
        <f t="shared" si="17"/>
        <v>0</v>
      </c>
      <c r="Y21" s="264">
        <v>1.18</v>
      </c>
      <c r="Z21" s="264">
        <v>1.28</v>
      </c>
      <c r="AA21" s="264">
        <v>1.2</v>
      </c>
      <c r="AB21" s="264">
        <v>1.53</v>
      </c>
      <c r="AC21" s="264">
        <v>1.2</v>
      </c>
      <c r="AD21" s="257">
        <f t="shared" si="5"/>
        <v>0</v>
      </c>
      <c r="AE21" s="258">
        <f t="shared" si="5"/>
        <v>0</v>
      </c>
      <c r="AF21" s="258">
        <f t="shared" si="5"/>
        <v>0</v>
      </c>
      <c r="AG21" s="258">
        <f t="shared" si="6"/>
        <v>0</v>
      </c>
      <c r="AH21" s="259">
        <f t="shared" si="7"/>
        <v>0</v>
      </c>
      <c r="AI21" s="431">
        <v>0</v>
      </c>
      <c r="AJ21" s="195">
        <f>(AD21*1000)/$AI51</f>
        <v>0</v>
      </c>
      <c r="AK21" s="196">
        <f>(AE21*1000)/$AI51</f>
        <v>0</v>
      </c>
      <c r="AL21" s="196">
        <f>(AF21*1000)/$AI51</f>
        <v>0</v>
      </c>
      <c r="AM21" s="196">
        <f>(AG21*1000)/$AI51</f>
        <v>0</v>
      </c>
      <c r="AN21" s="197">
        <f>(AH21*1000)/$AI51</f>
        <v>0</v>
      </c>
      <c r="AO21" s="166">
        <f t="shared" si="18"/>
        <v>1550</v>
      </c>
      <c r="AP21" s="167">
        <f t="shared" si="19"/>
        <v>19160</v>
      </c>
      <c r="AQ21" s="167">
        <f t="shared" si="20"/>
        <v>36239</v>
      </c>
      <c r="AR21" s="167">
        <f t="shared" si="21"/>
        <v>1560</v>
      </c>
      <c r="AS21" s="168">
        <f t="shared" si="22"/>
        <v>3640</v>
      </c>
      <c r="AT21" s="166">
        <f t="shared" si="9"/>
        <v>0</v>
      </c>
      <c r="AU21" s="167">
        <f t="shared" si="23"/>
        <v>0</v>
      </c>
      <c r="AV21" s="167">
        <f t="shared" si="24"/>
        <v>0</v>
      </c>
      <c r="AW21" s="167">
        <f t="shared" si="10"/>
        <v>0</v>
      </c>
      <c r="AX21" s="168">
        <f t="shared" si="11"/>
        <v>0</v>
      </c>
      <c r="AY21" s="166">
        <f t="shared" si="12"/>
        <v>0</v>
      </c>
      <c r="AZ21" s="167">
        <v>1000</v>
      </c>
      <c r="BA21" s="167">
        <f>AY21/AI51</f>
        <v>0</v>
      </c>
      <c r="BB21" s="161"/>
      <c r="BC21" s="162"/>
      <c r="BE21" s="427"/>
      <c r="BG21" s="428"/>
      <c r="BH21" s="427"/>
    </row>
    <row r="22" spans="1:60" ht="14.95" thickBot="1" x14ac:dyDescent="0.3">
      <c r="A22" s="221">
        <f>+A21</f>
        <v>46060</v>
      </c>
      <c r="B22" s="280">
        <f>DAY(Tabla2[[#This Row],[FECHA]])</f>
        <v>7</v>
      </c>
      <c r="C22" s="204" t="s">
        <v>30</v>
      </c>
      <c r="D22" s="222"/>
      <c r="E22" s="223"/>
      <c r="F22" s="224"/>
      <c r="G22" s="224"/>
      <c r="H22" s="223"/>
      <c r="I22" s="408">
        <f>((Tabla2[[#This Row],[VOLUMEN ENVIADO A RO (m3)]]/80)/3)*60</f>
        <v>0</v>
      </c>
      <c r="J22" s="394">
        <v>0</v>
      </c>
      <c r="K22" s="401">
        <v>5</v>
      </c>
      <c r="L22" s="402">
        <v>21</v>
      </c>
      <c r="M22" s="401">
        <v>0</v>
      </c>
      <c r="N22" s="402">
        <v>0</v>
      </c>
      <c r="O22" s="261">
        <f t="shared" si="0"/>
        <v>0</v>
      </c>
      <c r="P22" s="266">
        <f t="shared" si="1"/>
        <v>43.859649122807021</v>
      </c>
      <c r="Q22" s="266">
        <f t="shared" si="2"/>
        <v>184.21052631578948</v>
      </c>
      <c r="R22" s="266">
        <f t="shared" si="3"/>
        <v>0</v>
      </c>
      <c r="S22" s="266">
        <f t="shared" si="4"/>
        <v>0</v>
      </c>
      <c r="T22" s="257">
        <f t="shared" si="13"/>
        <v>0</v>
      </c>
      <c r="U22" s="258">
        <f t="shared" si="14"/>
        <v>0</v>
      </c>
      <c r="V22" s="258">
        <f>Q22-Q23+300</f>
        <v>300</v>
      </c>
      <c r="W22" s="258">
        <f t="shared" si="16"/>
        <v>0</v>
      </c>
      <c r="X22" s="259">
        <f t="shared" si="17"/>
        <v>0</v>
      </c>
      <c r="Y22" s="264">
        <v>1.18</v>
      </c>
      <c r="Z22" s="264">
        <v>1.28</v>
      </c>
      <c r="AA22" s="264">
        <v>1.2</v>
      </c>
      <c r="AB22" s="264">
        <v>1.53</v>
      </c>
      <c r="AC22" s="264">
        <v>1.2</v>
      </c>
      <c r="AD22" s="268">
        <f t="shared" si="5"/>
        <v>0</v>
      </c>
      <c r="AE22" s="269">
        <f t="shared" si="5"/>
        <v>0</v>
      </c>
      <c r="AF22" s="269">
        <f t="shared" si="5"/>
        <v>360</v>
      </c>
      <c r="AG22" s="269">
        <f t="shared" si="6"/>
        <v>0</v>
      </c>
      <c r="AH22" s="270">
        <f t="shared" si="7"/>
        <v>0</v>
      </c>
      <c r="AI22" s="432">
        <v>0</v>
      </c>
      <c r="AJ22" s="210">
        <f>(AD22*1000)/$AI54</f>
        <v>0</v>
      </c>
      <c r="AK22" s="211">
        <f>(AE22*1000)/$AI54</f>
        <v>0</v>
      </c>
      <c r="AL22" s="211">
        <f>(AF22*1000)/$AI54</f>
        <v>1361.8566645860521</v>
      </c>
      <c r="AM22" s="211">
        <f>(AG22*1000)/$AI54</f>
        <v>0</v>
      </c>
      <c r="AN22" s="212">
        <f>(AH22*1000)/$AI54</f>
        <v>0</v>
      </c>
      <c r="AO22" s="166">
        <f t="shared" si="18"/>
        <v>1550</v>
      </c>
      <c r="AP22" s="167">
        <f t="shared" si="19"/>
        <v>19160</v>
      </c>
      <c r="AQ22" s="167">
        <f t="shared" si="20"/>
        <v>36239</v>
      </c>
      <c r="AR22" s="167">
        <f t="shared" si="21"/>
        <v>1560</v>
      </c>
      <c r="AS22" s="168">
        <f t="shared" si="22"/>
        <v>3640</v>
      </c>
      <c r="AT22" s="169">
        <f t="shared" si="9"/>
        <v>0</v>
      </c>
      <c r="AU22" s="170">
        <f t="shared" si="23"/>
        <v>0</v>
      </c>
      <c r="AV22" s="170">
        <f t="shared" si="24"/>
        <v>574025.76</v>
      </c>
      <c r="AW22" s="170">
        <f t="shared" si="10"/>
        <v>0</v>
      </c>
      <c r="AX22" s="171">
        <f t="shared" si="11"/>
        <v>0</v>
      </c>
      <c r="AY22" s="169">
        <f t="shared" si="12"/>
        <v>574025.76</v>
      </c>
      <c r="AZ22" s="170">
        <v>1000</v>
      </c>
      <c r="BA22" s="170">
        <f>AY22/AI54</f>
        <v>2171.5022413890938</v>
      </c>
      <c r="BB22" s="160"/>
      <c r="BC22" s="163"/>
      <c r="BE22" s="427"/>
      <c r="BG22" s="428"/>
      <c r="BH22" s="427"/>
    </row>
    <row r="23" spans="1:60" ht="14.95" thickBot="1" x14ac:dyDescent="0.3">
      <c r="A23" s="213">
        <f>+A22+1</f>
        <v>46061</v>
      </c>
      <c r="B23" s="281">
        <f>DAY(Tabla2[[#This Row],[FECHA]])</f>
        <v>8</v>
      </c>
      <c r="C23" s="225" t="s">
        <v>28</v>
      </c>
      <c r="D23" s="214"/>
      <c r="E23" s="215"/>
      <c r="F23" s="216"/>
      <c r="G23" s="216"/>
      <c r="H23" s="215"/>
      <c r="I23" s="408">
        <f>((Tabla2[[#This Row],[VOLUMEN ENVIADO A RO (m3)]]/80)/3)*60</f>
        <v>0</v>
      </c>
      <c r="J23" s="394">
        <v>0</v>
      </c>
      <c r="K23" s="395">
        <v>5</v>
      </c>
      <c r="L23" s="396">
        <v>21</v>
      </c>
      <c r="M23" s="395">
        <v>0</v>
      </c>
      <c r="N23" s="396">
        <v>0</v>
      </c>
      <c r="O23" s="261">
        <f t="shared" si="0"/>
        <v>0</v>
      </c>
      <c r="P23" s="272">
        <f t="shared" si="1"/>
        <v>43.859649122807021</v>
      </c>
      <c r="Q23" s="255">
        <f t="shared" si="2"/>
        <v>184.21052631578948</v>
      </c>
      <c r="R23" s="272">
        <f t="shared" si="3"/>
        <v>0</v>
      </c>
      <c r="S23" s="272">
        <f t="shared" si="4"/>
        <v>0</v>
      </c>
      <c r="T23" s="257">
        <f t="shared" si="13"/>
        <v>0</v>
      </c>
      <c r="U23" s="258">
        <f t="shared" si="14"/>
        <v>0</v>
      </c>
      <c r="V23" s="258">
        <f t="shared" si="15"/>
        <v>0</v>
      </c>
      <c r="W23" s="258">
        <f t="shared" si="16"/>
        <v>0</v>
      </c>
      <c r="X23" s="259">
        <f t="shared" si="17"/>
        <v>0</v>
      </c>
      <c r="Y23" s="264">
        <v>1.18</v>
      </c>
      <c r="Z23" s="264">
        <v>1.28</v>
      </c>
      <c r="AA23" s="264">
        <v>1.2</v>
      </c>
      <c r="AB23" s="264">
        <v>1.53</v>
      </c>
      <c r="AC23" s="264">
        <v>1.2</v>
      </c>
      <c r="AD23" s="273">
        <f t="shared" si="5"/>
        <v>0</v>
      </c>
      <c r="AE23" s="274">
        <f t="shared" si="5"/>
        <v>0</v>
      </c>
      <c r="AF23" s="274">
        <f t="shared" si="5"/>
        <v>0</v>
      </c>
      <c r="AG23" s="274">
        <f t="shared" si="6"/>
        <v>0</v>
      </c>
      <c r="AH23" s="275">
        <f t="shared" si="7"/>
        <v>0</v>
      </c>
      <c r="AI23" s="430">
        <v>0</v>
      </c>
      <c r="AJ23" s="217">
        <f>(AD23*1000)/$AI57</f>
        <v>0</v>
      </c>
      <c r="AK23" s="218">
        <f>(AE23*1000)/$AI57</f>
        <v>0</v>
      </c>
      <c r="AL23" s="218">
        <f>(AF23*1000)/$AI57</f>
        <v>0</v>
      </c>
      <c r="AM23" s="218">
        <f>(AG23*1000)/$AI57</f>
        <v>0</v>
      </c>
      <c r="AN23" s="219">
        <f>(AH23*1000)/$AI57</f>
        <v>0</v>
      </c>
      <c r="AO23" s="166">
        <f t="shared" si="18"/>
        <v>1550</v>
      </c>
      <c r="AP23" s="167">
        <f t="shared" si="19"/>
        <v>19160</v>
      </c>
      <c r="AQ23" s="167">
        <f t="shared" si="20"/>
        <v>36239</v>
      </c>
      <c r="AR23" s="167">
        <f t="shared" si="21"/>
        <v>1560</v>
      </c>
      <c r="AS23" s="168">
        <f t="shared" si="22"/>
        <v>3640</v>
      </c>
      <c r="AT23" s="166">
        <f t="shared" si="9"/>
        <v>0</v>
      </c>
      <c r="AU23" s="167">
        <f t="shared" si="23"/>
        <v>0</v>
      </c>
      <c r="AV23" s="167">
        <f t="shared" si="24"/>
        <v>0</v>
      </c>
      <c r="AW23" s="167">
        <f t="shared" si="10"/>
        <v>0</v>
      </c>
      <c r="AX23" s="168">
        <f t="shared" si="11"/>
        <v>0</v>
      </c>
      <c r="AY23" s="166">
        <f t="shared" si="12"/>
        <v>0</v>
      </c>
      <c r="AZ23" s="167">
        <v>1000</v>
      </c>
      <c r="BA23" s="167">
        <f>AY23/AI57</f>
        <v>0</v>
      </c>
      <c r="BB23" s="161"/>
      <c r="BC23" s="162"/>
      <c r="BE23" s="427"/>
      <c r="BG23" s="428"/>
      <c r="BH23" s="427"/>
    </row>
    <row r="24" spans="1:60" ht="14.95" thickBot="1" x14ac:dyDescent="0.3">
      <c r="A24" s="220">
        <f>+A23</f>
        <v>46061</v>
      </c>
      <c r="B24" s="279">
        <f>DAY(Tabla2[[#This Row],[FECHA]])</f>
        <v>8</v>
      </c>
      <c r="C24" s="199" t="s">
        <v>29</v>
      </c>
      <c r="D24" s="192"/>
      <c r="E24" s="193"/>
      <c r="F24" s="194"/>
      <c r="G24" s="194"/>
      <c r="H24" s="193"/>
      <c r="I24" s="408">
        <f>((Tabla2[[#This Row],[VOLUMEN ENVIADO A RO (m3)]]/80)/3)*60</f>
        <v>0</v>
      </c>
      <c r="J24" s="394">
        <v>0</v>
      </c>
      <c r="K24" s="398">
        <v>5</v>
      </c>
      <c r="L24" s="399">
        <v>21</v>
      </c>
      <c r="M24" s="398">
        <v>0</v>
      </c>
      <c r="N24" s="399">
        <v>0</v>
      </c>
      <c r="O24" s="261">
        <f t="shared" si="0"/>
        <v>0</v>
      </c>
      <c r="P24" s="262">
        <f t="shared" si="1"/>
        <v>43.859649122807021</v>
      </c>
      <c r="Q24" s="262">
        <f t="shared" si="2"/>
        <v>184.21052631578948</v>
      </c>
      <c r="R24" s="262">
        <f t="shared" si="3"/>
        <v>0</v>
      </c>
      <c r="S24" s="262">
        <f t="shared" si="4"/>
        <v>0</v>
      </c>
      <c r="T24" s="257">
        <f t="shared" si="13"/>
        <v>0</v>
      </c>
      <c r="U24" s="258">
        <f t="shared" si="14"/>
        <v>0</v>
      </c>
      <c r="V24" s="258">
        <f t="shared" si="15"/>
        <v>0</v>
      </c>
      <c r="W24" s="258">
        <f t="shared" si="16"/>
        <v>0</v>
      </c>
      <c r="X24" s="259">
        <f t="shared" si="17"/>
        <v>0</v>
      </c>
      <c r="Y24" s="264">
        <v>1.18</v>
      </c>
      <c r="Z24" s="264">
        <v>1.28</v>
      </c>
      <c r="AA24" s="264">
        <v>1.2</v>
      </c>
      <c r="AB24" s="264">
        <v>1.53</v>
      </c>
      <c r="AC24" s="264">
        <v>1.2</v>
      </c>
      <c r="AD24" s="257">
        <f t="shared" si="5"/>
        <v>0</v>
      </c>
      <c r="AE24" s="258">
        <f t="shared" si="5"/>
        <v>0</v>
      </c>
      <c r="AF24" s="258">
        <f t="shared" si="5"/>
        <v>0</v>
      </c>
      <c r="AG24" s="258">
        <f t="shared" si="6"/>
        <v>0</v>
      </c>
      <c r="AH24" s="259">
        <f t="shared" si="7"/>
        <v>0</v>
      </c>
      <c r="AI24" s="431">
        <v>0</v>
      </c>
      <c r="AJ24" s="195" t="e">
        <f>(AD24*1000)/$AI60</f>
        <v>#DIV/0!</v>
      </c>
      <c r="AK24" s="196" t="e">
        <f>(AE24*1000)/$AI60</f>
        <v>#DIV/0!</v>
      </c>
      <c r="AL24" s="196" t="e">
        <f>(AF24*1000)/$AI60</f>
        <v>#DIV/0!</v>
      </c>
      <c r="AM24" s="196" t="e">
        <f>(AG24*1000)/$AI60</f>
        <v>#DIV/0!</v>
      </c>
      <c r="AN24" s="197" t="e">
        <f>(AH24*1000)/$AI60</f>
        <v>#DIV/0!</v>
      </c>
      <c r="AO24" s="166">
        <f t="shared" si="18"/>
        <v>1550</v>
      </c>
      <c r="AP24" s="167">
        <f t="shared" si="19"/>
        <v>19160</v>
      </c>
      <c r="AQ24" s="167">
        <f t="shared" si="20"/>
        <v>36239</v>
      </c>
      <c r="AR24" s="167">
        <f t="shared" si="21"/>
        <v>1560</v>
      </c>
      <c r="AS24" s="168">
        <f t="shared" si="22"/>
        <v>3640</v>
      </c>
      <c r="AT24" s="166">
        <f t="shared" si="9"/>
        <v>0</v>
      </c>
      <c r="AU24" s="167">
        <f t="shared" si="23"/>
        <v>0</v>
      </c>
      <c r="AV24" s="167">
        <f t="shared" si="24"/>
        <v>0</v>
      </c>
      <c r="AW24" s="167">
        <f t="shared" si="10"/>
        <v>0</v>
      </c>
      <c r="AX24" s="168">
        <f t="shared" si="11"/>
        <v>0</v>
      </c>
      <c r="AY24" s="166">
        <f t="shared" si="12"/>
        <v>0</v>
      </c>
      <c r="AZ24" s="167">
        <v>1000</v>
      </c>
      <c r="BA24" s="167" t="e">
        <f>AY24/AI60</f>
        <v>#DIV/0!</v>
      </c>
      <c r="BB24" s="161"/>
      <c r="BC24" s="162"/>
      <c r="BE24" s="427"/>
      <c r="BG24" s="428"/>
      <c r="BH24" s="427"/>
    </row>
    <row r="25" spans="1:60" ht="14.95" thickBot="1" x14ac:dyDescent="0.3">
      <c r="A25" s="221">
        <f>+A24</f>
        <v>46061</v>
      </c>
      <c r="B25" s="280">
        <f>DAY(Tabla2[[#This Row],[FECHA]])</f>
        <v>8</v>
      </c>
      <c r="C25" s="204" t="s">
        <v>30</v>
      </c>
      <c r="D25" s="222"/>
      <c r="E25" s="223"/>
      <c r="F25" s="224"/>
      <c r="G25" s="224"/>
      <c r="H25" s="223"/>
      <c r="I25" s="408">
        <f>((Tabla2[[#This Row],[VOLUMEN ENVIADO A RO (m3)]]/80)/3)*60</f>
        <v>0</v>
      </c>
      <c r="J25" s="394">
        <v>0</v>
      </c>
      <c r="K25" s="401">
        <v>5</v>
      </c>
      <c r="L25" s="402">
        <v>21</v>
      </c>
      <c r="M25" s="401">
        <v>0</v>
      </c>
      <c r="N25" s="402">
        <v>0</v>
      </c>
      <c r="O25" s="261">
        <f t="shared" si="0"/>
        <v>0</v>
      </c>
      <c r="P25" s="266">
        <f t="shared" si="1"/>
        <v>43.859649122807021</v>
      </c>
      <c r="Q25" s="266">
        <f t="shared" si="2"/>
        <v>184.21052631578948</v>
      </c>
      <c r="R25" s="266">
        <f t="shared" si="3"/>
        <v>0</v>
      </c>
      <c r="S25" s="266">
        <f t="shared" si="4"/>
        <v>0</v>
      </c>
      <c r="T25" s="257">
        <f t="shared" si="13"/>
        <v>0</v>
      </c>
      <c r="U25" s="258">
        <f t="shared" si="14"/>
        <v>0</v>
      </c>
      <c r="V25" s="258">
        <f t="shared" si="15"/>
        <v>0</v>
      </c>
      <c r="W25" s="258">
        <f t="shared" si="16"/>
        <v>0</v>
      </c>
      <c r="X25" s="259">
        <f t="shared" si="17"/>
        <v>0</v>
      </c>
      <c r="Y25" s="264">
        <v>1.18</v>
      </c>
      <c r="Z25" s="264">
        <v>1.28</v>
      </c>
      <c r="AA25" s="264">
        <v>1.2</v>
      </c>
      <c r="AB25" s="264">
        <v>1.53</v>
      </c>
      <c r="AC25" s="264">
        <v>1.2</v>
      </c>
      <c r="AD25" s="268">
        <f t="shared" si="5"/>
        <v>0</v>
      </c>
      <c r="AE25" s="269">
        <f t="shared" si="5"/>
        <v>0</v>
      </c>
      <c r="AF25" s="269">
        <f t="shared" si="5"/>
        <v>0</v>
      </c>
      <c r="AG25" s="269">
        <f t="shared" si="6"/>
        <v>0</v>
      </c>
      <c r="AH25" s="270">
        <f t="shared" si="7"/>
        <v>0</v>
      </c>
      <c r="AI25" s="432">
        <v>0</v>
      </c>
      <c r="AJ25" s="210" t="e">
        <f>(AD25*1000)/$AI63</f>
        <v>#DIV/0!</v>
      </c>
      <c r="AK25" s="211" t="e">
        <f>(AE25*1000)/$AI63</f>
        <v>#DIV/0!</v>
      </c>
      <c r="AL25" s="211" t="e">
        <f>(AF25*1000)/$AI63</f>
        <v>#DIV/0!</v>
      </c>
      <c r="AM25" s="211" t="e">
        <f>(AG25*1000)/$AI63</f>
        <v>#DIV/0!</v>
      </c>
      <c r="AN25" s="212" t="e">
        <f>(AH25*1000)/$AI63</f>
        <v>#DIV/0!</v>
      </c>
      <c r="AO25" s="166">
        <f t="shared" si="18"/>
        <v>1550</v>
      </c>
      <c r="AP25" s="167">
        <f t="shared" si="19"/>
        <v>19160</v>
      </c>
      <c r="AQ25" s="167">
        <f t="shared" si="20"/>
        <v>36239</v>
      </c>
      <c r="AR25" s="167">
        <f t="shared" si="21"/>
        <v>1560</v>
      </c>
      <c r="AS25" s="168">
        <f t="shared" si="22"/>
        <v>3640</v>
      </c>
      <c r="AT25" s="169">
        <f t="shared" si="9"/>
        <v>0</v>
      </c>
      <c r="AU25" s="170">
        <f t="shared" si="23"/>
        <v>0</v>
      </c>
      <c r="AV25" s="170">
        <f t="shared" si="24"/>
        <v>0</v>
      </c>
      <c r="AW25" s="170">
        <f t="shared" si="10"/>
        <v>0</v>
      </c>
      <c r="AX25" s="171">
        <f t="shared" si="11"/>
        <v>0</v>
      </c>
      <c r="AY25" s="169">
        <f t="shared" si="12"/>
        <v>0</v>
      </c>
      <c r="AZ25" s="170">
        <v>1000</v>
      </c>
      <c r="BA25" s="170" t="e">
        <f>AY25/AI63</f>
        <v>#DIV/0!</v>
      </c>
      <c r="BB25" s="160"/>
      <c r="BC25" s="163"/>
    </row>
    <row r="26" spans="1:60" ht="14.95" thickBot="1" x14ac:dyDescent="0.3">
      <c r="A26" s="213">
        <f>+A25+1</f>
        <v>46062</v>
      </c>
      <c r="B26" s="281">
        <f>DAY(Tabla2[[#This Row],[FECHA]])</f>
        <v>9</v>
      </c>
      <c r="C26" s="225" t="s">
        <v>28</v>
      </c>
      <c r="D26" s="214"/>
      <c r="E26" s="215"/>
      <c r="F26" s="216"/>
      <c r="G26" s="216"/>
      <c r="H26" s="215"/>
      <c r="I26" s="408">
        <f>((Tabla2[[#This Row],[VOLUMEN ENVIADO A RO (m3)]]/80)/3)*60</f>
        <v>5.942499999999999</v>
      </c>
      <c r="J26" s="394">
        <v>0</v>
      </c>
      <c r="K26" s="395">
        <v>5</v>
      </c>
      <c r="L26" s="396">
        <v>21</v>
      </c>
      <c r="M26" s="395">
        <v>0</v>
      </c>
      <c r="N26" s="396">
        <v>0</v>
      </c>
      <c r="O26" s="261">
        <f t="shared" si="0"/>
        <v>0</v>
      </c>
      <c r="P26" s="272">
        <f t="shared" si="1"/>
        <v>43.859649122807021</v>
      </c>
      <c r="Q26" s="255">
        <f t="shared" si="2"/>
        <v>184.21052631578948</v>
      </c>
      <c r="R26" s="272">
        <f t="shared" si="3"/>
        <v>0</v>
      </c>
      <c r="S26" s="272">
        <f t="shared" si="4"/>
        <v>0</v>
      </c>
      <c r="T26" s="257">
        <f t="shared" si="13"/>
        <v>0</v>
      </c>
      <c r="U26" s="258">
        <f>P26-P27+500+100</f>
        <v>12.280701754385973</v>
      </c>
      <c r="V26" s="258">
        <f>Q26-Q27+400</f>
        <v>40.350877192982466</v>
      </c>
      <c r="W26" s="258">
        <f t="shared" si="16"/>
        <v>0</v>
      </c>
      <c r="X26" s="259">
        <f t="shared" si="17"/>
        <v>0</v>
      </c>
      <c r="Y26" s="264">
        <v>1.18</v>
      </c>
      <c r="Z26" s="264">
        <v>1.28</v>
      </c>
      <c r="AA26" s="264">
        <v>1.2</v>
      </c>
      <c r="AB26" s="264">
        <v>1.53</v>
      </c>
      <c r="AC26" s="264">
        <v>1.2</v>
      </c>
      <c r="AD26" s="273">
        <f t="shared" si="5"/>
        <v>0</v>
      </c>
      <c r="AE26" s="274">
        <f t="shared" si="5"/>
        <v>15.719298245614045</v>
      </c>
      <c r="AF26" s="274">
        <f t="shared" si="5"/>
        <v>48.421052631578959</v>
      </c>
      <c r="AG26" s="274">
        <f t="shared" si="6"/>
        <v>0</v>
      </c>
      <c r="AH26" s="275">
        <f t="shared" si="7"/>
        <v>0</v>
      </c>
      <c r="AI26" s="430">
        <v>23.77</v>
      </c>
      <c r="AJ26" s="217" t="e">
        <f>(AD26*1000)/#REF!</f>
        <v>#REF!</v>
      </c>
      <c r="AK26" s="218" t="e">
        <f>(AE26*1000)/#REF!</f>
        <v>#REF!</v>
      </c>
      <c r="AL26" s="218" t="e">
        <f>(AF26*1000)/#REF!</f>
        <v>#REF!</v>
      </c>
      <c r="AM26" s="218" t="e">
        <f>(AG26*1000)/#REF!</f>
        <v>#REF!</v>
      </c>
      <c r="AN26" s="219" t="e">
        <f>(AH26*1000)/#REF!</f>
        <v>#REF!</v>
      </c>
      <c r="AO26" s="166">
        <f t="shared" si="18"/>
        <v>1550</v>
      </c>
      <c r="AP26" s="167">
        <f t="shared" si="19"/>
        <v>19160</v>
      </c>
      <c r="AQ26" s="167">
        <f t="shared" si="20"/>
        <v>36239</v>
      </c>
      <c r="AR26" s="167">
        <f t="shared" si="21"/>
        <v>1560</v>
      </c>
      <c r="AS26" s="168">
        <f t="shared" si="22"/>
        <v>3640</v>
      </c>
      <c r="AT26" s="166">
        <f t="shared" si="9"/>
        <v>0</v>
      </c>
      <c r="AU26" s="167">
        <f t="shared" si="23"/>
        <v>3614.1810526315812</v>
      </c>
      <c r="AV26" s="167">
        <f t="shared" si="24"/>
        <v>77208.143157894752</v>
      </c>
      <c r="AW26" s="167">
        <f t="shared" si="10"/>
        <v>0</v>
      </c>
      <c r="AX26" s="168">
        <f t="shared" si="11"/>
        <v>0</v>
      </c>
      <c r="AY26" s="166">
        <f t="shared" si="12"/>
        <v>80822.324210526334</v>
      </c>
      <c r="AZ26" s="167">
        <v>1000</v>
      </c>
      <c r="BA26" s="167" t="e">
        <f>AY26/#REF!</f>
        <v>#REF!</v>
      </c>
      <c r="BB26" s="161"/>
      <c r="BC26" s="162"/>
    </row>
    <row r="27" spans="1:60" ht="14.95" thickBot="1" x14ac:dyDescent="0.3">
      <c r="A27" s="220">
        <f>+A26</f>
        <v>46062</v>
      </c>
      <c r="B27" s="279">
        <f>DAY(Tabla2[[#This Row],[FECHA]])</f>
        <v>9</v>
      </c>
      <c r="C27" s="199" t="s">
        <v>29</v>
      </c>
      <c r="D27" s="192"/>
      <c r="E27" s="193"/>
      <c r="F27" s="194"/>
      <c r="G27" s="194"/>
      <c r="H27" s="193"/>
      <c r="I27" s="408">
        <f>((Tabla2[[#This Row],[VOLUMEN ENVIADO A RO (m3)]]/80)/3)*60</f>
        <v>30.942250000000005</v>
      </c>
      <c r="J27" s="394">
        <v>0</v>
      </c>
      <c r="K27" s="398">
        <v>72</v>
      </c>
      <c r="L27" s="399">
        <v>62</v>
      </c>
      <c r="M27" s="398">
        <v>0</v>
      </c>
      <c r="N27" s="399">
        <v>0</v>
      </c>
      <c r="O27" s="261">
        <f t="shared" si="0"/>
        <v>0</v>
      </c>
      <c r="P27" s="262">
        <f t="shared" si="1"/>
        <v>631.57894736842104</v>
      </c>
      <c r="Q27" s="262">
        <f t="shared" si="2"/>
        <v>543.85964912280701</v>
      </c>
      <c r="R27" s="262">
        <f t="shared" si="3"/>
        <v>0</v>
      </c>
      <c r="S27" s="262">
        <f t="shared" si="4"/>
        <v>0</v>
      </c>
      <c r="T27" s="257">
        <f t="shared" si="13"/>
        <v>0</v>
      </c>
      <c r="U27" s="258">
        <f t="shared" si="14"/>
        <v>17.543859649122737</v>
      </c>
      <c r="V27" s="258">
        <f t="shared" si="15"/>
        <v>26.315789473684163</v>
      </c>
      <c r="W27" s="258">
        <f t="shared" si="16"/>
        <v>0</v>
      </c>
      <c r="X27" s="259">
        <f t="shared" si="17"/>
        <v>0</v>
      </c>
      <c r="Y27" s="264">
        <v>1.18</v>
      </c>
      <c r="Z27" s="264">
        <v>1.28</v>
      </c>
      <c r="AA27" s="264">
        <v>1.2</v>
      </c>
      <c r="AB27" s="264">
        <v>1.53</v>
      </c>
      <c r="AC27" s="264">
        <v>1.2</v>
      </c>
      <c r="AD27" s="257">
        <f t="shared" si="5"/>
        <v>0</v>
      </c>
      <c r="AE27" s="258">
        <f t="shared" si="5"/>
        <v>22.456140350877103</v>
      </c>
      <c r="AF27" s="258">
        <f t="shared" si="5"/>
        <v>31.578947368420994</v>
      </c>
      <c r="AG27" s="258">
        <f t="shared" si="6"/>
        <v>0</v>
      </c>
      <c r="AH27" s="259">
        <f t="shared" si="7"/>
        <v>0</v>
      </c>
      <c r="AI27" s="431">
        <v>123.76900000000001</v>
      </c>
      <c r="AJ27" s="195" t="e">
        <f>(AD27*1000)/#REF!</f>
        <v>#REF!</v>
      </c>
      <c r="AK27" s="196" t="e">
        <f>(AE27*1000)/#REF!</f>
        <v>#REF!</v>
      </c>
      <c r="AL27" s="196" t="e">
        <f>(AF27*1000)/#REF!</f>
        <v>#REF!</v>
      </c>
      <c r="AM27" s="196" t="e">
        <f>(AG27*1000)/#REF!</f>
        <v>#REF!</v>
      </c>
      <c r="AN27" s="197" t="e">
        <f>(AH27*1000)/#REF!</f>
        <v>#REF!</v>
      </c>
      <c r="AO27" s="166">
        <f t="shared" si="18"/>
        <v>1550</v>
      </c>
      <c r="AP27" s="167">
        <f t="shared" si="19"/>
        <v>19160</v>
      </c>
      <c r="AQ27" s="167">
        <f t="shared" si="20"/>
        <v>36239</v>
      </c>
      <c r="AR27" s="167">
        <f t="shared" si="21"/>
        <v>1560</v>
      </c>
      <c r="AS27" s="168">
        <f t="shared" si="22"/>
        <v>3640</v>
      </c>
      <c r="AT27" s="166">
        <f t="shared" si="9"/>
        <v>0</v>
      </c>
      <c r="AU27" s="167">
        <f t="shared" si="23"/>
        <v>5163.1157894736643</v>
      </c>
      <c r="AV27" s="167">
        <f t="shared" si="24"/>
        <v>50353.136842105174</v>
      </c>
      <c r="AW27" s="167">
        <f t="shared" si="10"/>
        <v>0</v>
      </c>
      <c r="AX27" s="168">
        <f t="shared" si="11"/>
        <v>0</v>
      </c>
      <c r="AY27" s="166">
        <f t="shared" si="12"/>
        <v>55516.252631578842</v>
      </c>
      <c r="AZ27" s="167">
        <v>1000</v>
      </c>
      <c r="BA27" s="167" t="e">
        <f>AY27/#REF!</f>
        <v>#REF!</v>
      </c>
      <c r="BB27" s="161"/>
      <c r="BC27" s="162"/>
    </row>
    <row r="28" spans="1:60" ht="14.95" thickBot="1" x14ac:dyDescent="0.3">
      <c r="A28" s="221">
        <f>+A27</f>
        <v>46062</v>
      </c>
      <c r="B28" s="280">
        <f>DAY(Tabla2[[#This Row],[FECHA]])</f>
        <v>9</v>
      </c>
      <c r="C28" s="204" t="s">
        <v>30</v>
      </c>
      <c r="D28" s="222"/>
      <c r="E28" s="223"/>
      <c r="F28" s="224"/>
      <c r="G28" s="224"/>
      <c r="H28" s="223"/>
      <c r="I28" s="408">
        <f>((Tabla2[[#This Row],[VOLUMEN ENVIADO A RO (m3)]]/80)/3)*60</f>
        <v>27.36525</v>
      </c>
      <c r="J28" s="394">
        <v>0</v>
      </c>
      <c r="K28" s="401">
        <v>70</v>
      </c>
      <c r="L28" s="402">
        <v>59</v>
      </c>
      <c r="M28" s="395">
        <v>0</v>
      </c>
      <c r="N28" s="402">
        <v>0</v>
      </c>
      <c r="O28" s="261">
        <f t="shared" si="0"/>
        <v>0</v>
      </c>
      <c r="P28" s="266">
        <f t="shared" si="1"/>
        <v>614.0350877192983</v>
      </c>
      <c r="Q28" s="266">
        <f t="shared" si="2"/>
        <v>517.54385964912285</v>
      </c>
      <c r="R28" s="266">
        <f t="shared" si="3"/>
        <v>0</v>
      </c>
      <c r="S28" s="266">
        <f t="shared" si="4"/>
        <v>0</v>
      </c>
      <c r="T28" s="257">
        <f t="shared" si="13"/>
        <v>0</v>
      </c>
      <c r="U28" s="258">
        <f>P28-P29</f>
        <v>17.543859649122851</v>
      </c>
      <c r="V28" s="258">
        <f>Q28-Q29</f>
        <v>17.543859649122794</v>
      </c>
      <c r="W28" s="258">
        <f t="shared" si="16"/>
        <v>0</v>
      </c>
      <c r="X28" s="259">
        <f t="shared" si="17"/>
        <v>0</v>
      </c>
      <c r="Y28" s="264">
        <v>1.18</v>
      </c>
      <c r="Z28" s="264">
        <v>1.28</v>
      </c>
      <c r="AA28" s="264">
        <v>1.2</v>
      </c>
      <c r="AB28" s="264">
        <v>1.53</v>
      </c>
      <c r="AC28" s="264">
        <v>1.2</v>
      </c>
      <c r="AD28" s="268">
        <f t="shared" si="5"/>
        <v>0</v>
      </c>
      <c r="AE28" s="269">
        <f t="shared" si="5"/>
        <v>22.456140350877249</v>
      </c>
      <c r="AF28" s="269">
        <f t="shared" si="5"/>
        <v>21.052631578947352</v>
      </c>
      <c r="AG28" s="269">
        <f t="shared" si="6"/>
        <v>0</v>
      </c>
      <c r="AH28" s="270">
        <f t="shared" si="7"/>
        <v>0</v>
      </c>
      <c r="AI28" s="432">
        <v>109.461</v>
      </c>
      <c r="AJ28" s="210" t="e">
        <f>(AD28*1000)/#REF!</f>
        <v>#REF!</v>
      </c>
      <c r="AK28" s="211" t="e">
        <f>(AE28*1000)/#REF!</f>
        <v>#REF!</v>
      </c>
      <c r="AL28" s="211" t="e">
        <f>(AF28*1000)/#REF!</f>
        <v>#REF!</v>
      </c>
      <c r="AM28" s="211" t="e">
        <f>(AG28*1000)/#REF!</f>
        <v>#REF!</v>
      </c>
      <c r="AN28" s="212" t="e">
        <f>(AH28*1000)/#REF!</f>
        <v>#REF!</v>
      </c>
      <c r="AO28" s="166">
        <f t="shared" si="18"/>
        <v>1550</v>
      </c>
      <c r="AP28" s="167">
        <f t="shared" si="19"/>
        <v>19160</v>
      </c>
      <c r="AQ28" s="167">
        <f t="shared" si="20"/>
        <v>36239</v>
      </c>
      <c r="AR28" s="167">
        <f t="shared" si="21"/>
        <v>1560</v>
      </c>
      <c r="AS28" s="168">
        <f t="shared" si="22"/>
        <v>3640</v>
      </c>
      <c r="AT28" s="169">
        <f t="shared" si="9"/>
        <v>0</v>
      </c>
      <c r="AU28" s="170">
        <f t="shared" si="23"/>
        <v>5163.1157894736971</v>
      </c>
      <c r="AV28" s="170">
        <f t="shared" si="24"/>
        <v>33568.757894736817</v>
      </c>
      <c r="AW28" s="170">
        <f t="shared" si="10"/>
        <v>0</v>
      </c>
      <c r="AX28" s="171">
        <f t="shared" si="11"/>
        <v>0</v>
      </c>
      <c r="AY28" s="169">
        <f t="shared" si="12"/>
        <v>38731.873684210514</v>
      </c>
      <c r="AZ28" s="170">
        <v>1000</v>
      </c>
      <c r="BA28" s="170" t="e">
        <f>AY28/#REF!</f>
        <v>#REF!</v>
      </c>
      <c r="BB28" s="160"/>
      <c r="BC28" s="163"/>
    </row>
    <row r="29" spans="1:60" ht="14.95" thickBot="1" x14ac:dyDescent="0.3">
      <c r="A29" s="213">
        <f>+A28+1</f>
        <v>46063</v>
      </c>
      <c r="B29" s="281">
        <f>DAY(Tabla2[[#This Row],[FECHA]])</f>
        <v>10</v>
      </c>
      <c r="C29" s="225" t="s">
        <v>28</v>
      </c>
      <c r="D29" s="214"/>
      <c r="E29" s="215"/>
      <c r="F29" s="216"/>
      <c r="G29" s="216"/>
      <c r="H29" s="215"/>
      <c r="I29" s="408">
        <f>((Tabla2[[#This Row],[VOLUMEN ENVIADO A RO (m3)]]/80)/3)*60</f>
        <v>59.135750000000002</v>
      </c>
      <c r="J29" s="394">
        <v>0</v>
      </c>
      <c r="K29" s="395">
        <v>68</v>
      </c>
      <c r="L29" s="396">
        <v>57</v>
      </c>
      <c r="M29" s="395">
        <v>0</v>
      </c>
      <c r="N29" s="396">
        <v>0</v>
      </c>
      <c r="O29" s="261">
        <f t="shared" si="0"/>
        <v>0</v>
      </c>
      <c r="P29" s="272">
        <f t="shared" si="1"/>
        <v>596.49122807017545</v>
      </c>
      <c r="Q29" s="255">
        <f t="shared" si="2"/>
        <v>500.00000000000006</v>
      </c>
      <c r="R29" s="272">
        <f t="shared" si="3"/>
        <v>0</v>
      </c>
      <c r="S29" s="272">
        <f t="shared" si="4"/>
        <v>0</v>
      </c>
      <c r="T29" s="257">
        <f t="shared" si="13"/>
        <v>0</v>
      </c>
      <c r="U29" s="258">
        <f t="shared" si="14"/>
        <v>0</v>
      </c>
      <c r="V29" s="258">
        <f t="shared" si="15"/>
        <v>0</v>
      </c>
      <c r="W29" s="258">
        <f t="shared" si="16"/>
        <v>0</v>
      </c>
      <c r="X29" s="259">
        <f t="shared" si="17"/>
        <v>0</v>
      </c>
      <c r="Y29" s="264">
        <v>1.18</v>
      </c>
      <c r="Z29" s="264">
        <v>1.28</v>
      </c>
      <c r="AA29" s="264">
        <v>1.2</v>
      </c>
      <c r="AB29" s="264">
        <v>1.53</v>
      </c>
      <c r="AC29" s="264">
        <v>1.2</v>
      </c>
      <c r="AD29" s="273">
        <f t="shared" si="5"/>
        <v>0</v>
      </c>
      <c r="AE29" s="274">
        <f t="shared" si="5"/>
        <v>0</v>
      </c>
      <c r="AF29" s="274">
        <f t="shared" si="5"/>
        <v>0</v>
      </c>
      <c r="AG29" s="274">
        <f t="shared" si="6"/>
        <v>0</v>
      </c>
      <c r="AH29" s="275">
        <f t="shared" si="7"/>
        <v>0</v>
      </c>
      <c r="AI29" s="430">
        <v>236.54300000000001</v>
      </c>
      <c r="AJ29" s="217" t="e">
        <f>(AD29*1000)/#REF!</f>
        <v>#REF!</v>
      </c>
      <c r="AK29" s="218" t="e">
        <f>(AE29*1000)/#REF!</f>
        <v>#REF!</v>
      </c>
      <c r="AL29" s="218" t="e">
        <f>(AF29*1000)/#REF!</f>
        <v>#REF!</v>
      </c>
      <c r="AM29" s="218" t="e">
        <f>(AG29*1000)/#REF!</f>
        <v>#REF!</v>
      </c>
      <c r="AN29" s="219" t="e">
        <f>(AH29*1000)/#REF!</f>
        <v>#REF!</v>
      </c>
      <c r="AO29" s="166">
        <f t="shared" si="18"/>
        <v>1550</v>
      </c>
      <c r="AP29" s="167">
        <f t="shared" si="19"/>
        <v>19160</v>
      </c>
      <c r="AQ29" s="167">
        <f t="shared" si="20"/>
        <v>36239</v>
      </c>
      <c r="AR29" s="167">
        <f t="shared" si="21"/>
        <v>1560</v>
      </c>
      <c r="AS29" s="168">
        <f t="shared" si="22"/>
        <v>3640</v>
      </c>
      <c r="AT29" s="166">
        <f t="shared" si="9"/>
        <v>0</v>
      </c>
      <c r="AU29" s="167">
        <f t="shared" si="23"/>
        <v>0</v>
      </c>
      <c r="AV29" s="167">
        <f t="shared" si="24"/>
        <v>0</v>
      </c>
      <c r="AW29" s="167">
        <f t="shared" si="10"/>
        <v>0</v>
      </c>
      <c r="AX29" s="168">
        <f t="shared" si="11"/>
        <v>0</v>
      </c>
      <c r="AY29" s="166">
        <f t="shared" si="12"/>
        <v>0</v>
      </c>
      <c r="AZ29" s="167">
        <v>1000</v>
      </c>
      <c r="BA29" s="167" t="e">
        <f>AY29/#REF!</f>
        <v>#REF!</v>
      </c>
      <c r="BB29" s="161"/>
      <c r="BC29" s="162"/>
    </row>
    <row r="30" spans="1:60" ht="14.95" thickBot="1" x14ac:dyDescent="0.3">
      <c r="A30" s="220">
        <f>+A29</f>
        <v>46063</v>
      </c>
      <c r="B30" s="279">
        <f>DAY(Tabla2[[#This Row],[FECHA]])</f>
        <v>10</v>
      </c>
      <c r="C30" s="199" t="s">
        <v>29</v>
      </c>
      <c r="D30" s="192"/>
      <c r="E30" s="193"/>
      <c r="F30" s="194"/>
      <c r="G30" s="194"/>
      <c r="H30" s="193"/>
      <c r="I30" s="408">
        <f>((Tabla2[[#This Row],[VOLUMEN ENVIADO A RO (m3)]]/80)/3)*60</f>
        <v>50.462249999999997</v>
      </c>
      <c r="J30" s="394">
        <v>0</v>
      </c>
      <c r="K30" s="398">
        <v>68</v>
      </c>
      <c r="L30" s="396">
        <v>57</v>
      </c>
      <c r="M30" s="395">
        <v>0</v>
      </c>
      <c r="N30" s="399">
        <v>0</v>
      </c>
      <c r="O30" s="261">
        <f t="shared" si="0"/>
        <v>0</v>
      </c>
      <c r="P30" s="262">
        <f t="shared" si="1"/>
        <v>596.49122807017545</v>
      </c>
      <c r="Q30" s="262">
        <f t="shared" si="2"/>
        <v>500.00000000000006</v>
      </c>
      <c r="R30" s="262">
        <f t="shared" si="3"/>
        <v>0</v>
      </c>
      <c r="S30" s="262">
        <f t="shared" si="4"/>
        <v>0</v>
      </c>
      <c r="T30" s="257">
        <f t="shared" si="13"/>
        <v>0</v>
      </c>
      <c r="U30" s="258">
        <f t="shared" si="14"/>
        <v>26.315789473684163</v>
      </c>
      <c r="V30" s="258">
        <f t="shared" si="15"/>
        <v>35.087719298245645</v>
      </c>
      <c r="W30" s="258">
        <f t="shared" si="16"/>
        <v>0</v>
      </c>
      <c r="X30" s="259">
        <f t="shared" si="17"/>
        <v>0</v>
      </c>
      <c r="Y30" s="264">
        <v>1.18</v>
      </c>
      <c r="Z30" s="264">
        <v>1.28</v>
      </c>
      <c r="AA30" s="264">
        <v>1.2</v>
      </c>
      <c r="AB30" s="264">
        <v>1.53</v>
      </c>
      <c r="AC30" s="264">
        <v>1.2</v>
      </c>
      <c r="AD30" s="257">
        <f t="shared" si="5"/>
        <v>0</v>
      </c>
      <c r="AE30" s="258">
        <f t="shared" si="5"/>
        <v>33.684210526315731</v>
      </c>
      <c r="AF30" s="258">
        <f t="shared" si="5"/>
        <v>42.105263157894775</v>
      </c>
      <c r="AG30" s="258">
        <f t="shared" si="6"/>
        <v>0</v>
      </c>
      <c r="AH30" s="259">
        <f t="shared" si="7"/>
        <v>0</v>
      </c>
      <c r="AI30" s="431">
        <v>201.84899999999999</v>
      </c>
      <c r="AJ30" s="195" t="e">
        <f>(AD30*1000)/#REF!</f>
        <v>#REF!</v>
      </c>
      <c r="AK30" s="196" t="e">
        <f>(AE30*1000)/#REF!</f>
        <v>#REF!</v>
      </c>
      <c r="AL30" s="196" t="e">
        <f>(AF30*1000)/#REF!</f>
        <v>#REF!</v>
      </c>
      <c r="AM30" s="196" t="e">
        <f>(AG30*1000)/#REF!</f>
        <v>#REF!</v>
      </c>
      <c r="AN30" s="197" t="e">
        <f>(AH30*1000)/#REF!</f>
        <v>#REF!</v>
      </c>
      <c r="AO30" s="166">
        <f t="shared" si="18"/>
        <v>1550</v>
      </c>
      <c r="AP30" s="167">
        <f t="shared" si="19"/>
        <v>19160</v>
      </c>
      <c r="AQ30" s="167">
        <f t="shared" si="20"/>
        <v>36239</v>
      </c>
      <c r="AR30" s="167">
        <f t="shared" si="21"/>
        <v>1560</v>
      </c>
      <c r="AS30" s="168">
        <f t="shared" si="22"/>
        <v>3640</v>
      </c>
      <c r="AT30" s="166">
        <f t="shared" si="9"/>
        <v>0</v>
      </c>
      <c r="AU30" s="167">
        <f t="shared" si="23"/>
        <v>7744.6736842105138</v>
      </c>
      <c r="AV30" s="167">
        <f t="shared" si="24"/>
        <v>67137.515789473735</v>
      </c>
      <c r="AW30" s="167">
        <f t="shared" si="10"/>
        <v>0</v>
      </c>
      <c r="AX30" s="168">
        <f t="shared" si="11"/>
        <v>0</v>
      </c>
      <c r="AY30" s="166">
        <f t="shared" si="12"/>
        <v>74882.189473684251</v>
      </c>
      <c r="AZ30" s="167">
        <v>1000</v>
      </c>
      <c r="BA30" s="167" t="e">
        <f>AY30/#REF!</f>
        <v>#REF!</v>
      </c>
      <c r="BB30" s="161"/>
      <c r="BC30" s="162"/>
    </row>
    <row r="31" spans="1:60" ht="14.95" thickBot="1" x14ac:dyDescent="0.3">
      <c r="A31" s="221">
        <f>+A30</f>
        <v>46063</v>
      </c>
      <c r="B31" s="280">
        <f>DAY(Tabla2[[#This Row],[FECHA]])</f>
        <v>10</v>
      </c>
      <c r="C31" s="204" t="s">
        <v>30</v>
      </c>
      <c r="D31" s="222"/>
      <c r="E31" s="223"/>
      <c r="F31" s="224"/>
      <c r="G31" s="224"/>
      <c r="H31" s="223"/>
      <c r="I31" s="408">
        <f>((Tabla2[[#This Row],[VOLUMEN ENVIADO A RO (m3)]]/80)/3)*60</f>
        <v>79.950500000000005</v>
      </c>
      <c r="J31" s="394">
        <v>0</v>
      </c>
      <c r="K31" s="401">
        <v>65</v>
      </c>
      <c r="L31" s="396">
        <v>53</v>
      </c>
      <c r="M31" s="395">
        <v>0</v>
      </c>
      <c r="N31" s="402">
        <v>0</v>
      </c>
      <c r="O31" s="261">
        <f t="shared" si="0"/>
        <v>0</v>
      </c>
      <c r="P31" s="266">
        <f t="shared" si="1"/>
        <v>570.17543859649129</v>
      </c>
      <c r="Q31" s="266">
        <f t="shared" si="2"/>
        <v>464.91228070175441</v>
      </c>
      <c r="R31" s="266">
        <f t="shared" si="3"/>
        <v>0</v>
      </c>
      <c r="S31" s="266">
        <f t="shared" si="4"/>
        <v>0</v>
      </c>
      <c r="T31" s="257">
        <f t="shared" si="13"/>
        <v>0</v>
      </c>
      <c r="U31" s="258">
        <f t="shared" si="14"/>
        <v>0</v>
      </c>
      <c r="V31" s="258">
        <f t="shared" si="15"/>
        <v>0</v>
      </c>
      <c r="W31" s="258">
        <f t="shared" si="16"/>
        <v>0</v>
      </c>
      <c r="X31" s="259">
        <f t="shared" si="17"/>
        <v>0</v>
      </c>
      <c r="Y31" s="264">
        <v>1.18</v>
      </c>
      <c r="Z31" s="264">
        <v>1.28</v>
      </c>
      <c r="AA31" s="264">
        <v>1.2</v>
      </c>
      <c r="AB31" s="264">
        <v>1.53</v>
      </c>
      <c r="AC31" s="264">
        <v>1.2</v>
      </c>
      <c r="AD31" s="268">
        <f t="shared" si="5"/>
        <v>0</v>
      </c>
      <c r="AE31" s="269">
        <f t="shared" si="5"/>
        <v>0</v>
      </c>
      <c r="AF31" s="269">
        <f t="shared" si="5"/>
        <v>0</v>
      </c>
      <c r="AG31" s="269">
        <f t="shared" si="6"/>
        <v>0</v>
      </c>
      <c r="AH31" s="270">
        <f t="shared" si="7"/>
        <v>0</v>
      </c>
      <c r="AI31" s="432">
        <v>319.80200000000002</v>
      </c>
      <c r="AJ31" s="210" t="e">
        <f>(AD31*1000)/#REF!</f>
        <v>#REF!</v>
      </c>
      <c r="AK31" s="211" t="e">
        <f>(AE31*1000)/#REF!</f>
        <v>#REF!</v>
      </c>
      <c r="AL31" s="211" t="e">
        <f>(AF31*1000)/#REF!</f>
        <v>#REF!</v>
      </c>
      <c r="AM31" s="211" t="e">
        <f>(AG31*1000)/#REF!</f>
        <v>#REF!</v>
      </c>
      <c r="AN31" s="212" t="e">
        <f>(AH31*1000)/#REF!</f>
        <v>#REF!</v>
      </c>
      <c r="AO31" s="166">
        <f t="shared" si="18"/>
        <v>1550</v>
      </c>
      <c r="AP31" s="167">
        <f t="shared" si="19"/>
        <v>19160</v>
      </c>
      <c r="AQ31" s="167">
        <f t="shared" si="20"/>
        <v>36239</v>
      </c>
      <c r="AR31" s="167">
        <f t="shared" si="21"/>
        <v>1560</v>
      </c>
      <c r="AS31" s="168">
        <f t="shared" si="22"/>
        <v>3640</v>
      </c>
      <c r="AT31" s="169">
        <f t="shared" si="9"/>
        <v>0</v>
      </c>
      <c r="AU31" s="170">
        <f t="shared" si="23"/>
        <v>0</v>
      </c>
      <c r="AV31" s="170">
        <f t="shared" si="24"/>
        <v>0</v>
      </c>
      <c r="AW31" s="170">
        <f t="shared" si="10"/>
        <v>0</v>
      </c>
      <c r="AX31" s="171">
        <f t="shared" si="11"/>
        <v>0</v>
      </c>
      <c r="AY31" s="169">
        <f t="shared" si="12"/>
        <v>0</v>
      </c>
      <c r="AZ31" s="170">
        <v>1000</v>
      </c>
      <c r="BA31" s="170" t="e">
        <f>AY31/#REF!</f>
        <v>#REF!</v>
      </c>
      <c r="BB31" s="160"/>
      <c r="BC31" s="163"/>
    </row>
    <row r="32" spans="1:60" ht="14.95" thickBot="1" x14ac:dyDescent="0.3">
      <c r="A32" s="213">
        <f>+A31+1</f>
        <v>46064</v>
      </c>
      <c r="B32" s="281">
        <f>DAY(Tabla2[[#This Row],[FECHA]])</f>
        <v>11</v>
      </c>
      <c r="C32" s="225" t="s">
        <v>28</v>
      </c>
      <c r="D32" s="214"/>
      <c r="E32" s="215"/>
      <c r="F32" s="216"/>
      <c r="G32" s="216"/>
      <c r="H32" s="215"/>
      <c r="I32" s="408">
        <f>((Tabla2[[#This Row],[VOLUMEN ENVIADO A RO (m3)]]/80)/3)*60</f>
        <v>33.066499999999998</v>
      </c>
      <c r="J32" s="394">
        <v>0</v>
      </c>
      <c r="K32" s="395">
        <v>65</v>
      </c>
      <c r="L32" s="396">
        <v>53</v>
      </c>
      <c r="M32" s="395">
        <v>0</v>
      </c>
      <c r="N32" s="396">
        <v>0</v>
      </c>
      <c r="O32" s="261">
        <f t="shared" si="0"/>
        <v>0</v>
      </c>
      <c r="P32" s="272">
        <f t="shared" si="1"/>
        <v>570.17543859649129</v>
      </c>
      <c r="Q32" s="255">
        <f t="shared" si="2"/>
        <v>464.91228070175441</v>
      </c>
      <c r="R32" s="272">
        <f t="shared" si="3"/>
        <v>0</v>
      </c>
      <c r="S32" s="272">
        <f t="shared" si="4"/>
        <v>0</v>
      </c>
      <c r="T32" s="257">
        <f t="shared" si="13"/>
        <v>0</v>
      </c>
      <c r="U32" s="258">
        <f t="shared" si="14"/>
        <v>26.315789473684276</v>
      </c>
      <c r="V32" s="258">
        <f t="shared" si="15"/>
        <v>17.543859649122794</v>
      </c>
      <c r="W32" s="258">
        <f t="shared" si="16"/>
        <v>0</v>
      </c>
      <c r="X32" s="259">
        <f t="shared" si="17"/>
        <v>0</v>
      </c>
      <c r="Y32" s="264">
        <v>1.18</v>
      </c>
      <c r="Z32" s="264">
        <v>1.28</v>
      </c>
      <c r="AA32" s="264">
        <v>1.2</v>
      </c>
      <c r="AB32" s="264">
        <v>1.53</v>
      </c>
      <c r="AC32" s="264">
        <v>1.2</v>
      </c>
      <c r="AD32" s="273">
        <f t="shared" si="5"/>
        <v>0</v>
      </c>
      <c r="AE32" s="274">
        <f t="shared" si="5"/>
        <v>33.684210526315873</v>
      </c>
      <c r="AF32" s="274">
        <f t="shared" si="5"/>
        <v>21.052631578947352</v>
      </c>
      <c r="AG32" s="274">
        <f t="shared" si="6"/>
        <v>0</v>
      </c>
      <c r="AH32" s="275">
        <f t="shared" si="7"/>
        <v>0</v>
      </c>
      <c r="AI32" s="430">
        <v>132.26599999999999</v>
      </c>
      <c r="AJ32" s="217" t="e">
        <f>(AD32*1000)/#REF!</f>
        <v>#REF!</v>
      </c>
      <c r="AK32" s="218" t="e">
        <f>(AE32*1000)/#REF!</f>
        <v>#REF!</v>
      </c>
      <c r="AL32" s="218" t="e">
        <f>(AF32*1000)/#REF!</f>
        <v>#REF!</v>
      </c>
      <c r="AM32" s="218" t="e">
        <f>(AG32*1000)/#REF!</f>
        <v>#REF!</v>
      </c>
      <c r="AN32" s="219" t="e">
        <f>(AH32*1000)/#REF!</f>
        <v>#REF!</v>
      </c>
      <c r="AO32" s="166">
        <f t="shared" si="18"/>
        <v>1550</v>
      </c>
      <c r="AP32" s="167">
        <f t="shared" si="19"/>
        <v>19160</v>
      </c>
      <c r="AQ32" s="167">
        <f t="shared" si="20"/>
        <v>36239</v>
      </c>
      <c r="AR32" s="167">
        <f t="shared" si="21"/>
        <v>1560</v>
      </c>
      <c r="AS32" s="168">
        <f t="shared" si="22"/>
        <v>3640</v>
      </c>
      <c r="AT32" s="166">
        <f t="shared" si="9"/>
        <v>0</v>
      </c>
      <c r="AU32" s="167">
        <f t="shared" si="23"/>
        <v>7744.6736842105456</v>
      </c>
      <c r="AV32" s="167">
        <f t="shared" si="24"/>
        <v>33568.757894736817</v>
      </c>
      <c r="AW32" s="167">
        <f t="shared" si="10"/>
        <v>0</v>
      </c>
      <c r="AX32" s="168">
        <f t="shared" si="11"/>
        <v>0</v>
      </c>
      <c r="AY32" s="166">
        <f t="shared" si="12"/>
        <v>41313.431578947362</v>
      </c>
      <c r="AZ32" s="167">
        <v>1000</v>
      </c>
      <c r="BA32" s="167" t="e">
        <f>AY32/#REF!</f>
        <v>#REF!</v>
      </c>
      <c r="BB32" s="161"/>
      <c r="BC32" s="162"/>
    </row>
    <row r="33" spans="1:55" ht="14.95" thickBot="1" x14ac:dyDescent="0.3">
      <c r="A33" s="220">
        <f>+A32</f>
        <v>46064</v>
      </c>
      <c r="B33" s="279">
        <f>DAY(Tabla2[[#This Row],[FECHA]])</f>
        <v>11</v>
      </c>
      <c r="C33" s="199" t="s">
        <v>29</v>
      </c>
      <c r="D33" s="192"/>
      <c r="E33" s="193"/>
      <c r="F33" s="194"/>
      <c r="G33" s="194"/>
      <c r="H33" s="193"/>
      <c r="I33" s="408">
        <f>((Tabla2[[#This Row],[VOLUMEN ENVIADO A RO (m3)]]/80)/3)*60</f>
        <v>50.850499999999997</v>
      </c>
      <c r="J33" s="394">
        <v>0</v>
      </c>
      <c r="K33" s="398">
        <v>62</v>
      </c>
      <c r="L33" s="396">
        <v>51</v>
      </c>
      <c r="M33" s="398">
        <v>0</v>
      </c>
      <c r="N33" s="399">
        <v>0</v>
      </c>
      <c r="O33" s="261">
        <f t="shared" si="0"/>
        <v>0</v>
      </c>
      <c r="P33" s="262">
        <f t="shared" si="1"/>
        <v>543.85964912280701</v>
      </c>
      <c r="Q33" s="262">
        <f t="shared" si="2"/>
        <v>447.36842105263162</v>
      </c>
      <c r="R33" s="262">
        <f t="shared" si="3"/>
        <v>0</v>
      </c>
      <c r="S33" s="262">
        <f t="shared" si="4"/>
        <v>0</v>
      </c>
      <c r="T33" s="257">
        <f t="shared" si="13"/>
        <v>0</v>
      </c>
      <c r="U33" s="258">
        <f>P33-P34</f>
        <v>26.315789473684163</v>
      </c>
      <c r="V33" s="258">
        <f>Q33-Q34</f>
        <v>35.087719298245645</v>
      </c>
      <c r="W33" s="258">
        <f t="shared" si="16"/>
        <v>0</v>
      </c>
      <c r="X33" s="259">
        <f t="shared" si="17"/>
        <v>0</v>
      </c>
      <c r="Y33" s="264">
        <v>1.18</v>
      </c>
      <c r="Z33" s="264">
        <v>1.28</v>
      </c>
      <c r="AA33" s="264">
        <v>1.2</v>
      </c>
      <c r="AB33" s="264">
        <v>1.53</v>
      </c>
      <c r="AC33" s="264">
        <v>1.2</v>
      </c>
      <c r="AD33" s="257">
        <f t="shared" si="5"/>
        <v>0</v>
      </c>
      <c r="AE33" s="258">
        <f t="shared" si="5"/>
        <v>33.684210526315731</v>
      </c>
      <c r="AF33" s="258">
        <f t="shared" si="5"/>
        <v>42.105263157894775</v>
      </c>
      <c r="AG33" s="258">
        <f t="shared" si="6"/>
        <v>0</v>
      </c>
      <c r="AH33" s="259">
        <f t="shared" si="7"/>
        <v>0</v>
      </c>
      <c r="AI33" s="431">
        <v>203.40199999999999</v>
      </c>
      <c r="AJ33" s="195" t="e">
        <f>(AD33*1000)/#REF!</f>
        <v>#REF!</v>
      </c>
      <c r="AK33" s="196" t="e">
        <f>(AE33*1000)/#REF!</f>
        <v>#REF!</v>
      </c>
      <c r="AL33" s="196" t="e">
        <f>(AF33*1000)/#REF!</f>
        <v>#REF!</v>
      </c>
      <c r="AM33" s="196" t="e">
        <f>(AG33*1000)/#REF!</f>
        <v>#REF!</v>
      </c>
      <c r="AN33" s="197" t="e">
        <f>(AH33*1000)/#REF!</f>
        <v>#REF!</v>
      </c>
      <c r="AO33" s="166">
        <f t="shared" si="18"/>
        <v>1550</v>
      </c>
      <c r="AP33" s="167">
        <f t="shared" si="19"/>
        <v>19160</v>
      </c>
      <c r="AQ33" s="167">
        <f t="shared" si="20"/>
        <v>36239</v>
      </c>
      <c r="AR33" s="167">
        <f t="shared" si="21"/>
        <v>1560</v>
      </c>
      <c r="AS33" s="168">
        <f t="shared" si="22"/>
        <v>3640</v>
      </c>
      <c r="AT33" s="166">
        <f t="shared" si="9"/>
        <v>0</v>
      </c>
      <c r="AU33" s="167">
        <f t="shared" si="23"/>
        <v>7744.6736842105138</v>
      </c>
      <c r="AV33" s="167">
        <f t="shared" si="24"/>
        <v>67137.515789473735</v>
      </c>
      <c r="AW33" s="167">
        <f t="shared" si="10"/>
        <v>0</v>
      </c>
      <c r="AX33" s="168">
        <f t="shared" si="11"/>
        <v>0</v>
      </c>
      <c r="AY33" s="166">
        <f t="shared" si="12"/>
        <v>74882.189473684251</v>
      </c>
      <c r="AZ33" s="167">
        <v>1000</v>
      </c>
      <c r="BA33" s="167" t="e">
        <f>AY33/#REF!</f>
        <v>#REF!</v>
      </c>
      <c r="BB33" s="161"/>
      <c r="BC33" s="162"/>
    </row>
    <row r="34" spans="1:55" ht="14.95" thickBot="1" x14ac:dyDescent="0.3">
      <c r="A34" s="221">
        <f>+A33</f>
        <v>46064</v>
      </c>
      <c r="B34" s="280">
        <f>DAY(Tabla2[[#This Row],[FECHA]])</f>
        <v>11</v>
      </c>
      <c r="C34" s="204" t="s">
        <v>30</v>
      </c>
      <c r="D34" s="222"/>
      <c r="E34" s="223"/>
      <c r="F34" s="224"/>
      <c r="G34" s="224"/>
      <c r="H34" s="223"/>
      <c r="I34" s="408">
        <f>((Tabla2[[#This Row],[VOLUMEN ENVIADO A RO (m3)]]/80)/3)*60</f>
        <v>52.90100000000001</v>
      </c>
      <c r="J34" s="394">
        <v>0</v>
      </c>
      <c r="K34" s="401">
        <v>59</v>
      </c>
      <c r="L34" s="396">
        <v>47</v>
      </c>
      <c r="M34" s="401">
        <v>0</v>
      </c>
      <c r="N34" s="402">
        <v>0</v>
      </c>
      <c r="O34" s="261">
        <f t="shared" si="0"/>
        <v>0</v>
      </c>
      <c r="P34" s="266">
        <f t="shared" ref="P34:P65" si="25">K34*(1000/114)</f>
        <v>517.54385964912285</v>
      </c>
      <c r="Q34" s="266">
        <f t="shared" si="2"/>
        <v>412.28070175438597</v>
      </c>
      <c r="R34" s="266">
        <f t="shared" ref="R34:R65" si="26">M34*(1000/114)</f>
        <v>0</v>
      </c>
      <c r="S34" s="266">
        <f t="shared" ref="S34:S65" si="27">N34*(1000/114)</f>
        <v>0</v>
      </c>
      <c r="T34" s="257">
        <f t="shared" si="13"/>
        <v>0</v>
      </c>
      <c r="U34" s="258">
        <f t="shared" si="14"/>
        <v>70.175438596491233</v>
      </c>
      <c r="V34" s="258">
        <f t="shared" si="15"/>
        <v>52.631578947368382</v>
      </c>
      <c r="W34" s="258">
        <f t="shared" si="16"/>
        <v>0</v>
      </c>
      <c r="X34" s="259">
        <f t="shared" si="17"/>
        <v>0</v>
      </c>
      <c r="Y34" s="264">
        <v>1.18</v>
      </c>
      <c r="Z34" s="264">
        <v>1.28</v>
      </c>
      <c r="AA34" s="264">
        <v>1.2</v>
      </c>
      <c r="AB34" s="264">
        <v>1.53</v>
      </c>
      <c r="AC34" s="264">
        <v>1.2</v>
      </c>
      <c r="AD34" s="268">
        <f t="shared" ref="AD34:AF65" si="28">T34*Y34</f>
        <v>0</v>
      </c>
      <c r="AE34" s="269">
        <f t="shared" si="28"/>
        <v>89.824561403508781</v>
      </c>
      <c r="AF34" s="269">
        <f t="shared" si="28"/>
        <v>63.157894736842053</v>
      </c>
      <c r="AG34" s="269">
        <f t="shared" ref="AG34:AG65" si="29">W34*AB34</f>
        <v>0</v>
      </c>
      <c r="AH34" s="270">
        <f t="shared" ref="AH34:AH65" si="30">X34*AC34</f>
        <v>0</v>
      </c>
      <c r="AI34" s="432">
        <v>211.60400000000001</v>
      </c>
      <c r="AJ34" s="210" t="e">
        <f>(AD34*1000)/#REF!</f>
        <v>#REF!</v>
      </c>
      <c r="AK34" s="211" t="e">
        <f>(AE34*1000)/#REF!</f>
        <v>#REF!</v>
      </c>
      <c r="AL34" s="211" t="e">
        <f>(AF34*1000)/#REF!</f>
        <v>#REF!</v>
      </c>
      <c r="AM34" s="211" t="e">
        <f>(AG34*1000)/#REF!</f>
        <v>#REF!</v>
      </c>
      <c r="AN34" s="212" t="e">
        <f>(AH34*1000)/#REF!</f>
        <v>#REF!</v>
      </c>
      <c r="AO34" s="166">
        <f t="shared" si="18"/>
        <v>1550</v>
      </c>
      <c r="AP34" s="167">
        <f t="shared" si="19"/>
        <v>19160</v>
      </c>
      <c r="AQ34" s="167">
        <f t="shared" si="20"/>
        <v>36239</v>
      </c>
      <c r="AR34" s="167">
        <f t="shared" si="21"/>
        <v>1560</v>
      </c>
      <c r="AS34" s="168">
        <f t="shared" si="22"/>
        <v>3640</v>
      </c>
      <c r="AT34" s="169">
        <f t="shared" ref="AT34:AT65" si="31">AO34*(AD34*0.8)</f>
        <v>0</v>
      </c>
      <c r="AU34" s="170">
        <f t="shared" si="23"/>
        <v>20652.463157894741</v>
      </c>
      <c r="AV34" s="170">
        <f t="shared" si="24"/>
        <v>100706.27368421044</v>
      </c>
      <c r="AW34" s="170">
        <f t="shared" ref="AW34:AW65" si="32">AR34*AG34</f>
        <v>0</v>
      </c>
      <c r="AX34" s="171">
        <f t="shared" ref="AX34:AX65" si="33">AS34*(AH34*0.025)</f>
        <v>0</v>
      </c>
      <c r="AY34" s="169">
        <f t="shared" si="12"/>
        <v>121358.73684210518</v>
      </c>
      <c r="AZ34" s="170">
        <v>1000</v>
      </c>
      <c r="BA34" s="170" t="e">
        <f>AY34/#REF!</f>
        <v>#REF!</v>
      </c>
      <c r="BB34" s="160"/>
      <c r="BC34" s="163"/>
    </row>
    <row r="35" spans="1:55" ht="14.95" thickBot="1" x14ac:dyDescent="0.3">
      <c r="A35" s="213">
        <f>+A34+1</f>
        <v>46065</v>
      </c>
      <c r="B35" s="281">
        <f>DAY(Tabla2[[#This Row],[FECHA]])</f>
        <v>12</v>
      </c>
      <c r="C35" s="225" t="s">
        <v>28</v>
      </c>
      <c r="D35" s="214"/>
      <c r="E35" s="215"/>
      <c r="F35" s="216"/>
      <c r="G35" s="216"/>
      <c r="H35" s="215"/>
      <c r="I35" s="408">
        <f>((Tabla2[[#This Row],[VOLUMEN ENVIADO A RO (m3)]]/80)/3)*60</f>
        <v>82.420749999999998</v>
      </c>
      <c r="J35" s="394">
        <v>0</v>
      </c>
      <c r="K35" s="395">
        <v>51</v>
      </c>
      <c r="L35" s="396">
        <v>41</v>
      </c>
      <c r="M35" s="395">
        <v>0</v>
      </c>
      <c r="N35" s="396">
        <v>0</v>
      </c>
      <c r="O35" s="261">
        <f t="shared" si="0"/>
        <v>0</v>
      </c>
      <c r="P35" s="272">
        <f t="shared" si="25"/>
        <v>447.36842105263162</v>
      </c>
      <c r="Q35" s="255">
        <f t="shared" si="2"/>
        <v>359.64912280701759</v>
      </c>
      <c r="R35" s="272">
        <f t="shared" si="26"/>
        <v>0</v>
      </c>
      <c r="S35" s="272">
        <f t="shared" si="27"/>
        <v>0</v>
      </c>
      <c r="T35" s="257">
        <f t="shared" si="13"/>
        <v>0</v>
      </c>
      <c r="U35" s="258">
        <f>P35-P36</f>
        <v>0</v>
      </c>
      <c r="V35" s="258">
        <f>Q35-Q36</f>
        <v>0</v>
      </c>
      <c r="W35" s="258">
        <f t="shared" si="16"/>
        <v>0</v>
      </c>
      <c r="X35" s="259">
        <f t="shared" si="17"/>
        <v>0</v>
      </c>
      <c r="Y35" s="264">
        <v>1.18</v>
      </c>
      <c r="Z35" s="264">
        <v>1.28</v>
      </c>
      <c r="AA35" s="264">
        <v>1.2</v>
      </c>
      <c r="AB35" s="264">
        <v>1.53</v>
      </c>
      <c r="AC35" s="264">
        <v>1.2</v>
      </c>
      <c r="AD35" s="273">
        <f t="shared" si="28"/>
        <v>0</v>
      </c>
      <c r="AE35" s="274">
        <f t="shared" si="28"/>
        <v>0</v>
      </c>
      <c r="AF35" s="274">
        <f t="shared" si="28"/>
        <v>0</v>
      </c>
      <c r="AG35" s="274">
        <f t="shared" si="29"/>
        <v>0</v>
      </c>
      <c r="AH35" s="275">
        <f t="shared" si="30"/>
        <v>0</v>
      </c>
      <c r="AI35" s="430">
        <v>329.68299999999999</v>
      </c>
      <c r="AJ35" s="217" t="e">
        <f>(AD35*1000)/#REF!</f>
        <v>#REF!</v>
      </c>
      <c r="AK35" s="218" t="e">
        <f>(AE35*1000)/#REF!</f>
        <v>#REF!</v>
      </c>
      <c r="AL35" s="218" t="e">
        <f>(AF35*1000)/#REF!</f>
        <v>#REF!</v>
      </c>
      <c r="AM35" s="218" t="e">
        <f>(AG35*1000)/#REF!</f>
        <v>#REF!</v>
      </c>
      <c r="AN35" s="219" t="e">
        <f>(AH35*1000)/#REF!</f>
        <v>#REF!</v>
      </c>
      <c r="AO35" s="166">
        <f t="shared" ref="AO35:AO66" si="34">AO34</f>
        <v>1550</v>
      </c>
      <c r="AP35" s="167">
        <f t="shared" ref="AP35:AP66" si="35">AP34</f>
        <v>19160</v>
      </c>
      <c r="AQ35" s="167">
        <f t="shared" ref="AQ35:AQ66" si="36">AQ34</f>
        <v>36239</v>
      </c>
      <c r="AR35" s="167">
        <f t="shared" ref="AR35:AR66" si="37">AR34</f>
        <v>1560</v>
      </c>
      <c r="AS35" s="168">
        <f t="shared" ref="AS35:AS66" si="38">AS34</f>
        <v>3640</v>
      </c>
      <c r="AT35" s="166">
        <f t="shared" si="31"/>
        <v>0</v>
      </c>
      <c r="AU35" s="167">
        <f t="shared" si="23"/>
        <v>0</v>
      </c>
      <c r="AV35" s="167">
        <f t="shared" si="24"/>
        <v>0</v>
      </c>
      <c r="AW35" s="167">
        <f t="shared" si="32"/>
        <v>0</v>
      </c>
      <c r="AX35" s="168">
        <f t="shared" si="33"/>
        <v>0</v>
      </c>
      <c r="AY35" s="166">
        <f t="shared" si="12"/>
        <v>0</v>
      </c>
      <c r="AZ35" s="167">
        <v>1000</v>
      </c>
      <c r="BA35" s="167" t="e">
        <f>AY35/#REF!</f>
        <v>#REF!</v>
      </c>
      <c r="BB35" s="161"/>
      <c r="BC35" s="162"/>
    </row>
    <row r="36" spans="1:55" ht="14.95" thickBot="1" x14ac:dyDescent="0.3">
      <c r="A36" s="220">
        <f>+A35</f>
        <v>46065</v>
      </c>
      <c r="B36" s="279">
        <f>DAY(Tabla2[[#This Row],[FECHA]])</f>
        <v>12</v>
      </c>
      <c r="C36" s="199" t="s">
        <v>29</v>
      </c>
      <c r="D36" s="192"/>
      <c r="E36" s="193"/>
      <c r="F36" s="194"/>
      <c r="G36" s="194"/>
      <c r="H36" s="193"/>
      <c r="I36" s="408">
        <f>((Tabla2[[#This Row],[VOLUMEN ENVIADO A RO (m3)]]/80)/3)*60</f>
        <v>61.728749999999991</v>
      </c>
      <c r="J36" s="397">
        <v>0</v>
      </c>
      <c r="K36" s="398">
        <v>51</v>
      </c>
      <c r="L36" s="396">
        <v>41</v>
      </c>
      <c r="M36" s="398">
        <v>0</v>
      </c>
      <c r="N36" s="399">
        <v>0</v>
      </c>
      <c r="O36" s="261">
        <f t="shared" si="0"/>
        <v>0</v>
      </c>
      <c r="P36" s="262">
        <f t="shared" si="25"/>
        <v>447.36842105263162</v>
      </c>
      <c r="Q36" s="262">
        <f t="shared" si="2"/>
        <v>359.64912280701759</v>
      </c>
      <c r="R36" s="262">
        <f t="shared" si="26"/>
        <v>0</v>
      </c>
      <c r="S36" s="262">
        <f t="shared" si="27"/>
        <v>0</v>
      </c>
      <c r="T36" s="257">
        <f t="shared" si="13"/>
        <v>0</v>
      </c>
      <c r="U36" s="258">
        <f t="shared" si="14"/>
        <v>8.7719298245614254</v>
      </c>
      <c r="V36" s="258">
        <f t="shared" si="15"/>
        <v>17.543859649122851</v>
      </c>
      <c r="W36" s="258">
        <f t="shared" si="16"/>
        <v>0</v>
      </c>
      <c r="X36" s="259">
        <f t="shared" si="17"/>
        <v>0</v>
      </c>
      <c r="Y36" s="264">
        <v>1.18</v>
      </c>
      <c r="Z36" s="264">
        <v>1.28</v>
      </c>
      <c r="AA36" s="264">
        <v>1.2</v>
      </c>
      <c r="AB36" s="264">
        <v>1.53</v>
      </c>
      <c r="AC36" s="264">
        <v>1.2</v>
      </c>
      <c r="AD36" s="257">
        <f t="shared" si="28"/>
        <v>0</v>
      </c>
      <c r="AE36" s="258">
        <f t="shared" si="28"/>
        <v>11.228070175438624</v>
      </c>
      <c r="AF36" s="258">
        <f t="shared" si="28"/>
        <v>21.05263157894742</v>
      </c>
      <c r="AG36" s="258">
        <f t="shared" si="29"/>
        <v>0</v>
      </c>
      <c r="AH36" s="259">
        <f t="shared" si="30"/>
        <v>0</v>
      </c>
      <c r="AI36" s="431">
        <v>246.91499999999999</v>
      </c>
      <c r="AJ36" s="195" t="e">
        <f>(AD36*1000)/#REF!</f>
        <v>#REF!</v>
      </c>
      <c r="AK36" s="196" t="e">
        <f>(AE36*1000)/#REF!</f>
        <v>#REF!</v>
      </c>
      <c r="AL36" s="196" t="e">
        <f>(AF36*1000)/#REF!</f>
        <v>#REF!</v>
      </c>
      <c r="AM36" s="196" t="e">
        <f>(AG36*1000)/#REF!</f>
        <v>#REF!</v>
      </c>
      <c r="AN36" s="197" t="e">
        <f>(AH36*1000)/#REF!</f>
        <v>#REF!</v>
      </c>
      <c r="AO36" s="166">
        <f t="shared" si="34"/>
        <v>1550</v>
      </c>
      <c r="AP36" s="167">
        <f t="shared" si="35"/>
        <v>19160</v>
      </c>
      <c r="AQ36" s="167">
        <f t="shared" si="36"/>
        <v>36239</v>
      </c>
      <c r="AR36" s="167">
        <f t="shared" si="37"/>
        <v>1560</v>
      </c>
      <c r="AS36" s="168">
        <f t="shared" si="38"/>
        <v>3640</v>
      </c>
      <c r="AT36" s="166">
        <f t="shared" si="31"/>
        <v>0</v>
      </c>
      <c r="AU36" s="167">
        <f t="shared" si="23"/>
        <v>2581.5578947368485</v>
      </c>
      <c r="AV36" s="167">
        <f t="shared" si="24"/>
        <v>33568.757894736926</v>
      </c>
      <c r="AW36" s="167">
        <f t="shared" si="32"/>
        <v>0</v>
      </c>
      <c r="AX36" s="168">
        <f t="shared" si="33"/>
        <v>0</v>
      </c>
      <c r="AY36" s="166">
        <f t="shared" si="12"/>
        <v>36150.315789473774</v>
      </c>
      <c r="AZ36" s="167">
        <v>1000</v>
      </c>
      <c r="BA36" s="167" t="e">
        <f>AY36/#REF!</f>
        <v>#REF!</v>
      </c>
      <c r="BB36" s="161"/>
      <c r="BC36" s="162"/>
    </row>
    <row r="37" spans="1:55" ht="14.95" thickBot="1" x14ac:dyDescent="0.3">
      <c r="A37" s="221">
        <f>+A36</f>
        <v>46065</v>
      </c>
      <c r="B37" s="280">
        <f>DAY(Tabla2[[#This Row],[FECHA]])</f>
        <v>12</v>
      </c>
      <c r="C37" s="204" t="s">
        <v>30</v>
      </c>
      <c r="D37" s="222"/>
      <c r="E37" s="223">
        <v>0</v>
      </c>
      <c r="F37" s="224">
        <v>0</v>
      </c>
      <c r="G37" s="224"/>
      <c r="H37" s="223"/>
      <c r="I37" s="408">
        <f>((Tabla2[[#This Row],[VOLUMEN ENVIADO A RO (m3)]]/80)/3)*60</f>
        <v>70.688750000000013</v>
      </c>
      <c r="J37" s="400">
        <v>0</v>
      </c>
      <c r="K37" s="401">
        <v>50</v>
      </c>
      <c r="L37" s="396">
        <v>39</v>
      </c>
      <c r="M37" s="401">
        <v>0</v>
      </c>
      <c r="N37" s="402">
        <v>0</v>
      </c>
      <c r="O37" s="261">
        <f t="shared" si="0"/>
        <v>0</v>
      </c>
      <c r="P37" s="266">
        <f t="shared" si="25"/>
        <v>438.59649122807019</v>
      </c>
      <c r="Q37" s="266">
        <f t="shared" si="2"/>
        <v>342.10526315789474</v>
      </c>
      <c r="R37" s="266">
        <f t="shared" si="26"/>
        <v>0</v>
      </c>
      <c r="S37" s="266">
        <f t="shared" si="27"/>
        <v>0</v>
      </c>
      <c r="T37" s="257">
        <f t="shared" si="13"/>
        <v>0</v>
      </c>
      <c r="U37" s="258">
        <f>P37-P38+20</f>
        <v>81.403508771929808</v>
      </c>
      <c r="V37" s="258">
        <f>Q37-Q38+30</f>
        <v>65.087719298245588</v>
      </c>
      <c r="W37" s="258">
        <f t="shared" si="16"/>
        <v>0</v>
      </c>
      <c r="X37" s="259">
        <f t="shared" si="17"/>
        <v>0</v>
      </c>
      <c r="Y37" s="264">
        <v>1.18</v>
      </c>
      <c r="Z37" s="264">
        <v>1.28</v>
      </c>
      <c r="AA37" s="264">
        <v>1.2</v>
      </c>
      <c r="AB37" s="264">
        <v>1.53</v>
      </c>
      <c r="AC37" s="264">
        <v>1.2</v>
      </c>
      <c r="AD37" s="268">
        <f t="shared" si="28"/>
        <v>0</v>
      </c>
      <c r="AE37" s="269">
        <f t="shared" si="28"/>
        <v>104.19649122807016</v>
      </c>
      <c r="AF37" s="269">
        <f t="shared" si="28"/>
        <v>78.105263157894697</v>
      </c>
      <c r="AG37" s="269">
        <f t="shared" si="29"/>
        <v>0</v>
      </c>
      <c r="AH37" s="270">
        <f t="shared" si="30"/>
        <v>0</v>
      </c>
      <c r="AI37" s="432">
        <v>282.755</v>
      </c>
      <c r="AJ37" s="210" t="e">
        <f>(AD37*1000)/#REF!</f>
        <v>#REF!</v>
      </c>
      <c r="AK37" s="211" t="e">
        <f>(AE37*1000)/#REF!</f>
        <v>#REF!</v>
      </c>
      <c r="AL37" s="211" t="e">
        <f>(AF37*1000)/#REF!</f>
        <v>#REF!</v>
      </c>
      <c r="AM37" s="211" t="e">
        <f>(AG37*1000)/#REF!</f>
        <v>#REF!</v>
      </c>
      <c r="AN37" s="212" t="e">
        <f>(AH37*1000)/#REF!</f>
        <v>#REF!</v>
      </c>
      <c r="AO37" s="166">
        <f t="shared" si="34"/>
        <v>1550</v>
      </c>
      <c r="AP37" s="167">
        <f t="shared" si="35"/>
        <v>19160</v>
      </c>
      <c r="AQ37" s="167">
        <f t="shared" si="36"/>
        <v>36239</v>
      </c>
      <c r="AR37" s="167">
        <f t="shared" si="37"/>
        <v>1560</v>
      </c>
      <c r="AS37" s="168">
        <f t="shared" si="38"/>
        <v>3640</v>
      </c>
      <c r="AT37" s="169">
        <f t="shared" si="31"/>
        <v>0</v>
      </c>
      <c r="AU37" s="170">
        <f t="shared" si="23"/>
        <v>23956.85726315789</v>
      </c>
      <c r="AV37" s="170">
        <f t="shared" si="24"/>
        <v>124540.0917894736</v>
      </c>
      <c r="AW37" s="170">
        <f t="shared" si="32"/>
        <v>0</v>
      </c>
      <c r="AX37" s="171">
        <f t="shared" si="33"/>
        <v>0</v>
      </c>
      <c r="AY37" s="169">
        <f t="shared" si="12"/>
        <v>148496.94905263151</v>
      </c>
      <c r="AZ37" s="170">
        <v>1000</v>
      </c>
      <c r="BA37" s="170" t="e">
        <f>AY37/#REF!</f>
        <v>#REF!</v>
      </c>
      <c r="BB37" s="160"/>
      <c r="BC37" s="163"/>
    </row>
    <row r="38" spans="1:55" ht="14.95" thickBot="1" x14ac:dyDescent="0.3">
      <c r="A38" s="213">
        <f>+A37+1</f>
        <v>46066</v>
      </c>
      <c r="B38" s="281">
        <f>DAY(Tabla2[[#This Row],[FECHA]])</f>
        <v>13</v>
      </c>
      <c r="C38" s="225" t="s">
        <v>28</v>
      </c>
      <c r="D38" s="214"/>
      <c r="E38" s="215"/>
      <c r="F38" s="216"/>
      <c r="G38" s="216"/>
      <c r="H38" s="215"/>
      <c r="I38" s="408">
        <f>((Tabla2[[#This Row],[VOLUMEN ENVIADO A RO (m3)]]/80)/3)*60</f>
        <v>66.757499999999979</v>
      </c>
      <c r="J38" s="394">
        <v>0</v>
      </c>
      <c r="K38" s="395">
        <v>43</v>
      </c>
      <c r="L38" s="396">
        <v>35</v>
      </c>
      <c r="M38" s="395">
        <v>0</v>
      </c>
      <c r="N38" s="396">
        <v>0</v>
      </c>
      <c r="O38" s="261">
        <f t="shared" si="0"/>
        <v>0</v>
      </c>
      <c r="P38" s="272">
        <f>K38*(1000/114)</f>
        <v>377.19298245614038</v>
      </c>
      <c r="Q38" s="255">
        <f t="shared" si="2"/>
        <v>307.01754385964915</v>
      </c>
      <c r="R38" s="272">
        <f t="shared" si="26"/>
        <v>0</v>
      </c>
      <c r="S38" s="272">
        <f t="shared" si="27"/>
        <v>0</v>
      </c>
      <c r="T38" s="257">
        <f t="shared" si="13"/>
        <v>0</v>
      </c>
      <c r="U38" s="258">
        <f t="shared" si="14"/>
        <v>0</v>
      </c>
      <c r="V38" s="258">
        <f t="shared" si="15"/>
        <v>0</v>
      </c>
      <c r="W38" s="258">
        <f t="shared" si="16"/>
        <v>0</v>
      </c>
      <c r="X38" s="259">
        <f t="shared" si="17"/>
        <v>0</v>
      </c>
      <c r="Y38" s="264">
        <v>1.18</v>
      </c>
      <c r="Z38" s="264">
        <v>1.28</v>
      </c>
      <c r="AA38" s="264">
        <v>1.2</v>
      </c>
      <c r="AB38" s="264">
        <v>1.53</v>
      </c>
      <c r="AC38" s="264">
        <v>1.2</v>
      </c>
      <c r="AD38" s="273">
        <f t="shared" si="28"/>
        <v>0</v>
      </c>
      <c r="AE38" s="274">
        <f t="shared" si="28"/>
        <v>0</v>
      </c>
      <c r="AF38" s="274">
        <f t="shared" si="28"/>
        <v>0</v>
      </c>
      <c r="AG38" s="274">
        <f t="shared" si="29"/>
        <v>0</v>
      </c>
      <c r="AH38" s="275">
        <f t="shared" si="30"/>
        <v>0</v>
      </c>
      <c r="AI38" s="430">
        <v>267.02999999999997</v>
      </c>
      <c r="AJ38" s="217" t="e">
        <f>(AD38*1000)/#REF!</f>
        <v>#REF!</v>
      </c>
      <c r="AK38" s="218" t="e">
        <f>(AE38*1000)/#REF!</f>
        <v>#REF!</v>
      </c>
      <c r="AL38" s="218" t="e">
        <f>(AF38*1000)/#REF!</f>
        <v>#REF!</v>
      </c>
      <c r="AM38" s="218" t="e">
        <f>(AG38*1000)/#REF!</f>
        <v>#REF!</v>
      </c>
      <c r="AN38" s="219" t="e">
        <f>(AH38*1000)/#REF!</f>
        <v>#REF!</v>
      </c>
      <c r="AO38" s="166">
        <f t="shared" si="34"/>
        <v>1550</v>
      </c>
      <c r="AP38" s="167">
        <f t="shared" si="35"/>
        <v>19160</v>
      </c>
      <c r="AQ38" s="167">
        <f t="shared" si="36"/>
        <v>36239</v>
      </c>
      <c r="AR38" s="167">
        <f t="shared" si="37"/>
        <v>1560</v>
      </c>
      <c r="AS38" s="168">
        <f t="shared" si="38"/>
        <v>3640</v>
      </c>
      <c r="AT38" s="166">
        <f t="shared" si="31"/>
        <v>0</v>
      </c>
      <c r="AU38" s="167">
        <f t="shared" si="23"/>
        <v>0</v>
      </c>
      <c r="AV38" s="167">
        <f t="shared" si="24"/>
        <v>0</v>
      </c>
      <c r="AW38" s="167">
        <f t="shared" si="32"/>
        <v>0</v>
      </c>
      <c r="AX38" s="168">
        <f t="shared" si="33"/>
        <v>0</v>
      </c>
      <c r="AY38" s="166">
        <f t="shared" si="12"/>
        <v>0</v>
      </c>
      <c r="AZ38" s="167">
        <v>1000</v>
      </c>
      <c r="BA38" s="167" t="e">
        <f>AY38/#REF!</f>
        <v>#REF!</v>
      </c>
      <c r="BB38" s="161"/>
      <c r="BC38" s="162"/>
    </row>
    <row r="39" spans="1:55" ht="14.95" thickBot="1" x14ac:dyDescent="0.3">
      <c r="A39" s="220">
        <f>+A38</f>
        <v>46066</v>
      </c>
      <c r="B39" s="279">
        <f>DAY(Tabla2[[#This Row],[FECHA]])</f>
        <v>13</v>
      </c>
      <c r="C39" s="199" t="s">
        <v>29</v>
      </c>
      <c r="D39" s="192"/>
      <c r="E39" s="193"/>
      <c r="F39" s="194"/>
      <c r="G39" s="194"/>
      <c r="H39" s="193"/>
      <c r="I39" s="408">
        <f>((Tabla2[[#This Row],[VOLUMEN ENVIADO A RO (m3)]]/80)/3)*60</f>
        <v>53.513750000000002</v>
      </c>
      <c r="J39" s="397">
        <v>0</v>
      </c>
      <c r="K39" s="398">
        <v>43</v>
      </c>
      <c r="L39" s="396">
        <v>35</v>
      </c>
      <c r="M39" s="398">
        <v>0</v>
      </c>
      <c r="N39" s="399">
        <v>0</v>
      </c>
      <c r="O39" s="261">
        <f t="shared" si="0"/>
        <v>0</v>
      </c>
      <c r="P39" s="262">
        <f>K39*(1000/114)</f>
        <v>377.19298245614038</v>
      </c>
      <c r="Q39" s="262">
        <f t="shared" si="2"/>
        <v>307.01754385964915</v>
      </c>
      <c r="R39" s="262">
        <f t="shared" si="26"/>
        <v>0</v>
      </c>
      <c r="S39" s="262">
        <f t="shared" si="27"/>
        <v>0</v>
      </c>
      <c r="T39" s="257">
        <f t="shared" si="13"/>
        <v>0</v>
      </c>
      <c r="U39" s="258">
        <f t="shared" si="14"/>
        <v>0</v>
      </c>
      <c r="V39" s="258">
        <f t="shared" si="15"/>
        <v>0</v>
      </c>
      <c r="W39" s="258">
        <f t="shared" si="16"/>
        <v>0</v>
      </c>
      <c r="X39" s="259">
        <f t="shared" si="17"/>
        <v>0</v>
      </c>
      <c r="Y39" s="264">
        <v>1.18</v>
      </c>
      <c r="Z39" s="264">
        <v>1.28</v>
      </c>
      <c r="AA39" s="264">
        <v>1.2</v>
      </c>
      <c r="AB39" s="264">
        <v>1.53</v>
      </c>
      <c r="AC39" s="264">
        <v>1.2</v>
      </c>
      <c r="AD39" s="257">
        <f t="shared" si="28"/>
        <v>0</v>
      </c>
      <c r="AE39" s="258">
        <f t="shared" si="28"/>
        <v>0</v>
      </c>
      <c r="AF39" s="258">
        <f t="shared" si="28"/>
        <v>0</v>
      </c>
      <c r="AG39" s="258">
        <f t="shared" si="29"/>
        <v>0</v>
      </c>
      <c r="AH39" s="259">
        <f t="shared" si="30"/>
        <v>0</v>
      </c>
      <c r="AI39" s="431">
        <v>214.05500000000001</v>
      </c>
      <c r="AJ39" s="195" t="e">
        <f>(AD39*1000)/#REF!</f>
        <v>#REF!</v>
      </c>
      <c r="AK39" s="196" t="e">
        <f>(AE39*1000)/#REF!</f>
        <v>#REF!</v>
      </c>
      <c r="AL39" s="196" t="e">
        <f>(AF39*1000)/#REF!</f>
        <v>#REF!</v>
      </c>
      <c r="AM39" s="196" t="e">
        <f>(AG39*1000)/#REF!</f>
        <v>#REF!</v>
      </c>
      <c r="AN39" s="197" t="e">
        <f>(AH39*1000)/#REF!</f>
        <v>#REF!</v>
      </c>
      <c r="AO39" s="166">
        <f t="shared" si="34"/>
        <v>1550</v>
      </c>
      <c r="AP39" s="167">
        <f t="shared" si="35"/>
        <v>19160</v>
      </c>
      <c r="AQ39" s="167">
        <f t="shared" si="36"/>
        <v>36239</v>
      </c>
      <c r="AR39" s="167">
        <f t="shared" si="37"/>
        <v>1560</v>
      </c>
      <c r="AS39" s="168">
        <f t="shared" si="38"/>
        <v>3640</v>
      </c>
      <c r="AT39" s="166">
        <f t="shared" si="31"/>
        <v>0</v>
      </c>
      <c r="AU39" s="167">
        <f t="shared" si="23"/>
        <v>0</v>
      </c>
      <c r="AV39" s="167">
        <f t="shared" si="24"/>
        <v>0</v>
      </c>
      <c r="AW39" s="167">
        <f t="shared" si="32"/>
        <v>0</v>
      </c>
      <c r="AX39" s="168">
        <f t="shared" si="33"/>
        <v>0</v>
      </c>
      <c r="AY39" s="166">
        <f t="shared" si="12"/>
        <v>0</v>
      </c>
      <c r="AZ39" s="167">
        <v>1000</v>
      </c>
      <c r="BA39" s="167" t="e">
        <f>AY39/#REF!</f>
        <v>#REF!</v>
      </c>
      <c r="BB39" s="161"/>
      <c r="BC39" s="162"/>
    </row>
    <row r="40" spans="1:55" ht="14.95" thickBot="1" x14ac:dyDescent="0.3">
      <c r="A40" s="221">
        <f>+A39</f>
        <v>46066</v>
      </c>
      <c r="B40" s="280">
        <f>DAY(Tabla2[[#This Row],[FECHA]])</f>
        <v>13</v>
      </c>
      <c r="C40" s="204" t="s">
        <v>30</v>
      </c>
      <c r="D40" s="222"/>
      <c r="E40" s="223"/>
      <c r="F40" s="224"/>
      <c r="G40" s="224"/>
      <c r="H40" s="223"/>
      <c r="I40" s="408">
        <f>((Tabla2[[#This Row],[VOLUMEN ENVIADO A RO (m3)]]/80)/3)*60</f>
        <v>42.602249999999998</v>
      </c>
      <c r="J40" s="400">
        <v>0</v>
      </c>
      <c r="K40" s="401">
        <v>43</v>
      </c>
      <c r="L40" s="396">
        <v>35</v>
      </c>
      <c r="M40" s="401">
        <v>0</v>
      </c>
      <c r="N40" s="402">
        <v>0</v>
      </c>
      <c r="O40" s="261">
        <f t="shared" si="0"/>
        <v>0</v>
      </c>
      <c r="P40" s="266">
        <f t="shared" si="25"/>
        <v>377.19298245614038</v>
      </c>
      <c r="Q40" s="266">
        <f t="shared" si="2"/>
        <v>307.01754385964915</v>
      </c>
      <c r="R40" s="266">
        <f t="shared" si="26"/>
        <v>0</v>
      </c>
      <c r="S40" s="266">
        <f t="shared" si="27"/>
        <v>0</v>
      </c>
      <c r="T40" s="257">
        <f t="shared" si="13"/>
        <v>0</v>
      </c>
      <c r="U40" s="258">
        <f>P40-P41+500</f>
        <v>254.38596491228066</v>
      </c>
      <c r="V40" s="258">
        <f>Q40-Q41</f>
        <v>52.631578947368439</v>
      </c>
      <c r="W40" s="258">
        <f t="shared" si="16"/>
        <v>0</v>
      </c>
      <c r="X40" s="259">
        <f t="shared" si="17"/>
        <v>0</v>
      </c>
      <c r="Y40" s="264">
        <v>1.18</v>
      </c>
      <c r="Z40" s="264">
        <v>1.28</v>
      </c>
      <c r="AA40" s="264">
        <v>1.2</v>
      </c>
      <c r="AB40" s="264">
        <v>1.53</v>
      </c>
      <c r="AC40" s="264">
        <v>1.2</v>
      </c>
      <c r="AD40" s="268">
        <f t="shared" si="28"/>
        <v>0</v>
      </c>
      <c r="AE40" s="269">
        <f t="shared" si="28"/>
        <v>325.61403508771923</v>
      </c>
      <c r="AF40" s="269">
        <f t="shared" si="28"/>
        <v>63.157894736842124</v>
      </c>
      <c r="AG40" s="269">
        <f t="shared" si="29"/>
        <v>0</v>
      </c>
      <c r="AH40" s="270">
        <f t="shared" si="30"/>
        <v>0</v>
      </c>
      <c r="AI40" s="432">
        <v>170.40899999999999</v>
      </c>
      <c r="AJ40" s="210" t="e">
        <f>(AD40*1000)/#REF!</f>
        <v>#REF!</v>
      </c>
      <c r="AK40" s="211" t="e">
        <f>(AE40*1000)/#REF!</f>
        <v>#REF!</v>
      </c>
      <c r="AL40" s="211" t="e">
        <f>(AF40*1000)/#REF!</f>
        <v>#REF!</v>
      </c>
      <c r="AM40" s="211" t="e">
        <f>(AG40*1000)/#REF!</f>
        <v>#REF!</v>
      </c>
      <c r="AN40" s="212" t="e">
        <f>(AH40*1000)/#REF!</f>
        <v>#REF!</v>
      </c>
      <c r="AO40" s="166">
        <f t="shared" si="34"/>
        <v>1550</v>
      </c>
      <c r="AP40" s="167">
        <f t="shared" si="35"/>
        <v>19160</v>
      </c>
      <c r="AQ40" s="167">
        <f t="shared" si="36"/>
        <v>36239</v>
      </c>
      <c r="AR40" s="167">
        <f t="shared" si="37"/>
        <v>1560</v>
      </c>
      <c r="AS40" s="168">
        <f t="shared" si="38"/>
        <v>3640</v>
      </c>
      <c r="AT40" s="169">
        <f t="shared" si="31"/>
        <v>0</v>
      </c>
      <c r="AU40" s="170">
        <f t="shared" si="23"/>
        <v>74865.178947368404</v>
      </c>
      <c r="AV40" s="170">
        <f t="shared" si="24"/>
        <v>100706.27368421055</v>
      </c>
      <c r="AW40" s="170">
        <f t="shared" si="32"/>
        <v>0</v>
      </c>
      <c r="AX40" s="171">
        <f t="shared" si="33"/>
        <v>0</v>
      </c>
      <c r="AY40" s="169">
        <f t="shared" si="12"/>
        <v>175571.45263157896</v>
      </c>
      <c r="AZ40" s="170">
        <v>1000</v>
      </c>
      <c r="BA40" s="170" t="e">
        <f>AY40/#REF!</f>
        <v>#REF!</v>
      </c>
      <c r="BB40" s="160"/>
      <c r="BC40" s="163"/>
    </row>
    <row r="41" spans="1:55" ht="14.95" thickBot="1" x14ac:dyDescent="0.3">
      <c r="A41" s="213">
        <f>+A40+1</f>
        <v>46067</v>
      </c>
      <c r="B41" s="281">
        <f>DAY(Tabla2[[#This Row],[FECHA]])</f>
        <v>14</v>
      </c>
      <c r="C41" s="225" t="s">
        <v>28</v>
      </c>
      <c r="D41" s="214"/>
      <c r="E41" s="215"/>
      <c r="F41" s="216"/>
      <c r="G41" s="216"/>
      <c r="H41" s="215"/>
      <c r="I41" s="408">
        <f>((Tabla2[[#This Row],[VOLUMEN ENVIADO A RO (m3)]]/80)/3)*60</f>
        <v>49.64425</v>
      </c>
      <c r="J41" s="394">
        <v>0</v>
      </c>
      <c r="K41" s="395">
        <v>71</v>
      </c>
      <c r="L41" s="396">
        <v>29</v>
      </c>
      <c r="M41" s="395">
        <v>0</v>
      </c>
      <c r="N41" s="396">
        <v>0</v>
      </c>
      <c r="O41" s="261">
        <f t="shared" si="0"/>
        <v>0</v>
      </c>
      <c r="P41" s="272">
        <f t="shared" si="25"/>
        <v>622.80701754385973</v>
      </c>
      <c r="Q41" s="255">
        <f t="shared" si="2"/>
        <v>254.38596491228071</v>
      </c>
      <c r="R41" s="272">
        <f t="shared" si="26"/>
        <v>0</v>
      </c>
      <c r="S41" s="272">
        <f t="shared" si="27"/>
        <v>0</v>
      </c>
      <c r="T41" s="257">
        <f t="shared" si="13"/>
        <v>0</v>
      </c>
      <c r="U41" s="258">
        <f t="shared" si="14"/>
        <v>26.315789473684276</v>
      </c>
      <c r="V41" s="258">
        <f t="shared" si="15"/>
        <v>35.087719298245617</v>
      </c>
      <c r="W41" s="258">
        <f t="shared" si="16"/>
        <v>0</v>
      </c>
      <c r="X41" s="259">
        <f t="shared" si="17"/>
        <v>0</v>
      </c>
      <c r="Y41" s="264">
        <v>1.18</v>
      </c>
      <c r="Z41" s="264">
        <v>1.28</v>
      </c>
      <c r="AA41" s="264">
        <v>1.2</v>
      </c>
      <c r="AB41" s="264">
        <v>1.53</v>
      </c>
      <c r="AC41" s="264">
        <v>1.2</v>
      </c>
      <c r="AD41" s="273">
        <f t="shared" si="28"/>
        <v>0</v>
      </c>
      <c r="AE41" s="274">
        <f t="shared" si="28"/>
        <v>33.684210526315873</v>
      </c>
      <c r="AF41" s="274">
        <f t="shared" si="28"/>
        <v>42.10526315789474</v>
      </c>
      <c r="AG41" s="274">
        <f t="shared" si="29"/>
        <v>0</v>
      </c>
      <c r="AH41" s="275">
        <f t="shared" si="30"/>
        <v>0</v>
      </c>
      <c r="AI41" s="430">
        <v>198.577</v>
      </c>
      <c r="AJ41" s="217" t="e">
        <f>(AD41*1000)/#REF!</f>
        <v>#REF!</v>
      </c>
      <c r="AK41" s="218" t="e">
        <f>(AE41*1000)/#REF!</f>
        <v>#REF!</v>
      </c>
      <c r="AL41" s="218" t="e">
        <f>(AF41*1000)/#REF!</f>
        <v>#REF!</v>
      </c>
      <c r="AM41" s="218" t="e">
        <f>(AG41*1000)/#REF!</f>
        <v>#REF!</v>
      </c>
      <c r="AN41" s="219" t="e">
        <f>(AH41*1000)/#REF!</f>
        <v>#REF!</v>
      </c>
      <c r="AO41" s="166">
        <f t="shared" si="34"/>
        <v>1550</v>
      </c>
      <c r="AP41" s="167">
        <f t="shared" si="35"/>
        <v>19160</v>
      </c>
      <c r="AQ41" s="167">
        <f t="shared" si="36"/>
        <v>36239</v>
      </c>
      <c r="AR41" s="167">
        <f t="shared" si="37"/>
        <v>1560</v>
      </c>
      <c r="AS41" s="168">
        <f t="shared" si="38"/>
        <v>3640</v>
      </c>
      <c r="AT41" s="166">
        <f t="shared" si="31"/>
        <v>0</v>
      </c>
      <c r="AU41" s="167">
        <f t="shared" si="23"/>
        <v>7744.6736842105456</v>
      </c>
      <c r="AV41" s="167">
        <f t="shared" si="24"/>
        <v>67137.515789473677</v>
      </c>
      <c r="AW41" s="167">
        <f t="shared" si="32"/>
        <v>0</v>
      </c>
      <c r="AX41" s="168">
        <f t="shared" si="33"/>
        <v>0</v>
      </c>
      <c r="AY41" s="166">
        <f t="shared" si="12"/>
        <v>74882.189473684222</v>
      </c>
      <c r="AZ41" s="167">
        <v>1000</v>
      </c>
      <c r="BA41" s="167" t="e">
        <f>AY41/#REF!</f>
        <v>#REF!</v>
      </c>
      <c r="BB41" s="161"/>
      <c r="BC41" s="162"/>
    </row>
    <row r="42" spans="1:55" ht="14.95" thickBot="1" x14ac:dyDescent="0.3">
      <c r="A42" s="220">
        <f>+A41</f>
        <v>46067</v>
      </c>
      <c r="B42" s="279">
        <f>DAY(Tabla2[[#This Row],[FECHA]])</f>
        <v>14</v>
      </c>
      <c r="C42" s="199" t="s">
        <v>29</v>
      </c>
      <c r="D42" s="192"/>
      <c r="E42" s="193"/>
      <c r="F42" s="194"/>
      <c r="G42" s="194"/>
      <c r="H42" s="193"/>
      <c r="I42" s="408">
        <f>((Tabla2[[#This Row],[VOLUMEN ENVIADO A RO (m3)]]/80)/3)*60</f>
        <v>36.0015</v>
      </c>
      <c r="J42" s="397">
        <v>0</v>
      </c>
      <c r="K42" s="398">
        <v>68</v>
      </c>
      <c r="L42" s="399">
        <v>25</v>
      </c>
      <c r="M42" s="398">
        <v>0</v>
      </c>
      <c r="N42" s="399">
        <v>0</v>
      </c>
      <c r="O42" s="261">
        <f t="shared" si="0"/>
        <v>0</v>
      </c>
      <c r="P42" s="262">
        <f t="shared" si="25"/>
        <v>596.49122807017545</v>
      </c>
      <c r="Q42" s="262">
        <f t="shared" si="2"/>
        <v>219.2982456140351</v>
      </c>
      <c r="R42" s="262">
        <f t="shared" si="26"/>
        <v>0</v>
      </c>
      <c r="S42" s="262">
        <f t="shared" si="27"/>
        <v>0</v>
      </c>
      <c r="T42" s="257">
        <f t="shared" si="13"/>
        <v>0</v>
      </c>
      <c r="U42" s="258">
        <f t="shared" si="14"/>
        <v>0</v>
      </c>
      <c r="V42" s="258">
        <f t="shared" si="15"/>
        <v>0</v>
      </c>
      <c r="W42" s="258">
        <f t="shared" si="16"/>
        <v>0</v>
      </c>
      <c r="X42" s="259">
        <f t="shared" si="17"/>
        <v>0</v>
      </c>
      <c r="Y42" s="264">
        <v>1.18</v>
      </c>
      <c r="Z42" s="264">
        <v>1.28</v>
      </c>
      <c r="AA42" s="264">
        <v>1.2</v>
      </c>
      <c r="AB42" s="264">
        <v>1.53</v>
      </c>
      <c r="AC42" s="264">
        <v>1.2</v>
      </c>
      <c r="AD42" s="257">
        <f t="shared" si="28"/>
        <v>0</v>
      </c>
      <c r="AE42" s="258">
        <f t="shared" si="28"/>
        <v>0</v>
      </c>
      <c r="AF42" s="258">
        <f t="shared" si="28"/>
        <v>0</v>
      </c>
      <c r="AG42" s="258">
        <f t="shared" si="29"/>
        <v>0</v>
      </c>
      <c r="AH42" s="259">
        <f t="shared" si="30"/>
        <v>0</v>
      </c>
      <c r="AI42" s="431">
        <v>144.006</v>
      </c>
      <c r="AJ42" s="195" t="e">
        <f>(AD42*1000)/#REF!</f>
        <v>#REF!</v>
      </c>
      <c r="AK42" s="196" t="e">
        <f>(AE42*1000)/#REF!</f>
        <v>#REF!</v>
      </c>
      <c r="AL42" s="196" t="e">
        <f>(AF42*1000)/#REF!</f>
        <v>#REF!</v>
      </c>
      <c r="AM42" s="196" t="e">
        <f>(AG42*1000)/#REF!</f>
        <v>#REF!</v>
      </c>
      <c r="AN42" s="197" t="e">
        <f>(AH42*1000)/#REF!</f>
        <v>#REF!</v>
      </c>
      <c r="AO42" s="166">
        <f t="shared" si="34"/>
        <v>1550</v>
      </c>
      <c r="AP42" s="167">
        <f t="shared" si="35"/>
        <v>19160</v>
      </c>
      <c r="AQ42" s="167">
        <f t="shared" si="36"/>
        <v>36239</v>
      </c>
      <c r="AR42" s="167">
        <f t="shared" si="37"/>
        <v>1560</v>
      </c>
      <c r="AS42" s="168">
        <f t="shared" si="38"/>
        <v>3640</v>
      </c>
      <c r="AT42" s="166">
        <f t="shared" si="31"/>
        <v>0</v>
      </c>
      <c r="AU42" s="167">
        <f t="shared" si="23"/>
        <v>0</v>
      </c>
      <c r="AV42" s="167">
        <f t="shared" si="24"/>
        <v>0</v>
      </c>
      <c r="AW42" s="167">
        <f t="shared" si="32"/>
        <v>0</v>
      </c>
      <c r="AX42" s="168">
        <f t="shared" si="33"/>
        <v>0</v>
      </c>
      <c r="AY42" s="166">
        <f t="shared" si="12"/>
        <v>0</v>
      </c>
      <c r="AZ42" s="167">
        <v>1000</v>
      </c>
      <c r="BA42" s="167" t="e">
        <f>AY42/#REF!</f>
        <v>#REF!</v>
      </c>
      <c r="BB42" s="161"/>
      <c r="BC42" s="162"/>
    </row>
    <row r="43" spans="1:55" ht="14.95" thickBot="1" x14ac:dyDescent="0.3">
      <c r="A43" s="221">
        <f>+A42</f>
        <v>46067</v>
      </c>
      <c r="B43" s="280">
        <f>DAY(Tabla2[[#This Row],[FECHA]])</f>
        <v>14</v>
      </c>
      <c r="C43" s="204" t="s">
        <v>30</v>
      </c>
      <c r="D43" s="222"/>
      <c r="E43" s="223"/>
      <c r="F43" s="224"/>
      <c r="G43" s="224"/>
      <c r="H43" s="223"/>
      <c r="I43" s="408">
        <f>((Tabla2[[#This Row],[VOLUMEN ENVIADO A RO (m3)]]/80)/3)*60</f>
        <v>32.312999999999995</v>
      </c>
      <c r="J43" s="400">
        <v>0</v>
      </c>
      <c r="K43" s="401">
        <v>68</v>
      </c>
      <c r="L43" s="402">
        <v>25</v>
      </c>
      <c r="M43" s="401">
        <v>0</v>
      </c>
      <c r="N43" s="402">
        <v>0</v>
      </c>
      <c r="O43" s="261">
        <f t="shared" si="0"/>
        <v>0</v>
      </c>
      <c r="P43" s="266">
        <f t="shared" si="25"/>
        <v>596.49122807017545</v>
      </c>
      <c r="Q43" s="266">
        <f t="shared" si="2"/>
        <v>219.2982456140351</v>
      </c>
      <c r="R43" s="266">
        <f t="shared" si="26"/>
        <v>0</v>
      </c>
      <c r="S43" s="266">
        <f t="shared" si="27"/>
        <v>0</v>
      </c>
      <c r="T43" s="257">
        <f t="shared" si="13"/>
        <v>0</v>
      </c>
      <c r="U43" s="258">
        <f>P43-P44+10</f>
        <v>10</v>
      </c>
      <c r="V43" s="258">
        <f t="shared" si="15"/>
        <v>0</v>
      </c>
      <c r="W43" s="258">
        <f t="shared" si="16"/>
        <v>0</v>
      </c>
      <c r="X43" s="259">
        <f t="shared" si="17"/>
        <v>0</v>
      </c>
      <c r="Y43" s="264">
        <v>1.18</v>
      </c>
      <c r="Z43" s="264">
        <v>1.28</v>
      </c>
      <c r="AA43" s="264">
        <v>1.2</v>
      </c>
      <c r="AB43" s="264">
        <v>1.53</v>
      </c>
      <c r="AC43" s="264">
        <v>1.2</v>
      </c>
      <c r="AD43" s="268">
        <f t="shared" si="28"/>
        <v>0</v>
      </c>
      <c r="AE43" s="269">
        <f t="shared" si="28"/>
        <v>12.8</v>
      </c>
      <c r="AF43" s="269">
        <f t="shared" si="28"/>
        <v>0</v>
      </c>
      <c r="AG43" s="269">
        <f t="shared" si="29"/>
        <v>0</v>
      </c>
      <c r="AH43" s="270">
        <f t="shared" si="30"/>
        <v>0</v>
      </c>
      <c r="AI43" s="432">
        <v>129.25200000000001</v>
      </c>
      <c r="AJ43" s="210" t="e">
        <f>(AD43*1000)/#REF!</f>
        <v>#REF!</v>
      </c>
      <c r="AK43" s="211" t="e">
        <f>(AE43*1000)/#REF!</f>
        <v>#REF!</v>
      </c>
      <c r="AL43" s="211" t="e">
        <f>(AF43*1000)/#REF!</f>
        <v>#REF!</v>
      </c>
      <c r="AM43" s="211" t="e">
        <f>(AG43*1000)/#REF!</f>
        <v>#REF!</v>
      </c>
      <c r="AN43" s="212" t="e">
        <f>(AH43*1000)/#REF!</f>
        <v>#REF!</v>
      </c>
      <c r="AO43" s="166">
        <f t="shared" si="34"/>
        <v>1550</v>
      </c>
      <c r="AP43" s="167">
        <f t="shared" si="35"/>
        <v>19160</v>
      </c>
      <c r="AQ43" s="167">
        <f t="shared" si="36"/>
        <v>36239</v>
      </c>
      <c r="AR43" s="167">
        <f t="shared" si="37"/>
        <v>1560</v>
      </c>
      <c r="AS43" s="168">
        <f t="shared" si="38"/>
        <v>3640</v>
      </c>
      <c r="AT43" s="169">
        <f t="shared" si="31"/>
        <v>0</v>
      </c>
      <c r="AU43" s="170">
        <f t="shared" si="23"/>
        <v>2942.9760000000001</v>
      </c>
      <c r="AV43" s="170">
        <f t="shared" si="24"/>
        <v>0</v>
      </c>
      <c r="AW43" s="170">
        <f t="shared" si="32"/>
        <v>0</v>
      </c>
      <c r="AX43" s="171">
        <f t="shared" si="33"/>
        <v>0</v>
      </c>
      <c r="AY43" s="169">
        <f t="shared" si="12"/>
        <v>2942.9760000000001</v>
      </c>
      <c r="AZ43" s="170">
        <v>1000</v>
      </c>
      <c r="BA43" s="170" t="e">
        <f>AY43/#REF!</f>
        <v>#REF!</v>
      </c>
      <c r="BB43" s="160"/>
      <c r="BC43" s="163"/>
    </row>
    <row r="44" spans="1:55" ht="14.95" thickBot="1" x14ac:dyDescent="0.3">
      <c r="A44" s="213">
        <f>+A43+1</f>
        <v>46068</v>
      </c>
      <c r="B44" s="281">
        <f>DAY(Tabla2[[#This Row],[FECHA]])</f>
        <v>15</v>
      </c>
      <c r="C44" s="225" t="s">
        <v>28</v>
      </c>
      <c r="D44" s="214"/>
      <c r="E44" s="215"/>
      <c r="F44" s="216"/>
      <c r="G44" s="216"/>
      <c r="H44" s="215"/>
      <c r="I44" s="408">
        <f>((Tabla2[[#This Row],[VOLUMEN ENVIADO A RO (m3)]]/80)/3)*60</f>
        <v>0</v>
      </c>
      <c r="J44" s="394">
        <v>0</v>
      </c>
      <c r="K44" s="395">
        <v>68</v>
      </c>
      <c r="L44" s="396">
        <v>25</v>
      </c>
      <c r="M44" s="395">
        <v>0</v>
      </c>
      <c r="N44" s="396">
        <v>0</v>
      </c>
      <c r="O44" s="261">
        <f t="shared" si="0"/>
        <v>0</v>
      </c>
      <c r="P44" s="272">
        <f t="shared" si="25"/>
        <v>596.49122807017545</v>
      </c>
      <c r="Q44" s="255">
        <f t="shared" si="2"/>
        <v>219.2982456140351</v>
      </c>
      <c r="R44" s="272">
        <f t="shared" si="26"/>
        <v>0</v>
      </c>
      <c r="S44" s="272">
        <f t="shared" si="27"/>
        <v>0</v>
      </c>
      <c r="T44" s="257">
        <f t="shared" si="13"/>
        <v>0</v>
      </c>
      <c r="U44" s="258">
        <f t="shared" si="14"/>
        <v>0</v>
      </c>
      <c r="V44" s="258">
        <f t="shared" si="15"/>
        <v>0</v>
      </c>
      <c r="W44" s="258">
        <f t="shared" si="16"/>
        <v>0</v>
      </c>
      <c r="X44" s="259">
        <f t="shared" si="17"/>
        <v>0</v>
      </c>
      <c r="Y44" s="264">
        <v>1.18</v>
      </c>
      <c r="Z44" s="264">
        <v>1.28</v>
      </c>
      <c r="AA44" s="264">
        <v>1.2</v>
      </c>
      <c r="AB44" s="264">
        <v>1.53</v>
      </c>
      <c r="AC44" s="264">
        <v>1.2</v>
      </c>
      <c r="AD44" s="273">
        <f t="shared" si="28"/>
        <v>0</v>
      </c>
      <c r="AE44" s="274">
        <f t="shared" si="28"/>
        <v>0</v>
      </c>
      <c r="AF44" s="274">
        <f t="shared" si="28"/>
        <v>0</v>
      </c>
      <c r="AG44" s="274">
        <f t="shared" si="29"/>
        <v>0</v>
      </c>
      <c r="AH44" s="275">
        <f t="shared" si="30"/>
        <v>0</v>
      </c>
      <c r="AI44" s="430">
        <v>0</v>
      </c>
      <c r="AJ44" s="217" t="e">
        <f>(AD44*1000)/#REF!</f>
        <v>#REF!</v>
      </c>
      <c r="AK44" s="218" t="e">
        <f>(AE44*1000)/#REF!</f>
        <v>#REF!</v>
      </c>
      <c r="AL44" s="218" t="e">
        <f>(AF44*1000)/#REF!</f>
        <v>#REF!</v>
      </c>
      <c r="AM44" s="218" t="e">
        <f>(AG44*1000)/#REF!</f>
        <v>#REF!</v>
      </c>
      <c r="AN44" s="219" t="e">
        <f>(AH44*1000)/#REF!</f>
        <v>#REF!</v>
      </c>
      <c r="AO44" s="166">
        <f t="shared" si="34"/>
        <v>1550</v>
      </c>
      <c r="AP44" s="167">
        <f t="shared" si="35"/>
        <v>19160</v>
      </c>
      <c r="AQ44" s="167">
        <f t="shared" si="36"/>
        <v>36239</v>
      </c>
      <c r="AR44" s="167">
        <f t="shared" si="37"/>
        <v>1560</v>
      </c>
      <c r="AS44" s="168">
        <f t="shared" si="38"/>
        <v>3640</v>
      </c>
      <c r="AT44" s="166">
        <f t="shared" si="31"/>
        <v>0</v>
      </c>
      <c r="AU44" s="167">
        <f t="shared" si="23"/>
        <v>0</v>
      </c>
      <c r="AV44" s="167">
        <f t="shared" si="24"/>
        <v>0</v>
      </c>
      <c r="AW44" s="167">
        <f t="shared" si="32"/>
        <v>0</v>
      </c>
      <c r="AX44" s="168">
        <f t="shared" si="33"/>
        <v>0</v>
      </c>
      <c r="AY44" s="166">
        <f t="shared" si="12"/>
        <v>0</v>
      </c>
      <c r="AZ44" s="167">
        <v>1000</v>
      </c>
      <c r="BA44" s="167" t="e">
        <f>AY44/#REF!</f>
        <v>#REF!</v>
      </c>
      <c r="BB44" s="161"/>
      <c r="BC44" s="162"/>
    </row>
    <row r="45" spans="1:55" ht="14.95" thickBot="1" x14ac:dyDescent="0.3">
      <c r="A45" s="220">
        <f>+A44</f>
        <v>46068</v>
      </c>
      <c r="B45" s="279">
        <f>DAY(Tabla2[[#This Row],[FECHA]])</f>
        <v>15</v>
      </c>
      <c r="C45" s="199" t="s">
        <v>29</v>
      </c>
      <c r="D45" s="200"/>
      <c r="E45" s="201"/>
      <c r="F45" s="202"/>
      <c r="G45" s="202"/>
      <c r="H45" s="201"/>
      <c r="I45" s="408">
        <f>((Tabla2[[#This Row],[VOLUMEN ENVIADO A RO (m3)]]/80)/3)*60</f>
        <v>0</v>
      </c>
      <c r="J45" s="397">
        <v>0</v>
      </c>
      <c r="K45" s="398">
        <v>68</v>
      </c>
      <c r="L45" s="399">
        <v>25</v>
      </c>
      <c r="M45" s="398">
        <v>0</v>
      </c>
      <c r="N45" s="399">
        <v>0</v>
      </c>
      <c r="O45" s="261">
        <f t="shared" si="0"/>
        <v>0</v>
      </c>
      <c r="P45" s="262">
        <f t="shared" si="25"/>
        <v>596.49122807017545</v>
      </c>
      <c r="Q45" s="262">
        <f t="shared" si="2"/>
        <v>219.2982456140351</v>
      </c>
      <c r="R45" s="262">
        <f t="shared" si="26"/>
        <v>0</v>
      </c>
      <c r="S45" s="262">
        <f t="shared" si="27"/>
        <v>0</v>
      </c>
      <c r="T45" s="257">
        <f t="shared" si="13"/>
        <v>0</v>
      </c>
      <c r="U45" s="258">
        <f t="shared" si="14"/>
        <v>0</v>
      </c>
      <c r="V45" s="258">
        <f t="shared" si="15"/>
        <v>0</v>
      </c>
      <c r="W45" s="258">
        <f t="shared" si="16"/>
        <v>0</v>
      </c>
      <c r="X45" s="259">
        <f t="shared" si="17"/>
        <v>0</v>
      </c>
      <c r="Y45" s="264">
        <v>1.18</v>
      </c>
      <c r="Z45" s="264">
        <v>1.28</v>
      </c>
      <c r="AA45" s="264">
        <v>1.2</v>
      </c>
      <c r="AB45" s="264">
        <v>1.53</v>
      </c>
      <c r="AC45" s="264">
        <v>1.2</v>
      </c>
      <c r="AD45" s="257">
        <f t="shared" si="28"/>
        <v>0</v>
      </c>
      <c r="AE45" s="258">
        <f t="shared" si="28"/>
        <v>0</v>
      </c>
      <c r="AF45" s="258">
        <f t="shared" si="28"/>
        <v>0</v>
      </c>
      <c r="AG45" s="258">
        <f t="shared" si="29"/>
        <v>0</v>
      </c>
      <c r="AH45" s="259">
        <f t="shared" si="30"/>
        <v>0</v>
      </c>
      <c r="AI45" s="431">
        <v>0</v>
      </c>
      <c r="AJ45" s="195" t="e">
        <f>(AD45*1000)/#REF!</f>
        <v>#REF!</v>
      </c>
      <c r="AK45" s="196" t="e">
        <f>(AE45*1000)/#REF!</f>
        <v>#REF!</v>
      </c>
      <c r="AL45" s="196" t="e">
        <f>(AF45*1000)/#REF!</f>
        <v>#REF!</v>
      </c>
      <c r="AM45" s="196" t="e">
        <f>(AG45*1000)/#REF!</f>
        <v>#REF!</v>
      </c>
      <c r="AN45" s="197" t="e">
        <f>(AH45*1000)/#REF!</f>
        <v>#REF!</v>
      </c>
      <c r="AO45" s="166">
        <f t="shared" si="34"/>
        <v>1550</v>
      </c>
      <c r="AP45" s="167">
        <f t="shared" si="35"/>
        <v>19160</v>
      </c>
      <c r="AQ45" s="167">
        <f t="shared" si="36"/>
        <v>36239</v>
      </c>
      <c r="AR45" s="167">
        <f t="shared" si="37"/>
        <v>1560</v>
      </c>
      <c r="AS45" s="168">
        <f t="shared" si="38"/>
        <v>3640</v>
      </c>
      <c r="AT45" s="166">
        <f t="shared" si="31"/>
        <v>0</v>
      </c>
      <c r="AU45" s="167">
        <f t="shared" si="23"/>
        <v>0</v>
      </c>
      <c r="AV45" s="167">
        <f t="shared" si="24"/>
        <v>0</v>
      </c>
      <c r="AW45" s="167">
        <f t="shared" si="32"/>
        <v>0</v>
      </c>
      <c r="AX45" s="168">
        <f t="shared" si="33"/>
        <v>0</v>
      </c>
      <c r="AY45" s="166">
        <f t="shared" si="12"/>
        <v>0</v>
      </c>
      <c r="AZ45" s="167">
        <v>1000</v>
      </c>
      <c r="BA45" s="167" t="e">
        <f>AY45/#REF!</f>
        <v>#REF!</v>
      </c>
      <c r="BB45" s="161"/>
      <c r="BC45" s="162"/>
    </row>
    <row r="46" spans="1:55" ht="14.95" thickBot="1" x14ac:dyDescent="0.3">
      <c r="A46" s="221">
        <f>+A45</f>
        <v>46068</v>
      </c>
      <c r="B46" s="280">
        <f>DAY(Tabla2[[#This Row],[FECHA]])</f>
        <v>15</v>
      </c>
      <c r="C46" s="204" t="s">
        <v>30</v>
      </c>
      <c r="D46" s="205"/>
      <c r="E46" s="206"/>
      <c r="F46" s="207"/>
      <c r="G46" s="208"/>
      <c r="H46" s="209"/>
      <c r="I46" s="408">
        <f>((Tabla2[[#This Row],[VOLUMEN ENVIADO A RO (m3)]]/80)/3)*60</f>
        <v>0</v>
      </c>
      <c r="J46" s="400">
        <v>0</v>
      </c>
      <c r="K46" s="401">
        <v>68</v>
      </c>
      <c r="L46" s="402">
        <v>25</v>
      </c>
      <c r="M46" s="401">
        <v>0</v>
      </c>
      <c r="N46" s="402">
        <v>0</v>
      </c>
      <c r="O46" s="261">
        <f t="shared" si="0"/>
        <v>0</v>
      </c>
      <c r="P46" s="266">
        <f t="shared" si="25"/>
        <v>596.49122807017545</v>
      </c>
      <c r="Q46" s="266">
        <f t="shared" si="2"/>
        <v>219.2982456140351</v>
      </c>
      <c r="R46" s="266">
        <f t="shared" si="26"/>
        <v>0</v>
      </c>
      <c r="S46" s="266">
        <f t="shared" si="27"/>
        <v>0</v>
      </c>
      <c r="T46" s="257">
        <f t="shared" si="13"/>
        <v>0</v>
      </c>
      <c r="U46" s="258">
        <f>P46-P47</f>
        <v>166.66666666666663</v>
      </c>
      <c r="V46" s="258">
        <f t="shared" si="15"/>
        <v>184.21052631578948</v>
      </c>
      <c r="W46" s="258">
        <f t="shared" si="16"/>
        <v>0</v>
      </c>
      <c r="X46" s="259">
        <f t="shared" si="17"/>
        <v>0</v>
      </c>
      <c r="Y46" s="264">
        <v>1.18</v>
      </c>
      <c r="Z46" s="264">
        <v>1.28</v>
      </c>
      <c r="AA46" s="264">
        <v>1.2</v>
      </c>
      <c r="AB46" s="264">
        <v>1.53</v>
      </c>
      <c r="AC46" s="264">
        <v>1.2</v>
      </c>
      <c r="AD46" s="268">
        <f t="shared" si="28"/>
        <v>0</v>
      </c>
      <c r="AE46" s="269">
        <f t="shared" si="28"/>
        <v>213.33333333333329</v>
      </c>
      <c r="AF46" s="269">
        <f t="shared" si="28"/>
        <v>221.05263157894737</v>
      </c>
      <c r="AG46" s="269">
        <f t="shared" si="29"/>
        <v>0</v>
      </c>
      <c r="AH46" s="270">
        <f t="shared" si="30"/>
        <v>0</v>
      </c>
      <c r="AI46" s="432">
        <v>0</v>
      </c>
      <c r="AJ46" s="210" t="e">
        <f>(AD46*1000)/#REF!</f>
        <v>#REF!</v>
      </c>
      <c r="AK46" s="211" t="e">
        <f>(AE46*1000)/#REF!</f>
        <v>#REF!</v>
      </c>
      <c r="AL46" s="211" t="e">
        <f>(AF46*1000)/#REF!</f>
        <v>#REF!</v>
      </c>
      <c r="AM46" s="211" t="e">
        <f>(AG46*1000)/#REF!</f>
        <v>#REF!</v>
      </c>
      <c r="AN46" s="212" t="e">
        <f>(AH46*1000)/#REF!</f>
        <v>#REF!</v>
      </c>
      <c r="AO46" s="166">
        <f t="shared" si="34"/>
        <v>1550</v>
      </c>
      <c r="AP46" s="167">
        <f t="shared" si="35"/>
        <v>19160</v>
      </c>
      <c r="AQ46" s="167">
        <f t="shared" si="36"/>
        <v>36239</v>
      </c>
      <c r="AR46" s="167">
        <f t="shared" si="37"/>
        <v>1560</v>
      </c>
      <c r="AS46" s="168">
        <f t="shared" si="38"/>
        <v>3640</v>
      </c>
      <c r="AT46" s="169">
        <f t="shared" si="31"/>
        <v>0</v>
      </c>
      <c r="AU46" s="170">
        <f t="shared" si="23"/>
        <v>49049.599999999991</v>
      </c>
      <c r="AV46" s="170">
        <f t="shared" si="24"/>
        <v>352471.95789473684</v>
      </c>
      <c r="AW46" s="170">
        <f t="shared" si="32"/>
        <v>0</v>
      </c>
      <c r="AX46" s="171">
        <f t="shared" si="33"/>
        <v>0</v>
      </c>
      <c r="AY46" s="169">
        <f t="shared" si="12"/>
        <v>401521.55789473682</v>
      </c>
      <c r="AZ46" s="170">
        <v>1000</v>
      </c>
      <c r="BA46" s="170" t="e">
        <f>AY46/#REF!</f>
        <v>#REF!</v>
      </c>
      <c r="BB46" s="160"/>
      <c r="BC46" s="163"/>
    </row>
    <row r="47" spans="1:55" ht="14.95" thickBot="1" x14ac:dyDescent="0.3">
      <c r="A47" s="213">
        <f>+A46+1</f>
        <v>46069</v>
      </c>
      <c r="B47" s="281">
        <f>DAY(Tabla2[[#This Row],[FECHA]])</f>
        <v>16</v>
      </c>
      <c r="C47" s="225" t="s">
        <v>28</v>
      </c>
      <c r="D47" s="214"/>
      <c r="E47" s="215"/>
      <c r="F47" s="216"/>
      <c r="G47" s="216"/>
      <c r="H47" s="215"/>
      <c r="I47" s="408">
        <f>((Tabla2[[#This Row],[VOLUMEN ENVIADO A RO (m3)]]/80)/3)*60</f>
        <v>37.477249999999998</v>
      </c>
      <c r="J47" s="394">
        <v>0</v>
      </c>
      <c r="K47" s="395">
        <v>49</v>
      </c>
      <c r="L47" s="396">
        <v>4</v>
      </c>
      <c r="M47" s="395">
        <v>0</v>
      </c>
      <c r="N47" s="396">
        <v>0</v>
      </c>
      <c r="O47" s="261">
        <f t="shared" si="0"/>
        <v>0</v>
      </c>
      <c r="P47" s="272">
        <f t="shared" si="25"/>
        <v>429.82456140350882</v>
      </c>
      <c r="Q47" s="255">
        <f t="shared" si="2"/>
        <v>35.087719298245617</v>
      </c>
      <c r="R47" s="272">
        <f t="shared" si="26"/>
        <v>0</v>
      </c>
      <c r="S47" s="272">
        <f t="shared" si="27"/>
        <v>0</v>
      </c>
      <c r="T47" s="257">
        <f t="shared" si="13"/>
        <v>0</v>
      </c>
      <c r="U47" s="258">
        <f t="shared" si="14"/>
        <v>0</v>
      </c>
      <c r="V47" s="258">
        <f t="shared" si="15"/>
        <v>0</v>
      </c>
      <c r="W47" s="258">
        <f t="shared" si="16"/>
        <v>0</v>
      </c>
      <c r="X47" s="259">
        <f t="shared" si="17"/>
        <v>0</v>
      </c>
      <c r="Y47" s="264">
        <v>1.18</v>
      </c>
      <c r="Z47" s="264">
        <v>1.28</v>
      </c>
      <c r="AA47" s="264">
        <v>1.2</v>
      </c>
      <c r="AB47" s="264">
        <v>1.53</v>
      </c>
      <c r="AC47" s="264">
        <v>1.2</v>
      </c>
      <c r="AD47" s="273">
        <f t="shared" si="28"/>
        <v>0</v>
      </c>
      <c r="AE47" s="274">
        <f t="shared" si="28"/>
        <v>0</v>
      </c>
      <c r="AF47" s="274">
        <f t="shared" si="28"/>
        <v>0</v>
      </c>
      <c r="AG47" s="274">
        <f t="shared" si="29"/>
        <v>0</v>
      </c>
      <c r="AH47" s="275">
        <f t="shared" si="30"/>
        <v>0</v>
      </c>
      <c r="AI47" s="430">
        <v>149.90899999999999</v>
      </c>
      <c r="AJ47" s="217" t="e">
        <f>(AD47*1000)/#REF!</f>
        <v>#REF!</v>
      </c>
      <c r="AK47" s="218" t="e">
        <f>(AE47*1000)/#REF!</f>
        <v>#REF!</v>
      </c>
      <c r="AL47" s="218" t="e">
        <f>(AF47*1000)/#REF!</f>
        <v>#REF!</v>
      </c>
      <c r="AM47" s="218" t="e">
        <f>(AG47*1000)/#REF!</f>
        <v>#REF!</v>
      </c>
      <c r="AN47" s="219" t="e">
        <f>(AH47*1000)/#REF!</f>
        <v>#REF!</v>
      </c>
      <c r="AO47" s="166">
        <f t="shared" si="34"/>
        <v>1550</v>
      </c>
      <c r="AP47" s="167">
        <f t="shared" si="35"/>
        <v>19160</v>
      </c>
      <c r="AQ47" s="167">
        <f t="shared" si="36"/>
        <v>36239</v>
      </c>
      <c r="AR47" s="167">
        <f t="shared" si="37"/>
        <v>1560</v>
      </c>
      <c r="AS47" s="168">
        <f t="shared" si="38"/>
        <v>3640</v>
      </c>
      <c r="AT47" s="166">
        <f t="shared" si="31"/>
        <v>0</v>
      </c>
      <c r="AU47" s="167">
        <f t="shared" si="23"/>
        <v>0</v>
      </c>
      <c r="AV47" s="167">
        <f t="shared" si="24"/>
        <v>0</v>
      </c>
      <c r="AW47" s="167">
        <f t="shared" si="32"/>
        <v>0</v>
      </c>
      <c r="AX47" s="168">
        <f t="shared" si="33"/>
        <v>0</v>
      </c>
      <c r="AY47" s="166">
        <f t="shared" si="12"/>
        <v>0</v>
      </c>
      <c r="AZ47" s="167">
        <v>1000</v>
      </c>
      <c r="BA47" s="167" t="e">
        <f>AY47/#REF!</f>
        <v>#REF!</v>
      </c>
      <c r="BB47" s="161"/>
      <c r="BC47" s="162"/>
    </row>
    <row r="48" spans="1:55" ht="14.95" thickBot="1" x14ac:dyDescent="0.3">
      <c r="A48" s="220">
        <f>+A47</f>
        <v>46069</v>
      </c>
      <c r="B48" s="279">
        <f>DAY(Tabla2[[#This Row],[FECHA]])</f>
        <v>16</v>
      </c>
      <c r="C48" s="199" t="s">
        <v>29</v>
      </c>
      <c r="D48" s="200"/>
      <c r="E48" s="201"/>
      <c r="F48" s="202"/>
      <c r="G48" s="202"/>
      <c r="H48" s="201"/>
      <c r="I48" s="408">
        <f>((Tabla2[[#This Row],[VOLUMEN ENVIADO A RO (m3)]]/80)/3)*60</f>
        <v>49.854000000000006</v>
      </c>
      <c r="J48" s="397">
        <v>0</v>
      </c>
      <c r="K48" s="398">
        <v>49</v>
      </c>
      <c r="L48" s="399">
        <v>4</v>
      </c>
      <c r="M48" s="398">
        <v>0</v>
      </c>
      <c r="N48" s="399">
        <v>0</v>
      </c>
      <c r="O48" s="261">
        <f t="shared" si="0"/>
        <v>0</v>
      </c>
      <c r="P48" s="262">
        <f t="shared" si="25"/>
        <v>429.82456140350882</v>
      </c>
      <c r="Q48" s="262">
        <f t="shared" si="2"/>
        <v>35.087719298245617</v>
      </c>
      <c r="R48" s="262">
        <f t="shared" si="26"/>
        <v>0</v>
      </c>
      <c r="S48" s="262">
        <f t="shared" si="27"/>
        <v>0</v>
      </c>
      <c r="T48" s="257">
        <f t="shared" si="13"/>
        <v>0</v>
      </c>
      <c r="U48" s="258">
        <f t="shared" si="14"/>
        <v>0</v>
      </c>
      <c r="V48" s="258">
        <f t="shared" si="15"/>
        <v>0</v>
      </c>
      <c r="W48" s="258">
        <f t="shared" si="16"/>
        <v>0</v>
      </c>
      <c r="X48" s="259">
        <f t="shared" si="17"/>
        <v>0</v>
      </c>
      <c r="Y48" s="264">
        <v>1.18</v>
      </c>
      <c r="Z48" s="264">
        <v>1.28</v>
      </c>
      <c r="AA48" s="264">
        <v>1.2</v>
      </c>
      <c r="AB48" s="264">
        <v>1.53</v>
      </c>
      <c r="AC48" s="264">
        <v>1.2</v>
      </c>
      <c r="AD48" s="257">
        <f t="shared" si="28"/>
        <v>0</v>
      </c>
      <c r="AE48" s="258">
        <f t="shared" si="28"/>
        <v>0</v>
      </c>
      <c r="AF48" s="258">
        <f t="shared" si="28"/>
        <v>0</v>
      </c>
      <c r="AG48" s="258">
        <f t="shared" si="29"/>
        <v>0</v>
      </c>
      <c r="AH48" s="259">
        <f t="shared" si="30"/>
        <v>0</v>
      </c>
      <c r="AI48" s="431">
        <v>199.416</v>
      </c>
      <c r="AJ48" s="195" t="e">
        <f>(AD48*1000)/#REF!</f>
        <v>#REF!</v>
      </c>
      <c r="AK48" s="196" t="e">
        <f>(AE48*1000)/#REF!</f>
        <v>#REF!</v>
      </c>
      <c r="AL48" s="196" t="e">
        <f>(AF48*1000)/#REF!</f>
        <v>#REF!</v>
      </c>
      <c r="AM48" s="196" t="e">
        <f>(AG48*1000)/#REF!</f>
        <v>#REF!</v>
      </c>
      <c r="AN48" s="197" t="e">
        <f>(AH48*1000)/#REF!</f>
        <v>#REF!</v>
      </c>
      <c r="AO48" s="166">
        <f t="shared" si="34"/>
        <v>1550</v>
      </c>
      <c r="AP48" s="167">
        <f t="shared" si="35"/>
        <v>19160</v>
      </c>
      <c r="AQ48" s="167">
        <f t="shared" si="36"/>
        <v>36239</v>
      </c>
      <c r="AR48" s="167">
        <f t="shared" si="37"/>
        <v>1560</v>
      </c>
      <c r="AS48" s="168">
        <f t="shared" si="38"/>
        <v>3640</v>
      </c>
      <c r="AT48" s="166">
        <f t="shared" si="31"/>
        <v>0</v>
      </c>
      <c r="AU48" s="167">
        <f t="shared" si="23"/>
        <v>0</v>
      </c>
      <c r="AV48" s="167">
        <f t="shared" si="24"/>
        <v>0</v>
      </c>
      <c r="AW48" s="167">
        <f t="shared" si="32"/>
        <v>0</v>
      </c>
      <c r="AX48" s="168">
        <f t="shared" si="33"/>
        <v>0</v>
      </c>
      <c r="AY48" s="166">
        <f t="shared" si="12"/>
        <v>0</v>
      </c>
      <c r="AZ48" s="167">
        <v>1000</v>
      </c>
      <c r="BA48" s="167" t="e">
        <f>AY48/#REF!</f>
        <v>#REF!</v>
      </c>
      <c r="BB48" s="161"/>
      <c r="BC48" s="162"/>
    </row>
    <row r="49" spans="1:55" ht="14.95" thickBot="1" x14ac:dyDescent="0.3">
      <c r="A49" s="221">
        <f>+A48</f>
        <v>46069</v>
      </c>
      <c r="B49" s="280">
        <f>DAY(Tabla2[[#This Row],[FECHA]])</f>
        <v>16</v>
      </c>
      <c r="C49" s="204" t="s">
        <v>30</v>
      </c>
      <c r="D49" s="205"/>
      <c r="E49" s="206"/>
      <c r="F49" s="207"/>
      <c r="G49" s="208"/>
      <c r="H49" s="209"/>
      <c r="I49" s="408">
        <f>((Tabla2[[#This Row],[VOLUMEN ENVIADO A RO (m3)]]/80)/3)*60</f>
        <v>97.404499999999985</v>
      </c>
      <c r="J49" s="397">
        <v>0</v>
      </c>
      <c r="K49" s="398">
        <v>49</v>
      </c>
      <c r="L49" s="399">
        <v>4</v>
      </c>
      <c r="M49" s="398">
        <v>0</v>
      </c>
      <c r="N49" s="399">
        <v>0</v>
      </c>
      <c r="O49" s="261">
        <f t="shared" si="0"/>
        <v>0</v>
      </c>
      <c r="P49" s="266">
        <f t="shared" si="25"/>
        <v>429.82456140350882</v>
      </c>
      <c r="Q49" s="266">
        <f t="shared" si="2"/>
        <v>35.087719298245617</v>
      </c>
      <c r="R49" s="266">
        <f t="shared" si="26"/>
        <v>0</v>
      </c>
      <c r="S49" s="266">
        <f t="shared" si="27"/>
        <v>0</v>
      </c>
      <c r="T49" s="257">
        <f t="shared" si="13"/>
        <v>0</v>
      </c>
      <c r="U49" s="258">
        <f>P49-P50</f>
        <v>26.31578947368422</v>
      </c>
      <c r="V49" s="258">
        <f t="shared" si="15"/>
        <v>8.7719298245614041</v>
      </c>
      <c r="W49" s="258">
        <f t="shared" si="16"/>
        <v>0</v>
      </c>
      <c r="X49" s="259">
        <f t="shared" si="17"/>
        <v>0</v>
      </c>
      <c r="Y49" s="264">
        <v>1.18</v>
      </c>
      <c r="Z49" s="264">
        <v>1.28</v>
      </c>
      <c r="AA49" s="264">
        <v>1.2</v>
      </c>
      <c r="AB49" s="264">
        <v>1.53</v>
      </c>
      <c r="AC49" s="264">
        <v>1.2</v>
      </c>
      <c r="AD49" s="268">
        <f t="shared" si="28"/>
        <v>0</v>
      </c>
      <c r="AE49" s="269">
        <f t="shared" si="28"/>
        <v>33.684210526315802</v>
      </c>
      <c r="AF49" s="269">
        <f t="shared" si="28"/>
        <v>10.526315789473685</v>
      </c>
      <c r="AG49" s="269">
        <f t="shared" si="29"/>
        <v>0</v>
      </c>
      <c r="AH49" s="270">
        <f t="shared" si="30"/>
        <v>0</v>
      </c>
      <c r="AI49" s="432">
        <v>389.61799999999999</v>
      </c>
      <c r="AJ49" s="210" t="e">
        <f>(AD49*1000)/#REF!</f>
        <v>#REF!</v>
      </c>
      <c r="AK49" s="211" t="e">
        <f>(AE49*1000)/#REF!</f>
        <v>#REF!</v>
      </c>
      <c r="AL49" s="211" t="e">
        <f>(AF49*1000)/#REF!</f>
        <v>#REF!</v>
      </c>
      <c r="AM49" s="211" t="e">
        <f>(AG49*1000)/#REF!</f>
        <v>#REF!</v>
      </c>
      <c r="AN49" s="212" t="e">
        <f>(AH49*1000)/#REF!</f>
        <v>#REF!</v>
      </c>
      <c r="AO49" s="166">
        <f t="shared" si="34"/>
        <v>1550</v>
      </c>
      <c r="AP49" s="167">
        <f t="shared" si="35"/>
        <v>19160</v>
      </c>
      <c r="AQ49" s="167">
        <f t="shared" si="36"/>
        <v>36239</v>
      </c>
      <c r="AR49" s="167">
        <f t="shared" si="37"/>
        <v>1560</v>
      </c>
      <c r="AS49" s="168">
        <f t="shared" si="38"/>
        <v>3640</v>
      </c>
      <c r="AT49" s="169">
        <f t="shared" si="31"/>
        <v>0</v>
      </c>
      <c r="AU49" s="170">
        <f t="shared" si="23"/>
        <v>7744.6736842105292</v>
      </c>
      <c r="AV49" s="170">
        <f t="shared" si="24"/>
        <v>16784.378947368419</v>
      </c>
      <c r="AW49" s="170">
        <f t="shared" si="32"/>
        <v>0</v>
      </c>
      <c r="AX49" s="171">
        <f t="shared" si="33"/>
        <v>0</v>
      </c>
      <c r="AY49" s="169">
        <f t="shared" si="12"/>
        <v>24529.052631578947</v>
      </c>
      <c r="AZ49" s="170">
        <v>1000</v>
      </c>
      <c r="BA49" s="170" t="e">
        <f>AY49/#REF!</f>
        <v>#REF!</v>
      </c>
      <c r="BB49" s="160"/>
      <c r="BC49" s="163"/>
    </row>
    <row r="50" spans="1:55" ht="14.95" thickBot="1" x14ac:dyDescent="0.3">
      <c r="A50" s="213">
        <f>+A49+1</f>
        <v>46070</v>
      </c>
      <c r="B50" s="281">
        <f>DAY(Tabla2[[#This Row],[FECHA]])</f>
        <v>17</v>
      </c>
      <c r="C50" s="225" t="s">
        <v>28</v>
      </c>
      <c r="D50" s="214"/>
      <c r="E50" s="215"/>
      <c r="F50" s="216"/>
      <c r="G50" s="216"/>
      <c r="H50" s="215"/>
      <c r="I50" s="408">
        <f>((Tabla2[[#This Row],[VOLUMEN ENVIADO A RO (m3)]]/80)/3)*60</f>
        <v>42.085500000000003</v>
      </c>
      <c r="J50" s="394">
        <v>0</v>
      </c>
      <c r="K50" s="395">
        <v>46</v>
      </c>
      <c r="L50" s="396">
        <v>3</v>
      </c>
      <c r="M50" s="395">
        <v>0</v>
      </c>
      <c r="N50" s="396">
        <v>0</v>
      </c>
      <c r="O50" s="261">
        <f t="shared" si="0"/>
        <v>0</v>
      </c>
      <c r="P50" s="272">
        <f t="shared" si="25"/>
        <v>403.5087719298246</v>
      </c>
      <c r="Q50" s="255">
        <f t="shared" si="2"/>
        <v>26.315789473684212</v>
      </c>
      <c r="R50" s="272">
        <f t="shared" si="26"/>
        <v>0</v>
      </c>
      <c r="S50" s="272">
        <f t="shared" si="27"/>
        <v>0</v>
      </c>
      <c r="T50" s="257">
        <f t="shared" si="13"/>
        <v>0</v>
      </c>
      <c r="U50" s="258">
        <f>P50-P51+300</f>
        <v>10.526315789473699</v>
      </c>
      <c r="V50" s="258">
        <f>Q50-Q51+1000</f>
        <v>166.66666666666652</v>
      </c>
      <c r="W50" s="258">
        <f t="shared" si="16"/>
        <v>0</v>
      </c>
      <c r="X50" s="259">
        <f t="shared" si="17"/>
        <v>0</v>
      </c>
      <c r="Y50" s="264">
        <v>1.18</v>
      </c>
      <c r="Z50" s="264">
        <v>1.28</v>
      </c>
      <c r="AA50" s="264">
        <v>1.2</v>
      </c>
      <c r="AB50" s="264">
        <v>1.53</v>
      </c>
      <c r="AC50" s="264">
        <v>1.2</v>
      </c>
      <c r="AD50" s="273">
        <f t="shared" si="28"/>
        <v>0</v>
      </c>
      <c r="AE50" s="274">
        <f t="shared" si="28"/>
        <v>13.473684210526335</v>
      </c>
      <c r="AF50" s="274">
        <f t="shared" si="28"/>
        <v>199.9999999999998</v>
      </c>
      <c r="AG50" s="274">
        <f t="shared" si="29"/>
        <v>0</v>
      </c>
      <c r="AH50" s="275">
        <f t="shared" si="30"/>
        <v>0</v>
      </c>
      <c r="AI50" s="430">
        <v>168.34200000000001</v>
      </c>
      <c r="AJ50" s="217" t="e">
        <f>(AD50*1000)/#REF!</f>
        <v>#REF!</v>
      </c>
      <c r="AK50" s="218" t="e">
        <f>(AE50*1000)/#REF!</f>
        <v>#REF!</v>
      </c>
      <c r="AL50" s="218" t="e">
        <f>(AF50*1000)/#REF!</f>
        <v>#REF!</v>
      </c>
      <c r="AM50" s="218" t="e">
        <f>(AG50*1000)/#REF!</f>
        <v>#REF!</v>
      </c>
      <c r="AN50" s="219" t="e">
        <f>(AH50*1000)/#REF!</f>
        <v>#REF!</v>
      </c>
      <c r="AO50" s="166">
        <f t="shared" si="34"/>
        <v>1550</v>
      </c>
      <c r="AP50" s="167">
        <f t="shared" si="35"/>
        <v>19160</v>
      </c>
      <c r="AQ50" s="167">
        <f t="shared" si="36"/>
        <v>36239</v>
      </c>
      <c r="AR50" s="167">
        <f t="shared" si="37"/>
        <v>1560</v>
      </c>
      <c r="AS50" s="168">
        <f t="shared" si="38"/>
        <v>3640</v>
      </c>
      <c r="AT50" s="166">
        <f t="shared" si="31"/>
        <v>0</v>
      </c>
      <c r="AU50" s="167">
        <f t="shared" si="23"/>
        <v>3097.8694736842149</v>
      </c>
      <c r="AV50" s="167">
        <f t="shared" si="24"/>
        <v>318903.19999999966</v>
      </c>
      <c r="AW50" s="167">
        <f t="shared" si="32"/>
        <v>0</v>
      </c>
      <c r="AX50" s="168">
        <f t="shared" si="33"/>
        <v>0</v>
      </c>
      <c r="AY50" s="166">
        <f t="shared" si="12"/>
        <v>322001.06947368389</v>
      </c>
      <c r="AZ50" s="167">
        <v>1000</v>
      </c>
      <c r="BA50" s="167" t="e">
        <f>AY50/#REF!</f>
        <v>#REF!</v>
      </c>
      <c r="BB50" s="161"/>
      <c r="BC50" s="162"/>
    </row>
    <row r="51" spans="1:55" ht="14.95" thickBot="1" x14ac:dyDescent="0.3">
      <c r="A51" s="220">
        <f>+A50</f>
        <v>46070</v>
      </c>
      <c r="B51" s="279">
        <f>DAY(Tabla2[[#This Row],[FECHA]])</f>
        <v>17</v>
      </c>
      <c r="C51" s="199" t="s">
        <v>29</v>
      </c>
      <c r="D51" s="200"/>
      <c r="E51" s="201"/>
      <c r="F51" s="202"/>
      <c r="G51" s="202"/>
      <c r="H51" s="201"/>
      <c r="I51" s="408">
        <f>((Tabla2[[#This Row],[VOLUMEN ENVIADO A RO (m3)]]/80)/3)*60</f>
        <v>54.258749999999999</v>
      </c>
      <c r="J51" s="397">
        <v>0</v>
      </c>
      <c r="K51" s="398">
        <v>79</v>
      </c>
      <c r="L51" s="399">
        <v>98</v>
      </c>
      <c r="M51" s="398">
        <v>0</v>
      </c>
      <c r="N51" s="399">
        <v>0</v>
      </c>
      <c r="O51" s="261">
        <f t="shared" si="0"/>
        <v>0</v>
      </c>
      <c r="P51" s="262">
        <f t="shared" si="25"/>
        <v>692.98245614035091</v>
      </c>
      <c r="Q51" s="262">
        <f t="shared" si="2"/>
        <v>859.64912280701765</v>
      </c>
      <c r="R51" s="262">
        <f t="shared" si="26"/>
        <v>0</v>
      </c>
      <c r="S51" s="262">
        <f t="shared" si="27"/>
        <v>0</v>
      </c>
      <c r="T51" s="257">
        <f t="shared" si="13"/>
        <v>0</v>
      </c>
      <c r="U51" s="258">
        <f t="shared" si="14"/>
        <v>0</v>
      </c>
      <c r="V51" s="258">
        <f t="shared" si="15"/>
        <v>0</v>
      </c>
      <c r="W51" s="258">
        <f t="shared" si="16"/>
        <v>0</v>
      </c>
      <c r="X51" s="259">
        <f t="shared" si="17"/>
        <v>0</v>
      </c>
      <c r="Y51" s="264">
        <v>1.18</v>
      </c>
      <c r="Z51" s="264">
        <v>1.28</v>
      </c>
      <c r="AA51" s="264">
        <v>1.2</v>
      </c>
      <c r="AB51" s="264">
        <v>1.53</v>
      </c>
      <c r="AC51" s="264">
        <v>1.2</v>
      </c>
      <c r="AD51" s="257">
        <f t="shared" si="28"/>
        <v>0</v>
      </c>
      <c r="AE51" s="258">
        <f t="shared" si="28"/>
        <v>0</v>
      </c>
      <c r="AF51" s="258">
        <f t="shared" si="28"/>
        <v>0</v>
      </c>
      <c r="AG51" s="258">
        <f t="shared" si="29"/>
        <v>0</v>
      </c>
      <c r="AH51" s="259">
        <f t="shared" si="30"/>
        <v>0</v>
      </c>
      <c r="AI51" s="431">
        <v>217.035</v>
      </c>
      <c r="AJ51" s="195" t="e">
        <f>(AD51*1000)/#REF!</f>
        <v>#REF!</v>
      </c>
      <c r="AK51" s="196" t="e">
        <f>(AE51*1000)/#REF!</f>
        <v>#REF!</v>
      </c>
      <c r="AL51" s="196" t="e">
        <f>(AF51*1000)/#REF!</f>
        <v>#REF!</v>
      </c>
      <c r="AM51" s="196" t="e">
        <f>(AG51*1000)/#REF!</f>
        <v>#REF!</v>
      </c>
      <c r="AN51" s="197" t="e">
        <f>(AH51*1000)/#REF!</f>
        <v>#REF!</v>
      </c>
      <c r="AO51" s="166">
        <f t="shared" si="34"/>
        <v>1550</v>
      </c>
      <c r="AP51" s="167">
        <f t="shared" si="35"/>
        <v>19160</v>
      </c>
      <c r="AQ51" s="167">
        <f t="shared" si="36"/>
        <v>36239</v>
      </c>
      <c r="AR51" s="167">
        <f t="shared" si="37"/>
        <v>1560</v>
      </c>
      <c r="AS51" s="168">
        <f t="shared" si="38"/>
        <v>3640</v>
      </c>
      <c r="AT51" s="166">
        <f t="shared" si="31"/>
        <v>0</v>
      </c>
      <c r="AU51" s="167">
        <f t="shared" si="23"/>
        <v>0</v>
      </c>
      <c r="AV51" s="167">
        <f t="shared" si="24"/>
        <v>0</v>
      </c>
      <c r="AW51" s="167">
        <f t="shared" si="32"/>
        <v>0</v>
      </c>
      <c r="AX51" s="168">
        <f t="shared" si="33"/>
        <v>0</v>
      </c>
      <c r="AY51" s="166">
        <f t="shared" si="12"/>
        <v>0</v>
      </c>
      <c r="AZ51" s="167">
        <v>1000</v>
      </c>
      <c r="BA51" s="167" t="e">
        <f>AY51/#REF!</f>
        <v>#REF!</v>
      </c>
      <c r="BB51" s="161"/>
      <c r="BC51" s="162"/>
    </row>
    <row r="52" spans="1:55" ht="14.95" thickBot="1" x14ac:dyDescent="0.3">
      <c r="A52" s="221">
        <f>+A51</f>
        <v>46070</v>
      </c>
      <c r="B52" s="280">
        <f>DAY(Tabla2[[#This Row],[FECHA]])</f>
        <v>17</v>
      </c>
      <c r="C52" s="204" t="s">
        <v>30</v>
      </c>
      <c r="D52" s="205"/>
      <c r="E52" s="206"/>
      <c r="F52" s="207"/>
      <c r="G52" s="208"/>
      <c r="H52" s="209"/>
      <c r="I52" s="408">
        <f>((Tabla2[[#This Row],[VOLUMEN ENVIADO A RO (m3)]]/80)/3)*60</f>
        <v>93.34950000000002</v>
      </c>
      <c r="J52" s="400">
        <v>0</v>
      </c>
      <c r="K52" s="401">
        <v>79</v>
      </c>
      <c r="L52" s="402">
        <v>98</v>
      </c>
      <c r="M52" s="401">
        <v>0</v>
      </c>
      <c r="N52" s="402">
        <v>0</v>
      </c>
      <c r="O52" s="261">
        <f t="shared" si="0"/>
        <v>0</v>
      </c>
      <c r="P52" s="266">
        <f t="shared" si="25"/>
        <v>692.98245614035091</v>
      </c>
      <c r="Q52" s="266">
        <f t="shared" si="2"/>
        <v>859.64912280701765</v>
      </c>
      <c r="R52" s="266">
        <f t="shared" si="26"/>
        <v>0</v>
      </c>
      <c r="S52" s="266">
        <f t="shared" si="27"/>
        <v>0</v>
      </c>
      <c r="T52" s="257">
        <f t="shared" si="13"/>
        <v>0</v>
      </c>
      <c r="U52" s="258">
        <f t="shared" si="14"/>
        <v>61.403508771929864</v>
      </c>
      <c r="V52" s="258">
        <f t="shared" si="15"/>
        <v>17.543859649122851</v>
      </c>
      <c r="W52" s="258">
        <f t="shared" si="16"/>
        <v>0</v>
      </c>
      <c r="X52" s="259">
        <f t="shared" si="17"/>
        <v>0</v>
      </c>
      <c r="Y52" s="264">
        <v>1.18</v>
      </c>
      <c r="Z52" s="264">
        <v>1.28</v>
      </c>
      <c r="AA52" s="264">
        <v>1.2</v>
      </c>
      <c r="AB52" s="264">
        <v>1.53</v>
      </c>
      <c r="AC52" s="264">
        <v>1.2</v>
      </c>
      <c r="AD52" s="268">
        <f t="shared" si="28"/>
        <v>0</v>
      </c>
      <c r="AE52" s="269">
        <f t="shared" si="28"/>
        <v>78.596491228070235</v>
      </c>
      <c r="AF52" s="269">
        <f t="shared" si="28"/>
        <v>21.05263157894742</v>
      </c>
      <c r="AG52" s="269">
        <f t="shared" si="29"/>
        <v>0</v>
      </c>
      <c r="AH52" s="270">
        <f t="shared" si="30"/>
        <v>0</v>
      </c>
      <c r="AI52" s="432">
        <v>373.39800000000002</v>
      </c>
      <c r="AJ52" s="210" t="e">
        <f>(AD52*1000)/#REF!</f>
        <v>#REF!</v>
      </c>
      <c r="AK52" s="211" t="e">
        <f>(AE52*1000)/#REF!</f>
        <v>#REF!</v>
      </c>
      <c r="AL52" s="211" t="e">
        <f>(AF52*1000)/#REF!</f>
        <v>#REF!</v>
      </c>
      <c r="AM52" s="211" t="e">
        <f>(AG52*1000)/#REF!</f>
        <v>#REF!</v>
      </c>
      <c r="AN52" s="212" t="e">
        <f>(AH52*1000)/#REF!</f>
        <v>#REF!</v>
      </c>
      <c r="AO52" s="166">
        <f t="shared" si="34"/>
        <v>1550</v>
      </c>
      <c r="AP52" s="167">
        <f t="shared" si="35"/>
        <v>19160</v>
      </c>
      <c r="AQ52" s="167">
        <f t="shared" si="36"/>
        <v>36239</v>
      </c>
      <c r="AR52" s="167">
        <f t="shared" si="37"/>
        <v>1560</v>
      </c>
      <c r="AS52" s="168">
        <f t="shared" si="38"/>
        <v>3640</v>
      </c>
      <c r="AT52" s="169">
        <f t="shared" si="31"/>
        <v>0</v>
      </c>
      <c r="AU52" s="170">
        <f t="shared" si="23"/>
        <v>18070.905263157911</v>
      </c>
      <c r="AV52" s="170">
        <f t="shared" si="24"/>
        <v>33568.757894736926</v>
      </c>
      <c r="AW52" s="170">
        <f t="shared" si="32"/>
        <v>0</v>
      </c>
      <c r="AX52" s="171">
        <f t="shared" si="33"/>
        <v>0</v>
      </c>
      <c r="AY52" s="169">
        <f t="shared" si="12"/>
        <v>51639.663157894836</v>
      </c>
      <c r="AZ52" s="170">
        <v>1000</v>
      </c>
      <c r="BA52" s="170" t="e">
        <f>AY52/#REF!</f>
        <v>#REF!</v>
      </c>
      <c r="BB52" s="160"/>
      <c r="BC52" s="163"/>
    </row>
    <row r="53" spans="1:55" ht="14.95" thickBot="1" x14ac:dyDescent="0.3">
      <c r="A53" s="213">
        <f>+A52+1</f>
        <v>46071</v>
      </c>
      <c r="B53" s="281">
        <f>DAY(Tabla2[[#This Row],[FECHA]])</f>
        <v>18</v>
      </c>
      <c r="C53" s="225" t="s">
        <v>28</v>
      </c>
      <c r="D53" s="214"/>
      <c r="E53" s="215"/>
      <c r="F53" s="216"/>
      <c r="G53" s="216"/>
      <c r="H53" s="215"/>
      <c r="I53" s="408">
        <f>((Tabla2[[#This Row],[VOLUMEN ENVIADO A RO (m3)]]/80)/3)*60</f>
        <v>69.000000000000014</v>
      </c>
      <c r="J53" s="394">
        <v>0</v>
      </c>
      <c r="K53" s="395">
        <v>72</v>
      </c>
      <c r="L53" s="396">
        <v>96</v>
      </c>
      <c r="M53" s="395">
        <v>0</v>
      </c>
      <c r="N53" s="396">
        <v>0</v>
      </c>
      <c r="O53" s="261">
        <f t="shared" si="0"/>
        <v>0</v>
      </c>
      <c r="P53" s="272">
        <f t="shared" si="25"/>
        <v>631.57894736842104</v>
      </c>
      <c r="Q53" s="255">
        <f t="shared" si="2"/>
        <v>842.1052631578948</v>
      </c>
      <c r="R53" s="272">
        <f t="shared" si="26"/>
        <v>0</v>
      </c>
      <c r="S53" s="272">
        <f t="shared" si="27"/>
        <v>0</v>
      </c>
      <c r="T53" s="257">
        <f t="shared" si="13"/>
        <v>0</v>
      </c>
      <c r="U53" s="258">
        <f t="shared" si="14"/>
        <v>105.26315789473676</v>
      </c>
      <c r="V53" s="258">
        <f t="shared" si="15"/>
        <v>52.631578947368439</v>
      </c>
      <c r="W53" s="258">
        <f t="shared" si="16"/>
        <v>0</v>
      </c>
      <c r="X53" s="259">
        <f t="shared" si="17"/>
        <v>0</v>
      </c>
      <c r="Y53" s="264">
        <v>1.18</v>
      </c>
      <c r="Z53" s="264">
        <v>1.28</v>
      </c>
      <c r="AA53" s="264">
        <v>1.2</v>
      </c>
      <c r="AB53" s="264">
        <v>1.53</v>
      </c>
      <c r="AC53" s="264">
        <v>1.2</v>
      </c>
      <c r="AD53" s="273">
        <f t="shared" si="28"/>
        <v>0</v>
      </c>
      <c r="AE53" s="274">
        <f t="shared" si="28"/>
        <v>134.73684210526307</v>
      </c>
      <c r="AF53" s="274">
        <f t="shared" si="28"/>
        <v>63.157894736842124</v>
      </c>
      <c r="AG53" s="274">
        <f t="shared" si="29"/>
        <v>0</v>
      </c>
      <c r="AH53" s="275">
        <f t="shared" si="30"/>
        <v>0</v>
      </c>
      <c r="AI53" s="430">
        <v>276</v>
      </c>
      <c r="AJ53" s="217" t="e">
        <f>(AD53*1000)/#REF!</f>
        <v>#REF!</v>
      </c>
      <c r="AK53" s="218" t="e">
        <f>(AE53*1000)/#REF!</f>
        <v>#REF!</v>
      </c>
      <c r="AL53" s="218" t="e">
        <f>(AF53*1000)/#REF!</f>
        <v>#REF!</v>
      </c>
      <c r="AM53" s="218" t="e">
        <f>(AG53*1000)/#REF!</f>
        <v>#REF!</v>
      </c>
      <c r="AN53" s="219" t="e">
        <f>(AH53*1000)/#REF!</f>
        <v>#REF!</v>
      </c>
      <c r="AO53" s="166">
        <f t="shared" si="34"/>
        <v>1550</v>
      </c>
      <c r="AP53" s="167">
        <f t="shared" si="35"/>
        <v>19160</v>
      </c>
      <c r="AQ53" s="167">
        <f t="shared" si="36"/>
        <v>36239</v>
      </c>
      <c r="AR53" s="167">
        <f t="shared" si="37"/>
        <v>1560</v>
      </c>
      <c r="AS53" s="168">
        <f t="shared" si="38"/>
        <v>3640</v>
      </c>
      <c r="AT53" s="166">
        <f t="shared" si="31"/>
        <v>0</v>
      </c>
      <c r="AU53" s="167">
        <f t="shared" si="23"/>
        <v>30978.694736842084</v>
      </c>
      <c r="AV53" s="167">
        <f t="shared" si="24"/>
        <v>100706.27368421055</v>
      </c>
      <c r="AW53" s="167">
        <f t="shared" si="32"/>
        <v>0</v>
      </c>
      <c r="AX53" s="168">
        <f t="shared" si="33"/>
        <v>0</v>
      </c>
      <c r="AY53" s="166">
        <f t="shared" si="12"/>
        <v>131684.96842105265</v>
      </c>
      <c r="AZ53" s="167">
        <v>1000</v>
      </c>
      <c r="BA53" s="167" t="e">
        <f>AY53/#REF!</f>
        <v>#REF!</v>
      </c>
      <c r="BB53" s="161"/>
      <c r="BC53" s="162"/>
    </row>
    <row r="54" spans="1:55" ht="14.95" thickBot="1" x14ac:dyDescent="0.3">
      <c r="A54" s="220">
        <f>+A53</f>
        <v>46071</v>
      </c>
      <c r="B54" s="279">
        <f>DAY(Tabla2[[#This Row],[FECHA]])</f>
        <v>18</v>
      </c>
      <c r="C54" s="199" t="s">
        <v>29</v>
      </c>
      <c r="D54" s="200"/>
      <c r="E54" s="201"/>
      <c r="F54" s="202"/>
      <c r="G54" s="202"/>
      <c r="H54" s="201"/>
      <c r="I54" s="408">
        <f>((Tabla2[[#This Row],[VOLUMEN ENVIADO A RO (m3)]]/80)/3)*60</f>
        <v>66.086250000000007</v>
      </c>
      <c r="J54" s="397">
        <v>0</v>
      </c>
      <c r="K54" s="398">
        <v>60</v>
      </c>
      <c r="L54" s="399">
        <v>90</v>
      </c>
      <c r="M54" s="398">
        <v>0</v>
      </c>
      <c r="N54" s="399">
        <v>0</v>
      </c>
      <c r="O54" s="261">
        <f t="shared" si="0"/>
        <v>0</v>
      </c>
      <c r="P54" s="262">
        <f t="shared" si="25"/>
        <v>526.31578947368428</v>
      </c>
      <c r="Q54" s="262">
        <f t="shared" si="2"/>
        <v>789.47368421052636</v>
      </c>
      <c r="R54" s="262">
        <f t="shared" si="26"/>
        <v>0</v>
      </c>
      <c r="S54" s="262">
        <f t="shared" si="27"/>
        <v>0</v>
      </c>
      <c r="T54" s="257">
        <f t="shared" si="13"/>
        <v>0</v>
      </c>
      <c r="U54" s="258">
        <f t="shared" si="14"/>
        <v>52.631578947368439</v>
      </c>
      <c r="V54" s="258">
        <f t="shared" si="15"/>
        <v>78.947368421052602</v>
      </c>
      <c r="W54" s="258">
        <f t="shared" si="16"/>
        <v>0</v>
      </c>
      <c r="X54" s="259">
        <f t="shared" si="17"/>
        <v>0</v>
      </c>
      <c r="Y54" s="264">
        <v>1.18</v>
      </c>
      <c r="Z54" s="264">
        <v>1.28</v>
      </c>
      <c r="AA54" s="264">
        <v>1.2</v>
      </c>
      <c r="AB54" s="264">
        <v>1.53</v>
      </c>
      <c r="AC54" s="264">
        <v>1.2</v>
      </c>
      <c r="AD54" s="257">
        <f t="shared" si="28"/>
        <v>0</v>
      </c>
      <c r="AE54" s="258">
        <f t="shared" si="28"/>
        <v>67.368421052631604</v>
      </c>
      <c r="AF54" s="258">
        <f t="shared" si="28"/>
        <v>94.736842105263122</v>
      </c>
      <c r="AG54" s="258">
        <f t="shared" si="29"/>
        <v>0</v>
      </c>
      <c r="AH54" s="259">
        <f t="shared" si="30"/>
        <v>0</v>
      </c>
      <c r="AI54" s="431">
        <v>264.34500000000003</v>
      </c>
      <c r="AJ54" s="195" t="e">
        <f>(AD54*1000)/#REF!</f>
        <v>#REF!</v>
      </c>
      <c r="AK54" s="196" t="e">
        <f>(AE54*1000)/#REF!</f>
        <v>#REF!</v>
      </c>
      <c r="AL54" s="196" t="e">
        <f>(AF54*1000)/#REF!</f>
        <v>#REF!</v>
      </c>
      <c r="AM54" s="196" t="e">
        <f>(AG54*1000)/#REF!</f>
        <v>#REF!</v>
      </c>
      <c r="AN54" s="197" t="e">
        <f>(AH54*1000)/#REF!</f>
        <v>#REF!</v>
      </c>
      <c r="AO54" s="166">
        <f t="shared" si="34"/>
        <v>1550</v>
      </c>
      <c r="AP54" s="167">
        <f t="shared" si="35"/>
        <v>19160</v>
      </c>
      <c r="AQ54" s="167">
        <f t="shared" si="36"/>
        <v>36239</v>
      </c>
      <c r="AR54" s="167">
        <f t="shared" si="37"/>
        <v>1560</v>
      </c>
      <c r="AS54" s="168">
        <f t="shared" si="38"/>
        <v>3640</v>
      </c>
      <c r="AT54" s="166">
        <f t="shared" si="31"/>
        <v>0</v>
      </c>
      <c r="AU54" s="167">
        <f t="shared" si="23"/>
        <v>15489.347368421058</v>
      </c>
      <c r="AV54" s="167">
        <f t="shared" si="24"/>
        <v>151059.41052631571</v>
      </c>
      <c r="AW54" s="167">
        <f t="shared" si="32"/>
        <v>0</v>
      </c>
      <c r="AX54" s="168">
        <f t="shared" si="33"/>
        <v>0</v>
      </c>
      <c r="AY54" s="166">
        <f t="shared" si="12"/>
        <v>166548.75789473677</v>
      </c>
      <c r="AZ54" s="167">
        <v>1000</v>
      </c>
      <c r="BA54" s="167" t="e">
        <f>AY54/#REF!</f>
        <v>#REF!</v>
      </c>
      <c r="BB54" s="161"/>
      <c r="BC54" s="162"/>
    </row>
    <row r="55" spans="1:55" ht="14.95" thickBot="1" x14ac:dyDescent="0.3">
      <c r="A55" s="221">
        <f>+A54</f>
        <v>46071</v>
      </c>
      <c r="B55" s="280">
        <f>DAY(Tabla2[[#This Row],[FECHA]])</f>
        <v>18</v>
      </c>
      <c r="C55" s="204" t="s">
        <v>30</v>
      </c>
      <c r="D55" s="205"/>
      <c r="E55" s="206"/>
      <c r="F55" s="207"/>
      <c r="G55" s="208"/>
      <c r="H55" s="209"/>
      <c r="I55" s="408">
        <f>((Tabla2[[#This Row],[VOLUMEN ENVIADO A RO (m3)]]/80)/3)*60</f>
        <v>67.350999999999999</v>
      </c>
      <c r="J55" s="400">
        <v>0</v>
      </c>
      <c r="K55" s="401">
        <v>54</v>
      </c>
      <c r="L55" s="402">
        <v>81</v>
      </c>
      <c r="M55" s="401">
        <v>0</v>
      </c>
      <c r="N55" s="402">
        <v>0</v>
      </c>
      <c r="O55" s="261">
        <f t="shared" si="0"/>
        <v>0</v>
      </c>
      <c r="P55" s="266">
        <f t="shared" si="25"/>
        <v>473.68421052631584</v>
      </c>
      <c r="Q55" s="266">
        <f t="shared" si="2"/>
        <v>710.52631578947376</v>
      </c>
      <c r="R55" s="266">
        <f t="shared" si="26"/>
        <v>0</v>
      </c>
      <c r="S55" s="266">
        <f t="shared" si="27"/>
        <v>0</v>
      </c>
      <c r="T55" s="257">
        <f t="shared" si="13"/>
        <v>0</v>
      </c>
      <c r="U55" s="258">
        <f t="shared" si="14"/>
        <v>35.087719298245645</v>
      </c>
      <c r="V55" s="258">
        <f t="shared" si="15"/>
        <v>61.403508771929864</v>
      </c>
      <c r="W55" s="258">
        <f t="shared" si="16"/>
        <v>0</v>
      </c>
      <c r="X55" s="259">
        <f t="shared" si="17"/>
        <v>0</v>
      </c>
      <c r="Y55" s="264">
        <v>1.18</v>
      </c>
      <c r="Z55" s="264">
        <v>1.28</v>
      </c>
      <c r="AA55" s="264">
        <v>1.2</v>
      </c>
      <c r="AB55" s="264">
        <v>1.53</v>
      </c>
      <c r="AC55" s="264">
        <v>1.2</v>
      </c>
      <c r="AD55" s="268">
        <f t="shared" si="28"/>
        <v>0</v>
      </c>
      <c r="AE55" s="269">
        <f t="shared" si="28"/>
        <v>44.912280701754426</v>
      </c>
      <c r="AF55" s="269">
        <f t="shared" si="28"/>
        <v>73.684210526315837</v>
      </c>
      <c r="AG55" s="269">
        <f t="shared" si="29"/>
        <v>0</v>
      </c>
      <c r="AH55" s="270">
        <f t="shared" si="30"/>
        <v>0</v>
      </c>
      <c r="AI55" s="432">
        <v>269.404</v>
      </c>
      <c r="AJ55" s="210" t="e">
        <f>(AD55*1000)/#REF!</f>
        <v>#REF!</v>
      </c>
      <c r="AK55" s="211" t="e">
        <f>(AE55*1000)/#REF!</f>
        <v>#REF!</v>
      </c>
      <c r="AL55" s="211" t="e">
        <f>(AF55*1000)/#REF!</f>
        <v>#REF!</v>
      </c>
      <c r="AM55" s="211" t="e">
        <f>(AG55*1000)/#REF!</f>
        <v>#REF!</v>
      </c>
      <c r="AN55" s="212" t="e">
        <f>(AH55*1000)/#REF!</f>
        <v>#REF!</v>
      </c>
      <c r="AO55" s="166">
        <f t="shared" si="34"/>
        <v>1550</v>
      </c>
      <c r="AP55" s="167">
        <f t="shared" si="35"/>
        <v>19160</v>
      </c>
      <c r="AQ55" s="167">
        <f t="shared" si="36"/>
        <v>36239</v>
      </c>
      <c r="AR55" s="167">
        <f t="shared" si="37"/>
        <v>1560</v>
      </c>
      <c r="AS55" s="168">
        <f t="shared" si="38"/>
        <v>3640</v>
      </c>
      <c r="AT55" s="169">
        <f t="shared" si="31"/>
        <v>0</v>
      </c>
      <c r="AU55" s="170">
        <f t="shared" si="23"/>
        <v>10326.23157894738</v>
      </c>
      <c r="AV55" s="170">
        <f t="shared" si="24"/>
        <v>117490.65263157903</v>
      </c>
      <c r="AW55" s="170">
        <f t="shared" si="32"/>
        <v>0</v>
      </c>
      <c r="AX55" s="171">
        <f t="shared" si="33"/>
        <v>0</v>
      </c>
      <c r="AY55" s="169">
        <f t="shared" si="12"/>
        <v>127816.8842105264</v>
      </c>
      <c r="AZ55" s="170">
        <v>1000</v>
      </c>
      <c r="BA55" s="170" t="e">
        <f>AY55/#REF!</f>
        <v>#REF!</v>
      </c>
      <c r="BB55" s="160"/>
      <c r="BC55" s="163"/>
    </row>
    <row r="56" spans="1:55" ht="14.95" thickBot="1" x14ac:dyDescent="0.3">
      <c r="A56" s="213">
        <f>+A55+1</f>
        <v>46072</v>
      </c>
      <c r="B56" s="281">
        <f>DAY(Tabla2[[#This Row],[FECHA]])</f>
        <v>19</v>
      </c>
      <c r="C56" s="225" t="s">
        <v>28</v>
      </c>
      <c r="D56" s="214"/>
      <c r="E56" s="215"/>
      <c r="F56" s="216"/>
      <c r="G56" s="216"/>
      <c r="H56" s="215"/>
      <c r="I56" s="408">
        <f>((Tabla2[[#This Row],[VOLUMEN ENVIADO A RO (m3)]]/80)/3)*60</f>
        <v>63.60775000000001</v>
      </c>
      <c r="J56" s="394">
        <v>0</v>
      </c>
      <c r="K56" s="395">
        <v>50</v>
      </c>
      <c r="L56" s="396">
        <v>74</v>
      </c>
      <c r="M56" s="395">
        <v>0</v>
      </c>
      <c r="N56" s="396">
        <v>0</v>
      </c>
      <c r="O56" s="261">
        <f t="shared" si="0"/>
        <v>0</v>
      </c>
      <c r="P56" s="272">
        <f t="shared" si="25"/>
        <v>438.59649122807019</v>
      </c>
      <c r="Q56" s="255">
        <f t="shared" si="2"/>
        <v>649.12280701754389</v>
      </c>
      <c r="R56" s="272">
        <f t="shared" si="26"/>
        <v>0</v>
      </c>
      <c r="S56" s="272">
        <f t="shared" si="27"/>
        <v>0</v>
      </c>
      <c r="T56" s="257">
        <f t="shared" si="13"/>
        <v>0</v>
      </c>
      <c r="U56" s="258">
        <f t="shared" si="14"/>
        <v>0</v>
      </c>
      <c r="V56" s="258">
        <f>Q56-Q57</f>
        <v>0</v>
      </c>
      <c r="W56" s="258">
        <f t="shared" si="16"/>
        <v>0</v>
      </c>
      <c r="X56" s="259">
        <f t="shared" si="17"/>
        <v>0</v>
      </c>
      <c r="Y56" s="264">
        <v>1.18</v>
      </c>
      <c r="Z56" s="264">
        <v>1.28</v>
      </c>
      <c r="AA56" s="264">
        <v>1.2</v>
      </c>
      <c r="AB56" s="264">
        <v>1.53</v>
      </c>
      <c r="AC56" s="264">
        <v>1.2</v>
      </c>
      <c r="AD56" s="273">
        <f t="shared" si="28"/>
        <v>0</v>
      </c>
      <c r="AE56" s="274">
        <f t="shared" si="28"/>
        <v>0</v>
      </c>
      <c r="AF56" s="274">
        <f t="shared" si="28"/>
        <v>0</v>
      </c>
      <c r="AG56" s="274">
        <f t="shared" si="29"/>
        <v>0</v>
      </c>
      <c r="AH56" s="275">
        <f t="shared" si="30"/>
        <v>0</v>
      </c>
      <c r="AI56" s="430">
        <v>254.43100000000001</v>
      </c>
      <c r="AJ56" s="217" t="e">
        <f>(AD56*1000)/#REF!</f>
        <v>#REF!</v>
      </c>
      <c r="AK56" s="218" t="e">
        <f>(AE56*1000)/#REF!</f>
        <v>#REF!</v>
      </c>
      <c r="AL56" s="218" t="e">
        <f>(AF56*1000)/#REF!</f>
        <v>#REF!</v>
      </c>
      <c r="AM56" s="218" t="e">
        <f>(AG56*1000)/#REF!</f>
        <v>#REF!</v>
      </c>
      <c r="AN56" s="219" t="e">
        <f>(AH56*1000)/#REF!</f>
        <v>#REF!</v>
      </c>
      <c r="AO56" s="166">
        <f t="shared" si="34"/>
        <v>1550</v>
      </c>
      <c r="AP56" s="167">
        <f t="shared" si="35"/>
        <v>19160</v>
      </c>
      <c r="AQ56" s="167">
        <f t="shared" si="36"/>
        <v>36239</v>
      </c>
      <c r="AR56" s="167">
        <f t="shared" si="37"/>
        <v>1560</v>
      </c>
      <c r="AS56" s="168">
        <f t="shared" si="38"/>
        <v>3640</v>
      </c>
      <c r="AT56" s="166">
        <f t="shared" si="31"/>
        <v>0</v>
      </c>
      <c r="AU56" s="167">
        <f t="shared" si="23"/>
        <v>0</v>
      </c>
      <c r="AV56" s="167">
        <f t="shared" si="24"/>
        <v>0</v>
      </c>
      <c r="AW56" s="167">
        <f t="shared" si="32"/>
        <v>0</v>
      </c>
      <c r="AX56" s="168">
        <f t="shared" si="33"/>
        <v>0</v>
      </c>
      <c r="AY56" s="166">
        <f t="shared" si="12"/>
        <v>0</v>
      </c>
      <c r="AZ56" s="167">
        <v>1000</v>
      </c>
      <c r="BA56" s="167" t="e">
        <f>AY56/#REF!</f>
        <v>#REF!</v>
      </c>
      <c r="BB56" s="161"/>
      <c r="BC56" s="162"/>
    </row>
    <row r="57" spans="1:55" ht="14.95" thickBot="1" x14ac:dyDescent="0.3">
      <c r="A57" s="220">
        <f>+A56</f>
        <v>46072</v>
      </c>
      <c r="B57" s="279">
        <f>DAY(Tabla2[[#This Row],[FECHA]])</f>
        <v>19</v>
      </c>
      <c r="C57" s="199" t="s">
        <v>29</v>
      </c>
      <c r="D57" s="200"/>
      <c r="E57" s="201"/>
      <c r="F57" s="202"/>
      <c r="G57" s="202"/>
      <c r="H57" s="201"/>
      <c r="I57" s="408">
        <f>((Tabla2[[#This Row],[VOLUMEN ENVIADO A RO (m3)]]/80)/3)*60</f>
        <v>48.543000000000006</v>
      </c>
      <c r="J57" s="397">
        <v>0</v>
      </c>
      <c r="K57" s="398">
        <v>50</v>
      </c>
      <c r="L57" s="399">
        <v>74</v>
      </c>
      <c r="M57" s="398">
        <v>0</v>
      </c>
      <c r="N57" s="399">
        <v>0</v>
      </c>
      <c r="O57" s="261">
        <f t="shared" si="0"/>
        <v>0</v>
      </c>
      <c r="P57" s="262">
        <f t="shared" si="25"/>
        <v>438.59649122807019</v>
      </c>
      <c r="Q57" s="262">
        <f t="shared" si="2"/>
        <v>649.12280701754389</v>
      </c>
      <c r="R57" s="262">
        <f t="shared" si="26"/>
        <v>0</v>
      </c>
      <c r="S57" s="262">
        <f t="shared" si="27"/>
        <v>0</v>
      </c>
      <c r="T57" s="257">
        <f t="shared" si="13"/>
        <v>0</v>
      </c>
      <c r="U57" s="258">
        <f t="shared" si="14"/>
        <v>192.98245614035088</v>
      </c>
      <c r="V57" s="258">
        <f t="shared" si="15"/>
        <v>192.98245614035091</v>
      </c>
      <c r="W57" s="258">
        <f t="shared" si="16"/>
        <v>0</v>
      </c>
      <c r="X57" s="259">
        <f t="shared" si="17"/>
        <v>0</v>
      </c>
      <c r="Y57" s="264">
        <v>1.18</v>
      </c>
      <c r="Z57" s="264">
        <v>1.28</v>
      </c>
      <c r="AA57" s="264">
        <v>1.2</v>
      </c>
      <c r="AB57" s="264">
        <v>1.53</v>
      </c>
      <c r="AC57" s="264">
        <v>1.2</v>
      </c>
      <c r="AD57" s="257">
        <f t="shared" si="28"/>
        <v>0</v>
      </c>
      <c r="AE57" s="258">
        <f t="shared" si="28"/>
        <v>247.01754385964912</v>
      </c>
      <c r="AF57" s="258">
        <f t="shared" si="28"/>
        <v>231.57894736842107</v>
      </c>
      <c r="AG57" s="258">
        <f t="shared" si="29"/>
        <v>0</v>
      </c>
      <c r="AH57" s="259">
        <f t="shared" si="30"/>
        <v>0</v>
      </c>
      <c r="AI57" s="431">
        <v>194.172</v>
      </c>
      <c r="AJ57" s="195" t="e">
        <f>(AD57*1000)/#REF!</f>
        <v>#REF!</v>
      </c>
      <c r="AK57" s="196" t="e">
        <f>(AE57*1000)/#REF!</f>
        <v>#REF!</v>
      </c>
      <c r="AL57" s="196" t="e">
        <f>(AF57*1000)/#REF!</f>
        <v>#REF!</v>
      </c>
      <c r="AM57" s="196" t="e">
        <f>(AG57*1000)/#REF!</f>
        <v>#REF!</v>
      </c>
      <c r="AN57" s="197" t="e">
        <f>(AH57*1000)/#REF!</f>
        <v>#REF!</v>
      </c>
      <c r="AO57" s="166">
        <f t="shared" si="34"/>
        <v>1550</v>
      </c>
      <c r="AP57" s="167">
        <f t="shared" si="35"/>
        <v>19160</v>
      </c>
      <c r="AQ57" s="167">
        <f t="shared" si="36"/>
        <v>36239</v>
      </c>
      <c r="AR57" s="167">
        <f t="shared" si="37"/>
        <v>1560</v>
      </c>
      <c r="AS57" s="168">
        <f t="shared" si="38"/>
        <v>3640</v>
      </c>
      <c r="AT57" s="166">
        <f t="shared" si="31"/>
        <v>0</v>
      </c>
      <c r="AU57" s="167">
        <f t="shared" si="23"/>
        <v>56794.27368421053</v>
      </c>
      <c r="AV57" s="167">
        <f t="shared" si="24"/>
        <v>369256.33684210526</v>
      </c>
      <c r="AW57" s="167">
        <f t="shared" si="32"/>
        <v>0</v>
      </c>
      <c r="AX57" s="168">
        <f t="shared" si="33"/>
        <v>0</v>
      </c>
      <c r="AY57" s="166">
        <f t="shared" si="12"/>
        <v>426050.61052631581</v>
      </c>
      <c r="AZ57" s="167">
        <v>1000</v>
      </c>
      <c r="BA57" s="167" t="e">
        <f>AY57/#REF!</f>
        <v>#REF!</v>
      </c>
      <c r="BB57" s="161"/>
      <c r="BC57" s="162"/>
    </row>
    <row r="58" spans="1:55" ht="14.95" thickBot="1" x14ac:dyDescent="0.3">
      <c r="A58" s="221">
        <f>+A57</f>
        <v>46072</v>
      </c>
      <c r="B58" s="280">
        <f>DAY(Tabla2[[#This Row],[FECHA]])</f>
        <v>19</v>
      </c>
      <c r="C58" s="204" t="s">
        <v>30</v>
      </c>
      <c r="D58" s="205"/>
      <c r="E58" s="206"/>
      <c r="F58" s="207"/>
      <c r="G58" s="208"/>
      <c r="H58" s="209"/>
      <c r="I58" s="408">
        <f>((Tabla2[[#This Row],[VOLUMEN ENVIADO A RO (m3)]]/80)/3)*60</f>
        <v>39.085000000000001</v>
      </c>
      <c r="J58" s="400">
        <v>0</v>
      </c>
      <c r="K58" s="401">
        <v>28</v>
      </c>
      <c r="L58" s="402">
        <v>52</v>
      </c>
      <c r="M58" s="401">
        <v>0</v>
      </c>
      <c r="N58" s="402">
        <v>0</v>
      </c>
      <c r="O58" s="261">
        <f t="shared" si="0"/>
        <v>0</v>
      </c>
      <c r="P58" s="266">
        <f t="shared" si="25"/>
        <v>245.61403508771932</v>
      </c>
      <c r="Q58" s="266">
        <f t="shared" si="2"/>
        <v>456.14035087719299</v>
      </c>
      <c r="R58" s="266">
        <f t="shared" si="26"/>
        <v>0</v>
      </c>
      <c r="S58" s="266">
        <f t="shared" si="27"/>
        <v>0</v>
      </c>
      <c r="T58" s="257">
        <f t="shared" si="13"/>
        <v>0</v>
      </c>
      <c r="U58" s="258">
        <f t="shared" si="14"/>
        <v>0</v>
      </c>
      <c r="V58" s="258">
        <f t="shared" si="15"/>
        <v>0</v>
      </c>
      <c r="W58" s="258">
        <f t="shared" si="16"/>
        <v>0</v>
      </c>
      <c r="X58" s="259">
        <f t="shared" si="17"/>
        <v>0</v>
      </c>
      <c r="Y58" s="264">
        <v>1.18</v>
      </c>
      <c r="Z58" s="264">
        <v>1.28</v>
      </c>
      <c r="AA58" s="264">
        <v>1.2</v>
      </c>
      <c r="AB58" s="264">
        <v>1.53</v>
      </c>
      <c r="AC58" s="264">
        <v>1.2</v>
      </c>
      <c r="AD58" s="268">
        <f t="shared" si="28"/>
        <v>0</v>
      </c>
      <c r="AE58" s="269">
        <f t="shared" si="28"/>
        <v>0</v>
      </c>
      <c r="AF58" s="269">
        <f>V58*AA58</f>
        <v>0</v>
      </c>
      <c r="AG58" s="269">
        <f t="shared" si="29"/>
        <v>0</v>
      </c>
      <c r="AH58" s="270">
        <f t="shared" si="30"/>
        <v>0</v>
      </c>
      <c r="AI58" s="432">
        <v>156.34</v>
      </c>
      <c r="AJ58" s="210" t="e">
        <f>(AD58*1000)/#REF!</f>
        <v>#REF!</v>
      </c>
      <c r="AK58" s="211" t="e">
        <f>(AE58*1000)/#REF!</f>
        <v>#REF!</v>
      </c>
      <c r="AL58" s="211" t="e">
        <f>(AF58*1000)/#REF!</f>
        <v>#REF!</v>
      </c>
      <c r="AM58" s="211" t="e">
        <f>(AG58*1000)/#REF!</f>
        <v>#REF!</v>
      </c>
      <c r="AN58" s="212" t="e">
        <f>(AH58*1000)/#REF!</f>
        <v>#REF!</v>
      </c>
      <c r="AO58" s="166">
        <f t="shared" si="34"/>
        <v>1550</v>
      </c>
      <c r="AP58" s="167">
        <f t="shared" si="35"/>
        <v>19160</v>
      </c>
      <c r="AQ58" s="167">
        <f t="shared" si="36"/>
        <v>36239</v>
      </c>
      <c r="AR58" s="167">
        <f t="shared" si="37"/>
        <v>1560</v>
      </c>
      <c r="AS58" s="168">
        <f t="shared" si="38"/>
        <v>3640</v>
      </c>
      <c r="AT58" s="169">
        <f t="shared" si="31"/>
        <v>0</v>
      </c>
      <c r="AU58" s="170">
        <f t="shared" si="23"/>
        <v>0</v>
      </c>
      <c r="AV58" s="170">
        <f t="shared" si="24"/>
        <v>0</v>
      </c>
      <c r="AW58" s="170">
        <f t="shared" si="32"/>
        <v>0</v>
      </c>
      <c r="AX58" s="171">
        <f t="shared" si="33"/>
        <v>0</v>
      </c>
      <c r="AY58" s="169">
        <f t="shared" si="12"/>
        <v>0</v>
      </c>
      <c r="AZ58" s="170">
        <v>1000</v>
      </c>
      <c r="BA58" s="170" t="e">
        <f>AY58/#REF!</f>
        <v>#REF!</v>
      </c>
      <c r="BB58" s="160"/>
      <c r="BC58" s="163"/>
    </row>
    <row r="59" spans="1:55" ht="14.95" thickBot="1" x14ac:dyDescent="0.3">
      <c r="A59" s="213">
        <f>+A58+1</f>
        <v>46073</v>
      </c>
      <c r="B59" s="281">
        <f>DAY(Tabla2[[#This Row],[FECHA]])</f>
        <v>20</v>
      </c>
      <c r="C59" s="225" t="s">
        <v>28</v>
      </c>
      <c r="D59" s="214"/>
      <c r="E59" s="215"/>
      <c r="F59" s="216"/>
      <c r="G59" s="216"/>
      <c r="H59" s="215"/>
      <c r="I59" s="408">
        <f>((Tabla2[[#This Row],[VOLUMEN ENVIADO A RO (m3)]]/80)/3)*60</f>
        <v>0</v>
      </c>
      <c r="J59" s="394">
        <v>0</v>
      </c>
      <c r="K59" s="395">
        <v>28</v>
      </c>
      <c r="L59" s="396">
        <v>52</v>
      </c>
      <c r="M59" s="395">
        <v>0</v>
      </c>
      <c r="N59" s="396">
        <v>0</v>
      </c>
      <c r="O59" s="261">
        <f t="shared" si="0"/>
        <v>0</v>
      </c>
      <c r="P59" s="272">
        <f t="shared" si="25"/>
        <v>245.61403508771932</v>
      </c>
      <c r="Q59" s="255">
        <f t="shared" si="2"/>
        <v>456.14035087719299</v>
      </c>
      <c r="R59" s="272">
        <f t="shared" si="26"/>
        <v>0</v>
      </c>
      <c r="S59" s="272">
        <f t="shared" si="27"/>
        <v>0</v>
      </c>
      <c r="T59" s="257">
        <f t="shared" si="13"/>
        <v>0</v>
      </c>
      <c r="U59" s="258">
        <f t="shared" si="14"/>
        <v>0</v>
      </c>
      <c r="V59" s="258">
        <f t="shared" si="15"/>
        <v>0</v>
      </c>
      <c r="W59" s="258">
        <f t="shared" si="16"/>
        <v>0</v>
      </c>
      <c r="X59" s="259">
        <f t="shared" si="17"/>
        <v>0</v>
      </c>
      <c r="Y59" s="264">
        <v>1.18</v>
      </c>
      <c r="Z59" s="264">
        <v>1.28</v>
      </c>
      <c r="AA59" s="264">
        <v>1.2</v>
      </c>
      <c r="AB59" s="264">
        <v>1.53</v>
      </c>
      <c r="AC59" s="264">
        <v>1.2</v>
      </c>
      <c r="AD59" s="273">
        <f t="shared" si="28"/>
        <v>0</v>
      </c>
      <c r="AE59" s="274">
        <f t="shared" si="28"/>
        <v>0</v>
      </c>
      <c r="AF59" s="274">
        <f t="shared" si="28"/>
        <v>0</v>
      </c>
      <c r="AG59" s="274">
        <f t="shared" si="29"/>
        <v>0</v>
      </c>
      <c r="AH59" s="275">
        <f t="shared" si="30"/>
        <v>0</v>
      </c>
      <c r="AI59" s="430">
        <v>0</v>
      </c>
      <c r="AJ59" s="217" t="e">
        <f>(AD59*1000)/#REF!</f>
        <v>#REF!</v>
      </c>
      <c r="AK59" s="218" t="e">
        <f>(AE59*1000)/#REF!</f>
        <v>#REF!</v>
      </c>
      <c r="AL59" s="218" t="e">
        <f>(AF59*1000)/#REF!</f>
        <v>#REF!</v>
      </c>
      <c r="AM59" s="218" t="e">
        <f>(AG59*1000)/#REF!</f>
        <v>#REF!</v>
      </c>
      <c r="AN59" s="219" t="e">
        <f>(AH59*1000)/#REF!</f>
        <v>#REF!</v>
      </c>
      <c r="AO59" s="166">
        <f t="shared" si="34"/>
        <v>1550</v>
      </c>
      <c r="AP59" s="167">
        <f t="shared" si="35"/>
        <v>19160</v>
      </c>
      <c r="AQ59" s="167">
        <f t="shared" si="36"/>
        <v>36239</v>
      </c>
      <c r="AR59" s="167">
        <f t="shared" si="37"/>
        <v>1560</v>
      </c>
      <c r="AS59" s="168">
        <f t="shared" si="38"/>
        <v>3640</v>
      </c>
      <c r="AT59" s="166">
        <f t="shared" si="31"/>
        <v>0</v>
      </c>
      <c r="AU59" s="167">
        <f t="shared" si="23"/>
        <v>0</v>
      </c>
      <c r="AV59" s="167">
        <f t="shared" si="24"/>
        <v>0</v>
      </c>
      <c r="AW59" s="167">
        <f t="shared" si="32"/>
        <v>0</v>
      </c>
      <c r="AX59" s="168">
        <f t="shared" si="33"/>
        <v>0</v>
      </c>
      <c r="AY59" s="166">
        <f t="shared" si="12"/>
        <v>0</v>
      </c>
      <c r="AZ59" s="167">
        <v>1000</v>
      </c>
      <c r="BA59" s="167" t="e">
        <f>AY59/#REF!</f>
        <v>#REF!</v>
      </c>
      <c r="BB59" s="161"/>
      <c r="BC59" s="162"/>
    </row>
    <row r="60" spans="1:55" ht="14.95" thickBot="1" x14ac:dyDescent="0.3">
      <c r="A60" s="220">
        <f>+A59</f>
        <v>46073</v>
      </c>
      <c r="B60" s="279">
        <f>DAY(Tabla2[[#This Row],[FECHA]])</f>
        <v>20</v>
      </c>
      <c r="C60" s="199" t="s">
        <v>29</v>
      </c>
      <c r="D60" s="200"/>
      <c r="E60" s="201"/>
      <c r="F60" s="202"/>
      <c r="G60" s="202"/>
      <c r="H60" s="201"/>
      <c r="I60" s="408">
        <f>((Tabla2[[#This Row],[VOLUMEN ENVIADO A RO (m3)]]/80)/3)*60</f>
        <v>0</v>
      </c>
      <c r="J60" s="397">
        <v>0</v>
      </c>
      <c r="K60" s="398">
        <v>28</v>
      </c>
      <c r="L60" s="399">
        <v>52</v>
      </c>
      <c r="M60" s="398">
        <v>0</v>
      </c>
      <c r="N60" s="399">
        <v>0</v>
      </c>
      <c r="O60" s="261">
        <f t="shared" si="0"/>
        <v>0</v>
      </c>
      <c r="P60" s="262">
        <f t="shared" si="25"/>
        <v>245.61403508771932</v>
      </c>
      <c r="Q60" s="262">
        <f t="shared" si="2"/>
        <v>456.14035087719299</v>
      </c>
      <c r="R60" s="262">
        <f t="shared" si="26"/>
        <v>0</v>
      </c>
      <c r="S60" s="262">
        <f t="shared" si="27"/>
        <v>0</v>
      </c>
      <c r="T60" s="257">
        <f t="shared" si="13"/>
        <v>0</v>
      </c>
      <c r="U60" s="258">
        <f t="shared" si="14"/>
        <v>0</v>
      </c>
      <c r="V60" s="258">
        <f t="shared" si="15"/>
        <v>0</v>
      </c>
      <c r="W60" s="258">
        <f t="shared" si="16"/>
        <v>0</v>
      </c>
      <c r="X60" s="259">
        <f t="shared" si="17"/>
        <v>0</v>
      </c>
      <c r="Y60" s="264">
        <v>1.18</v>
      </c>
      <c r="Z60" s="264">
        <v>1.28</v>
      </c>
      <c r="AA60" s="264">
        <v>1.2</v>
      </c>
      <c r="AB60" s="264">
        <v>1.53</v>
      </c>
      <c r="AC60" s="264">
        <v>1.2</v>
      </c>
      <c r="AD60" s="257">
        <f t="shared" si="28"/>
        <v>0</v>
      </c>
      <c r="AE60" s="258">
        <f t="shared" si="28"/>
        <v>0</v>
      </c>
      <c r="AF60" s="258">
        <f t="shared" si="28"/>
        <v>0</v>
      </c>
      <c r="AG60" s="258">
        <f t="shared" si="29"/>
        <v>0</v>
      </c>
      <c r="AH60" s="259">
        <f t="shared" si="30"/>
        <v>0</v>
      </c>
      <c r="AI60" s="431">
        <v>0</v>
      </c>
      <c r="AJ60" s="195" t="e">
        <f>(AD60*1000)/#REF!</f>
        <v>#REF!</v>
      </c>
      <c r="AK60" s="196" t="e">
        <f>(AE60*1000)/#REF!</f>
        <v>#REF!</v>
      </c>
      <c r="AL60" s="196" t="e">
        <f>(AF60*1000)/#REF!</f>
        <v>#REF!</v>
      </c>
      <c r="AM60" s="196" t="e">
        <f>(AG60*1000)/#REF!</f>
        <v>#REF!</v>
      </c>
      <c r="AN60" s="197" t="e">
        <f>(AH60*1000)/#REF!</f>
        <v>#REF!</v>
      </c>
      <c r="AO60" s="166">
        <f t="shared" si="34"/>
        <v>1550</v>
      </c>
      <c r="AP60" s="167">
        <f t="shared" si="35"/>
        <v>19160</v>
      </c>
      <c r="AQ60" s="167">
        <f t="shared" si="36"/>
        <v>36239</v>
      </c>
      <c r="AR60" s="167">
        <f t="shared" si="37"/>
        <v>1560</v>
      </c>
      <c r="AS60" s="168">
        <f t="shared" si="38"/>
        <v>3640</v>
      </c>
      <c r="AT60" s="166">
        <f t="shared" si="31"/>
        <v>0</v>
      </c>
      <c r="AU60" s="167">
        <f t="shared" si="23"/>
        <v>0</v>
      </c>
      <c r="AV60" s="167">
        <f t="shared" si="24"/>
        <v>0</v>
      </c>
      <c r="AW60" s="167">
        <f t="shared" si="32"/>
        <v>0</v>
      </c>
      <c r="AX60" s="168">
        <f t="shared" si="33"/>
        <v>0</v>
      </c>
      <c r="AY60" s="166">
        <f t="shared" si="12"/>
        <v>0</v>
      </c>
      <c r="AZ60" s="167">
        <v>1000</v>
      </c>
      <c r="BA60" s="167" t="e">
        <f>AY60/#REF!</f>
        <v>#REF!</v>
      </c>
      <c r="BB60" s="161"/>
      <c r="BC60" s="162"/>
    </row>
    <row r="61" spans="1:55" ht="14.95" thickBot="1" x14ac:dyDescent="0.3">
      <c r="A61" s="221">
        <f>+A60</f>
        <v>46073</v>
      </c>
      <c r="B61" s="280">
        <f>DAY(Tabla2[[#This Row],[FECHA]])</f>
        <v>20</v>
      </c>
      <c r="C61" s="204" t="s">
        <v>30</v>
      </c>
      <c r="D61" s="205"/>
      <c r="E61" s="206"/>
      <c r="F61" s="207"/>
      <c r="G61" s="208"/>
      <c r="H61" s="209"/>
      <c r="I61" s="408">
        <f>((Tabla2[[#This Row],[VOLUMEN ENVIADO A RO (m3)]]/80)/3)*60</f>
        <v>0</v>
      </c>
      <c r="J61" s="400">
        <v>0</v>
      </c>
      <c r="K61" s="401">
        <v>28</v>
      </c>
      <c r="L61" s="402">
        <v>52</v>
      </c>
      <c r="M61" s="401">
        <v>0</v>
      </c>
      <c r="N61" s="402">
        <v>0</v>
      </c>
      <c r="O61" s="261">
        <f t="shared" si="0"/>
        <v>0</v>
      </c>
      <c r="P61" s="266">
        <f t="shared" si="25"/>
        <v>245.61403508771932</v>
      </c>
      <c r="Q61" s="266">
        <f t="shared" si="2"/>
        <v>456.14035087719299</v>
      </c>
      <c r="R61" s="266">
        <f t="shared" si="26"/>
        <v>0</v>
      </c>
      <c r="S61" s="266">
        <f t="shared" si="27"/>
        <v>0</v>
      </c>
      <c r="T61" s="257">
        <f t="shared" si="13"/>
        <v>0</v>
      </c>
      <c r="U61" s="258">
        <f t="shared" si="14"/>
        <v>0</v>
      </c>
      <c r="V61" s="258">
        <f t="shared" si="15"/>
        <v>0</v>
      </c>
      <c r="W61" s="258">
        <f t="shared" si="16"/>
        <v>0</v>
      </c>
      <c r="X61" s="259">
        <f t="shared" si="17"/>
        <v>0</v>
      </c>
      <c r="Y61" s="264">
        <v>1.18</v>
      </c>
      <c r="Z61" s="264">
        <v>1.28</v>
      </c>
      <c r="AA61" s="264">
        <v>1.2</v>
      </c>
      <c r="AB61" s="264">
        <v>1.53</v>
      </c>
      <c r="AC61" s="264">
        <v>1.2</v>
      </c>
      <c r="AD61" s="268">
        <f t="shared" si="28"/>
        <v>0</v>
      </c>
      <c r="AE61" s="269">
        <f t="shared" si="28"/>
        <v>0</v>
      </c>
      <c r="AF61" s="269">
        <f t="shared" si="28"/>
        <v>0</v>
      </c>
      <c r="AG61" s="269">
        <f t="shared" si="29"/>
        <v>0</v>
      </c>
      <c r="AH61" s="270">
        <f t="shared" si="30"/>
        <v>0</v>
      </c>
      <c r="AI61" s="432">
        <v>0</v>
      </c>
      <c r="AJ61" s="210" t="e">
        <f>(AD61*1000)/#REF!</f>
        <v>#REF!</v>
      </c>
      <c r="AK61" s="211" t="e">
        <f>(AE61*1000)/#REF!</f>
        <v>#REF!</v>
      </c>
      <c r="AL61" s="211" t="e">
        <f>(AF61*1000)/#REF!</f>
        <v>#REF!</v>
      </c>
      <c r="AM61" s="211" t="e">
        <f>(AG61*1000)/#REF!</f>
        <v>#REF!</v>
      </c>
      <c r="AN61" s="212" t="e">
        <f>(AH61*1000)/#REF!</f>
        <v>#REF!</v>
      </c>
      <c r="AO61" s="166">
        <f t="shared" si="34"/>
        <v>1550</v>
      </c>
      <c r="AP61" s="167">
        <f t="shared" si="35"/>
        <v>19160</v>
      </c>
      <c r="AQ61" s="167">
        <f t="shared" si="36"/>
        <v>36239</v>
      </c>
      <c r="AR61" s="167">
        <f t="shared" si="37"/>
        <v>1560</v>
      </c>
      <c r="AS61" s="168">
        <f t="shared" si="38"/>
        <v>3640</v>
      </c>
      <c r="AT61" s="169">
        <f t="shared" si="31"/>
        <v>0</v>
      </c>
      <c r="AU61" s="170">
        <f t="shared" si="23"/>
        <v>0</v>
      </c>
      <c r="AV61" s="170">
        <f t="shared" si="24"/>
        <v>0</v>
      </c>
      <c r="AW61" s="170">
        <f t="shared" si="32"/>
        <v>0</v>
      </c>
      <c r="AX61" s="171">
        <f t="shared" si="33"/>
        <v>0</v>
      </c>
      <c r="AY61" s="169">
        <f t="shared" si="12"/>
        <v>0</v>
      </c>
      <c r="AZ61" s="170">
        <v>1000</v>
      </c>
      <c r="BA61" s="170" t="e">
        <f>AY61/#REF!</f>
        <v>#REF!</v>
      </c>
      <c r="BB61" s="160"/>
      <c r="BC61" s="163"/>
    </row>
    <row r="62" spans="1:55" ht="14.95" thickBot="1" x14ac:dyDescent="0.3">
      <c r="A62" s="213">
        <f>+A61+1</f>
        <v>46074</v>
      </c>
      <c r="B62" s="281">
        <f>DAY(Tabla2[[#This Row],[FECHA]])</f>
        <v>21</v>
      </c>
      <c r="C62" s="225" t="s">
        <v>28</v>
      </c>
      <c r="D62" s="214"/>
      <c r="E62" s="215"/>
      <c r="F62" s="216"/>
      <c r="G62" s="216"/>
      <c r="H62" s="215"/>
      <c r="I62" s="408">
        <f>((Tabla2[[#This Row],[VOLUMEN ENVIADO A RO (m3)]]/80)/3)*60</f>
        <v>0</v>
      </c>
      <c r="J62" s="394">
        <v>0</v>
      </c>
      <c r="K62" s="395">
        <v>28</v>
      </c>
      <c r="L62" s="396">
        <v>52</v>
      </c>
      <c r="M62" s="395">
        <v>0</v>
      </c>
      <c r="N62" s="396">
        <v>0</v>
      </c>
      <c r="O62" s="261">
        <f t="shared" si="0"/>
        <v>0</v>
      </c>
      <c r="P62" s="272">
        <f t="shared" si="25"/>
        <v>245.61403508771932</v>
      </c>
      <c r="Q62" s="255">
        <f t="shared" si="2"/>
        <v>456.14035087719299</v>
      </c>
      <c r="R62" s="272">
        <f t="shared" si="26"/>
        <v>0</v>
      </c>
      <c r="S62" s="272">
        <f t="shared" si="27"/>
        <v>0</v>
      </c>
      <c r="T62" s="257">
        <f t="shared" si="13"/>
        <v>0</v>
      </c>
      <c r="U62" s="258">
        <f t="shared" si="14"/>
        <v>0</v>
      </c>
      <c r="V62" s="258">
        <f t="shared" si="15"/>
        <v>0</v>
      </c>
      <c r="W62" s="258">
        <f t="shared" si="16"/>
        <v>0</v>
      </c>
      <c r="X62" s="259">
        <f t="shared" si="17"/>
        <v>0</v>
      </c>
      <c r="Y62" s="264">
        <v>1.18</v>
      </c>
      <c r="Z62" s="264">
        <v>1.28</v>
      </c>
      <c r="AA62" s="264">
        <v>1.2</v>
      </c>
      <c r="AB62" s="264">
        <v>1.53</v>
      </c>
      <c r="AC62" s="264">
        <v>1.2</v>
      </c>
      <c r="AD62" s="273">
        <f t="shared" si="28"/>
        <v>0</v>
      </c>
      <c r="AE62" s="274">
        <f t="shared" si="28"/>
        <v>0</v>
      </c>
      <c r="AF62" s="274">
        <f t="shared" si="28"/>
        <v>0</v>
      </c>
      <c r="AG62" s="274">
        <f t="shared" si="29"/>
        <v>0</v>
      </c>
      <c r="AH62" s="275">
        <f t="shared" si="30"/>
        <v>0</v>
      </c>
      <c r="AI62" s="430">
        <v>0</v>
      </c>
      <c r="AJ62" s="217" t="e">
        <f>(AD62*1000)/$AI62</f>
        <v>#DIV/0!</v>
      </c>
      <c r="AK62" s="218" t="e">
        <f>(AE62*1000)/$AI62</f>
        <v>#DIV/0!</v>
      </c>
      <c r="AL62" s="218" t="e">
        <f>(AF62*1000)/$AI62</f>
        <v>#DIV/0!</v>
      </c>
      <c r="AM62" s="218" t="e">
        <f>(AG62*1000)/$AI62</f>
        <v>#DIV/0!</v>
      </c>
      <c r="AN62" s="219" t="e">
        <f>(AH62*1000)/$AI62</f>
        <v>#DIV/0!</v>
      </c>
      <c r="AO62" s="166">
        <f t="shared" si="34"/>
        <v>1550</v>
      </c>
      <c r="AP62" s="167">
        <f t="shared" si="35"/>
        <v>19160</v>
      </c>
      <c r="AQ62" s="167">
        <f t="shared" si="36"/>
        <v>36239</v>
      </c>
      <c r="AR62" s="167">
        <f t="shared" si="37"/>
        <v>1560</v>
      </c>
      <c r="AS62" s="168">
        <f t="shared" si="38"/>
        <v>3640</v>
      </c>
      <c r="AT62" s="166">
        <f t="shared" si="31"/>
        <v>0</v>
      </c>
      <c r="AU62" s="167">
        <f t="shared" si="23"/>
        <v>0</v>
      </c>
      <c r="AV62" s="167">
        <f t="shared" si="24"/>
        <v>0</v>
      </c>
      <c r="AW62" s="167">
        <f t="shared" si="32"/>
        <v>0</v>
      </c>
      <c r="AX62" s="168">
        <f t="shared" si="33"/>
        <v>0</v>
      </c>
      <c r="AY62" s="166">
        <f t="shared" si="12"/>
        <v>0</v>
      </c>
      <c r="AZ62" s="167">
        <v>1000</v>
      </c>
      <c r="BA62" s="167" t="e">
        <f>AY62/AI62</f>
        <v>#DIV/0!</v>
      </c>
      <c r="BB62" s="161"/>
      <c r="BC62" s="162"/>
    </row>
    <row r="63" spans="1:55" ht="14.95" thickBot="1" x14ac:dyDescent="0.3">
      <c r="A63" s="220">
        <f>+A62</f>
        <v>46074</v>
      </c>
      <c r="B63" s="279">
        <f>DAY(Tabla2[[#This Row],[FECHA]])</f>
        <v>21</v>
      </c>
      <c r="C63" s="199" t="s">
        <v>29</v>
      </c>
      <c r="D63" s="200"/>
      <c r="E63" s="201"/>
      <c r="F63" s="202"/>
      <c r="G63" s="202"/>
      <c r="H63" s="201"/>
      <c r="I63" s="408">
        <f>((Tabla2[[#This Row],[VOLUMEN ENVIADO A RO (m3)]]/80)/3)*60</f>
        <v>0</v>
      </c>
      <c r="J63" s="397">
        <v>0</v>
      </c>
      <c r="K63" s="398">
        <v>28</v>
      </c>
      <c r="L63" s="399">
        <v>52</v>
      </c>
      <c r="M63" s="398">
        <v>0</v>
      </c>
      <c r="N63" s="399">
        <v>0</v>
      </c>
      <c r="O63" s="261">
        <f t="shared" si="0"/>
        <v>0</v>
      </c>
      <c r="P63" s="262">
        <f t="shared" si="25"/>
        <v>245.61403508771932</v>
      </c>
      <c r="Q63" s="262">
        <f t="shared" si="2"/>
        <v>456.14035087719299</v>
      </c>
      <c r="R63" s="262">
        <f t="shared" si="26"/>
        <v>0</v>
      </c>
      <c r="S63" s="262">
        <f t="shared" si="27"/>
        <v>0</v>
      </c>
      <c r="T63" s="257">
        <f t="shared" si="13"/>
        <v>0</v>
      </c>
      <c r="U63" s="258">
        <f t="shared" si="14"/>
        <v>0</v>
      </c>
      <c r="V63" s="258">
        <f t="shared" si="15"/>
        <v>0</v>
      </c>
      <c r="W63" s="258">
        <f t="shared" si="16"/>
        <v>0</v>
      </c>
      <c r="X63" s="259">
        <f t="shared" si="17"/>
        <v>0</v>
      </c>
      <c r="Y63" s="264">
        <v>1.18</v>
      </c>
      <c r="Z63" s="264">
        <v>1.28</v>
      </c>
      <c r="AA63" s="264">
        <v>1.2</v>
      </c>
      <c r="AB63" s="264">
        <v>1.53</v>
      </c>
      <c r="AC63" s="264">
        <v>1.2</v>
      </c>
      <c r="AD63" s="257">
        <f t="shared" si="28"/>
        <v>0</v>
      </c>
      <c r="AE63" s="258">
        <f t="shared" si="28"/>
        <v>0</v>
      </c>
      <c r="AF63" s="258">
        <f t="shared" si="28"/>
        <v>0</v>
      </c>
      <c r="AG63" s="258">
        <f t="shared" si="29"/>
        <v>0</v>
      </c>
      <c r="AH63" s="259">
        <f t="shared" si="30"/>
        <v>0</v>
      </c>
      <c r="AI63" s="431">
        <v>0</v>
      </c>
      <c r="AJ63" s="195" t="e">
        <f>(AD63*1000)/#REF!</f>
        <v>#REF!</v>
      </c>
      <c r="AK63" s="196" t="e">
        <f>(AE63*1000)/#REF!</f>
        <v>#REF!</v>
      </c>
      <c r="AL63" s="196" t="e">
        <f>(AF63*1000)/#REF!</f>
        <v>#REF!</v>
      </c>
      <c r="AM63" s="196" t="e">
        <f>(AG63*1000)/#REF!</f>
        <v>#REF!</v>
      </c>
      <c r="AN63" s="197" t="e">
        <f>(AH63*1000)/#REF!</f>
        <v>#REF!</v>
      </c>
      <c r="AO63" s="166">
        <f t="shared" si="34"/>
        <v>1550</v>
      </c>
      <c r="AP63" s="167">
        <f t="shared" si="35"/>
        <v>19160</v>
      </c>
      <c r="AQ63" s="167">
        <f t="shared" si="36"/>
        <v>36239</v>
      </c>
      <c r="AR63" s="167">
        <f t="shared" si="37"/>
        <v>1560</v>
      </c>
      <c r="AS63" s="168">
        <f t="shared" si="38"/>
        <v>3640</v>
      </c>
      <c r="AT63" s="166">
        <f t="shared" si="31"/>
        <v>0</v>
      </c>
      <c r="AU63" s="167">
        <f t="shared" si="23"/>
        <v>0</v>
      </c>
      <c r="AV63" s="167">
        <f t="shared" si="24"/>
        <v>0</v>
      </c>
      <c r="AW63" s="167">
        <f t="shared" si="32"/>
        <v>0</v>
      </c>
      <c r="AX63" s="168">
        <f t="shared" si="33"/>
        <v>0</v>
      </c>
      <c r="AY63" s="166">
        <f t="shared" si="12"/>
        <v>0</v>
      </c>
      <c r="AZ63" s="167">
        <v>1000</v>
      </c>
      <c r="BA63" s="167" t="e">
        <f>AY63/#REF!</f>
        <v>#REF!</v>
      </c>
      <c r="BB63" s="161"/>
      <c r="BC63" s="162"/>
    </row>
    <row r="64" spans="1:55" ht="14.95" thickBot="1" x14ac:dyDescent="0.3">
      <c r="A64" s="221">
        <f>+A63</f>
        <v>46074</v>
      </c>
      <c r="B64" s="280">
        <f>DAY(Tabla2[[#This Row],[FECHA]])</f>
        <v>21</v>
      </c>
      <c r="C64" s="204" t="s">
        <v>30</v>
      </c>
      <c r="D64" s="205"/>
      <c r="E64" s="206"/>
      <c r="F64" s="207"/>
      <c r="G64" s="208"/>
      <c r="H64" s="209"/>
      <c r="I64" s="408">
        <f>((Tabla2[[#This Row],[VOLUMEN ENVIADO A RO (m3)]]/80)/3)*60</f>
        <v>0</v>
      </c>
      <c r="J64" s="400">
        <v>0</v>
      </c>
      <c r="K64" s="401">
        <v>28</v>
      </c>
      <c r="L64" s="402">
        <v>52</v>
      </c>
      <c r="M64" s="401">
        <v>0</v>
      </c>
      <c r="N64" s="402">
        <v>0</v>
      </c>
      <c r="O64" s="261">
        <f t="shared" si="0"/>
        <v>0</v>
      </c>
      <c r="P64" s="266">
        <f t="shared" si="25"/>
        <v>245.61403508771932</v>
      </c>
      <c r="Q64" s="266">
        <f t="shared" si="2"/>
        <v>456.14035087719299</v>
      </c>
      <c r="R64" s="266">
        <f t="shared" si="26"/>
        <v>0</v>
      </c>
      <c r="S64" s="266">
        <f t="shared" si="27"/>
        <v>0</v>
      </c>
      <c r="T64" s="257">
        <f t="shared" si="13"/>
        <v>0</v>
      </c>
      <c r="U64" s="258">
        <f t="shared" si="14"/>
        <v>0</v>
      </c>
      <c r="V64" s="258">
        <f t="shared" si="15"/>
        <v>0</v>
      </c>
      <c r="W64" s="258">
        <f t="shared" si="16"/>
        <v>0</v>
      </c>
      <c r="X64" s="259">
        <f t="shared" si="17"/>
        <v>0</v>
      </c>
      <c r="Y64" s="264">
        <v>1.18</v>
      </c>
      <c r="Z64" s="264">
        <v>1.28</v>
      </c>
      <c r="AA64" s="264">
        <v>1.2</v>
      </c>
      <c r="AB64" s="264">
        <v>1.53</v>
      </c>
      <c r="AC64" s="264">
        <v>1.2</v>
      </c>
      <c r="AD64" s="268">
        <f t="shared" si="28"/>
        <v>0</v>
      </c>
      <c r="AE64" s="269">
        <f t="shared" si="28"/>
        <v>0</v>
      </c>
      <c r="AF64" s="269">
        <f t="shared" si="28"/>
        <v>0</v>
      </c>
      <c r="AG64" s="269">
        <f t="shared" si="29"/>
        <v>0</v>
      </c>
      <c r="AH64" s="270">
        <f t="shared" si="30"/>
        <v>0</v>
      </c>
      <c r="AI64" s="432">
        <v>0</v>
      </c>
      <c r="AJ64" s="210" t="e">
        <f t="shared" ref="AJ64:AN65" si="39">(AD64*1000)/$AI64</f>
        <v>#DIV/0!</v>
      </c>
      <c r="AK64" s="211" t="e">
        <f t="shared" si="39"/>
        <v>#DIV/0!</v>
      </c>
      <c r="AL64" s="211" t="e">
        <f t="shared" si="39"/>
        <v>#DIV/0!</v>
      </c>
      <c r="AM64" s="211" t="e">
        <f t="shared" si="39"/>
        <v>#DIV/0!</v>
      </c>
      <c r="AN64" s="212" t="e">
        <f t="shared" si="39"/>
        <v>#DIV/0!</v>
      </c>
      <c r="AO64" s="166">
        <f t="shared" si="34"/>
        <v>1550</v>
      </c>
      <c r="AP64" s="167">
        <f t="shared" si="35"/>
        <v>19160</v>
      </c>
      <c r="AQ64" s="167">
        <f t="shared" si="36"/>
        <v>36239</v>
      </c>
      <c r="AR64" s="167">
        <f t="shared" si="37"/>
        <v>1560</v>
      </c>
      <c r="AS64" s="168">
        <f t="shared" si="38"/>
        <v>3640</v>
      </c>
      <c r="AT64" s="169">
        <f t="shared" si="31"/>
        <v>0</v>
      </c>
      <c r="AU64" s="170">
        <f t="shared" si="23"/>
        <v>0</v>
      </c>
      <c r="AV64" s="170">
        <f t="shared" si="24"/>
        <v>0</v>
      </c>
      <c r="AW64" s="170">
        <f t="shared" si="32"/>
        <v>0</v>
      </c>
      <c r="AX64" s="171">
        <f t="shared" si="33"/>
        <v>0</v>
      </c>
      <c r="AY64" s="169">
        <f t="shared" si="12"/>
        <v>0</v>
      </c>
      <c r="AZ64" s="170">
        <v>1000</v>
      </c>
      <c r="BA64" s="170" t="e">
        <f>AY64/AI64</f>
        <v>#DIV/0!</v>
      </c>
      <c r="BB64" s="160"/>
      <c r="BC64" s="163"/>
    </row>
    <row r="65" spans="1:55" ht="14.95" thickBot="1" x14ac:dyDescent="0.3">
      <c r="A65" s="213">
        <f>+A64+1</f>
        <v>46075</v>
      </c>
      <c r="B65" s="281">
        <f>DAY(Tabla2[[#This Row],[FECHA]])</f>
        <v>22</v>
      </c>
      <c r="C65" s="225" t="s">
        <v>28</v>
      </c>
      <c r="D65" s="214"/>
      <c r="E65" s="215"/>
      <c r="F65" s="216"/>
      <c r="G65" s="216"/>
      <c r="H65" s="215"/>
      <c r="I65" s="408">
        <f>((Tabla2[[#This Row],[VOLUMEN ENVIADO A RO (m3)]]/80)/3)*60</f>
        <v>0</v>
      </c>
      <c r="J65" s="394">
        <v>0</v>
      </c>
      <c r="K65" s="395">
        <v>28</v>
      </c>
      <c r="L65" s="396">
        <v>52</v>
      </c>
      <c r="M65" s="395">
        <v>0</v>
      </c>
      <c r="N65" s="396">
        <v>0</v>
      </c>
      <c r="O65" s="261">
        <f t="shared" si="0"/>
        <v>0</v>
      </c>
      <c r="P65" s="272">
        <f t="shared" si="25"/>
        <v>245.61403508771932</v>
      </c>
      <c r="Q65" s="255">
        <f t="shared" si="2"/>
        <v>456.14035087719299</v>
      </c>
      <c r="R65" s="272">
        <f t="shared" si="26"/>
        <v>0</v>
      </c>
      <c r="S65" s="272">
        <f t="shared" si="27"/>
        <v>0</v>
      </c>
      <c r="T65" s="257">
        <f t="shared" si="13"/>
        <v>0</v>
      </c>
      <c r="U65" s="258">
        <f t="shared" si="14"/>
        <v>0</v>
      </c>
      <c r="V65" s="258">
        <f t="shared" si="15"/>
        <v>0</v>
      </c>
      <c r="W65" s="258">
        <f t="shared" si="16"/>
        <v>0</v>
      </c>
      <c r="X65" s="259">
        <f t="shared" si="17"/>
        <v>0</v>
      </c>
      <c r="Y65" s="264">
        <v>1.18</v>
      </c>
      <c r="Z65" s="264">
        <v>1.28</v>
      </c>
      <c r="AA65" s="264">
        <v>1.2</v>
      </c>
      <c r="AB65" s="264">
        <v>1.53</v>
      </c>
      <c r="AC65" s="264">
        <v>1.2</v>
      </c>
      <c r="AD65" s="273">
        <f t="shared" si="28"/>
        <v>0</v>
      </c>
      <c r="AE65" s="274">
        <f t="shared" si="28"/>
        <v>0</v>
      </c>
      <c r="AF65" s="274">
        <f t="shared" si="28"/>
        <v>0</v>
      </c>
      <c r="AG65" s="274">
        <f t="shared" si="29"/>
        <v>0</v>
      </c>
      <c r="AH65" s="275">
        <f t="shared" si="30"/>
        <v>0</v>
      </c>
      <c r="AI65" s="430">
        <v>0</v>
      </c>
      <c r="AJ65" s="217" t="e">
        <f t="shared" si="39"/>
        <v>#DIV/0!</v>
      </c>
      <c r="AK65" s="218" t="e">
        <f t="shared" si="39"/>
        <v>#DIV/0!</v>
      </c>
      <c r="AL65" s="218" t="e">
        <f t="shared" si="39"/>
        <v>#DIV/0!</v>
      </c>
      <c r="AM65" s="218" t="e">
        <f t="shared" si="39"/>
        <v>#DIV/0!</v>
      </c>
      <c r="AN65" s="219" t="e">
        <f t="shared" si="39"/>
        <v>#DIV/0!</v>
      </c>
      <c r="AO65" s="166">
        <f t="shared" si="34"/>
        <v>1550</v>
      </c>
      <c r="AP65" s="167">
        <f t="shared" si="35"/>
        <v>19160</v>
      </c>
      <c r="AQ65" s="167">
        <f t="shared" si="36"/>
        <v>36239</v>
      </c>
      <c r="AR65" s="167">
        <f t="shared" si="37"/>
        <v>1560</v>
      </c>
      <c r="AS65" s="168">
        <f t="shared" si="38"/>
        <v>3640</v>
      </c>
      <c r="AT65" s="166">
        <f t="shared" si="31"/>
        <v>0</v>
      </c>
      <c r="AU65" s="167">
        <f t="shared" si="23"/>
        <v>0</v>
      </c>
      <c r="AV65" s="167">
        <f t="shared" si="24"/>
        <v>0</v>
      </c>
      <c r="AW65" s="167">
        <f t="shared" si="32"/>
        <v>0</v>
      </c>
      <c r="AX65" s="168">
        <f t="shared" si="33"/>
        <v>0</v>
      </c>
      <c r="AY65" s="166">
        <f t="shared" si="12"/>
        <v>0</v>
      </c>
      <c r="AZ65" s="167">
        <v>1000</v>
      </c>
      <c r="BA65" s="167" t="e">
        <f>AY65/AI65</f>
        <v>#DIV/0!</v>
      </c>
      <c r="BB65" s="161"/>
      <c r="BC65" s="162"/>
    </row>
    <row r="66" spans="1:55" ht="14.95" thickBot="1" x14ac:dyDescent="0.3">
      <c r="A66" s="220">
        <f>+A65</f>
        <v>46075</v>
      </c>
      <c r="B66" s="279">
        <f>DAY(Tabla2[[#This Row],[FECHA]])</f>
        <v>22</v>
      </c>
      <c r="C66" s="199" t="s">
        <v>29</v>
      </c>
      <c r="D66" s="200"/>
      <c r="E66" s="201"/>
      <c r="F66" s="202"/>
      <c r="G66" s="202"/>
      <c r="H66" s="201"/>
      <c r="I66" s="408">
        <f>((Tabla2[[#This Row],[VOLUMEN ENVIADO A RO (m3)]]/80)/3)*60</f>
        <v>0</v>
      </c>
      <c r="J66" s="397">
        <v>0</v>
      </c>
      <c r="K66" s="398">
        <v>28</v>
      </c>
      <c r="L66" s="399">
        <v>52</v>
      </c>
      <c r="M66" s="398">
        <v>0</v>
      </c>
      <c r="N66" s="399">
        <v>0</v>
      </c>
      <c r="O66" s="261">
        <f t="shared" ref="O66:O86" si="40">J66*(1000/114)</f>
        <v>0</v>
      </c>
      <c r="P66" s="262">
        <f t="shared" ref="P66:Q95" si="41">K66*(1000/114)</f>
        <v>245.61403508771932</v>
      </c>
      <c r="Q66" s="262">
        <f t="shared" si="41"/>
        <v>456.14035087719299</v>
      </c>
      <c r="R66" s="262">
        <f t="shared" ref="R66:R95" si="42">M66*(1000/114)</f>
        <v>0</v>
      </c>
      <c r="S66" s="262">
        <f t="shared" ref="S66:S95" si="43">N66*(1000/114)</f>
        <v>0</v>
      </c>
      <c r="T66" s="257">
        <f t="shared" si="13"/>
        <v>0</v>
      </c>
      <c r="U66" s="258">
        <f t="shared" si="14"/>
        <v>0</v>
      </c>
      <c r="V66" s="258">
        <f t="shared" si="15"/>
        <v>0</v>
      </c>
      <c r="W66" s="258">
        <f t="shared" si="16"/>
        <v>0</v>
      </c>
      <c r="X66" s="259">
        <f t="shared" si="17"/>
        <v>0</v>
      </c>
      <c r="Y66" s="264">
        <v>1.18</v>
      </c>
      <c r="Z66" s="264">
        <v>1.28</v>
      </c>
      <c r="AA66" s="264">
        <v>1.2</v>
      </c>
      <c r="AB66" s="264">
        <v>1.53</v>
      </c>
      <c r="AC66" s="264">
        <v>1.2</v>
      </c>
      <c r="AD66" s="257">
        <f t="shared" ref="AD66:AF95" si="44">T66*Y66</f>
        <v>0</v>
      </c>
      <c r="AE66" s="258">
        <f t="shared" si="44"/>
        <v>0</v>
      </c>
      <c r="AF66" s="258">
        <f t="shared" si="44"/>
        <v>0</v>
      </c>
      <c r="AG66" s="258">
        <f t="shared" ref="AG66:AG95" si="45">W66*AB66</f>
        <v>0</v>
      </c>
      <c r="AH66" s="259">
        <f t="shared" ref="AH66:AH95" si="46">X66*AC66</f>
        <v>0</v>
      </c>
      <c r="AI66" s="431">
        <v>0</v>
      </c>
      <c r="AJ66" s="195" t="e">
        <f t="shared" ref="AJ66:AJ95" si="47">(AD66*1000)/$AI66</f>
        <v>#DIV/0!</v>
      </c>
      <c r="AK66" s="196" t="e">
        <f t="shared" ref="AK66:AK95" si="48">(AE66*1000)/$AI66</f>
        <v>#DIV/0!</v>
      </c>
      <c r="AL66" s="196" t="e">
        <f t="shared" ref="AL66:AL95" si="49">(AF66*1000)/$AI66</f>
        <v>#DIV/0!</v>
      </c>
      <c r="AM66" s="196" t="e">
        <f t="shared" ref="AM66:AM95" si="50">(AG66*1000)/$AI66</f>
        <v>#DIV/0!</v>
      </c>
      <c r="AN66" s="197" t="e">
        <f t="shared" ref="AN66:AN95" si="51">(AH66*1000)/$AI66</f>
        <v>#DIV/0!</v>
      </c>
      <c r="AO66" s="166">
        <f t="shared" si="34"/>
        <v>1550</v>
      </c>
      <c r="AP66" s="167">
        <f t="shared" si="35"/>
        <v>19160</v>
      </c>
      <c r="AQ66" s="167">
        <f t="shared" si="36"/>
        <v>36239</v>
      </c>
      <c r="AR66" s="167">
        <f t="shared" si="37"/>
        <v>1560</v>
      </c>
      <c r="AS66" s="168">
        <f t="shared" si="38"/>
        <v>3640</v>
      </c>
      <c r="AT66" s="166">
        <f t="shared" ref="AT66:AT95" si="52">AO66*(AD66*0.8)</f>
        <v>0</v>
      </c>
      <c r="AU66" s="167">
        <f t="shared" si="23"/>
        <v>0</v>
      </c>
      <c r="AV66" s="167">
        <f t="shared" si="24"/>
        <v>0</v>
      </c>
      <c r="AW66" s="167">
        <f t="shared" ref="AW66:AW95" si="53">AR66*AG66</f>
        <v>0</v>
      </c>
      <c r="AX66" s="168">
        <f t="shared" ref="AX66:AX95" si="54">AS66*(AH66*0.025)</f>
        <v>0</v>
      </c>
      <c r="AY66" s="166">
        <f t="shared" ref="AY66:AY93" si="55">AT66+AU66+AV66+AW66+AX66</f>
        <v>0</v>
      </c>
      <c r="AZ66" s="167">
        <v>1000</v>
      </c>
      <c r="BA66" s="167" t="e">
        <f>AY66/AI66</f>
        <v>#DIV/0!</v>
      </c>
      <c r="BB66" s="161"/>
      <c r="BC66" s="162"/>
    </row>
    <row r="67" spans="1:55" ht="14.95" thickBot="1" x14ac:dyDescent="0.3">
      <c r="A67" s="221">
        <f>+A66</f>
        <v>46075</v>
      </c>
      <c r="B67" s="280">
        <f>DAY(Tabla2[[#This Row],[FECHA]])</f>
        <v>22</v>
      </c>
      <c r="C67" s="204" t="s">
        <v>30</v>
      </c>
      <c r="D67" s="205"/>
      <c r="E67" s="206"/>
      <c r="F67" s="207"/>
      <c r="G67" s="208"/>
      <c r="H67" s="209"/>
      <c r="I67" s="408">
        <f>((Tabla2[[#This Row],[VOLUMEN ENVIADO A RO (m3)]]/80)/3)*60</f>
        <v>0</v>
      </c>
      <c r="J67" s="400">
        <v>0</v>
      </c>
      <c r="K67" s="401">
        <v>28</v>
      </c>
      <c r="L67" s="402">
        <v>52</v>
      </c>
      <c r="M67" s="401">
        <v>0</v>
      </c>
      <c r="N67" s="402">
        <v>0</v>
      </c>
      <c r="O67" s="261">
        <f t="shared" si="40"/>
        <v>0</v>
      </c>
      <c r="P67" s="266">
        <f t="shared" si="41"/>
        <v>245.61403508771932</v>
      </c>
      <c r="Q67" s="266">
        <f t="shared" si="41"/>
        <v>456.14035087719299</v>
      </c>
      <c r="R67" s="266">
        <f t="shared" si="42"/>
        <v>0</v>
      </c>
      <c r="S67" s="266">
        <f t="shared" si="43"/>
        <v>0</v>
      </c>
      <c r="T67" s="257">
        <f t="shared" ref="T67:T94" si="56">O67-O68</f>
        <v>0</v>
      </c>
      <c r="U67" s="258">
        <f t="shared" ref="U67:U94" si="57">P67-P68</f>
        <v>0</v>
      </c>
      <c r="V67" s="258">
        <f t="shared" ref="V67:V94" si="58">Q67-Q68</f>
        <v>0</v>
      </c>
      <c r="W67" s="258">
        <f t="shared" ref="W67:W94" si="59">R67-R68</f>
        <v>0</v>
      </c>
      <c r="X67" s="259">
        <f t="shared" ref="X67:X94" si="60">S67-S68</f>
        <v>0</v>
      </c>
      <c r="Y67" s="264">
        <v>1.18</v>
      </c>
      <c r="Z67" s="264">
        <v>1.28</v>
      </c>
      <c r="AA67" s="264">
        <v>1.2</v>
      </c>
      <c r="AB67" s="264">
        <v>1.53</v>
      </c>
      <c r="AC67" s="264">
        <v>1.2</v>
      </c>
      <c r="AD67" s="268">
        <f t="shared" si="44"/>
        <v>0</v>
      </c>
      <c r="AE67" s="269">
        <f t="shared" si="44"/>
        <v>0</v>
      </c>
      <c r="AF67" s="269">
        <f t="shared" si="44"/>
        <v>0</v>
      </c>
      <c r="AG67" s="269">
        <f t="shared" si="45"/>
        <v>0</v>
      </c>
      <c r="AH67" s="270">
        <f t="shared" si="46"/>
        <v>0</v>
      </c>
      <c r="AI67" s="432">
        <v>0</v>
      </c>
      <c r="AJ67" s="210" t="e">
        <f t="shared" si="47"/>
        <v>#DIV/0!</v>
      </c>
      <c r="AK67" s="211" t="e">
        <f t="shared" si="48"/>
        <v>#DIV/0!</v>
      </c>
      <c r="AL67" s="211" t="e">
        <f t="shared" si="49"/>
        <v>#DIV/0!</v>
      </c>
      <c r="AM67" s="211" t="e">
        <f t="shared" si="50"/>
        <v>#DIV/0!</v>
      </c>
      <c r="AN67" s="212" t="e">
        <f t="shared" si="51"/>
        <v>#DIV/0!</v>
      </c>
      <c r="AO67" s="166">
        <f t="shared" ref="AO67:AO95" si="61">AO66</f>
        <v>1550</v>
      </c>
      <c r="AP67" s="167">
        <f t="shared" ref="AP67:AP95" si="62">AP66</f>
        <v>19160</v>
      </c>
      <c r="AQ67" s="167">
        <f t="shared" ref="AQ67:AQ95" si="63">AQ66</f>
        <v>36239</v>
      </c>
      <c r="AR67" s="167">
        <f t="shared" ref="AR67:AR95" si="64">AR66</f>
        <v>1560</v>
      </c>
      <c r="AS67" s="168">
        <f t="shared" ref="AS67:AS95" si="65">AS66</f>
        <v>3640</v>
      </c>
      <c r="AT67" s="169">
        <f t="shared" si="52"/>
        <v>0</v>
      </c>
      <c r="AU67" s="170">
        <f t="shared" ref="AU67:AU95" si="66">AP67*(AE67*0.012)</f>
        <v>0</v>
      </c>
      <c r="AV67" s="170">
        <f t="shared" ref="AV67:AV95" si="67">AQ67*(AF67*0.044)</f>
        <v>0</v>
      </c>
      <c r="AW67" s="170">
        <f t="shared" si="53"/>
        <v>0</v>
      </c>
      <c r="AX67" s="171">
        <f t="shared" si="54"/>
        <v>0</v>
      </c>
      <c r="AY67" s="169">
        <f t="shared" si="55"/>
        <v>0</v>
      </c>
      <c r="AZ67" s="170">
        <v>1000</v>
      </c>
      <c r="BA67" s="170" t="e">
        <f t="shared" ref="BA67:BA95" si="68">AY67/AI67</f>
        <v>#DIV/0!</v>
      </c>
      <c r="BB67" s="160"/>
      <c r="BC67" s="163"/>
    </row>
    <row r="68" spans="1:55" ht="14.95" thickBot="1" x14ac:dyDescent="0.3">
      <c r="A68" s="213">
        <f>+A67+1</f>
        <v>46076</v>
      </c>
      <c r="B68" s="281">
        <f>DAY(Tabla2[[#This Row],[FECHA]])</f>
        <v>23</v>
      </c>
      <c r="C68" s="225" t="s">
        <v>28</v>
      </c>
      <c r="D68" s="214"/>
      <c r="E68" s="215"/>
      <c r="F68" s="216"/>
      <c r="G68" s="216"/>
      <c r="H68" s="215"/>
      <c r="I68" s="408">
        <f>((Tabla2[[#This Row],[VOLUMEN ENVIADO A RO (m3)]]/80)/3)*60</f>
        <v>0</v>
      </c>
      <c r="J68" s="394">
        <v>0</v>
      </c>
      <c r="K68" s="395">
        <v>28</v>
      </c>
      <c r="L68" s="396">
        <v>52</v>
      </c>
      <c r="M68" s="395">
        <v>0</v>
      </c>
      <c r="N68" s="396">
        <v>0</v>
      </c>
      <c r="O68" s="261">
        <f t="shared" si="40"/>
        <v>0</v>
      </c>
      <c r="P68" s="272">
        <f t="shared" si="41"/>
        <v>245.61403508771932</v>
      </c>
      <c r="Q68" s="255">
        <f t="shared" si="41"/>
        <v>456.14035087719299</v>
      </c>
      <c r="R68" s="272">
        <f t="shared" si="42"/>
        <v>0</v>
      </c>
      <c r="S68" s="272">
        <f t="shared" si="43"/>
        <v>0</v>
      </c>
      <c r="T68" s="257">
        <f t="shared" si="56"/>
        <v>0</v>
      </c>
      <c r="U68" s="258">
        <f t="shared" si="57"/>
        <v>0</v>
      </c>
      <c r="V68" s="258">
        <f t="shared" si="58"/>
        <v>0</v>
      </c>
      <c r="W68" s="258">
        <f t="shared" si="59"/>
        <v>0</v>
      </c>
      <c r="X68" s="259">
        <f t="shared" si="60"/>
        <v>0</v>
      </c>
      <c r="Y68" s="264">
        <v>1.18</v>
      </c>
      <c r="Z68" s="264">
        <v>1.28</v>
      </c>
      <c r="AA68" s="264">
        <v>1.2</v>
      </c>
      <c r="AB68" s="264">
        <v>1.53</v>
      </c>
      <c r="AC68" s="264">
        <v>1.2</v>
      </c>
      <c r="AD68" s="273">
        <f t="shared" si="44"/>
        <v>0</v>
      </c>
      <c r="AE68" s="274">
        <f t="shared" si="44"/>
        <v>0</v>
      </c>
      <c r="AF68" s="274">
        <f t="shared" si="44"/>
        <v>0</v>
      </c>
      <c r="AG68" s="274">
        <f t="shared" si="45"/>
        <v>0</v>
      </c>
      <c r="AH68" s="275">
        <f t="shared" si="46"/>
        <v>0</v>
      </c>
      <c r="AI68" s="430">
        <v>0</v>
      </c>
      <c r="AJ68" s="217" t="e">
        <f t="shared" si="47"/>
        <v>#DIV/0!</v>
      </c>
      <c r="AK68" s="218" t="e">
        <f t="shared" si="48"/>
        <v>#DIV/0!</v>
      </c>
      <c r="AL68" s="218" t="e">
        <f t="shared" si="49"/>
        <v>#DIV/0!</v>
      </c>
      <c r="AM68" s="218" t="e">
        <f t="shared" si="50"/>
        <v>#DIV/0!</v>
      </c>
      <c r="AN68" s="219" t="e">
        <f t="shared" si="51"/>
        <v>#DIV/0!</v>
      </c>
      <c r="AO68" s="166">
        <f t="shared" si="61"/>
        <v>1550</v>
      </c>
      <c r="AP68" s="167">
        <f t="shared" si="62"/>
        <v>19160</v>
      </c>
      <c r="AQ68" s="167">
        <f t="shared" si="63"/>
        <v>36239</v>
      </c>
      <c r="AR68" s="167">
        <f t="shared" si="64"/>
        <v>1560</v>
      </c>
      <c r="AS68" s="168">
        <f t="shared" si="65"/>
        <v>3640</v>
      </c>
      <c r="AT68" s="166">
        <f t="shared" si="52"/>
        <v>0</v>
      </c>
      <c r="AU68" s="167">
        <f t="shared" si="66"/>
        <v>0</v>
      </c>
      <c r="AV68" s="167">
        <f t="shared" si="67"/>
        <v>0</v>
      </c>
      <c r="AW68" s="167">
        <f t="shared" si="53"/>
        <v>0</v>
      </c>
      <c r="AX68" s="168">
        <f t="shared" si="54"/>
        <v>0</v>
      </c>
      <c r="AY68" s="166">
        <f t="shared" si="55"/>
        <v>0</v>
      </c>
      <c r="AZ68" s="167">
        <v>1000</v>
      </c>
      <c r="BA68" s="167" t="e">
        <f t="shared" si="68"/>
        <v>#DIV/0!</v>
      </c>
      <c r="BB68" s="161"/>
      <c r="BC68" s="162"/>
    </row>
    <row r="69" spans="1:55" ht="14.95" thickBot="1" x14ac:dyDescent="0.3">
      <c r="A69" s="220">
        <f>+A68</f>
        <v>46076</v>
      </c>
      <c r="B69" s="279">
        <f>DAY(Tabla2[[#This Row],[FECHA]])</f>
        <v>23</v>
      </c>
      <c r="C69" s="199" t="s">
        <v>29</v>
      </c>
      <c r="D69" s="200"/>
      <c r="E69" s="201"/>
      <c r="F69" s="202"/>
      <c r="G69" s="202"/>
      <c r="H69" s="201"/>
      <c r="I69" s="408">
        <f>((Tabla2[[#This Row],[VOLUMEN ENVIADO A RO (m3)]]/80)/3)*60</f>
        <v>0</v>
      </c>
      <c r="J69" s="397">
        <v>0</v>
      </c>
      <c r="K69" s="398">
        <v>28</v>
      </c>
      <c r="L69" s="399">
        <v>52</v>
      </c>
      <c r="M69" s="398">
        <v>0</v>
      </c>
      <c r="N69" s="399">
        <v>0</v>
      </c>
      <c r="O69" s="261">
        <f t="shared" si="40"/>
        <v>0</v>
      </c>
      <c r="P69" s="262">
        <f t="shared" si="41"/>
        <v>245.61403508771932</v>
      </c>
      <c r="Q69" s="262">
        <f t="shared" si="41"/>
        <v>456.14035087719299</v>
      </c>
      <c r="R69" s="262">
        <f t="shared" si="42"/>
        <v>0</v>
      </c>
      <c r="S69" s="262">
        <f t="shared" si="43"/>
        <v>0</v>
      </c>
      <c r="T69" s="257">
        <f t="shared" si="56"/>
        <v>0</v>
      </c>
      <c r="U69" s="258">
        <f t="shared" si="57"/>
        <v>0</v>
      </c>
      <c r="V69" s="258">
        <f t="shared" si="58"/>
        <v>0</v>
      </c>
      <c r="W69" s="258">
        <f t="shared" si="59"/>
        <v>0</v>
      </c>
      <c r="X69" s="259">
        <f t="shared" si="60"/>
        <v>0</v>
      </c>
      <c r="Y69" s="264">
        <v>1.18</v>
      </c>
      <c r="Z69" s="264">
        <v>1.28</v>
      </c>
      <c r="AA69" s="264">
        <v>1.2</v>
      </c>
      <c r="AB69" s="264">
        <v>1.53</v>
      </c>
      <c r="AC69" s="264">
        <v>1.2</v>
      </c>
      <c r="AD69" s="257">
        <f t="shared" si="44"/>
        <v>0</v>
      </c>
      <c r="AE69" s="258">
        <f t="shared" si="44"/>
        <v>0</v>
      </c>
      <c r="AF69" s="258">
        <f t="shared" si="44"/>
        <v>0</v>
      </c>
      <c r="AG69" s="258">
        <f t="shared" si="45"/>
        <v>0</v>
      </c>
      <c r="AH69" s="259">
        <f t="shared" si="46"/>
        <v>0</v>
      </c>
      <c r="AI69" s="431">
        <v>0</v>
      </c>
      <c r="AJ69" s="195" t="e">
        <f t="shared" si="47"/>
        <v>#DIV/0!</v>
      </c>
      <c r="AK69" s="196" t="e">
        <f t="shared" si="48"/>
        <v>#DIV/0!</v>
      </c>
      <c r="AL69" s="196" t="e">
        <f t="shared" si="49"/>
        <v>#DIV/0!</v>
      </c>
      <c r="AM69" s="196" t="e">
        <f t="shared" si="50"/>
        <v>#DIV/0!</v>
      </c>
      <c r="AN69" s="197" t="e">
        <f t="shared" si="51"/>
        <v>#DIV/0!</v>
      </c>
      <c r="AO69" s="166">
        <f t="shared" si="61"/>
        <v>1550</v>
      </c>
      <c r="AP69" s="167">
        <f t="shared" si="62"/>
        <v>19160</v>
      </c>
      <c r="AQ69" s="167">
        <f t="shared" si="63"/>
        <v>36239</v>
      </c>
      <c r="AR69" s="167">
        <f t="shared" si="64"/>
        <v>1560</v>
      </c>
      <c r="AS69" s="168">
        <f t="shared" si="65"/>
        <v>3640</v>
      </c>
      <c r="AT69" s="166">
        <f t="shared" si="52"/>
        <v>0</v>
      </c>
      <c r="AU69" s="167">
        <f t="shared" si="66"/>
        <v>0</v>
      </c>
      <c r="AV69" s="167">
        <f t="shared" si="67"/>
        <v>0</v>
      </c>
      <c r="AW69" s="167">
        <f t="shared" si="53"/>
        <v>0</v>
      </c>
      <c r="AX69" s="168">
        <f t="shared" si="54"/>
        <v>0</v>
      </c>
      <c r="AY69" s="166">
        <f t="shared" si="55"/>
        <v>0</v>
      </c>
      <c r="AZ69" s="167">
        <v>1000</v>
      </c>
      <c r="BA69" s="167" t="e">
        <f t="shared" si="68"/>
        <v>#DIV/0!</v>
      </c>
      <c r="BB69" s="161"/>
      <c r="BC69" s="162"/>
    </row>
    <row r="70" spans="1:55" ht="14.95" thickBot="1" x14ac:dyDescent="0.3">
      <c r="A70" s="221">
        <f>+A69</f>
        <v>46076</v>
      </c>
      <c r="B70" s="280">
        <f>DAY(Tabla2[[#This Row],[FECHA]])</f>
        <v>23</v>
      </c>
      <c r="C70" s="204" t="s">
        <v>30</v>
      </c>
      <c r="D70" s="205"/>
      <c r="E70" s="206"/>
      <c r="F70" s="207"/>
      <c r="G70" s="208"/>
      <c r="H70" s="209"/>
      <c r="I70" s="408">
        <f>((Tabla2[[#This Row],[VOLUMEN ENVIADO A RO (m3)]]/80)/3)*60</f>
        <v>19.982749999999999</v>
      </c>
      <c r="J70" s="400">
        <v>0</v>
      </c>
      <c r="K70" s="401">
        <v>28</v>
      </c>
      <c r="L70" s="402">
        <v>52</v>
      </c>
      <c r="M70" s="401">
        <v>0</v>
      </c>
      <c r="N70" s="402">
        <v>0</v>
      </c>
      <c r="O70" s="261">
        <f t="shared" si="40"/>
        <v>0</v>
      </c>
      <c r="P70" s="266">
        <f t="shared" si="41"/>
        <v>245.61403508771932</v>
      </c>
      <c r="Q70" s="266">
        <f t="shared" si="41"/>
        <v>456.14035087719299</v>
      </c>
      <c r="R70" s="266">
        <f t="shared" si="42"/>
        <v>0</v>
      </c>
      <c r="S70" s="266">
        <f t="shared" si="43"/>
        <v>0</v>
      </c>
      <c r="T70" s="257">
        <f t="shared" si="56"/>
        <v>0</v>
      </c>
      <c r="U70" s="258">
        <f t="shared" si="57"/>
        <v>0</v>
      </c>
      <c r="V70" s="258">
        <f t="shared" si="58"/>
        <v>0</v>
      </c>
      <c r="W70" s="258">
        <f t="shared" si="59"/>
        <v>0</v>
      </c>
      <c r="X70" s="259">
        <f t="shared" si="60"/>
        <v>0</v>
      </c>
      <c r="Y70" s="264">
        <v>1.18</v>
      </c>
      <c r="Z70" s="264">
        <v>1.28</v>
      </c>
      <c r="AA70" s="264">
        <v>1.2</v>
      </c>
      <c r="AB70" s="264">
        <v>1.53</v>
      </c>
      <c r="AC70" s="264">
        <v>1.2</v>
      </c>
      <c r="AD70" s="268">
        <f t="shared" si="44"/>
        <v>0</v>
      </c>
      <c r="AE70" s="269">
        <f t="shared" si="44"/>
        <v>0</v>
      </c>
      <c r="AF70" s="269">
        <f t="shared" si="44"/>
        <v>0</v>
      </c>
      <c r="AG70" s="269">
        <f t="shared" si="45"/>
        <v>0</v>
      </c>
      <c r="AH70" s="270">
        <f t="shared" si="46"/>
        <v>0</v>
      </c>
      <c r="AI70" s="432">
        <v>79.930999999999997</v>
      </c>
      <c r="AJ70" s="210">
        <f t="shared" si="47"/>
        <v>0</v>
      </c>
      <c r="AK70" s="211">
        <f t="shared" si="48"/>
        <v>0</v>
      </c>
      <c r="AL70" s="211">
        <f t="shared" si="49"/>
        <v>0</v>
      </c>
      <c r="AM70" s="211">
        <f t="shared" si="50"/>
        <v>0</v>
      </c>
      <c r="AN70" s="212">
        <f t="shared" si="51"/>
        <v>0</v>
      </c>
      <c r="AO70" s="166">
        <f t="shared" si="61"/>
        <v>1550</v>
      </c>
      <c r="AP70" s="167">
        <f t="shared" si="62"/>
        <v>19160</v>
      </c>
      <c r="AQ70" s="167">
        <f t="shared" si="63"/>
        <v>36239</v>
      </c>
      <c r="AR70" s="167">
        <f t="shared" si="64"/>
        <v>1560</v>
      </c>
      <c r="AS70" s="168">
        <f t="shared" si="65"/>
        <v>3640</v>
      </c>
      <c r="AT70" s="169">
        <f t="shared" si="52"/>
        <v>0</v>
      </c>
      <c r="AU70" s="170">
        <f t="shared" si="66"/>
        <v>0</v>
      </c>
      <c r="AV70" s="170">
        <f t="shared" si="67"/>
        <v>0</v>
      </c>
      <c r="AW70" s="170">
        <f t="shared" si="53"/>
        <v>0</v>
      </c>
      <c r="AX70" s="171">
        <f t="shared" si="54"/>
        <v>0</v>
      </c>
      <c r="AY70" s="169">
        <f t="shared" si="55"/>
        <v>0</v>
      </c>
      <c r="AZ70" s="170">
        <v>1000</v>
      </c>
      <c r="BA70" s="170">
        <f t="shared" si="68"/>
        <v>0</v>
      </c>
      <c r="BB70" s="160"/>
      <c r="BC70" s="163"/>
    </row>
    <row r="71" spans="1:55" ht="14.95" thickBot="1" x14ac:dyDescent="0.3">
      <c r="A71" s="213">
        <f>+A70+1</f>
        <v>46077</v>
      </c>
      <c r="B71" s="281">
        <f>DAY(Tabla2[[#This Row],[FECHA]])</f>
        <v>24</v>
      </c>
      <c r="C71" s="225" t="s">
        <v>28</v>
      </c>
      <c r="D71" s="214"/>
      <c r="E71" s="215"/>
      <c r="F71" s="216"/>
      <c r="G71" s="216"/>
      <c r="H71" s="215"/>
      <c r="I71" s="408">
        <f>((Tabla2[[#This Row],[VOLUMEN ENVIADO A RO (m3)]]/80)/3)*60</f>
        <v>57.425249999999998</v>
      </c>
      <c r="J71" s="394">
        <v>0</v>
      </c>
      <c r="K71" s="395">
        <v>28</v>
      </c>
      <c r="L71" s="396">
        <v>52</v>
      </c>
      <c r="M71" s="395">
        <v>0</v>
      </c>
      <c r="N71" s="396">
        <v>0</v>
      </c>
      <c r="O71" s="261">
        <f t="shared" si="40"/>
        <v>0</v>
      </c>
      <c r="P71" s="272">
        <f t="shared" si="41"/>
        <v>245.61403508771932</v>
      </c>
      <c r="Q71" s="255">
        <f t="shared" si="41"/>
        <v>456.14035087719299</v>
      </c>
      <c r="R71" s="272">
        <f t="shared" si="42"/>
        <v>0</v>
      </c>
      <c r="S71" s="272">
        <f t="shared" si="43"/>
        <v>0</v>
      </c>
      <c r="T71" s="257">
        <f t="shared" si="56"/>
        <v>0</v>
      </c>
      <c r="U71" s="258">
        <f t="shared" si="57"/>
        <v>0</v>
      </c>
      <c r="V71" s="258">
        <f t="shared" si="58"/>
        <v>0</v>
      </c>
      <c r="W71" s="258">
        <f t="shared" si="59"/>
        <v>0</v>
      </c>
      <c r="X71" s="259">
        <f t="shared" si="60"/>
        <v>0</v>
      </c>
      <c r="Y71" s="264">
        <v>1.18</v>
      </c>
      <c r="Z71" s="264">
        <v>1.28</v>
      </c>
      <c r="AA71" s="264">
        <v>1.2</v>
      </c>
      <c r="AB71" s="264">
        <v>1.53</v>
      </c>
      <c r="AC71" s="264">
        <v>1.2</v>
      </c>
      <c r="AD71" s="273">
        <f t="shared" si="44"/>
        <v>0</v>
      </c>
      <c r="AE71" s="274">
        <f t="shared" si="44"/>
        <v>0</v>
      </c>
      <c r="AF71" s="274">
        <f t="shared" si="44"/>
        <v>0</v>
      </c>
      <c r="AG71" s="274">
        <f t="shared" si="45"/>
        <v>0</v>
      </c>
      <c r="AH71" s="275">
        <f t="shared" si="46"/>
        <v>0</v>
      </c>
      <c r="AI71" s="430">
        <v>229.70099999999999</v>
      </c>
      <c r="AJ71" s="217">
        <f t="shared" si="47"/>
        <v>0</v>
      </c>
      <c r="AK71" s="218">
        <f t="shared" si="48"/>
        <v>0</v>
      </c>
      <c r="AL71" s="218">
        <f t="shared" si="49"/>
        <v>0</v>
      </c>
      <c r="AM71" s="218">
        <f t="shared" si="50"/>
        <v>0</v>
      </c>
      <c r="AN71" s="219">
        <f t="shared" si="51"/>
        <v>0</v>
      </c>
      <c r="AO71" s="166">
        <f t="shared" si="61"/>
        <v>1550</v>
      </c>
      <c r="AP71" s="167">
        <f t="shared" si="62"/>
        <v>19160</v>
      </c>
      <c r="AQ71" s="167">
        <f t="shared" si="63"/>
        <v>36239</v>
      </c>
      <c r="AR71" s="167">
        <f t="shared" si="64"/>
        <v>1560</v>
      </c>
      <c r="AS71" s="168">
        <f t="shared" si="65"/>
        <v>3640</v>
      </c>
      <c r="AT71" s="166">
        <f t="shared" si="52"/>
        <v>0</v>
      </c>
      <c r="AU71" s="167">
        <f t="shared" si="66"/>
        <v>0</v>
      </c>
      <c r="AV71" s="167">
        <f t="shared" si="67"/>
        <v>0</v>
      </c>
      <c r="AW71" s="167">
        <f t="shared" si="53"/>
        <v>0</v>
      </c>
      <c r="AX71" s="168">
        <f t="shared" si="54"/>
        <v>0</v>
      </c>
      <c r="AY71" s="166">
        <f t="shared" si="55"/>
        <v>0</v>
      </c>
      <c r="AZ71" s="167">
        <v>1000</v>
      </c>
      <c r="BA71" s="167">
        <f t="shared" si="68"/>
        <v>0</v>
      </c>
      <c r="BB71" s="161"/>
      <c r="BC71" s="162"/>
    </row>
    <row r="72" spans="1:55" ht="14.95" thickBot="1" x14ac:dyDescent="0.3">
      <c r="A72" s="220">
        <f>+A71</f>
        <v>46077</v>
      </c>
      <c r="B72" s="279">
        <f>DAY(Tabla2[[#This Row],[FECHA]])</f>
        <v>24</v>
      </c>
      <c r="C72" s="199" t="s">
        <v>29</v>
      </c>
      <c r="D72" s="200"/>
      <c r="E72" s="201"/>
      <c r="F72" s="202"/>
      <c r="G72" s="202"/>
      <c r="H72" s="201"/>
      <c r="I72" s="408">
        <f>((Tabla2[[#This Row],[VOLUMEN ENVIADO A RO (m3)]]/80)/3)*60</f>
        <v>41.001750000000001</v>
      </c>
      <c r="J72" s="397">
        <v>0</v>
      </c>
      <c r="K72" s="398">
        <v>28</v>
      </c>
      <c r="L72" s="399">
        <v>52</v>
      </c>
      <c r="M72" s="398">
        <v>0</v>
      </c>
      <c r="N72" s="399">
        <v>0</v>
      </c>
      <c r="O72" s="261">
        <f t="shared" si="40"/>
        <v>0</v>
      </c>
      <c r="P72" s="262">
        <f t="shared" si="41"/>
        <v>245.61403508771932</v>
      </c>
      <c r="Q72" s="262">
        <f t="shared" si="41"/>
        <v>456.14035087719299</v>
      </c>
      <c r="R72" s="262">
        <f t="shared" si="42"/>
        <v>0</v>
      </c>
      <c r="S72" s="262">
        <f t="shared" si="43"/>
        <v>0</v>
      </c>
      <c r="T72" s="257">
        <f t="shared" si="56"/>
        <v>0</v>
      </c>
      <c r="U72" s="258">
        <f t="shared" si="57"/>
        <v>26.31578947368422</v>
      </c>
      <c r="V72" s="258">
        <f t="shared" si="58"/>
        <v>17.543859649122794</v>
      </c>
      <c r="W72" s="258">
        <f t="shared" si="59"/>
        <v>0</v>
      </c>
      <c r="X72" s="259">
        <f t="shared" si="60"/>
        <v>0</v>
      </c>
      <c r="Y72" s="264">
        <v>1.18</v>
      </c>
      <c r="Z72" s="264">
        <v>1.28</v>
      </c>
      <c r="AA72" s="264">
        <v>1.2</v>
      </c>
      <c r="AB72" s="264">
        <v>1.53</v>
      </c>
      <c r="AC72" s="264">
        <v>1.2</v>
      </c>
      <c r="AD72" s="257">
        <f t="shared" si="44"/>
        <v>0</v>
      </c>
      <c r="AE72" s="258">
        <f t="shared" si="44"/>
        <v>33.684210526315802</v>
      </c>
      <c r="AF72" s="258">
        <f t="shared" si="44"/>
        <v>21.052631578947352</v>
      </c>
      <c r="AG72" s="258">
        <f t="shared" si="45"/>
        <v>0</v>
      </c>
      <c r="AH72" s="259">
        <f t="shared" si="46"/>
        <v>0</v>
      </c>
      <c r="AI72" s="431">
        <v>164.00700000000001</v>
      </c>
      <c r="AJ72" s="195">
        <f t="shared" si="47"/>
        <v>0</v>
      </c>
      <c r="AK72" s="196">
        <f t="shared" si="48"/>
        <v>205.38276126211565</v>
      </c>
      <c r="AL72" s="196">
        <f t="shared" si="49"/>
        <v>128.36422578882213</v>
      </c>
      <c r="AM72" s="196">
        <f t="shared" si="50"/>
        <v>0</v>
      </c>
      <c r="AN72" s="197">
        <f t="shared" si="51"/>
        <v>0</v>
      </c>
      <c r="AO72" s="166">
        <f t="shared" si="61"/>
        <v>1550</v>
      </c>
      <c r="AP72" s="167">
        <f t="shared" si="62"/>
        <v>19160</v>
      </c>
      <c r="AQ72" s="167">
        <f t="shared" si="63"/>
        <v>36239</v>
      </c>
      <c r="AR72" s="167">
        <f t="shared" si="64"/>
        <v>1560</v>
      </c>
      <c r="AS72" s="168">
        <f t="shared" si="65"/>
        <v>3640</v>
      </c>
      <c r="AT72" s="166">
        <f t="shared" si="52"/>
        <v>0</v>
      </c>
      <c r="AU72" s="167">
        <f t="shared" si="66"/>
        <v>7744.6736842105292</v>
      </c>
      <c r="AV72" s="167">
        <f t="shared" si="67"/>
        <v>33568.757894736817</v>
      </c>
      <c r="AW72" s="167">
        <f t="shared" si="53"/>
        <v>0</v>
      </c>
      <c r="AX72" s="168">
        <f t="shared" si="54"/>
        <v>0</v>
      </c>
      <c r="AY72" s="166">
        <f t="shared" si="55"/>
        <v>41313.431578947348</v>
      </c>
      <c r="AZ72" s="167">
        <v>1000</v>
      </c>
      <c r="BA72" s="167">
        <f t="shared" si="68"/>
        <v>251.90041631727516</v>
      </c>
      <c r="BB72" s="161"/>
      <c r="BC72" s="162"/>
    </row>
    <row r="73" spans="1:55" ht="14.95" thickBot="1" x14ac:dyDescent="0.3">
      <c r="A73" s="221">
        <f>+A72</f>
        <v>46077</v>
      </c>
      <c r="B73" s="280">
        <f>DAY(Tabla2[[#This Row],[FECHA]])</f>
        <v>24</v>
      </c>
      <c r="C73" s="204" t="s">
        <v>30</v>
      </c>
      <c r="D73" s="205"/>
      <c r="E73" s="206"/>
      <c r="F73" s="207"/>
      <c r="G73" s="208"/>
      <c r="H73" s="209"/>
      <c r="I73" s="408">
        <f>((Tabla2[[#This Row],[VOLUMEN ENVIADO A RO (m3)]]/80)/3)*60</f>
        <v>44.253</v>
      </c>
      <c r="J73" s="400">
        <v>0</v>
      </c>
      <c r="K73" s="401">
        <v>25</v>
      </c>
      <c r="L73" s="402">
        <v>50</v>
      </c>
      <c r="M73" s="401">
        <v>0</v>
      </c>
      <c r="N73" s="402">
        <v>0</v>
      </c>
      <c r="O73" s="261">
        <f t="shared" si="40"/>
        <v>0</v>
      </c>
      <c r="P73" s="266">
        <f t="shared" si="41"/>
        <v>219.2982456140351</v>
      </c>
      <c r="Q73" s="266">
        <f t="shared" si="41"/>
        <v>438.59649122807019</v>
      </c>
      <c r="R73" s="266">
        <f t="shared" si="42"/>
        <v>0</v>
      </c>
      <c r="S73" s="266">
        <f t="shared" si="43"/>
        <v>0</v>
      </c>
      <c r="T73" s="257">
        <f t="shared" si="56"/>
        <v>0</v>
      </c>
      <c r="U73" s="258">
        <f>P73-P74+10</f>
        <v>1.228070175438603</v>
      </c>
      <c r="V73" s="258">
        <f t="shared" si="58"/>
        <v>17.543859649122794</v>
      </c>
      <c r="W73" s="258">
        <f t="shared" si="59"/>
        <v>0</v>
      </c>
      <c r="X73" s="259">
        <f t="shared" si="60"/>
        <v>0</v>
      </c>
      <c r="Y73" s="264">
        <v>1.18</v>
      </c>
      <c r="Z73" s="264">
        <v>1.28</v>
      </c>
      <c r="AA73" s="264">
        <v>1.2</v>
      </c>
      <c r="AB73" s="264">
        <v>1.53</v>
      </c>
      <c r="AC73" s="264">
        <v>1.2</v>
      </c>
      <c r="AD73" s="268">
        <f t="shared" si="44"/>
        <v>0</v>
      </c>
      <c r="AE73" s="269">
        <f t="shared" si="44"/>
        <v>1.5719298245614119</v>
      </c>
      <c r="AF73" s="269">
        <f t="shared" si="44"/>
        <v>21.052631578947352</v>
      </c>
      <c r="AG73" s="269">
        <f t="shared" si="45"/>
        <v>0</v>
      </c>
      <c r="AH73" s="270">
        <f t="shared" si="46"/>
        <v>0</v>
      </c>
      <c r="AI73" s="432">
        <v>177.012</v>
      </c>
      <c r="AJ73" s="210">
        <f t="shared" si="47"/>
        <v>0</v>
      </c>
      <c r="AK73" s="211">
        <f t="shared" si="48"/>
        <v>8.8803574026699437</v>
      </c>
      <c r="AL73" s="211">
        <f t="shared" si="49"/>
        <v>118.93335807147172</v>
      </c>
      <c r="AM73" s="211">
        <f t="shared" si="50"/>
        <v>0</v>
      </c>
      <c r="AN73" s="212">
        <f t="shared" si="51"/>
        <v>0</v>
      </c>
      <c r="AO73" s="166">
        <f t="shared" si="61"/>
        <v>1550</v>
      </c>
      <c r="AP73" s="167">
        <f t="shared" si="62"/>
        <v>19160</v>
      </c>
      <c r="AQ73" s="167">
        <f t="shared" si="63"/>
        <v>36239</v>
      </c>
      <c r="AR73" s="167">
        <f t="shared" si="64"/>
        <v>1560</v>
      </c>
      <c r="AS73" s="168">
        <f t="shared" si="65"/>
        <v>3640</v>
      </c>
      <c r="AT73" s="169">
        <f t="shared" si="52"/>
        <v>0</v>
      </c>
      <c r="AU73" s="170">
        <f t="shared" si="66"/>
        <v>361.41810526315982</v>
      </c>
      <c r="AV73" s="170">
        <f t="shared" si="67"/>
        <v>33568.757894736817</v>
      </c>
      <c r="AW73" s="170">
        <f t="shared" si="53"/>
        <v>0</v>
      </c>
      <c r="AX73" s="171">
        <f t="shared" si="54"/>
        <v>0</v>
      </c>
      <c r="AY73" s="169">
        <f t="shared" si="55"/>
        <v>33930.175999999978</v>
      </c>
      <c r="AZ73" s="170">
        <v>1000</v>
      </c>
      <c r="BA73" s="170">
        <f>AY73/AI73</f>
        <v>191.6829141527127</v>
      </c>
      <c r="BB73" s="160"/>
      <c r="BC73" s="163"/>
    </row>
    <row r="74" spans="1:55" ht="14.95" thickBot="1" x14ac:dyDescent="0.3">
      <c r="A74" s="213">
        <f>+A73+1</f>
        <v>46078</v>
      </c>
      <c r="B74" s="281">
        <f>DAY(Tabla2[[#This Row],[FECHA]])</f>
        <v>25</v>
      </c>
      <c r="C74" s="225" t="s">
        <v>28</v>
      </c>
      <c r="D74" s="214"/>
      <c r="E74" s="215"/>
      <c r="F74" s="216"/>
      <c r="G74" s="216"/>
      <c r="H74" s="215"/>
      <c r="I74" s="408">
        <f>((Tabla2[[#This Row],[VOLUMEN ENVIADO A RO (m3)]]/80)/3)*60</f>
        <v>52.244</v>
      </c>
      <c r="J74" s="394">
        <v>0</v>
      </c>
      <c r="K74" s="395">
        <v>26</v>
      </c>
      <c r="L74" s="396">
        <v>48</v>
      </c>
      <c r="M74" s="395">
        <v>0</v>
      </c>
      <c r="N74" s="396">
        <v>0</v>
      </c>
      <c r="O74" s="261">
        <f t="shared" si="40"/>
        <v>0</v>
      </c>
      <c r="P74" s="272">
        <f t="shared" si="41"/>
        <v>228.07017543859649</v>
      </c>
      <c r="Q74" s="255">
        <f t="shared" si="41"/>
        <v>421.0526315789474</v>
      </c>
      <c r="R74" s="272">
        <f t="shared" si="42"/>
        <v>0</v>
      </c>
      <c r="S74" s="272">
        <f t="shared" si="43"/>
        <v>0</v>
      </c>
      <c r="T74" s="257">
        <f t="shared" si="56"/>
        <v>0</v>
      </c>
      <c r="U74" s="258">
        <f t="shared" si="57"/>
        <v>0</v>
      </c>
      <c r="V74" s="258">
        <f t="shared" si="58"/>
        <v>0</v>
      </c>
      <c r="W74" s="258">
        <f t="shared" si="59"/>
        <v>0</v>
      </c>
      <c r="X74" s="259">
        <f t="shared" si="60"/>
        <v>0</v>
      </c>
      <c r="Y74" s="264">
        <v>1.18</v>
      </c>
      <c r="Z74" s="264">
        <v>1.28</v>
      </c>
      <c r="AA74" s="264">
        <v>1.2</v>
      </c>
      <c r="AB74" s="264">
        <v>1.53</v>
      </c>
      <c r="AC74" s="264">
        <v>1.2</v>
      </c>
      <c r="AD74" s="273">
        <f t="shared" si="44"/>
        <v>0</v>
      </c>
      <c r="AE74" s="274">
        <f t="shared" si="44"/>
        <v>0</v>
      </c>
      <c r="AF74" s="274">
        <f t="shared" si="44"/>
        <v>0</v>
      </c>
      <c r="AG74" s="274">
        <f t="shared" si="45"/>
        <v>0</v>
      </c>
      <c r="AH74" s="275">
        <f t="shared" si="46"/>
        <v>0</v>
      </c>
      <c r="AI74" s="430">
        <v>208.976</v>
      </c>
      <c r="AJ74" s="217">
        <f t="shared" si="47"/>
        <v>0</v>
      </c>
      <c r="AK74" s="218">
        <f t="shared" si="48"/>
        <v>0</v>
      </c>
      <c r="AL74" s="218">
        <f t="shared" si="49"/>
        <v>0</v>
      </c>
      <c r="AM74" s="218">
        <f t="shared" si="50"/>
        <v>0</v>
      </c>
      <c r="AN74" s="219">
        <f t="shared" si="51"/>
        <v>0</v>
      </c>
      <c r="AO74" s="166">
        <f t="shared" si="61"/>
        <v>1550</v>
      </c>
      <c r="AP74" s="167">
        <f t="shared" si="62"/>
        <v>19160</v>
      </c>
      <c r="AQ74" s="167">
        <f t="shared" si="63"/>
        <v>36239</v>
      </c>
      <c r="AR74" s="167">
        <f t="shared" si="64"/>
        <v>1560</v>
      </c>
      <c r="AS74" s="168">
        <f t="shared" si="65"/>
        <v>3640</v>
      </c>
      <c r="AT74" s="166">
        <f t="shared" si="52"/>
        <v>0</v>
      </c>
      <c r="AU74" s="167">
        <f t="shared" si="66"/>
        <v>0</v>
      </c>
      <c r="AV74" s="167">
        <f t="shared" si="67"/>
        <v>0</v>
      </c>
      <c r="AW74" s="167">
        <f t="shared" si="53"/>
        <v>0</v>
      </c>
      <c r="AX74" s="168">
        <f t="shared" si="54"/>
        <v>0</v>
      </c>
      <c r="AY74" s="166">
        <f t="shared" si="55"/>
        <v>0</v>
      </c>
      <c r="AZ74" s="167">
        <v>1000</v>
      </c>
      <c r="BA74" s="167">
        <f t="shared" si="68"/>
        <v>0</v>
      </c>
      <c r="BB74" s="161"/>
      <c r="BC74" s="162"/>
    </row>
    <row r="75" spans="1:55" ht="14.95" thickBot="1" x14ac:dyDescent="0.3">
      <c r="A75" s="220">
        <f>+A74</f>
        <v>46078</v>
      </c>
      <c r="B75" s="279">
        <f>DAY(Tabla2[[#This Row],[FECHA]])</f>
        <v>25</v>
      </c>
      <c r="C75" s="199" t="s">
        <v>29</v>
      </c>
      <c r="D75" s="200"/>
      <c r="E75" s="201"/>
      <c r="F75" s="202"/>
      <c r="G75" s="202"/>
      <c r="H75" s="201"/>
      <c r="I75" s="408">
        <f>((Tabla2[[#This Row],[VOLUMEN ENVIADO A RO (m3)]]/80)/3)*60</f>
        <v>38.608499999999999</v>
      </c>
      <c r="J75" s="397">
        <v>0</v>
      </c>
      <c r="K75" s="398">
        <v>26</v>
      </c>
      <c r="L75" s="399">
        <v>48</v>
      </c>
      <c r="M75" s="398">
        <v>0</v>
      </c>
      <c r="N75" s="399">
        <v>0</v>
      </c>
      <c r="O75" s="261">
        <f t="shared" si="40"/>
        <v>0</v>
      </c>
      <c r="P75" s="262">
        <f t="shared" si="41"/>
        <v>228.07017543859649</v>
      </c>
      <c r="Q75" s="262">
        <f t="shared" si="41"/>
        <v>421.0526315789474</v>
      </c>
      <c r="R75" s="262">
        <f t="shared" si="42"/>
        <v>0</v>
      </c>
      <c r="S75" s="262">
        <f t="shared" si="43"/>
        <v>0</v>
      </c>
      <c r="T75" s="257">
        <f t="shared" si="56"/>
        <v>0</v>
      </c>
      <c r="U75" s="258">
        <f t="shared" si="57"/>
        <v>78.94736842105263</v>
      </c>
      <c r="V75" s="258">
        <f t="shared" si="58"/>
        <v>96.491228070175453</v>
      </c>
      <c r="W75" s="258">
        <f t="shared" si="59"/>
        <v>0</v>
      </c>
      <c r="X75" s="259">
        <f t="shared" si="60"/>
        <v>0</v>
      </c>
      <c r="Y75" s="264">
        <v>1.18</v>
      </c>
      <c r="Z75" s="264">
        <v>1.28</v>
      </c>
      <c r="AA75" s="264">
        <v>1.2</v>
      </c>
      <c r="AB75" s="264">
        <v>1.53</v>
      </c>
      <c r="AC75" s="264">
        <v>1.2</v>
      </c>
      <c r="AD75" s="257">
        <f t="shared" si="44"/>
        <v>0</v>
      </c>
      <c r="AE75" s="258">
        <f t="shared" si="44"/>
        <v>101.05263157894737</v>
      </c>
      <c r="AF75" s="258">
        <f t="shared" si="44"/>
        <v>115.78947368421053</v>
      </c>
      <c r="AG75" s="258">
        <f t="shared" si="45"/>
        <v>0</v>
      </c>
      <c r="AH75" s="259">
        <f t="shared" si="46"/>
        <v>0</v>
      </c>
      <c r="AI75" s="431">
        <v>154.434</v>
      </c>
      <c r="AJ75" s="195">
        <f t="shared" si="47"/>
        <v>0</v>
      </c>
      <c r="AK75" s="196">
        <f t="shared" si="48"/>
        <v>654.34186499700434</v>
      </c>
      <c r="AL75" s="196">
        <f t="shared" si="49"/>
        <v>749.76672030906752</v>
      </c>
      <c r="AM75" s="196">
        <f t="shared" si="50"/>
        <v>0</v>
      </c>
      <c r="AN75" s="197">
        <f t="shared" si="51"/>
        <v>0</v>
      </c>
      <c r="AO75" s="166">
        <f t="shared" si="61"/>
        <v>1550</v>
      </c>
      <c r="AP75" s="167">
        <f t="shared" si="62"/>
        <v>19160</v>
      </c>
      <c r="AQ75" s="167">
        <f t="shared" si="63"/>
        <v>36239</v>
      </c>
      <c r="AR75" s="167">
        <f t="shared" si="64"/>
        <v>1560</v>
      </c>
      <c r="AS75" s="168">
        <f t="shared" si="65"/>
        <v>3640</v>
      </c>
      <c r="AT75" s="166">
        <f t="shared" si="52"/>
        <v>0</v>
      </c>
      <c r="AU75" s="167">
        <f t="shared" si="66"/>
        <v>23234.021052631582</v>
      </c>
      <c r="AV75" s="167">
        <f t="shared" si="67"/>
        <v>184628.16842105263</v>
      </c>
      <c r="AW75" s="167">
        <f t="shared" si="53"/>
        <v>0</v>
      </c>
      <c r="AX75" s="168">
        <f t="shared" si="54"/>
        <v>0</v>
      </c>
      <c r="AY75" s="166">
        <f t="shared" si="55"/>
        <v>207862.18947368421</v>
      </c>
      <c r="AZ75" s="167">
        <v>1000</v>
      </c>
      <c r="BA75" s="167">
        <f>AY75/AI75</f>
        <v>1345.9613134004442</v>
      </c>
      <c r="BB75" s="161"/>
      <c r="BC75" s="162"/>
    </row>
    <row r="76" spans="1:55" ht="14.95" thickBot="1" x14ac:dyDescent="0.3">
      <c r="A76" s="221">
        <f>+A75</f>
        <v>46078</v>
      </c>
      <c r="B76" s="280">
        <f>DAY(Tabla2[[#This Row],[FECHA]])</f>
        <v>25</v>
      </c>
      <c r="C76" s="204" t="s">
        <v>30</v>
      </c>
      <c r="D76" s="205"/>
      <c r="E76" s="206"/>
      <c r="F76" s="207"/>
      <c r="G76" s="208"/>
      <c r="H76" s="209"/>
      <c r="I76" s="408">
        <f>((Tabla2[[#This Row],[VOLUMEN ENVIADO A RO (m3)]]/80)/3)*60</f>
        <v>38.429499999999997</v>
      </c>
      <c r="J76" s="400">
        <v>0</v>
      </c>
      <c r="K76" s="401">
        <v>17</v>
      </c>
      <c r="L76" s="402">
        <v>37</v>
      </c>
      <c r="M76" s="401">
        <v>0</v>
      </c>
      <c r="N76" s="402">
        <v>0</v>
      </c>
      <c r="O76" s="261">
        <f t="shared" si="40"/>
        <v>0</v>
      </c>
      <c r="P76" s="266">
        <f t="shared" si="41"/>
        <v>149.12280701754386</v>
      </c>
      <c r="Q76" s="266">
        <f t="shared" si="41"/>
        <v>324.56140350877195</v>
      </c>
      <c r="R76" s="266">
        <f t="shared" si="42"/>
        <v>0</v>
      </c>
      <c r="S76" s="266">
        <f t="shared" si="43"/>
        <v>0</v>
      </c>
      <c r="T76" s="257">
        <f t="shared" si="56"/>
        <v>0</v>
      </c>
      <c r="U76" s="258">
        <f t="shared" si="57"/>
        <v>0</v>
      </c>
      <c r="V76" s="258">
        <f t="shared" si="58"/>
        <v>0</v>
      </c>
      <c r="W76" s="258">
        <f t="shared" si="59"/>
        <v>0</v>
      </c>
      <c r="X76" s="259">
        <f t="shared" si="60"/>
        <v>0</v>
      </c>
      <c r="Y76" s="264">
        <v>1.18</v>
      </c>
      <c r="Z76" s="264">
        <v>1.28</v>
      </c>
      <c r="AA76" s="264">
        <v>1.2</v>
      </c>
      <c r="AB76" s="264">
        <v>1.53</v>
      </c>
      <c r="AC76" s="264">
        <v>1.2</v>
      </c>
      <c r="AD76" s="268">
        <f t="shared" si="44"/>
        <v>0</v>
      </c>
      <c r="AE76" s="269">
        <f t="shared" si="44"/>
        <v>0</v>
      </c>
      <c r="AF76" s="269">
        <f t="shared" si="44"/>
        <v>0</v>
      </c>
      <c r="AG76" s="269">
        <f t="shared" si="45"/>
        <v>0</v>
      </c>
      <c r="AH76" s="270">
        <f t="shared" si="46"/>
        <v>0</v>
      </c>
      <c r="AI76" s="432">
        <v>153.71799999999999</v>
      </c>
      <c r="AJ76" s="210">
        <f t="shared" si="47"/>
        <v>0</v>
      </c>
      <c r="AK76" s="211">
        <f t="shared" si="48"/>
        <v>0</v>
      </c>
      <c r="AL76" s="211">
        <f t="shared" si="49"/>
        <v>0</v>
      </c>
      <c r="AM76" s="211">
        <f t="shared" si="50"/>
        <v>0</v>
      </c>
      <c r="AN76" s="212">
        <f t="shared" si="51"/>
        <v>0</v>
      </c>
      <c r="AO76" s="166">
        <f t="shared" si="61"/>
        <v>1550</v>
      </c>
      <c r="AP76" s="167">
        <f t="shared" si="62"/>
        <v>19160</v>
      </c>
      <c r="AQ76" s="167">
        <f t="shared" si="63"/>
        <v>36239</v>
      </c>
      <c r="AR76" s="167">
        <f t="shared" si="64"/>
        <v>1560</v>
      </c>
      <c r="AS76" s="168">
        <f t="shared" si="65"/>
        <v>3640</v>
      </c>
      <c r="AT76" s="169">
        <f t="shared" si="52"/>
        <v>0</v>
      </c>
      <c r="AU76" s="170">
        <f t="shared" si="66"/>
        <v>0</v>
      </c>
      <c r="AV76" s="170">
        <f t="shared" si="67"/>
        <v>0</v>
      </c>
      <c r="AW76" s="170">
        <f t="shared" si="53"/>
        <v>0</v>
      </c>
      <c r="AX76" s="171">
        <f t="shared" si="54"/>
        <v>0</v>
      </c>
      <c r="AY76" s="169">
        <f t="shared" si="55"/>
        <v>0</v>
      </c>
      <c r="AZ76" s="170">
        <v>1000</v>
      </c>
      <c r="BA76" s="170">
        <f t="shared" si="68"/>
        <v>0</v>
      </c>
      <c r="BB76" s="160"/>
      <c r="BC76" s="163"/>
    </row>
    <row r="77" spans="1:55" ht="14.95" thickBot="1" x14ac:dyDescent="0.3">
      <c r="A77" s="213">
        <f>+A76+1</f>
        <v>46079</v>
      </c>
      <c r="B77" s="281">
        <f>DAY(Tabla2[[#This Row],[FECHA]])</f>
        <v>26</v>
      </c>
      <c r="C77" s="225" t="s">
        <v>28</v>
      </c>
      <c r="D77" s="214"/>
      <c r="E77" s="215"/>
      <c r="F77" s="216"/>
      <c r="G77" s="216"/>
      <c r="H77" s="215"/>
      <c r="I77" s="408">
        <f>((Tabla2[[#This Row],[VOLUMEN ENVIADO A RO (m3)]]/80)/3)*60</f>
        <v>130.97274999999999</v>
      </c>
      <c r="J77" s="394">
        <v>0</v>
      </c>
      <c r="K77" s="395">
        <v>17</v>
      </c>
      <c r="L77" s="396">
        <v>37</v>
      </c>
      <c r="M77" s="395">
        <v>0</v>
      </c>
      <c r="N77" s="396">
        <v>0</v>
      </c>
      <c r="O77" s="261">
        <f t="shared" si="40"/>
        <v>0</v>
      </c>
      <c r="P77" s="272">
        <f t="shared" si="41"/>
        <v>149.12280701754386</v>
      </c>
      <c r="Q77" s="255">
        <f t="shared" si="41"/>
        <v>324.56140350877195</v>
      </c>
      <c r="R77" s="272">
        <f t="shared" si="42"/>
        <v>0</v>
      </c>
      <c r="S77" s="272">
        <f t="shared" si="43"/>
        <v>0</v>
      </c>
      <c r="T77" s="257">
        <f t="shared" si="56"/>
        <v>0</v>
      </c>
      <c r="U77" s="258">
        <f t="shared" si="57"/>
        <v>0</v>
      </c>
      <c r="V77" s="258">
        <f t="shared" si="58"/>
        <v>35.087719298245588</v>
      </c>
      <c r="W77" s="258">
        <f t="shared" si="59"/>
        <v>0</v>
      </c>
      <c r="X77" s="259">
        <f t="shared" si="60"/>
        <v>0</v>
      </c>
      <c r="Y77" s="264">
        <v>1.18</v>
      </c>
      <c r="Z77" s="264">
        <v>1.28</v>
      </c>
      <c r="AA77" s="264">
        <v>1.2</v>
      </c>
      <c r="AB77" s="264">
        <v>1.53</v>
      </c>
      <c r="AC77" s="264">
        <v>1.2</v>
      </c>
      <c r="AD77" s="273">
        <f t="shared" si="44"/>
        <v>0</v>
      </c>
      <c r="AE77" s="274">
        <f t="shared" si="44"/>
        <v>0</v>
      </c>
      <c r="AF77" s="274">
        <f t="shared" si="44"/>
        <v>42.105263157894704</v>
      </c>
      <c r="AG77" s="274">
        <f t="shared" si="45"/>
        <v>0</v>
      </c>
      <c r="AH77" s="275">
        <f t="shared" si="46"/>
        <v>0</v>
      </c>
      <c r="AI77" s="430">
        <v>523.89099999999996</v>
      </c>
      <c r="AJ77" s="217">
        <f t="shared" si="47"/>
        <v>0</v>
      </c>
      <c r="AK77" s="218">
        <f t="shared" si="48"/>
        <v>0</v>
      </c>
      <c r="AL77" s="218">
        <f t="shared" si="49"/>
        <v>80.370273888833182</v>
      </c>
      <c r="AM77" s="218">
        <f t="shared" si="50"/>
        <v>0</v>
      </c>
      <c r="AN77" s="219">
        <f t="shared" si="51"/>
        <v>0</v>
      </c>
      <c r="AO77" s="166">
        <f t="shared" si="61"/>
        <v>1550</v>
      </c>
      <c r="AP77" s="167">
        <f t="shared" si="62"/>
        <v>19160</v>
      </c>
      <c r="AQ77" s="167">
        <f t="shared" si="63"/>
        <v>36239</v>
      </c>
      <c r="AR77" s="167">
        <f t="shared" si="64"/>
        <v>1560</v>
      </c>
      <c r="AS77" s="168">
        <f t="shared" si="65"/>
        <v>3640</v>
      </c>
      <c r="AT77" s="166">
        <f t="shared" si="52"/>
        <v>0</v>
      </c>
      <c r="AU77" s="167">
        <f t="shared" si="66"/>
        <v>0</v>
      </c>
      <c r="AV77" s="167">
        <f t="shared" si="67"/>
        <v>67137.515789473633</v>
      </c>
      <c r="AW77" s="167">
        <f t="shared" si="53"/>
        <v>0</v>
      </c>
      <c r="AX77" s="168">
        <f t="shared" si="54"/>
        <v>0</v>
      </c>
      <c r="AY77" s="166">
        <f t="shared" si="55"/>
        <v>67137.515789473633</v>
      </c>
      <c r="AZ77" s="167">
        <v>1000</v>
      </c>
      <c r="BA77" s="167">
        <f t="shared" si="68"/>
        <v>128.15168764012674</v>
      </c>
      <c r="BB77" s="161"/>
      <c r="BC77" s="162"/>
    </row>
    <row r="78" spans="1:55" ht="14.95" thickBot="1" x14ac:dyDescent="0.3">
      <c r="A78" s="220">
        <f>+A77</f>
        <v>46079</v>
      </c>
      <c r="B78" s="279">
        <f>DAY(Tabla2[[#This Row],[FECHA]])</f>
        <v>26</v>
      </c>
      <c r="C78" s="199" t="s">
        <v>29</v>
      </c>
      <c r="D78" s="200"/>
      <c r="E78" s="201"/>
      <c r="F78" s="202"/>
      <c r="G78" s="202"/>
      <c r="H78" s="201"/>
      <c r="I78" s="408">
        <f>((Tabla2[[#This Row],[VOLUMEN ENVIADO A RO (m3)]]/80)/3)*60</f>
        <v>-38.911749999999998</v>
      </c>
      <c r="J78" s="397">
        <v>0</v>
      </c>
      <c r="K78" s="398">
        <v>17</v>
      </c>
      <c r="L78" s="399">
        <v>33</v>
      </c>
      <c r="M78" s="398">
        <v>0</v>
      </c>
      <c r="N78" s="399">
        <v>0</v>
      </c>
      <c r="O78" s="261">
        <f t="shared" si="40"/>
        <v>0</v>
      </c>
      <c r="P78" s="262">
        <f t="shared" si="41"/>
        <v>149.12280701754386</v>
      </c>
      <c r="Q78" s="262">
        <f t="shared" si="41"/>
        <v>289.47368421052636</v>
      </c>
      <c r="R78" s="262">
        <f t="shared" si="42"/>
        <v>0</v>
      </c>
      <c r="S78" s="262">
        <f t="shared" si="43"/>
        <v>0</v>
      </c>
      <c r="T78" s="257">
        <f t="shared" si="56"/>
        <v>0</v>
      </c>
      <c r="U78" s="258">
        <f t="shared" si="57"/>
        <v>26.315789473684205</v>
      </c>
      <c r="V78" s="258">
        <f t="shared" si="58"/>
        <v>43.859649122807042</v>
      </c>
      <c r="W78" s="258">
        <f t="shared" si="59"/>
        <v>0</v>
      </c>
      <c r="X78" s="259">
        <f t="shared" si="60"/>
        <v>0</v>
      </c>
      <c r="Y78" s="264">
        <v>1.18</v>
      </c>
      <c r="Z78" s="264">
        <v>1.28</v>
      </c>
      <c r="AA78" s="264">
        <v>1.2</v>
      </c>
      <c r="AB78" s="264">
        <v>1.53</v>
      </c>
      <c r="AC78" s="264">
        <v>1.2</v>
      </c>
      <c r="AD78" s="257">
        <f t="shared" si="44"/>
        <v>0</v>
      </c>
      <c r="AE78" s="258">
        <f t="shared" si="44"/>
        <v>33.68421052631578</v>
      </c>
      <c r="AF78" s="258">
        <f t="shared" si="44"/>
        <v>52.631578947368446</v>
      </c>
      <c r="AG78" s="258">
        <f t="shared" si="45"/>
        <v>0</v>
      </c>
      <c r="AH78" s="259">
        <f t="shared" si="46"/>
        <v>0</v>
      </c>
      <c r="AI78" s="431">
        <v>-155.64699999999999</v>
      </c>
      <c r="AJ78" s="195">
        <f t="shared" si="47"/>
        <v>0</v>
      </c>
      <c r="AK78" s="196">
        <f t="shared" si="48"/>
        <v>-216.41413278968295</v>
      </c>
      <c r="AL78" s="196">
        <f t="shared" si="49"/>
        <v>-338.1470824838799</v>
      </c>
      <c r="AM78" s="196">
        <f t="shared" si="50"/>
        <v>0</v>
      </c>
      <c r="AN78" s="197">
        <f t="shared" si="51"/>
        <v>0</v>
      </c>
      <c r="AO78" s="166">
        <f t="shared" si="61"/>
        <v>1550</v>
      </c>
      <c r="AP78" s="167">
        <f t="shared" si="62"/>
        <v>19160</v>
      </c>
      <c r="AQ78" s="167">
        <f t="shared" si="63"/>
        <v>36239</v>
      </c>
      <c r="AR78" s="167">
        <f t="shared" si="64"/>
        <v>1560</v>
      </c>
      <c r="AS78" s="168">
        <f t="shared" si="65"/>
        <v>3640</v>
      </c>
      <c r="AT78" s="166">
        <f t="shared" si="52"/>
        <v>0</v>
      </c>
      <c r="AU78" s="167">
        <f t="shared" si="66"/>
        <v>7744.6736842105238</v>
      </c>
      <c r="AV78" s="167">
        <f t="shared" si="67"/>
        <v>83921.894736842136</v>
      </c>
      <c r="AW78" s="167">
        <f t="shared" si="53"/>
        <v>0</v>
      </c>
      <c r="AX78" s="168">
        <f t="shared" si="54"/>
        <v>0</v>
      </c>
      <c r="AY78" s="166">
        <f t="shared" si="55"/>
        <v>91666.568421052652</v>
      </c>
      <c r="AZ78" s="167">
        <v>1000</v>
      </c>
      <c r="BA78" s="167">
        <f t="shared" si="68"/>
        <v>-588.93887078487001</v>
      </c>
      <c r="BB78" s="161"/>
      <c r="BC78" s="162"/>
    </row>
    <row r="79" spans="1:55" ht="14.95" thickBot="1" x14ac:dyDescent="0.3">
      <c r="A79" s="221">
        <f>+A78</f>
        <v>46079</v>
      </c>
      <c r="B79" s="280">
        <f>DAY(Tabla2[[#This Row],[FECHA]])</f>
        <v>26</v>
      </c>
      <c r="C79" s="204" t="s">
        <v>30</v>
      </c>
      <c r="D79" s="205"/>
      <c r="E79" s="206"/>
      <c r="F79" s="207"/>
      <c r="G79" s="208"/>
      <c r="H79" s="209"/>
      <c r="I79" s="408">
        <f>((Tabla2[[#This Row],[VOLUMEN ENVIADO A RO (m3)]]/80)/3)*60</f>
        <v>38.911749999999998</v>
      </c>
      <c r="J79" s="400">
        <v>0</v>
      </c>
      <c r="K79" s="401">
        <v>14</v>
      </c>
      <c r="L79" s="402">
        <v>28</v>
      </c>
      <c r="M79" s="401">
        <v>0</v>
      </c>
      <c r="N79" s="402">
        <v>0</v>
      </c>
      <c r="O79" s="261">
        <f t="shared" si="40"/>
        <v>0</v>
      </c>
      <c r="P79" s="266">
        <f t="shared" si="41"/>
        <v>122.80701754385966</v>
      </c>
      <c r="Q79" s="266">
        <f t="shared" si="41"/>
        <v>245.61403508771932</v>
      </c>
      <c r="R79" s="266">
        <f t="shared" si="42"/>
        <v>0</v>
      </c>
      <c r="S79" s="266">
        <f t="shared" si="43"/>
        <v>0</v>
      </c>
      <c r="T79" s="257">
        <f t="shared" si="56"/>
        <v>0</v>
      </c>
      <c r="U79" s="258">
        <f t="shared" si="57"/>
        <v>35.087719298245617</v>
      </c>
      <c r="V79" s="258">
        <f t="shared" si="58"/>
        <v>35.087719298245617</v>
      </c>
      <c r="W79" s="258">
        <f t="shared" si="59"/>
        <v>0</v>
      </c>
      <c r="X79" s="259">
        <f t="shared" si="60"/>
        <v>0</v>
      </c>
      <c r="Y79" s="264">
        <v>1.18</v>
      </c>
      <c r="Z79" s="264">
        <v>1.28</v>
      </c>
      <c r="AA79" s="264">
        <v>1.2</v>
      </c>
      <c r="AB79" s="264">
        <v>1.53</v>
      </c>
      <c r="AC79" s="264">
        <v>1.2</v>
      </c>
      <c r="AD79" s="268">
        <f t="shared" si="44"/>
        <v>0</v>
      </c>
      <c r="AE79" s="269">
        <f t="shared" si="44"/>
        <v>44.912280701754391</v>
      </c>
      <c r="AF79" s="269">
        <f t="shared" si="44"/>
        <v>42.10526315789474</v>
      </c>
      <c r="AG79" s="269">
        <f t="shared" si="45"/>
        <v>0</v>
      </c>
      <c r="AH79" s="270">
        <f t="shared" si="46"/>
        <v>0</v>
      </c>
      <c r="AI79" s="432">
        <v>155.64699999999999</v>
      </c>
      <c r="AJ79" s="210">
        <f t="shared" si="47"/>
        <v>0</v>
      </c>
      <c r="AK79" s="211">
        <f t="shared" si="48"/>
        <v>288.55217705291068</v>
      </c>
      <c r="AL79" s="211">
        <f t="shared" si="49"/>
        <v>270.51766598710378</v>
      </c>
      <c r="AM79" s="211">
        <f t="shared" si="50"/>
        <v>0</v>
      </c>
      <c r="AN79" s="212">
        <f t="shared" si="51"/>
        <v>0</v>
      </c>
      <c r="AO79" s="166">
        <f t="shared" si="61"/>
        <v>1550</v>
      </c>
      <c r="AP79" s="167">
        <f t="shared" si="62"/>
        <v>19160</v>
      </c>
      <c r="AQ79" s="167">
        <f t="shared" si="63"/>
        <v>36239</v>
      </c>
      <c r="AR79" s="167">
        <f t="shared" si="64"/>
        <v>1560</v>
      </c>
      <c r="AS79" s="168">
        <f t="shared" si="65"/>
        <v>3640</v>
      </c>
      <c r="AT79" s="169">
        <f t="shared" si="52"/>
        <v>0</v>
      </c>
      <c r="AU79" s="170">
        <f t="shared" si="66"/>
        <v>10326.231578947371</v>
      </c>
      <c r="AV79" s="170">
        <f t="shared" si="67"/>
        <v>67137.515789473677</v>
      </c>
      <c r="AW79" s="170">
        <f t="shared" si="53"/>
        <v>0</v>
      </c>
      <c r="AX79" s="171">
        <f t="shared" si="54"/>
        <v>0</v>
      </c>
      <c r="AY79" s="169">
        <f t="shared" si="55"/>
        <v>77463.747368421042</v>
      </c>
      <c r="AZ79" s="170">
        <v>1000</v>
      </c>
      <c r="BA79" s="170">
        <f t="shared" si="68"/>
        <v>497.68866324709791</v>
      </c>
      <c r="BB79" s="160"/>
      <c r="BC79" s="163"/>
    </row>
    <row r="80" spans="1:55" ht="14.95" thickBot="1" x14ac:dyDescent="0.3">
      <c r="A80" s="213">
        <f>+A79+1</f>
        <v>46080</v>
      </c>
      <c r="B80" s="281">
        <f>DAY(Tabla2[[#This Row],[FECHA]])</f>
        <v>27</v>
      </c>
      <c r="C80" s="225" t="s">
        <v>28</v>
      </c>
      <c r="D80" s="214"/>
      <c r="E80" s="215"/>
      <c r="F80" s="216"/>
      <c r="G80" s="216"/>
      <c r="H80" s="215"/>
      <c r="I80" s="408">
        <f>((Tabla2[[#This Row],[VOLUMEN ENVIADO A RO (m3)]]/80)/3)*60</f>
        <v>56.49</v>
      </c>
      <c r="J80" s="394">
        <v>0</v>
      </c>
      <c r="K80" s="395">
        <v>10</v>
      </c>
      <c r="L80" s="396">
        <v>24</v>
      </c>
      <c r="M80" s="395">
        <v>0</v>
      </c>
      <c r="N80" s="396">
        <v>0</v>
      </c>
      <c r="O80" s="261">
        <f t="shared" si="40"/>
        <v>0</v>
      </c>
      <c r="P80" s="272">
        <f t="shared" si="41"/>
        <v>87.719298245614041</v>
      </c>
      <c r="Q80" s="255">
        <f t="shared" si="41"/>
        <v>210.5263157894737</v>
      </c>
      <c r="R80" s="272">
        <f t="shared" si="42"/>
        <v>0</v>
      </c>
      <c r="S80" s="272">
        <f t="shared" si="43"/>
        <v>0</v>
      </c>
      <c r="T80" s="257">
        <f t="shared" si="56"/>
        <v>0</v>
      </c>
      <c r="U80" s="258">
        <f t="shared" si="57"/>
        <v>0</v>
      </c>
      <c r="V80" s="258">
        <f t="shared" si="58"/>
        <v>105.26315789473685</v>
      </c>
      <c r="W80" s="258">
        <f t="shared" si="59"/>
        <v>0</v>
      </c>
      <c r="X80" s="259">
        <f t="shared" si="60"/>
        <v>0</v>
      </c>
      <c r="Y80" s="264">
        <v>1.18</v>
      </c>
      <c r="Z80" s="264">
        <v>1.28</v>
      </c>
      <c r="AA80" s="264">
        <v>1.2</v>
      </c>
      <c r="AB80" s="264">
        <v>1.53</v>
      </c>
      <c r="AC80" s="264">
        <v>1.2</v>
      </c>
      <c r="AD80" s="273">
        <f t="shared" si="44"/>
        <v>0</v>
      </c>
      <c r="AE80" s="274">
        <f t="shared" si="44"/>
        <v>0</v>
      </c>
      <c r="AF80" s="274">
        <f t="shared" si="44"/>
        <v>126.31578947368422</v>
      </c>
      <c r="AG80" s="274">
        <f t="shared" si="45"/>
        <v>0</v>
      </c>
      <c r="AH80" s="275">
        <f t="shared" si="46"/>
        <v>0</v>
      </c>
      <c r="AI80" s="430">
        <v>225.96</v>
      </c>
      <c r="AJ80" s="217">
        <f t="shared" si="47"/>
        <v>0</v>
      </c>
      <c r="AK80" s="218">
        <f t="shared" si="48"/>
        <v>0</v>
      </c>
      <c r="AL80" s="218">
        <f t="shared" si="49"/>
        <v>559.01836375324933</v>
      </c>
      <c r="AM80" s="218">
        <f t="shared" si="50"/>
        <v>0</v>
      </c>
      <c r="AN80" s="219">
        <f t="shared" si="51"/>
        <v>0</v>
      </c>
      <c r="AO80" s="166">
        <f t="shared" si="61"/>
        <v>1550</v>
      </c>
      <c r="AP80" s="167">
        <f t="shared" si="62"/>
        <v>19160</v>
      </c>
      <c r="AQ80" s="167">
        <f t="shared" si="63"/>
        <v>36239</v>
      </c>
      <c r="AR80" s="167">
        <f t="shared" si="64"/>
        <v>1560</v>
      </c>
      <c r="AS80" s="168">
        <f t="shared" si="65"/>
        <v>3640</v>
      </c>
      <c r="AT80" s="166">
        <f t="shared" si="52"/>
        <v>0</v>
      </c>
      <c r="AU80" s="167">
        <f t="shared" si="66"/>
        <v>0</v>
      </c>
      <c r="AV80" s="167">
        <f t="shared" si="67"/>
        <v>201412.54736842107</v>
      </c>
      <c r="AW80" s="167">
        <f t="shared" si="53"/>
        <v>0</v>
      </c>
      <c r="AX80" s="168">
        <f t="shared" si="54"/>
        <v>0</v>
      </c>
      <c r="AY80" s="166">
        <f t="shared" si="55"/>
        <v>201412.54736842107</v>
      </c>
      <c r="AZ80" s="167">
        <v>1000</v>
      </c>
      <c r="BA80" s="167">
        <f t="shared" si="68"/>
        <v>891.36372529837615</v>
      </c>
      <c r="BB80" s="161"/>
      <c r="BC80" s="162"/>
    </row>
    <row r="81" spans="1:55" ht="14.95" thickBot="1" x14ac:dyDescent="0.3">
      <c r="A81" s="220">
        <f>+A80</f>
        <v>46080</v>
      </c>
      <c r="B81" s="279">
        <f>DAY(Tabla2[[#This Row],[FECHA]])</f>
        <v>27</v>
      </c>
      <c r="C81" s="199" t="s">
        <v>29</v>
      </c>
      <c r="D81" s="200"/>
      <c r="E81" s="201"/>
      <c r="F81" s="202"/>
      <c r="G81" s="202"/>
      <c r="H81" s="201"/>
      <c r="I81" s="408">
        <f>((Tabla2[[#This Row],[VOLUMEN ENVIADO A RO (m3)]]/80)/3)*60</f>
        <v>42.650500000000001</v>
      </c>
      <c r="J81" s="397">
        <v>0</v>
      </c>
      <c r="K81" s="398">
        <v>10</v>
      </c>
      <c r="L81" s="399">
        <v>12</v>
      </c>
      <c r="M81" s="398">
        <v>0</v>
      </c>
      <c r="N81" s="399">
        <v>0</v>
      </c>
      <c r="O81" s="261">
        <f t="shared" si="40"/>
        <v>0</v>
      </c>
      <c r="P81" s="262">
        <f t="shared" si="41"/>
        <v>87.719298245614041</v>
      </c>
      <c r="Q81" s="262">
        <f t="shared" si="41"/>
        <v>105.26315789473685</v>
      </c>
      <c r="R81" s="262">
        <f t="shared" si="42"/>
        <v>0</v>
      </c>
      <c r="S81" s="262">
        <f t="shared" si="43"/>
        <v>0</v>
      </c>
      <c r="T81" s="257">
        <f t="shared" si="56"/>
        <v>0</v>
      </c>
      <c r="U81" s="258">
        <f>P81-P82+1000</f>
        <v>17.543859649122624</v>
      </c>
      <c r="V81" s="258">
        <f>Q81-Q82+1000</f>
        <v>122.80701754385962</v>
      </c>
      <c r="W81" s="258">
        <f t="shared" si="59"/>
        <v>0</v>
      </c>
      <c r="X81" s="259">
        <f t="shared" si="60"/>
        <v>0</v>
      </c>
      <c r="Y81" s="264">
        <v>1.18</v>
      </c>
      <c r="Z81" s="264">
        <v>1.28</v>
      </c>
      <c r="AA81" s="264">
        <v>1.2</v>
      </c>
      <c r="AB81" s="264">
        <v>1.53</v>
      </c>
      <c r="AC81" s="264">
        <v>1.2</v>
      </c>
      <c r="AD81" s="257">
        <f t="shared" si="44"/>
        <v>0</v>
      </c>
      <c r="AE81" s="258">
        <f t="shared" si="44"/>
        <v>22.456140350876957</v>
      </c>
      <c r="AF81" s="258">
        <f t="shared" si="44"/>
        <v>147.36842105263153</v>
      </c>
      <c r="AG81" s="258">
        <f t="shared" si="45"/>
        <v>0</v>
      </c>
      <c r="AH81" s="259">
        <f t="shared" si="46"/>
        <v>0</v>
      </c>
      <c r="AI81" s="431">
        <v>170.602</v>
      </c>
      <c r="AJ81" s="195">
        <f t="shared" si="47"/>
        <v>0</v>
      </c>
      <c r="AK81" s="196">
        <f t="shared" si="48"/>
        <v>131.62882235188894</v>
      </c>
      <c r="AL81" s="196">
        <f t="shared" si="49"/>
        <v>863.81414668427999</v>
      </c>
      <c r="AM81" s="196">
        <f t="shared" si="50"/>
        <v>0</v>
      </c>
      <c r="AN81" s="197">
        <f t="shared" si="51"/>
        <v>0</v>
      </c>
      <c r="AO81" s="166">
        <f t="shared" si="61"/>
        <v>1550</v>
      </c>
      <c r="AP81" s="167">
        <f t="shared" si="62"/>
        <v>19160</v>
      </c>
      <c r="AQ81" s="167">
        <f t="shared" si="63"/>
        <v>36239</v>
      </c>
      <c r="AR81" s="167">
        <f t="shared" si="64"/>
        <v>1560</v>
      </c>
      <c r="AS81" s="168">
        <f t="shared" si="65"/>
        <v>3640</v>
      </c>
      <c r="AT81" s="166">
        <f t="shared" si="52"/>
        <v>0</v>
      </c>
      <c r="AU81" s="167">
        <f t="shared" si="66"/>
        <v>5163.1157894736298</v>
      </c>
      <c r="AV81" s="167">
        <f>AQ81*(AF81*0.044)</f>
        <v>234981.30526315782</v>
      </c>
      <c r="AW81" s="167">
        <f t="shared" si="53"/>
        <v>0</v>
      </c>
      <c r="AX81" s="168">
        <f t="shared" si="54"/>
        <v>0</v>
      </c>
      <c r="AY81" s="166">
        <f t="shared" si="55"/>
        <v>240144.42105263146</v>
      </c>
      <c r="AZ81" s="167">
        <v>1000</v>
      </c>
      <c r="BA81" s="167">
        <f>AY81/AI81</f>
        <v>1407.6295767495776</v>
      </c>
      <c r="BB81" s="161"/>
      <c r="BC81" s="162"/>
    </row>
    <row r="82" spans="1:55" ht="14.95" thickBot="1" x14ac:dyDescent="0.3">
      <c r="A82" s="221">
        <f>+A81</f>
        <v>46080</v>
      </c>
      <c r="B82" s="280">
        <f>DAY(Tabla2[[#This Row],[FECHA]])</f>
        <v>27</v>
      </c>
      <c r="C82" s="204" t="s">
        <v>30</v>
      </c>
      <c r="D82" s="205"/>
      <c r="E82" s="206"/>
      <c r="F82" s="207"/>
      <c r="G82" s="208"/>
      <c r="H82" s="209"/>
      <c r="I82" s="408">
        <f>((Tabla2[[#This Row],[VOLUMEN ENVIADO A RO (m3)]]/80)/3)*60</f>
        <v>73.32674999999999</v>
      </c>
      <c r="J82" s="400">
        <v>0</v>
      </c>
      <c r="K82" s="401">
        <v>122</v>
      </c>
      <c r="L82" s="402">
        <v>112</v>
      </c>
      <c r="M82" s="401">
        <v>0</v>
      </c>
      <c r="N82" s="402">
        <v>0</v>
      </c>
      <c r="O82" s="261">
        <f t="shared" si="40"/>
        <v>0</v>
      </c>
      <c r="P82" s="266">
        <f t="shared" si="41"/>
        <v>1070.1754385964914</v>
      </c>
      <c r="Q82" s="266">
        <f t="shared" si="41"/>
        <v>982.45614035087726</v>
      </c>
      <c r="R82" s="266">
        <f t="shared" si="42"/>
        <v>0</v>
      </c>
      <c r="S82" s="266">
        <f t="shared" si="43"/>
        <v>0</v>
      </c>
      <c r="T82" s="257">
        <f t="shared" si="56"/>
        <v>0</v>
      </c>
      <c r="U82" s="258">
        <f t="shared" si="57"/>
        <v>17.543859649122851</v>
      </c>
      <c r="V82" s="258">
        <f t="shared" si="58"/>
        <v>17.543859649122851</v>
      </c>
      <c r="W82" s="258">
        <f t="shared" si="59"/>
        <v>0</v>
      </c>
      <c r="X82" s="259">
        <f t="shared" si="60"/>
        <v>0</v>
      </c>
      <c r="Y82" s="264">
        <v>1.18</v>
      </c>
      <c r="Z82" s="264">
        <v>1.28</v>
      </c>
      <c r="AA82" s="264">
        <v>1.2</v>
      </c>
      <c r="AB82" s="264">
        <v>1.53</v>
      </c>
      <c r="AC82" s="264">
        <v>1.2</v>
      </c>
      <c r="AD82" s="268">
        <f t="shared" si="44"/>
        <v>0</v>
      </c>
      <c r="AE82" s="269">
        <f t="shared" si="44"/>
        <v>22.456140350877249</v>
      </c>
      <c r="AF82" s="269">
        <f t="shared" si="44"/>
        <v>21.05263157894742</v>
      </c>
      <c r="AG82" s="269">
        <f t="shared" si="45"/>
        <v>0</v>
      </c>
      <c r="AH82" s="270">
        <f t="shared" si="46"/>
        <v>0</v>
      </c>
      <c r="AI82" s="432">
        <v>293.30700000000002</v>
      </c>
      <c r="AJ82" s="210">
        <f t="shared" si="47"/>
        <v>0</v>
      </c>
      <c r="AK82" s="211">
        <f t="shared" si="48"/>
        <v>76.561897093752449</v>
      </c>
      <c r="AL82" s="211">
        <f t="shared" si="49"/>
        <v>71.776778525392913</v>
      </c>
      <c r="AM82" s="211">
        <f t="shared" si="50"/>
        <v>0</v>
      </c>
      <c r="AN82" s="212">
        <f t="shared" si="51"/>
        <v>0</v>
      </c>
      <c r="AO82" s="166">
        <f t="shared" si="61"/>
        <v>1550</v>
      </c>
      <c r="AP82" s="167">
        <f t="shared" si="62"/>
        <v>19160</v>
      </c>
      <c r="AQ82" s="167">
        <f t="shared" si="63"/>
        <v>36239</v>
      </c>
      <c r="AR82" s="167">
        <f t="shared" si="64"/>
        <v>1560</v>
      </c>
      <c r="AS82" s="168">
        <f t="shared" si="65"/>
        <v>3640</v>
      </c>
      <c r="AT82" s="169">
        <f t="shared" si="52"/>
        <v>0</v>
      </c>
      <c r="AU82" s="170">
        <f t="shared" si="66"/>
        <v>5163.1157894736971</v>
      </c>
      <c r="AV82" s="170">
        <f t="shared" si="67"/>
        <v>33568.757894736926</v>
      </c>
      <c r="AW82" s="170">
        <f t="shared" si="53"/>
        <v>0</v>
      </c>
      <c r="AX82" s="171">
        <f t="shared" si="54"/>
        <v>0</v>
      </c>
      <c r="AY82" s="169">
        <f t="shared" si="55"/>
        <v>38731.873684210623</v>
      </c>
      <c r="AZ82" s="170">
        <v>1000</v>
      </c>
      <c r="BA82" s="170">
        <f t="shared" si="68"/>
        <v>132.05233316699096</v>
      </c>
      <c r="BB82" s="160"/>
      <c r="BC82" s="163"/>
    </row>
    <row r="83" spans="1:55" ht="14.95" thickBot="1" x14ac:dyDescent="0.3">
      <c r="A83" s="213">
        <f>+A82+1</f>
        <v>46081</v>
      </c>
      <c r="B83" s="281">
        <f>DAY(Tabla2[[#This Row],[FECHA]])</f>
        <v>28</v>
      </c>
      <c r="C83" s="225" t="s">
        <v>28</v>
      </c>
      <c r="D83" s="214"/>
      <c r="E83" s="215"/>
      <c r="F83" s="216"/>
      <c r="G83" s="216"/>
      <c r="H83" s="215"/>
      <c r="I83" s="408">
        <f>((Tabla2[[#This Row],[VOLUMEN ENVIADO A RO (m3)]]/80)/3)*60</f>
        <v>67.16825</v>
      </c>
      <c r="J83" s="394">
        <v>0</v>
      </c>
      <c r="K83" s="395">
        <v>120</v>
      </c>
      <c r="L83" s="396">
        <v>110</v>
      </c>
      <c r="M83" s="395">
        <v>0</v>
      </c>
      <c r="N83" s="396">
        <v>0</v>
      </c>
      <c r="O83" s="261">
        <f t="shared" si="40"/>
        <v>0</v>
      </c>
      <c r="P83" s="272">
        <f t="shared" si="41"/>
        <v>1052.6315789473686</v>
      </c>
      <c r="Q83" s="255">
        <f t="shared" si="41"/>
        <v>964.91228070175441</v>
      </c>
      <c r="R83" s="272">
        <f t="shared" si="42"/>
        <v>0</v>
      </c>
      <c r="S83" s="272">
        <f t="shared" si="43"/>
        <v>0</v>
      </c>
      <c r="T83" s="257">
        <f t="shared" si="56"/>
        <v>0</v>
      </c>
      <c r="U83" s="258">
        <f t="shared" si="57"/>
        <v>87.719298245614141</v>
      </c>
      <c r="V83" s="258">
        <f t="shared" si="58"/>
        <v>70.175438596491176</v>
      </c>
      <c r="W83" s="258">
        <f t="shared" si="59"/>
        <v>0</v>
      </c>
      <c r="X83" s="259">
        <f t="shared" si="60"/>
        <v>0</v>
      </c>
      <c r="Y83" s="264">
        <v>1.18</v>
      </c>
      <c r="Z83" s="264">
        <v>1.28</v>
      </c>
      <c r="AA83" s="264">
        <v>1.2</v>
      </c>
      <c r="AB83" s="264">
        <v>1.53</v>
      </c>
      <c r="AC83" s="264">
        <v>1.2</v>
      </c>
      <c r="AD83" s="273">
        <f t="shared" si="44"/>
        <v>0</v>
      </c>
      <c r="AE83" s="274">
        <f t="shared" si="44"/>
        <v>112.2807017543861</v>
      </c>
      <c r="AF83" s="274">
        <f t="shared" si="44"/>
        <v>84.210526315789409</v>
      </c>
      <c r="AG83" s="274">
        <f t="shared" si="45"/>
        <v>0</v>
      </c>
      <c r="AH83" s="275">
        <f t="shared" si="46"/>
        <v>0</v>
      </c>
      <c r="AI83" s="430">
        <v>268.673</v>
      </c>
      <c r="AJ83" s="217">
        <f t="shared" si="47"/>
        <v>0</v>
      </c>
      <c r="AK83" s="218">
        <f t="shared" si="48"/>
        <v>417.90839330482072</v>
      </c>
      <c r="AL83" s="218">
        <f t="shared" si="49"/>
        <v>313.43129497861491</v>
      </c>
      <c r="AM83" s="218">
        <f t="shared" si="50"/>
        <v>0</v>
      </c>
      <c r="AN83" s="219">
        <f t="shared" si="51"/>
        <v>0</v>
      </c>
      <c r="AO83" s="166">
        <f t="shared" si="61"/>
        <v>1550</v>
      </c>
      <c r="AP83" s="167">
        <f t="shared" si="62"/>
        <v>19160</v>
      </c>
      <c r="AQ83" s="167">
        <f t="shared" si="63"/>
        <v>36239</v>
      </c>
      <c r="AR83" s="167">
        <f t="shared" si="64"/>
        <v>1560</v>
      </c>
      <c r="AS83" s="168">
        <f t="shared" si="65"/>
        <v>3640</v>
      </c>
      <c r="AT83" s="166">
        <f t="shared" si="52"/>
        <v>0</v>
      </c>
      <c r="AU83" s="167">
        <f t="shared" si="66"/>
        <v>25815.578947368456</v>
      </c>
      <c r="AV83" s="167">
        <f t="shared" si="67"/>
        <v>134275.03157894727</v>
      </c>
      <c r="AW83" s="167">
        <f t="shared" si="53"/>
        <v>0</v>
      </c>
      <c r="AX83" s="168">
        <f t="shared" si="54"/>
        <v>0</v>
      </c>
      <c r="AY83" s="166">
        <f t="shared" si="55"/>
        <v>160090.61052631572</v>
      </c>
      <c r="AZ83" s="167">
        <v>1000</v>
      </c>
      <c r="BA83" s="167">
        <f t="shared" si="68"/>
        <v>595.85671253276553</v>
      </c>
      <c r="BB83" s="161"/>
      <c r="BC83" s="162"/>
    </row>
    <row r="84" spans="1:55" ht="14.95" thickBot="1" x14ac:dyDescent="0.3">
      <c r="A84" s="220">
        <f>+A83</f>
        <v>46081</v>
      </c>
      <c r="B84" s="279">
        <f>DAY(Tabla2[[#This Row],[FECHA]])</f>
        <v>28</v>
      </c>
      <c r="C84" s="199" t="s">
        <v>29</v>
      </c>
      <c r="D84" s="200"/>
      <c r="E84" s="201"/>
      <c r="F84" s="202"/>
      <c r="G84" s="202"/>
      <c r="H84" s="201"/>
      <c r="I84" s="408">
        <f>((Tabla2[[#This Row],[VOLUMEN ENVIADO A RO (m3)]]/80)/3)*60</f>
        <v>80.659749999999988</v>
      </c>
      <c r="J84" s="397">
        <v>0</v>
      </c>
      <c r="K84" s="401">
        <v>110</v>
      </c>
      <c r="L84" s="402">
        <v>102</v>
      </c>
      <c r="M84" s="398">
        <v>0</v>
      </c>
      <c r="N84" s="399">
        <v>0</v>
      </c>
      <c r="O84" s="261">
        <f t="shared" si="40"/>
        <v>0</v>
      </c>
      <c r="P84" s="262">
        <f t="shared" si="41"/>
        <v>964.91228070175441</v>
      </c>
      <c r="Q84" s="262">
        <f t="shared" si="41"/>
        <v>894.73684210526324</v>
      </c>
      <c r="R84" s="262">
        <f t="shared" si="42"/>
        <v>0</v>
      </c>
      <c r="S84" s="262">
        <f t="shared" si="43"/>
        <v>0</v>
      </c>
      <c r="T84" s="257">
        <f t="shared" si="56"/>
        <v>0</v>
      </c>
      <c r="U84" s="258">
        <f t="shared" si="57"/>
        <v>0</v>
      </c>
      <c r="V84" s="258">
        <f>Q84-Q85</f>
        <v>192.98245614035091</v>
      </c>
      <c r="W84" s="258">
        <f t="shared" si="59"/>
        <v>0</v>
      </c>
      <c r="X84" s="259">
        <f t="shared" si="60"/>
        <v>0</v>
      </c>
      <c r="Y84" s="264">
        <v>1.18</v>
      </c>
      <c r="Z84" s="264">
        <v>1.28</v>
      </c>
      <c r="AA84" s="264">
        <v>1.2</v>
      </c>
      <c r="AB84" s="264">
        <v>1.53</v>
      </c>
      <c r="AC84" s="264">
        <v>1.2</v>
      </c>
      <c r="AD84" s="257">
        <f t="shared" si="44"/>
        <v>0</v>
      </c>
      <c r="AE84" s="258">
        <f t="shared" si="44"/>
        <v>0</v>
      </c>
      <c r="AF84" s="258">
        <f>V84*AA84</f>
        <v>231.57894736842107</v>
      </c>
      <c r="AG84" s="258">
        <f t="shared" si="45"/>
        <v>0</v>
      </c>
      <c r="AH84" s="259">
        <f t="shared" si="46"/>
        <v>0</v>
      </c>
      <c r="AI84" s="431">
        <v>322.63900000000001</v>
      </c>
      <c r="AJ84" s="195">
        <f t="shared" si="47"/>
        <v>0</v>
      </c>
      <c r="AK84" s="196">
        <f t="shared" si="48"/>
        <v>0</v>
      </c>
      <c r="AL84" s="196">
        <f t="shared" si="49"/>
        <v>717.76489317293033</v>
      </c>
      <c r="AM84" s="196">
        <f t="shared" si="50"/>
        <v>0</v>
      </c>
      <c r="AN84" s="197">
        <f t="shared" si="51"/>
        <v>0</v>
      </c>
      <c r="AO84" s="166">
        <f t="shared" si="61"/>
        <v>1550</v>
      </c>
      <c r="AP84" s="167">
        <f t="shared" si="62"/>
        <v>19160</v>
      </c>
      <c r="AQ84" s="167">
        <f t="shared" si="63"/>
        <v>36239</v>
      </c>
      <c r="AR84" s="167">
        <f t="shared" si="64"/>
        <v>1560</v>
      </c>
      <c r="AS84" s="168">
        <f t="shared" si="65"/>
        <v>3640</v>
      </c>
      <c r="AT84" s="166">
        <f t="shared" si="52"/>
        <v>0</v>
      </c>
      <c r="AU84" s="167">
        <f t="shared" si="66"/>
        <v>0</v>
      </c>
      <c r="AV84" s="167">
        <f t="shared" si="67"/>
        <v>369256.33684210526</v>
      </c>
      <c r="AW84" s="167">
        <f t="shared" si="53"/>
        <v>0</v>
      </c>
      <c r="AX84" s="168">
        <f t="shared" si="54"/>
        <v>0</v>
      </c>
      <c r="AY84" s="166">
        <f t="shared" si="55"/>
        <v>369256.33684210526</v>
      </c>
      <c r="AZ84" s="167">
        <v>1000</v>
      </c>
      <c r="BA84" s="167">
        <f t="shared" si="68"/>
        <v>1144.4876064025279</v>
      </c>
      <c r="BB84" s="161"/>
      <c r="BC84" s="162"/>
    </row>
    <row r="85" spans="1:55" ht="14.95" thickBot="1" x14ac:dyDescent="0.3">
      <c r="A85" s="221">
        <f>+A84</f>
        <v>46081</v>
      </c>
      <c r="B85" s="280">
        <f>DAY(Tabla2[[#This Row],[FECHA]])</f>
        <v>28</v>
      </c>
      <c r="C85" s="204" t="s">
        <v>30</v>
      </c>
      <c r="D85" s="205"/>
      <c r="E85" s="206"/>
      <c r="F85" s="207"/>
      <c r="G85" s="208"/>
      <c r="H85" s="209"/>
      <c r="I85" s="408">
        <f>((Tabla2[[#This Row],[VOLUMEN ENVIADO A RO (m3)]]/80)/3)*60</f>
        <v>39.264749999999999</v>
      </c>
      <c r="J85" s="400">
        <v>0</v>
      </c>
      <c r="K85" s="395">
        <v>110</v>
      </c>
      <c r="L85" s="396">
        <v>80</v>
      </c>
      <c r="M85" s="401">
        <v>0</v>
      </c>
      <c r="N85" s="402">
        <v>0</v>
      </c>
      <c r="O85" s="261">
        <f t="shared" si="40"/>
        <v>0</v>
      </c>
      <c r="P85" s="266">
        <f t="shared" si="41"/>
        <v>964.91228070175441</v>
      </c>
      <c r="Q85" s="266">
        <f t="shared" si="41"/>
        <v>701.75438596491233</v>
      </c>
      <c r="R85" s="266">
        <f t="shared" si="42"/>
        <v>0</v>
      </c>
      <c r="S85" s="266">
        <f t="shared" si="43"/>
        <v>0</v>
      </c>
      <c r="T85" s="257">
        <f t="shared" si="56"/>
        <v>0</v>
      </c>
      <c r="U85" s="258">
        <f t="shared" si="57"/>
        <v>0</v>
      </c>
      <c r="V85" s="258">
        <f t="shared" si="58"/>
        <v>0</v>
      </c>
      <c r="W85" s="258">
        <f t="shared" si="59"/>
        <v>0</v>
      </c>
      <c r="X85" s="259">
        <f t="shared" si="60"/>
        <v>0</v>
      </c>
      <c r="Y85" s="264">
        <v>1.18</v>
      </c>
      <c r="Z85" s="264">
        <v>1.28</v>
      </c>
      <c r="AA85" s="264">
        <v>1.2</v>
      </c>
      <c r="AB85" s="264">
        <v>1.53</v>
      </c>
      <c r="AC85" s="264">
        <v>1.2</v>
      </c>
      <c r="AD85" s="268">
        <f t="shared" si="44"/>
        <v>0</v>
      </c>
      <c r="AE85" s="269">
        <f t="shared" si="44"/>
        <v>0</v>
      </c>
      <c r="AF85" s="269">
        <f t="shared" si="44"/>
        <v>0</v>
      </c>
      <c r="AG85" s="269">
        <f t="shared" si="45"/>
        <v>0</v>
      </c>
      <c r="AH85" s="270">
        <f t="shared" si="46"/>
        <v>0</v>
      </c>
      <c r="AI85" s="432">
        <v>157.059</v>
      </c>
      <c r="AJ85" s="210">
        <f t="shared" si="47"/>
        <v>0</v>
      </c>
      <c r="AK85" s="211">
        <f t="shared" si="48"/>
        <v>0</v>
      </c>
      <c r="AL85" s="211">
        <f t="shared" si="49"/>
        <v>0</v>
      </c>
      <c r="AM85" s="211">
        <f t="shared" si="50"/>
        <v>0</v>
      </c>
      <c r="AN85" s="212">
        <f t="shared" si="51"/>
        <v>0</v>
      </c>
      <c r="AO85" s="166">
        <f t="shared" si="61"/>
        <v>1550</v>
      </c>
      <c r="AP85" s="167">
        <f t="shared" si="62"/>
        <v>19160</v>
      </c>
      <c r="AQ85" s="167">
        <f t="shared" si="63"/>
        <v>36239</v>
      </c>
      <c r="AR85" s="167">
        <f t="shared" si="64"/>
        <v>1560</v>
      </c>
      <c r="AS85" s="168">
        <f t="shared" si="65"/>
        <v>3640</v>
      </c>
      <c r="AT85" s="169">
        <f t="shared" si="52"/>
        <v>0</v>
      </c>
      <c r="AU85" s="170">
        <f t="shared" si="66"/>
        <v>0</v>
      </c>
      <c r="AV85" s="170">
        <f t="shared" si="67"/>
        <v>0</v>
      </c>
      <c r="AW85" s="170">
        <f t="shared" si="53"/>
        <v>0</v>
      </c>
      <c r="AX85" s="171">
        <f t="shared" si="54"/>
        <v>0</v>
      </c>
      <c r="AY85" s="169">
        <f t="shared" si="55"/>
        <v>0</v>
      </c>
      <c r="AZ85" s="170">
        <v>1000</v>
      </c>
      <c r="BA85" s="170">
        <f t="shared" si="68"/>
        <v>0</v>
      </c>
      <c r="BB85" s="160"/>
      <c r="BC85" s="163"/>
    </row>
    <row r="86" spans="1:55" ht="14.95" thickBot="1" x14ac:dyDescent="0.3">
      <c r="A86" s="213">
        <f>+A85+1</f>
        <v>46082</v>
      </c>
      <c r="B86" s="281">
        <f>DAY(Tabla2[[#This Row],[FECHA]])</f>
        <v>1</v>
      </c>
      <c r="C86" s="225" t="s">
        <v>28</v>
      </c>
      <c r="D86" s="214"/>
      <c r="E86" s="215"/>
      <c r="F86" s="216"/>
      <c r="G86" s="216"/>
      <c r="H86" s="215"/>
      <c r="I86" s="408">
        <f>((Tabla2[[#This Row],[VOLUMEN ENVIADO A RO (m3)]]/80)/3)*60</f>
        <v>0</v>
      </c>
      <c r="J86" s="400">
        <v>0</v>
      </c>
      <c r="K86" s="401">
        <v>110</v>
      </c>
      <c r="L86" s="402">
        <v>80</v>
      </c>
      <c r="M86" s="401">
        <v>0</v>
      </c>
      <c r="N86" s="402">
        <v>0</v>
      </c>
      <c r="O86" s="261">
        <f t="shared" si="40"/>
        <v>0</v>
      </c>
      <c r="P86" s="272">
        <f t="shared" si="41"/>
        <v>964.91228070175441</v>
      </c>
      <c r="Q86" s="255">
        <f t="shared" si="41"/>
        <v>701.75438596491233</v>
      </c>
      <c r="R86" s="272">
        <f t="shared" si="42"/>
        <v>0</v>
      </c>
      <c r="S86" s="272">
        <f t="shared" si="43"/>
        <v>0</v>
      </c>
      <c r="T86" s="257">
        <f t="shared" si="56"/>
        <v>0</v>
      </c>
      <c r="U86" s="258">
        <f t="shared" si="57"/>
        <v>964.91228070175441</v>
      </c>
      <c r="V86" s="258">
        <f t="shared" si="58"/>
        <v>701.75438596491233</v>
      </c>
      <c r="W86" s="258">
        <f t="shared" si="59"/>
        <v>0</v>
      </c>
      <c r="X86" s="259">
        <f t="shared" si="60"/>
        <v>0</v>
      </c>
      <c r="Y86" s="264">
        <v>1.18</v>
      </c>
      <c r="Z86" s="264">
        <v>1.28</v>
      </c>
      <c r="AA86" s="264">
        <v>1.2</v>
      </c>
      <c r="AB86" s="264">
        <v>1.53</v>
      </c>
      <c r="AC86" s="264">
        <v>1.2</v>
      </c>
      <c r="AD86" s="273">
        <f t="shared" si="44"/>
        <v>0</v>
      </c>
      <c r="AE86" s="274">
        <f t="shared" si="44"/>
        <v>1235.0877192982457</v>
      </c>
      <c r="AF86" s="274">
        <f t="shared" si="44"/>
        <v>842.1052631578948</v>
      </c>
      <c r="AG86" s="269">
        <f t="shared" ref="AG86" si="69">W86*AB86</f>
        <v>0</v>
      </c>
      <c r="AH86" s="270">
        <f t="shared" ref="AH86" si="70">X86*AC86</f>
        <v>0</v>
      </c>
      <c r="AI86" s="430">
        <v>0</v>
      </c>
      <c r="AJ86" s="217" t="e">
        <f t="shared" si="47"/>
        <v>#DIV/0!</v>
      </c>
      <c r="AK86" s="218" t="e">
        <f t="shared" si="48"/>
        <v>#DIV/0!</v>
      </c>
      <c r="AL86" s="218" t="e">
        <f t="shared" si="49"/>
        <v>#DIV/0!</v>
      </c>
      <c r="AM86" s="218" t="e">
        <f t="shared" si="50"/>
        <v>#DIV/0!</v>
      </c>
      <c r="AN86" s="219" t="e">
        <f t="shared" si="51"/>
        <v>#DIV/0!</v>
      </c>
      <c r="AO86" s="166">
        <f t="shared" si="61"/>
        <v>1550</v>
      </c>
      <c r="AP86" s="167">
        <f t="shared" si="62"/>
        <v>19160</v>
      </c>
      <c r="AQ86" s="167">
        <f t="shared" si="63"/>
        <v>36239</v>
      </c>
      <c r="AR86" s="167">
        <f t="shared" si="64"/>
        <v>1560</v>
      </c>
      <c r="AS86" s="168">
        <f t="shared" si="65"/>
        <v>3640</v>
      </c>
      <c r="AT86" s="166">
        <f t="shared" si="52"/>
        <v>0</v>
      </c>
      <c r="AU86" s="167">
        <f t="shared" si="66"/>
        <v>283971.36842105264</v>
      </c>
      <c r="AV86" s="167">
        <f t="shared" si="67"/>
        <v>1342750.3157894737</v>
      </c>
      <c r="AW86" s="167">
        <f t="shared" si="53"/>
        <v>0</v>
      </c>
      <c r="AX86" s="168">
        <f t="shared" si="54"/>
        <v>0</v>
      </c>
      <c r="AY86" s="166">
        <f t="shared" si="55"/>
        <v>1626721.6842105263</v>
      </c>
      <c r="AZ86" s="167">
        <v>1000</v>
      </c>
      <c r="BA86" s="167" t="e">
        <f t="shared" si="68"/>
        <v>#DIV/0!</v>
      </c>
      <c r="BB86" s="161"/>
      <c r="BC86" s="162"/>
    </row>
    <row r="87" spans="1:55" ht="14.95" thickBot="1" x14ac:dyDescent="0.3">
      <c r="A87" s="220">
        <f>+A86</f>
        <v>46082</v>
      </c>
      <c r="B87" s="279">
        <f>DAY(Tabla2[[#This Row],[FECHA]])</f>
        <v>1</v>
      </c>
      <c r="C87" s="199" t="s">
        <v>29</v>
      </c>
      <c r="D87" s="200"/>
      <c r="E87" s="201"/>
      <c r="F87" s="202"/>
      <c r="G87" s="202"/>
      <c r="H87" s="201"/>
      <c r="I87" s="408">
        <f>((Tabla2[[#This Row],[VOLUMEN ENVIADO A RO (m3)]]/80)/3)*60</f>
        <v>0</v>
      </c>
      <c r="J87" s="400">
        <v>0</v>
      </c>
      <c r="K87" s="395">
        <v>0</v>
      </c>
      <c r="L87" s="396">
        <v>0</v>
      </c>
      <c r="M87" s="401">
        <v>0</v>
      </c>
      <c r="N87" s="402">
        <v>0</v>
      </c>
      <c r="O87" s="261">
        <f t="shared" ref="O87:O95" si="71">J87*(1000/114)</f>
        <v>0</v>
      </c>
      <c r="P87" s="262">
        <f t="shared" si="41"/>
        <v>0</v>
      </c>
      <c r="Q87" s="262">
        <f t="shared" si="41"/>
        <v>0</v>
      </c>
      <c r="R87" s="262">
        <f t="shared" si="42"/>
        <v>0</v>
      </c>
      <c r="S87" s="262">
        <f t="shared" si="43"/>
        <v>0</v>
      </c>
      <c r="T87" s="257">
        <f t="shared" si="56"/>
        <v>0</v>
      </c>
      <c r="U87" s="258">
        <f t="shared" si="57"/>
        <v>0</v>
      </c>
      <c r="V87" s="258">
        <f t="shared" si="58"/>
        <v>0</v>
      </c>
      <c r="W87" s="258">
        <f t="shared" si="59"/>
        <v>0</v>
      </c>
      <c r="X87" s="259">
        <f t="shared" si="60"/>
        <v>0</v>
      </c>
      <c r="Y87" s="264">
        <v>1.18</v>
      </c>
      <c r="Z87" s="264">
        <v>1.28</v>
      </c>
      <c r="AA87" s="264">
        <v>1.2</v>
      </c>
      <c r="AB87" s="264">
        <v>1.53</v>
      </c>
      <c r="AC87" s="264">
        <v>1.2</v>
      </c>
      <c r="AD87" s="257">
        <f t="shared" si="44"/>
        <v>0</v>
      </c>
      <c r="AE87" s="258">
        <f t="shared" si="44"/>
        <v>0</v>
      </c>
      <c r="AF87" s="258">
        <f t="shared" si="44"/>
        <v>0</v>
      </c>
      <c r="AG87" s="258">
        <f t="shared" si="45"/>
        <v>0</v>
      </c>
      <c r="AH87" s="259">
        <f t="shared" si="46"/>
        <v>0</v>
      </c>
      <c r="AI87" s="431"/>
      <c r="AJ87" s="195" t="e">
        <f t="shared" si="47"/>
        <v>#DIV/0!</v>
      </c>
      <c r="AK87" s="196" t="e">
        <f t="shared" si="48"/>
        <v>#DIV/0!</v>
      </c>
      <c r="AL87" s="196" t="e">
        <f t="shared" si="49"/>
        <v>#DIV/0!</v>
      </c>
      <c r="AM87" s="196" t="e">
        <f t="shared" si="50"/>
        <v>#DIV/0!</v>
      </c>
      <c r="AN87" s="197" t="e">
        <f t="shared" si="51"/>
        <v>#DIV/0!</v>
      </c>
      <c r="AO87" s="166">
        <f t="shared" si="61"/>
        <v>1550</v>
      </c>
      <c r="AP87" s="167">
        <f t="shared" si="62"/>
        <v>19160</v>
      </c>
      <c r="AQ87" s="167">
        <f t="shared" si="63"/>
        <v>36239</v>
      </c>
      <c r="AR87" s="167">
        <f t="shared" si="64"/>
        <v>1560</v>
      </c>
      <c r="AS87" s="168">
        <f t="shared" si="65"/>
        <v>3640</v>
      </c>
      <c r="AT87" s="166">
        <f t="shared" si="52"/>
        <v>0</v>
      </c>
      <c r="AU87" s="167">
        <f t="shared" si="66"/>
        <v>0</v>
      </c>
      <c r="AV87" s="167">
        <f t="shared" si="67"/>
        <v>0</v>
      </c>
      <c r="AW87" s="167">
        <f t="shared" si="53"/>
        <v>0</v>
      </c>
      <c r="AX87" s="168">
        <f t="shared" si="54"/>
        <v>0</v>
      </c>
      <c r="AY87" s="166">
        <f t="shared" si="55"/>
        <v>0</v>
      </c>
      <c r="AZ87" s="167">
        <v>1000</v>
      </c>
      <c r="BA87" s="167" t="e">
        <f t="shared" si="68"/>
        <v>#DIV/0!</v>
      </c>
      <c r="BB87" s="161"/>
      <c r="BC87" s="162"/>
    </row>
    <row r="88" spans="1:55" ht="14.95" thickBot="1" x14ac:dyDescent="0.3">
      <c r="A88" s="221">
        <f>+A87</f>
        <v>46082</v>
      </c>
      <c r="B88" s="280">
        <f>DAY(Tabla2[[#This Row],[FECHA]])</f>
        <v>1</v>
      </c>
      <c r="C88" s="204" t="s">
        <v>30</v>
      </c>
      <c r="D88" s="205"/>
      <c r="E88" s="206"/>
      <c r="F88" s="207"/>
      <c r="G88" s="208"/>
      <c r="H88" s="209"/>
      <c r="I88" s="408">
        <f>((Tabla2[[#This Row],[VOLUMEN ENVIADO A RO (m3)]]/80)/3)*60</f>
        <v>0</v>
      </c>
      <c r="J88" s="400">
        <v>0</v>
      </c>
      <c r="K88" s="401">
        <v>0</v>
      </c>
      <c r="L88" s="402">
        <v>0</v>
      </c>
      <c r="M88" s="401">
        <v>0</v>
      </c>
      <c r="N88" s="402">
        <v>0</v>
      </c>
      <c r="O88" s="265">
        <f t="shared" si="71"/>
        <v>0</v>
      </c>
      <c r="P88" s="266">
        <f t="shared" si="41"/>
        <v>0</v>
      </c>
      <c r="Q88" s="266">
        <f t="shared" si="41"/>
        <v>0</v>
      </c>
      <c r="R88" s="266">
        <f t="shared" si="42"/>
        <v>0</v>
      </c>
      <c r="S88" s="266">
        <f t="shared" si="43"/>
        <v>0</v>
      </c>
      <c r="T88" s="257">
        <f t="shared" si="56"/>
        <v>0</v>
      </c>
      <c r="U88" s="258">
        <f t="shared" si="57"/>
        <v>0</v>
      </c>
      <c r="V88" s="258">
        <f t="shared" si="58"/>
        <v>0</v>
      </c>
      <c r="W88" s="258">
        <f t="shared" si="59"/>
        <v>0</v>
      </c>
      <c r="X88" s="259">
        <f t="shared" si="60"/>
        <v>0</v>
      </c>
      <c r="Y88" s="264">
        <v>1.18</v>
      </c>
      <c r="Z88" s="264">
        <v>1.28</v>
      </c>
      <c r="AA88" s="264">
        <v>1.2</v>
      </c>
      <c r="AB88" s="264">
        <v>1.53</v>
      </c>
      <c r="AC88" s="264">
        <v>1.2</v>
      </c>
      <c r="AD88" s="268">
        <f t="shared" si="44"/>
        <v>0</v>
      </c>
      <c r="AE88" s="269">
        <f t="shared" si="44"/>
        <v>0</v>
      </c>
      <c r="AF88" s="269">
        <f t="shared" si="44"/>
        <v>0</v>
      </c>
      <c r="AG88" s="269">
        <f t="shared" si="45"/>
        <v>0</v>
      </c>
      <c r="AH88" s="270">
        <f t="shared" si="46"/>
        <v>0</v>
      </c>
      <c r="AI88" s="432"/>
      <c r="AJ88" s="210" t="e">
        <f t="shared" si="47"/>
        <v>#DIV/0!</v>
      </c>
      <c r="AK88" s="211" t="e">
        <f t="shared" si="48"/>
        <v>#DIV/0!</v>
      </c>
      <c r="AL88" s="211" t="e">
        <f t="shared" si="49"/>
        <v>#DIV/0!</v>
      </c>
      <c r="AM88" s="211" t="e">
        <f t="shared" si="50"/>
        <v>#DIV/0!</v>
      </c>
      <c r="AN88" s="212" t="e">
        <f t="shared" si="51"/>
        <v>#DIV/0!</v>
      </c>
      <c r="AO88" s="166">
        <f t="shared" si="61"/>
        <v>1550</v>
      </c>
      <c r="AP88" s="167">
        <f t="shared" si="62"/>
        <v>19160</v>
      </c>
      <c r="AQ88" s="167">
        <f t="shared" si="63"/>
        <v>36239</v>
      </c>
      <c r="AR88" s="167">
        <f t="shared" si="64"/>
        <v>1560</v>
      </c>
      <c r="AS88" s="168">
        <f t="shared" si="65"/>
        <v>3640</v>
      </c>
      <c r="AT88" s="169">
        <f t="shared" si="52"/>
        <v>0</v>
      </c>
      <c r="AU88" s="170">
        <f t="shared" si="66"/>
        <v>0</v>
      </c>
      <c r="AV88" s="170">
        <f t="shared" si="67"/>
        <v>0</v>
      </c>
      <c r="AW88" s="170">
        <f t="shared" si="53"/>
        <v>0</v>
      </c>
      <c r="AX88" s="171">
        <f t="shared" si="54"/>
        <v>0</v>
      </c>
      <c r="AY88" s="169">
        <f t="shared" si="55"/>
        <v>0</v>
      </c>
      <c r="AZ88" s="170">
        <v>1000</v>
      </c>
      <c r="BA88" s="170" t="e">
        <f t="shared" si="68"/>
        <v>#DIV/0!</v>
      </c>
      <c r="BB88" s="160"/>
      <c r="BC88" s="163"/>
    </row>
    <row r="89" spans="1:55" ht="14.95" thickBot="1" x14ac:dyDescent="0.3">
      <c r="A89" s="213">
        <f>+A88+1</f>
        <v>46083</v>
      </c>
      <c r="B89" s="281">
        <f>DAY(Tabla2[[#This Row],[FECHA]])</f>
        <v>2</v>
      </c>
      <c r="C89" s="225" t="s">
        <v>28</v>
      </c>
      <c r="D89" s="214"/>
      <c r="E89" s="215"/>
      <c r="F89" s="216"/>
      <c r="G89" s="216"/>
      <c r="H89" s="215"/>
      <c r="I89" s="408">
        <f>((Tabla2[[#This Row],[VOLUMEN ENVIADO A RO (m3)]]/80)/3)*60</f>
        <v>0</v>
      </c>
      <c r="J89" s="400">
        <v>0</v>
      </c>
      <c r="K89" s="395">
        <v>0</v>
      </c>
      <c r="L89" s="396">
        <v>0</v>
      </c>
      <c r="M89" s="401">
        <v>0</v>
      </c>
      <c r="N89" s="402">
        <v>0</v>
      </c>
      <c r="O89" s="271">
        <f t="shared" si="71"/>
        <v>0</v>
      </c>
      <c r="P89" s="272">
        <f t="shared" si="41"/>
        <v>0</v>
      </c>
      <c r="Q89" s="255">
        <f t="shared" si="41"/>
        <v>0</v>
      </c>
      <c r="R89" s="272">
        <f t="shared" si="42"/>
        <v>0</v>
      </c>
      <c r="S89" s="272">
        <f t="shared" si="43"/>
        <v>0</v>
      </c>
      <c r="T89" s="257">
        <f t="shared" si="56"/>
        <v>0</v>
      </c>
      <c r="U89" s="258">
        <f t="shared" si="57"/>
        <v>0</v>
      </c>
      <c r="V89" s="258">
        <f t="shared" si="58"/>
        <v>0</v>
      </c>
      <c r="W89" s="258">
        <f t="shared" si="59"/>
        <v>0</v>
      </c>
      <c r="X89" s="259">
        <f t="shared" si="60"/>
        <v>0</v>
      </c>
      <c r="Y89" s="264">
        <v>1.18</v>
      </c>
      <c r="Z89" s="264">
        <v>1.28</v>
      </c>
      <c r="AA89" s="264">
        <v>1.2</v>
      </c>
      <c r="AB89" s="264">
        <v>1.53</v>
      </c>
      <c r="AC89" s="264">
        <v>1.2</v>
      </c>
      <c r="AD89" s="273">
        <f t="shared" si="44"/>
        <v>0</v>
      </c>
      <c r="AE89" s="274">
        <f t="shared" si="44"/>
        <v>0</v>
      </c>
      <c r="AF89" s="274">
        <f t="shared" si="44"/>
        <v>0</v>
      </c>
      <c r="AG89" s="274">
        <f t="shared" si="45"/>
        <v>0</v>
      </c>
      <c r="AH89" s="275">
        <f t="shared" si="46"/>
        <v>0</v>
      </c>
      <c r="AI89" s="430"/>
      <c r="AJ89" s="217" t="e">
        <f t="shared" si="47"/>
        <v>#DIV/0!</v>
      </c>
      <c r="AK89" s="218" t="e">
        <f t="shared" si="48"/>
        <v>#DIV/0!</v>
      </c>
      <c r="AL89" s="218" t="e">
        <f t="shared" si="49"/>
        <v>#DIV/0!</v>
      </c>
      <c r="AM89" s="218" t="e">
        <f t="shared" si="50"/>
        <v>#DIV/0!</v>
      </c>
      <c r="AN89" s="219" t="e">
        <f t="shared" si="51"/>
        <v>#DIV/0!</v>
      </c>
      <c r="AO89" s="166">
        <f t="shared" si="61"/>
        <v>1550</v>
      </c>
      <c r="AP89" s="167">
        <f t="shared" si="62"/>
        <v>19160</v>
      </c>
      <c r="AQ89" s="167">
        <f t="shared" si="63"/>
        <v>36239</v>
      </c>
      <c r="AR89" s="167">
        <f t="shared" si="64"/>
        <v>1560</v>
      </c>
      <c r="AS89" s="168">
        <f t="shared" si="65"/>
        <v>3640</v>
      </c>
      <c r="AT89" s="166">
        <f t="shared" si="52"/>
        <v>0</v>
      </c>
      <c r="AU89" s="167">
        <f t="shared" si="66"/>
        <v>0</v>
      </c>
      <c r="AV89" s="167">
        <f t="shared" si="67"/>
        <v>0</v>
      </c>
      <c r="AW89" s="167">
        <f t="shared" si="53"/>
        <v>0</v>
      </c>
      <c r="AX89" s="168">
        <f t="shared" si="54"/>
        <v>0</v>
      </c>
      <c r="AY89" s="166">
        <f t="shared" si="55"/>
        <v>0</v>
      </c>
      <c r="AZ89" s="167">
        <v>1000</v>
      </c>
      <c r="BA89" s="167" t="e">
        <f t="shared" si="68"/>
        <v>#DIV/0!</v>
      </c>
      <c r="BB89" s="161"/>
      <c r="BC89" s="162"/>
    </row>
    <row r="90" spans="1:55" ht="14.95" thickBot="1" x14ac:dyDescent="0.3">
      <c r="A90" s="220">
        <f>+A89</f>
        <v>46083</v>
      </c>
      <c r="B90" s="279">
        <f>DAY(Tabla2[[#This Row],[FECHA]])</f>
        <v>2</v>
      </c>
      <c r="C90" s="199" t="s">
        <v>29</v>
      </c>
      <c r="D90" s="200"/>
      <c r="E90" s="201"/>
      <c r="F90" s="202"/>
      <c r="G90" s="202"/>
      <c r="H90" s="201"/>
      <c r="I90" s="408">
        <f>((Tabla2[[#This Row],[VOLUMEN ENVIADO A RO (m3)]]/80)/3)*60</f>
        <v>0</v>
      </c>
      <c r="J90" s="400">
        <v>0</v>
      </c>
      <c r="K90" s="401">
        <v>0</v>
      </c>
      <c r="L90" s="402">
        <v>0</v>
      </c>
      <c r="M90" s="401">
        <v>0</v>
      </c>
      <c r="N90" s="402">
        <v>0</v>
      </c>
      <c r="O90" s="261">
        <f t="shared" si="71"/>
        <v>0</v>
      </c>
      <c r="P90" s="262">
        <f t="shared" si="41"/>
        <v>0</v>
      </c>
      <c r="Q90" s="262">
        <f t="shared" si="41"/>
        <v>0</v>
      </c>
      <c r="R90" s="262">
        <f t="shared" si="42"/>
        <v>0</v>
      </c>
      <c r="S90" s="262">
        <f t="shared" si="43"/>
        <v>0</v>
      </c>
      <c r="T90" s="257">
        <f t="shared" si="56"/>
        <v>0</v>
      </c>
      <c r="U90" s="258">
        <f t="shared" si="57"/>
        <v>0</v>
      </c>
      <c r="V90" s="258">
        <f t="shared" si="58"/>
        <v>0</v>
      </c>
      <c r="W90" s="258">
        <f t="shared" si="59"/>
        <v>0</v>
      </c>
      <c r="X90" s="259">
        <f t="shared" si="60"/>
        <v>0</v>
      </c>
      <c r="Y90" s="264">
        <v>1.18</v>
      </c>
      <c r="Z90" s="264">
        <v>1.28</v>
      </c>
      <c r="AA90" s="264">
        <v>1.2</v>
      </c>
      <c r="AB90" s="264">
        <v>1.53</v>
      </c>
      <c r="AC90" s="264">
        <v>1.2</v>
      </c>
      <c r="AD90" s="257">
        <f t="shared" si="44"/>
        <v>0</v>
      </c>
      <c r="AE90" s="258">
        <f t="shared" si="44"/>
        <v>0</v>
      </c>
      <c r="AF90" s="258">
        <f t="shared" si="44"/>
        <v>0</v>
      </c>
      <c r="AG90" s="258">
        <f t="shared" si="45"/>
        <v>0</v>
      </c>
      <c r="AH90" s="259">
        <f t="shared" si="46"/>
        <v>0</v>
      </c>
      <c r="AI90" s="431"/>
      <c r="AJ90" s="195" t="e">
        <f t="shared" si="47"/>
        <v>#DIV/0!</v>
      </c>
      <c r="AK90" s="196" t="e">
        <f t="shared" si="48"/>
        <v>#DIV/0!</v>
      </c>
      <c r="AL90" s="196" t="e">
        <f t="shared" si="49"/>
        <v>#DIV/0!</v>
      </c>
      <c r="AM90" s="196" t="e">
        <f t="shared" si="50"/>
        <v>#DIV/0!</v>
      </c>
      <c r="AN90" s="197" t="e">
        <f t="shared" si="51"/>
        <v>#DIV/0!</v>
      </c>
      <c r="AO90" s="166">
        <f t="shared" si="61"/>
        <v>1550</v>
      </c>
      <c r="AP90" s="167">
        <f t="shared" si="62"/>
        <v>19160</v>
      </c>
      <c r="AQ90" s="167">
        <f t="shared" si="63"/>
        <v>36239</v>
      </c>
      <c r="AR90" s="167">
        <f t="shared" si="64"/>
        <v>1560</v>
      </c>
      <c r="AS90" s="168">
        <f t="shared" si="65"/>
        <v>3640</v>
      </c>
      <c r="AT90" s="166">
        <f t="shared" si="52"/>
        <v>0</v>
      </c>
      <c r="AU90" s="167">
        <f t="shared" si="66"/>
        <v>0</v>
      </c>
      <c r="AV90" s="167">
        <f t="shared" si="67"/>
        <v>0</v>
      </c>
      <c r="AW90" s="167">
        <f t="shared" si="53"/>
        <v>0</v>
      </c>
      <c r="AX90" s="168">
        <f t="shared" si="54"/>
        <v>0</v>
      </c>
      <c r="AY90" s="166">
        <f t="shared" si="55"/>
        <v>0</v>
      </c>
      <c r="AZ90" s="167">
        <v>1000</v>
      </c>
      <c r="BA90" s="167" t="e">
        <f t="shared" si="68"/>
        <v>#DIV/0!</v>
      </c>
      <c r="BB90" s="161"/>
      <c r="BC90" s="162"/>
    </row>
    <row r="91" spans="1:55" ht="14.95" thickBot="1" x14ac:dyDescent="0.3">
      <c r="A91" s="221">
        <f>+A90</f>
        <v>46083</v>
      </c>
      <c r="B91" s="280">
        <f>DAY(Tabla2[[#This Row],[FECHA]])</f>
        <v>2</v>
      </c>
      <c r="C91" s="204" t="s">
        <v>30</v>
      </c>
      <c r="D91" s="205"/>
      <c r="E91" s="206"/>
      <c r="F91" s="207"/>
      <c r="G91" s="208"/>
      <c r="H91" s="209"/>
      <c r="I91" s="408">
        <f>((Tabla2[[#This Row],[VOLUMEN ENVIADO A RO (m3)]]/80)/3)*60</f>
        <v>0</v>
      </c>
      <c r="J91" s="400">
        <v>0</v>
      </c>
      <c r="K91" s="395">
        <v>0</v>
      </c>
      <c r="L91" s="396">
        <v>0</v>
      </c>
      <c r="M91" s="401">
        <v>0</v>
      </c>
      <c r="N91" s="402">
        <v>0</v>
      </c>
      <c r="O91" s="265">
        <f t="shared" si="71"/>
        <v>0</v>
      </c>
      <c r="P91" s="266">
        <f t="shared" si="41"/>
        <v>0</v>
      </c>
      <c r="Q91" s="266">
        <f t="shared" si="41"/>
        <v>0</v>
      </c>
      <c r="R91" s="266">
        <f t="shared" si="42"/>
        <v>0</v>
      </c>
      <c r="S91" s="266">
        <f t="shared" si="43"/>
        <v>0</v>
      </c>
      <c r="T91" s="257">
        <f t="shared" si="56"/>
        <v>0</v>
      </c>
      <c r="U91" s="258">
        <f t="shared" si="57"/>
        <v>0</v>
      </c>
      <c r="V91" s="258">
        <f t="shared" si="58"/>
        <v>0</v>
      </c>
      <c r="W91" s="258">
        <f t="shared" si="59"/>
        <v>0</v>
      </c>
      <c r="X91" s="259">
        <f t="shared" si="60"/>
        <v>0</v>
      </c>
      <c r="Y91" s="264">
        <v>1.18</v>
      </c>
      <c r="Z91" s="264">
        <v>1.28</v>
      </c>
      <c r="AA91" s="264">
        <v>1.2</v>
      </c>
      <c r="AB91" s="264">
        <v>1.53</v>
      </c>
      <c r="AC91" s="264">
        <v>1.2</v>
      </c>
      <c r="AD91" s="268">
        <f t="shared" si="44"/>
        <v>0</v>
      </c>
      <c r="AE91" s="269">
        <f t="shared" si="44"/>
        <v>0</v>
      </c>
      <c r="AF91" s="269">
        <f t="shared" si="44"/>
        <v>0</v>
      </c>
      <c r="AG91" s="269">
        <f t="shared" si="45"/>
        <v>0</v>
      </c>
      <c r="AH91" s="270">
        <f t="shared" si="46"/>
        <v>0</v>
      </c>
      <c r="AI91" s="432"/>
      <c r="AJ91" s="210" t="e">
        <f t="shared" si="47"/>
        <v>#DIV/0!</v>
      </c>
      <c r="AK91" s="211" t="e">
        <f t="shared" si="48"/>
        <v>#DIV/0!</v>
      </c>
      <c r="AL91" s="211" t="e">
        <f t="shared" si="49"/>
        <v>#DIV/0!</v>
      </c>
      <c r="AM91" s="211" t="e">
        <f t="shared" si="50"/>
        <v>#DIV/0!</v>
      </c>
      <c r="AN91" s="212" t="e">
        <f t="shared" si="51"/>
        <v>#DIV/0!</v>
      </c>
      <c r="AO91" s="166">
        <f t="shared" si="61"/>
        <v>1550</v>
      </c>
      <c r="AP91" s="167">
        <f t="shared" si="62"/>
        <v>19160</v>
      </c>
      <c r="AQ91" s="167">
        <f t="shared" si="63"/>
        <v>36239</v>
      </c>
      <c r="AR91" s="167">
        <f t="shared" si="64"/>
        <v>1560</v>
      </c>
      <c r="AS91" s="168">
        <f t="shared" si="65"/>
        <v>3640</v>
      </c>
      <c r="AT91" s="169">
        <f t="shared" si="52"/>
        <v>0</v>
      </c>
      <c r="AU91" s="170">
        <f t="shared" si="66"/>
        <v>0</v>
      </c>
      <c r="AV91" s="170">
        <f t="shared" si="67"/>
        <v>0</v>
      </c>
      <c r="AW91" s="170">
        <f t="shared" si="53"/>
        <v>0</v>
      </c>
      <c r="AX91" s="171">
        <f t="shared" si="54"/>
        <v>0</v>
      </c>
      <c r="AY91" s="169">
        <f t="shared" si="55"/>
        <v>0</v>
      </c>
      <c r="AZ91" s="170">
        <v>1000</v>
      </c>
      <c r="BA91" s="170" t="e">
        <f t="shared" si="68"/>
        <v>#DIV/0!</v>
      </c>
      <c r="BB91" s="160"/>
      <c r="BC91" s="163"/>
    </row>
    <row r="92" spans="1:55" ht="14.95" thickBot="1" x14ac:dyDescent="0.3">
      <c r="A92" s="213">
        <f>+A91+1</f>
        <v>46084</v>
      </c>
      <c r="B92" s="281">
        <f>DAY(Tabla2[[#This Row],[FECHA]])</f>
        <v>3</v>
      </c>
      <c r="C92" s="225" t="s">
        <v>28</v>
      </c>
      <c r="D92" s="214"/>
      <c r="E92" s="215"/>
      <c r="F92" s="216"/>
      <c r="G92" s="216"/>
      <c r="H92" s="215"/>
      <c r="I92" s="408">
        <f>((Tabla2[[#This Row],[VOLUMEN ENVIADO A RO (m3)]]/80)/3)*60</f>
        <v>0</v>
      </c>
      <c r="J92" s="400">
        <v>0</v>
      </c>
      <c r="K92" s="401">
        <v>0</v>
      </c>
      <c r="L92" s="402">
        <v>0</v>
      </c>
      <c r="M92" s="401">
        <v>0</v>
      </c>
      <c r="N92" s="402">
        <v>0</v>
      </c>
      <c r="O92" s="271">
        <f t="shared" si="71"/>
        <v>0</v>
      </c>
      <c r="P92" s="272">
        <f t="shared" si="41"/>
        <v>0</v>
      </c>
      <c r="Q92" s="255">
        <f t="shared" si="41"/>
        <v>0</v>
      </c>
      <c r="R92" s="272">
        <f t="shared" si="42"/>
        <v>0</v>
      </c>
      <c r="S92" s="272">
        <f t="shared" si="43"/>
        <v>0</v>
      </c>
      <c r="T92" s="257">
        <f t="shared" si="56"/>
        <v>0</v>
      </c>
      <c r="U92" s="258">
        <f t="shared" si="57"/>
        <v>0</v>
      </c>
      <c r="V92" s="258">
        <f t="shared" si="58"/>
        <v>0</v>
      </c>
      <c r="W92" s="258">
        <f t="shared" si="59"/>
        <v>0</v>
      </c>
      <c r="X92" s="259">
        <f t="shared" si="60"/>
        <v>0</v>
      </c>
      <c r="Y92" s="264">
        <v>1.18</v>
      </c>
      <c r="Z92" s="264">
        <v>1.28</v>
      </c>
      <c r="AA92" s="264">
        <v>1.2</v>
      </c>
      <c r="AB92" s="264">
        <v>1.53</v>
      </c>
      <c r="AC92" s="264">
        <v>1.2</v>
      </c>
      <c r="AD92" s="273">
        <f t="shared" si="44"/>
        <v>0</v>
      </c>
      <c r="AE92" s="274">
        <f t="shared" si="44"/>
        <v>0</v>
      </c>
      <c r="AF92" s="274">
        <f t="shared" si="44"/>
        <v>0</v>
      </c>
      <c r="AG92" s="274">
        <f t="shared" si="45"/>
        <v>0</v>
      </c>
      <c r="AH92" s="275">
        <f t="shared" si="46"/>
        <v>0</v>
      </c>
      <c r="AI92" s="430"/>
      <c r="AJ92" s="217" t="e">
        <f t="shared" si="47"/>
        <v>#DIV/0!</v>
      </c>
      <c r="AK92" s="218" t="e">
        <f t="shared" si="48"/>
        <v>#DIV/0!</v>
      </c>
      <c r="AL92" s="218" t="e">
        <f t="shared" si="49"/>
        <v>#DIV/0!</v>
      </c>
      <c r="AM92" s="218" t="e">
        <f t="shared" si="50"/>
        <v>#DIV/0!</v>
      </c>
      <c r="AN92" s="219" t="e">
        <f t="shared" si="51"/>
        <v>#DIV/0!</v>
      </c>
      <c r="AO92" s="166">
        <f t="shared" si="61"/>
        <v>1550</v>
      </c>
      <c r="AP92" s="167">
        <f t="shared" si="62"/>
        <v>19160</v>
      </c>
      <c r="AQ92" s="167">
        <f t="shared" si="63"/>
        <v>36239</v>
      </c>
      <c r="AR92" s="167">
        <f t="shared" si="64"/>
        <v>1560</v>
      </c>
      <c r="AS92" s="168">
        <f t="shared" si="65"/>
        <v>3640</v>
      </c>
      <c r="AT92" s="166">
        <f t="shared" si="52"/>
        <v>0</v>
      </c>
      <c r="AU92" s="167">
        <f t="shared" si="66"/>
        <v>0</v>
      </c>
      <c r="AV92" s="167">
        <f t="shared" si="67"/>
        <v>0</v>
      </c>
      <c r="AW92" s="167">
        <f t="shared" si="53"/>
        <v>0</v>
      </c>
      <c r="AX92" s="168">
        <f t="shared" si="54"/>
        <v>0</v>
      </c>
      <c r="AY92" s="166">
        <f t="shared" si="55"/>
        <v>0</v>
      </c>
      <c r="AZ92" s="167">
        <v>1000</v>
      </c>
      <c r="BA92" s="167" t="e">
        <f t="shared" si="68"/>
        <v>#DIV/0!</v>
      </c>
      <c r="BB92" s="161"/>
      <c r="BC92" s="162"/>
    </row>
    <row r="93" spans="1:55" ht="14.95" thickBot="1" x14ac:dyDescent="0.3">
      <c r="A93" s="220">
        <f>+A92</f>
        <v>46084</v>
      </c>
      <c r="B93" s="279">
        <f>DAY(Tabla2[[#This Row],[FECHA]])</f>
        <v>3</v>
      </c>
      <c r="C93" s="199" t="s">
        <v>29</v>
      </c>
      <c r="D93" s="200"/>
      <c r="E93" s="201"/>
      <c r="F93" s="202"/>
      <c r="G93" s="202"/>
      <c r="H93" s="201"/>
      <c r="I93" s="408">
        <f>((Tabla2[[#This Row],[VOLUMEN ENVIADO A RO (m3)]]/80)/3)*60</f>
        <v>0</v>
      </c>
      <c r="J93" s="400">
        <v>0</v>
      </c>
      <c r="K93" s="395">
        <v>0</v>
      </c>
      <c r="L93" s="396">
        <v>0</v>
      </c>
      <c r="M93" s="401">
        <v>0</v>
      </c>
      <c r="N93" s="402">
        <v>0</v>
      </c>
      <c r="O93" s="261">
        <f t="shared" si="71"/>
        <v>0</v>
      </c>
      <c r="P93" s="262">
        <f t="shared" si="41"/>
        <v>0</v>
      </c>
      <c r="Q93" s="262">
        <f t="shared" si="41"/>
        <v>0</v>
      </c>
      <c r="R93" s="262">
        <f t="shared" si="42"/>
        <v>0</v>
      </c>
      <c r="S93" s="262">
        <f t="shared" si="43"/>
        <v>0</v>
      </c>
      <c r="T93" s="257">
        <f t="shared" si="56"/>
        <v>0</v>
      </c>
      <c r="U93" s="258">
        <f t="shared" si="57"/>
        <v>0</v>
      </c>
      <c r="V93" s="258">
        <f t="shared" si="58"/>
        <v>0</v>
      </c>
      <c r="W93" s="258">
        <f t="shared" si="59"/>
        <v>0</v>
      </c>
      <c r="X93" s="259">
        <f t="shared" si="60"/>
        <v>0</v>
      </c>
      <c r="Y93" s="264">
        <v>1.18</v>
      </c>
      <c r="Z93" s="264">
        <v>1.28</v>
      </c>
      <c r="AA93" s="264">
        <v>1.2</v>
      </c>
      <c r="AB93" s="264">
        <v>1.53</v>
      </c>
      <c r="AC93" s="264">
        <v>1.2</v>
      </c>
      <c r="AD93" s="257">
        <f t="shared" si="44"/>
        <v>0</v>
      </c>
      <c r="AE93" s="258">
        <f t="shared" si="44"/>
        <v>0</v>
      </c>
      <c r="AF93" s="258">
        <f t="shared" si="44"/>
        <v>0</v>
      </c>
      <c r="AG93" s="258">
        <f t="shared" si="45"/>
        <v>0</v>
      </c>
      <c r="AH93" s="259">
        <f t="shared" si="46"/>
        <v>0</v>
      </c>
      <c r="AI93" s="431"/>
      <c r="AJ93" s="195" t="e">
        <f t="shared" si="47"/>
        <v>#DIV/0!</v>
      </c>
      <c r="AK93" s="196" t="e">
        <f t="shared" si="48"/>
        <v>#DIV/0!</v>
      </c>
      <c r="AL93" s="196" t="e">
        <f t="shared" si="49"/>
        <v>#DIV/0!</v>
      </c>
      <c r="AM93" s="196" t="e">
        <f t="shared" si="50"/>
        <v>#DIV/0!</v>
      </c>
      <c r="AN93" s="197" t="e">
        <f t="shared" si="51"/>
        <v>#DIV/0!</v>
      </c>
      <c r="AO93" s="166">
        <f t="shared" si="61"/>
        <v>1550</v>
      </c>
      <c r="AP93" s="167">
        <f t="shared" si="62"/>
        <v>19160</v>
      </c>
      <c r="AQ93" s="167">
        <f t="shared" si="63"/>
        <v>36239</v>
      </c>
      <c r="AR93" s="167">
        <f t="shared" si="64"/>
        <v>1560</v>
      </c>
      <c r="AS93" s="168">
        <f t="shared" si="65"/>
        <v>3640</v>
      </c>
      <c r="AT93" s="166">
        <f t="shared" si="52"/>
        <v>0</v>
      </c>
      <c r="AU93" s="167">
        <f t="shared" si="66"/>
        <v>0</v>
      </c>
      <c r="AV93" s="167">
        <f t="shared" si="67"/>
        <v>0</v>
      </c>
      <c r="AW93" s="167">
        <f t="shared" si="53"/>
        <v>0</v>
      </c>
      <c r="AX93" s="168">
        <f t="shared" si="54"/>
        <v>0</v>
      </c>
      <c r="AY93" s="166">
        <f t="shared" si="55"/>
        <v>0</v>
      </c>
      <c r="AZ93" s="167">
        <v>1000</v>
      </c>
      <c r="BA93" s="167" t="e">
        <f t="shared" si="68"/>
        <v>#DIV/0!</v>
      </c>
      <c r="BB93" s="161"/>
      <c r="BC93" s="162"/>
    </row>
    <row r="94" spans="1:55" ht="14.95" thickBot="1" x14ac:dyDescent="0.3">
      <c r="A94" s="221">
        <f>+A93</f>
        <v>46084</v>
      </c>
      <c r="B94" s="280">
        <f>DAY(Tabla2[[#This Row],[FECHA]])</f>
        <v>3</v>
      </c>
      <c r="C94" s="204" t="s">
        <v>30</v>
      </c>
      <c r="D94" s="205"/>
      <c r="E94" s="206"/>
      <c r="F94" s="207"/>
      <c r="G94" s="208"/>
      <c r="H94" s="209"/>
      <c r="I94" s="408">
        <f>((Tabla2[[#This Row],[VOLUMEN ENVIADO A RO (m3)]]/80)/3)*60</f>
        <v>0</v>
      </c>
      <c r="J94" s="400">
        <v>0</v>
      </c>
      <c r="K94" s="401">
        <v>0</v>
      </c>
      <c r="L94" s="402">
        <v>0</v>
      </c>
      <c r="M94" s="401">
        <v>0</v>
      </c>
      <c r="N94" s="402">
        <v>0</v>
      </c>
      <c r="O94" s="265">
        <f t="shared" si="71"/>
        <v>0</v>
      </c>
      <c r="P94" s="266">
        <f t="shared" si="41"/>
        <v>0</v>
      </c>
      <c r="Q94" s="266">
        <f t="shared" si="41"/>
        <v>0</v>
      </c>
      <c r="R94" s="266">
        <f t="shared" si="42"/>
        <v>0</v>
      </c>
      <c r="S94" s="266">
        <f t="shared" si="43"/>
        <v>0</v>
      </c>
      <c r="T94" s="257">
        <f t="shared" si="56"/>
        <v>0</v>
      </c>
      <c r="U94" s="258">
        <f t="shared" si="57"/>
        <v>0</v>
      </c>
      <c r="V94" s="258">
        <f t="shared" si="58"/>
        <v>0</v>
      </c>
      <c r="W94" s="258">
        <f t="shared" si="59"/>
        <v>0</v>
      </c>
      <c r="X94" s="259">
        <f t="shared" si="60"/>
        <v>0</v>
      </c>
      <c r="Y94" s="264">
        <v>1.18</v>
      </c>
      <c r="Z94" s="264">
        <v>1.28</v>
      </c>
      <c r="AA94" s="264">
        <v>1.2</v>
      </c>
      <c r="AB94" s="264">
        <v>1.53</v>
      </c>
      <c r="AC94" s="264">
        <v>1.2</v>
      </c>
      <c r="AD94" s="268">
        <f t="shared" si="44"/>
        <v>0</v>
      </c>
      <c r="AE94" s="269">
        <f t="shared" si="44"/>
        <v>0</v>
      </c>
      <c r="AF94" s="269">
        <f t="shared" si="44"/>
        <v>0</v>
      </c>
      <c r="AG94" s="269">
        <f t="shared" si="45"/>
        <v>0</v>
      </c>
      <c r="AH94" s="270">
        <f t="shared" si="46"/>
        <v>0</v>
      </c>
      <c r="AI94" s="432"/>
      <c r="AJ94" s="210" t="e">
        <f t="shared" si="47"/>
        <v>#DIV/0!</v>
      </c>
      <c r="AK94" s="211" t="e">
        <f t="shared" si="48"/>
        <v>#DIV/0!</v>
      </c>
      <c r="AL94" s="211" t="e">
        <f t="shared" si="49"/>
        <v>#DIV/0!</v>
      </c>
      <c r="AM94" s="211" t="e">
        <f t="shared" si="50"/>
        <v>#DIV/0!</v>
      </c>
      <c r="AN94" s="212" t="e">
        <f t="shared" si="51"/>
        <v>#DIV/0!</v>
      </c>
      <c r="AO94" s="166">
        <f t="shared" si="61"/>
        <v>1550</v>
      </c>
      <c r="AP94" s="167">
        <f t="shared" si="62"/>
        <v>19160</v>
      </c>
      <c r="AQ94" s="167">
        <f t="shared" si="63"/>
        <v>36239</v>
      </c>
      <c r="AR94" s="167">
        <f t="shared" si="64"/>
        <v>1560</v>
      </c>
      <c r="AS94" s="168">
        <f t="shared" si="65"/>
        <v>3640</v>
      </c>
      <c r="AT94" s="169">
        <f t="shared" si="52"/>
        <v>0</v>
      </c>
      <c r="AU94" s="170">
        <f t="shared" si="66"/>
        <v>0</v>
      </c>
      <c r="AV94" s="170">
        <f t="shared" si="67"/>
        <v>0</v>
      </c>
      <c r="AW94" s="170">
        <f t="shared" si="53"/>
        <v>0</v>
      </c>
      <c r="AX94" s="171">
        <f t="shared" si="54"/>
        <v>0</v>
      </c>
      <c r="AY94" s="169">
        <f t="shared" ref="AY94:AY95" si="72">AT94+AU94+AV94+AW94+AX94</f>
        <v>0</v>
      </c>
      <c r="AZ94" s="170">
        <v>1000</v>
      </c>
      <c r="BA94" s="170" t="e">
        <f t="shared" si="68"/>
        <v>#DIV/0!</v>
      </c>
      <c r="BB94" s="160"/>
      <c r="BC94" s="163"/>
    </row>
    <row r="95" spans="1:55" ht="14.95" thickBot="1" x14ac:dyDescent="0.3">
      <c r="A95" s="220"/>
      <c r="B95" s="279">
        <f>DAY(Tabla2[[#This Row],[FECHA]])</f>
        <v>0</v>
      </c>
      <c r="D95" s="200"/>
      <c r="E95" s="201"/>
      <c r="F95" s="202"/>
      <c r="I95" s="408">
        <f>((Tabla2[[#This Row],[VOLUMEN ENVIADO A RO (m3)]]/80)/3)*60</f>
        <v>0</v>
      </c>
      <c r="J95" s="400">
        <v>0</v>
      </c>
      <c r="K95" s="401">
        <v>0</v>
      </c>
      <c r="L95" s="402">
        <v>0</v>
      </c>
      <c r="M95" s="401">
        <v>0</v>
      </c>
      <c r="N95" s="402">
        <v>0</v>
      </c>
      <c r="O95" s="261">
        <f t="shared" si="71"/>
        <v>0</v>
      </c>
      <c r="P95" s="262">
        <f t="shared" si="41"/>
        <v>0</v>
      </c>
      <c r="Q95" s="262">
        <f>L95*(1000/114)</f>
        <v>0</v>
      </c>
      <c r="R95" s="262">
        <f t="shared" si="42"/>
        <v>0</v>
      </c>
      <c r="S95" s="262">
        <f t="shared" si="43"/>
        <v>0</v>
      </c>
      <c r="T95" s="257">
        <f>O95-O99</f>
        <v>0</v>
      </c>
      <c r="U95" s="258">
        <f>P95-P99</f>
        <v>0</v>
      </c>
      <c r="V95" s="258">
        <f>Q95-Q99</f>
        <v>0</v>
      </c>
      <c r="W95" s="258">
        <f>R95-R99</f>
        <v>0</v>
      </c>
      <c r="X95" s="259">
        <f>S95-S99</f>
        <v>0</v>
      </c>
      <c r="Y95" s="264"/>
      <c r="Z95" s="264"/>
      <c r="AA95" s="264"/>
      <c r="AB95" s="264"/>
      <c r="AC95" s="264"/>
      <c r="AD95" s="257">
        <f t="shared" si="44"/>
        <v>0</v>
      </c>
      <c r="AE95" s="274">
        <f t="shared" si="44"/>
        <v>0</v>
      </c>
      <c r="AF95" s="274">
        <f t="shared" si="44"/>
        <v>0</v>
      </c>
      <c r="AG95" s="258">
        <f t="shared" si="45"/>
        <v>0</v>
      </c>
      <c r="AH95" s="259">
        <f t="shared" si="46"/>
        <v>0</v>
      </c>
      <c r="AI95" s="257"/>
      <c r="AJ95" s="195" t="e">
        <f t="shared" si="47"/>
        <v>#DIV/0!</v>
      </c>
      <c r="AK95" s="196" t="e">
        <f t="shared" si="48"/>
        <v>#DIV/0!</v>
      </c>
      <c r="AL95" s="196" t="e">
        <f t="shared" si="49"/>
        <v>#DIV/0!</v>
      </c>
      <c r="AM95" s="196" t="e">
        <f t="shared" si="50"/>
        <v>#DIV/0!</v>
      </c>
      <c r="AN95" s="197" t="e">
        <f t="shared" si="51"/>
        <v>#DIV/0!</v>
      </c>
      <c r="AO95" s="166">
        <f t="shared" si="61"/>
        <v>1550</v>
      </c>
      <c r="AP95" s="407">
        <f t="shared" si="62"/>
        <v>19160</v>
      </c>
      <c r="AQ95" s="407">
        <f t="shared" si="63"/>
        <v>36239</v>
      </c>
      <c r="AR95" s="407">
        <f t="shared" si="64"/>
        <v>1560</v>
      </c>
      <c r="AS95" s="168">
        <f t="shared" si="65"/>
        <v>3640</v>
      </c>
      <c r="AT95" s="166">
        <f t="shared" si="52"/>
        <v>0</v>
      </c>
      <c r="AU95" s="407">
        <f t="shared" si="66"/>
        <v>0</v>
      </c>
      <c r="AV95" s="407">
        <f t="shared" si="67"/>
        <v>0</v>
      </c>
      <c r="AW95" s="407">
        <f t="shared" si="53"/>
        <v>0</v>
      </c>
      <c r="AX95" s="168">
        <f t="shared" si="54"/>
        <v>0</v>
      </c>
      <c r="AY95" s="166">
        <f t="shared" si="72"/>
        <v>0</v>
      </c>
      <c r="AZ95" s="407"/>
      <c r="BA95" s="407" t="e">
        <f t="shared" si="68"/>
        <v>#DIV/0!</v>
      </c>
    </row>
    <row r="96" spans="1:55" ht="14.95" thickBot="1" x14ac:dyDescent="0.3">
      <c r="A96" s="220"/>
      <c r="B96" s="279">
        <f>DAY(Tabla2[[#This Row],[FECHA]])</f>
        <v>0</v>
      </c>
      <c r="D96" s="200"/>
      <c r="E96" s="201"/>
      <c r="F96" s="202"/>
      <c r="H96" s="525"/>
      <c r="I96" s="526" t="e">
        <f>((Tabla2[[#This Row],[VOLUMEN ENVIADO A RO (m3)]]/80)/3)*60</f>
        <v>#REF!</v>
      </c>
      <c r="J96" s="527"/>
      <c r="K96" s="528"/>
      <c r="L96" s="528"/>
      <c r="M96" s="528"/>
      <c r="N96" s="529"/>
      <c r="O96" s="261">
        <f t="shared" ref="O96:O98" si="73">J96*(1000/114)</f>
        <v>0</v>
      </c>
      <c r="P96" s="262">
        <f t="shared" ref="P96:P98" si="74">K96*(1000/114)</f>
        <v>0</v>
      </c>
      <c r="Q96" s="262">
        <f t="shared" ref="Q96:Q98" si="75">L96*(1000/114)</f>
        <v>0</v>
      </c>
      <c r="R96" s="262">
        <f t="shared" ref="R96:R98" si="76">M96*(1000/114)</f>
        <v>0</v>
      </c>
      <c r="S96" s="262">
        <f t="shared" ref="S96:S98" si="77">N96*(1000/114)</f>
        <v>0</v>
      </c>
      <c r="T96" s="257">
        <f t="shared" ref="T96:T98" si="78">O96-O97</f>
        <v>0</v>
      </c>
      <c r="U96" s="258">
        <f t="shared" ref="U96:U98" si="79">P96-P97</f>
        <v>0</v>
      </c>
      <c r="V96" s="258">
        <f t="shared" ref="V96:V98" si="80">Q96-Q97</f>
        <v>0</v>
      </c>
      <c r="W96" s="258">
        <f t="shared" ref="W96:W98" si="81">R96-R97</f>
        <v>0</v>
      </c>
      <c r="X96" s="259">
        <f t="shared" ref="X96:X98" si="82">S96-S97</f>
        <v>0</v>
      </c>
      <c r="Y96" s="264"/>
      <c r="Z96" s="264"/>
      <c r="AA96" s="264"/>
      <c r="AB96" s="264"/>
      <c r="AC96" s="264"/>
      <c r="AD96" s="257">
        <f t="shared" ref="AD96:AF98" si="83">T96*Y96</f>
        <v>0</v>
      </c>
      <c r="AE96" s="258">
        <f t="shared" si="83"/>
        <v>0</v>
      </c>
      <c r="AF96" s="258">
        <f t="shared" si="83"/>
        <v>0</v>
      </c>
      <c r="AG96" s="258">
        <f t="shared" ref="AG96:AG98" si="84">W96*AB96</f>
        <v>0</v>
      </c>
      <c r="AH96" s="259">
        <f t="shared" ref="AH96:AH98" si="85">X96*AC96</f>
        <v>0</v>
      </c>
      <c r="AI96" s="522" t="e">
        <f>#REF!-#REF!</f>
        <v>#REF!</v>
      </c>
      <c r="AJ96" s="195" t="e">
        <f t="shared" ref="AJ96:AJ98" si="86">(AD96*1000)/$AI96</f>
        <v>#REF!</v>
      </c>
      <c r="AK96" s="196" t="e">
        <f t="shared" ref="AK96:AK98" si="87">(AE96*1000)/$AI96</f>
        <v>#REF!</v>
      </c>
      <c r="AL96" s="196" t="e">
        <f t="shared" ref="AL96:AL98" si="88">(AF96*1000)/$AI96</f>
        <v>#REF!</v>
      </c>
      <c r="AM96" s="196" t="e">
        <f t="shared" ref="AM96:AM98" si="89">(AG96*1000)/$AI96</f>
        <v>#REF!</v>
      </c>
      <c r="AN96" s="197" t="e">
        <f t="shared" ref="AN96:AN98" si="90">(AH96*1000)/$AI96</f>
        <v>#REF!</v>
      </c>
      <c r="AO96" s="166">
        <f t="shared" ref="AO96:AO98" si="91">AO95</f>
        <v>1550</v>
      </c>
      <c r="AP96" s="407">
        <f t="shared" ref="AP96:AP98" si="92">AP95</f>
        <v>19160</v>
      </c>
      <c r="AQ96" s="407">
        <f t="shared" ref="AQ96:AQ98" si="93">AQ95</f>
        <v>36239</v>
      </c>
      <c r="AR96" s="407">
        <f t="shared" ref="AR96:AR98" si="94">AR95</f>
        <v>1560</v>
      </c>
      <c r="AS96" s="168">
        <f t="shared" ref="AS96:AS98" si="95">AS95</f>
        <v>3640</v>
      </c>
      <c r="AT96" s="166">
        <f t="shared" ref="AT96:AT98" si="96">AO96*(AD96*0.8)</f>
        <v>0</v>
      </c>
      <c r="AU96" s="167">
        <f t="shared" ref="AU96:AU98" si="97">AP96*(AE96*0.012)</f>
        <v>0</v>
      </c>
      <c r="AV96" s="167">
        <f t="shared" ref="AV96:AV98" si="98">AQ96*(AF96*0.044)</f>
        <v>0</v>
      </c>
      <c r="AW96" s="407">
        <f t="shared" ref="AW96:AW98" si="99">AR96*AG96</f>
        <v>0</v>
      </c>
      <c r="AX96" s="168">
        <f t="shared" ref="AX96:AX98" si="100">AS96*(AH96*0.025)</f>
        <v>0</v>
      </c>
      <c r="AY96" s="166">
        <f t="shared" ref="AY96:AY98" si="101">AT96+AU96+AV96+AW96+AX96</f>
        <v>0</v>
      </c>
      <c r="AZ96" s="407"/>
      <c r="BA96" s="407" t="e">
        <f t="shared" ref="BA96:BA98" si="102">AY96/AI96</f>
        <v>#REF!</v>
      </c>
    </row>
    <row r="97" spans="1:53" ht="14.95" thickBot="1" x14ac:dyDescent="0.3">
      <c r="A97" s="220"/>
      <c r="B97" s="279">
        <f>DAY(Tabla2[[#This Row],[FECHA]])</f>
        <v>0</v>
      </c>
      <c r="D97" s="200"/>
      <c r="E97" s="201"/>
      <c r="F97" s="202"/>
      <c r="H97" s="525"/>
      <c r="I97" s="526" t="e">
        <f>((Tabla2[[#This Row],[VOLUMEN ENVIADO A RO (m3)]]/80)/3)*60</f>
        <v>#REF!</v>
      </c>
      <c r="J97" s="527"/>
      <c r="K97" s="528"/>
      <c r="L97" s="528"/>
      <c r="M97" s="528"/>
      <c r="N97" s="529"/>
      <c r="O97" s="261">
        <f t="shared" si="73"/>
        <v>0</v>
      </c>
      <c r="P97" s="262">
        <f t="shared" si="74"/>
        <v>0</v>
      </c>
      <c r="Q97" s="262">
        <f t="shared" si="75"/>
        <v>0</v>
      </c>
      <c r="R97" s="262">
        <f t="shared" si="76"/>
        <v>0</v>
      </c>
      <c r="S97" s="262">
        <f t="shared" si="77"/>
        <v>0</v>
      </c>
      <c r="T97" s="257">
        <f t="shared" si="78"/>
        <v>0</v>
      </c>
      <c r="U97" s="258">
        <f t="shared" si="79"/>
        <v>0</v>
      </c>
      <c r="V97" s="258">
        <f t="shared" si="80"/>
        <v>0</v>
      </c>
      <c r="W97" s="258">
        <f t="shared" si="81"/>
        <v>0</v>
      </c>
      <c r="X97" s="259">
        <f t="shared" si="82"/>
        <v>0</v>
      </c>
      <c r="Y97" s="264"/>
      <c r="Z97" s="264"/>
      <c r="AA97" s="264"/>
      <c r="AB97" s="264"/>
      <c r="AC97" s="264"/>
      <c r="AD97" s="257">
        <f t="shared" si="83"/>
        <v>0</v>
      </c>
      <c r="AE97" s="269">
        <f t="shared" si="83"/>
        <v>0</v>
      </c>
      <c r="AF97" s="269">
        <f t="shared" si="83"/>
        <v>0</v>
      </c>
      <c r="AG97" s="258">
        <f t="shared" si="84"/>
        <v>0</v>
      </c>
      <c r="AH97" s="259">
        <f t="shared" si="85"/>
        <v>0</v>
      </c>
      <c r="AI97" s="522" t="e">
        <f>#REF!-#REF!</f>
        <v>#REF!</v>
      </c>
      <c r="AJ97" s="195" t="e">
        <f t="shared" si="86"/>
        <v>#REF!</v>
      </c>
      <c r="AK97" s="196" t="e">
        <f t="shared" si="87"/>
        <v>#REF!</v>
      </c>
      <c r="AL97" s="196" t="e">
        <f t="shared" si="88"/>
        <v>#REF!</v>
      </c>
      <c r="AM97" s="196" t="e">
        <f t="shared" si="89"/>
        <v>#REF!</v>
      </c>
      <c r="AN97" s="197" t="e">
        <f t="shared" si="90"/>
        <v>#REF!</v>
      </c>
      <c r="AO97" s="166">
        <f t="shared" si="91"/>
        <v>1550</v>
      </c>
      <c r="AP97" s="407">
        <f t="shared" si="92"/>
        <v>19160</v>
      </c>
      <c r="AQ97" s="407">
        <f t="shared" si="93"/>
        <v>36239</v>
      </c>
      <c r="AR97" s="407">
        <f t="shared" si="94"/>
        <v>1560</v>
      </c>
      <c r="AS97" s="168">
        <f t="shared" si="95"/>
        <v>3640</v>
      </c>
      <c r="AT97" s="166">
        <f t="shared" si="96"/>
        <v>0</v>
      </c>
      <c r="AU97" s="167">
        <f t="shared" si="97"/>
        <v>0</v>
      </c>
      <c r="AV97" s="167">
        <f t="shared" si="98"/>
        <v>0</v>
      </c>
      <c r="AW97" s="407">
        <f t="shared" si="99"/>
        <v>0</v>
      </c>
      <c r="AX97" s="168">
        <f t="shared" si="100"/>
        <v>0</v>
      </c>
      <c r="AY97" s="166">
        <f t="shared" si="101"/>
        <v>0</v>
      </c>
      <c r="AZ97" s="407"/>
      <c r="BA97" s="407" t="e">
        <f t="shared" si="102"/>
        <v>#REF!</v>
      </c>
    </row>
    <row r="98" spans="1:53" ht="14.95" thickBot="1" x14ac:dyDescent="0.3">
      <c r="A98" s="220"/>
      <c r="B98" s="279">
        <f>DAY(Tabla2[[#This Row],[FECHA]])</f>
        <v>0</v>
      </c>
      <c r="D98" s="200"/>
      <c r="E98" s="201"/>
      <c r="F98" s="202"/>
      <c r="H98" s="525"/>
      <c r="I98" s="526" t="e">
        <f>((Tabla2[[#This Row],[VOLUMEN ENVIADO A RO (m3)]]/80)/3)*60</f>
        <v>#REF!</v>
      </c>
      <c r="J98" s="527"/>
      <c r="K98" s="528"/>
      <c r="L98" s="528"/>
      <c r="M98" s="528"/>
      <c r="N98" s="529"/>
      <c r="O98" s="261">
        <f t="shared" si="73"/>
        <v>0</v>
      </c>
      <c r="P98" s="262">
        <f t="shared" si="74"/>
        <v>0</v>
      </c>
      <c r="Q98" s="262">
        <f t="shared" si="75"/>
        <v>0</v>
      </c>
      <c r="R98" s="262">
        <f t="shared" si="76"/>
        <v>0</v>
      </c>
      <c r="S98" s="262">
        <f t="shared" si="77"/>
        <v>0</v>
      </c>
      <c r="T98" s="257">
        <f t="shared" si="78"/>
        <v>0</v>
      </c>
      <c r="U98" s="258">
        <f t="shared" si="79"/>
        <v>0</v>
      </c>
      <c r="V98" s="258">
        <f t="shared" si="80"/>
        <v>0</v>
      </c>
      <c r="W98" s="258">
        <f t="shared" si="81"/>
        <v>0</v>
      </c>
      <c r="X98" s="259">
        <f t="shared" si="82"/>
        <v>0</v>
      </c>
      <c r="Y98" s="264"/>
      <c r="Z98" s="264"/>
      <c r="AA98" s="264"/>
      <c r="AB98" s="264"/>
      <c r="AC98" s="264"/>
      <c r="AD98" s="257">
        <f t="shared" si="83"/>
        <v>0</v>
      </c>
      <c r="AE98" s="258">
        <f t="shared" si="83"/>
        <v>0</v>
      </c>
      <c r="AF98" s="258">
        <f t="shared" si="83"/>
        <v>0</v>
      </c>
      <c r="AG98" s="258">
        <f t="shared" si="84"/>
        <v>0</v>
      </c>
      <c r="AH98" s="259">
        <f t="shared" si="85"/>
        <v>0</v>
      </c>
      <c r="AI98" s="522" t="e">
        <f>#REF!-#REF!</f>
        <v>#REF!</v>
      </c>
      <c r="AJ98" s="195" t="e">
        <f t="shared" si="86"/>
        <v>#REF!</v>
      </c>
      <c r="AK98" s="196" t="e">
        <f t="shared" si="87"/>
        <v>#REF!</v>
      </c>
      <c r="AL98" s="196" t="e">
        <f t="shared" si="88"/>
        <v>#REF!</v>
      </c>
      <c r="AM98" s="196" t="e">
        <f t="shared" si="89"/>
        <v>#REF!</v>
      </c>
      <c r="AN98" s="197" t="e">
        <f t="shared" si="90"/>
        <v>#REF!</v>
      </c>
      <c r="AO98" s="166">
        <f t="shared" si="91"/>
        <v>1550</v>
      </c>
      <c r="AP98" s="407">
        <f t="shared" si="92"/>
        <v>19160</v>
      </c>
      <c r="AQ98" s="407">
        <f t="shared" si="93"/>
        <v>36239</v>
      </c>
      <c r="AR98" s="407">
        <f t="shared" si="94"/>
        <v>1560</v>
      </c>
      <c r="AS98" s="168">
        <f t="shared" si="95"/>
        <v>3640</v>
      </c>
      <c r="AT98" s="166">
        <f t="shared" si="96"/>
        <v>0</v>
      </c>
      <c r="AU98" s="170">
        <f t="shared" si="97"/>
        <v>0</v>
      </c>
      <c r="AV98" s="170">
        <f t="shared" si="98"/>
        <v>0</v>
      </c>
      <c r="AW98" s="407">
        <f t="shared" si="99"/>
        <v>0</v>
      </c>
      <c r="AX98" s="168">
        <f t="shared" si="100"/>
        <v>0</v>
      </c>
      <c r="AY98" s="166">
        <f t="shared" si="101"/>
        <v>0</v>
      </c>
      <c r="AZ98" s="407"/>
      <c r="BA98" s="407" t="e">
        <f t="shared" si="102"/>
        <v>#REF!</v>
      </c>
    </row>
    <row r="99" spans="1:53" ht="14.95" thickBot="1" x14ac:dyDescent="0.3">
      <c r="A99" s="362"/>
      <c r="B99" s="363"/>
      <c r="D99" s="364"/>
      <c r="E99" s="365"/>
      <c r="F99" s="489"/>
      <c r="I99" s="366"/>
      <c r="J99" s="403"/>
      <c r="K99" s="404"/>
      <c r="L99" s="404"/>
      <c r="M99" s="404"/>
      <c r="N99" s="405"/>
      <c r="O99" s="265">
        <f>J99*(1000/114)</f>
        <v>0</v>
      </c>
      <c r="P99" s="266">
        <f>K99*(1000/114)</f>
        <v>0</v>
      </c>
      <c r="Q99" s="266">
        <f>L99*(1000/114)</f>
        <v>0</v>
      </c>
      <c r="R99" s="266">
        <f>M99*(1000/114)</f>
        <v>0</v>
      </c>
      <c r="S99" s="266">
        <f>N99*(1000/114)</f>
        <v>0</v>
      </c>
      <c r="T99" s="257"/>
      <c r="U99" s="258"/>
      <c r="V99" s="258"/>
      <c r="W99" s="258"/>
      <c r="X99" s="259"/>
      <c r="Y99" s="367"/>
      <c r="Z99" s="367"/>
      <c r="AA99" s="367"/>
      <c r="AB99" s="367"/>
      <c r="AC99" s="367"/>
      <c r="AD99" s="257"/>
      <c r="AE99" s="258"/>
      <c r="AF99" s="258"/>
      <c r="AG99" s="258"/>
      <c r="AH99" s="259"/>
      <c r="AI99" s="257"/>
      <c r="AJ99" s="195"/>
      <c r="AK99" s="196"/>
      <c r="AL99" s="196"/>
      <c r="AM99" s="196"/>
      <c r="AN99" s="197"/>
      <c r="AO99" s="384"/>
      <c r="AP99" s="385"/>
      <c r="AQ99" s="385"/>
      <c r="AR99" s="385"/>
      <c r="AS99" s="386"/>
      <c r="AT99" s="384"/>
      <c r="AU99" s="385"/>
      <c r="AV99" s="385"/>
      <c r="AW99" s="385"/>
      <c r="AX99" s="386"/>
      <c r="AY99" s="384">
        <f>SUM(AY2:AY85)</f>
        <v>5978045.4442105256</v>
      </c>
      <c r="AZ99" s="385"/>
      <c r="BA99" s="385"/>
    </row>
    <row r="100" spans="1:53" x14ac:dyDescent="0.25">
      <c r="AI100" s="70">
        <f>+SUM(AI2:AI94)</f>
        <v>14053.279000000002</v>
      </c>
    </row>
  </sheetData>
  <conditionalFormatting sqref="J2:N98">
    <cfRule type="containsBlanks" dxfId="99" priority="2">
      <formula>LEN(TRIM(J2))=0</formula>
    </cfRule>
  </conditionalFormatting>
  <conditionalFormatting sqref="T1:X1048576">
    <cfRule type="cellIs" dxfId="98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dimension ref="A1:AH35"/>
  <sheetViews>
    <sheetView topLeftCell="A27" workbookViewId="0">
      <selection activeCell="A28" sqref="A24:A28"/>
      <pivotSelection pane="bottomRight" showHeader="1" axis="axisRow" activeRow="27" previousRow="27" click="1" r:id="rId1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3" x14ac:dyDescent="0.25"/>
  <cols>
    <col min="1" max="1" width="41" bestFit="1" customWidth="1"/>
    <col min="2" max="2" width="8.375" bestFit="1" customWidth="1"/>
    <col min="3" max="7" width="5.625" customWidth="1"/>
    <col min="8" max="12" width="8.375" bestFit="1" customWidth="1"/>
    <col min="13" max="30" width="5.625" customWidth="1"/>
    <col min="31" max="31" width="8.75" bestFit="1" customWidth="1"/>
    <col min="32" max="32" width="12.625" bestFit="1" customWidth="1"/>
    <col min="33" max="150" width="41.125" bestFit="1" customWidth="1"/>
    <col min="151" max="151" width="29" bestFit="1" customWidth="1"/>
    <col min="152" max="153" width="46.125" bestFit="1" customWidth="1"/>
    <col min="154" max="154" width="45" bestFit="1" customWidth="1"/>
    <col min="155" max="155" width="36.25" bestFit="1" customWidth="1"/>
    <col min="156" max="156" width="37.125" bestFit="1" customWidth="1"/>
    <col min="157" max="158" width="52.875" bestFit="1" customWidth="1"/>
    <col min="159" max="159" width="51.625" bestFit="1" customWidth="1"/>
    <col min="160" max="160" width="43" bestFit="1" customWidth="1"/>
  </cols>
  <sheetData>
    <row r="1" spans="1:32" ht="14.95" thickBot="1" x14ac:dyDescent="0.3">
      <c r="A1" s="604" t="s">
        <v>163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</row>
    <row r="2" spans="1:32" ht="14.95" thickBot="1" x14ac:dyDescent="0.3">
      <c r="A2" s="598" t="s">
        <v>5</v>
      </c>
      <c r="B2" s="599"/>
      <c r="C2" s="600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2" ht="14.95" thickBot="1" x14ac:dyDescent="0.3">
      <c r="A3" s="287"/>
      <c r="B3" s="287" t="s">
        <v>79</v>
      </c>
      <c r="C3" s="282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4"/>
    </row>
    <row r="4" spans="1:32" ht="14.95" thickBot="1" x14ac:dyDescent="0.3">
      <c r="A4" s="287" t="s">
        <v>157</v>
      </c>
      <c r="B4" s="301">
        <v>1</v>
      </c>
      <c r="C4" s="302">
        <v>2</v>
      </c>
      <c r="D4" s="302">
        <v>3</v>
      </c>
      <c r="E4" s="302">
        <v>4</v>
      </c>
      <c r="F4" s="302">
        <v>5</v>
      </c>
      <c r="G4" s="302">
        <v>6</v>
      </c>
      <c r="H4" s="302">
        <v>7</v>
      </c>
      <c r="I4" s="302">
        <v>8</v>
      </c>
      <c r="J4" s="302">
        <v>9</v>
      </c>
      <c r="K4" s="302">
        <v>10</v>
      </c>
      <c r="L4" s="302">
        <v>11</v>
      </c>
      <c r="M4" s="302">
        <v>12</v>
      </c>
      <c r="N4" s="302">
        <v>13</v>
      </c>
      <c r="O4" s="302">
        <v>14</v>
      </c>
      <c r="P4" s="302">
        <v>15</v>
      </c>
      <c r="Q4" s="302">
        <v>16</v>
      </c>
      <c r="R4" s="302">
        <v>17</v>
      </c>
      <c r="S4" s="302">
        <v>18</v>
      </c>
      <c r="T4" s="302">
        <v>19</v>
      </c>
      <c r="U4" s="302">
        <v>20</v>
      </c>
      <c r="V4" s="302">
        <v>21</v>
      </c>
      <c r="W4" s="302">
        <v>22</v>
      </c>
      <c r="X4" s="302">
        <v>23</v>
      </c>
      <c r="Y4" s="302">
        <v>24</v>
      </c>
      <c r="Z4" s="302">
        <v>25</v>
      </c>
      <c r="AA4" s="302">
        <v>26</v>
      </c>
      <c r="AB4" s="302">
        <v>27</v>
      </c>
      <c r="AC4" s="302">
        <v>28</v>
      </c>
      <c r="AD4" s="303">
        <v>0</v>
      </c>
      <c r="AE4" s="304" t="s">
        <v>72</v>
      </c>
    </row>
    <row r="5" spans="1:32" x14ac:dyDescent="0.25">
      <c r="A5" s="298" t="s">
        <v>152</v>
      </c>
      <c r="B5" s="108">
        <v>0</v>
      </c>
      <c r="C5" s="103">
        <v>0</v>
      </c>
      <c r="D5" s="491">
        <v>0</v>
      </c>
      <c r="E5" s="491">
        <v>0</v>
      </c>
      <c r="F5" s="491">
        <v>0</v>
      </c>
      <c r="G5" s="491">
        <v>0</v>
      </c>
      <c r="H5" s="491">
        <v>0</v>
      </c>
      <c r="I5" s="491">
        <v>0</v>
      </c>
      <c r="J5" s="491">
        <v>0</v>
      </c>
      <c r="K5" s="491">
        <v>0</v>
      </c>
      <c r="L5" s="491">
        <v>0</v>
      </c>
      <c r="M5" s="491">
        <v>0</v>
      </c>
      <c r="N5" s="491">
        <v>0</v>
      </c>
      <c r="O5" s="491">
        <v>0</v>
      </c>
      <c r="P5" s="491">
        <v>0</v>
      </c>
      <c r="Q5" s="491">
        <v>0</v>
      </c>
      <c r="R5" s="491">
        <v>0</v>
      </c>
      <c r="S5" s="491">
        <v>0</v>
      </c>
      <c r="T5" s="491">
        <v>0</v>
      </c>
      <c r="U5" s="491">
        <v>0</v>
      </c>
      <c r="V5" s="491">
        <v>0</v>
      </c>
      <c r="W5" s="491">
        <v>0</v>
      </c>
      <c r="X5" s="491">
        <v>0</v>
      </c>
      <c r="Y5" s="491">
        <v>0</v>
      </c>
      <c r="Z5" s="491">
        <v>0</v>
      </c>
      <c r="AA5" s="491">
        <v>0</v>
      </c>
      <c r="AB5" s="491">
        <v>0</v>
      </c>
      <c r="AC5" s="491">
        <v>0</v>
      </c>
      <c r="AD5" s="103">
        <v>0</v>
      </c>
      <c r="AE5" s="285">
        <v>0</v>
      </c>
    </row>
    <row r="6" spans="1:32" x14ac:dyDescent="0.25">
      <c r="A6" s="299" t="s">
        <v>153</v>
      </c>
      <c r="B6" s="124">
        <v>964.91228070175441</v>
      </c>
      <c r="C6" s="94">
        <v>0</v>
      </c>
      <c r="D6" s="493">
        <v>149.12280701754389</v>
      </c>
      <c r="E6" s="493">
        <v>35.087719298245617</v>
      </c>
      <c r="F6" s="493">
        <v>67.543859649122794</v>
      </c>
      <c r="G6" s="493">
        <v>70.175438596491233</v>
      </c>
      <c r="H6" s="493">
        <v>17.543859649122808</v>
      </c>
      <c r="I6" s="493">
        <v>0</v>
      </c>
      <c r="J6" s="493">
        <v>47.368421052631561</v>
      </c>
      <c r="K6" s="493">
        <v>26.315789473684163</v>
      </c>
      <c r="L6" s="493">
        <v>122.80701754385967</v>
      </c>
      <c r="M6" s="493">
        <v>90.175438596491233</v>
      </c>
      <c r="N6" s="493">
        <v>254.38596491228066</v>
      </c>
      <c r="O6" s="493">
        <v>36.315789473684276</v>
      </c>
      <c r="P6" s="493">
        <v>166.66666666666663</v>
      </c>
      <c r="Q6" s="493">
        <v>26.31578947368422</v>
      </c>
      <c r="R6" s="493">
        <v>71.929824561403564</v>
      </c>
      <c r="S6" s="493">
        <v>192.98245614035085</v>
      </c>
      <c r="T6" s="493">
        <v>192.98245614035088</v>
      </c>
      <c r="U6" s="493">
        <v>0</v>
      </c>
      <c r="V6" s="493">
        <v>0</v>
      </c>
      <c r="W6" s="493">
        <v>0</v>
      </c>
      <c r="X6" s="493">
        <v>0</v>
      </c>
      <c r="Y6" s="493">
        <v>27.543859649122822</v>
      </c>
      <c r="Z6" s="493">
        <v>78.94736842105263</v>
      </c>
      <c r="AA6" s="493">
        <v>61.403508771929822</v>
      </c>
      <c r="AB6" s="493">
        <v>35.087719298245474</v>
      </c>
      <c r="AC6" s="493">
        <v>87.719298245614141</v>
      </c>
      <c r="AD6" s="94">
        <v>0</v>
      </c>
      <c r="AE6" s="286">
        <v>2823.3333333333326</v>
      </c>
    </row>
    <row r="7" spans="1:32" x14ac:dyDescent="0.25">
      <c r="A7" s="299" t="s">
        <v>154</v>
      </c>
      <c r="B7" s="124">
        <v>701.75438596491233</v>
      </c>
      <c r="C7" s="94">
        <v>0</v>
      </c>
      <c r="D7" s="493">
        <v>228.07017543859649</v>
      </c>
      <c r="E7" s="493">
        <v>61.403508771929808</v>
      </c>
      <c r="F7" s="493">
        <v>87.719298245614056</v>
      </c>
      <c r="G7" s="493">
        <v>56.315789473684191</v>
      </c>
      <c r="H7" s="493">
        <v>308.77192982456143</v>
      </c>
      <c r="I7" s="493">
        <v>0</v>
      </c>
      <c r="J7" s="493">
        <v>84.210526315789423</v>
      </c>
      <c r="K7" s="493">
        <v>35.087719298245645</v>
      </c>
      <c r="L7" s="493">
        <v>105.26315789473682</v>
      </c>
      <c r="M7" s="493">
        <v>82.631578947368439</v>
      </c>
      <c r="N7" s="493">
        <v>52.631578947368439</v>
      </c>
      <c r="O7" s="493">
        <v>35.087719298245617</v>
      </c>
      <c r="P7" s="493">
        <v>184.21052631578948</v>
      </c>
      <c r="Q7" s="493">
        <v>8.7719298245614041</v>
      </c>
      <c r="R7" s="493">
        <v>184.21052631578937</v>
      </c>
      <c r="S7" s="493">
        <v>192.98245614035091</v>
      </c>
      <c r="T7" s="493">
        <v>192.98245614035091</v>
      </c>
      <c r="U7" s="493">
        <v>0</v>
      </c>
      <c r="V7" s="493">
        <v>0</v>
      </c>
      <c r="W7" s="493">
        <v>0</v>
      </c>
      <c r="X7" s="493">
        <v>0</v>
      </c>
      <c r="Y7" s="493">
        <v>35.087719298245588</v>
      </c>
      <c r="Z7" s="493">
        <v>96.491228070175453</v>
      </c>
      <c r="AA7" s="493">
        <v>114.03508771929825</v>
      </c>
      <c r="AB7" s="493">
        <v>245.61403508771932</v>
      </c>
      <c r="AC7" s="493">
        <v>263.15789473684208</v>
      </c>
      <c r="AD7" s="94">
        <v>0</v>
      </c>
      <c r="AE7" s="286">
        <v>3356.491228070176</v>
      </c>
    </row>
    <row r="8" spans="1:32" x14ac:dyDescent="0.25">
      <c r="A8" s="299" t="s">
        <v>155</v>
      </c>
      <c r="B8" s="124">
        <v>0</v>
      </c>
      <c r="C8" s="94">
        <v>0</v>
      </c>
      <c r="D8" s="493">
        <v>0</v>
      </c>
      <c r="E8" s="493">
        <v>0</v>
      </c>
      <c r="F8" s="493">
        <v>0</v>
      </c>
      <c r="G8" s="493">
        <v>0</v>
      </c>
      <c r="H8" s="493">
        <v>0</v>
      </c>
      <c r="I8" s="493">
        <v>0</v>
      </c>
      <c r="J8" s="493">
        <v>0</v>
      </c>
      <c r="K8" s="493">
        <v>0</v>
      </c>
      <c r="L8" s="493">
        <v>0</v>
      </c>
      <c r="M8" s="493">
        <v>0</v>
      </c>
      <c r="N8" s="493">
        <v>0</v>
      </c>
      <c r="O8" s="493">
        <v>0</v>
      </c>
      <c r="P8" s="493">
        <v>0</v>
      </c>
      <c r="Q8" s="493">
        <v>0</v>
      </c>
      <c r="R8" s="493">
        <v>0</v>
      </c>
      <c r="S8" s="493">
        <v>0</v>
      </c>
      <c r="T8" s="493">
        <v>0</v>
      </c>
      <c r="U8" s="493">
        <v>0</v>
      </c>
      <c r="V8" s="493">
        <v>0</v>
      </c>
      <c r="W8" s="493">
        <v>0</v>
      </c>
      <c r="X8" s="493">
        <v>0</v>
      </c>
      <c r="Y8" s="493">
        <v>0</v>
      </c>
      <c r="Z8" s="493">
        <v>0</v>
      </c>
      <c r="AA8" s="493">
        <v>0</v>
      </c>
      <c r="AB8" s="493">
        <v>0</v>
      </c>
      <c r="AC8" s="493">
        <v>0</v>
      </c>
      <c r="AD8" s="94">
        <v>0</v>
      </c>
      <c r="AE8" s="286">
        <v>0</v>
      </c>
    </row>
    <row r="9" spans="1:32" ht="14.95" thickBot="1" x14ac:dyDescent="0.3">
      <c r="A9" s="300" t="s">
        <v>156</v>
      </c>
      <c r="B9" s="107">
        <v>0</v>
      </c>
      <c r="C9" s="105">
        <v>0</v>
      </c>
      <c r="D9" s="494">
        <v>0</v>
      </c>
      <c r="E9" s="494">
        <v>0</v>
      </c>
      <c r="F9" s="494">
        <v>0</v>
      </c>
      <c r="G9" s="494">
        <v>0</v>
      </c>
      <c r="H9" s="494">
        <v>0</v>
      </c>
      <c r="I9" s="494">
        <v>0</v>
      </c>
      <c r="J9" s="494">
        <v>0</v>
      </c>
      <c r="K9" s="494">
        <v>0</v>
      </c>
      <c r="L9" s="494">
        <v>0</v>
      </c>
      <c r="M9" s="494">
        <v>0</v>
      </c>
      <c r="N9" s="494">
        <v>0</v>
      </c>
      <c r="O9" s="494">
        <v>0</v>
      </c>
      <c r="P9" s="494">
        <v>0</v>
      </c>
      <c r="Q9" s="494">
        <v>0</v>
      </c>
      <c r="R9" s="494">
        <v>0</v>
      </c>
      <c r="S9" s="494">
        <v>0</v>
      </c>
      <c r="T9" s="494">
        <v>0</v>
      </c>
      <c r="U9" s="494">
        <v>0</v>
      </c>
      <c r="V9" s="494">
        <v>0</v>
      </c>
      <c r="W9" s="494">
        <v>0</v>
      </c>
      <c r="X9" s="494">
        <v>0</v>
      </c>
      <c r="Y9" s="494">
        <v>0</v>
      </c>
      <c r="Z9" s="494">
        <v>0</v>
      </c>
      <c r="AA9" s="494">
        <v>0</v>
      </c>
      <c r="AB9" s="494">
        <v>0</v>
      </c>
      <c r="AC9" s="494">
        <v>0</v>
      </c>
      <c r="AD9" s="105">
        <v>0</v>
      </c>
      <c r="AE9" s="495">
        <v>0</v>
      </c>
    </row>
    <row r="10" spans="1:32" ht="14.95" thickBo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2" ht="14.95" thickBot="1" x14ac:dyDescent="0.3">
      <c r="A11" s="601" t="s">
        <v>4</v>
      </c>
      <c r="B11" s="602"/>
      <c r="C11" s="603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2" ht="14.95" thickBot="1" x14ac:dyDescent="0.3">
      <c r="A12" s="159"/>
      <c r="B12" s="159" t="s">
        <v>79</v>
      </c>
      <c r="C12" s="292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293"/>
    </row>
    <row r="13" spans="1:32" ht="14.95" thickBot="1" x14ac:dyDescent="0.3">
      <c r="A13" s="159" t="s">
        <v>157</v>
      </c>
      <c r="B13" s="297">
        <v>1</v>
      </c>
      <c r="C13" s="297">
        <v>2</v>
      </c>
      <c r="D13" s="297">
        <v>3</v>
      </c>
      <c r="E13" s="297">
        <v>4</v>
      </c>
      <c r="F13" s="297">
        <v>5</v>
      </c>
      <c r="G13" s="297">
        <v>6</v>
      </c>
      <c r="H13" s="297">
        <v>7</v>
      </c>
      <c r="I13" s="297">
        <v>8</v>
      </c>
      <c r="J13" s="297">
        <v>9</v>
      </c>
      <c r="K13" s="297">
        <v>10</v>
      </c>
      <c r="L13" s="297">
        <v>11</v>
      </c>
      <c r="M13" s="297">
        <v>12</v>
      </c>
      <c r="N13" s="297">
        <v>13</v>
      </c>
      <c r="O13" s="297">
        <v>14</v>
      </c>
      <c r="P13" s="297">
        <v>15</v>
      </c>
      <c r="Q13" s="297">
        <v>16</v>
      </c>
      <c r="R13" s="297">
        <v>17</v>
      </c>
      <c r="S13" s="297">
        <v>18</v>
      </c>
      <c r="T13" s="297">
        <v>19</v>
      </c>
      <c r="U13" s="297">
        <v>20</v>
      </c>
      <c r="V13" s="297">
        <v>21</v>
      </c>
      <c r="W13" s="297">
        <v>22</v>
      </c>
      <c r="X13" s="297">
        <v>23</v>
      </c>
      <c r="Y13" s="297">
        <v>24</v>
      </c>
      <c r="Z13" s="297">
        <v>25</v>
      </c>
      <c r="AA13" s="297">
        <v>26</v>
      </c>
      <c r="AB13" s="297">
        <v>27</v>
      </c>
      <c r="AC13" s="297">
        <v>28</v>
      </c>
      <c r="AD13" s="297">
        <v>0</v>
      </c>
      <c r="AE13" s="297" t="s">
        <v>72</v>
      </c>
    </row>
    <row r="14" spans="1:32" x14ac:dyDescent="0.25">
      <c r="A14" s="294" t="s">
        <v>158</v>
      </c>
      <c r="B14" s="95">
        <v>0</v>
      </c>
      <c r="C14" s="96">
        <v>0</v>
      </c>
      <c r="D14" s="288">
        <v>0</v>
      </c>
      <c r="E14" s="288">
        <v>0</v>
      </c>
      <c r="F14" s="288">
        <v>0</v>
      </c>
      <c r="G14" s="288">
        <v>0</v>
      </c>
      <c r="H14" s="288">
        <v>0</v>
      </c>
      <c r="I14" s="288">
        <v>0</v>
      </c>
      <c r="J14" s="288">
        <v>0</v>
      </c>
      <c r="K14" s="288">
        <v>0</v>
      </c>
      <c r="L14" s="288">
        <v>0</v>
      </c>
      <c r="M14" s="288">
        <v>0</v>
      </c>
      <c r="N14" s="288">
        <v>0</v>
      </c>
      <c r="O14" s="288">
        <v>0</v>
      </c>
      <c r="P14" s="288">
        <v>0</v>
      </c>
      <c r="Q14" s="288">
        <v>0</v>
      </c>
      <c r="R14" s="288">
        <v>0</v>
      </c>
      <c r="S14" s="288">
        <v>0</v>
      </c>
      <c r="T14" s="288">
        <v>0</v>
      </c>
      <c r="U14" s="288">
        <v>0</v>
      </c>
      <c r="V14" s="288">
        <v>0</v>
      </c>
      <c r="W14" s="288">
        <v>0</v>
      </c>
      <c r="X14" s="288">
        <v>0</v>
      </c>
      <c r="Y14" s="288">
        <v>0</v>
      </c>
      <c r="Z14" s="288">
        <v>0</v>
      </c>
      <c r="AA14" s="288">
        <v>0</v>
      </c>
      <c r="AB14" s="288">
        <v>0</v>
      </c>
      <c r="AC14" s="288">
        <v>0</v>
      </c>
      <c r="AD14" s="96">
        <v>0</v>
      </c>
      <c r="AE14" s="289">
        <v>0</v>
      </c>
    </row>
    <row r="15" spans="1:32" x14ac:dyDescent="0.25">
      <c r="A15" s="295" t="s">
        <v>159</v>
      </c>
      <c r="B15" s="113">
        <v>1349.0877192982457</v>
      </c>
      <c r="C15" s="90">
        <v>0</v>
      </c>
      <c r="D15" s="101">
        <v>190.87719298245619</v>
      </c>
      <c r="E15" s="101">
        <v>44.912280701754391</v>
      </c>
      <c r="F15" s="101">
        <v>86.456140350877178</v>
      </c>
      <c r="G15" s="101">
        <v>89.824561403508795</v>
      </c>
      <c r="H15" s="101">
        <v>22.456140350877195</v>
      </c>
      <c r="I15" s="101">
        <v>0</v>
      </c>
      <c r="J15" s="101">
        <v>60.631578947368396</v>
      </c>
      <c r="K15" s="101">
        <v>33.684210526315731</v>
      </c>
      <c r="L15" s="101">
        <v>157.19298245614038</v>
      </c>
      <c r="M15" s="101">
        <v>115.42456140350879</v>
      </c>
      <c r="N15" s="101">
        <v>325.61403508771923</v>
      </c>
      <c r="O15" s="101">
        <v>46.484210526315877</v>
      </c>
      <c r="P15" s="101">
        <v>213.33333333333329</v>
      </c>
      <c r="Q15" s="101">
        <v>33.684210526315802</v>
      </c>
      <c r="R15" s="101">
        <v>92.070175438596564</v>
      </c>
      <c r="S15" s="101">
        <v>247.01754385964909</v>
      </c>
      <c r="T15" s="101">
        <v>247.01754385964912</v>
      </c>
      <c r="U15" s="101">
        <v>0</v>
      </c>
      <c r="V15" s="101">
        <v>0</v>
      </c>
      <c r="W15" s="101">
        <v>0</v>
      </c>
      <c r="X15" s="101">
        <v>0</v>
      </c>
      <c r="Y15" s="101">
        <v>35.256140350877217</v>
      </c>
      <c r="Z15" s="101">
        <v>101.05263157894737</v>
      </c>
      <c r="AA15" s="101">
        <v>78.596491228070164</v>
      </c>
      <c r="AB15" s="101">
        <v>44.912280701754206</v>
      </c>
      <c r="AC15" s="101">
        <v>112.2807017543861</v>
      </c>
      <c r="AD15" s="90">
        <v>0</v>
      </c>
      <c r="AE15" s="290">
        <v>3727.8666666666677</v>
      </c>
    </row>
    <row r="16" spans="1:32" x14ac:dyDescent="0.25">
      <c r="A16" s="295" t="s">
        <v>160</v>
      </c>
      <c r="B16" s="113">
        <v>1046.1052631578948</v>
      </c>
      <c r="C16" s="90">
        <v>0</v>
      </c>
      <c r="D16" s="101">
        <v>273.68421052631578</v>
      </c>
      <c r="E16" s="101">
        <v>73.684210526315766</v>
      </c>
      <c r="F16" s="101">
        <v>105.26315789473686</v>
      </c>
      <c r="G16" s="101">
        <v>67.578947368421026</v>
      </c>
      <c r="H16" s="101">
        <v>370.5263157894737</v>
      </c>
      <c r="I16" s="101">
        <v>0</v>
      </c>
      <c r="J16" s="101">
        <v>101.05263157894731</v>
      </c>
      <c r="K16" s="101">
        <v>42.105263157894775</v>
      </c>
      <c r="L16" s="101">
        <v>126.31578947368418</v>
      </c>
      <c r="M16" s="101">
        <v>99.15789473684211</v>
      </c>
      <c r="N16" s="101">
        <v>63.157894736842124</v>
      </c>
      <c r="O16" s="101">
        <v>42.10526315789474</v>
      </c>
      <c r="P16" s="101">
        <v>221.05263157894737</v>
      </c>
      <c r="Q16" s="101">
        <v>10.526315789473685</v>
      </c>
      <c r="R16" s="101">
        <v>221.05263157894723</v>
      </c>
      <c r="S16" s="101">
        <v>231.5789473684211</v>
      </c>
      <c r="T16" s="101">
        <v>231.57894736842107</v>
      </c>
      <c r="U16" s="101">
        <v>0</v>
      </c>
      <c r="V16" s="101">
        <v>0</v>
      </c>
      <c r="W16" s="101">
        <v>0</v>
      </c>
      <c r="X16" s="101">
        <v>0</v>
      </c>
      <c r="Y16" s="101">
        <v>42.105263157894704</v>
      </c>
      <c r="Z16" s="101">
        <v>115.78947368421053</v>
      </c>
      <c r="AA16" s="101">
        <v>136.84210526315789</v>
      </c>
      <c r="AB16" s="101">
        <v>294.73684210526312</v>
      </c>
      <c r="AC16" s="101">
        <v>315.78947368421046</v>
      </c>
      <c r="AD16" s="90">
        <v>0</v>
      </c>
      <c r="AE16" s="290">
        <v>4231.7894736842109</v>
      </c>
    </row>
    <row r="17" spans="1:32" x14ac:dyDescent="0.25">
      <c r="A17" s="295" t="s">
        <v>161</v>
      </c>
      <c r="B17" s="113">
        <v>0</v>
      </c>
      <c r="C17" s="90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0</v>
      </c>
      <c r="V17" s="101">
        <v>0</v>
      </c>
      <c r="W17" s="101">
        <v>0</v>
      </c>
      <c r="X17" s="101">
        <v>0</v>
      </c>
      <c r="Y17" s="101">
        <v>0</v>
      </c>
      <c r="Z17" s="101">
        <v>0</v>
      </c>
      <c r="AA17" s="101">
        <v>0</v>
      </c>
      <c r="AB17" s="101">
        <v>0</v>
      </c>
      <c r="AC17" s="101">
        <v>0</v>
      </c>
      <c r="AD17" s="90">
        <v>0</v>
      </c>
      <c r="AE17" s="290">
        <v>0</v>
      </c>
    </row>
    <row r="18" spans="1:32" ht="14.95" thickBot="1" x14ac:dyDescent="0.3">
      <c r="A18" s="296" t="s">
        <v>162</v>
      </c>
      <c r="B18" s="98">
        <v>0</v>
      </c>
      <c r="C18" s="99">
        <v>0</v>
      </c>
      <c r="D18" s="184">
        <v>0</v>
      </c>
      <c r="E18" s="184">
        <v>0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4">
        <v>0</v>
      </c>
      <c r="N18" s="184">
        <v>0</v>
      </c>
      <c r="O18" s="184">
        <v>0</v>
      </c>
      <c r="P18" s="184">
        <v>0</v>
      </c>
      <c r="Q18" s="184">
        <v>0</v>
      </c>
      <c r="R18" s="184">
        <v>0</v>
      </c>
      <c r="S18" s="184">
        <v>0</v>
      </c>
      <c r="T18" s="184">
        <v>0</v>
      </c>
      <c r="U18" s="184">
        <v>0</v>
      </c>
      <c r="V18" s="184">
        <v>0</v>
      </c>
      <c r="W18" s="184">
        <v>0</v>
      </c>
      <c r="X18" s="184">
        <v>0</v>
      </c>
      <c r="Y18" s="184">
        <v>0</v>
      </c>
      <c r="Z18" s="184">
        <v>0</v>
      </c>
      <c r="AA18" s="184">
        <v>0</v>
      </c>
      <c r="AB18" s="184">
        <v>0</v>
      </c>
      <c r="AC18" s="184">
        <v>0</v>
      </c>
      <c r="AD18" s="99">
        <v>0</v>
      </c>
      <c r="AE18" s="291">
        <v>0</v>
      </c>
    </row>
    <row r="19" spans="1:32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2" ht="14.95" thickBot="1" x14ac:dyDescent="0.3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2" ht="14.95" thickBot="1" x14ac:dyDescent="0.3">
      <c r="A21" s="606" t="s">
        <v>190</v>
      </c>
      <c r="B21" s="607"/>
      <c r="C21" s="608"/>
    </row>
    <row r="22" spans="1:32" ht="14.95" thickBot="1" x14ac:dyDescent="0.3">
      <c r="A22" s="368"/>
      <c r="B22" s="368" t="s">
        <v>79</v>
      </c>
      <c r="C22" s="369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1"/>
    </row>
    <row r="23" spans="1:32" ht="14.95" thickBot="1" x14ac:dyDescent="0.3">
      <c r="A23" s="368" t="s">
        <v>157</v>
      </c>
      <c r="B23" s="372">
        <v>1</v>
      </c>
      <c r="C23" s="372">
        <v>2</v>
      </c>
      <c r="D23" s="372">
        <v>3</v>
      </c>
      <c r="E23" s="372">
        <v>4</v>
      </c>
      <c r="F23" s="372">
        <v>5</v>
      </c>
      <c r="G23" s="372">
        <v>6</v>
      </c>
      <c r="H23" s="372">
        <v>7</v>
      </c>
      <c r="I23" s="372">
        <v>8</v>
      </c>
      <c r="J23" s="372">
        <v>9</v>
      </c>
      <c r="K23" s="372">
        <v>10</v>
      </c>
      <c r="L23" s="372">
        <v>11</v>
      </c>
      <c r="M23" s="372">
        <v>12</v>
      </c>
      <c r="N23" s="372">
        <v>13</v>
      </c>
      <c r="O23" s="372">
        <v>14</v>
      </c>
      <c r="P23" s="372">
        <v>15</v>
      </c>
      <c r="Q23" s="372">
        <v>16</v>
      </c>
      <c r="R23" s="372">
        <v>17</v>
      </c>
      <c r="S23" s="372">
        <v>18</v>
      </c>
      <c r="T23" s="372">
        <v>19</v>
      </c>
      <c r="U23" s="372">
        <v>20</v>
      </c>
      <c r="V23" s="372">
        <v>21</v>
      </c>
      <c r="W23" s="372">
        <v>22</v>
      </c>
      <c r="X23" s="372">
        <v>23</v>
      </c>
      <c r="Y23" s="372">
        <v>24</v>
      </c>
      <c r="Z23" s="372">
        <v>25</v>
      </c>
      <c r="AA23" s="372">
        <v>26</v>
      </c>
      <c r="AB23" s="372">
        <v>27</v>
      </c>
      <c r="AC23" s="372">
        <v>28</v>
      </c>
      <c r="AD23" s="372">
        <v>0</v>
      </c>
      <c r="AE23" s="372" t="s">
        <v>72</v>
      </c>
    </row>
    <row r="24" spans="1:32" x14ac:dyDescent="0.25">
      <c r="A24" s="333" t="s">
        <v>191</v>
      </c>
      <c r="B24" s="95" t="e">
        <v>#DIV/0!</v>
      </c>
      <c r="C24" s="96">
        <v>0</v>
      </c>
      <c r="D24" s="288">
        <v>0</v>
      </c>
      <c r="E24" s="288">
        <v>0</v>
      </c>
      <c r="F24" s="288">
        <v>0</v>
      </c>
      <c r="G24" s="288">
        <v>0</v>
      </c>
      <c r="H24" s="288" t="e">
        <v>#DIV/0!</v>
      </c>
      <c r="I24" s="288" t="e">
        <v>#DIV/0!</v>
      </c>
      <c r="J24" s="288">
        <v>0</v>
      </c>
      <c r="K24" s="288">
        <v>0</v>
      </c>
      <c r="L24" s="288">
        <v>0</v>
      </c>
      <c r="M24" s="288">
        <v>0</v>
      </c>
      <c r="N24" s="288">
        <v>0</v>
      </c>
      <c r="O24" s="288">
        <v>0</v>
      </c>
      <c r="P24" s="288" t="e">
        <v>#DIV/0!</v>
      </c>
      <c r="Q24" s="288">
        <v>0</v>
      </c>
      <c r="R24" s="288">
        <v>0</v>
      </c>
      <c r="S24" s="288">
        <v>0</v>
      </c>
      <c r="T24" s="288">
        <v>0</v>
      </c>
      <c r="U24" s="288" t="e">
        <v>#DIV/0!</v>
      </c>
      <c r="V24" s="288" t="e">
        <v>#DIV/0!</v>
      </c>
      <c r="W24" s="288" t="e">
        <v>#DIV/0!</v>
      </c>
      <c r="X24" s="288">
        <v>0</v>
      </c>
      <c r="Y24" s="288">
        <v>0</v>
      </c>
      <c r="Z24" s="288">
        <v>0</v>
      </c>
      <c r="AA24" s="288">
        <v>0</v>
      </c>
      <c r="AB24" s="288">
        <v>0</v>
      </c>
      <c r="AC24" s="288">
        <v>0</v>
      </c>
      <c r="AD24" s="96" t="e">
        <v>#REF!</v>
      </c>
      <c r="AE24" s="289" t="e">
        <v>#REF!</v>
      </c>
    </row>
    <row r="25" spans="1:32" x14ac:dyDescent="0.25">
      <c r="A25" s="333" t="s">
        <v>193</v>
      </c>
      <c r="B25" s="113" t="e">
        <v>#DIV/0!</v>
      </c>
      <c r="C25" s="90">
        <v>0</v>
      </c>
      <c r="D25" s="101">
        <v>173.57853023751559</v>
      </c>
      <c r="E25" s="101">
        <v>64.391936006690329</v>
      </c>
      <c r="F25" s="101">
        <v>97.031725101404334</v>
      </c>
      <c r="G25" s="101">
        <v>95.550318701369662</v>
      </c>
      <c r="H25" s="101" t="e">
        <v>#DIV/0!</v>
      </c>
      <c r="I25" s="101" t="e">
        <v>#DIV/0!</v>
      </c>
      <c r="J25" s="101">
        <v>235.92054065123889</v>
      </c>
      <c r="K25" s="101">
        <v>44.426901988561937</v>
      </c>
      <c r="L25" s="101">
        <v>287.2300838634909</v>
      </c>
      <c r="M25" s="101">
        <v>134.31565538667905</v>
      </c>
      <c r="N25" s="101">
        <v>499.79590769480495</v>
      </c>
      <c r="O25" s="101">
        <v>98.517936410643287</v>
      </c>
      <c r="P25" s="101" t="e">
        <v>#DIV/0!</v>
      </c>
      <c r="Q25" s="101">
        <v>45.584315063970834</v>
      </c>
      <c r="R25" s="101">
        <v>121.34054948910619</v>
      </c>
      <c r="S25" s="101">
        <v>305.05445991245324</v>
      </c>
      <c r="T25" s="101">
        <v>408.33193186738112</v>
      </c>
      <c r="U25" s="101" t="e">
        <v>#DIV/0!</v>
      </c>
      <c r="V25" s="101" t="e">
        <v>#DIV/0!</v>
      </c>
      <c r="W25" s="101" t="e">
        <v>#DIV/0!</v>
      </c>
      <c r="X25" s="101">
        <v>0</v>
      </c>
      <c r="Y25" s="101">
        <v>61.774846423600394</v>
      </c>
      <c r="Z25" s="101">
        <v>195.4112551997714</v>
      </c>
      <c r="AA25" s="101">
        <v>150.02451125915539</v>
      </c>
      <c r="AB25" s="101">
        <v>65.102621949608121</v>
      </c>
      <c r="AC25" s="101">
        <v>150.03347504698351</v>
      </c>
      <c r="AD25" s="90" t="e">
        <v>#REF!</v>
      </c>
      <c r="AE25" s="290" t="e">
        <v>#REF!</v>
      </c>
    </row>
    <row r="26" spans="1:32" x14ac:dyDescent="0.25">
      <c r="A26" s="333" t="s">
        <v>194</v>
      </c>
      <c r="B26" s="113" t="e">
        <v>#DIV/0!</v>
      </c>
      <c r="C26" s="90">
        <v>0</v>
      </c>
      <c r="D26" s="101">
        <v>248.88098085526127</v>
      </c>
      <c r="E26" s="101">
        <v>105.64302001097629</v>
      </c>
      <c r="F26" s="101">
        <v>118.13927569164494</v>
      </c>
      <c r="G26" s="101">
        <v>71.886685085483535</v>
      </c>
      <c r="H26" s="101" t="e">
        <v>#DIV/0!</v>
      </c>
      <c r="I26" s="101" t="e">
        <v>#DIV/0!</v>
      </c>
      <c r="J26" s="101">
        <v>393.20090108539813</v>
      </c>
      <c r="K26" s="101">
        <v>55.533627485702574</v>
      </c>
      <c r="L26" s="101">
        <v>230.80988881887646</v>
      </c>
      <c r="M26" s="101">
        <v>115.38668595657677</v>
      </c>
      <c r="N26" s="101">
        <v>96.94317175114756</v>
      </c>
      <c r="O26" s="101">
        <v>89.237261241524564</v>
      </c>
      <c r="P26" s="101" t="e">
        <v>#DIV/0!</v>
      </c>
      <c r="Q26" s="101">
        <v>14.245098457490883</v>
      </c>
      <c r="R26" s="101">
        <v>291.32830098375302</v>
      </c>
      <c r="S26" s="101">
        <v>285.98855616792497</v>
      </c>
      <c r="T26" s="101">
        <v>382.81118612566979</v>
      </c>
      <c r="U26" s="101" t="e">
        <v>#DIV/0!</v>
      </c>
      <c r="V26" s="101" t="e">
        <v>#DIV/0!</v>
      </c>
      <c r="W26" s="101" t="e">
        <v>#DIV/0!</v>
      </c>
      <c r="X26" s="101">
        <v>0</v>
      </c>
      <c r="Y26" s="101">
        <v>73.775692384872968</v>
      </c>
      <c r="Z26" s="101">
        <v>223.90872991640475</v>
      </c>
      <c r="AA26" s="101">
        <v>261.20339013870807</v>
      </c>
      <c r="AB26" s="101">
        <v>427.235956544305</v>
      </c>
      <c r="AC26" s="101">
        <v>421.96914856964054</v>
      </c>
      <c r="AD26" s="90" t="e">
        <v>#REF!</v>
      </c>
      <c r="AE26" s="290" t="e">
        <v>#REF!</v>
      </c>
    </row>
    <row r="27" spans="1:32" x14ac:dyDescent="0.25">
      <c r="A27" s="333" t="s">
        <v>195</v>
      </c>
      <c r="B27" s="113" t="e">
        <v>#NAME?</v>
      </c>
      <c r="C27" s="90" t="e">
        <v>#NAME?</v>
      </c>
      <c r="D27" s="101" t="e">
        <v>#NAME?</v>
      </c>
      <c r="E27" s="101" t="e">
        <v>#NAME?</v>
      </c>
      <c r="F27" s="101" t="e">
        <v>#NAME?</v>
      </c>
      <c r="G27" s="101" t="e">
        <v>#NAME?</v>
      </c>
      <c r="H27" s="101" t="e">
        <v>#NAME?</v>
      </c>
      <c r="I27" s="101" t="e">
        <v>#NAME?</v>
      </c>
      <c r="J27" s="101" t="e">
        <v>#NAME?</v>
      </c>
      <c r="K27" s="101" t="e">
        <v>#NAME?</v>
      </c>
      <c r="L27" s="101" t="e">
        <v>#NAME?</v>
      </c>
      <c r="M27" s="101" t="e">
        <v>#NAME?</v>
      </c>
      <c r="N27" s="101" t="e">
        <v>#NAME?</v>
      </c>
      <c r="O27" s="101" t="e">
        <v>#NAME?</v>
      </c>
      <c r="P27" s="101" t="e">
        <v>#NAME?</v>
      </c>
      <c r="Q27" s="101" t="e">
        <v>#NAME?</v>
      </c>
      <c r="R27" s="101" t="e">
        <v>#NAME?</v>
      </c>
      <c r="S27" s="101" t="e">
        <v>#NAME?</v>
      </c>
      <c r="T27" s="101" t="e">
        <v>#NAME?</v>
      </c>
      <c r="U27" s="101" t="e">
        <v>#NAME?</v>
      </c>
      <c r="V27" s="101" t="e">
        <v>#NAME?</v>
      </c>
      <c r="W27" s="101" t="e">
        <v>#NAME?</v>
      </c>
      <c r="X27" s="101" t="e">
        <v>#NAME?</v>
      </c>
      <c r="Y27" s="101" t="e">
        <v>#NAME?</v>
      </c>
      <c r="Z27" s="101" t="e">
        <v>#NAME?</v>
      </c>
      <c r="AA27" s="101" t="e">
        <v>#NAME?</v>
      </c>
      <c r="AB27" s="101" t="e">
        <v>#NAME?</v>
      </c>
      <c r="AC27" s="101" t="e">
        <v>#NAME?</v>
      </c>
      <c r="AD27" s="90" t="e">
        <v>#NAME?</v>
      </c>
      <c r="AE27" s="290" t="e">
        <v>#NAME?</v>
      </c>
    </row>
    <row r="28" spans="1:32" ht="14.95" thickBot="1" x14ac:dyDescent="0.3">
      <c r="A28" s="334" t="s">
        <v>196</v>
      </c>
      <c r="B28" s="98" t="e">
        <v>#DIV/0!</v>
      </c>
      <c r="C28" s="99">
        <v>0</v>
      </c>
      <c r="D28" s="184">
        <v>0</v>
      </c>
      <c r="E28" s="184">
        <v>0</v>
      </c>
      <c r="F28" s="184">
        <v>0</v>
      </c>
      <c r="G28" s="184">
        <v>0</v>
      </c>
      <c r="H28" s="184" t="e">
        <v>#DIV/0!</v>
      </c>
      <c r="I28" s="184" t="e">
        <v>#DIV/0!</v>
      </c>
      <c r="J28" s="184">
        <v>0</v>
      </c>
      <c r="K28" s="184">
        <v>0</v>
      </c>
      <c r="L28" s="184">
        <v>0</v>
      </c>
      <c r="M28" s="184">
        <v>0</v>
      </c>
      <c r="N28" s="184">
        <v>0</v>
      </c>
      <c r="O28" s="184">
        <v>0</v>
      </c>
      <c r="P28" s="184" t="e">
        <v>#DIV/0!</v>
      </c>
      <c r="Q28" s="184">
        <v>0</v>
      </c>
      <c r="R28" s="184">
        <v>0</v>
      </c>
      <c r="S28" s="184">
        <v>0</v>
      </c>
      <c r="T28" s="184">
        <v>0</v>
      </c>
      <c r="U28" s="184" t="e">
        <v>#DIV/0!</v>
      </c>
      <c r="V28" s="184" t="e">
        <v>#DIV/0!</v>
      </c>
      <c r="W28" s="184" t="e">
        <v>#DIV/0!</v>
      </c>
      <c r="X28" s="184">
        <v>0</v>
      </c>
      <c r="Y28" s="184">
        <v>0</v>
      </c>
      <c r="Z28" s="184">
        <v>0</v>
      </c>
      <c r="AA28" s="184">
        <v>0</v>
      </c>
      <c r="AB28" s="184">
        <v>0</v>
      </c>
      <c r="AC28" s="184">
        <v>0</v>
      </c>
      <c r="AD28" s="99" t="e">
        <v>#REF!</v>
      </c>
      <c r="AE28" s="291" t="e">
        <v>#REF!</v>
      </c>
    </row>
    <row r="30" spans="1:32" ht="14.95" thickBot="1" x14ac:dyDescent="0.3"/>
    <row r="31" spans="1:32" ht="14.95" thickBot="1" x14ac:dyDescent="0.3">
      <c r="A31" s="605" t="s">
        <v>31</v>
      </c>
      <c r="B31" s="556"/>
      <c r="C31" s="557"/>
    </row>
    <row r="32" spans="1:32" ht="14.95" thickBot="1" x14ac:dyDescent="0.3">
      <c r="A32" s="305"/>
      <c r="B32" s="306" t="s">
        <v>79</v>
      </c>
      <c r="C32" s="307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  <c r="AB32" s="308"/>
      <c r="AC32" s="308"/>
      <c r="AD32" s="308"/>
      <c r="AE32" s="309"/>
    </row>
    <row r="33" spans="1:34" ht="14.95" thickBot="1" x14ac:dyDescent="0.3">
      <c r="A33" s="305"/>
      <c r="B33" s="311">
        <v>1</v>
      </c>
      <c r="C33" s="312">
        <v>2</v>
      </c>
      <c r="D33" s="312">
        <v>3</v>
      </c>
      <c r="E33" s="312">
        <v>4</v>
      </c>
      <c r="F33" s="312">
        <v>5</v>
      </c>
      <c r="G33" s="312">
        <v>6</v>
      </c>
      <c r="H33" s="312">
        <v>7</v>
      </c>
      <c r="I33" s="312">
        <v>8</v>
      </c>
      <c r="J33" s="312">
        <v>9</v>
      </c>
      <c r="K33" s="312">
        <v>10</v>
      </c>
      <c r="L33" s="312">
        <v>11</v>
      </c>
      <c r="M33" s="312">
        <v>12</v>
      </c>
      <c r="N33" s="312">
        <v>13</v>
      </c>
      <c r="O33" s="312">
        <v>14</v>
      </c>
      <c r="P33" s="312">
        <v>15</v>
      </c>
      <c r="Q33" s="312">
        <v>16</v>
      </c>
      <c r="R33" s="312">
        <v>17</v>
      </c>
      <c r="S33" s="312">
        <v>18</v>
      </c>
      <c r="T33" s="312">
        <v>19</v>
      </c>
      <c r="U33" s="312">
        <v>20</v>
      </c>
      <c r="V33" s="312">
        <v>21</v>
      </c>
      <c r="W33" s="312">
        <v>22</v>
      </c>
      <c r="X33" s="312">
        <v>23</v>
      </c>
      <c r="Y33" s="312">
        <v>24</v>
      </c>
      <c r="Z33" s="312">
        <v>25</v>
      </c>
      <c r="AA33" s="312">
        <v>26</v>
      </c>
      <c r="AB33" s="312">
        <v>27</v>
      </c>
      <c r="AC33" s="312">
        <v>28</v>
      </c>
      <c r="AD33" s="313">
        <v>0</v>
      </c>
      <c r="AE33" s="310" t="s">
        <v>72</v>
      </c>
    </row>
    <row r="34" spans="1:34" s="202" customFormat="1" ht="14.95" thickBot="1" x14ac:dyDescent="0.3">
      <c r="A34" s="542" t="s">
        <v>192</v>
      </c>
      <c r="B34" s="539">
        <v>0</v>
      </c>
      <c r="C34" s="540">
        <v>209.39600000000002</v>
      </c>
      <c r="D34" s="540">
        <v>274.91475000000003</v>
      </c>
      <c r="E34" s="540">
        <v>174.37074999999999</v>
      </c>
      <c r="F34" s="540">
        <v>222.75225</v>
      </c>
      <c r="G34" s="540">
        <v>235.01900000000001</v>
      </c>
      <c r="H34" s="540">
        <v>0</v>
      </c>
      <c r="I34" s="540">
        <v>0</v>
      </c>
      <c r="J34" s="540">
        <v>64.25</v>
      </c>
      <c r="K34" s="540">
        <v>189.54849999999999</v>
      </c>
      <c r="L34" s="540">
        <v>136.81800000000001</v>
      </c>
      <c r="M34" s="540">
        <v>214.83825000000002</v>
      </c>
      <c r="N34" s="540">
        <v>162.87349999999998</v>
      </c>
      <c r="O34" s="540">
        <v>117.95874999999998</v>
      </c>
      <c r="P34" s="540">
        <v>0</v>
      </c>
      <c r="Q34" s="540">
        <v>184.73575</v>
      </c>
      <c r="R34" s="540">
        <v>189.69375000000002</v>
      </c>
      <c r="S34" s="540">
        <v>202.43725000000001</v>
      </c>
      <c r="T34" s="540">
        <v>151.23575000000002</v>
      </c>
      <c r="U34" s="540">
        <v>0</v>
      </c>
      <c r="V34" s="540">
        <v>0</v>
      </c>
      <c r="W34" s="540">
        <v>0</v>
      </c>
      <c r="X34" s="540">
        <v>19.982749999999999</v>
      </c>
      <c r="Y34" s="540">
        <v>142.68</v>
      </c>
      <c r="Z34" s="540">
        <v>129.28199999999998</v>
      </c>
      <c r="AA34" s="540">
        <v>130.97274999999999</v>
      </c>
      <c r="AB34" s="540">
        <v>172.46724999999998</v>
      </c>
      <c r="AC34" s="540">
        <v>187.09274999999997</v>
      </c>
      <c r="AD34" s="540" t="e">
        <v>#REF!</v>
      </c>
      <c r="AE34" s="541" t="e">
        <v>#REF!</v>
      </c>
      <c r="AF34"/>
      <c r="AG34"/>
      <c r="AH34"/>
    </row>
    <row r="35" spans="1:34" s="373" customFormat="1" ht="14.95" thickBot="1" x14ac:dyDescent="0.3">
      <c r="A35" s="375" t="s">
        <v>197</v>
      </c>
      <c r="B35" s="376">
        <f>B34/60</f>
        <v>0</v>
      </c>
      <c r="C35" s="376">
        <f t="shared" ref="C35:AE35" si="0">C34/60</f>
        <v>3.4899333333333336</v>
      </c>
      <c r="D35" s="376">
        <f t="shared" si="0"/>
        <v>4.5819125000000005</v>
      </c>
      <c r="E35" s="376">
        <f t="shared" si="0"/>
        <v>2.9061791666666665</v>
      </c>
      <c r="F35" s="376">
        <f t="shared" si="0"/>
        <v>3.7125375000000003</v>
      </c>
      <c r="G35" s="376">
        <f t="shared" si="0"/>
        <v>3.9169833333333335</v>
      </c>
      <c r="H35" s="376">
        <f t="shared" si="0"/>
        <v>0</v>
      </c>
      <c r="I35" s="376">
        <f t="shared" si="0"/>
        <v>0</v>
      </c>
      <c r="J35" s="376">
        <f t="shared" si="0"/>
        <v>1.0708333333333333</v>
      </c>
      <c r="K35" s="376">
        <f t="shared" si="0"/>
        <v>3.1591416666666663</v>
      </c>
      <c r="L35" s="376">
        <f t="shared" si="0"/>
        <v>2.2803</v>
      </c>
      <c r="M35" s="376">
        <f t="shared" si="0"/>
        <v>3.5806375000000004</v>
      </c>
      <c r="N35" s="376">
        <f t="shared" si="0"/>
        <v>2.7145583333333332</v>
      </c>
      <c r="O35" s="376">
        <f t="shared" si="0"/>
        <v>1.9659791666666664</v>
      </c>
      <c r="P35" s="376">
        <f t="shared" si="0"/>
        <v>0</v>
      </c>
      <c r="Q35" s="376">
        <f t="shared" si="0"/>
        <v>3.0789291666666667</v>
      </c>
      <c r="R35" s="376">
        <f t="shared" si="0"/>
        <v>3.1615625000000005</v>
      </c>
      <c r="S35" s="376">
        <f t="shared" si="0"/>
        <v>3.3739541666666666</v>
      </c>
      <c r="T35" s="376">
        <f t="shared" si="0"/>
        <v>2.5205958333333336</v>
      </c>
      <c r="U35" s="376">
        <f t="shared" si="0"/>
        <v>0</v>
      </c>
      <c r="V35" s="376">
        <f t="shared" si="0"/>
        <v>0</v>
      </c>
      <c r="W35" s="376">
        <f t="shared" si="0"/>
        <v>0</v>
      </c>
      <c r="X35" s="376">
        <f t="shared" si="0"/>
        <v>0.33304583333333332</v>
      </c>
      <c r="Y35" s="376">
        <f t="shared" si="0"/>
        <v>2.3780000000000001</v>
      </c>
      <c r="Z35" s="376">
        <f t="shared" si="0"/>
        <v>2.1546999999999996</v>
      </c>
      <c r="AA35" s="376">
        <f t="shared" si="0"/>
        <v>2.1828791666666665</v>
      </c>
      <c r="AB35" s="376">
        <f t="shared" si="0"/>
        <v>2.8744541666666663</v>
      </c>
      <c r="AC35" s="376">
        <f t="shared" si="0"/>
        <v>3.1182124999999994</v>
      </c>
      <c r="AD35" s="376" t="e">
        <f t="shared" si="0"/>
        <v>#REF!</v>
      </c>
      <c r="AE35" s="376" t="e">
        <f t="shared" si="0"/>
        <v>#REF!</v>
      </c>
      <c r="AF35" s="377"/>
      <c r="AG35" s="374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3" x14ac:dyDescent="0.25"/>
  <cols>
    <col min="1" max="1" width="0.375" customWidth="1"/>
    <col min="2" max="2" width="35.75" bestFit="1" customWidth="1"/>
    <col min="3" max="3" width="12.25" style="70" customWidth="1"/>
    <col min="4" max="4" width="18" customWidth="1"/>
    <col min="5" max="5" width="18.125" bestFit="1" customWidth="1"/>
    <col min="6" max="6" width="16.25" bestFit="1" customWidth="1"/>
    <col min="7" max="7" width="12.25" customWidth="1"/>
    <col min="8" max="8" width="4.75" customWidth="1"/>
    <col min="9" max="9" width="35.75" bestFit="1" customWidth="1"/>
    <col min="11" max="12" width="8.625" customWidth="1"/>
    <col min="13" max="14" width="9.375" customWidth="1"/>
    <col min="15" max="16" width="9.125" customWidth="1"/>
    <col min="17" max="18" width="8.625" customWidth="1"/>
    <col min="19" max="19" width="9.875" customWidth="1"/>
    <col min="20" max="20" width="9.375" customWidth="1"/>
  </cols>
  <sheetData>
    <row r="1" spans="2:19" ht="18" customHeight="1" thickBot="1" x14ac:dyDescent="0.4">
      <c r="I1" s="620" t="s">
        <v>165</v>
      </c>
      <c r="J1" s="620"/>
      <c r="K1" s="620"/>
      <c r="L1" s="620"/>
      <c r="M1" s="620"/>
      <c r="N1" s="620"/>
      <c r="O1" s="620"/>
      <c r="P1" s="620"/>
      <c r="Q1" s="620"/>
      <c r="R1" s="620"/>
    </row>
    <row r="2" spans="2:19" ht="43.5" customHeight="1" thickBot="1" x14ac:dyDescent="0.3">
      <c r="B2" s="615" t="s">
        <v>33</v>
      </c>
      <c r="C2" s="355" t="s">
        <v>12</v>
      </c>
      <c r="D2" s="330" t="s">
        <v>14</v>
      </c>
      <c r="E2" s="331" t="s">
        <v>35</v>
      </c>
      <c r="F2" s="328" t="s">
        <v>18</v>
      </c>
      <c r="G2" s="326" t="s">
        <v>13</v>
      </c>
      <c r="H2" s="30"/>
      <c r="I2" s="615" t="s">
        <v>32</v>
      </c>
      <c r="J2" s="629" t="s">
        <v>12</v>
      </c>
      <c r="K2" s="631" t="s">
        <v>14</v>
      </c>
      <c r="L2" s="632"/>
      <c r="M2" s="633" t="s">
        <v>34</v>
      </c>
      <c r="N2" s="634"/>
      <c r="O2" s="635" t="s">
        <v>36</v>
      </c>
      <c r="P2" s="636"/>
      <c r="Q2" s="627" t="s">
        <v>13</v>
      </c>
      <c r="R2" s="628"/>
    </row>
    <row r="3" spans="2:19" ht="14.95" thickBot="1" x14ac:dyDescent="0.3">
      <c r="B3" s="616"/>
      <c r="C3" s="327"/>
      <c r="D3" s="342" t="s">
        <v>11</v>
      </c>
      <c r="E3" s="343" t="s">
        <v>11</v>
      </c>
      <c r="F3" s="48" t="s">
        <v>11</v>
      </c>
      <c r="G3" s="49" t="s">
        <v>11</v>
      </c>
      <c r="H3" s="30"/>
      <c r="I3" s="616"/>
      <c r="J3" s="630"/>
      <c r="K3" s="317" t="s">
        <v>10</v>
      </c>
      <c r="L3" s="318" t="s">
        <v>11</v>
      </c>
      <c r="M3" s="319" t="s">
        <v>10</v>
      </c>
      <c r="N3" s="320" t="s">
        <v>11</v>
      </c>
      <c r="O3" s="321" t="s">
        <v>10</v>
      </c>
      <c r="P3" s="322" t="s">
        <v>11</v>
      </c>
      <c r="Q3" s="323" t="s">
        <v>10</v>
      </c>
      <c r="R3" s="324" t="s">
        <v>11</v>
      </c>
    </row>
    <row r="4" spans="2:19" ht="14.95" thickBot="1" x14ac:dyDescent="0.3">
      <c r="B4" s="3" t="s">
        <v>152</v>
      </c>
      <c r="C4" s="2">
        <v>1.24</v>
      </c>
      <c r="D4" s="46">
        <v>440</v>
      </c>
      <c r="E4" s="344">
        <f>C23+D23+E23+F23</f>
        <v>0</v>
      </c>
      <c r="F4" s="346">
        <f>+C14+D14+E14+F14</f>
        <v>0</v>
      </c>
      <c r="G4" s="346">
        <f>(D4+F4)-E4</f>
        <v>440</v>
      </c>
      <c r="H4" s="30"/>
      <c r="I4" s="3" t="s">
        <v>152</v>
      </c>
      <c r="J4" s="2">
        <v>1.24</v>
      </c>
      <c r="K4" s="46">
        <v>184.21052631578948</v>
      </c>
      <c r="L4" s="46">
        <f>K4*J4</f>
        <v>228.42105263157896</v>
      </c>
      <c r="M4" s="108">
        <f>GETPIVOTDATA(" CONSUMO (L) HCL (10%)",'CONSUMO QUÍMICA - CAUDALES RO'!$A3)</f>
        <v>0</v>
      </c>
      <c r="N4" s="314" t="e">
        <f>SUM(#REF!)</f>
        <v>#REF!</v>
      </c>
      <c r="O4" s="108">
        <f>J14+L14+N14</f>
        <v>360</v>
      </c>
      <c r="P4" s="314"/>
      <c r="Q4" s="50">
        <f>(K4+O4)-M4</f>
        <v>544.21052631578948</v>
      </c>
      <c r="R4" s="51">
        <f>Q4*J4</f>
        <v>674.82105263157894</v>
      </c>
    </row>
    <row r="5" spans="2:19" ht="15.8" customHeight="1" thickBot="1" x14ac:dyDescent="0.3">
      <c r="B5" s="5" t="s">
        <v>153</v>
      </c>
      <c r="C5" s="2">
        <v>1.29</v>
      </c>
      <c r="D5" s="46">
        <v>170</v>
      </c>
      <c r="E5" s="344">
        <f>C24+D24+E24+F24</f>
        <v>0</v>
      </c>
      <c r="F5" s="344">
        <f>+C15+D15+E15+F15</f>
        <v>700</v>
      </c>
      <c r="G5" s="344">
        <f>(D5+F5)-E5</f>
        <v>870</v>
      </c>
      <c r="H5" s="30"/>
      <c r="I5" s="5" t="s">
        <v>153</v>
      </c>
      <c r="J5" s="2">
        <v>1.29</v>
      </c>
      <c r="K5" s="46">
        <v>561.40350877192986</v>
      </c>
      <c r="L5" s="46">
        <f>K5*J5</f>
        <v>724.21052631578959</v>
      </c>
      <c r="M5" s="108">
        <f>GETPIVOTDATA(" CONSUMO (L) KURIVERTER IK-220 (Biocida)",'CONSUMO QUÍMICA - CAUDALES RO'!$A$3)</f>
        <v>2823.3333333333326</v>
      </c>
      <c r="N5" s="315" t="e">
        <f>SUM(#REF!)</f>
        <v>#REF!</v>
      </c>
      <c r="O5" s="124">
        <f>J15+L15+N15</f>
        <v>0</v>
      </c>
      <c r="P5" s="315"/>
      <c r="Q5" s="20">
        <f>(K5+O5)-M5</f>
        <v>-2261.9298245614027</v>
      </c>
      <c r="R5" s="4">
        <f>Q5*J5</f>
        <v>-2917.8894736842094</v>
      </c>
    </row>
    <row r="6" spans="2:19" ht="14.95" thickBot="1" x14ac:dyDescent="0.3">
      <c r="B6" s="5" t="s">
        <v>154</v>
      </c>
      <c r="C6" s="2">
        <v>1.2</v>
      </c>
      <c r="D6" s="46">
        <v>83</v>
      </c>
      <c r="E6" s="344">
        <f>C25+D25+E25+F25</f>
        <v>0</v>
      </c>
      <c r="F6" s="344">
        <f>+C16+D16+E16+F16</f>
        <v>0</v>
      </c>
      <c r="G6" s="344">
        <f>(D6+F6)-E6</f>
        <v>83</v>
      </c>
      <c r="H6" s="30"/>
      <c r="I6" s="5" t="s">
        <v>154</v>
      </c>
      <c r="J6" s="2">
        <v>1.2</v>
      </c>
      <c r="K6" s="46">
        <v>929.82456140350882</v>
      </c>
      <c r="L6" s="46">
        <f>K6*J6</f>
        <v>1115.7894736842106</v>
      </c>
      <c r="M6" s="108">
        <f>GETPIVOTDATA("CONSUMO (L) VITEC 7000 (Antiincrustante) ",'CONSUMO QUÍMICA - CAUDALES RO'!$A$3)</f>
        <v>3356.491228070176</v>
      </c>
      <c r="N6" s="315" t="e">
        <f>SUM(#REF!)</f>
        <v>#REF!</v>
      </c>
      <c r="O6" s="124">
        <f>J16+L16+N16</f>
        <v>580</v>
      </c>
      <c r="P6" s="315"/>
      <c r="Q6" s="20">
        <f>(K6+O6)-M6</f>
        <v>-1846.6666666666672</v>
      </c>
      <c r="R6" s="4">
        <f>Q6*J6</f>
        <v>-2216.0000000000005</v>
      </c>
    </row>
    <row r="7" spans="2:19" ht="14.95" thickBot="1" x14ac:dyDescent="0.3">
      <c r="B7" s="5" t="s">
        <v>155</v>
      </c>
      <c r="C7" s="2">
        <v>1.2</v>
      </c>
      <c r="D7" s="46">
        <v>50</v>
      </c>
      <c r="E7" s="344">
        <f>C26+D26+E26+F26</f>
        <v>0</v>
      </c>
      <c r="F7" s="344">
        <f>+C17+D17+E17+F17</f>
        <v>0</v>
      </c>
      <c r="G7" s="344">
        <f>(D7+F7)-E7</f>
        <v>50</v>
      </c>
      <c r="H7" s="30"/>
      <c r="I7" s="5" t="s">
        <v>155</v>
      </c>
      <c r="J7" s="2">
        <v>1.2</v>
      </c>
      <c r="K7" s="46">
        <v>0</v>
      </c>
      <c r="L7" s="46">
        <f>K7*J7</f>
        <v>0</v>
      </c>
      <c r="M7" s="108">
        <f>GETPIVOTDATA("CONSUMO (L) Hidróxido de Sodio (NaOH) ",'CONSUMO QUÍMICA - CAUDALES RO'!$A$3)</f>
        <v>0</v>
      </c>
      <c r="N7" s="315" t="e">
        <f>SUM(#REF!)</f>
        <v>#REF!</v>
      </c>
      <c r="O7" s="124">
        <f>J17+L17+N17</f>
        <v>0</v>
      </c>
      <c r="P7" s="315"/>
      <c r="Q7" s="20">
        <f>(K7+O7)-M7</f>
        <v>0</v>
      </c>
      <c r="R7" s="4">
        <f>Q7*J7</f>
        <v>0</v>
      </c>
    </row>
    <row r="8" spans="2:19" ht="14.95" thickBot="1" x14ac:dyDescent="0.3">
      <c r="B8" s="7" t="s">
        <v>156</v>
      </c>
      <c r="C8" s="29">
        <v>1.48</v>
      </c>
      <c r="D8" s="47">
        <v>60</v>
      </c>
      <c r="E8" s="345">
        <f>C27+D27+E27+F27</f>
        <v>25</v>
      </c>
      <c r="F8" s="345">
        <f>+C18+D18+E18+F18</f>
        <v>0</v>
      </c>
      <c r="G8" s="345">
        <f>(D8+F8)-E8</f>
        <v>35</v>
      </c>
      <c r="H8" s="30"/>
      <c r="I8" s="7" t="s">
        <v>156</v>
      </c>
      <c r="J8" s="29">
        <v>2.5000000000000001E-3</v>
      </c>
      <c r="K8" s="47">
        <v>245.61403508771932</v>
      </c>
      <c r="L8" s="47">
        <f>K8*J8</f>
        <v>0.61403508771929827</v>
      </c>
      <c r="M8" s="108">
        <f>GETPIVOTDATA("CONSUMO (L) Bisulfito de sodio ",'CONSUMO QUÍMICA - CAUDALES RO'!$A$3)</f>
        <v>0</v>
      </c>
      <c r="N8" s="316" t="e">
        <f>SUM(#REF!)</f>
        <v>#REF!</v>
      </c>
      <c r="O8" s="107">
        <f>J18+L18+N18</f>
        <v>0</v>
      </c>
      <c r="P8" s="316"/>
      <c r="Q8" s="21">
        <f>(K8+O8)-M8</f>
        <v>245.61403508771932</v>
      </c>
      <c r="R8" s="22">
        <f>Q8*J8</f>
        <v>0.61403508771929827</v>
      </c>
    </row>
    <row r="9" spans="2:19" ht="3.75" customHeight="1" x14ac:dyDescent="0.25">
      <c r="B9" s="9"/>
      <c r="C9" s="354">
        <v>2.5000000000000001E-3</v>
      </c>
      <c r="D9" s="9"/>
    </row>
    <row r="10" spans="2:19" ht="16.5" customHeight="1" thickBot="1" x14ac:dyDescent="0.3"/>
    <row r="11" spans="2:19" ht="15.8" customHeight="1" thickBot="1" x14ac:dyDescent="0.3">
      <c r="B11" s="617" t="s">
        <v>178</v>
      </c>
      <c r="C11" s="569" t="s">
        <v>24</v>
      </c>
      <c r="D11" s="570"/>
      <c r="E11" s="570"/>
      <c r="F11" s="571"/>
      <c r="I11" s="617" t="s">
        <v>7</v>
      </c>
      <c r="J11" s="621" t="s">
        <v>164</v>
      </c>
      <c r="K11" s="622"/>
      <c r="L11" s="622"/>
      <c r="M11" s="622"/>
      <c r="N11" s="622"/>
      <c r="O11" s="622"/>
      <c r="P11" s="622"/>
      <c r="Q11" s="622"/>
      <c r="R11" s="622"/>
      <c r="S11" s="623"/>
    </row>
    <row r="12" spans="2:19" ht="18" customHeight="1" x14ac:dyDescent="0.25">
      <c r="B12" s="618"/>
      <c r="C12" s="329">
        <v>45677</v>
      </c>
      <c r="D12" s="339"/>
      <c r="E12" s="339"/>
      <c r="F12" s="347"/>
      <c r="I12" s="618"/>
      <c r="J12" s="624">
        <v>45550</v>
      </c>
      <c r="K12" s="625"/>
      <c r="L12" s="624">
        <v>45559</v>
      </c>
      <c r="M12" s="625"/>
      <c r="N12" s="624"/>
      <c r="O12" s="625"/>
      <c r="P12" s="624"/>
      <c r="Q12" s="625"/>
      <c r="R12" s="626"/>
      <c r="S12" s="625"/>
    </row>
    <row r="13" spans="2:19" ht="14.95" thickBot="1" x14ac:dyDescent="0.3">
      <c r="B13" s="619"/>
      <c r="C13" s="40" t="s">
        <v>176</v>
      </c>
      <c r="D13" s="40" t="s">
        <v>176</v>
      </c>
      <c r="E13" s="40" t="s">
        <v>176</v>
      </c>
      <c r="F13" s="348" t="s">
        <v>176</v>
      </c>
      <c r="I13" s="619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25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349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25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350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25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350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4.95" customHeight="1" x14ac:dyDescent="0.25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350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" customHeight="1" thickBot="1" x14ac:dyDescent="0.3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351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4.95" thickBot="1" x14ac:dyDescent="0.3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8" customHeight="1" thickBot="1" x14ac:dyDescent="0.3">
      <c r="B20" s="612" t="s">
        <v>179</v>
      </c>
      <c r="C20" s="609" t="s">
        <v>177</v>
      </c>
      <c r="D20" s="610"/>
      <c r="E20" s="610"/>
      <c r="F20" s="611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25">
      <c r="B21" s="613"/>
      <c r="C21" s="340">
        <v>45568</v>
      </c>
      <c r="D21" s="341"/>
      <c r="E21" s="341"/>
      <c r="F21" s="35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4.95" thickBot="1" x14ac:dyDescent="0.3">
      <c r="B22" s="614"/>
      <c r="C22" s="338" t="s">
        <v>10</v>
      </c>
      <c r="D22" s="338" t="s">
        <v>10</v>
      </c>
      <c r="E22" s="338" t="s">
        <v>10</v>
      </c>
      <c r="F22" s="353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25">
      <c r="B23" s="3" t="s">
        <v>152</v>
      </c>
      <c r="C23" s="20">
        <v>0</v>
      </c>
      <c r="D23" s="20">
        <v>0</v>
      </c>
      <c r="E23" s="20">
        <v>0</v>
      </c>
      <c r="F23" s="349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25">
      <c r="B24" s="5" t="s">
        <v>153</v>
      </c>
      <c r="C24" s="27">
        <v>0</v>
      </c>
      <c r="D24" s="27">
        <v>0</v>
      </c>
      <c r="E24" s="27">
        <v>0</v>
      </c>
      <c r="F24" s="350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25">
      <c r="A25" s="9"/>
      <c r="B25" s="5" t="s">
        <v>154</v>
      </c>
      <c r="C25" s="27">
        <v>0</v>
      </c>
      <c r="D25" s="27">
        <v>0</v>
      </c>
      <c r="E25" s="27">
        <v>0</v>
      </c>
      <c r="F25" s="350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25">
      <c r="B26" s="5" t="s">
        <v>155</v>
      </c>
      <c r="C26" s="27">
        <v>0</v>
      </c>
      <c r="D26" s="27">
        <v>0</v>
      </c>
      <c r="E26" s="27">
        <v>0</v>
      </c>
      <c r="F26" s="350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4.95" thickBot="1" x14ac:dyDescent="0.3">
      <c r="B27" s="7" t="s">
        <v>156</v>
      </c>
      <c r="C27" s="28">
        <v>25</v>
      </c>
      <c r="D27" s="28">
        <v>0</v>
      </c>
      <c r="E27" s="28">
        <v>0</v>
      </c>
      <c r="F27" s="351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25">
      <c r="B28" s="9" t="s">
        <v>175</v>
      </c>
      <c r="C28" s="354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25">
      <c r="B29" s="9"/>
      <c r="C29" s="354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25">
      <c r="B30" s="9"/>
      <c r="C30" s="354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25">
      <c r="B31" s="9"/>
      <c r="C31" s="35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25">
      <c r="B32" s="9"/>
      <c r="C32" s="35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25">
      <c r="B33" s="9"/>
      <c r="C33" s="354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25">
      <c r="B34" s="9"/>
      <c r="C34" s="354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25">
      <c r="B35" s="9"/>
      <c r="C35" s="354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25">
      <c r="B36" s="9"/>
      <c r="C36" s="354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25">
      <c r="B37" s="9"/>
      <c r="C37" s="354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25">
      <c r="B38" s="9"/>
      <c r="C38" s="354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25">
      <c r="B39" s="9"/>
      <c r="C39" s="354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25">
      <c r="B40" s="9"/>
      <c r="C40" s="35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25">
      <c r="B41" s="9"/>
      <c r="C41" s="354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25">
      <c r="B42" s="9"/>
      <c r="C42" s="354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25">
      <c r="B43" s="9"/>
      <c r="C43" s="354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25">
      <c r="B44" s="9"/>
      <c r="C44" s="354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25">
      <c r="B45" s="9"/>
      <c r="C45" s="354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25">
      <c r="B46" s="9"/>
      <c r="C46" s="354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25">
      <c r="B47" s="9"/>
      <c r="C47" s="354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25">
      <c r="B48" s="9"/>
      <c r="C48" s="354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25">
      <c r="B49" s="9"/>
      <c r="C49" s="354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25">
      <c r="B50" s="9"/>
      <c r="C50" s="354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25">
      <c r="B51" s="9"/>
      <c r="C51" s="354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25">
      <c r="B52" s="9"/>
      <c r="C52" s="354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25">
      <c r="B53" s="9"/>
      <c r="C53" s="354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25">
      <c r="B54" s="9"/>
      <c r="C54" s="354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25">
      <c r="B55" s="9"/>
      <c r="C55" s="354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25">
      <c r="B56" s="9"/>
      <c r="C56" s="354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25">
      <c r="B57" s="9"/>
      <c r="C57" s="35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25">
      <c r="B58" s="9"/>
      <c r="C58" s="35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25">
      <c r="B59" s="9"/>
      <c r="C59" s="354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25">
      <c r="B60" s="9"/>
      <c r="C60" s="354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25">
      <c r="B61" s="9"/>
      <c r="C61" s="354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25">
      <c r="B62" s="9"/>
      <c r="C62" s="354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25">
      <c r="B63" s="9"/>
      <c r="C63" s="354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25">
      <c r="B64" s="9"/>
      <c r="C64" s="354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25">
      <c r="B65" s="9"/>
      <c r="C65" s="354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25">
      <c r="B66" s="9"/>
      <c r="C66" s="354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25">
      <c r="B67" s="9"/>
      <c r="C67" s="354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25">
      <c r="B68" s="9"/>
      <c r="C68" s="35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25">
      <c r="B69" s="9"/>
      <c r="C69" s="354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25">
      <c r="B70" s="9"/>
      <c r="C70" s="354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25">
      <c r="B71" s="9"/>
      <c r="C71" s="354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25">
      <c r="B72" s="9"/>
      <c r="C72" s="35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25">
      <c r="B73" s="9"/>
      <c r="C73" s="35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25">
      <c r="B74" s="9"/>
      <c r="C74" s="35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25">
      <c r="B75" s="9"/>
      <c r="C75" s="35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25">
      <c r="B76" s="9"/>
      <c r="C76" s="35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25">
      <c r="B77" s="9"/>
      <c r="C77" s="35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25">
      <c r="B78" s="9"/>
      <c r="C78" s="354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25">
      <c r="B79" s="9"/>
      <c r="C79" s="35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25">
      <c r="B80" s="9"/>
      <c r="C80" s="35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25">
      <c r="B81" s="9"/>
      <c r="C81" s="35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25">
      <c r="B82" s="9"/>
      <c r="C82" s="35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25">
      <c r="B83" s="9"/>
      <c r="C83" s="35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25">
      <c r="B84" s="9"/>
      <c r="C84" s="35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25">
      <c r="B85" s="9"/>
      <c r="C85" s="35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25">
      <c r="B86" s="9"/>
      <c r="C86" s="35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25">
      <c r="B87" s="9"/>
      <c r="C87" s="354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25">
      <c r="B88" s="9"/>
      <c r="C88" s="35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25">
      <c r="B89" s="9"/>
      <c r="C89" s="35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25">
      <c r="B90" s="9"/>
      <c r="C90" s="35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25">
      <c r="B91" s="9"/>
      <c r="C91" s="35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25">
      <c r="B92" s="9"/>
      <c r="C92" s="35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25">
      <c r="B93" s="9"/>
      <c r="C93" s="35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25">
      <c r="B94" s="9"/>
      <c r="C94" s="354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25">
      <c r="B95" s="9"/>
      <c r="C95" s="35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25">
      <c r="B96" s="9"/>
      <c r="C96" s="35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25">
      <c r="B97" s="9"/>
      <c r="C97" s="35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25">
      <c r="B98" s="9"/>
      <c r="C98" s="35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25">
      <c r="B99" s="9"/>
      <c r="C99" s="354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25">
      <c r="B100" s="9"/>
      <c r="C100" s="354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25">
      <c r="B101" s="9"/>
      <c r="C101" s="354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25">
      <c r="B102" s="9"/>
      <c r="C102" s="354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25">
      <c r="B103" s="9"/>
      <c r="C103" s="35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25">
      <c r="B104" s="9"/>
      <c r="C104" s="35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25">
      <c r="B105" s="9"/>
      <c r="C105" s="35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25">
      <c r="B106" s="9"/>
      <c r="C106" s="35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25">
      <c r="B107" s="9"/>
      <c r="C107" s="35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25">
      <c r="B108" s="9"/>
      <c r="C108" s="35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25">
      <c r="B109" s="9"/>
      <c r="C109" s="35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25">
      <c r="B110" s="9"/>
      <c r="C110" s="35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25">
      <c r="B111" s="9"/>
      <c r="C111" s="35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25">
      <c r="B112" s="9"/>
      <c r="C112" s="35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25">
      <c r="B113" s="9"/>
      <c r="C113" s="35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25">
      <c r="B114" s="9"/>
      <c r="C114" s="35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25">
      <c r="B115" s="9"/>
      <c r="C115" s="35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25">
      <c r="B116" s="9"/>
      <c r="C116" s="35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25">
      <c r="B117" s="9"/>
      <c r="C117" s="35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25">
      <c r="B118" s="9"/>
      <c r="C118" s="35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25">
      <c r="B119" s="9"/>
      <c r="C119" s="35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25">
      <c r="B120" s="9"/>
      <c r="C120" s="35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25">
      <c r="B121" s="9"/>
      <c r="C121" s="35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25">
      <c r="B122" s="9"/>
      <c r="C122" s="35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25">
      <c r="B123" s="9"/>
      <c r="C123" s="35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25">
      <c r="B124" s="9"/>
      <c r="C124" s="35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25">
      <c r="B125" s="9"/>
      <c r="C125" s="35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25">
      <c r="B126" s="9"/>
      <c r="C126" s="35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25">
      <c r="B127" s="9"/>
      <c r="C127" s="35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25">
      <c r="B128" s="9"/>
      <c r="C128" s="35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25">
      <c r="B129" s="9"/>
      <c r="C129" s="35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25">
      <c r="B130" s="9"/>
      <c r="C130" s="35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25">
      <c r="B131" s="9"/>
      <c r="C131" s="354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25">
      <c r="B132" s="9"/>
      <c r="C132" s="354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25">
      <c r="B133" s="9"/>
      <c r="C133" s="354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25">
      <c r="B134" s="9"/>
      <c r="C134" s="354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25">
      <c r="B135" s="9"/>
      <c r="C135" s="354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25">
      <c r="B136" s="9"/>
      <c r="C136" s="354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25">
      <c r="B137" s="9"/>
      <c r="C137" s="354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25">
      <c r="B138" s="9"/>
      <c r="C138" s="354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25">
      <c r="B139" s="9"/>
      <c r="C139" s="354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25">
      <c r="B140" s="9"/>
      <c r="C140" s="354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25">
      <c r="B141" s="9"/>
      <c r="C141" s="354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25">
      <c r="B142" s="9"/>
      <c r="C142" s="354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25">
      <c r="B143" s="9"/>
      <c r="C143" s="354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25">
      <c r="B144" s="9"/>
      <c r="C144" s="354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25">
      <c r="B145" s="9"/>
      <c r="C145" s="354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25">
      <c r="B146" s="9"/>
      <c r="C146" s="354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25">
      <c r="B147" s="9"/>
      <c r="C147" s="354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25">
      <c r="B148" s="9"/>
      <c r="C148" s="354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25">
      <c r="B149" s="9"/>
      <c r="C149" s="354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25">
      <c r="B150" s="9"/>
      <c r="C150" s="354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25">
      <c r="B151" s="9"/>
      <c r="C151" s="354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25">
      <c r="B152" s="9"/>
      <c r="C152" s="354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25">
      <c r="B153" s="9"/>
      <c r="C153" s="354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25">
      <c r="B154" s="9"/>
      <c r="C154" s="354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25">
      <c r="B155" s="9"/>
      <c r="C155" s="354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25">
      <c r="B156" s="9"/>
      <c r="C156" s="354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25">
      <c r="B157" s="9"/>
      <c r="C157" s="354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25">
      <c r="B158" s="9"/>
      <c r="C158" s="354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25">
      <c r="B159" s="9"/>
      <c r="C159" s="354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25">
      <c r="B160" s="9"/>
      <c r="C160" s="354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25">
      <c r="B161" s="9"/>
      <c r="C161" s="354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25">
      <c r="B162" s="9"/>
      <c r="C162" s="354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25">
      <c r="B163" s="9"/>
      <c r="C163" s="354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25">
      <c r="B164" s="9"/>
      <c r="C164" s="354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25">
      <c r="B165" s="9"/>
      <c r="C165" s="354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25">
      <c r="B166" s="9"/>
      <c r="C166" s="354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25">
      <c r="B167" s="9"/>
      <c r="C167" s="354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25">
      <c r="B168" s="9"/>
      <c r="C168" s="354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25">
      <c r="B169" s="9"/>
      <c r="C169" s="354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25">
      <c r="B170" s="9"/>
      <c r="C170" s="354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25">
      <c r="B171" s="9"/>
      <c r="C171" s="354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25">
      <c r="B172" s="9"/>
      <c r="C172" s="354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25">
      <c r="B173" s="9"/>
      <c r="C173" s="354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25">
      <c r="B174" s="9"/>
      <c r="C174" s="354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25">
      <c r="B175" s="9"/>
      <c r="C175" s="354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25">
      <c r="B176" s="9"/>
      <c r="C176" s="354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25">
      <c r="B177" s="9"/>
      <c r="C177" s="354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25">
      <c r="B178" s="9"/>
      <c r="C178" s="354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25">
      <c r="B179" s="9"/>
      <c r="C179" s="354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25">
      <c r="B180" s="9"/>
      <c r="C180" s="354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25">
      <c r="B181" s="9"/>
      <c r="C181" s="354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25">
      <c r="B182" s="9"/>
      <c r="C182" s="354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25">
      <c r="B183" s="9"/>
      <c r="C183" s="354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25">
      <c r="B184" s="9"/>
      <c r="C184" s="354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25">
      <c r="B185" s="9"/>
      <c r="C185" s="354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25">
      <c r="B186" s="9"/>
      <c r="C186" s="354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25">
      <c r="B187" s="9"/>
      <c r="C187" s="354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25">
      <c r="B188" s="9"/>
      <c r="C188" s="354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25">
      <c r="B189" s="9"/>
      <c r="C189" s="354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25">
      <c r="B190" s="9"/>
      <c r="C190" s="354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25">
      <c r="B191" s="9"/>
      <c r="C191" s="354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25">
      <c r="B192" s="9"/>
      <c r="C192" s="354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25">
      <c r="B193" s="9"/>
      <c r="C193" s="354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25">
      <c r="B194" s="9"/>
      <c r="C194" s="354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25">
      <c r="B195" s="9"/>
      <c r="C195" s="354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25">
      <c r="B196" s="9"/>
      <c r="C196" s="354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25">
      <c r="B197" s="9"/>
      <c r="C197" s="354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25">
      <c r="B198" s="9"/>
      <c r="C198" s="354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25">
      <c r="B199" s="9"/>
      <c r="C199" s="354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25">
      <c r="B200" s="9"/>
      <c r="C200" s="354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25">
      <c r="B201" s="9"/>
      <c r="C201" s="354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25">
      <c r="B202" s="9"/>
      <c r="C202" s="354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25">
      <c r="B203" s="9"/>
      <c r="C203" s="354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25">
      <c r="B204" s="9"/>
      <c r="C204" s="354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25">
      <c r="B205" s="9"/>
      <c r="C205" s="354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25">
      <c r="B206" s="9"/>
      <c r="C206" s="354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25">
      <c r="B207" s="9"/>
      <c r="C207" s="354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25">
      <c r="B208" s="9"/>
      <c r="C208" s="354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25">
      <c r="B209" s="9"/>
      <c r="C209" s="354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25">
      <c r="B210" s="9"/>
      <c r="C210" s="354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25">
      <c r="B211" s="9"/>
      <c r="C211" s="354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25">
      <c r="B212" s="9"/>
      <c r="C212" s="354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25">
      <c r="B213" s="9"/>
      <c r="C213" s="354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25">
      <c r="B214" s="9"/>
      <c r="C214" s="354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25">
      <c r="B215" s="9"/>
      <c r="C215" s="354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25">
      <c r="B216" s="9"/>
      <c r="C216" s="354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25">
      <c r="B217" s="9"/>
      <c r="C217" s="354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25">
      <c r="B218" s="9"/>
      <c r="C218" s="354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25">
      <c r="B219" s="9"/>
      <c r="C219" s="354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25">
      <c r="B220" s="9"/>
      <c r="C220" s="354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25">
      <c r="B221" s="9"/>
      <c r="C221" s="354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25">
      <c r="B222" s="9"/>
      <c r="C222" s="354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25">
      <c r="B223" s="9"/>
      <c r="C223" s="354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25">
      <c r="B224" s="9"/>
      <c r="C224" s="354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25">
      <c r="B225" s="9"/>
      <c r="C225" s="354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25">
      <c r="B226" s="9"/>
      <c r="C226" s="354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25">
      <c r="B227" s="9"/>
      <c r="C227" s="354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25">
      <c r="B228" s="9"/>
      <c r="C228" s="354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25">
      <c r="B229" s="9"/>
      <c r="C229" s="354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25">
      <c r="B230" s="9"/>
      <c r="C230" s="354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25">
      <c r="B231" s="9"/>
      <c r="C231" s="354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25">
      <c r="B232" s="9"/>
      <c r="C232" s="354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25">
      <c r="B233" s="9"/>
      <c r="C233" s="354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25">
      <c r="B234" s="9"/>
      <c r="C234" s="354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25">
      <c r="B235" s="9"/>
      <c r="C235" s="354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25">
      <c r="B236" s="9"/>
      <c r="C236" s="354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25">
      <c r="B237" s="9"/>
      <c r="C237" s="354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25">
      <c r="B238" s="9"/>
      <c r="C238" s="354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25">
      <c r="B239" s="9"/>
      <c r="C239" s="354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25">
      <c r="B240" s="9"/>
      <c r="C240" s="354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25">
      <c r="B241" s="9"/>
      <c r="C241" s="354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25">
      <c r="B242" s="9"/>
      <c r="C242" s="354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25">
      <c r="B243" s="9"/>
      <c r="C243" s="354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25">
      <c r="B244" s="9"/>
      <c r="C244" s="354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25">
      <c r="B245" s="9"/>
      <c r="C245" s="354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25">
      <c r="B246" s="9"/>
      <c r="C246" s="354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25">
      <c r="B247" s="9"/>
      <c r="C247" s="354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25">
      <c r="B248" s="9"/>
      <c r="C248" s="354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25">
      <c r="B249" s="9"/>
      <c r="C249" s="354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25">
      <c r="B250" s="9"/>
      <c r="C250" s="354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25">
      <c r="B251" s="9"/>
      <c r="C251" s="354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25">
      <c r="B252" s="9"/>
      <c r="C252" s="354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25">
      <c r="B253" s="9"/>
      <c r="C253" s="354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25">
      <c r="B254" s="9"/>
      <c r="C254" s="354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25">
      <c r="B255" s="9"/>
      <c r="C255" s="354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25">
      <c r="B256" s="9"/>
      <c r="C256" s="354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25">
      <c r="B257" s="9"/>
      <c r="C257" s="354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25">
      <c r="B258" s="9"/>
      <c r="C258" s="354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25">
      <c r="B259" s="9"/>
      <c r="C259" s="354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25">
      <c r="B260" s="9"/>
      <c r="C260" s="354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25">
      <c r="B261" s="9"/>
      <c r="C261" s="354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25">
      <c r="B262" s="9"/>
      <c r="C262" s="354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25">
      <c r="B263" s="9"/>
      <c r="C263" s="354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25">
      <c r="B264" s="9"/>
      <c r="C264" s="354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25">
      <c r="B265" s="9"/>
      <c r="C265" s="354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25">
      <c r="B266" s="9"/>
      <c r="C266" s="354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25">
      <c r="B267" s="9"/>
      <c r="C267" s="354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25">
      <c r="B268" s="9"/>
      <c r="C268" s="354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25">
      <c r="B269" s="9"/>
      <c r="C269" s="354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25">
      <c r="B270" s="9"/>
      <c r="C270" s="354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25">
      <c r="B271" s="9"/>
      <c r="C271" s="354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25">
      <c r="B272" s="9"/>
      <c r="C272" s="354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25">
      <c r="B273" s="9"/>
      <c r="C273" s="354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25">
      <c r="B274" s="9"/>
      <c r="C274" s="354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25">
      <c r="B275" s="9"/>
      <c r="C275" s="354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25">
      <c r="B276" s="9"/>
      <c r="C276" s="354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25">
      <c r="B277" s="9"/>
      <c r="C277" s="354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25">
      <c r="B278" s="9"/>
      <c r="C278" s="354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25">
      <c r="B279" s="9"/>
      <c r="C279" s="354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25">
      <c r="B280" s="9"/>
      <c r="C280" s="354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25">
      <c r="B281" s="9"/>
      <c r="C281" s="354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25">
      <c r="B282" s="9"/>
      <c r="C282" s="354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25">
      <c r="B283" s="9"/>
      <c r="C283" s="354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25">
      <c r="B284" s="9"/>
      <c r="C284" s="354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25">
      <c r="B285" s="9"/>
      <c r="C285" s="354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25">
      <c r="B286" s="9"/>
      <c r="C286" s="354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25">
      <c r="B287" s="9"/>
      <c r="C287" s="354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25">
      <c r="B288" s="9"/>
      <c r="C288" s="354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25">
      <c r="B289" s="9"/>
      <c r="C289" s="354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25">
      <c r="B290" s="9"/>
      <c r="C290" s="354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25">
      <c r="B291" s="9"/>
      <c r="C291" s="354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25">
      <c r="B292" s="9"/>
      <c r="C292" s="354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25">
      <c r="B293" s="9"/>
      <c r="C293" s="354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25">
      <c r="B294" s="9"/>
      <c r="C294" s="354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25">
      <c r="B295" s="9"/>
      <c r="C295" s="354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25">
      <c r="B296" s="9"/>
      <c r="C296" s="354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25">
      <c r="B297" s="9"/>
      <c r="C297" s="354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25">
      <c r="B298" s="9"/>
      <c r="C298" s="354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25">
      <c r="B299" s="9"/>
      <c r="C299" s="354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25">
      <c r="B300" s="9"/>
      <c r="C300" s="354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25">
      <c r="B301" s="9"/>
      <c r="C301" s="354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25">
      <c r="B302" s="9"/>
      <c r="C302" s="354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25">
      <c r="B303" s="9"/>
      <c r="C303" s="354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25">
      <c r="B304" s="9"/>
      <c r="C304" s="354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25">
      <c r="B305" s="9"/>
      <c r="C305" s="354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25">
      <c r="B306" s="9"/>
      <c r="C306" s="354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25">
      <c r="B307" s="9"/>
      <c r="C307" s="354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25">
      <c r="B308" s="9"/>
      <c r="C308" s="354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25">
      <c r="B309" s="9"/>
      <c r="C309" s="354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25">
      <c r="B310" s="9"/>
      <c r="C310" s="354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25">
      <c r="B311" s="9"/>
      <c r="C311" s="354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25">
      <c r="B312" s="9"/>
      <c r="C312" s="354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25">
      <c r="B313" s="9"/>
      <c r="C313" s="354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25">
      <c r="B314" s="9"/>
      <c r="C314" s="354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25">
      <c r="B315" s="9"/>
      <c r="C315" s="354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25">
      <c r="B316" s="9"/>
      <c r="C316" s="354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25">
      <c r="B317" s="9"/>
      <c r="C317" s="354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25">
      <c r="B318" s="9"/>
      <c r="C318" s="354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25">
      <c r="B319" s="9"/>
      <c r="C319" s="354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25">
      <c r="B320" s="9"/>
      <c r="C320" s="354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25">
      <c r="B321" s="9"/>
      <c r="C321" s="354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25">
      <c r="B322" s="9"/>
      <c r="C322" s="354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25">
      <c r="B323" s="9"/>
      <c r="C323" s="354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25">
      <c r="B324" s="9"/>
      <c r="C324" s="354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25">
      <c r="B325" s="9"/>
      <c r="C325" s="354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25">
      <c r="B326" s="9"/>
      <c r="C326" s="354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25">
      <c r="B327" s="9"/>
      <c r="C327" s="354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25">
      <c r="B328" s="9"/>
      <c r="C328" s="354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25">
      <c r="B329" s="9"/>
      <c r="C329" s="354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25">
      <c r="B330" s="9"/>
      <c r="C330" s="354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25">
      <c r="B331" s="9"/>
      <c r="C331" s="354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25">
      <c r="B332" s="9"/>
      <c r="C332" s="354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25">
      <c r="B333" s="9"/>
      <c r="C333" s="354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25">
      <c r="B334" s="9"/>
      <c r="C334" s="354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25">
      <c r="B335" s="9"/>
      <c r="C335" s="354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25">
      <c r="B336" s="9"/>
      <c r="C336" s="354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25">
      <c r="B337" s="9"/>
      <c r="C337" s="354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25">
      <c r="B338" s="9"/>
      <c r="C338" s="354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25">
      <c r="B339" s="9"/>
      <c r="C339" s="354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25">
      <c r="B340" s="9"/>
      <c r="C340" s="354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25">
      <c r="B341" s="9"/>
      <c r="C341" s="354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25">
      <c r="B342" s="9"/>
      <c r="C342" s="354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25">
      <c r="B343" s="9"/>
      <c r="C343" s="354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25">
      <c r="B344" s="9"/>
      <c r="C344" s="354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25">
      <c r="B345" s="9"/>
      <c r="C345" s="354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25">
      <c r="B346" s="9"/>
      <c r="C346" s="354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25">
      <c r="B347" s="9"/>
      <c r="C347" s="354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25">
      <c r="B348" s="9"/>
      <c r="C348" s="354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25">
      <c r="B349" s="9"/>
      <c r="C349" s="354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25">
      <c r="B350" s="9"/>
      <c r="C350" s="354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25">
      <c r="B351" s="9"/>
      <c r="C351" s="354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25">
      <c r="B352" s="9"/>
      <c r="C352" s="354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25">
      <c r="B353" s="9"/>
      <c r="C353" s="354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25">
      <c r="B354" s="9"/>
      <c r="C354" s="354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25">
      <c r="B355" s="9"/>
      <c r="C355" s="354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25">
      <c r="B356" s="9"/>
      <c r="C356" s="354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25">
      <c r="B357" s="9"/>
      <c r="C357" s="354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25">
      <c r="B358" s="9"/>
      <c r="C358" s="354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25">
      <c r="B359" s="9"/>
      <c r="C359" s="354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25">
      <c r="B360" s="9"/>
      <c r="C360" s="354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25">
      <c r="B361" s="9"/>
      <c r="C361" s="354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25">
      <c r="B362" s="9"/>
      <c r="C362" s="354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25">
      <c r="B363" s="9"/>
      <c r="C363" s="354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25">
      <c r="B364" s="9"/>
      <c r="C364" s="354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25">
      <c r="B365" s="9"/>
      <c r="C365" s="354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25">
      <c r="B366" s="9"/>
      <c r="C366" s="354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25">
      <c r="B367" s="9"/>
      <c r="C367" s="354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25">
      <c r="B368" s="9"/>
      <c r="C368" s="354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25">
      <c r="B369" s="9"/>
      <c r="C369" s="354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25">
      <c r="B370" s="9"/>
      <c r="C370" s="354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25">
      <c r="B371" s="9"/>
      <c r="C371" s="354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25">
      <c r="B372" s="9"/>
      <c r="C372" s="354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25">
      <c r="B373" s="9"/>
      <c r="C373" s="354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25">
      <c r="B374" s="9"/>
      <c r="C374" s="354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25">
      <c r="B375" s="9"/>
      <c r="C375" s="354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25">
      <c r="B376" s="9"/>
      <c r="C376" s="354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25">
      <c r="B377" s="9"/>
      <c r="C377" s="354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25">
      <c r="B378" s="9"/>
      <c r="C378" s="354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25">
      <c r="B379" s="9"/>
      <c r="C379" s="354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25">
      <c r="B380" s="9"/>
      <c r="C380" s="354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25">
      <c r="B381" s="9"/>
      <c r="C381" s="354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25">
      <c r="B382" s="9"/>
      <c r="C382" s="354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25">
      <c r="B383" s="9"/>
      <c r="C383" s="354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25">
      <c r="B384" s="9"/>
      <c r="C384" s="354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25">
      <c r="B385" s="9"/>
      <c r="C385" s="354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25">
      <c r="B386" s="9"/>
      <c r="C386" s="354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25">
      <c r="B387" s="9"/>
      <c r="C387" s="354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25">
      <c r="B388" s="9"/>
      <c r="C388" s="354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25">
      <c r="B389" s="9"/>
      <c r="C389" s="354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25">
      <c r="B390" s="9"/>
      <c r="C390" s="354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25">
      <c r="B391" s="9"/>
      <c r="C391" s="354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25">
      <c r="B392" s="9"/>
      <c r="C392" s="354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25">
      <c r="B393" s="9"/>
      <c r="C393" s="354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25">
      <c r="B394" s="9"/>
      <c r="C394" s="354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25">
      <c r="B395" s="9"/>
      <c r="C395" s="354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25">
      <c r="B396" s="9"/>
      <c r="C396" s="354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25">
      <c r="B397" s="9"/>
      <c r="C397" s="354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25">
      <c r="B398" s="9"/>
      <c r="C398" s="354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25">
      <c r="B399" s="9"/>
      <c r="C399" s="354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25">
      <c r="B400" s="9"/>
      <c r="C400" s="354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25">
      <c r="B401" s="9"/>
      <c r="C401" s="354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25">
      <c r="B402" s="9"/>
      <c r="C402" s="354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25">
      <c r="B403" s="9"/>
      <c r="C403" s="354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25">
      <c r="B404" s="9"/>
      <c r="C404" s="354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25">
      <c r="B405" s="9"/>
      <c r="C405" s="354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25">
      <c r="B406" s="9"/>
      <c r="C406" s="354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25">
      <c r="B407" s="9"/>
      <c r="C407" s="354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25">
      <c r="B408" s="9"/>
      <c r="C408" s="354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25">
      <c r="B409" s="9"/>
      <c r="C409" s="354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25">
      <c r="B410" s="9"/>
      <c r="C410" s="354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25">
      <c r="B411" s="9"/>
      <c r="C411" s="354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25">
      <c r="B412" s="9"/>
      <c r="C412" s="354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dimension ref="A1:I42"/>
  <sheetViews>
    <sheetView topLeftCell="A21" workbookViewId="0">
      <selection activeCell="G24" sqref="G24"/>
    </sheetView>
  </sheetViews>
  <sheetFormatPr baseColWidth="10" defaultRowHeight="14.3" x14ac:dyDescent="0.25"/>
  <cols>
    <col min="1" max="1" width="37.375" bestFit="1" customWidth="1"/>
    <col min="2" max="2" width="20.875" customWidth="1"/>
    <col min="3" max="3" width="17" customWidth="1"/>
    <col min="4" max="4" width="15.125" bestFit="1" customWidth="1"/>
    <col min="5" max="5" width="18" customWidth="1"/>
    <col min="6" max="6" width="14.625" customWidth="1"/>
    <col min="9" max="9" width="13.625" bestFit="1" customWidth="1"/>
  </cols>
  <sheetData>
    <row r="1" spans="1:6" x14ac:dyDescent="0.25">
      <c r="A1" s="638" t="s">
        <v>230</v>
      </c>
      <c r="B1" s="638"/>
      <c r="C1" s="638"/>
      <c r="D1" s="638"/>
      <c r="E1" s="638"/>
      <c r="F1" s="638"/>
    </row>
    <row r="2" spans="1:6" ht="28.2" customHeight="1" x14ac:dyDescent="0.25">
      <c r="A2" s="437" t="s">
        <v>157</v>
      </c>
      <c r="B2" s="437" t="s">
        <v>221</v>
      </c>
      <c r="C2" s="437" t="s">
        <v>225</v>
      </c>
      <c r="D2" s="437" t="s">
        <v>222</v>
      </c>
      <c r="E2" s="437" t="s">
        <v>226</v>
      </c>
      <c r="F2" s="439" t="s">
        <v>239</v>
      </c>
    </row>
    <row r="3" spans="1:6" x14ac:dyDescent="0.25">
      <c r="A3" s="435" t="s">
        <v>220</v>
      </c>
      <c r="B3" s="94">
        <f>+'INVENTARIO Y CONSUMO GEM  '!S97</f>
        <v>10673</v>
      </c>
      <c r="C3" s="94">
        <f>+B3/23</f>
        <v>464.04347826086956</v>
      </c>
      <c r="D3" s="436">
        <f>+'INVENTARIO Y CONSUMO GEM  '!AM97</f>
        <v>9020440</v>
      </c>
      <c r="E3" s="436">
        <f>+D3/23</f>
        <v>392193.04347826086</v>
      </c>
      <c r="F3" s="440">
        <f>+D3/$B$9</f>
        <v>223.70458547231109</v>
      </c>
    </row>
    <row r="4" spans="1:6" x14ac:dyDescent="0.25">
      <c r="A4" s="435" t="s">
        <v>218</v>
      </c>
      <c r="B4" s="94">
        <f>+'INVENTARIO Y CONSUMO GEM  '!T97</f>
        <v>17198.5</v>
      </c>
      <c r="C4" s="94">
        <f>+B4/23</f>
        <v>747.76086956521738</v>
      </c>
      <c r="D4" s="436">
        <f>+'INVENTARIO Y CONSUMO GEM  '!AN97</f>
        <v>66014150</v>
      </c>
      <c r="E4" s="436">
        <f>+D4/23</f>
        <v>2870180.4347826089</v>
      </c>
      <c r="F4" s="440">
        <f>+D4/$B$9</f>
        <v>1637.1338938075044</v>
      </c>
    </row>
    <row r="5" spans="1:6" x14ac:dyDescent="0.25">
      <c r="A5" s="435" t="s">
        <v>219</v>
      </c>
      <c r="B5" s="94">
        <f>+'INVENTARIO Y CONSUMO GEM  '!U97</f>
        <v>4512.5</v>
      </c>
      <c r="C5" s="94">
        <f>+B5/23</f>
        <v>196.19565217391303</v>
      </c>
      <c r="D5" s="436">
        <f>+'INVENTARIO Y CONSUMO GEM  '!AO97</f>
        <v>43356812.5</v>
      </c>
      <c r="E5" s="436">
        <f>+D5/23</f>
        <v>1885078.8043478262</v>
      </c>
      <c r="F5" s="440">
        <f>+D5/$B$9</f>
        <v>1075.2377675272178</v>
      </c>
    </row>
    <row r="6" spans="1:6" x14ac:dyDescent="0.25">
      <c r="A6" s="435" t="s">
        <v>223</v>
      </c>
      <c r="B6" s="94">
        <f>+'INVENTARIO Y CONSUMO GEM  '!V97</f>
        <v>165</v>
      </c>
      <c r="C6" s="94">
        <f>+B6/23</f>
        <v>7.1739130434782608</v>
      </c>
      <c r="D6" s="436">
        <f>+'INVENTARIO Y CONSUMO GEM  '!AP97</f>
        <v>3905250</v>
      </c>
      <c r="E6" s="436">
        <f>+D6/23</f>
        <v>169793.47826086957</v>
      </c>
      <c r="F6" s="440">
        <f>+D6/$B$9</f>
        <v>96.849192768395213</v>
      </c>
    </row>
    <row r="7" spans="1:6" x14ac:dyDescent="0.25">
      <c r="A7" s="435" t="s">
        <v>224</v>
      </c>
      <c r="B7" s="94">
        <f>+'INVENTARIO Y CONSUMO GEM  '!W97</f>
        <v>325</v>
      </c>
      <c r="C7" s="94">
        <f>+B7/23</f>
        <v>14.130434782608695</v>
      </c>
      <c r="D7" s="436">
        <f>+'INVENTARIO Y CONSUMO GEM  '!AQ97</f>
        <v>10584000</v>
      </c>
      <c r="E7" s="436">
        <f>+D7/23</f>
        <v>460173.91304347827</v>
      </c>
      <c r="F7" s="440">
        <f>+D7/$B$9</f>
        <v>262.48047020310986</v>
      </c>
    </row>
    <row r="8" spans="1:6" x14ac:dyDescent="0.25">
      <c r="A8" s="434" t="s">
        <v>232</v>
      </c>
      <c r="B8" s="637">
        <f>+SUM(D3:D7)</f>
        <v>132880652.5</v>
      </c>
      <c r="C8" s="637"/>
      <c r="D8" s="637"/>
      <c r="E8" s="438"/>
      <c r="F8" s="441">
        <f>SUM(F3:F7)</f>
        <v>3295.4059097785384</v>
      </c>
    </row>
    <row r="9" spans="1:6" x14ac:dyDescent="0.25">
      <c r="A9" s="434" t="s">
        <v>233</v>
      </c>
      <c r="B9" s="639">
        <v>40323</v>
      </c>
      <c r="C9" s="640"/>
      <c r="D9" s="640"/>
      <c r="E9" s="640"/>
      <c r="F9" s="641"/>
    </row>
    <row r="10" spans="1:6" x14ac:dyDescent="0.25">
      <c r="A10" s="644" t="s">
        <v>231</v>
      </c>
      <c r="B10" s="644"/>
      <c r="C10" s="644"/>
      <c r="D10" s="644"/>
      <c r="E10" s="644"/>
    </row>
    <row r="11" spans="1:6" x14ac:dyDescent="0.25">
      <c r="A11" s="437" t="s">
        <v>157</v>
      </c>
      <c r="B11" s="437" t="s">
        <v>221</v>
      </c>
      <c r="C11" s="437" t="s">
        <v>225</v>
      </c>
      <c r="D11" s="437" t="s">
        <v>222</v>
      </c>
      <c r="E11" s="437" t="s">
        <v>226</v>
      </c>
    </row>
    <row r="12" spans="1:6" x14ac:dyDescent="0.25">
      <c r="A12" s="435" t="s">
        <v>227</v>
      </c>
      <c r="B12" s="94">
        <f>240*2</f>
        <v>480</v>
      </c>
      <c r="C12" s="94">
        <f>+B12/23</f>
        <v>20.869565217391305</v>
      </c>
      <c r="D12" s="436">
        <f>1780*B12</f>
        <v>854400</v>
      </c>
      <c r="E12" s="436">
        <f>+D12/23</f>
        <v>37147.82608695652</v>
      </c>
    </row>
    <row r="13" spans="1:6" x14ac:dyDescent="0.25">
      <c r="A13" s="435" t="s">
        <v>228</v>
      </c>
      <c r="B13" s="94">
        <v>200</v>
      </c>
      <c r="C13" s="94">
        <f>+B13/23</f>
        <v>8.695652173913043</v>
      </c>
      <c r="D13" s="436">
        <f>2100*B13</f>
        <v>420000</v>
      </c>
      <c r="E13" s="436">
        <f>+D13/23</f>
        <v>18260.869565217392</v>
      </c>
    </row>
    <row r="14" spans="1:6" x14ac:dyDescent="0.25">
      <c r="A14" s="435" t="s">
        <v>229</v>
      </c>
      <c r="B14" s="94">
        <v>160</v>
      </c>
      <c r="C14" s="94">
        <f>+B14/23</f>
        <v>6.9565217391304346</v>
      </c>
      <c r="D14" s="436">
        <f>3880*B14</f>
        <v>620800</v>
      </c>
      <c r="E14" s="436">
        <f>+D14/23</f>
        <v>26991.304347826088</v>
      </c>
    </row>
    <row r="15" spans="1:6" x14ac:dyDescent="0.25">
      <c r="A15" s="434" t="s">
        <v>232</v>
      </c>
      <c r="B15" s="642">
        <f>+SUM(D12:D14)</f>
        <v>1895200</v>
      </c>
      <c r="C15" s="643"/>
      <c r="D15" s="643"/>
      <c r="E15" s="643"/>
    </row>
    <row r="16" spans="1:6" x14ac:dyDescent="0.25">
      <c r="A16" s="434" t="s">
        <v>233</v>
      </c>
      <c r="B16" s="637">
        <v>12660</v>
      </c>
      <c r="C16" s="637"/>
      <c r="D16" s="637"/>
      <c r="E16" s="637"/>
    </row>
    <row r="17" spans="1:9" x14ac:dyDescent="0.25">
      <c r="A17" s="434" t="s">
        <v>234</v>
      </c>
      <c r="B17" s="639">
        <v>9612</v>
      </c>
      <c r="C17" s="640"/>
      <c r="D17" s="640"/>
      <c r="E17" s="641"/>
    </row>
    <row r="18" spans="1:9" x14ac:dyDescent="0.25">
      <c r="A18" s="434" t="s">
        <v>235</v>
      </c>
      <c r="B18" s="637">
        <f>+B15/B16</f>
        <v>149.69984202211691</v>
      </c>
      <c r="C18" s="637"/>
      <c r="D18" s="637"/>
      <c r="E18" s="637"/>
    </row>
    <row r="19" spans="1:9" x14ac:dyDescent="0.25">
      <c r="A19" s="434" t="s">
        <v>236</v>
      </c>
      <c r="B19" s="642">
        <f>+B15/B17</f>
        <v>197.17020391177695</v>
      </c>
      <c r="C19" s="643"/>
      <c r="D19" s="643"/>
      <c r="E19" s="643"/>
    </row>
    <row r="20" spans="1:9" x14ac:dyDescent="0.25">
      <c r="A20" s="434" t="s">
        <v>237</v>
      </c>
      <c r="B20" s="642">
        <f>F8+B18</f>
        <v>3445.1057518006555</v>
      </c>
      <c r="C20" s="643"/>
      <c r="D20" s="643"/>
      <c r="E20" s="643"/>
    </row>
    <row r="21" spans="1:9" x14ac:dyDescent="0.25">
      <c r="A21" s="434" t="s">
        <v>238</v>
      </c>
      <c r="B21" s="642">
        <f>F8+B19</f>
        <v>3492.5761136903152</v>
      </c>
      <c r="C21" s="643"/>
      <c r="D21" s="643"/>
      <c r="E21" s="643"/>
    </row>
    <row r="28" spans="1:9" x14ac:dyDescent="0.25">
      <c r="C28" s="535" t="s">
        <v>311</v>
      </c>
      <c r="D28" s="520" t="s">
        <v>305</v>
      </c>
      <c r="E28" s="520" t="s">
        <v>306</v>
      </c>
      <c r="F28" s="520" t="s">
        <v>307</v>
      </c>
      <c r="G28" s="520" t="s">
        <v>308</v>
      </c>
      <c r="H28" s="520" t="s">
        <v>309</v>
      </c>
      <c r="I28" s="536" t="s">
        <v>312</v>
      </c>
    </row>
    <row r="29" spans="1:9" x14ac:dyDescent="0.25">
      <c r="C29" s="533" t="s">
        <v>304</v>
      </c>
      <c r="D29" s="531">
        <v>8205.4076112510629</v>
      </c>
      <c r="E29" s="531">
        <v>14432.174760000886</v>
      </c>
      <c r="F29" s="521">
        <v>6327.757151524861</v>
      </c>
      <c r="G29" s="524">
        <v>144.32829416970591</v>
      </c>
      <c r="H29" s="521">
        <v>243.21815738591857</v>
      </c>
      <c r="I29" s="530">
        <v>27228</v>
      </c>
    </row>
    <row r="30" spans="1:9" x14ac:dyDescent="0.25">
      <c r="C30" s="533" t="s">
        <v>303</v>
      </c>
      <c r="D30" s="521">
        <v>10673</v>
      </c>
      <c r="E30" s="532">
        <v>17198.5</v>
      </c>
      <c r="F30" s="521">
        <v>4512.5</v>
      </c>
      <c r="G30" s="521">
        <v>165</v>
      </c>
      <c r="H30" s="521">
        <v>325</v>
      </c>
    </row>
    <row r="31" spans="1:9" x14ac:dyDescent="0.25">
      <c r="C31" s="534" t="s">
        <v>310</v>
      </c>
      <c r="D31" s="523">
        <f>+D29-D30</f>
        <v>-2467.5923887489371</v>
      </c>
      <c r="E31" s="523">
        <f t="shared" ref="E31:H31" si="0">+E29-E30</f>
        <v>-2766.3252399991143</v>
      </c>
      <c r="F31" s="523">
        <f t="shared" si="0"/>
        <v>1815.257151524861</v>
      </c>
      <c r="G31" s="523">
        <f t="shared" si="0"/>
        <v>-20.671705830294087</v>
      </c>
      <c r="H31" s="523">
        <f t="shared" si="0"/>
        <v>-81.781842614081427</v>
      </c>
    </row>
    <row r="34" spans="3:9" x14ac:dyDescent="0.25">
      <c r="C34" s="535" t="s">
        <v>311</v>
      </c>
      <c r="D34" s="520" t="s">
        <v>305</v>
      </c>
      <c r="E34" s="520" t="s">
        <v>306</v>
      </c>
      <c r="F34" s="520" t="s">
        <v>307</v>
      </c>
      <c r="G34" s="520" t="s">
        <v>308</v>
      </c>
      <c r="H34" s="520" t="s">
        <v>309</v>
      </c>
      <c r="I34" s="520" t="s">
        <v>312</v>
      </c>
    </row>
    <row r="35" spans="3:9" x14ac:dyDescent="0.25">
      <c r="C35" s="533" t="s">
        <v>304</v>
      </c>
      <c r="D35" s="531">
        <v>8387.3315056211595</v>
      </c>
      <c r="E35" s="531">
        <v>14752.153676461914</v>
      </c>
      <c r="F35" s="521">
        <v>6468.0512451485802</v>
      </c>
      <c r="G35" s="524">
        <v>147.52822847975082</v>
      </c>
      <c r="H35" s="521">
        <v>248.61060057332278</v>
      </c>
      <c r="I35" s="531">
        <v>26637.41599928544</v>
      </c>
    </row>
    <row r="36" spans="3:9" x14ac:dyDescent="0.25">
      <c r="C36" s="533" t="s">
        <v>303</v>
      </c>
      <c r="D36" s="521">
        <v>6760</v>
      </c>
      <c r="E36" s="532">
        <v>15409.75</v>
      </c>
      <c r="F36" s="521">
        <v>4712.5</v>
      </c>
      <c r="G36" s="521">
        <v>145</v>
      </c>
      <c r="H36" s="521">
        <v>295</v>
      </c>
      <c r="I36" s="531">
        <v>30080</v>
      </c>
    </row>
    <row r="37" spans="3:9" x14ac:dyDescent="0.25">
      <c r="C37" s="534" t="s">
        <v>310</v>
      </c>
      <c r="D37" s="523">
        <f>+D35-D36</f>
        <v>1627.3315056211595</v>
      </c>
      <c r="E37" s="523">
        <f t="shared" ref="E37" si="1">+E35-E36</f>
        <v>-657.59632353808593</v>
      </c>
      <c r="F37" s="523">
        <f t="shared" ref="F37" si="2">+F35-F36</f>
        <v>1755.5512451485802</v>
      </c>
      <c r="G37" s="523">
        <f t="shared" ref="G37" si="3">+G35-G36</f>
        <v>2.5282284797508225</v>
      </c>
      <c r="H37" s="523">
        <f t="shared" ref="H37:I37" si="4">+H35-H36</f>
        <v>-46.389399426677215</v>
      </c>
      <c r="I37" s="523">
        <f t="shared" si="4"/>
        <v>-3442.5840007145598</v>
      </c>
    </row>
    <row r="39" spans="3:9" x14ac:dyDescent="0.25">
      <c r="C39" s="535" t="s">
        <v>311</v>
      </c>
      <c r="D39" s="520" t="s">
        <v>305</v>
      </c>
      <c r="E39" s="520" t="s">
        <v>306</v>
      </c>
      <c r="F39" s="520" t="s">
        <v>307</v>
      </c>
      <c r="G39" s="520" t="s">
        <v>308</v>
      </c>
      <c r="H39" s="520" t="s">
        <v>309</v>
      </c>
      <c r="I39" s="520" t="s">
        <v>312</v>
      </c>
    </row>
    <row r="40" spans="3:9" x14ac:dyDescent="0.25">
      <c r="C40" s="533" t="s">
        <v>304</v>
      </c>
      <c r="D40" s="537">
        <f>+D35/$I$35</f>
        <v>0.31487031271524812</v>
      </c>
      <c r="E40" s="537">
        <f t="shared" ref="E40:H40" si="5">+E35/$I$35</f>
        <v>0.55381324062580417</v>
      </c>
      <c r="F40" s="537">
        <f t="shared" si="5"/>
        <v>0.24281826905890902</v>
      </c>
      <c r="G40" s="537">
        <f t="shared" si="5"/>
        <v>5.5383836211330834E-3</v>
      </c>
      <c r="H40" s="537">
        <f t="shared" si="5"/>
        <v>9.3331350375724081E-3</v>
      </c>
      <c r="I40" s="531">
        <v>26637.41599928544</v>
      </c>
    </row>
    <row r="41" spans="3:9" x14ac:dyDescent="0.25">
      <c r="C41" s="533" t="s">
        <v>303</v>
      </c>
      <c r="D41" s="537">
        <f>+D36/$I$36</f>
        <v>0.22473404255319149</v>
      </c>
      <c r="E41" s="537">
        <f t="shared" ref="E41:H41" si="6">+E36/$I$36</f>
        <v>0.51229222074468084</v>
      </c>
      <c r="F41" s="537">
        <f t="shared" si="6"/>
        <v>0.15666555851063829</v>
      </c>
      <c r="G41" s="537">
        <f t="shared" si="6"/>
        <v>4.8204787234042553E-3</v>
      </c>
      <c r="H41" s="537">
        <f t="shared" si="6"/>
        <v>9.8071808510638292E-3</v>
      </c>
      <c r="I41" s="531">
        <v>30080</v>
      </c>
    </row>
    <row r="42" spans="3:9" x14ac:dyDescent="0.25">
      <c r="C42" s="534" t="s">
        <v>310</v>
      </c>
      <c r="D42" s="538">
        <f>+D40-D41</f>
        <v>9.0136270162056636E-2</v>
      </c>
      <c r="E42" s="538">
        <f t="shared" ref="E42" si="7">+E40-E41</f>
        <v>4.1521019881123333E-2</v>
      </c>
      <c r="F42" s="538">
        <f t="shared" ref="F42" si="8">+F40-F41</f>
        <v>8.6152710548270728E-2</v>
      </c>
      <c r="G42" s="538">
        <f t="shared" ref="G42" si="9">+G40-G41</f>
        <v>7.1790489772882802E-4</v>
      </c>
      <c r="H42" s="538">
        <f t="shared" ref="H42" si="10">+H40-H41</f>
        <v>-4.7404581349142112E-4</v>
      </c>
      <c r="I42" s="523">
        <f t="shared" ref="I42" si="11">+I40-I41</f>
        <v>-3442.5840007145598</v>
      </c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conditionalFormatting sqref="D30:H30">
    <cfRule type="cellIs" dxfId="97" priority="9" operator="lessThan">
      <formula>0</formula>
    </cfRule>
  </conditionalFormatting>
  <conditionalFormatting sqref="D36:H36">
    <cfRule type="cellIs" dxfId="96" priority="6" operator="lessThan">
      <formula>0</formula>
    </cfRule>
  </conditionalFormatting>
  <conditionalFormatting sqref="F29">
    <cfRule type="cellIs" dxfId="95" priority="8" operator="lessThan">
      <formula>0</formula>
    </cfRule>
  </conditionalFormatting>
  <conditionalFormatting sqref="F35">
    <cfRule type="cellIs" dxfId="94" priority="5" operator="lessThan">
      <formula>0</formula>
    </cfRule>
  </conditionalFormatting>
  <conditionalFormatting sqref="H29">
    <cfRule type="cellIs" dxfId="93" priority="7" operator="lessThan">
      <formula>0</formula>
    </cfRule>
  </conditionalFormatting>
  <conditionalFormatting sqref="H35">
    <cfRule type="cellIs" dxfId="92" priority="4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INVENTARIO Y CONSUMO GEM  </vt:lpstr>
      <vt:lpstr>DB QUIMICA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Andrea Milena Landinez Ramirez</cp:lastModifiedBy>
  <dcterms:created xsi:type="dcterms:W3CDTF">2022-11-30T20:17:52Z</dcterms:created>
  <dcterms:modified xsi:type="dcterms:W3CDTF">2026-04-15T16:35:56Z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