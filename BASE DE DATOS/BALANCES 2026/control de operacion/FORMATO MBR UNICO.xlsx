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2025\Seguimiento Diario PTAR\FASE BIOLOGICA - FORMATOS Control operacional 2025\MBR\"/>
    </mc:Choice>
  </mc:AlternateContent>
  <xr:revisionPtr revIDLastSave="0" documentId="14_{DD1E8A74-C034-430E-8FF9-6B75E6F22505}" xr6:coauthVersionLast="47" xr6:coauthVersionMax="47" xr10:uidLastSave="{00000000-0000-0000-0000-000000000000}"/>
  <bookViews>
    <workbookView xWindow="-120" yWindow="-120" windowWidth="21840" windowHeight="13020" activeTab="2" xr2:uid="{039954E1-0DFB-4F00-946B-CF88A049C42A}"/>
  </bookViews>
  <sheets>
    <sheet name="OPERACIONAL 2025" sheetId="10" r:id="rId1"/>
    <sheet name="GRAFICOS 2025" sheetId="11" r:id="rId2"/>
    <sheet name="OPERACIONAL 2026" sheetId="12" r:id="rId3"/>
    <sheet name="GRAFICOS 2026" sheetId="13" r:id="rId4"/>
    <sheet name="Biologico" sheetId="8" state="hidden" r:id="rId5"/>
  </sheets>
  <definedNames>
    <definedName name="SegmentaciónDeDatos_FECHA">#N/A</definedName>
    <definedName name="SegmentaciónDeDatos_FECHA1">#N/A</definedName>
  </definedNames>
  <calcPr calcId="191029"/>
  <pivotCaches>
    <pivotCache cacheId="6" r:id="rId6"/>
    <pivotCache cacheId="7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8" l="1"/>
  <c r="C28" i="8"/>
  <c r="D10" i="8"/>
  <c r="E10" i="8"/>
  <c r="F10" i="8"/>
  <c r="G10" i="8"/>
  <c r="H10" i="8"/>
  <c r="C10" i="8"/>
  <c r="D9" i="8"/>
  <c r="C9" i="8"/>
  <c r="D8" i="8"/>
  <c r="C8" i="8"/>
  <c r="F19" i="8"/>
  <c r="E19" i="8"/>
</calcChain>
</file>

<file path=xl/sharedStrings.xml><?xml version="1.0" encoding="utf-8"?>
<sst xmlns="http://schemas.openxmlformats.org/spreadsheetml/2006/main" count="1232" uniqueCount="134">
  <si>
    <t>FECHA</t>
  </si>
  <si>
    <t>DQO</t>
  </si>
  <si>
    <t>DBO</t>
  </si>
  <si>
    <t>SS TOTALES</t>
  </si>
  <si>
    <t>SS VOLATILES</t>
  </si>
  <si>
    <t>SS FIJOS</t>
  </si>
  <si>
    <t>NITROGENO</t>
  </si>
  <si>
    <t>FOSFORO</t>
  </si>
  <si>
    <t>NITROGENO RELACIÓN</t>
  </si>
  <si>
    <t>FOSFORO RELACIÓN</t>
  </si>
  <si>
    <t>SALIDA GEM</t>
  </si>
  <si>
    <t>ANOXICO</t>
  </si>
  <si>
    <t>MBBR</t>
  </si>
  <si>
    <t>INTERNO MBR1</t>
  </si>
  <si>
    <t>INTERNO MBR2</t>
  </si>
  <si>
    <t>PERMEADO R1</t>
  </si>
  <si>
    <t>PARAMETRO</t>
  </si>
  <si>
    <t>REACTOR MBR CONDICIONES DE OPERACIÓN</t>
  </si>
  <si>
    <t>PURGA</t>
  </si>
  <si>
    <t>RECIRCULACIÓN</t>
  </si>
  <si>
    <t>NO</t>
  </si>
  <si>
    <t>SI</t>
  </si>
  <si>
    <t xml:space="preserve"> </t>
  </si>
  <si>
    <t xml:space="preserve">SI </t>
  </si>
  <si>
    <t>SE REALIZA RECIRCULACION AL ANOXICO</t>
  </si>
  <si>
    <t>Etiquetas de fila</t>
  </si>
  <si>
    <t>Total general</t>
  </si>
  <si>
    <t>CAUDAL MBR 1</t>
  </si>
  <si>
    <t>CAUDAL MBR 2</t>
  </si>
  <si>
    <t xml:space="preserve">TMP MBR1 </t>
  </si>
  <si>
    <t>TMP MBR 2</t>
  </si>
  <si>
    <t>NIVEL  MBR 1</t>
  </si>
  <si>
    <t>NIVEL    MBR 2</t>
  </si>
  <si>
    <t xml:space="preserve"> CAUDAL MBR 1</t>
  </si>
  <si>
    <t xml:space="preserve"> CAUDAL MBR 2</t>
  </si>
  <si>
    <t xml:space="preserve"> TMP MBR1 </t>
  </si>
  <si>
    <t xml:space="preserve"> TMP MBR 2</t>
  </si>
  <si>
    <t>DESPUES DE LIMPIEZA DE MBR1</t>
  </si>
  <si>
    <t>SE REALIZA CIP</t>
  </si>
  <si>
    <t>SE REALIZA PRUGA MBR2</t>
  </si>
  <si>
    <t xml:space="preserve">SE REALIZA PURGA </t>
  </si>
  <si>
    <t xml:space="preserve"> SE REALIZA PURGA MBR2 </t>
  </si>
  <si>
    <t xml:space="preserve">RECIRCULACION MBR2 AL MBR1 </t>
  </si>
  <si>
    <t xml:space="preserve">RECIRCULACION MBR2 AL MBR1 , SE SACAN MEMBRAANAS DEL REACTOR MBR2 PARA PASARLAS AL MBR1 </t>
  </si>
  <si>
    <t xml:space="preserve">NIVELES DE REACTORES ALTOS </t>
  </si>
  <si>
    <t xml:space="preserve">SE REALIZA PURGA DE MBR1 MBR2 </t>
  </si>
  <si>
    <t xml:space="preserve">PRESION TPM ELEVADA EN EL MBR1 </t>
  </si>
  <si>
    <t>ALTO</t>
  </si>
  <si>
    <t>MEDIO</t>
  </si>
  <si>
    <t>BAJO</t>
  </si>
  <si>
    <t xml:space="preserve">FESTIVO NO QUISIMOS  TRABAJAR </t>
  </si>
  <si>
    <t>OSMSIS DETENIDA POR FALLA EM BOMBA DE ALTA</t>
  </si>
  <si>
    <t xml:space="preserve">OSMOSIS CON PRESENCIA DE RESINA </t>
  </si>
  <si>
    <t xml:space="preserve">SEGUIMOS CON OSMOSIS DETENIDA </t>
  </si>
  <si>
    <t xml:space="preserve">ALTO </t>
  </si>
  <si>
    <t xml:space="preserve">VUELVE A FUNCIONAR OSMOSIS </t>
  </si>
  <si>
    <t xml:space="preserve">MEDIO </t>
  </si>
  <si>
    <t xml:space="preserve">BAJOS NIVELES EN REACTORES BIOLOGICOS </t>
  </si>
  <si>
    <t>PREAIREACION CON SOPLADORES A 60 Hz</t>
  </si>
  <si>
    <t xml:space="preserve">8 MINUTOS DE PURGA </t>
  </si>
  <si>
    <t>50 % TANQUE ANOXICO</t>
  </si>
  <si>
    <t>RECIRCULACION SISTEMA BIOLOGICO</t>
  </si>
  <si>
    <t xml:space="preserve">AUMENTO TPM MBR1 </t>
  </si>
  <si>
    <t>PURGA POR 3 MINUTOS</t>
  </si>
  <si>
    <t>10 MINUTOS</t>
  </si>
  <si>
    <t xml:space="preserve">INICIA PURGA DE LODOS MBR1 MBR2 </t>
  </si>
  <si>
    <t>PURGA POR 5 MINUTOS, TPM ELEVADA</t>
  </si>
  <si>
    <t xml:space="preserve">INICIO DE PURGA </t>
  </si>
  <si>
    <t>SE REALIZA PURGA, REACTORES ENCIMA DE LO ESTABLECIDO</t>
  </si>
  <si>
    <t xml:space="preserve">SE REALIZA PURGA MBR2 5 MIN, SOLIDOS POR ENCIMA DE LOS 12,000 </t>
  </si>
  <si>
    <t xml:space="preserve">REACTOR MBR1 SE EVIDENCIAN SST POR ENCIMA DEL RANGO DE OPERACION </t>
  </si>
  <si>
    <t xml:space="preserve">MEDICION DQO MBR1 MBR2 </t>
  </si>
  <si>
    <t>REALIZA PURGA</t>
  </si>
  <si>
    <t xml:space="preserve">SE REALIZA PURGA DE 5 MINUTOS </t>
  </si>
  <si>
    <t xml:space="preserve">SE REALIZA PURGA POR 10 MINUTOS MBR1 MBR2 </t>
  </si>
  <si>
    <t xml:space="preserve">SE INICIA PURGA DE 5 MINUTOS </t>
  </si>
  <si>
    <t>INICIO DE PURGA</t>
  </si>
  <si>
    <t>SOLICITUD DE PURGA</t>
  </si>
  <si>
    <t>SE REALIZA PURGA</t>
  </si>
  <si>
    <t xml:space="preserve">PURGA MBR1 Y MBR2 </t>
  </si>
  <si>
    <t xml:space="preserve">TH BAJO PARA PURGA </t>
  </si>
  <si>
    <t>se realiza purga de los MBR1 &amp; 2</t>
  </si>
  <si>
    <t>SE REALIZA PURGA MBR1 Y MBR2</t>
  </si>
  <si>
    <t xml:space="preserve">Se realiza purga durante 4 minutos . </t>
  </si>
  <si>
    <t>Se realiza Purga a MBRS durante 4 minutos para no comprometer el sistema</t>
  </si>
  <si>
    <t xml:space="preserve">FIN DE SEMANA </t>
  </si>
  <si>
    <t>Se realiza Purga de reactores Aproximadamente 6 minutos</t>
  </si>
  <si>
    <t>Se purgan Membranas MBR 1</t>
  </si>
  <si>
    <t xml:space="preserve">MEDICION DE SOLIDOS POR GAVIMETRIA </t>
  </si>
  <si>
    <t xml:space="preserve">SE REALIZA PURGA DE AMBOS REACTORES 6 MINUTOS </t>
  </si>
  <si>
    <t>N/R</t>
  </si>
  <si>
    <t xml:space="preserve">FIN DE AÑO </t>
  </si>
  <si>
    <t>NAVIDAD</t>
  </si>
  <si>
    <t>FESTIVO</t>
  </si>
  <si>
    <t>NO SE OPERA</t>
  </si>
  <si>
    <t>DOMINGO</t>
  </si>
  <si>
    <t xml:space="preserve">INTERVENCION RO </t>
  </si>
  <si>
    <t xml:space="preserve">OBSERVACION </t>
  </si>
  <si>
    <t xml:space="preserve">INTERVENCION </t>
  </si>
  <si>
    <t xml:space="preserve">SE ENCIENDEN BOMBAS DE RECIRCULACION </t>
  </si>
  <si>
    <t>FIN DE SEMANA , SE REALIZA PURGA SISTEMA BIOLOGICO 4 MINUTOS</t>
  </si>
  <si>
    <t>SE BAJA CAUDAL MBR1 PERMEANDO 20 M3/H</t>
  </si>
  <si>
    <t xml:space="preserve">SE PURGA MBR2 </t>
  </si>
  <si>
    <t>SE RELIZA PURGA DE REACTORES BIOLOGICOS</t>
  </si>
  <si>
    <t xml:space="preserve">MEDICION DE CLORO PERMEADO </t>
  </si>
  <si>
    <t xml:space="preserve">INTERVENCION RO, SE REALIZA PURGA MBR1 Y MBR2 7 MINUTOS </t>
  </si>
  <si>
    <t>MEDICION DE SOLIDOS POR GAVIMETRIA</t>
  </si>
  <si>
    <t>OBSERVACIONES</t>
  </si>
  <si>
    <t>SE REALIZA PURGA DE REACTORES MBR2, PURGA MBR1 , SE REALIZA LAVADO A MEMBRANAS DE MBR2 CON SOLUCION DE HIPOCLORITO DE SODIO AL 0.5%</t>
  </si>
  <si>
    <t>MEDICION DE CLORO</t>
  </si>
  <si>
    <t>SE RELIZA OBSERVACION Y LIMPIEZA MEMBRANAS DEL MBR1 , MBR1 DESHABILITADO</t>
  </si>
  <si>
    <t xml:space="preserve">LAVADO ESPECIAL A MEMBRANAS DE MBR1 CON SOLUCION DE HIPOCLORITO DE SODIO </t>
  </si>
  <si>
    <t xml:space="preserve">INTERVENCION , SE REDUCE CAUDAL PARA REGULAR PRESION DEL MBR2 </t>
  </si>
  <si>
    <t xml:space="preserve">INTERVENCION , CAUDAL DE 30 M3/H </t>
  </si>
  <si>
    <t>MEDICION ANALISIS DIARIOS POR GRAVIMETRIA</t>
  </si>
  <si>
    <t>ANALISIS DIARIOS SISTEMA BIOLOGICO</t>
  </si>
  <si>
    <t>FIN DE SEMANA</t>
  </si>
  <si>
    <t xml:space="preserve">SE REALIZA PURGA MBR1 10 MINUTOS Y MBR2 5 MINUTOS , ANALISIS DIARIOS, SE REALIZA MONTAJE DQO FILTRADA </t>
  </si>
  <si>
    <t>PURGA DEL MBR1 Y MBR2 DURANTE 8 MINUTOS</t>
  </si>
  <si>
    <t>Se evidencia que los sólidos están aumentando constantemente debido al incremento de vertimiento por permeado</t>
  </si>
  <si>
    <t>Se realiza purga de MBR1</t>
  </si>
  <si>
    <t xml:space="preserve">Se realiza purga de MBR1 y mbr2 por 10 min </t>
  </si>
  <si>
    <t xml:space="preserve">NO </t>
  </si>
  <si>
    <t xml:space="preserve">SOLIDOS POR GAVIMETRIA </t>
  </si>
  <si>
    <t xml:space="preserve">LAVADO ESPECIAL, CEB DEL MBR1 </t>
  </si>
  <si>
    <t>PURGA EN MBR1 Y ENJUAGUE CON AIREACION DEL REACTOR</t>
  </si>
  <si>
    <t>PRESENCIA DE LODO FLOTANDO</t>
  </si>
  <si>
    <t xml:space="preserve">SE REALIZA PURGA EN MBR1 Y MBR2 , ALIMENTACION DE REACTORES CON CONDICIONES INESTABLES </t>
  </si>
  <si>
    <t xml:space="preserve">SE EVIDENCIA PRESENCIA DE LODO FLOTANTE </t>
  </si>
  <si>
    <t xml:space="preserve">SE REALIZA PURGA DE REACTOR 2  Y 1 </t>
  </si>
  <si>
    <t xml:space="preserve">SE REGISTRAN PRESIONES ALTAS EN REACTOR 2 </t>
  </si>
  <si>
    <t xml:space="preserve">ANALISIS DE SOLIDOS GRAVIMETRICOS </t>
  </si>
  <si>
    <t xml:space="preserve">SE REALIZA PRUEBA DE FILTRABILIDAD DE LODO (MBR1 Y MBR2) </t>
  </si>
  <si>
    <t xml:space="preserve">SE REALIZA PRUEBA DE FILTRABILIDAD DE LODO (MBR1 Y MBR2) , SE REALIZA DQO DE MUESTRA FILTRADA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</si>
</sst>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5" xfId="0" applyBorder="1"/>
    <xf numFmtId="0" fontId="0" fillId="0" borderId="7" xfId="0" applyBorder="1"/>
    <xf numFmtId="14" fontId="0" fillId="0" borderId="8" xfId="0" applyNumberFormat="1" applyBorder="1"/>
    <xf numFmtId="3" fontId="0" fillId="0" borderId="5" xfId="0" applyNumberFormat="1" applyBorder="1"/>
    <xf numFmtId="3" fontId="0" fillId="0" borderId="15" xfId="0" applyNumberFormat="1" applyBorder="1"/>
    <xf numFmtId="164" fontId="0" fillId="0" borderId="4" xfId="0" applyNumberFormat="1" applyBorder="1"/>
    <xf numFmtId="164" fontId="0" fillId="0" borderId="15" xfId="0" applyNumberFormat="1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4" fontId="0" fillId="4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49" fontId="0" fillId="3" borderId="17" xfId="0" applyNumberFormat="1" applyFill="1" applyBorder="1" applyAlignment="1">
      <alignment horizontal="center" vertical="center" wrapText="1"/>
    </xf>
    <xf numFmtId="165" fontId="0" fillId="0" borderId="17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49" fontId="0" fillId="3" borderId="19" xfId="0" applyNumberForma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2" xfId="0" applyNumberFormat="1" applyBorder="1" applyAlignment="1">
      <alignment vertical="center"/>
    </xf>
    <xf numFmtId="49" fontId="0" fillId="3" borderId="20" xfId="0" applyNumberFormat="1" applyFill="1" applyBorder="1" applyAlignment="1">
      <alignment horizontal="center" vertical="center" wrapText="1"/>
    </xf>
    <xf numFmtId="165" fontId="0" fillId="0" borderId="2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4" fontId="0" fillId="0" borderId="4" xfId="0" applyNumberFormat="1" applyBorder="1" applyAlignment="1">
      <alignment vertical="center"/>
    </xf>
    <xf numFmtId="14" fontId="0" fillId="0" borderId="6" xfId="0" applyNumberFormat="1" applyBorder="1" applyAlignment="1">
      <alignment vertical="center"/>
    </xf>
    <xf numFmtId="164" fontId="0" fillId="0" borderId="9" xfId="0" applyNumberFormat="1" applyBorder="1"/>
    <xf numFmtId="166" fontId="0" fillId="0" borderId="17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3" borderId="0" xfId="0" applyFill="1"/>
    <xf numFmtId="0" fontId="4" fillId="7" borderId="0" xfId="0" applyFont="1" applyFill="1"/>
    <xf numFmtId="164" fontId="0" fillId="0" borderId="21" xfId="0" applyNumberFormat="1" applyBorder="1"/>
    <xf numFmtId="3" fontId="0" fillId="0" borderId="1" xfId="0" applyNumberFormat="1" applyBorder="1"/>
    <xf numFmtId="164" fontId="4" fillId="3" borderId="4" xfId="0" applyNumberFormat="1" applyFont="1" applyFill="1" applyBorder="1"/>
    <xf numFmtId="0" fontId="0" fillId="3" borderId="1" xfId="0" applyFill="1" applyBorder="1"/>
    <xf numFmtId="0" fontId="0" fillId="0" borderId="1" xfId="0" applyBorder="1"/>
    <xf numFmtId="164" fontId="4" fillId="3" borderId="9" xfId="0" applyNumberFormat="1" applyFont="1" applyFill="1" applyBorder="1"/>
    <xf numFmtId="164" fontId="0" fillId="0" borderId="22" xfId="0" applyNumberFormat="1" applyBorder="1"/>
    <xf numFmtId="0" fontId="1" fillId="2" borderId="2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1" fillId="2" borderId="21" xfId="0" applyFont="1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64" fontId="0" fillId="0" borderId="1" xfId="0" applyNumberFormat="1" applyBorder="1"/>
    <xf numFmtId="14" fontId="0" fillId="3" borderId="1" xfId="0" applyNumberFormat="1" applyFill="1" applyBorder="1"/>
    <xf numFmtId="164" fontId="0" fillId="3" borderId="1" xfId="0" applyNumberFormat="1" applyFill="1" applyBorder="1"/>
    <xf numFmtId="3" fontId="0" fillId="3" borderId="1" xfId="0" applyNumberFormat="1" applyFill="1" applyBorder="1"/>
    <xf numFmtId="14" fontId="0" fillId="0" borderId="12" xfId="0" applyNumberFormat="1" applyBorder="1"/>
    <xf numFmtId="14" fontId="0" fillId="0" borderId="29" xfId="0" applyNumberFormat="1" applyBorder="1"/>
    <xf numFmtId="164" fontId="0" fillId="0" borderId="10" xfId="0" applyNumberFormat="1" applyBorder="1"/>
    <xf numFmtId="164" fontId="0" fillId="0" borderId="29" xfId="0" applyNumberFormat="1" applyBorder="1"/>
    <xf numFmtId="14" fontId="4" fillId="3" borderId="1" xfId="0" applyNumberFormat="1" applyFont="1" applyFill="1" applyBorder="1"/>
    <xf numFmtId="164" fontId="4" fillId="3" borderId="1" xfId="0" applyNumberFormat="1" applyFont="1" applyFill="1" applyBorder="1"/>
    <xf numFmtId="164" fontId="0" fillId="0" borderId="20" xfId="0" applyNumberFormat="1" applyBorder="1"/>
    <xf numFmtId="164" fontId="0" fillId="0" borderId="18" xfId="0" applyNumberFormat="1" applyBorder="1"/>
    <xf numFmtId="164" fontId="0" fillId="0" borderId="1" xfId="0" applyNumberFormat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26" xfId="0" applyBorder="1"/>
    <xf numFmtId="0" fontId="4" fillId="7" borderId="1" xfId="0" applyFont="1" applyFill="1" applyBorder="1"/>
    <xf numFmtId="0" fontId="0" fillId="3" borderId="1" xfId="0" applyFill="1" applyBorder="1" applyAlignment="1">
      <alignment horizontal="center"/>
    </xf>
    <xf numFmtId="0" fontId="0" fillId="0" borderId="20" xfId="0" applyBorder="1"/>
    <xf numFmtId="0" fontId="0" fillId="2" borderId="1" xfId="0" applyFill="1" applyBorder="1" applyAlignment="1">
      <alignment horizontal="center" vertical="center" wrapText="1"/>
    </xf>
    <xf numFmtId="14" fontId="0" fillId="0" borderId="23" xfId="0" applyNumberFormat="1" applyBorder="1"/>
    <xf numFmtId="164" fontId="0" fillId="0" borderId="31" xfId="0" applyNumberFormat="1" applyBorder="1"/>
    <xf numFmtId="164" fontId="0" fillId="0" borderId="23" xfId="0" applyNumberFormat="1" applyBorder="1"/>
    <xf numFmtId="164" fontId="0" fillId="0" borderId="33" xfId="0" applyNumberFormat="1" applyBorder="1"/>
    <xf numFmtId="3" fontId="0" fillId="6" borderId="22" xfId="0" applyNumberFormat="1" applyFill="1" applyBorder="1"/>
    <xf numFmtId="3" fontId="0" fillId="0" borderId="31" xfId="0" applyNumberFormat="1" applyBorder="1"/>
    <xf numFmtId="164" fontId="0" fillId="0" borderId="0" xfId="0" applyNumberFormat="1"/>
    <xf numFmtId="164" fontId="3" fillId="0" borderId="1" xfId="0" applyNumberFormat="1" applyFont="1" applyBorder="1"/>
    <xf numFmtId="0" fontId="5" fillId="3" borderId="26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5" fillId="0" borderId="1" xfId="0" applyNumberFormat="1" applyFont="1" applyBorder="1"/>
    <xf numFmtId="164" fontId="5" fillId="3" borderId="1" xfId="0" applyNumberFormat="1" applyFont="1" applyFill="1" applyBorder="1"/>
    <xf numFmtId="164" fontId="5" fillId="3" borderId="34" xfId="0" applyNumberFormat="1" applyFont="1" applyFill="1" applyBorder="1"/>
    <xf numFmtId="164" fontId="5" fillId="3" borderId="27" xfId="0" applyNumberFormat="1" applyFont="1" applyFill="1" applyBorder="1"/>
    <xf numFmtId="164" fontId="5" fillId="0" borderId="27" xfId="0" applyNumberFormat="1" applyFont="1" applyBorder="1"/>
    <xf numFmtId="164" fontId="5" fillId="0" borderId="26" xfId="0" applyNumberFormat="1" applyFont="1" applyBorder="1"/>
    <xf numFmtId="164" fontId="5" fillId="0" borderId="32" xfId="0" applyNumberFormat="1" applyFont="1" applyBorder="1"/>
    <xf numFmtId="164" fontId="7" fillId="3" borderId="1" xfId="0" applyNumberFormat="1" applyFont="1" applyFill="1" applyBorder="1"/>
    <xf numFmtId="164" fontId="5" fillId="0" borderId="20" xfId="0" applyNumberFormat="1" applyFont="1" applyBorder="1"/>
    <xf numFmtId="164" fontId="5" fillId="0" borderId="18" xfId="0" applyNumberFormat="1" applyFont="1" applyBorder="1"/>
    <xf numFmtId="164" fontId="5" fillId="0" borderId="15" xfId="0" applyNumberFormat="1" applyFont="1" applyBorder="1"/>
    <xf numFmtId="164" fontId="8" fillId="3" borderId="1" xfId="0" applyNumberFormat="1" applyFont="1" applyFill="1" applyBorder="1"/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/>
    <xf numFmtId="0" fontId="5" fillId="3" borderId="1" xfId="0" applyFont="1" applyFill="1" applyBorder="1"/>
    <xf numFmtId="0" fontId="5" fillId="0" borderId="20" xfId="0" applyFont="1" applyBorder="1"/>
    <xf numFmtId="0" fontId="8" fillId="3" borderId="1" xfId="0" applyFont="1" applyFill="1" applyBorder="1"/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38" xfId="0" applyNumberFormat="1" applyFont="1" applyBorder="1" applyAlignment="1">
      <alignment horizontal="center"/>
    </xf>
    <xf numFmtId="0" fontId="0" fillId="0" borderId="30" xfId="0" applyBorder="1"/>
    <xf numFmtId="0" fontId="0" fillId="0" borderId="22" xfId="0" applyBorder="1"/>
    <xf numFmtId="0" fontId="0" fillId="0" borderId="24" xfId="0" applyBorder="1"/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5" fillId="0" borderId="26" xfId="0" applyFont="1" applyBorder="1"/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" fillId="5" borderId="12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MBR UNICO.xlsx]GRAFICOS 2025!TablaDinámica1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MBR</a:t>
            </a:r>
            <a:r>
              <a:rPr lang="es-CO" baseline="0"/>
              <a:t> 1 (Q Vs TPM)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40000"/>
                <a:lumOff val="60000"/>
                <a:alpha val="7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2025'!$B$3</c:f>
              <c:strCache>
                <c:ptCount val="1"/>
                <c:pt idx="0">
                  <c:v> CAUDAL MBR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2025'!$A$4:$A$36</c:f>
              <c:strCache>
                <c:ptCount val="32"/>
                <c:pt idx="0">
                  <c:v>3/06/2025</c:v>
                </c:pt>
                <c:pt idx="1">
                  <c:v>4/06/2025</c:v>
                </c:pt>
                <c:pt idx="2">
                  <c:v>5/06/2025</c:v>
                </c:pt>
                <c:pt idx="3">
                  <c:v>7/06/2025</c:v>
                </c:pt>
                <c:pt idx="4">
                  <c:v>9/06/2025</c:v>
                </c:pt>
                <c:pt idx="5">
                  <c:v>10/06/2025</c:v>
                </c:pt>
                <c:pt idx="6">
                  <c:v>11/06/2025</c:v>
                </c:pt>
                <c:pt idx="7">
                  <c:v>12/06/2025</c:v>
                </c:pt>
                <c:pt idx="8">
                  <c:v>13/06/2025</c:v>
                </c:pt>
                <c:pt idx="9">
                  <c:v>14/06/2025</c:v>
                </c:pt>
                <c:pt idx="10">
                  <c:v>16/06/2025</c:v>
                </c:pt>
                <c:pt idx="11">
                  <c:v>17/06/2025</c:v>
                </c:pt>
                <c:pt idx="12">
                  <c:v>18/06/2025</c:v>
                </c:pt>
                <c:pt idx="13">
                  <c:v>19/06/2025</c:v>
                </c:pt>
                <c:pt idx="14">
                  <c:v>20/06/2025</c:v>
                </c:pt>
                <c:pt idx="15">
                  <c:v>21/06/2025</c:v>
                </c:pt>
                <c:pt idx="16">
                  <c:v>24/06/2025</c:v>
                </c:pt>
                <c:pt idx="17">
                  <c:v>25/06/2025</c:v>
                </c:pt>
                <c:pt idx="18">
                  <c:v>26/06/2025</c:v>
                </c:pt>
                <c:pt idx="19">
                  <c:v>27/06/2025</c:v>
                </c:pt>
                <c:pt idx="20">
                  <c:v>28/06/2025</c:v>
                </c:pt>
                <c:pt idx="21">
                  <c:v>1/07/2025</c:v>
                </c:pt>
                <c:pt idx="22">
                  <c:v>2/07/2025</c:v>
                </c:pt>
                <c:pt idx="23">
                  <c:v>3/07/2025</c:v>
                </c:pt>
                <c:pt idx="24">
                  <c:v>4/07/2025</c:v>
                </c:pt>
                <c:pt idx="25">
                  <c:v>5/07/2025</c:v>
                </c:pt>
                <c:pt idx="26">
                  <c:v>7/07/2025</c:v>
                </c:pt>
                <c:pt idx="27">
                  <c:v>8/07/2025</c:v>
                </c:pt>
                <c:pt idx="28">
                  <c:v>9/07/2025</c:v>
                </c:pt>
                <c:pt idx="29">
                  <c:v>10/07/2025</c:v>
                </c:pt>
                <c:pt idx="30">
                  <c:v>11/07/2025</c:v>
                </c:pt>
                <c:pt idx="31">
                  <c:v>14/07/2025</c:v>
                </c:pt>
              </c:strCache>
            </c:strRef>
          </c:cat>
          <c:val>
            <c:numRef>
              <c:f>'GRAFICOS 2025'!$B$4:$B$36</c:f>
              <c:numCache>
                <c:formatCode>General</c:formatCode>
                <c:ptCount val="32"/>
                <c:pt idx="0">
                  <c:v>31.3</c:v>
                </c:pt>
                <c:pt idx="1">
                  <c:v>31.4</c:v>
                </c:pt>
                <c:pt idx="2">
                  <c:v>31.4</c:v>
                </c:pt>
                <c:pt idx="3">
                  <c:v>30.4</c:v>
                </c:pt>
                <c:pt idx="4">
                  <c:v>31.3</c:v>
                </c:pt>
                <c:pt idx="5">
                  <c:v>31.1</c:v>
                </c:pt>
                <c:pt idx="6">
                  <c:v>31.2</c:v>
                </c:pt>
                <c:pt idx="7">
                  <c:v>31.2</c:v>
                </c:pt>
                <c:pt idx="8">
                  <c:v>33.799999999999997</c:v>
                </c:pt>
                <c:pt idx="9">
                  <c:v>33.299999999999997</c:v>
                </c:pt>
                <c:pt idx="10">
                  <c:v>32.4</c:v>
                </c:pt>
                <c:pt idx="11">
                  <c:v>31.3</c:v>
                </c:pt>
                <c:pt idx="12">
                  <c:v>30.5</c:v>
                </c:pt>
                <c:pt idx="13">
                  <c:v>30.4</c:v>
                </c:pt>
                <c:pt idx="14">
                  <c:v>30.7</c:v>
                </c:pt>
                <c:pt idx="15">
                  <c:v>31.1</c:v>
                </c:pt>
                <c:pt idx="16">
                  <c:v>30.2</c:v>
                </c:pt>
                <c:pt idx="17">
                  <c:v>32.4</c:v>
                </c:pt>
                <c:pt idx="18">
                  <c:v>32.299999999999997</c:v>
                </c:pt>
                <c:pt idx="19">
                  <c:v>25.4</c:v>
                </c:pt>
                <c:pt idx="20">
                  <c:v>32.6</c:v>
                </c:pt>
                <c:pt idx="21">
                  <c:v>25.8</c:v>
                </c:pt>
                <c:pt idx="22">
                  <c:v>25.4</c:v>
                </c:pt>
                <c:pt idx="23">
                  <c:v>26.3</c:v>
                </c:pt>
                <c:pt idx="24">
                  <c:v>25.3</c:v>
                </c:pt>
                <c:pt idx="25">
                  <c:v>22</c:v>
                </c:pt>
                <c:pt idx="26">
                  <c:v>28.3</c:v>
                </c:pt>
                <c:pt idx="27">
                  <c:v>22.4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E-41A8-BD92-B15A1BAD9C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17425679"/>
        <c:axId val="1417407439"/>
      </c:barChart>
      <c:lineChart>
        <c:grouping val="standard"/>
        <c:varyColors val="0"/>
        <c:ser>
          <c:idx val="1"/>
          <c:order val="1"/>
          <c:tx>
            <c:strRef>
              <c:f>'GRAFICOS 2025'!$C$3</c:f>
              <c:strCache>
                <c:ptCount val="1"/>
                <c:pt idx="0">
                  <c:v> TMP MBR1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40000"/>
                  <a:lumOff val="60000"/>
                  <a:alpha val="75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2025'!$A$4:$A$36</c:f>
              <c:strCache>
                <c:ptCount val="32"/>
                <c:pt idx="0">
                  <c:v>3/06/2025</c:v>
                </c:pt>
                <c:pt idx="1">
                  <c:v>4/06/2025</c:v>
                </c:pt>
                <c:pt idx="2">
                  <c:v>5/06/2025</c:v>
                </c:pt>
                <c:pt idx="3">
                  <c:v>7/06/2025</c:v>
                </c:pt>
                <c:pt idx="4">
                  <c:v>9/06/2025</c:v>
                </c:pt>
                <c:pt idx="5">
                  <c:v>10/06/2025</c:v>
                </c:pt>
                <c:pt idx="6">
                  <c:v>11/06/2025</c:v>
                </c:pt>
                <c:pt idx="7">
                  <c:v>12/06/2025</c:v>
                </c:pt>
                <c:pt idx="8">
                  <c:v>13/06/2025</c:v>
                </c:pt>
                <c:pt idx="9">
                  <c:v>14/06/2025</c:v>
                </c:pt>
                <c:pt idx="10">
                  <c:v>16/06/2025</c:v>
                </c:pt>
                <c:pt idx="11">
                  <c:v>17/06/2025</c:v>
                </c:pt>
                <c:pt idx="12">
                  <c:v>18/06/2025</c:v>
                </c:pt>
                <c:pt idx="13">
                  <c:v>19/06/2025</c:v>
                </c:pt>
                <c:pt idx="14">
                  <c:v>20/06/2025</c:v>
                </c:pt>
                <c:pt idx="15">
                  <c:v>21/06/2025</c:v>
                </c:pt>
                <c:pt idx="16">
                  <c:v>24/06/2025</c:v>
                </c:pt>
                <c:pt idx="17">
                  <c:v>25/06/2025</c:v>
                </c:pt>
                <c:pt idx="18">
                  <c:v>26/06/2025</c:v>
                </c:pt>
                <c:pt idx="19">
                  <c:v>27/06/2025</c:v>
                </c:pt>
                <c:pt idx="20">
                  <c:v>28/06/2025</c:v>
                </c:pt>
                <c:pt idx="21">
                  <c:v>1/07/2025</c:v>
                </c:pt>
                <c:pt idx="22">
                  <c:v>2/07/2025</c:v>
                </c:pt>
                <c:pt idx="23">
                  <c:v>3/07/2025</c:v>
                </c:pt>
                <c:pt idx="24">
                  <c:v>4/07/2025</c:v>
                </c:pt>
                <c:pt idx="25">
                  <c:v>5/07/2025</c:v>
                </c:pt>
                <c:pt idx="26">
                  <c:v>7/07/2025</c:v>
                </c:pt>
                <c:pt idx="27">
                  <c:v>8/07/2025</c:v>
                </c:pt>
                <c:pt idx="28">
                  <c:v>9/07/2025</c:v>
                </c:pt>
                <c:pt idx="29">
                  <c:v>10/07/2025</c:v>
                </c:pt>
                <c:pt idx="30">
                  <c:v>11/07/2025</c:v>
                </c:pt>
                <c:pt idx="31">
                  <c:v>14/07/2025</c:v>
                </c:pt>
              </c:strCache>
            </c:strRef>
          </c:cat>
          <c:val>
            <c:numRef>
              <c:f>'GRAFICOS 2025'!$C$4:$C$36</c:f>
              <c:numCache>
                <c:formatCode>General</c:formatCode>
                <c:ptCount val="32"/>
                <c:pt idx="0">
                  <c:v>275</c:v>
                </c:pt>
                <c:pt idx="1">
                  <c:v>282</c:v>
                </c:pt>
                <c:pt idx="2">
                  <c:v>298</c:v>
                </c:pt>
                <c:pt idx="3">
                  <c:v>253</c:v>
                </c:pt>
                <c:pt idx="4">
                  <c:v>300</c:v>
                </c:pt>
                <c:pt idx="5">
                  <c:v>278</c:v>
                </c:pt>
                <c:pt idx="6">
                  <c:v>284</c:v>
                </c:pt>
                <c:pt idx="7">
                  <c:v>285</c:v>
                </c:pt>
                <c:pt idx="8">
                  <c:v>344</c:v>
                </c:pt>
                <c:pt idx="9">
                  <c:v>365</c:v>
                </c:pt>
                <c:pt idx="10">
                  <c:v>361</c:v>
                </c:pt>
                <c:pt idx="11">
                  <c:v>327</c:v>
                </c:pt>
                <c:pt idx="12">
                  <c:v>351</c:v>
                </c:pt>
                <c:pt idx="13">
                  <c:v>343</c:v>
                </c:pt>
                <c:pt idx="14">
                  <c:v>378</c:v>
                </c:pt>
                <c:pt idx="15">
                  <c:v>384</c:v>
                </c:pt>
                <c:pt idx="16">
                  <c:v>410</c:v>
                </c:pt>
                <c:pt idx="17">
                  <c:v>380</c:v>
                </c:pt>
                <c:pt idx="18">
                  <c:v>386</c:v>
                </c:pt>
                <c:pt idx="19">
                  <c:v>335</c:v>
                </c:pt>
                <c:pt idx="20">
                  <c:v>346</c:v>
                </c:pt>
                <c:pt idx="21">
                  <c:v>338</c:v>
                </c:pt>
                <c:pt idx="22">
                  <c:v>329</c:v>
                </c:pt>
                <c:pt idx="23">
                  <c:v>350</c:v>
                </c:pt>
                <c:pt idx="24">
                  <c:v>340</c:v>
                </c:pt>
                <c:pt idx="25">
                  <c:v>299</c:v>
                </c:pt>
                <c:pt idx="26">
                  <c:v>382</c:v>
                </c:pt>
                <c:pt idx="27">
                  <c:v>410</c:v>
                </c:pt>
                <c:pt idx="28">
                  <c:v>265</c:v>
                </c:pt>
                <c:pt idx="29">
                  <c:v>245</c:v>
                </c:pt>
                <c:pt idx="30">
                  <c:v>221</c:v>
                </c:pt>
                <c:pt idx="31">
                  <c:v>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AE-41A8-BD92-B15A1BAD9C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17434799"/>
        <c:axId val="1417438159"/>
      </c:lineChart>
      <c:catAx>
        <c:axId val="141742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407439"/>
        <c:crosses val="autoZero"/>
        <c:auto val="1"/>
        <c:lblAlgn val="ctr"/>
        <c:lblOffset val="100"/>
        <c:noMultiLvlLbl val="0"/>
      </c:catAx>
      <c:valAx>
        <c:axId val="1417407439"/>
        <c:scaling>
          <c:orientation val="minMax"/>
          <c:max val="3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Q PERMEADO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425679"/>
        <c:crosses val="autoZero"/>
        <c:crossBetween val="between"/>
      </c:valAx>
      <c:valAx>
        <c:axId val="1417438159"/>
        <c:scaling>
          <c:orientation val="minMax"/>
          <c:max val="600"/>
          <c:min val="2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TPM (-mbar)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434799"/>
        <c:crosses val="max"/>
        <c:crossBetween val="between"/>
      </c:valAx>
      <c:catAx>
        <c:axId val="1417434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74381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MBR UNICO.xlsx]GRAFICOS 2025!TablaDinámica2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MBR 2 (Q Vs TPM)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 cap="rnd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40000"/>
                <a:lumOff val="60000"/>
                <a:alpha val="7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2025'!$H$41</c:f>
              <c:strCache>
                <c:ptCount val="1"/>
                <c:pt idx="0">
                  <c:v> CAUDAL MBR 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2025'!$G$42:$G$74</c:f>
              <c:strCache>
                <c:ptCount val="32"/>
                <c:pt idx="0">
                  <c:v>3/06/2025</c:v>
                </c:pt>
                <c:pt idx="1">
                  <c:v>4/06/2025</c:v>
                </c:pt>
                <c:pt idx="2">
                  <c:v>5/06/2025</c:v>
                </c:pt>
                <c:pt idx="3">
                  <c:v>7/06/2025</c:v>
                </c:pt>
                <c:pt idx="4">
                  <c:v>9/06/2025</c:v>
                </c:pt>
                <c:pt idx="5">
                  <c:v>10/06/2025</c:v>
                </c:pt>
                <c:pt idx="6">
                  <c:v>11/06/2025</c:v>
                </c:pt>
                <c:pt idx="7">
                  <c:v>12/06/2025</c:v>
                </c:pt>
                <c:pt idx="8">
                  <c:v>13/06/2025</c:v>
                </c:pt>
                <c:pt idx="9">
                  <c:v>14/06/2025</c:v>
                </c:pt>
                <c:pt idx="10">
                  <c:v>16/06/2025</c:v>
                </c:pt>
                <c:pt idx="11">
                  <c:v>17/06/2025</c:v>
                </c:pt>
                <c:pt idx="12">
                  <c:v>18/06/2025</c:v>
                </c:pt>
                <c:pt idx="13">
                  <c:v>19/06/2025</c:v>
                </c:pt>
                <c:pt idx="14">
                  <c:v>20/06/2025</c:v>
                </c:pt>
                <c:pt idx="15">
                  <c:v>21/06/2025</c:v>
                </c:pt>
                <c:pt idx="16">
                  <c:v>24/06/2025</c:v>
                </c:pt>
                <c:pt idx="17">
                  <c:v>25/06/2025</c:v>
                </c:pt>
                <c:pt idx="18">
                  <c:v>26/06/2025</c:v>
                </c:pt>
                <c:pt idx="19">
                  <c:v>27/06/2025</c:v>
                </c:pt>
                <c:pt idx="20">
                  <c:v>28/06/2025</c:v>
                </c:pt>
                <c:pt idx="21">
                  <c:v>1/07/2025</c:v>
                </c:pt>
                <c:pt idx="22">
                  <c:v>2/07/2025</c:v>
                </c:pt>
                <c:pt idx="23">
                  <c:v>3/07/2025</c:v>
                </c:pt>
                <c:pt idx="24">
                  <c:v>4/07/2025</c:v>
                </c:pt>
                <c:pt idx="25">
                  <c:v>5/07/2025</c:v>
                </c:pt>
                <c:pt idx="26">
                  <c:v>7/07/2025</c:v>
                </c:pt>
                <c:pt idx="27">
                  <c:v>8/07/2025</c:v>
                </c:pt>
                <c:pt idx="28">
                  <c:v>9/07/2025</c:v>
                </c:pt>
                <c:pt idx="29">
                  <c:v>10/07/2025</c:v>
                </c:pt>
                <c:pt idx="30">
                  <c:v>11/07/2025</c:v>
                </c:pt>
                <c:pt idx="31">
                  <c:v>14/07/2025</c:v>
                </c:pt>
              </c:strCache>
            </c:strRef>
          </c:cat>
          <c:val>
            <c:numRef>
              <c:f>'GRAFICOS 2025'!$H$42:$H$74</c:f>
              <c:numCache>
                <c:formatCode>General</c:formatCode>
                <c:ptCount val="32"/>
                <c:pt idx="0">
                  <c:v>43.4</c:v>
                </c:pt>
                <c:pt idx="1">
                  <c:v>43.5</c:v>
                </c:pt>
                <c:pt idx="2">
                  <c:v>42.7</c:v>
                </c:pt>
                <c:pt idx="3">
                  <c:v>42.5</c:v>
                </c:pt>
                <c:pt idx="4">
                  <c:v>42.7</c:v>
                </c:pt>
                <c:pt idx="5">
                  <c:v>45</c:v>
                </c:pt>
                <c:pt idx="6">
                  <c:v>45.3</c:v>
                </c:pt>
                <c:pt idx="7">
                  <c:v>45.5</c:v>
                </c:pt>
                <c:pt idx="8">
                  <c:v>43.7</c:v>
                </c:pt>
                <c:pt idx="9">
                  <c:v>36.4</c:v>
                </c:pt>
                <c:pt idx="10">
                  <c:v>41.3</c:v>
                </c:pt>
                <c:pt idx="11">
                  <c:v>41.9</c:v>
                </c:pt>
                <c:pt idx="12">
                  <c:v>41.3</c:v>
                </c:pt>
                <c:pt idx="13">
                  <c:v>41.7</c:v>
                </c:pt>
                <c:pt idx="14">
                  <c:v>41.4</c:v>
                </c:pt>
                <c:pt idx="15">
                  <c:v>43.4</c:v>
                </c:pt>
                <c:pt idx="16">
                  <c:v>45.2</c:v>
                </c:pt>
                <c:pt idx="17">
                  <c:v>44.4</c:v>
                </c:pt>
                <c:pt idx="18">
                  <c:v>43.4</c:v>
                </c:pt>
                <c:pt idx="19">
                  <c:v>44.8</c:v>
                </c:pt>
                <c:pt idx="20">
                  <c:v>47.3</c:v>
                </c:pt>
                <c:pt idx="21">
                  <c:v>44.7</c:v>
                </c:pt>
                <c:pt idx="22">
                  <c:v>43.2</c:v>
                </c:pt>
                <c:pt idx="23">
                  <c:v>42.2</c:v>
                </c:pt>
                <c:pt idx="24">
                  <c:v>44.2</c:v>
                </c:pt>
                <c:pt idx="25">
                  <c:v>47.1</c:v>
                </c:pt>
                <c:pt idx="26">
                  <c:v>46.8</c:v>
                </c:pt>
                <c:pt idx="27">
                  <c:v>40.200000000000003</c:v>
                </c:pt>
                <c:pt idx="28">
                  <c:v>40.700000000000003</c:v>
                </c:pt>
                <c:pt idx="29">
                  <c:v>41.3</c:v>
                </c:pt>
                <c:pt idx="30">
                  <c:v>39.799999999999997</c:v>
                </c:pt>
                <c:pt idx="31">
                  <c:v>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E-4419-B3DC-20EC8E7ABE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5711295"/>
        <c:axId val="1645705535"/>
      </c:barChart>
      <c:lineChart>
        <c:grouping val="standard"/>
        <c:varyColors val="0"/>
        <c:ser>
          <c:idx val="1"/>
          <c:order val="1"/>
          <c:tx>
            <c:strRef>
              <c:f>'GRAFICOS 2025'!$I$41</c:f>
              <c:strCache>
                <c:ptCount val="1"/>
                <c:pt idx="0">
                  <c:v> TMP MBR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rnd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40000"/>
                  <a:lumOff val="60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2025'!$G$42:$G$74</c:f>
              <c:strCache>
                <c:ptCount val="32"/>
                <c:pt idx="0">
                  <c:v>3/06/2025</c:v>
                </c:pt>
                <c:pt idx="1">
                  <c:v>4/06/2025</c:v>
                </c:pt>
                <c:pt idx="2">
                  <c:v>5/06/2025</c:v>
                </c:pt>
                <c:pt idx="3">
                  <c:v>7/06/2025</c:v>
                </c:pt>
                <c:pt idx="4">
                  <c:v>9/06/2025</c:v>
                </c:pt>
                <c:pt idx="5">
                  <c:v>10/06/2025</c:v>
                </c:pt>
                <c:pt idx="6">
                  <c:v>11/06/2025</c:v>
                </c:pt>
                <c:pt idx="7">
                  <c:v>12/06/2025</c:v>
                </c:pt>
                <c:pt idx="8">
                  <c:v>13/06/2025</c:v>
                </c:pt>
                <c:pt idx="9">
                  <c:v>14/06/2025</c:v>
                </c:pt>
                <c:pt idx="10">
                  <c:v>16/06/2025</c:v>
                </c:pt>
                <c:pt idx="11">
                  <c:v>17/06/2025</c:v>
                </c:pt>
                <c:pt idx="12">
                  <c:v>18/06/2025</c:v>
                </c:pt>
                <c:pt idx="13">
                  <c:v>19/06/2025</c:v>
                </c:pt>
                <c:pt idx="14">
                  <c:v>20/06/2025</c:v>
                </c:pt>
                <c:pt idx="15">
                  <c:v>21/06/2025</c:v>
                </c:pt>
                <c:pt idx="16">
                  <c:v>24/06/2025</c:v>
                </c:pt>
                <c:pt idx="17">
                  <c:v>25/06/2025</c:v>
                </c:pt>
                <c:pt idx="18">
                  <c:v>26/06/2025</c:v>
                </c:pt>
                <c:pt idx="19">
                  <c:v>27/06/2025</c:v>
                </c:pt>
                <c:pt idx="20">
                  <c:v>28/06/2025</c:v>
                </c:pt>
                <c:pt idx="21">
                  <c:v>1/07/2025</c:v>
                </c:pt>
                <c:pt idx="22">
                  <c:v>2/07/2025</c:v>
                </c:pt>
                <c:pt idx="23">
                  <c:v>3/07/2025</c:v>
                </c:pt>
                <c:pt idx="24">
                  <c:v>4/07/2025</c:v>
                </c:pt>
                <c:pt idx="25">
                  <c:v>5/07/2025</c:v>
                </c:pt>
                <c:pt idx="26">
                  <c:v>7/07/2025</c:v>
                </c:pt>
                <c:pt idx="27">
                  <c:v>8/07/2025</c:v>
                </c:pt>
                <c:pt idx="28">
                  <c:v>9/07/2025</c:v>
                </c:pt>
                <c:pt idx="29">
                  <c:v>10/07/2025</c:v>
                </c:pt>
                <c:pt idx="30">
                  <c:v>11/07/2025</c:v>
                </c:pt>
                <c:pt idx="31">
                  <c:v>14/07/2025</c:v>
                </c:pt>
              </c:strCache>
            </c:strRef>
          </c:cat>
          <c:val>
            <c:numRef>
              <c:f>'GRAFICOS 2025'!$I$42:$I$74</c:f>
              <c:numCache>
                <c:formatCode>General</c:formatCode>
                <c:ptCount val="32"/>
                <c:pt idx="0">
                  <c:v>273</c:v>
                </c:pt>
                <c:pt idx="1">
                  <c:v>291</c:v>
                </c:pt>
                <c:pt idx="2">
                  <c:v>276</c:v>
                </c:pt>
                <c:pt idx="3">
                  <c:v>279</c:v>
                </c:pt>
                <c:pt idx="4">
                  <c:v>292</c:v>
                </c:pt>
                <c:pt idx="5">
                  <c:v>267</c:v>
                </c:pt>
                <c:pt idx="6">
                  <c:v>292</c:v>
                </c:pt>
                <c:pt idx="7">
                  <c:v>306</c:v>
                </c:pt>
                <c:pt idx="8">
                  <c:v>333</c:v>
                </c:pt>
                <c:pt idx="9">
                  <c:v>303</c:v>
                </c:pt>
                <c:pt idx="10">
                  <c:v>287</c:v>
                </c:pt>
                <c:pt idx="11">
                  <c:v>327</c:v>
                </c:pt>
                <c:pt idx="12">
                  <c:v>261</c:v>
                </c:pt>
                <c:pt idx="13">
                  <c:v>283</c:v>
                </c:pt>
                <c:pt idx="14">
                  <c:v>275</c:v>
                </c:pt>
                <c:pt idx="15">
                  <c:v>351</c:v>
                </c:pt>
                <c:pt idx="16">
                  <c:v>369</c:v>
                </c:pt>
                <c:pt idx="17">
                  <c:v>339</c:v>
                </c:pt>
                <c:pt idx="18">
                  <c:v>333</c:v>
                </c:pt>
                <c:pt idx="19">
                  <c:v>323</c:v>
                </c:pt>
                <c:pt idx="20">
                  <c:v>307</c:v>
                </c:pt>
                <c:pt idx="21">
                  <c:v>325</c:v>
                </c:pt>
                <c:pt idx="22">
                  <c:v>353</c:v>
                </c:pt>
                <c:pt idx="23">
                  <c:v>357</c:v>
                </c:pt>
                <c:pt idx="24">
                  <c:v>311</c:v>
                </c:pt>
                <c:pt idx="25">
                  <c:v>351</c:v>
                </c:pt>
                <c:pt idx="26">
                  <c:v>338</c:v>
                </c:pt>
                <c:pt idx="27">
                  <c:v>354</c:v>
                </c:pt>
                <c:pt idx="28">
                  <c:v>327</c:v>
                </c:pt>
                <c:pt idx="29">
                  <c:v>371</c:v>
                </c:pt>
                <c:pt idx="30">
                  <c:v>364</c:v>
                </c:pt>
                <c:pt idx="31">
                  <c:v>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E-4419-B3DC-20EC8E7ABE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5718015"/>
        <c:axId val="1645714175"/>
      </c:lineChart>
      <c:catAx>
        <c:axId val="164571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5705535"/>
        <c:crosses val="autoZero"/>
        <c:auto val="1"/>
        <c:lblAlgn val="ctr"/>
        <c:lblOffset val="100"/>
        <c:noMultiLvlLbl val="0"/>
      </c:catAx>
      <c:valAx>
        <c:axId val="164570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Q PERMEADO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5711295"/>
        <c:crosses val="autoZero"/>
        <c:crossBetween val="between"/>
      </c:valAx>
      <c:valAx>
        <c:axId val="1645714175"/>
        <c:scaling>
          <c:orientation val="minMax"/>
          <c:max val="500"/>
          <c:min val="2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TPM</a:t>
                </a:r>
                <a:r>
                  <a:rPr lang="en-US" baseline="0"/>
                  <a:t> (-mbar)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5718015"/>
        <c:crosses val="max"/>
        <c:crossBetween val="between"/>
      </c:valAx>
      <c:catAx>
        <c:axId val="16457180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57141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MBR UNICO.xlsx]GRAFICOS 2026!TablaDinámica1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MBR</a:t>
            </a:r>
            <a:r>
              <a:rPr lang="es-CO" baseline="0"/>
              <a:t> 1 (Q Vs TPM)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40000"/>
                <a:lumOff val="60000"/>
                <a:alpha val="7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40000"/>
                <a:lumOff val="60000"/>
                <a:alpha val="7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2026'!$B$3</c:f>
              <c:strCache>
                <c:ptCount val="1"/>
                <c:pt idx="0">
                  <c:v> CAUDAL MBR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2026'!$A$4:$A$36</c:f>
              <c:strCache>
                <c:ptCount val="32"/>
                <c:pt idx="0">
                  <c:v>3/06/2025</c:v>
                </c:pt>
                <c:pt idx="1">
                  <c:v>4/06/2025</c:v>
                </c:pt>
                <c:pt idx="2">
                  <c:v>5/06/2025</c:v>
                </c:pt>
                <c:pt idx="3">
                  <c:v>7/06/2025</c:v>
                </c:pt>
                <c:pt idx="4">
                  <c:v>9/06/2025</c:v>
                </c:pt>
                <c:pt idx="5">
                  <c:v>10/06/2025</c:v>
                </c:pt>
                <c:pt idx="6">
                  <c:v>11/06/2025</c:v>
                </c:pt>
                <c:pt idx="7">
                  <c:v>12/06/2025</c:v>
                </c:pt>
                <c:pt idx="8">
                  <c:v>13/06/2025</c:v>
                </c:pt>
                <c:pt idx="9">
                  <c:v>14/06/2025</c:v>
                </c:pt>
                <c:pt idx="10">
                  <c:v>16/06/2025</c:v>
                </c:pt>
                <c:pt idx="11">
                  <c:v>17/06/2025</c:v>
                </c:pt>
                <c:pt idx="12">
                  <c:v>18/06/2025</c:v>
                </c:pt>
                <c:pt idx="13">
                  <c:v>19/06/2025</c:v>
                </c:pt>
                <c:pt idx="14">
                  <c:v>20/06/2025</c:v>
                </c:pt>
                <c:pt idx="15">
                  <c:v>21/06/2025</c:v>
                </c:pt>
                <c:pt idx="16">
                  <c:v>24/06/2025</c:v>
                </c:pt>
                <c:pt idx="17">
                  <c:v>25/06/2025</c:v>
                </c:pt>
                <c:pt idx="18">
                  <c:v>26/06/2025</c:v>
                </c:pt>
                <c:pt idx="19">
                  <c:v>27/06/2025</c:v>
                </c:pt>
                <c:pt idx="20">
                  <c:v>28/06/2025</c:v>
                </c:pt>
                <c:pt idx="21">
                  <c:v>1/07/2025</c:v>
                </c:pt>
                <c:pt idx="22">
                  <c:v>2/07/2025</c:v>
                </c:pt>
                <c:pt idx="23">
                  <c:v>3/07/2025</c:v>
                </c:pt>
                <c:pt idx="24">
                  <c:v>4/07/2025</c:v>
                </c:pt>
                <c:pt idx="25">
                  <c:v>5/07/2025</c:v>
                </c:pt>
                <c:pt idx="26">
                  <c:v>7/07/2025</c:v>
                </c:pt>
                <c:pt idx="27">
                  <c:v>8/07/2025</c:v>
                </c:pt>
                <c:pt idx="28">
                  <c:v>9/07/2025</c:v>
                </c:pt>
                <c:pt idx="29">
                  <c:v>10/07/2025</c:v>
                </c:pt>
                <c:pt idx="30">
                  <c:v>11/07/2025</c:v>
                </c:pt>
                <c:pt idx="31">
                  <c:v>14/07/2025</c:v>
                </c:pt>
              </c:strCache>
            </c:strRef>
          </c:cat>
          <c:val>
            <c:numRef>
              <c:f>'GRAFICOS 2026'!$B$4:$B$36</c:f>
              <c:numCache>
                <c:formatCode>General</c:formatCode>
                <c:ptCount val="32"/>
                <c:pt idx="0">
                  <c:v>31.3</c:v>
                </c:pt>
                <c:pt idx="1">
                  <c:v>31.4</c:v>
                </c:pt>
                <c:pt idx="2">
                  <c:v>31.4</c:v>
                </c:pt>
                <c:pt idx="3">
                  <c:v>30.4</c:v>
                </c:pt>
                <c:pt idx="4">
                  <c:v>31.3</c:v>
                </c:pt>
                <c:pt idx="5">
                  <c:v>31.1</c:v>
                </c:pt>
                <c:pt idx="6">
                  <c:v>31.2</c:v>
                </c:pt>
                <c:pt idx="7">
                  <c:v>31.2</c:v>
                </c:pt>
                <c:pt idx="8">
                  <c:v>33.799999999999997</c:v>
                </c:pt>
                <c:pt idx="9">
                  <c:v>33.299999999999997</c:v>
                </c:pt>
                <c:pt idx="10">
                  <c:v>32.4</c:v>
                </c:pt>
                <c:pt idx="11">
                  <c:v>31.3</c:v>
                </c:pt>
                <c:pt idx="12">
                  <c:v>30.5</c:v>
                </c:pt>
                <c:pt idx="13">
                  <c:v>30.4</c:v>
                </c:pt>
                <c:pt idx="14">
                  <c:v>30.7</c:v>
                </c:pt>
                <c:pt idx="15">
                  <c:v>31.1</c:v>
                </c:pt>
                <c:pt idx="16">
                  <c:v>30.2</c:v>
                </c:pt>
                <c:pt idx="17">
                  <c:v>32.4</c:v>
                </c:pt>
                <c:pt idx="18">
                  <c:v>32.299999999999997</c:v>
                </c:pt>
                <c:pt idx="19">
                  <c:v>25.4</c:v>
                </c:pt>
                <c:pt idx="20">
                  <c:v>32.6</c:v>
                </c:pt>
                <c:pt idx="21">
                  <c:v>25.8</c:v>
                </c:pt>
                <c:pt idx="22">
                  <c:v>25.4</c:v>
                </c:pt>
                <c:pt idx="23">
                  <c:v>26.3</c:v>
                </c:pt>
                <c:pt idx="24">
                  <c:v>25.3</c:v>
                </c:pt>
                <c:pt idx="25">
                  <c:v>22</c:v>
                </c:pt>
                <c:pt idx="26">
                  <c:v>28.3</c:v>
                </c:pt>
                <c:pt idx="27">
                  <c:v>22.4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2-4B33-9959-8AA5F0F004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17425679"/>
        <c:axId val="1417407439"/>
      </c:barChart>
      <c:lineChart>
        <c:grouping val="standard"/>
        <c:varyColors val="0"/>
        <c:ser>
          <c:idx val="1"/>
          <c:order val="1"/>
          <c:tx>
            <c:strRef>
              <c:f>'GRAFICOS 2026'!$C$3</c:f>
              <c:strCache>
                <c:ptCount val="1"/>
                <c:pt idx="0">
                  <c:v> TMP MBR1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40000"/>
                  <a:lumOff val="60000"/>
                  <a:alpha val="75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2026'!$A$4:$A$36</c:f>
              <c:strCache>
                <c:ptCount val="32"/>
                <c:pt idx="0">
                  <c:v>3/06/2025</c:v>
                </c:pt>
                <c:pt idx="1">
                  <c:v>4/06/2025</c:v>
                </c:pt>
                <c:pt idx="2">
                  <c:v>5/06/2025</c:v>
                </c:pt>
                <c:pt idx="3">
                  <c:v>7/06/2025</c:v>
                </c:pt>
                <c:pt idx="4">
                  <c:v>9/06/2025</c:v>
                </c:pt>
                <c:pt idx="5">
                  <c:v>10/06/2025</c:v>
                </c:pt>
                <c:pt idx="6">
                  <c:v>11/06/2025</c:v>
                </c:pt>
                <c:pt idx="7">
                  <c:v>12/06/2025</c:v>
                </c:pt>
                <c:pt idx="8">
                  <c:v>13/06/2025</c:v>
                </c:pt>
                <c:pt idx="9">
                  <c:v>14/06/2025</c:v>
                </c:pt>
                <c:pt idx="10">
                  <c:v>16/06/2025</c:v>
                </c:pt>
                <c:pt idx="11">
                  <c:v>17/06/2025</c:v>
                </c:pt>
                <c:pt idx="12">
                  <c:v>18/06/2025</c:v>
                </c:pt>
                <c:pt idx="13">
                  <c:v>19/06/2025</c:v>
                </c:pt>
                <c:pt idx="14">
                  <c:v>20/06/2025</c:v>
                </c:pt>
                <c:pt idx="15">
                  <c:v>21/06/2025</c:v>
                </c:pt>
                <c:pt idx="16">
                  <c:v>24/06/2025</c:v>
                </c:pt>
                <c:pt idx="17">
                  <c:v>25/06/2025</c:v>
                </c:pt>
                <c:pt idx="18">
                  <c:v>26/06/2025</c:v>
                </c:pt>
                <c:pt idx="19">
                  <c:v>27/06/2025</c:v>
                </c:pt>
                <c:pt idx="20">
                  <c:v>28/06/2025</c:v>
                </c:pt>
                <c:pt idx="21">
                  <c:v>1/07/2025</c:v>
                </c:pt>
                <c:pt idx="22">
                  <c:v>2/07/2025</c:v>
                </c:pt>
                <c:pt idx="23">
                  <c:v>3/07/2025</c:v>
                </c:pt>
                <c:pt idx="24">
                  <c:v>4/07/2025</c:v>
                </c:pt>
                <c:pt idx="25">
                  <c:v>5/07/2025</c:v>
                </c:pt>
                <c:pt idx="26">
                  <c:v>7/07/2025</c:v>
                </c:pt>
                <c:pt idx="27">
                  <c:v>8/07/2025</c:v>
                </c:pt>
                <c:pt idx="28">
                  <c:v>9/07/2025</c:v>
                </c:pt>
                <c:pt idx="29">
                  <c:v>10/07/2025</c:v>
                </c:pt>
                <c:pt idx="30">
                  <c:v>11/07/2025</c:v>
                </c:pt>
                <c:pt idx="31">
                  <c:v>14/07/2025</c:v>
                </c:pt>
              </c:strCache>
            </c:strRef>
          </c:cat>
          <c:val>
            <c:numRef>
              <c:f>'GRAFICOS 2026'!$C$4:$C$36</c:f>
              <c:numCache>
                <c:formatCode>General</c:formatCode>
                <c:ptCount val="32"/>
                <c:pt idx="0">
                  <c:v>275</c:v>
                </c:pt>
                <c:pt idx="1">
                  <c:v>282</c:v>
                </c:pt>
                <c:pt idx="2">
                  <c:v>298</c:v>
                </c:pt>
                <c:pt idx="3">
                  <c:v>253</c:v>
                </c:pt>
                <c:pt idx="4">
                  <c:v>300</c:v>
                </c:pt>
                <c:pt idx="5">
                  <c:v>278</c:v>
                </c:pt>
                <c:pt idx="6">
                  <c:v>284</c:v>
                </c:pt>
                <c:pt idx="7">
                  <c:v>285</c:v>
                </c:pt>
                <c:pt idx="8">
                  <c:v>344</c:v>
                </c:pt>
                <c:pt idx="9">
                  <c:v>365</c:v>
                </c:pt>
                <c:pt idx="10">
                  <c:v>361</c:v>
                </c:pt>
                <c:pt idx="11">
                  <c:v>327</c:v>
                </c:pt>
                <c:pt idx="12">
                  <c:v>351</c:v>
                </c:pt>
                <c:pt idx="13">
                  <c:v>343</c:v>
                </c:pt>
                <c:pt idx="14">
                  <c:v>378</c:v>
                </c:pt>
                <c:pt idx="15">
                  <c:v>384</c:v>
                </c:pt>
                <c:pt idx="16">
                  <c:v>410</c:v>
                </c:pt>
                <c:pt idx="17">
                  <c:v>380</c:v>
                </c:pt>
                <c:pt idx="18">
                  <c:v>386</c:v>
                </c:pt>
                <c:pt idx="19">
                  <c:v>335</c:v>
                </c:pt>
                <c:pt idx="20">
                  <c:v>346</c:v>
                </c:pt>
                <c:pt idx="21">
                  <c:v>338</c:v>
                </c:pt>
                <c:pt idx="22">
                  <c:v>329</c:v>
                </c:pt>
                <c:pt idx="23">
                  <c:v>350</c:v>
                </c:pt>
                <c:pt idx="24">
                  <c:v>340</c:v>
                </c:pt>
                <c:pt idx="25">
                  <c:v>299</c:v>
                </c:pt>
                <c:pt idx="26">
                  <c:v>382</c:v>
                </c:pt>
                <c:pt idx="27">
                  <c:v>410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D2-4B33-9959-8AA5F0F004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17434799"/>
        <c:axId val="1417438159"/>
      </c:lineChart>
      <c:catAx>
        <c:axId val="141742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407439"/>
        <c:crosses val="autoZero"/>
        <c:auto val="1"/>
        <c:lblAlgn val="ctr"/>
        <c:lblOffset val="100"/>
        <c:noMultiLvlLbl val="0"/>
      </c:catAx>
      <c:valAx>
        <c:axId val="1417407439"/>
        <c:scaling>
          <c:orientation val="minMax"/>
          <c:max val="3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Q PERMEADO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425679"/>
        <c:crosses val="autoZero"/>
        <c:crossBetween val="between"/>
      </c:valAx>
      <c:valAx>
        <c:axId val="1417438159"/>
        <c:scaling>
          <c:orientation val="minMax"/>
          <c:max val="600"/>
          <c:min val="2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TPM (-mbar)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434799"/>
        <c:crosses val="max"/>
        <c:crossBetween val="between"/>
      </c:valAx>
      <c:catAx>
        <c:axId val="1417434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74381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MBR UNICO.xlsx]GRAFICOS 2026!TablaDinámica2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MBR 2 (Q Vs TPM)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 cap="rnd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40000"/>
                <a:lumOff val="60000"/>
                <a:alpha val="7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 cap="rnd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40000"/>
                <a:lumOff val="60000"/>
                <a:alpha val="7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2026'!$H$41</c:f>
              <c:strCache>
                <c:ptCount val="1"/>
                <c:pt idx="0">
                  <c:v> CAUDAL MBR 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2026'!$G$42:$G$74</c:f>
              <c:strCache>
                <c:ptCount val="32"/>
                <c:pt idx="0">
                  <c:v>3/06/2025</c:v>
                </c:pt>
                <c:pt idx="1">
                  <c:v>4/06/2025</c:v>
                </c:pt>
                <c:pt idx="2">
                  <c:v>5/06/2025</c:v>
                </c:pt>
                <c:pt idx="3">
                  <c:v>7/06/2025</c:v>
                </c:pt>
                <c:pt idx="4">
                  <c:v>9/06/2025</c:v>
                </c:pt>
                <c:pt idx="5">
                  <c:v>10/06/2025</c:v>
                </c:pt>
                <c:pt idx="6">
                  <c:v>11/06/2025</c:v>
                </c:pt>
                <c:pt idx="7">
                  <c:v>12/06/2025</c:v>
                </c:pt>
                <c:pt idx="8">
                  <c:v>13/06/2025</c:v>
                </c:pt>
                <c:pt idx="9">
                  <c:v>14/06/2025</c:v>
                </c:pt>
                <c:pt idx="10">
                  <c:v>16/06/2025</c:v>
                </c:pt>
                <c:pt idx="11">
                  <c:v>17/06/2025</c:v>
                </c:pt>
                <c:pt idx="12">
                  <c:v>18/06/2025</c:v>
                </c:pt>
                <c:pt idx="13">
                  <c:v>19/06/2025</c:v>
                </c:pt>
                <c:pt idx="14">
                  <c:v>20/06/2025</c:v>
                </c:pt>
                <c:pt idx="15">
                  <c:v>21/06/2025</c:v>
                </c:pt>
                <c:pt idx="16">
                  <c:v>24/06/2025</c:v>
                </c:pt>
                <c:pt idx="17">
                  <c:v>25/06/2025</c:v>
                </c:pt>
                <c:pt idx="18">
                  <c:v>26/06/2025</c:v>
                </c:pt>
                <c:pt idx="19">
                  <c:v>27/06/2025</c:v>
                </c:pt>
                <c:pt idx="20">
                  <c:v>28/06/2025</c:v>
                </c:pt>
                <c:pt idx="21">
                  <c:v>1/07/2025</c:v>
                </c:pt>
                <c:pt idx="22">
                  <c:v>2/07/2025</c:v>
                </c:pt>
                <c:pt idx="23">
                  <c:v>3/07/2025</c:v>
                </c:pt>
                <c:pt idx="24">
                  <c:v>4/07/2025</c:v>
                </c:pt>
                <c:pt idx="25">
                  <c:v>5/07/2025</c:v>
                </c:pt>
                <c:pt idx="26">
                  <c:v>7/07/2025</c:v>
                </c:pt>
                <c:pt idx="27">
                  <c:v>8/07/2025</c:v>
                </c:pt>
                <c:pt idx="28">
                  <c:v>9/07/2025</c:v>
                </c:pt>
                <c:pt idx="29">
                  <c:v>10/07/2025</c:v>
                </c:pt>
                <c:pt idx="30">
                  <c:v>11/07/2025</c:v>
                </c:pt>
                <c:pt idx="31">
                  <c:v>14/07/2025</c:v>
                </c:pt>
              </c:strCache>
            </c:strRef>
          </c:cat>
          <c:val>
            <c:numRef>
              <c:f>'GRAFICOS 2026'!$H$42:$H$74</c:f>
              <c:numCache>
                <c:formatCode>General</c:formatCode>
                <c:ptCount val="32"/>
                <c:pt idx="0">
                  <c:v>43.4</c:v>
                </c:pt>
                <c:pt idx="1">
                  <c:v>43.5</c:v>
                </c:pt>
                <c:pt idx="2">
                  <c:v>42.7</c:v>
                </c:pt>
                <c:pt idx="3">
                  <c:v>42.5</c:v>
                </c:pt>
                <c:pt idx="4">
                  <c:v>42.7</c:v>
                </c:pt>
                <c:pt idx="5">
                  <c:v>45</c:v>
                </c:pt>
                <c:pt idx="6">
                  <c:v>45.3</c:v>
                </c:pt>
                <c:pt idx="7">
                  <c:v>45.5</c:v>
                </c:pt>
                <c:pt idx="8">
                  <c:v>43.7</c:v>
                </c:pt>
                <c:pt idx="9">
                  <c:v>36.4</c:v>
                </c:pt>
                <c:pt idx="10">
                  <c:v>41.3</c:v>
                </c:pt>
                <c:pt idx="11">
                  <c:v>41.9</c:v>
                </c:pt>
                <c:pt idx="12">
                  <c:v>41.3</c:v>
                </c:pt>
                <c:pt idx="13">
                  <c:v>41.7</c:v>
                </c:pt>
                <c:pt idx="14">
                  <c:v>41.4</c:v>
                </c:pt>
                <c:pt idx="15">
                  <c:v>43.4</c:v>
                </c:pt>
                <c:pt idx="16">
                  <c:v>45.2</c:v>
                </c:pt>
                <c:pt idx="17">
                  <c:v>44.4</c:v>
                </c:pt>
                <c:pt idx="18">
                  <c:v>43.4</c:v>
                </c:pt>
                <c:pt idx="19">
                  <c:v>44.8</c:v>
                </c:pt>
                <c:pt idx="20">
                  <c:v>47.3</c:v>
                </c:pt>
                <c:pt idx="21">
                  <c:v>44.7</c:v>
                </c:pt>
                <c:pt idx="22">
                  <c:v>43.2</c:v>
                </c:pt>
                <c:pt idx="23">
                  <c:v>42.2</c:v>
                </c:pt>
                <c:pt idx="24">
                  <c:v>44.2</c:v>
                </c:pt>
                <c:pt idx="25">
                  <c:v>47.1</c:v>
                </c:pt>
                <c:pt idx="26">
                  <c:v>46.8</c:v>
                </c:pt>
                <c:pt idx="27">
                  <c:v>40.200000000000003</c:v>
                </c:pt>
                <c:pt idx="28">
                  <c:v>40.700000000000003</c:v>
                </c:pt>
                <c:pt idx="29">
                  <c:v>41.3</c:v>
                </c:pt>
                <c:pt idx="30">
                  <c:v>39.799999999999997</c:v>
                </c:pt>
                <c:pt idx="31">
                  <c:v>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A-49C4-8345-7AAE6EA026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5711295"/>
        <c:axId val="1645705535"/>
      </c:barChart>
      <c:lineChart>
        <c:grouping val="standard"/>
        <c:varyColors val="0"/>
        <c:ser>
          <c:idx val="1"/>
          <c:order val="1"/>
          <c:tx>
            <c:strRef>
              <c:f>'GRAFICOS 2026'!$I$41</c:f>
              <c:strCache>
                <c:ptCount val="1"/>
                <c:pt idx="0">
                  <c:v> TMP MBR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rnd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40000"/>
                  <a:lumOff val="60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2026'!$G$42:$G$74</c:f>
              <c:strCache>
                <c:ptCount val="32"/>
                <c:pt idx="0">
                  <c:v>3/06/2025</c:v>
                </c:pt>
                <c:pt idx="1">
                  <c:v>4/06/2025</c:v>
                </c:pt>
                <c:pt idx="2">
                  <c:v>5/06/2025</c:v>
                </c:pt>
                <c:pt idx="3">
                  <c:v>7/06/2025</c:v>
                </c:pt>
                <c:pt idx="4">
                  <c:v>9/06/2025</c:v>
                </c:pt>
                <c:pt idx="5">
                  <c:v>10/06/2025</c:v>
                </c:pt>
                <c:pt idx="6">
                  <c:v>11/06/2025</c:v>
                </c:pt>
                <c:pt idx="7">
                  <c:v>12/06/2025</c:v>
                </c:pt>
                <c:pt idx="8">
                  <c:v>13/06/2025</c:v>
                </c:pt>
                <c:pt idx="9">
                  <c:v>14/06/2025</c:v>
                </c:pt>
                <c:pt idx="10">
                  <c:v>16/06/2025</c:v>
                </c:pt>
                <c:pt idx="11">
                  <c:v>17/06/2025</c:v>
                </c:pt>
                <c:pt idx="12">
                  <c:v>18/06/2025</c:v>
                </c:pt>
                <c:pt idx="13">
                  <c:v>19/06/2025</c:v>
                </c:pt>
                <c:pt idx="14">
                  <c:v>20/06/2025</c:v>
                </c:pt>
                <c:pt idx="15">
                  <c:v>21/06/2025</c:v>
                </c:pt>
                <c:pt idx="16">
                  <c:v>24/06/2025</c:v>
                </c:pt>
                <c:pt idx="17">
                  <c:v>25/06/2025</c:v>
                </c:pt>
                <c:pt idx="18">
                  <c:v>26/06/2025</c:v>
                </c:pt>
                <c:pt idx="19">
                  <c:v>27/06/2025</c:v>
                </c:pt>
                <c:pt idx="20">
                  <c:v>28/06/2025</c:v>
                </c:pt>
                <c:pt idx="21">
                  <c:v>1/07/2025</c:v>
                </c:pt>
                <c:pt idx="22">
                  <c:v>2/07/2025</c:v>
                </c:pt>
                <c:pt idx="23">
                  <c:v>3/07/2025</c:v>
                </c:pt>
                <c:pt idx="24">
                  <c:v>4/07/2025</c:v>
                </c:pt>
                <c:pt idx="25">
                  <c:v>5/07/2025</c:v>
                </c:pt>
                <c:pt idx="26">
                  <c:v>7/07/2025</c:v>
                </c:pt>
                <c:pt idx="27">
                  <c:v>8/07/2025</c:v>
                </c:pt>
                <c:pt idx="28">
                  <c:v>9/07/2025</c:v>
                </c:pt>
                <c:pt idx="29">
                  <c:v>10/07/2025</c:v>
                </c:pt>
                <c:pt idx="30">
                  <c:v>11/07/2025</c:v>
                </c:pt>
                <c:pt idx="31">
                  <c:v>14/07/2025</c:v>
                </c:pt>
              </c:strCache>
            </c:strRef>
          </c:cat>
          <c:val>
            <c:numRef>
              <c:f>'GRAFICOS 2026'!$I$42:$I$74</c:f>
              <c:numCache>
                <c:formatCode>General</c:formatCode>
                <c:ptCount val="32"/>
                <c:pt idx="0">
                  <c:v>273</c:v>
                </c:pt>
                <c:pt idx="1">
                  <c:v>291</c:v>
                </c:pt>
                <c:pt idx="2">
                  <c:v>276</c:v>
                </c:pt>
                <c:pt idx="3">
                  <c:v>279</c:v>
                </c:pt>
                <c:pt idx="4">
                  <c:v>292</c:v>
                </c:pt>
                <c:pt idx="5">
                  <c:v>267</c:v>
                </c:pt>
                <c:pt idx="6">
                  <c:v>292</c:v>
                </c:pt>
                <c:pt idx="7">
                  <c:v>306</c:v>
                </c:pt>
                <c:pt idx="8">
                  <c:v>333</c:v>
                </c:pt>
                <c:pt idx="9">
                  <c:v>303</c:v>
                </c:pt>
                <c:pt idx="10">
                  <c:v>287</c:v>
                </c:pt>
                <c:pt idx="11">
                  <c:v>327</c:v>
                </c:pt>
                <c:pt idx="12">
                  <c:v>261</c:v>
                </c:pt>
                <c:pt idx="13">
                  <c:v>283</c:v>
                </c:pt>
                <c:pt idx="14">
                  <c:v>275</c:v>
                </c:pt>
                <c:pt idx="15">
                  <c:v>351</c:v>
                </c:pt>
                <c:pt idx="16">
                  <c:v>369</c:v>
                </c:pt>
                <c:pt idx="17">
                  <c:v>339</c:v>
                </c:pt>
                <c:pt idx="18">
                  <c:v>333</c:v>
                </c:pt>
                <c:pt idx="19">
                  <c:v>323</c:v>
                </c:pt>
                <c:pt idx="20">
                  <c:v>307</c:v>
                </c:pt>
                <c:pt idx="21">
                  <c:v>325</c:v>
                </c:pt>
                <c:pt idx="22">
                  <c:v>353</c:v>
                </c:pt>
                <c:pt idx="23">
                  <c:v>357</c:v>
                </c:pt>
                <c:pt idx="24">
                  <c:v>311</c:v>
                </c:pt>
                <c:pt idx="25">
                  <c:v>351</c:v>
                </c:pt>
                <c:pt idx="26">
                  <c:v>338</c:v>
                </c:pt>
                <c:pt idx="27">
                  <c:v>354</c:v>
                </c:pt>
                <c:pt idx="28">
                  <c:v>327</c:v>
                </c:pt>
                <c:pt idx="29">
                  <c:v>371</c:v>
                </c:pt>
                <c:pt idx="30">
                  <c:v>364</c:v>
                </c:pt>
                <c:pt idx="31">
                  <c:v>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7A-49C4-8345-7AAE6EA026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5718015"/>
        <c:axId val="1645714175"/>
      </c:lineChart>
      <c:catAx>
        <c:axId val="164571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5705535"/>
        <c:crosses val="autoZero"/>
        <c:auto val="1"/>
        <c:lblAlgn val="ctr"/>
        <c:lblOffset val="100"/>
        <c:noMultiLvlLbl val="0"/>
      </c:catAx>
      <c:valAx>
        <c:axId val="164570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Q PERMEADO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5711295"/>
        <c:crosses val="autoZero"/>
        <c:crossBetween val="between"/>
      </c:valAx>
      <c:valAx>
        <c:axId val="1645714175"/>
        <c:scaling>
          <c:orientation val="minMax"/>
          <c:max val="500"/>
          <c:min val="2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TPM</a:t>
                </a:r>
                <a:r>
                  <a:rPr lang="en-US" baseline="0"/>
                  <a:t> (-mbar)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5718015"/>
        <c:crosses val="max"/>
        <c:crossBetween val="between"/>
      </c:valAx>
      <c:catAx>
        <c:axId val="16457180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57141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2</xdr:row>
      <xdr:rowOff>76198</xdr:rowOff>
    </xdr:from>
    <xdr:to>
      <xdr:col>15</xdr:col>
      <xdr:colOff>685800</xdr:colOff>
      <xdr:row>19</xdr:row>
      <xdr:rowOff>77698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0A324F-9391-C206-3BB7-BA82BB451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180974</xdr:colOff>
      <xdr:row>20</xdr:row>
      <xdr:rowOff>100012</xdr:rowOff>
    </xdr:from>
    <xdr:to>
      <xdr:col>15</xdr:col>
      <xdr:colOff>657225</xdr:colOff>
      <xdr:row>37</xdr:row>
      <xdr:rowOff>101512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6EAFDF1-1A9A-CC7A-C440-51428F1DB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619125</xdr:colOff>
      <xdr:row>40</xdr:row>
      <xdr:rowOff>76200</xdr:rowOff>
    </xdr:from>
    <xdr:to>
      <xdr:col>5</xdr:col>
      <xdr:colOff>409575</xdr:colOff>
      <xdr:row>53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AAECBF4A-F071-CFF8-19CF-1A08CD09F1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3775" y="76962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2</xdr:row>
      <xdr:rowOff>76198</xdr:rowOff>
    </xdr:from>
    <xdr:to>
      <xdr:col>15</xdr:col>
      <xdr:colOff>685800</xdr:colOff>
      <xdr:row>19</xdr:row>
      <xdr:rowOff>77698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D66851-2E17-4E3F-8ACD-95441B0B5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180974</xdr:colOff>
      <xdr:row>20</xdr:row>
      <xdr:rowOff>100012</xdr:rowOff>
    </xdr:from>
    <xdr:to>
      <xdr:col>15</xdr:col>
      <xdr:colOff>657225</xdr:colOff>
      <xdr:row>37</xdr:row>
      <xdr:rowOff>101512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E789A6-665F-46F6-B587-C3272F819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619125</xdr:colOff>
      <xdr:row>40</xdr:row>
      <xdr:rowOff>76200</xdr:rowOff>
    </xdr:from>
    <xdr:to>
      <xdr:col>5</xdr:col>
      <xdr:colOff>409575</xdr:colOff>
      <xdr:row>53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ECHA 1">
              <a:extLst>
                <a:ext uri="{FF2B5EF4-FFF2-40B4-BE49-F238E27FC236}">
                  <a16:creationId xmlns:a16="http://schemas.microsoft.com/office/drawing/2014/main" id="{9C9C3FD6-36A2-4A53-8539-0AC941468C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3775" y="76962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ORMATO%20MBR%202026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5853.338435532409" createdVersion="8" refreshedVersion="8" minRefreshableVersion="3" recordCount="80" xr:uid="{98FBB3A7-E755-4372-9CF0-D107709C3B14}">
  <cacheSource type="worksheet">
    <worksheetSource ref="A2:I172" sheet="OPERACIONAL 2026" r:id="rId2"/>
  </cacheSource>
  <cacheFields count="9">
    <cacheField name="FECHA" numFmtId="0">
      <sharedItems containsNonDate="0" containsDate="1" containsString="0" containsBlank="1" minDate="2025-05-01T00:00:00" maxDate="2025-07-21T00:00:00" count="80"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m/>
      </sharedItems>
    </cacheField>
    <cacheField name="CAUDAL MBR 1" numFmtId="0">
      <sharedItems containsString="0" containsBlank="1" containsNumber="1" minValue="0" maxValue="39.6"/>
    </cacheField>
    <cacheField name="CAUDAL MBR 2" numFmtId="0">
      <sharedItems containsString="0" containsBlank="1" containsNumber="1" minValue="35.5" maxValue="52"/>
    </cacheField>
    <cacheField name="NIVEL  MBR 1" numFmtId="0">
      <sharedItems containsNonDate="0" containsString="0" containsBlank="1"/>
    </cacheField>
    <cacheField name="NIVEL    MBR 2" numFmtId="0">
      <sharedItems containsNonDate="0" containsString="0" containsBlank="1"/>
    </cacheField>
    <cacheField name="TMP MBR1 " numFmtId="0">
      <sharedItems containsString="0" containsBlank="1" containsNumber="1" containsInteger="1" minValue="0" maxValue="410"/>
    </cacheField>
    <cacheField name="TMP MBR 2" numFmtId="0">
      <sharedItems containsString="0" containsBlank="1" containsNumber="1" containsInteger="1" minValue="0" maxValue="379"/>
    </cacheField>
    <cacheField name="PURGA" numFmtId="0">
      <sharedItems containsBlank="1"/>
    </cacheField>
    <cacheField name="RECIRCULACIÓN" numFmtId="0">
      <sharedItems containsBlank="1"/>
    </cacheField>
  </cacheFields>
  <extLst>
    <ext xmlns:x14="http://schemas.microsoft.com/office/spreadsheetml/2009/9/main" uri="{725AE2AE-9491-48be-B2B4-4EB974FC3084}">
      <x14:pivotCacheDefinition pivotCacheId="170889757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050.364432060182" createdVersion="8" refreshedVersion="8" minRefreshableVersion="3" recordCount="170" xr:uid="{71A1D859-33B7-4734-9CCB-E189B9D22FF3}">
  <cacheSource type="worksheet">
    <worksheetSource ref="A2:I172" sheet="OPERACIONAL 2025"/>
  </cacheSource>
  <cacheFields count="9">
    <cacheField name="FECHA" numFmtId="14">
      <sharedItems containsSemiMixedTypes="0" containsNonDate="0" containsDate="1" containsString="0" minDate="2025-05-01T00:00:00" maxDate="2025-10-20T00:00:00" count="170"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</sharedItems>
    </cacheField>
    <cacheField name="CAUDAL MBR 1" numFmtId="0">
      <sharedItems containsString="0" containsBlank="1" containsNumber="1" minValue="0" maxValue="39.6"/>
    </cacheField>
    <cacheField name="CAUDAL MBR 2" numFmtId="164">
      <sharedItems containsString="0" containsBlank="1" containsNumber="1" minValue="35.5" maxValue="52"/>
    </cacheField>
    <cacheField name="NIVEL  MBR 1" numFmtId="0">
      <sharedItems containsBlank="1"/>
    </cacheField>
    <cacheField name="NIVEL    MBR 2" numFmtId="164">
      <sharedItems containsBlank="1"/>
    </cacheField>
    <cacheField name="TMP MBR1 " numFmtId="0">
      <sharedItems containsString="0" containsBlank="1" containsNumber="1" containsInteger="1" minValue="0" maxValue="410"/>
    </cacheField>
    <cacheField name="TMP MBR 2" numFmtId="0">
      <sharedItems containsString="0" containsBlank="1" containsNumber="1" containsInteger="1" minValue="0" maxValue="408"/>
    </cacheField>
    <cacheField name="PURGA" numFmtId="164">
      <sharedItems containsBlank="1"/>
    </cacheField>
    <cacheField name="RECIRCULACIÓN" numFmtId="164">
      <sharedItems containsBlank="1"/>
    </cacheField>
  </cacheFields>
  <extLst>
    <ext xmlns:x14="http://schemas.microsoft.com/office/spreadsheetml/2009/9/main" uri="{725AE2AE-9491-48be-B2B4-4EB974FC3084}">
      <x14:pivotCacheDefinition pivotCacheId="12291888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n v="35.200000000000003"/>
    <n v="39.200000000000003"/>
    <m/>
    <m/>
    <n v="280"/>
    <n v="262"/>
    <s v="NO"/>
    <s v="NO"/>
  </r>
  <r>
    <x v="1"/>
    <n v="34.1"/>
    <n v="46"/>
    <m/>
    <m/>
    <n v="266"/>
    <n v="272"/>
    <s v="NO"/>
    <s v="NO"/>
  </r>
  <r>
    <x v="2"/>
    <n v="34.299999999999997"/>
    <n v="41.1"/>
    <m/>
    <m/>
    <n v="283"/>
    <n v="308"/>
    <s v="NO"/>
    <s v="NO"/>
  </r>
  <r>
    <x v="3"/>
    <m/>
    <m/>
    <m/>
    <m/>
    <m/>
    <m/>
    <m/>
    <m/>
  </r>
  <r>
    <x v="4"/>
    <n v="34"/>
    <n v="42.3"/>
    <m/>
    <m/>
    <n v="248"/>
    <n v="243"/>
    <s v="NO"/>
    <s v="NO"/>
  </r>
  <r>
    <x v="5"/>
    <m/>
    <m/>
    <m/>
    <m/>
    <n v="0"/>
    <n v="0"/>
    <s v="NO"/>
    <s v="NO"/>
  </r>
  <r>
    <x v="6"/>
    <n v="34.4"/>
    <n v="52"/>
    <m/>
    <m/>
    <n v="246"/>
    <n v="302"/>
    <s v="NO"/>
    <s v="NO"/>
  </r>
  <r>
    <x v="7"/>
    <m/>
    <m/>
    <m/>
    <m/>
    <n v="0"/>
    <n v="0"/>
    <s v="NO"/>
    <s v="NO"/>
  </r>
  <r>
    <x v="8"/>
    <m/>
    <m/>
    <m/>
    <m/>
    <n v="261"/>
    <n v="285"/>
    <s v="NO"/>
    <s v="NO"/>
  </r>
  <r>
    <x v="9"/>
    <n v="34.5"/>
    <n v="50.4"/>
    <m/>
    <m/>
    <n v="276"/>
    <n v="322"/>
    <s v="NO"/>
    <s v=" "/>
  </r>
  <r>
    <x v="10"/>
    <m/>
    <m/>
    <m/>
    <m/>
    <m/>
    <m/>
    <m/>
    <m/>
  </r>
  <r>
    <x v="11"/>
    <m/>
    <m/>
    <m/>
    <m/>
    <m/>
    <m/>
    <m/>
    <m/>
  </r>
  <r>
    <x v="12"/>
    <m/>
    <m/>
    <m/>
    <m/>
    <n v="283"/>
    <n v="305"/>
    <s v="NO"/>
    <s v="NO"/>
  </r>
  <r>
    <x v="13"/>
    <m/>
    <m/>
    <m/>
    <m/>
    <n v="0"/>
    <n v="0"/>
    <s v="NO"/>
    <s v="NO"/>
  </r>
  <r>
    <x v="14"/>
    <n v="35.5"/>
    <n v="45.7"/>
    <m/>
    <m/>
    <n v="260"/>
    <n v="293"/>
    <s v="NO"/>
    <m/>
  </r>
  <r>
    <x v="15"/>
    <n v="39.6"/>
    <n v="45.5"/>
    <m/>
    <m/>
    <n v="276"/>
    <n v="279"/>
    <m/>
    <m/>
  </r>
  <r>
    <x v="16"/>
    <m/>
    <m/>
    <m/>
    <m/>
    <m/>
    <m/>
    <m/>
    <m/>
  </r>
  <r>
    <x v="17"/>
    <m/>
    <m/>
    <m/>
    <m/>
    <m/>
    <m/>
    <m/>
    <m/>
  </r>
  <r>
    <x v="18"/>
    <m/>
    <m/>
    <m/>
    <m/>
    <m/>
    <m/>
    <m/>
    <s v="SI"/>
  </r>
  <r>
    <x v="19"/>
    <n v="36.200000000000003"/>
    <n v="40.700000000000003"/>
    <m/>
    <m/>
    <n v="250"/>
    <n v="260"/>
    <s v="NO"/>
    <s v="NO"/>
  </r>
  <r>
    <x v="20"/>
    <n v="33.6"/>
    <n v="43.6"/>
    <m/>
    <m/>
    <n v="269"/>
    <n v="335"/>
    <s v="NO"/>
    <s v="NO"/>
  </r>
  <r>
    <x v="21"/>
    <n v="36.299999999999997"/>
    <n v="37.200000000000003"/>
    <m/>
    <m/>
    <n v="242"/>
    <n v="291"/>
    <s v="NO"/>
    <s v="NO"/>
  </r>
  <r>
    <x v="22"/>
    <n v="36.299999999999997"/>
    <n v="41.8"/>
    <m/>
    <m/>
    <n v="307"/>
    <n v="302"/>
    <s v="SI"/>
    <s v="SI"/>
  </r>
  <r>
    <x v="23"/>
    <n v="30.8"/>
    <n v="43.7"/>
    <m/>
    <m/>
    <n v="394"/>
    <n v="323"/>
    <s v="SI"/>
    <s v="SI"/>
  </r>
  <r>
    <x v="24"/>
    <n v="36.200000000000003"/>
    <n v="42.7"/>
    <m/>
    <m/>
    <n v="332"/>
    <n v="335"/>
    <s v="SI"/>
    <s v="SI"/>
  </r>
  <r>
    <x v="25"/>
    <n v="36.5"/>
    <n v="42.9"/>
    <m/>
    <m/>
    <n v="301"/>
    <n v="309"/>
    <s v="NO"/>
    <s v="NO"/>
  </r>
  <r>
    <x v="26"/>
    <n v="30.9"/>
    <n v="42.8"/>
    <m/>
    <m/>
    <n v="286"/>
    <n v="321"/>
    <s v="NO"/>
    <s v="NO"/>
  </r>
  <r>
    <x v="27"/>
    <n v="30.7"/>
    <n v="36.4"/>
    <m/>
    <m/>
    <n v="302"/>
    <n v="323"/>
    <s v="NO"/>
    <s v="NO"/>
  </r>
  <r>
    <x v="28"/>
    <n v="30.5"/>
    <n v="41"/>
    <m/>
    <m/>
    <n v="286"/>
    <n v="265"/>
    <s v="NO"/>
    <s v="NO"/>
  </r>
  <r>
    <x v="29"/>
    <n v="30.7"/>
    <n v="41"/>
    <m/>
    <m/>
    <n v="287"/>
    <n v="277"/>
    <s v="NO"/>
    <s v="NO"/>
  </r>
  <r>
    <x v="30"/>
    <n v="31.2"/>
    <n v="42.1"/>
    <m/>
    <m/>
    <n v="280"/>
    <n v="271"/>
    <m/>
    <m/>
  </r>
  <r>
    <x v="31"/>
    <m/>
    <m/>
    <m/>
    <m/>
    <n v="0"/>
    <n v="0"/>
    <m/>
    <m/>
  </r>
  <r>
    <x v="32"/>
    <m/>
    <m/>
    <m/>
    <m/>
    <n v="0"/>
    <n v="0"/>
    <m/>
    <m/>
  </r>
  <r>
    <x v="33"/>
    <n v="31.3"/>
    <n v="43.4"/>
    <m/>
    <m/>
    <n v="275"/>
    <n v="273"/>
    <s v="SI"/>
    <s v="SI"/>
  </r>
  <r>
    <x v="34"/>
    <n v="31.4"/>
    <n v="43.5"/>
    <m/>
    <m/>
    <n v="282"/>
    <n v="291"/>
    <m/>
    <m/>
  </r>
  <r>
    <x v="35"/>
    <n v="31.4"/>
    <n v="42.7"/>
    <m/>
    <m/>
    <n v="298"/>
    <n v="276"/>
    <m/>
    <m/>
  </r>
  <r>
    <x v="36"/>
    <n v="31.2"/>
    <n v="42.9"/>
    <m/>
    <m/>
    <n v="305"/>
    <n v="283"/>
    <s v="SI"/>
    <s v="SI"/>
  </r>
  <r>
    <x v="37"/>
    <n v="30.4"/>
    <n v="42.5"/>
    <m/>
    <m/>
    <n v="253"/>
    <n v="279"/>
    <m/>
    <m/>
  </r>
  <r>
    <x v="38"/>
    <m/>
    <m/>
    <m/>
    <m/>
    <n v="0"/>
    <n v="0"/>
    <m/>
    <m/>
  </r>
  <r>
    <x v="39"/>
    <n v="31.3"/>
    <n v="42.7"/>
    <m/>
    <m/>
    <n v="300"/>
    <n v="292"/>
    <s v="NO"/>
    <s v="NO"/>
  </r>
  <r>
    <x v="40"/>
    <n v="31.1"/>
    <n v="45"/>
    <m/>
    <m/>
    <n v="278"/>
    <n v="267"/>
    <s v="SI"/>
    <s v="SI"/>
  </r>
  <r>
    <x v="41"/>
    <n v="31.2"/>
    <n v="45.3"/>
    <m/>
    <m/>
    <n v="284"/>
    <n v="292"/>
    <s v="SI"/>
    <s v="SI"/>
  </r>
  <r>
    <x v="42"/>
    <n v="31.2"/>
    <n v="45.5"/>
    <m/>
    <m/>
    <n v="285"/>
    <n v="306"/>
    <m/>
    <m/>
  </r>
  <r>
    <x v="43"/>
    <n v="33.799999999999997"/>
    <n v="43.7"/>
    <m/>
    <m/>
    <n v="344"/>
    <n v="333"/>
    <m/>
    <m/>
  </r>
  <r>
    <x v="44"/>
    <n v="33.299999999999997"/>
    <n v="36.4"/>
    <m/>
    <m/>
    <n v="365"/>
    <n v="303"/>
    <m/>
    <m/>
  </r>
  <r>
    <x v="45"/>
    <m/>
    <m/>
    <m/>
    <m/>
    <n v="0"/>
    <n v="0"/>
    <m/>
    <m/>
  </r>
  <r>
    <x v="46"/>
    <n v="32.4"/>
    <n v="41.3"/>
    <m/>
    <m/>
    <n v="361"/>
    <n v="287"/>
    <m/>
    <m/>
  </r>
  <r>
    <x v="47"/>
    <n v="31.3"/>
    <n v="41.9"/>
    <m/>
    <m/>
    <n v="327"/>
    <n v="327"/>
    <m/>
    <m/>
  </r>
  <r>
    <x v="48"/>
    <n v="30.5"/>
    <n v="41.3"/>
    <m/>
    <m/>
    <n v="351"/>
    <n v="261"/>
    <m/>
    <m/>
  </r>
  <r>
    <x v="49"/>
    <n v="30.4"/>
    <n v="41.7"/>
    <m/>
    <m/>
    <n v="343"/>
    <n v="283"/>
    <m/>
    <m/>
  </r>
  <r>
    <x v="50"/>
    <n v="30.7"/>
    <n v="41.4"/>
    <m/>
    <m/>
    <n v="378"/>
    <n v="275"/>
    <m/>
    <m/>
  </r>
  <r>
    <x v="51"/>
    <n v="31.1"/>
    <n v="43.4"/>
    <m/>
    <m/>
    <n v="384"/>
    <n v="351"/>
    <m/>
    <m/>
  </r>
  <r>
    <x v="52"/>
    <m/>
    <m/>
    <m/>
    <m/>
    <n v="0"/>
    <n v="0"/>
    <m/>
    <m/>
  </r>
  <r>
    <x v="53"/>
    <m/>
    <m/>
    <m/>
    <m/>
    <n v="0"/>
    <n v="0"/>
    <m/>
    <m/>
  </r>
  <r>
    <x v="54"/>
    <n v="30.2"/>
    <n v="45.2"/>
    <m/>
    <m/>
    <n v="410"/>
    <n v="369"/>
    <m/>
    <m/>
  </r>
  <r>
    <x v="55"/>
    <n v="32.4"/>
    <n v="44.4"/>
    <m/>
    <m/>
    <n v="380"/>
    <n v="339"/>
    <s v="SI"/>
    <s v="SI"/>
  </r>
  <r>
    <x v="56"/>
    <n v="32.299999999999997"/>
    <n v="43.4"/>
    <m/>
    <m/>
    <n v="386"/>
    <n v="333"/>
    <s v="SI"/>
    <s v="SI"/>
  </r>
  <r>
    <x v="57"/>
    <n v="25.4"/>
    <n v="44.8"/>
    <m/>
    <m/>
    <n v="335"/>
    <n v="323"/>
    <s v="NO"/>
    <s v="SI "/>
  </r>
  <r>
    <x v="58"/>
    <n v="32.6"/>
    <n v="47.3"/>
    <m/>
    <m/>
    <n v="346"/>
    <n v="307"/>
    <m/>
    <m/>
  </r>
  <r>
    <x v="59"/>
    <m/>
    <m/>
    <m/>
    <m/>
    <n v="0"/>
    <n v="0"/>
    <m/>
    <m/>
  </r>
  <r>
    <x v="60"/>
    <m/>
    <m/>
    <m/>
    <m/>
    <n v="0"/>
    <n v="0"/>
    <m/>
    <m/>
  </r>
  <r>
    <x v="61"/>
    <n v="25.8"/>
    <n v="44.7"/>
    <m/>
    <m/>
    <n v="338"/>
    <n v="325"/>
    <m/>
    <m/>
  </r>
  <r>
    <x v="62"/>
    <n v="25.4"/>
    <n v="43.2"/>
    <m/>
    <m/>
    <n v="329"/>
    <n v="353"/>
    <s v="SI"/>
    <m/>
  </r>
  <r>
    <x v="63"/>
    <n v="26.3"/>
    <n v="42.2"/>
    <m/>
    <m/>
    <n v="350"/>
    <n v="357"/>
    <s v="SI"/>
    <m/>
  </r>
  <r>
    <x v="64"/>
    <n v="25.3"/>
    <n v="44.2"/>
    <m/>
    <m/>
    <n v="340"/>
    <n v="311"/>
    <m/>
    <m/>
  </r>
  <r>
    <x v="65"/>
    <n v="22"/>
    <n v="47.1"/>
    <m/>
    <m/>
    <n v="299"/>
    <n v="351"/>
    <m/>
    <m/>
  </r>
  <r>
    <x v="66"/>
    <m/>
    <m/>
    <m/>
    <m/>
    <n v="0"/>
    <n v="0"/>
    <m/>
    <m/>
  </r>
  <r>
    <x v="67"/>
    <n v="28.3"/>
    <n v="46.8"/>
    <m/>
    <m/>
    <n v="382"/>
    <n v="338"/>
    <m/>
    <m/>
  </r>
  <r>
    <x v="68"/>
    <n v="22.4"/>
    <n v="40.200000000000003"/>
    <m/>
    <m/>
    <n v="410"/>
    <n v="354"/>
    <m/>
    <m/>
  </r>
  <r>
    <x v="69"/>
    <n v="0"/>
    <n v="40.700000000000003"/>
    <m/>
    <m/>
    <n v="0"/>
    <n v="327"/>
    <m/>
    <m/>
  </r>
  <r>
    <x v="70"/>
    <n v="0"/>
    <n v="41.3"/>
    <m/>
    <m/>
    <n v="0"/>
    <n v="371"/>
    <m/>
    <m/>
  </r>
  <r>
    <x v="71"/>
    <n v="0"/>
    <n v="39.799999999999997"/>
    <m/>
    <m/>
    <n v="0"/>
    <n v="364"/>
    <m/>
    <m/>
  </r>
  <r>
    <x v="72"/>
    <n v="35.9"/>
    <n v="35.5"/>
    <m/>
    <m/>
    <n v="259"/>
    <n v="379"/>
    <m/>
    <m/>
  </r>
  <r>
    <x v="73"/>
    <m/>
    <m/>
    <m/>
    <m/>
    <m/>
    <m/>
    <m/>
    <m/>
  </r>
  <r>
    <x v="74"/>
    <m/>
    <m/>
    <m/>
    <m/>
    <m/>
    <m/>
    <m/>
    <m/>
  </r>
  <r>
    <x v="75"/>
    <m/>
    <m/>
    <m/>
    <m/>
    <m/>
    <m/>
    <m/>
    <m/>
  </r>
  <r>
    <x v="76"/>
    <m/>
    <m/>
    <m/>
    <m/>
    <m/>
    <m/>
    <m/>
    <m/>
  </r>
  <r>
    <x v="77"/>
    <m/>
    <m/>
    <m/>
    <m/>
    <m/>
    <m/>
    <m/>
    <m/>
  </r>
  <r>
    <x v="78"/>
    <m/>
    <m/>
    <m/>
    <m/>
    <m/>
    <m/>
    <m/>
    <m/>
  </r>
  <r>
    <x v="79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x v="0"/>
    <n v="35.200000000000003"/>
    <n v="39.200000000000003"/>
    <s v="MEDIO"/>
    <s v="MEDIO"/>
    <n v="280"/>
    <n v="262"/>
    <s v="NO"/>
    <s v="NO"/>
  </r>
  <r>
    <x v="1"/>
    <n v="34.1"/>
    <n v="46"/>
    <s v="MEDIO"/>
    <s v="MEDIO"/>
    <n v="266"/>
    <n v="272"/>
    <s v="NO"/>
    <s v="NO"/>
  </r>
  <r>
    <x v="2"/>
    <n v="34.299999999999997"/>
    <n v="41.1"/>
    <s v="MEDIO"/>
    <s v="MEDIO"/>
    <n v="283"/>
    <n v="308"/>
    <s v="NO"/>
    <s v="NO"/>
  </r>
  <r>
    <x v="3"/>
    <m/>
    <m/>
    <m/>
    <m/>
    <m/>
    <m/>
    <m/>
    <m/>
  </r>
  <r>
    <x v="4"/>
    <n v="34"/>
    <n v="42.3"/>
    <s v="MEDIO"/>
    <s v="MEDIO"/>
    <n v="248"/>
    <n v="243"/>
    <s v="NO"/>
    <s v="NO"/>
  </r>
  <r>
    <x v="5"/>
    <n v="34.5"/>
    <n v="46.5"/>
    <s v="ALTO"/>
    <s v="ALTO"/>
    <n v="198"/>
    <n v="212"/>
    <s v="NO"/>
    <s v="NO"/>
  </r>
  <r>
    <x v="6"/>
    <n v="34.4"/>
    <n v="52"/>
    <s v="MEDIO"/>
    <s v="MEDIO"/>
    <n v="246"/>
    <n v="302"/>
    <s v="NO"/>
    <s v="NO"/>
  </r>
  <r>
    <x v="7"/>
    <m/>
    <m/>
    <m/>
    <m/>
    <n v="0"/>
    <n v="0"/>
    <s v="NO"/>
    <s v="NO"/>
  </r>
  <r>
    <x v="8"/>
    <n v="34.4"/>
    <n v="51.2"/>
    <s v="MEDIO"/>
    <s v="MEDIO"/>
    <n v="261"/>
    <n v="285"/>
    <s v="NO"/>
    <s v="NO"/>
  </r>
  <r>
    <x v="9"/>
    <n v="34.5"/>
    <n v="50.4"/>
    <s v="MEDIO"/>
    <s v="BAJO"/>
    <n v="276"/>
    <n v="322"/>
    <s v="NO"/>
    <s v=" "/>
  </r>
  <r>
    <x v="10"/>
    <m/>
    <m/>
    <m/>
    <m/>
    <m/>
    <m/>
    <m/>
    <m/>
  </r>
  <r>
    <x v="11"/>
    <m/>
    <m/>
    <m/>
    <m/>
    <m/>
    <m/>
    <m/>
    <m/>
  </r>
  <r>
    <x v="12"/>
    <n v="34.799999999999997"/>
    <n v="48.4"/>
    <s v="MEDIO"/>
    <s v="MEDIO"/>
    <n v="283"/>
    <n v="305"/>
    <s v="NO"/>
    <s v="NO"/>
  </r>
  <r>
    <x v="13"/>
    <m/>
    <m/>
    <m/>
    <m/>
    <n v="0"/>
    <n v="0"/>
    <s v="NO"/>
    <s v="NO"/>
  </r>
  <r>
    <x v="14"/>
    <n v="35.5"/>
    <n v="45.7"/>
    <s v="MEDIO"/>
    <s v="MEDIO"/>
    <n v="260"/>
    <n v="293"/>
    <s v="NO"/>
    <m/>
  </r>
  <r>
    <x v="15"/>
    <n v="39.6"/>
    <n v="45.5"/>
    <s v="MEDIO"/>
    <s v="MEDIO"/>
    <n v="276"/>
    <n v="279"/>
    <s v="SI"/>
    <s v="SI"/>
  </r>
  <r>
    <x v="16"/>
    <m/>
    <m/>
    <m/>
    <m/>
    <m/>
    <m/>
    <m/>
    <m/>
  </r>
  <r>
    <x v="17"/>
    <m/>
    <m/>
    <m/>
    <m/>
    <m/>
    <m/>
    <m/>
    <m/>
  </r>
  <r>
    <x v="18"/>
    <m/>
    <m/>
    <m/>
    <m/>
    <m/>
    <m/>
    <m/>
    <s v="SI"/>
  </r>
  <r>
    <x v="19"/>
    <n v="36.200000000000003"/>
    <n v="40.700000000000003"/>
    <s v="MEDIO"/>
    <s v="MEDIO"/>
    <n v="250"/>
    <n v="260"/>
    <s v="NO"/>
    <s v="NO"/>
  </r>
  <r>
    <x v="20"/>
    <n v="33.6"/>
    <n v="43.6"/>
    <s v="MEDIO"/>
    <s v="BAJO"/>
    <n v="269"/>
    <n v="335"/>
    <s v="NO"/>
    <s v="NO"/>
  </r>
  <r>
    <x v="21"/>
    <n v="36.299999999999997"/>
    <n v="37.200000000000003"/>
    <s v="MEDIO"/>
    <s v="MEDIO"/>
    <n v="242"/>
    <n v="291"/>
    <s v="NO"/>
    <s v="NO"/>
  </r>
  <r>
    <x v="22"/>
    <n v="36.299999999999997"/>
    <n v="41.8"/>
    <s v="BAJO"/>
    <s v="MEDIO"/>
    <n v="307"/>
    <n v="302"/>
    <s v="SI"/>
    <s v="SI"/>
  </r>
  <r>
    <x v="23"/>
    <n v="30.8"/>
    <n v="43.7"/>
    <s v="BAJO"/>
    <s v="MEDIO"/>
    <n v="394"/>
    <n v="323"/>
    <s v="SI"/>
    <s v="SI"/>
  </r>
  <r>
    <x v="24"/>
    <n v="36.200000000000003"/>
    <n v="42.7"/>
    <s v="BAJO"/>
    <s v="BAJO"/>
    <n v="332"/>
    <n v="335"/>
    <s v="SI"/>
    <s v="SI"/>
  </r>
  <r>
    <x v="25"/>
    <n v="36.5"/>
    <n v="42.9"/>
    <s v="MEDIO"/>
    <s v="MEDIO"/>
    <n v="301"/>
    <n v="309"/>
    <s v="NO"/>
    <s v="NO"/>
  </r>
  <r>
    <x v="26"/>
    <n v="30.9"/>
    <n v="42.8"/>
    <s v="BAJO"/>
    <s v="MEDIO"/>
    <n v="286"/>
    <n v="321"/>
    <s v="NO"/>
    <s v="NO"/>
  </r>
  <r>
    <x v="27"/>
    <n v="30.7"/>
    <n v="36.4"/>
    <s v="MEDIO"/>
    <s v="MEDIO"/>
    <n v="302"/>
    <n v="323"/>
    <s v="NO"/>
    <s v="NO"/>
  </r>
  <r>
    <x v="28"/>
    <n v="30.5"/>
    <n v="41"/>
    <s v="MEDIO"/>
    <s v="MEDIO"/>
    <n v="286"/>
    <n v="265"/>
    <s v="NO"/>
    <s v="NO"/>
  </r>
  <r>
    <x v="29"/>
    <n v="30.7"/>
    <n v="41"/>
    <s v="MEDIO"/>
    <s v="MEDIO"/>
    <n v="287"/>
    <n v="277"/>
    <s v="NO"/>
    <s v="NO"/>
  </r>
  <r>
    <x v="30"/>
    <n v="31.2"/>
    <n v="42.1"/>
    <s v="MEDIO"/>
    <s v="MEDIO"/>
    <n v="280"/>
    <n v="271"/>
    <s v="NO"/>
    <s v="NO"/>
  </r>
  <r>
    <x v="31"/>
    <m/>
    <m/>
    <m/>
    <m/>
    <m/>
    <m/>
    <m/>
    <m/>
  </r>
  <r>
    <x v="32"/>
    <m/>
    <m/>
    <m/>
    <m/>
    <m/>
    <m/>
    <m/>
    <m/>
  </r>
  <r>
    <x v="33"/>
    <n v="31.3"/>
    <n v="43.4"/>
    <s v="MEDIO"/>
    <s v="MEDIO"/>
    <n v="275"/>
    <n v="273"/>
    <s v="SI"/>
    <s v="SI"/>
  </r>
  <r>
    <x v="34"/>
    <n v="31.4"/>
    <n v="43.5"/>
    <s v="MEDIO"/>
    <s v="MEDIO"/>
    <n v="282"/>
    <n v="291"/>
    <s v="NO"/>
    <s v="NO"/>
  </r>
  <r>
    <x v="35"/>
    <n v="31.4"/>
    <n v="42.7"/>
    <s v="MEDIO"/>
    <s v="MEDIO"/>
    <n v="298"/>
    <n v="276"/>
    <s v="NO"/>
    <s v="NO"/>
  </r>
  <r>
    <x v="36"/>
    <n v="31.2"/>
    <n v="42.9"/>
    <s v="MEDIO"/>
    <s v="MEDIO"/>
    <n v="305"/>
    <n v="283"/>
    <s v="SI"/>
    <s v="SI"/>
  </r>
  <r>
    <x v="37"/>
    <n v="30.4"/>
    <n v="42.5"/>
    <s v="MEDIO"/>
    <s v="MEDIO"/>
    <n v="253"/>
    <n v="279"/>
    <s v="NO"/>
    <s v="NO"/>
  </r>
  <r>
    <x v="38"/>
    <m/>
    <m/>
    <m/>
    <m/>
    <m/>
    <m/>
    <m/>
    <m/>
  </r>
  <r>
    <x v="39"/>
    <n v="31.3"/>
    <n v="42.7"/>
    <s v="MEDIO"/>
    <s v="MEDIO"/>
    <n v="300"/>
    <n v="292"/>
    <s v="NO"/>
    <s v="NO"/>
  </r>
  <r>
    <x v="40"/>
    <n v="31.1"/>
    <n v="45"/>
    <s v="MEDIO"/>
    <s v="MEDIO"/>
    <n v="278"/>
    <n v="267"/>
    <s v="SI"/>
    <s v="SI"/>
  </r>
  <r>
    <x v="41"/>
    <n v="31.2"/>
    <n v="45.3"/>
    <s v="MEDIO"/>
    <s v="MEDIO"/>
    <n v="284"/>
    <n v="292"/>
    <s v="SI"/>
    <s v="SI"/>
  </r>
  <r>
    <x v="42"/>
    <n v="31.2"/>
    <n v="45.5"/>
    <s v="MEDIO"/>
    <s v="MEDIO"/>
    <n v="285"/>
    <n v="306"/>
    <s v="NO"/>
    <s v="NO"/>
  </r>
  <r>
    <x v="43"/>
    <n v="33.799999999999997"/>
    <n v="43.7"/>
    <s v="BAJO"/>
    <s v="MEDIO"/>
    <n v="344"/>
    <n v="333"/>
    <s v="NO"/>
    <s v="NO"/>
  </r>
  <r>
    <x v="44"/>
    <n v="33.299999999999997"/>
    <n v="36.4"/>
    <s v="BAJO"/>
    <s v="MEDIO"/>
    <n v="365"/>
    <n v="303"/>
    <s v="NO"/>
    <s v="NO"/>
  </r>
  <r>
    <x v="45"/>
    <m/>
    <m/>
    <m/>
    <m/>
    <m/>
    <m/>
    <m/>
    <m/>
  </r>
  <r>
    <x v="46"/>
    <n v="32.4"/>
    <n v="41.3"/>
    <s v="BAJO"/>
    <s v="MEDIO"/>
    <n v="361"/>
    <n v="287"/>
    <s v="NO"/>
    <s v="NO"/>
  </r>
  <r>
    <x v="47"/>
    <n v="31.3"/>
    <n v="41.9"/>
    <s v="MEDIO"/>
    <s v="MEDIO"/>
    <n v="327"/>
    <n v="327"/>
    <s v="NO"/>
    <s v="NO"/>
  </r>
  <r>
    <x v="48"/>
    <n v="30.5"/>
    <n v="41.3"/>
    <s v="BAJO"/>
    <s v="MEDIO"/>
    <n v="351"/>
    <n v="261"/>
    <s v="NO"/>
    <s v="NO"/>
  </r>
  <r>
    <x v="49"/>
    <n v="30.4"/>
    <n v="41.7"/>
    <s v="BAJO"/>
    <s v="MEDIO"/>
    <n v="343"/>
    <n v="283"/>
    <s v="NO"/>
    <s v="NO"/>
  </r>
  <r>
    <x v="50"/>
    <n v="30.7"/>
    <n v="41.4"/>
    <s v="BAJO"/>
    <s v="MEDIO"/>
    <n v="378"/>
    <n v="275"/>
    <s v="NO"/>
    <s v="NO"/>
  </r>
  <r>
    <x v="51"/>
    <n v="31.1"/>
    <n v="43.4"/>
    <s v="BAJO"/>
    <s v="BAJO"/>
    <n v="384"/>
    <n v="351"/>
    <s v="NO"/>
    <s v="NO"/>
  </r>
  <r>
    <x v="52"/>
    <m/>
    <m/>
    <m/>
    <m/>
    <m/>
    <m/>
    <m/>
    <m/>
  </r>
  <r>
    <x v="53"/>
    <m/>
    <m/>
    <m/>
    <m/>
    <m/>
    <m/>
    <m/>
    <m/>
  </r>
  <r>
    <x v="54"/>
    <n v="30.2"/>
    <n v="45.2"/>
    <s v="BAJO"/>
    <s v="BAJO"/>
    <n v="410"/>
    <n v="369"/>
    <s v="NO"/>
    <s v="NO"/>
  </r>
  <r>
    <x v="55"/>
    <n v="32.4"/>
    <n v="44.4"/>
    <s v="BAJO"/>
    <s v="BAJO"/>
    <n v="380"/>
    <n v="339"/>
    <s v="SI"/>
    <s v="SI"/>
  </r>
  <r>
    <x v="56"/>
    <n v="32.299999999999997"/>
    <n v="43.4"/>
    <s v="BAJO"/>
    <s v="BAJO"/>
    <n v="386"/>
    <n v="333"/>
    <s v="SI"/>
    <s v="SI"/>
  </r>
  <r>
    <x v="57"/>
    <n v="25.4"/>
    <n v="44.8"/>
    <s v="BAJO"/>
    <s v="MEDIO"/>
    <n v="335"/>
    <n v="323"/>
    <s v="NO"/>
    <s v="SI "/>
  </r>
  <r>
    <x v="58"/>
    <n v="32.6"/>
    <n v="47.3"/>
    <s v="BAJO"/>
    <s v="MEDIO"/>
    <n v="346"/>
    <n v="307"/>
    <s v="NO"/>
    <s v="NO"/>
  </r>
  <r>
    <x v="59"/>
    <m/>
    <m/>
    <m/>
    <m/>
    <m/>
    <m/>
    <m/>
    <m/>
  </r>
  <r>
    <x v="60"/>
    <m/>
    <m/>
    <m/>
    <m/>
    <m/>
    <m/>
    <m/>
    <m/>
  </r>
  <r>
    <x v="61"/>
    <n v="25.8"/>
    <n v="44.7"/>
    <s v="BAJO"/>
    <s v="MEDIO"/>
    <n v="338"/>
    <n v="325"/>
    <s v="NO"/>
    <s v="NO"/>
  </r>
  <r>
    <x v="62"/>
    <n v="25.4"/>
    <n v="43.2"/>
    <s v="BAJO"/>
    <s v="BAJO"/>
    <n v="329"/>
    <n v="353"/>
    <s v="SI"/>
    <s v="SI"/>
  </r>
  <r>
    <x v="63"/>
    <n v="26.3"/>
    <n v="42.2"/>
    <s v="BAJO"/>
    <s v="BAJO"/>
    <n v="350"/>
    <n v="357"/>
    <s v="SI"/>
    <s v="SI"/>
  </r>
  <r>
    <x v="64"/>
    <n v="25.3"/>
    <n v="44.2"/>
    <s v="BAJO"/>
    <s v="MEDIO"/>
    <n v="340"/>
    <n v="311"/>
    <s v="NO"/>
    <s v="NO"/>
  </r>
  <r>
    <x v="65"/>
    <n v="22"/>
    <n v="47.1"/>
    <s v="MEDIO"/>
    <s v="BAJO"/>
    <n v="299"/>
    <n v="351"/>
    <s v="NO"/>
    <s v="NO"/>
  </r>
  <r>
    <x v="66"/>
    <m/>
    <m/>
    <m/>
    <m/>
    <m/>
    <m/>
    <m/>
    <m/>
  </r>
  <r>
    <x v="67"/>
    <n v="28.3"/>
    <n v="46.8"/>
    <s v="BAJO"/>
    <s v="MEDIO"/>
    <n v="382"/>
    <n v="338"/>
    <s v="NO"/>
    <s v="NO"/>
  </r>
  <r>
    <x v="68"/>
    <n v="22.4"/>
    <n v="40.200000000000003"/>
    <s v="BAJO"/>
    <s v="BAJO"/>
    <n v="410"/>
    <n v="354"/>
    <s v="SI"/>
    <s v="NO"/>
  </r>
  <r>
    <x v="69"/>
    <n v="0"/>
    <n v="40.700000000000003"/>
    <s v="ALTO"/>
    <s v="BAJO"/>
    <n v="265"/>
    <n v="327"/>
    <s v="SI"/>
    <s v="SI"/>
  </r>
  <r>
    <x v="70"/>
    <n v="0"/>
    <n v="41.3"/>
    <s v="ALTO"/>
    <s v="BAJO"/>
    <n v="245"/>
    <n v="371"/>
    <s v="NO"/>
    <s v="NO"/>
  </r>
  <r>
    <x v="71"/>
    <n v="0"/>
    <n v="39.799999999999997"/>
    <s v="ALTO"/>
    <s v="BAJO"/>
    <n v="221"/>
    <n v="364"/>
    <s v="NO"/>
    <s v="NO"/>
  </r>
  <r>
    <x v="72"/>
    <n v="35.9"/>
    <n v="35.5"/>
    <s v="MEDIO"/>
    <s v="BAJO"/>
    <n v="259"/>
    <n v="379"/>
    <s v="NO"/>
    <s v="NO"/>
  </r>
  <r>
    <x v="73"/>
    <n v="28.2"/>
    <n v="38.4"/>
    <s v="BAJO"/>
    <s v="ALTO"/>
    <n v="328"/>
    <n v="215"/>
    <s v="NO"/>
    <s v="NO"/>
  </r>
  <r>
    <x v="74"/>
    <n v="23.9"/>
    <n v="40.1"/>
    <s v="MEDIO"/>
    <s v="BAJO"/>
    <n v="228"/>
    <n v="345"/>
    <s v="NO"/>
    <s v="NO"/>
  </r>
  <r>
    <x v="75"/>
    <n v="21.7"/>
    <n v="40.9"/>
    <s v="BAJO"/>
    <s v="BAJO"/>
    <n v="213"/>
    <n v="340"/>
    <s v="NO"/>
    <s v="NO"/>
  </r>
  <r>
    <x v="76"/>
    <n v="22.4"/>
    <n v="40.5"/>
    <s v="BAJO"/>
    <s v="BAJO"/>
    <n v="322"/>
    <n v="382"/>
    <s v="NO"/>
    <s v="NO"/>
  </r>
  <r>
    <x v="77"/>
    <m/>
    <m/>
    <m/>
    <m/>
    <m/>
    <m/>
    <s v="NO"/>
    <s v="NO"/>
  </r>
  <r>
    <x v="78"/>
    <m/>
    <m/>
    <m/>
    <m/>
    <m/>
    <m/>
    <s v="NO"/>
    <s v="NO"/>
  </r>
  <r>
    <x v="79"/>
    <n v="23.5"/>
    <n v="39.4"/>
    <s v="MEDIO"/>
    <s v="BAJO"/>
    <n v="257"/>
    <n v="301"/>
    <s v="NO"/>
    <s v="NO"/>
  </r>
  <r>
    <x v="80"/>
    <n v="24.6"/>
    <n v="39"/>
    <s v="MEDIO"/>
    <s v="MEDIO"/>
    <n v="249"/>
    <n v="382"/>
    <s v="SI"/>
    <s v="SI"/>
  </r>
  <r>
    <x v="81"/>
    <n v="25.1"/>
    <n v="39.200000000000003"/>
    <s v="MEDIO"/>
    <s v="BAJO"/>
    <n v="287"/>
    <n v="316"/>
    <s v="NO"/>
    <s v="NO"/>
  </r>
  <r>
    <x v="82"/>
    <n v="24.8"/>
    <n v="40.1"/>
    <s v="ALTO"/>
    <s v="BAJO"/>
    <n v="215"/>
    <n v="336"/>
    <s v="NO"/>
    <s v="NO"/>
  </r>
  <r>
    <x v="83"/>
    <n v="23.8"/>
    <n v="40.5"/>
    <s v="MEDIO"/>
    <s v="MEDIO"/>
    <n v="298"/>
    <n v="313"/>
    <s v="SI "/>
    <s v="SI"/>
  </r>
  <r>
    <x v="84"/>
    <n v="24.5"/>
    <n v="42.5"/>
    <s v="MEDIO"/>
    <s v="MEDIO"/>
    <n v="284"/>
    <n v="343"/>
    <s v="NO"/>
    <s v="SI "/>
  </r>
  <r>
    <x v="85"/>
    <m/>
    <m/>
    <m/>
    <m/>
    <m/>
    <m/>
    <s v="SI"/>
    <s v="SI"/>
  </r>
  <r>
    <x v="86"/>
    <n v="25.3"/>
    <n v="46.8"/>
    <s v="BAJO"/>
    <s v="BAJO"/>
    <n v="328"/>
    <n v="361"/>
    <s v="NO"/>
    <s v="SI"/>
  </r>
  <r>
    <x v="87"/>
    <m/>
    <m/>
    <m/>
    <m/>
    <m/>
    <n v="352"/>
    <m/>
    <s v="SI"/>
  </r>
  <r>
    <x v="88"/>
    <m/>
    <m/>
    <m/>
    <m/>
    <m/>
    <m/>
    <m/>
    <m/>
  </r>
  <r>
    <x v="89"/>
    <n v="29.1"/>
    <n v="43.4"/>
    <s v="MEDIO"/>
    <s v="MEDIO"/>
    <n v="228"/>
    <n v="313"/>
    <s v="NO"/>
    <s v="NO"/>
  </r>
  <r>
    <x v="90"/>
    <m/>
    <m/>
    <m/>
    <m/>
    <m/>
    <m/>
    <s v="NO"/>
    <s v="NO"/>
  </r>
  <r>
    <x v="91"/>
    <m/>
    <m/>
    <m/>
    <m/>
    <m/>
    <m/>
    <s v="NO"/>
    <s v="NO"/>
  </r>
  <r>
    <x v="92"/>
    <m/>
    <m/>
    <m/>
    <m/>
    <m/>
    <m/>
    <s v="NO"/>
    <s v="NO"/>
  </r>
  <r>
    <x v="93"/>
    <n v="28.8"/>
    <n v="42.5"/>
    <s v="ALTO"/>
    <s v="ALTO"/>
    <n v="206"/>
    <n v="294"/>
    <s v="NO"/>
    <s v="NO"/>
  </r>
  <r>
    <x v="94"/>
    <n v="29.6"/>
    <n v="45.1"/>
    <s v="MEDIO"/>
    <s v="MEDIO"/>
    <n v="230"/>
    <n v="324"/>
    <s v="NO"/>
    <s v="NO"/>
  </r>
  <r>
    <x v="95"/>
    <m/>
    <m/>
    <m/>
    <m/>
    <m/>
    <m/>
    <s v="NO"/>
    <s v="NO"/>
  </r>
  <r>
    <x v="96"/>
    <m/>
    <m/>
    <m/>
    <m/>
    <m/>
    <m/>
    <s v="NO"/>
    <s v="NO"/>
  </r>
  <r>
    <x v="97"/>
    <m/>
    <m/>
    <m/>
    <m/>
    <m/>
    <m/>
    <s v="NO"/>
    <s v="NO"/>
  </r>
  <r>
    <x v="98"/>
    <m/>
    <m/>
    <m/>
    <m/>
    <m/>
    <m/>
    <s v="NO"/>
    <s v="NO"/>
  </r>
  <r>
    <x v="99"/>
    <m/>
    <m/>
    <m/>
    <m/>
    <m/>
    <m/>
    <s v="NO"/>
    <s v="NO"/>
  </r>
  <r>
    <x v="100"/>
    <n v="29.1"/>
    <n v="42.1"/>
    <s v="BAJO"/>
    <s v="MEDIO"/>
    <n v="345"/>
    <n v="275"/>
    <s v="NO"/>
    <s v="NO"/>
  </r>
  <r>
    <x v="101"/>
    <n v="28.4"/>
    <n v="43.2"/>
    <s v="ALTO"/>
    <s v="ALTO "/>
    <n v="198"/>
    <n v="212"/>
    <s v="NO"/>
    <s v="NO"/>
  </r>
  <r>
    <x v="102"/>
    <n v="28.9"/>
    <n v="42.9"/>
    <s v="MEDIO "/>
    <s v="MEDIO"/>
    <n v="275"/>
    <n v="318"/>
    <s v="NO"/>
    <s v="NO"/>
  </r>
  <r>
    <x v="103"/>
    <n v="29.1"/>
    <n v="45.2"/>
    <s v="MEDIO "/>
    <s v="ALTO "/>
    <n v="294"/>
    <n v="310"/>
    <s v="NO"/>
    <s v="NO"/>
  </r>
  <r>
    <x v="104"/>
    <n v="28.6"/>
    <n v="45.8"/>
    <s v="MEDIO "/>
    <s v="ALTO "/>
    <n v="297"/>
    <n v="329"/>
    <s v="NO"/>
    <s v="NO"/>
  </r>
  <r>
    <x v="105"/>
    <n v="28.7"/>
    <n v="46.1"/>
    <s v="MEDIO "/>
    <s v="MEDIO"/>
    <n v="302"/>
    <n v="323"/>
    <s v="SI"/>
    <s v="SI"/>
  </r>
  <r>
    <x v="106"/>
    <n v="28.1"/>
    <n v="47.3"/>
    <s v="MEDIO "/>
    <s v="MEDIO"/>
    <n v="265"/>
    <n v="241"/>
    <s v="NO"/>
    <s v="NO"/>
  </r>
  <r>
    <x v="107"/>
    <m/>
    <m/>
    <m/>
    <m/>
    <m/>
    <m/>
    <m/>
    <m/>
  </r>
  <r>
    <x v="108"/>
    <n v="27.6"/>
    <n v="46.2"/>
    <s v="MEDIO"/>
    <s v="ALTO"/>
    <n v="258"/>
    <n v="246"/>
    <s v="SI"/>
    <s v="SI"/>
  </r>
  <r>
    <x v="109"/>
    <n v="28.7"/>
    <n v="41.4"/>
    <s v="MEDIO"/>
    <s v="ALTO"/>
    <n v="246"/>
    <n v="329"/>
    <s v="NO"/>
    <s v="NO"/>
  </r>
  <r>
    <x v="110"/>
    <n v="29.4"/>
    <n v="41.4"/>
    <s v="MEDIO"/>
    <s v="ALTO"/>
    <n v="238"/>
    <n v="343"/>
    <s v="NO"/>
    <s v="NO"/>
  </r>
  <r>
    <x v="111"/>
    <n v="28.6"/>
    <n v="42.3"/>
    <s v="MEDIO"/>
    <s v="MEDIO"/>
    <n v="284"/>
    <n v="279"/>
    <s v="NO"/>
    <s v="NO"/>
  </r>
  <r>
    <x v="112"/>
    <m/>
    <m/>
    <m/>
    <m/>
    <m/>
    <m/>
    <m/>
    <m/>
  </r>
  <r>
    <x v="113"/>
    <m/>
    <m/>
    <m/>
    <m/>
    <m/>
    <m/>
    <m/>
    <m/>
  </r>
  <r>
    <x v="114"/>
    <m/>
    <m/>
    <m/>
    <m/>
    <m/>
    <m/>
    <m/>
    <m/>
  </r>
  <r>
    <x v="115"/>
    <m/>
    <m/>
    <m/>
    <m/>
    <m/>
    <m/>
    <m/>
    <m/>
  </r>
  <r>
    <x v="116"/>
    <n v="30.3"/>
    <n v="43.6"/>
    <s v="ALTO"/>
    <s v="MEDIO"/>
    <n v="204"/>
    <n v="280"/>
    <s v="SI"/>
    <s v="SI"/>
  </r>
  <r>
    <x v="117"/>
    <m/>
    <m/>
    <m/>
    <m/>
    <m/>
    <m/>
    <m/>
    <m/>
  </r>
  <r>
    <x v="118"/>
    <n v="30.9"/>
    <n v="45.3"/>
    <s v="MEDIO"/>
    <s v="MEDIO"/>
    <n v="248"/>
    <n v="315"/>
    <s v="NO"/>
    <s v="NO"/>
  </r>
  <r>
    <x v="119"/>
    <m/>
    <m/>
    <m/>
    <m/>
    <m/>
    <m/>
    <s v="NO"/>
    <s v="NO"/>
  </r>
  <r>
    <x v="120"/>
    <m/>
    <m/>
    <m/>
    <m/>
    <m/>
    <m/>
    <s v="NO"/>
    <s v="NO"/>
  </r>
  <r>
    <x v="121"/>
    <n v="31.5"/>
    <n v="44.9"/>
    <s v="ALTO"/>
    <s v="ALTO"/>
    <n v="226"/>
    <n v="189"/>
    <s v="NO"/>
    <s v="NO"/>
  </r>
  <r>
    <x v="122"/>
    <n v="29.1"/>
    <n v="46.2"/>
    <s v="MEDIO"/>
    <s v="ALTO"/>
    <n v="249"/>
    <n v="215"/>
    <s v="NO"/>
    <s v="NO"/>
  </r>
  <r>
    <x v="123"/>
    <n v="28.7"/>
    <n v="45.1"/>
    <s v="BAJO"/>
    <s v="BAJO"/>
    <n v="278"/>
    <n v="304"/>
    <s v="NO"/>
    <s v="NO"/>
  </r>
  <r>
    <x v="124"/>
    <n v="29.4"/>
    <n v="46.1"/>
    <s v="MEDIO"/>
    <s v="MEDIO"/>
    <n v="246"/>
    <n v="299"/>
    <s v="SI"/>
    <s v="SI"/>
  </r>
  <r>
    <x v="125"/>
    <n v="28.4"/>
    <n v="45.8"/>
    <s v="BAJO"/>
    <s v="MEDIO"/>
    <n v="276"/>
    <n v="308"/>
    <s v="NO"/>
    <s v="NO"/>
  </r>
  <r>
    <x v="126"/>
    <m/>
    <m/>
    <m/>
    <m/>
    <m/>
    <m/>
    <s v="NO"/>
    <s v="NO"/>
  </r>
  <r>
    <x v="127"/>
    <m/>
    <m/>
    <m/>
    <m/>
    <m/>
    <m/>
    <s v="NO"/>
    <s v="NO"/>
  </r>
  <r>
    <x v="128"/>
    <m/>
    <m/>
    <m/>
    <m/>
    <m/>
    <m/>
    <s v="NO"/>
    <s v="NO"/>
  </r>
  <r>
    <x v="129"/>
    <n v="29.7"/>
    <n v="41.8"/>
    <s v="MEDIO"/>
    <s v="MEDIO"/>
    <n v="217"/>
    <n v="306"/>
    <s v="NO"/>
    <s v="NO"/>
  </r>
  <r>
    <x v="130"/>
    <n v="24.6"/>
    <n v="42.1"/>
    <s v="BAJO"/>
    <s v="MEDIO"/>
    <n v="284"/>
    <n v="312"/>
    <s v="SI"/>
    <s v="SI"/>
  </r>
  <r>
    <x v="131"/>
    <n v="29.7"/>
    <n v="43.5"/>
    <s v="BAJO"/>
    <s v="ALTO"/>
    <n v="263"/>
    <n v="221"/>
    <s v="NO"/>
    <s v="NO"/>
  </r>
  <r>
    <x v="132"/>
    <n v="29.7"/>
    <n v="43.2"/>
    <s v="MEDIO"/>
    <s v="ALTO"/>
    <n v="253"/>
    <n v="277"/>
    <s v="NO"/>
    <s v="NO"/>
  </r>
  <r>
    <x v="133"/>
    <n v="29.8"/>
    <n v="44.9"/>
    <s v="MEDIO"/>
    <s v="ALTO"/>
    <n v="278"/>
    <n v="216"/>
    <s v="NO"/>
    <s v="NO"/>
  </r>
  <r>
    <x v="134"/>
    <m/>
    <m/>
    <m/>
    <m/>
    <m/>
    <m/>
    <s v="NO"/>
    <s v="NO"/>
  </r>
  <r>
    <x v="135"/>
    <m/>
    <m/>
    <m/>
    <m/>
    <m/>
    <m/>
    <s v="NO"/>
    <s v="NO"/>
  </r>
  <r>
    <x v="136"/>
    <m/>
    <m/>
    <m/>
    <m/>
    <m/>
    <m/>
    <s v="NO"/>
    <s v="NO"/>
  </r>
  <r>
    <x v="137"/>
    <n v="29.3"/>
    <n v="42"/>
    <s v="BAJO"/>
    <s v="MEDIO"/>
    <n v="191"/>
    <n v="253"/>
    <s v="NO"/>
    <s v="NO"/>
  </r>
  <r>
    <x v="138"/>
    <m/>
    <m/>
    <m/>
    <m/>
    <m/>
    <m/>
    <m/>
    <m/>
  </r>
  <r>
    <x v="139"/>
    <n v="29.3"/>
    <n v="42.1"/>
    <s v="MEDIO"/>
    <s v="ALTO"/>
    <n v="274"/>
    <n v="207"/>
    <s v="SI"/>
    <s v="SI"/>
  </r>
  <r>
    <x v="140"/>
    <m/>
    <m/>
    <m/>
    <m/>
    <m/>
    <m/>
    <m/>
    <m/>
  </r>
  <r>
    <x v="141"/>
    <n v="28.4"/>
    <n v="42.2"/>
    <s v="MEDIO"/>
    <s v="BAJO"/>
    <n v="245"/>
    <n v="356"/>
    <s v="NO"/>
    <s v="NO"/>
  </r>
  <r>
    <x v="142"/>
    <m/>
    <m/>
    <m/>
    <m/>
    <m/>
    <m/>
    <s v="NO"/>
    <s v="NO"/>
  </r>
  <r>
    <x v="143"/>
    <m/>
    <m/>
    <m/>
    <m/>
    <m/>
    <m/>
    <s v="NO"/>
    <s v="NO"/>
  </r>
  <r>
    <x v="144"/>
    <n v="28.9"/>
    <n v="45.8"/>
    <s v="ALTO"/>
    <s v="MEDIO"/>
    <n v="215"/>
    <n v="295"/>
    <s v="NO"/>
    <s v="NO"/>
  </r>
  <r>
    <x v="145"/>
    <n v="28.4"/>
    <n v="45.6"/>
    <s v="MEDIO"/>
    <s v="MEDIO"/>
    <n v="297"/>
    <n v="316"/>
    <s v="NO"/>
    <s v="NO"/>
  </r>
  <r>
    <x v="146"/>
    <n v="27.6"/>
    <n v="47.6"/>
    <s v="ALTO"/>
    <s v="ALTO"/>
    <n v="241"/>
    <n v="195"/>
    <s v="NO"/>
    <s v="NO"/>
  </r>
  <r>
    <x v="147"/>
    <m/>
    <m/>
    <m/>
    <m/>
    <m/>
    <m/>
    <s v="NO"/>
    <s v="NO"/>
  </r>
  <r>
    <x v="148"/>
    <m/>
    <m/>
    <m/>
    <m/>
    <m/>
    <m/>
    <s v="NO"/>
    <s v="NO"/>
  </r>
  <r>
    <x v="149"/>
    <n v="29.2"/>
    <n v="46.8"/>
    <s v="MEDIO"/>
    <s v="ALTO"/>
    <n v="229"/>
    <n v="387"/>
    <s v="NO"/>
    <s v="NO"/>
  </r>
  <r>
    <x v="150"/>
    <n v="27.4"/>
    <n v="47.2"/>
    <s v="BAJO"/>
    <s v="BAJO"/>
    <n v="302"/>
    <n v="408"/>
    <s v="NO"/>
    <s v="NO"/>
  </r>
  <r>
    <x v="151"/>
    <n v="27.6"/>
    <n v="46.8"/>
    <s v="MEDIO"/>
    <s v="MEDIO"/>
    <n v="215"/>
    <n v="285"/>
    <s v="SI"/>
    <s v="SI"/>
  </r>
  <r>
    <x v="152"/>
    <n v="28.2"/>
    <n v="46.5"/>
    <s v="MEDIO"/>
    <s v="BAJO"/>
    <n v="278"/>
    <n v="316"/>
    <s v="NO"/>
    <s v="NO"/>
  </r>
  <r>
    <x v="153"/>
    <n v="29.1"/>
    <n v="48.2"/>
    <s v="ALTO"/>
    <s v="MEDIO"/>
    <n v="196"/>
    <n v="290"/>
    <s v="NO"/>
    <s v="NO"/>
  </r>
  <r>
    <x v="154"/>
    <m/>
    <m/>
    <m/>
    <m/>
    <m/>
    <m/>
    <s v="NO"/>
    <s v="NO"/>
  </r>
  <r>
    <x v="155"/>
    <n v="30.6"/>
    <n v="46.7"/>
    <s v="ALTO"/>
    <s v="ALTO"/>
    <n v="236"/>
    <n v="198"/>
    <s v="NO"/>
    <s v="NO"/>
  </r>
  <r>
    <x v="156"/>
    <n v="29.8"/>
    <n v="45.9"/>
    <s v="ALTO"/>
    <s v="ALTO"/>
    <n v="210"/>
    <n v="205"/>
    <s v="NO"/>
    <s v="NO"/>
  </r>
  <r>
    <x v="157"/>
    <n v="31.5"/>
    <n v="42.8"/>
    <s v="ALTO"/>
    <s v="MEDIO"/>
    <n v="235"/>
    <n v="316"/>
    <s v="NO"/>
    <s v="NO"/>
  </r>
  <r>
    <x v="158"/>
    <n v="33.200000000000003"/>
    <n v="48.1"/>
    <s v="MEDIO"/>
    <s v="ALTO"/>
    <n v="267"/>
    <n v="206"/>
    <s v="NO"/>
    <s v="NO"/>
  </r>
  <r>
    <x v="159"/>
    <n v="28.4"/>
    <n v="47.6"/>
    <s v="MEDIO"/>
    <s v="ALTO"/>
    <n v="284"/>
    <n v="212"/>
    <s v="NO"/>
    <s v="NO"/>
  </r>
  <r>
    <x v="160"/>
    <n v="27.6"/>
    <n v="46.8"/>
    <s v="BAJO"/>
    <s v="MEDIO"/>
    <n v="364"/>
    <n v="284"/>
    <s v="NO"/>
    <s v="NO"/>
  </r>
  <r>
    <x v="161"/>
    <m/>
    <m/>
    <m/>
    <m/>
    <m/>
    <m/>
    <s v="NO"/>
    <s v="NO"/>
  </r>
  <r>
    <x v="162"/>
    <m/>
    <m/>
    <m/>
    <m/>
    <m/>
    <m/>
    <s v="NO"/>
    <s v="NO"/>
  </r>
  <r>
    <x v="163"/>
    <n v="29.4"/>
    <n v="41.9"/>
    <s v="ALTO"/>
    <s v="ALTO"/>
    <n v="212"/>
    <n v="213"/>
    <s v="NO"/>
    <s v="NO"/>
  </r>
  <r>
    <x v="164"/>
    <n v="29.7"/>
    <n v="47.4"/>
    <s v="MEDIO"/>
    <s v="MEDIO"/>
    <n v="215"/>
    <n v="304"/>
    <s v="NO"/>
    <s v="NO"/>
  </r>
  <r>
    <x v="165"/>
    <n v="29.1"/>
    <n v="47.4"/>
    <s v="MEDIO"/>
    <s v="MEDIO"/>
    <n v="215"/>
    <n v="323"/>
    <s v="NO"/>
    <s v="NO"/>
  </r>
  <r>
    <x v="166"/>
    <n v="29.4"/>
    <n v="45.9"/>
    <s v="MEDIO"/>
    <s v="MEDIO"/>
    <n v="208"/>
    <n v="292"/>
    <s v="NO"/>
    <s v="NO"/>
  </r>
  <r>
    <x v="167"/>
    <n v="29.2"/>
    <n v="47.8"/>
    <s v="MEDIO"/>
    <s v="MEDIO"/>
    <n v="285"/>
    <n v="303"/>
    <s v="NO"/>
    <s v="SI"/>
  </r>
  <r>
    <x v="168"/>
    <n v="29"/>
    <n v="45.5"/>
    <s v="ALTO"/>
    <s v="MEDIO"/>
    <n v="198"/>
    <n v="294"/>
    <s v="NO"/>
    <s v="NO"/>
  </r>
  <r>
    <x v="169"/>
    <n v="30.5"/>
    <n v="45.1"/>
    <s v="ALTO"/>
    <s v="MEDIO"/>
    <n v="215"/>
    <n v="248"/>
    <s v="NO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DE167-D1AD-4B25-888B-7793E318DFB8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C36" firstHeaderRow="0" firstDataRow="1" firstDataCol="1"/>
  <pivotFields count="9">
    <pivotField axis="axisRow" showAll="0">
      <items count="17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33"/>
        <item x="34"/>
        <item x="35"/>
        <item h="1" x="36"/>
        <item x="37"/>
        <item h="1" x="38"/>
        <item x="39"/>
        <item x="40"/>
        <item x="41"/>
        <item x="42"/>
        <item x="43"/>
        <item x="44"/>
        <item h="1" x="45"/>
        <item x="46"/>
        <item x="47"/>
        <item x="48"/>
        <item x="49"/>
        <item x="50"/>
        <item x="51"/>
        <item h="1" x="52"/>
        <item h="1" x="53"/>
        <item x="54"/>
        <item x="55"/>
        <item x="56"/>
        <item x="57"/>
        <item x="58"/>
        <item h="1" x="59"/>
        <item h="1" x="60"/>
        <item x="61"/>
        <item x="62"/>
        <item x="63"/>
        <item x="64"/>
        <item x="65"/>
        <item h="1" x="66"/>
        <item x="67"/>
        <item x="68"/>
        <item x="69"/>
        <item x="70"/>
        <item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33">
    <i>
      <x v="33"/>
    </i>
    <i>
      <x v="34"/>
    </i>
    <i>
      <x v="35"/>
    </i>
    <i>
      <x v="37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>
      <x v="49"/>
    </i>
    <i>
      <x v="50"/>
    </i>
    <i>
      <x v="51"/>
    </i>
    <i>
      <x v="54"/>
    </i>
    <i>
      <x v="55"/>
    </i>
    <i>
      <x v="56"/>
    </i>
    <i>
      <x v="57"/>
    </i>
    <i>
      <x v="58"/>
    </i>
    <i>
      <x v="61"/>
    </i>
    <i>
      <x v="62"/>
    </i>
    <i>
      <x v="63"/>
    </i>
    <i>
      <x v="64"/>
    </i>
    <i>
      <x v="65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-2"/>
  </colFields>
  <colItems count="2">
    <i>
      <x/>
    </i>
    <i i="1">
      <x v="1"/>
    </i>
  </colItems>
  <dataFields count="2">
    <dataField name=" CAUDAL MBR 1" fld="1" baseField="0" baseItem="0"/>
    <dataField name=" TMP MBR1 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36F75-35D3-4C8D-91FB-855DD43896EB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G41:I74" firstHeaderRow="0" firstDataRow="1" firstDataCol="1"/>
  <pivotFields count="9">
    <pivotField axis="axisRow" showAll="0">
      <items count="17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33"/>
        <item x="34"/>
        <item x="35"/>
        <item h="1" x="36"/>
        <item x="37"/>
        <item h="1" x="38"/>
        <item x="39"/>
        <item x="40"/>
        <item x="41"/>
        <item x="42"/>
        <item x="43"/>
        <item x="44"/>
        <item h="1" x="45"/>
        <item x="46"/>
        <item x="47"/>
        <item x="48"/>
        <item x="49"/>
        <item x="50"/>
        <item x="51"/>
        <item h="1" x="52"/>
        <item h="1" x="53"/>
        <item x="54"/>
        <item x="55"/>
        <item x="56"/>
        <item x="57"/>
        <item x="58"/>
        <item h="1" x="59"/>
        <item h="1" x="60"/>
        <item x="61"/>
        <item x="62"/>
        <item x="63"/>
        <item x="64"/>
        <item x="65"/>
        <item h="1" x="66"/>
        <item x="67"/>
        <item x="68"/>
        <item x="69"/>
        <item x="70"/>
        <item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33">
    <i>
      <x v="33"/>
    </i>
    <i>
      <x v="34"/>
    </i>
    <i>
      <x v="35"/>
    </i>
    <i>
      <x v="37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>
      <x v="49"/>
    </i>
    <i>
      <x v="50"/>
    </i>
    <i>
      <x v="51"/>
    </i>
    <i>
      <x v="54"/>
    </i>
    <i>
      <x v="55"/>
    </i>
    <i>
      <x v="56"/>
    </i>
    <i>
      <x v="57"/>
    </i>
    <i>
      <x v="58"/>
    </i>
    <i>
      <x v="61"/>
    </i>
    <i>
      <x v="62"/>
    </i>
    <i>
      <x v="63"/>
    </i>
    <i>
      <x v="64"/>
    </i>
    <i>
      <x v="65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-2"/>
  </colFields>
  <colItems count="2">
    <i>
      <x/>
    </i>
    <i i="1">
      <x v="1"/>
    </i>
  </colItems>
  <dataFields count="2">
    <dataField name=" CAUDAL MBR 2" fld="2" baseField="0" baseItem="0"/>
    <dataField name=" TMP MBR 2" fld="6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97BFC-C195-4483-8B5D-230DBD68FA7D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C36" firstHeaderRow="0" firstDataRow="1" firstDataCol="1"/>
  <pivotFields count="9">
    <pivotField axis="axisRow" showAll="0">
      <items count="8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33"/>
        <item x="34"/>
        <item x="35"/>
        <item h="1" x="36"/>
        <item x="37"/>
        <item h="1" x="38"/>
        <item x="39"/>
        <item x="40"/>
        <item x="41"/>
        <item x="42"/>
        <item x="43"/>
        <item x="44"/>
        <item h="1" x="45"/>
        <item x="46"/>
        <item x="47"/>
        <item x="48"/>
        <item x="49"/>
        <item x="50"/>
        <item x="51"/>
        <item h="1" x="52"/>
        <item h="1" x="53"/>
        <item x="54"/>
        <item x="55"/>
        <item x="56"/>
        <item x="57"/>
        <item x="58"/>
        <item h="1" x="59"/>
        <item h="1" x="60"/>
        <item x="61"/>
        <item x="62"/>
        <item x="63"/>
        <item x="64"/>
        <item x="65"/>
        <item h="1" x="66"/>
        <item x="67"/>
        <item x="68"/>
        <item x="69"/>
        <item x="70"/>
        <item x="71"/>
        <item x="72"/>
        <item h="1" x="73"/>
        <item h="1" x="74"/>
        <item h="1" x="75"/>
        <item h="1" x="76"/>
        <item h="1" x="77"/>
        <item h="1" x="78"/>
        <item h="1" x="79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33">
    <i>
      <x v="33"/>
    </i>
    <i>
      <x v="34"/>
    </i>
    <i>
      <x v="35"/>
    </i>
    <i>
      <x v="37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>
      <x v="49"/>
    </i>
    <i>
      <x v="50"/>
    </i>
    <i>
      <x v="51"/>
    </i>
    <i>
      <x v="54"/>
    </i>
    <i>
      <x v="55"/>
    </i>
    <i>
      <x v="56"/>
    </i>
    <i>
      <x v="57"/>
    </i>
    <i>
      <x v="58"/>
    </i>
    <i>
      <x v="61"/>
    </i>
    <i>
      <x v="62"/>
    </i>
    <i>
      <x v="63"/>
    </i>
    <i>
      <x v="64"/>
    </i>
    <i>
      <x v="65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-2"/>
  </colFields>
  <colItems count="2">
    <i>
      <x/>
    </i>
    <i i="1">
      <x v="1"/>
    </i>
  </colItems>
  <dataFields count="2">
    <dataField name=" CAUDAL MBR 1" fld="1" baseField="0" baseItem="0"/>
    <dataField name=" TMP MBR1 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B0289-7945-4080-88C1-5102A0900B69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G41:I74" firstHeaderRow="0" firstDataRow="1" firstDataCol="1"/>
  <pivotFields count="9">
    <pivotField axis="axisRow" showAll="0">
      <items count="8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33"/>
        <item x="34"/>
        <item x="35"/>
        <item h="1" x="36"/>
        <item x="37"/>
        <item h="1" x="38"/>
        <item x="39"/>
        <item x="40"/>
        <item x="41"/>
        <item x="42"/>
        <item x="43"/>
        <item x="44"/>
        <item h="1" x="45"/>
        <item x="46"/>
        <item x="47"/>
        <item x="48"/>
        <item x="49"/>
        <item x="50"/>
        <item x="51"/>
        <item h="1" x="52"/>
        <item h="1" x="53"/>
        <item x="54"/>
        <item x="55"/>
        <item x="56"/>
        <item x="57"/>
        <item x="58"/>
        <item h="1" x="59"/>
        <item h="1" x="60"/>
        <item x="61"/>
        <item x="62"/>
        <item x="63"/>
        <item x="64"/>
        <item x="65"/>
        <item h="1" x="66"/>
        <item x="67"/>
        <item x="68"/>
        <item x="69"/>
        <item x="70"/>
        <item x="71"/>
        <item x="72"/>
        <item h="1" x="73"/>
        <item h="1" x="74"/>
        <item h="1" x="75"/>
        <item h="1" x="76"/>
        <item h="1" x="77"/>
        <item h="1" x="78"/>
        <item h="1" x="79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33">
    <i>
      <x v="33"/>
    </i>
    <i>
      <x v="34"/>
    </i>
    <i>
      <x v="35"/>
    </i>
    <i>
      <x v="37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>
      <x v="49"/>
    </i>
    <i>
      <x v="50"/>
    </i>
    <i>
      <x v="51"/>
    </i>
    <i>
      <x v="54"/>
    </i>
    <i>
      <x v="55"/>
    </i>
    <i>
      <x v="56"/>
    </i>
    <i>
      <x v="57"/>
    </i>
    <i>
      <x v="58"/>
    </i>
    <i>
      <x v="61"/>
    </i>
    <i>
      <x v="62"/>
    </i>
    <i>
      <x v="63"/>
    </i>
    <i>
      <x v="64"/>
    </i>
    <i>
      <x v="65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-2"/>
  </colFields>
  <colItems count="2">
    <i>
      <x/>
    </i>
    <i i="1">
      <x v="1"/>
    </i>
  </colItems>
  <dataFields count="2">
    <dataField name=" CAUDAL MBR 2" fld="2" baseField="0" baseItem="0"/>
    <dataField name=" TMP MBR 2" fld="6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66368102-0FE7-4612-B7D8-A2669B1EB415}" sourceName="FECHA">
  <pivotTables>
    <pivotTable tabId="11" name="TablaDinámica2"/>
    <pivotTable tabId="11" name="TablaDinámica1"/>
  </pivotTables>
  <data>
    <tabular pivotCacheId="1229188821">
      <items count="170">
        <i x="0"/>
        <i x="1"/>
        <i x="2"/>
        <i x="4"/>
        <i x="5"/>
        <i x="6"/>
        <i x="7"/>
        <i x="8"/>
        <i x="9"/>
        <i x="12"/>
        <i x="13"/>
        <i x="14"/>
        <i x="15"/>
        <i x="19"/>
        <i x="20"/>
        <i x="21"/>
        <i x="22"/>
        <i x="23"/>
        <i x="24"/>
        <i x="25"/>
        <i x="26"/>
        <i x="27"/>
        <i x="28"/>
        <i x="29"/>
        <i x="30"/>
        <i x="33" s="1"/>
        <i x="34" s="1"/>
        <i x="35" s="1"/>
        <i x="36"/>
        <i x="37" s="1"/>
        <i x="39" s="1"/>
        <i x="40" s="1"/>
        <i x="41" s="1"/>
        <i x="42" s="1"/>
        <i x="43" s="1"/>
        <i x="44" s="1"/>
        <i x="46" s="1"/>
        <i x="47" s="1"/>
        <i x="48" s="1"/>
        <i x="49" s="1"/>
        <i x="50" s="1"/>
        <i x="51" s="1"/>
        <i x="54" s="1"/>
        <i x="55" s="1"/>
        <i x="56" s="1"/>
        <i x="57" s="1"/>
        <i x="58" s="1"/>
        <i x="61" s="1"/>
        <i x="62" s="1"/>
        <i x="63" s="1"/>
        <i x="64" s="1"/>
        <i x="65" s="1"/>
        <i x="67" s="1"/>
        <i x="68" s="1"/>
        <i x="69" s="1"/>
        <i x="70" s="1"/>
        <i x="71" s="1"/>
        <i x="72" s="1"/>
        <i x="73"/>
        <i x="74"/>
        <i x="75"/>
        <i x="76"/>
        <i x="79"/>
        <i x="80"/>
        <i x="81"/>
        <i x="82"/>
        <i x="83"/>
        <i x="84"/>
        <i x="86"/>
        <i x="87"/>
        <i x="89"/>
        <i x="93"/>
        <i x="94"/>
        <i x="100"/>
        <i x="101"/>
        <i x="102"/>
        <i x="103"/>
        <i x="104"/>
        <i x="105"/>
        <i x="106"/>
        <i x="108"/>
        <i x="109"/>
        <i x="110"/>
        <i x="111"/>
        <i x="116"/>
        <i x="118"/>
        <i x="121"/>
        <i x="122"/>
        <i x="123"/>
        <i x="124"/>
        <i x="125"/>
        <i x="129"/>
        <i x="130"/>
        <i x="131"/>
        <i x="132"/>
        <i x="133"/>
        <i x="137"/>
        <i x="139"/>
        <i x="141"/>
        <i x="144"/>
        <i x="145"/>
        <i x="146"/>
        <i x="149"/>
        <i x="150"/>
        <i x="151"/>
        <i x="152"/>
        <i x="153"/>
        <i x="155"/>
        <i x="156"/>
        <i x="157"/>
        <i x="158"/>
        <i x="159"/>
        <i x="160"/>
        <i x="163"/>
        <i x="164"/>
        <i x="165"/>
        <i x="166"/>
        <i x="167"/>
        <i x="168"/>
        <i x="169"/>
        <i x="3" nd="1"/>
        <i x="10" nd="1"/>
        <i x="11" nd="1"/>
        <i x="16" nd="1"/>
        <i x="17" nd="1"/>
        <i x="18" nd="1"/>
        <i x="31" nd="1"/>
        <i x="32" nd="1"/>
        <i x="38" nd="1"/>
        <i x="45" nd="1"/>
        <i x="52" nd="1"/>
        <i x="53" nd="1"/>
        <i x="59" nd="1"/>
        <i x="60" nd="1"/>
        <i x="66" nd="1"/>
        <i x="77" nd="1"/>
        <i x="78" nd="1"/>
        <i x="85" nd="1"/>
        <i x="88" nd="1"/>
        <i x="90" nd="1"/>
        <i x="91" nd="1"/>
        <i x="92" nd="1"/>
        <i x="95" nd="1"/>
        <i x="96" nd="1"/>
        <i x="97" nd="1"/>
        <i x="98" nd="1"/>
        <i x="99" nd="1"/>
        <i x="107" nd="1"/>
        <i x="112" nd="1"/>
        <i x="113" nd="1"/>
        <i x="114" nd="1"/>
        <i x="115" nd="1"/>
        <i x="117" nd="1"/>
        <i x="119" nd="1"/>
        <i x="120" nd="1"/>
        <i x="126" nd="1"/>
        <i x="127" nd="1"/>
        <i x="128" nd="1"/>
        <i x="134" nd="1"/>
        <i x="135" nd="1"/>
        <i x="136" nd="1"/>
        <i x="138" nd="1"/>
        <i x="140" nd="1"/>
        <i x="142" nd="1"/>
        <i x="143" nd="1"/>
        <i x="147" nd="1"/>
        <i x="148" nd="1"/>
        <i x="154" nd="1"/>
        <i x="161" nd="1"/>
        <i x="16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71AD4BC6-6593-41C9-B1C1-D17C6913637D}" sourceName="FECHA">
  <pivotTables>
    <pivotTable tabId="13" name="TablaDinámica2"/>
    <pivotTable tabId="13" name="TablaDinámica1"/>
  </pivotTables>
  <data>
    <tabular pivotCacheId="1708897579">
      <items count="80">
        <i x="0"/>
        <i x="1"/>
        <i x="2"/>
        <i x="4"/>
        <i x="5"/>
        <i x="6"/>
        <i x="7"/>
        <i x="8"/>
        <i x="9"/>
        <i x="12"/>
        <i x="13"/>
        <i x="14"/>
        <i x="15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 s="1"/>
        <i x="34" s="1"/>
        <i x="35" s="1"/>
        <i x="36"/>
        <i x="37" s="1"/>
        <i x="38"/>
        <i x="39" s="1"/>
        <i x="40" s="1"/>
        <i x="41" s="1"/>
        <i x="42" s="1"/>
        <i x="43" s="1"/>
        <i x="44" s="1"/>
        <i x="45"/>
        <i x="46" s="1"/>
        <i x="47" s="1"/>
        <i x="48" s="1"/>
        <i x="49" s="1"/>
        <i x="50" s="1"/>
        <i x="51" s="1"/>
        <i x="52"/>
        <i x="53"/>
        <i x="54" s="1"/>
        <i x="55" s="1"/>
        <i x="56" s="1"/>
        <i x="57" s="1"/>
        <i x="58" s="1"/>
        <i x="59"/>
        <i x="60"/>
        <i x="61" s="1"/>
        <i x="62" s="1"/>
        <i x="63" s="1"/>
        <i x="64" s="1"/>
        <i x="65" s="1"/>
        <i x="66"/>
        <i x="67" s="1"/>
        <i x="68" s="1"/>
        <i x="69" s="1"/>
        <i x="70" s="1"/>
        <i x="71" s="1"/>
        <i x="72" s="1"/>
        <i x="3" nd="1"/>
        <i x="10" nd="1"/>
        <i x="11" nd="1"/>
        <i x="16" nd="1"/>
        <i x="17" nd="1"/>
        <i x="18" nd="1"/>
        <i x="73" nd="1"/>
        <i x="74" nd="1"/>
        <i x="75" nd="1"/>
        <i x="76" nd="1"/>
        <i x="77" nd="1"/>
        <i x="78" nd="1"/>
        <i x="79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6FEE7318-B1D9-47B5-BD42-F96EF2E6376F}" cache="SegmentaciónDeDatos_FECHA" caption="FECHA" startItem="6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1" xr10:uid="{804549F0-6AEF-41D0-B2D7-1CC82CAB1486}" cache="SegmentaciónDeDatos_FECHA1" caption="FECHA" startItem="62" rowHeight="24130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5A43-4EDE-4F27-88BD-6BA7B44990F9}">
  <dimension ref="A1:J377"/>
  <sheetViews>
    <sheetView zoomScaleNormal="100" workbookViewId="0">
      <pane ySplit="2" topLeftCell="A116" activePane="bottomLeft" state="frozen"/>
      <selection activeCell="A2" sqref="A2"/>
      <selection pane="bottomLeft" activeCell="J239" sqref="J239"/>
    </sheetView>
  </sheetViews>
  <sheetFormatPr baseColWidth="10" defaultRowHeight="15" x14ac:dyDescent="0.25"/>
  <cols>
    <col min="9" max="9" width="17.42578125" customWidth="1"/>
    <col min="10" max="10" width="127.42578125" style="39" customWidth="1"/>
  </cols>
  <sheetData>
    <row r="1" spans="1:10" ht="31.5" customHeight="1" thickBot="1" x14ac:dyDescent="0.35">
      <c r="A1" s="155" t="s">
        <v>17</v>
      </c>
      <c r="B1" s="156"/>
      <c r="C1" s="156"/>
      <c r="D1" s="156"/>
      <c r="E1" s="156"/>
      <c r="F1" s="156"/>
      <c r="G1" s="156"/>
      <c r="H1" s="156"/>
      <c r="I1" s="156"/>
      <c r="J1" s="157"/>
    </row>
    <row r="2" spans="1:10" ht="31.5" customHeight="1" x14ac:dyDescent="0.25">
      <c r="A2" s="42" t="s">
        <v>0</v>
      </c>
      <c r="B2" s="45" t="s">
        <v>27</v>
      </c>
      <c r="C2" s="46" t="s">
        <v>28</v>
      </c>
      <c r="D2" s="45" t="s">
        <v>31</v>
      </c>
      <c r="E2" s="47" t="s">
        <v>32</v>
      </c>
      <c r="F2" s="48" t="s">
        <v>29</v>
      </c>
      <c r="G2" s="46" t="s">
        <v>30</v>
      </c>
      <c r="H2" s="42" t="s">
        <v>18</v>
      </c>
      <c r="I2" s="49" t="s">
        <v>19</v>
      </c>
      <c r="J2" s="50" t="s">
        <v>97</v>
      </c>
    </row>
    <row r="3" spans="1:10" s="39" customFormat="1" x14ac:dyDescent="0.25">
      <c r="A3" s="51">
        <v>45778</v>
      </c>
      <c r="B3" s="52">
        <v>35.200000000000003</v>
      </c>
      <c r="C3" s="52">
        <v>39.200000000000003</v>
      </c>
      <c r="D3" s="52" t="s">
        <v>48</v>
      </c>
      <c r="E3" s="52" t="s">
        <v>48</v>
      </c>
      <c r="F3" s="36">
        <v>280</v>
      </c>
      <c r="G3" s="36">
        <v>262</v>
      </c>
      <c r="H3" s="85" t="s">
        <v>20</v>
      </c>
      <c r="I3" s="85" t="s">
        <v>20</v>
      </c>
    </row>
    <row r="4" spans="1:10" s="39" customFormat="1" x14ac:dyDescent="0.25">
      <c r="A4" s="51">
        <v>45779</v>
      </c>
      <c r="B4" s="52">
        <v>34.1</v>
      </c>
      <c r="C4" s="52">
        <v>46</v>
      </c>
      <c r="D4" s="52" t="s">
        <v>48</v>
      </c>
      <c r="E4" s="52" t="s">
        <v>48</v>
      </c>
      <c r="F4" s="36">
        <v>266</v>
      </c>
      <c r="G4" s="36">
        <v>272</v>
      </c>
      <c r="H4" s="85" t="s">
        <v>20</v>
      </c>
      <c r="I4" s="85" t="s">
        <v>20</v>
      </c>
    </row>
    <row r="5" spans="1:10" s="39" customFormat="1" x14ac:dyDescent="0.25">
      <c r="A5" s="51">
        <v>45780</v>
      </c>
      <c r="B5" s="52">
        <v>34.299999999999997</v>
      </c>
      <c r="C5" s="52">
        <v>41.1</v>
      </c>
      <c r="D5" s="52" t="s">
        <v>48</v>
      </c>
      <c r="E5" s="52" t="s">
        <v>48</v>
      </c>
      <c r="F5" s="36">
        <v>283</v>
      </c>
      <c r="G5" s="36">
        <v>308</v>
      </c>
      <c r="H5" s="85" t="s">
        <v>20</v>
      </c>
      <c r="I5" s="85" t="s">
        <v>20</v>
      </c>
    </row>
    <row r="6" spans="1:10" s="39" customFormat="1" x14ac:dyDescent="0.25">
      <c r="A6" s="53">
        <v>45781</v>
      </c>
      <c r="B6" s="54"/>
      <c r="C6" s="54"/>
      <c r="D6" s="54"/>
      <c r="E6" s="54"/>
      <c r="F6" s="55"/>
      <c r="G6" s="55"/>
      <c r="H6" s="86"/>
      <c r="I6" s="86"/>
    </row>
    <row r="7" spans="1:10" s="39" customFormat="1" x14ac:dyDescent="0.25">
      <c r="A7" s="51">
        <v>45782</v>
      </c>
      <c r="B7" s="52">
        <v>34</v>
      </c>
      <c r="C7" s="52">
        <v>42.3</v>
      </c>
      <c r="D7" s="52" t="s">
        <v>48</v>
      </c>
      <c r="E7" s="52" t="s">
        <v>48</v>
      </c>
      <c r="F7" s="36">
        <v>248</v>
      </c>
      <c r="G7" s="36">
        <v>243</v>
      </c>
      <c r="H7" s="85" t="s">
        <v>20</v>
      </c>
      <c r="I7" s="85" t="s">
        <v>20</v>
      </c>
      <c r="J7" s="98"/>
    </row>
    <row r="8" spans="1:10" s="39" customFormat="1" x14ac:dyDescent="0.25">
      <c r="A8" s="51">
        <v>45783</v>
      </c>
      <c r="B8" s="52">
        <v>34.5</v>
      </c>
      <c r="C8" s="52">
        <v>46.5</v>
      </c>
      <c r="D8" s="52" t="s">
        <v>47</v>
      </c>
      <c r="E8" s="52" t="s">
        <v>47</v>
      </c>
      <c r="F8" s="36">
        <v>198</v>
      </c>
      <c r="G8" s="36">
        <v>212</v>
      </c>
      <c r="H8" s="85" t="s">
        <v>20</v>
      </c>
      <c r="I8" s="85" t="s">
        <v>20</v>
      </c>
      <c r="J8" s="98" t="s">
        <v>57</v>
      </c>
    </row>
    <row r="9" spans="1:10" s="39" customFormat="1" x14ac:dyDescent="0.25">
      <c r="A9" s="51">
        <v>45784</v>
      </c>
      <c r="B9" s="52">
        <v>34.4</v>
      </c>
      <c r="C9" s="52">
        <v>52</v>
      </c>
      <c r="D9" s="52" t="s">
        <v>48</v>
      </c>
      <c r="E9" s="52" t="s">
        <v>48</v>
      </c>
      <c r="F9" s="36">
        <v>246</v>
      </c>
      <c r="G9" s="36">
        <v>302</v>
      </c>
      <c r="H9" s="85" t="s">
        <v>20</v>
      </c>
      <c r="I9" s="85" t="s">
        <v>20</v>
      </c>
      <c r="J9" s="98"/>
    </row>
    <row r="10" spans="1:10" s="39" customFormat="1" x14ac:dyDescent="0.25">
      <c r="A10" s="51">
        <v>45785</v>
      </c>
      <c r="B10" s="52"/>
      <c r="C10" s="52"/>
      <c r="D10" s="52"/>
      <c r="E10" s="52"/>
      <c r="F10" s="36">
        <v>0</v>
      </c>
      <c r="G10" s="36">
        <v>0</v>
      </c>
      <c r="H10" s="85" t="s">
        <v>20</v>
      </c>
      <c r="I10" s="85" t="s">
        <v>20</v>
      </c>
      <c r="J10" s="98"/>
    </row>
    <row r="11" spans="1:10" s="39" customFormat="1" x14ac:dyDescent="0.25">
      <c r="A11" s="51">
        <v>45786</v>
      </c>
      <c r="B11" s="52">
        <v>34.4</v>
      </c>
      <c r="C11" s="52">
        <v>51.2</v>
      </c>
      <c r="D11" s="52" t="s">
        <v>48</v>
      </c>
      <c r="E11" s="52" t="s">
        <v>48</v>
      </c>
      <c r="F11" s="36">
        <v>261</v>
      </c>
      <c r="G11" s="36">
        <v>285</v>
      </c>
      <c r="H11" s="85" t="s">
        <v>20</v>
      </c>
      <c r="I11" s="85" t="s">
        <v>20</v>
      </c>
      <c r="J11" s="98"/>
    </row>
    <row r="12" spans="1:10" s="39" customFormat="1" x14ac:dyDescent="0.25">
      <c r="A12" s="51">
        <v>45787</v>
      </c>
      <c r="B12" s="52">
        <v>34.5</v>
      </c>
      <c r="C12" s="52">
        <v>50.4</v>
      </c>
      <c r="D12" s="52" t="s">
        <v>48</v>
      </c>
      <c r="E12" s="52" t="s">
        <v>49</v>
      </c>
      <c r="F12" s="36">
        <v>276</v>
      </c>
      <c r="G12" s="36">
        <v>322</v>
      </c>
      <c r="H12" s="85" t="s">
        <v>20</v>
      </c>
      <c r="I12" s="85" t="s">
        <v>22</v>
      </c>
      <c r="J12" s="98"/>
    </row>
    <row r="13" spans="1:10" s="38" customFormat="1" ht="17.25" customHeight="1" x14ac:dyDescent="0.25">
      <c r="A13" s="53">
        <v>45788</v>
      </c>
      <c r="B13" s="54"/>
      <c r="C13" s="54"/>
      <c r="D13" s="54"/>
      <c r="E13" s="54"/>
      <c r="F13" s="55"/>
      <c r="G13" s="55"/>
      <c r="H13" s="86"/>
      <c r="I13" s="86"/>
      <c r="J13" s="99"/>
    </row>
    <row r="14" spans="1:10" s="38" customFormat="1" x14ac:dyDescent="0.25">
      <c r="A14" s="53">
        <v>45789</v>
      </c>
      <c r="B14" s="54"/>
      <c r="C14" s="54"/>
      <c r="D14" s="54"/>
      <c r="E14" s="54"/>
      <c r="F14" s="55"/>
      <c r="G14" s="55"/>
      <c r="H14" s="86"/>
      <c r="I14" s="86"/>
      <c r="J14" s="99"/>
    </row>
    <row r="15" spans="1:10" s="39" customFormat="1" x14ac:dyDescent="0.25">
      <c r="A15" s="51">
        <v>45790</v>
      </c>
      <c r="B15" s="52">
        <v>34.799999999999997</v>
      </c>
      <c r="C15" s="52">
        <v>48.4</v>
      </c>
      <c r="D15" s="52" t="s">
        <v>48</v>
      </c>
      <c r="E15" s="52" t="s">
        <v>48</v>
      </c>
      <c r="F15" s="36">
        <v>283</v>
      </c>
      <c r="G15" s="36">
        <v>305</v>
      </c>
      <c r="H15" s="85" t="s">
        <v>20</v>
      </c>
      <c r="I15" s="85" t="s">
        <v>20</v>
      </c>
      <c r="J15" s="98"/>
    </row>
    <row r="16" spans="1:10" s="39" customFormat="1" x14ac:dyDescent="0.25">
      <c r="A16" s="51">
        <v>45791</v>
      </c>
      <c r="C16" s="52"/>
      <c r="D16" s="52"/>
      <c r="E16" s="52"/>
      <c r="F16" s="36">
        <v>0</v>
      </c>
      <c r="G16" s="36">
        <v>0</v>
      </c>
      <c r="H16" s="85" t="s">
        <v>20</v>
      </c>
      <c r="I16" s="85" t="s">
        <v>20</v>
      </c>
      <c r="J16" s="98"/>
    </row>
    <row r="17" spans="1:10" s="39" customFormat="1" x14ac:dyDescent="0.25">
      <c r="A17" s="51">
        <v>45792</v>
      </c>
      <c r="B17" s="52">
        <v>35.5</v>
      </c>
      <c r="C17" s="52">
        <v>45.7</v>
      </c>
      <c r="D17" s="52" t="s">
        <v>48</v>
      </c>
      <c r="E17" s="52" t="s">
        <v>48</v>
      </c>
      <c r="F17" s="36">
        <v>260</v>
      </c>
      <c r="G17" s="36">
        <v>293</v>
      </c>
      <c r="H17" s="85" t="s">
        <v>20</v>
      </c>
      <c r="I17" s="85"/>
      <c r="J17" s="98" t="s">
        <v>58</v>
      </c>
    </row>
    <row r="18" spans="1:10" s="39" customFormat="1" x14ac:dyDescent="0.25">
      <c r="A18" s="51">
        <v>45793</v>
      </c>
      <c r="B18" s="52">
        <v>39.6</v>
      </c>
      <c r="C18" s="52">
        <v>45.5</v>
      </c>
      <c r="D18" s="52" t="s">
        <v>48</v>
      </c>
      <c r="E18" s="52" t="s">
        <v>48</v>
      </c>
      <c r="F18" s="36">
        <v>276</v>
      </c>
      <c r="G18" s="36">
        <v>279</v>
      </c>
      <c r="H18" s="85" t="s">
        <v>21</v>
      </c>
      <c r="I18" s="85" t="s">
        <v>21</v>
      </c>
      <c r="J18" s="98" t="s">
        <v>59</v>
      </c>
    </row>
    <row r="19" spans="1:10" s="38" customFormat="1" x14ac:dyDescent="0.25">
      <c r="A19" s="53">
        <v>45794</v>
      </c>
      <c r="B19" s="54"/>
      <c r="C19" s="54"/>
      <c r="D19" s="54"/>
      <c r="E19" s="54"/>
      <c r="F19" s="55"/>
      <c r="G19" s="55"/>
      <c r="H19" s="86"/>
      <c r="I19" s="86"/>
      <c r="J19" s="99"/>
    </row>
    <row r="20" spans="1:10" s="38" customFormat="1" x14ac:dyDescent="0.25">
      <c r="A20" s="53">
        <v>45795</v>
      </c>
      <c r="B20" s="54"/>
      <c r="C20" s="54"/>
      <c r="D20" s="54"/>
      <c r="E20" s="54"/>
      <c r="F20" s="55"/>
      <c r="G20" s="55"/>
      <c r="H20" s="86"/>
      <c r="I20" s="86"/>
      <c r="J20" s="99" t="s">
        <v>60</v>
      </c>
    </row>
    <row r="21" spans="1:10" s="38" customFormat="1" x14ac:dyDescent="0.25">
      <c r="A21" s="53">
        <v>45796</v>
      </c>
      <c r="B21" s="54"/>
      <c r="C21" s="54"/>
      <c r="D21" s="54"/>
      <c r="E21" s="54"/>
      <c r="F21" s="55"/>
      <c r="G21" s="55"/>
      <c r="H21" s="86" t="s">
        <v>20</v>
      </c>
      <c r="I21" s="86" t="s">
        <v>21</v>
      </c>
      <c r="J21" s="99" t="s">
        <v>61</v>
      </c>
    </row>
    <row r="22" spans="1:10" s="39" customFormat="1" x14ac:dyDescent="0.25">
      <c r="A22" s="51">
        <v>45797</v>
      </c>
      <c r="B22" s="52">
        <v>36.200000000000003</v>
      </c>
      <c r="C22" s="52">
        <v>40.700000000000003</v>
      </c>
      <c r="D22" s="52" t="s">
        <v>48</v>
      </c>
      <c r="E22" s="52" t="s">
        <v>48</v>
      </c>
      <c r="F22" s="36">
        <v>250</v>
      </c>
      <c r="G22" s="36">
        <v>260</v>
      </c>
      <c r="H22" s="85" t="s">
        <v>20</v>
      </c>
      <c r="I22" s="85" t="s">
        <v>20</v>
      </c>
      <c r="J22" s="98"/>
    </row>
    <row r="23" spans="1:10" s="39" customFormat="1" x14ac:dyDescent="0.25">
      <c r="A23" s="51">
        <v>45798</v>
      </c>
      <c r="B23" s="52">
        <v>33.6</v>
      </c>
      <c r="C23" s="52">
        <v>43.6</v>
      </c>
      <c r="D23" s="52" t="s">
        <v>48</v>
      </c>
      <c r="E23" s="52" t="s">
        <v>49</v>
      </c>
      <c r="F23" s="36">
        <v>269</v>
      </c>
      <c r="G23" s="36">
        <v>335</v>
      </c>
      <c r="H23" s="85" t="s">
        <v>20</v>
      </c>
      <c r="I23" s="85" t="s">
        <v>20</v>
      </c>
      <c r="J23" s="98"/>
    </row>
    <row r="24" spans="1:10" s="39" customFormat="1" x14ac:dyDescent="0.25">
      <c r="A24" s="51">
        <v>45799</v>
      </c>
      <c r="B24" s="52">
        <v>36.299999999999997</v>
      </c>
      <c r="C24" s="52">
        <v>37.200000000000003</v>
      </c>
      <c r="D24" s="52" t="s">
        <v>48</v>
      </c>
      <c r="E24" s="52" t="s">
        <v>48</v>
      </c>
      <c r="F24" s="36">
        <v>242</v>
      </c>
      <c r="G24" s="36">
        <v>291</v>
      </c>
      <c r="H24" s="85" t="s">
        <v>20</v>
      </c>
      <c r="I24" s="85" t="s">
        <v>20</v>
      </c>
      <c r="J24" s="98"/>
    </row>
    <row r="25" spans="1:10" s="39" customFormat="1" x14ac:dyDescent="0.25">
      <c r="A25" s="51">
        <v>45800</v>
      </c>
      <c r="B25" s="52">
        <v>36.299999999999997</v>
      </c>
      <c r="C25" s="52">
        <v>41.8</v>
      </c>
      <c r="D25" s="52" t="s">
        <v>49</v>
      </c>
      <c r="E25" s="52" t="s">
        <v>48</v>
      </c>
      <c r="F25" s="36">
        <v>307</v>
      </c>
      <c r="G25" s="36">
        <v>302</v>
      </c>
      <c r="H25" s="85" t="s">
        <v>21</v>
      </c>
      <c r="I25" s="85" t="s">
        <v>21</v>
      </c>
      <c r="J25" s="98" t="s">
        <v>62</v>
      </c>
    </row>
    <row r="26" spans="1:10" s="39" customFormat="1" x14ac:dyDescent="0.25">
      <c r="A26" s="51">
        <v>45801</v>
      </c>
      <c r="B26" s="52">
        <v>30.8</v>
      </c>
      <c r="C26" s="52">
        <v>43.7</v>
      </c>
      <c r="D26" s="52" t="s">
        <v>49</v>
      </c>
      <c r="E26" s="52" t="s">
        <v>48</v>
      </c>
      <c r="F26" s="36">
        <v>394</v>
      </c>
      <c r="G26" s="36">
        <v>323</v>
      </c>
      <c r="H26" s="85" t="s">
        <v>21</v>
      </c>
      <c r="I26" s="85" t="s">
        <v>21</v>
      </c>
      <c r="J26" s="98"/>
    </row>
    <row r="27" spans="1:10" s="39" customFormat="1" x14ac:dyDescent="0.25">
      <c r="A27" s="51">
        <v>45802</v>
      </c>
      <c r="B27" s="52">
        <v>36.200000000000003</v>
      </c>
      <c r="C27" s="52">
        <v>42.7</v>
      </c>
      <c r="D27" s="52" t="s">
        <v>49</v>
      </c>
      <c r="E27" s="52" t="s">
        <v>49</v>
      </c>
      <c r="F27" s="36">
        <v>332</v>
      </c>
      <c r="G27" s="36">
        <v>335</v>
      </c>
      <c r="H27" s="85" t="s">
        <v>21</v>
      </c>
      <c r="I27" s="85" t="s">
        <v>21</v>
      </c>
      <c r="J27" s="98" t="s">
        <v>63</v>
      </c>
    </row>
    <row r="28" spans="1:10" s="39" customFormat="1" x14ac:dyDescent="0.25">
      <c r="A28" s="51">
        <v>45803</v>
      </c>
      <c r="B28" s="52">
        <v>36.5</v>
      </c>
      <c r="C28" s="52">
        <v>42.9</v>
      </c>
      <c r="D28" s="52" t="s">
        <v>48</v>
      </c>
      <c r="E28" s="52" t="s">
        <v>48</v>
      </c>
      <c r="F28" s="36">
        <v>301</v>
      </c>
      <c r="G28" s="36">
        <v>309</v>
      </c>
      <c r="H28" s="85" t="s">
        <v>20</v>
      </c>
      <c r="I28" s="85" t="s">
        <v>20</v>
      </c>
      <c r="J28" s="98"/>
    </row>
    <row r="29" spans="1:10" s="39" customFormat="1" x14ac:dyDescent="0.25">
      <c r="A29" s="51">
        <v>45804</v>
      </c>
      <c r="B29" s="52">
        <v>30.9</v>
      </c>
      <c r="C29" s="52">
        <v>42.8</v>
      </c>
      <c r="D29" s="52" t="s">
        <v>49</v>
      </c>
      <c r="E29" s="52" t="s">
        <v>48</v>
      </c>
      <c r="F29" s="36">
        <v>286</v>
      </c>
      <c r="G29" s="36">
        <v>321</v>
      </c>
      <c r="H29" s="85" t="s">
        <v>20</v>
      </c>
      <c r="I29" s="85" t="s">
        <v>20</v>
      </c>
      <c r="J29" s="98"/>
    </row>
    <row r="30" spans="1:10" s="39" customFormat="1" x14ac:dyDescent="0.25">
      <c r="A30" s="51">
        <v>45805</v>
      </c>
      <c r="B30" s="52">
        <v>30.7</v>
      </c>
      <c r="C30" s="52">
        <v>36.4</v>
      </c>
      <c r="D30" s="52" t="s">
        <v>48</v>
      </c>
      <c r="E30" s="52" t="s">
        <v>48</v>
      </c>
      <c r="F30" s="36">
        <v>302</v>
      </c>
      <c r="G30" s="36">
        <v>323</v>
      </c>
      <c r="H30" s="85" t="s">
        <v>20</v>
      </c>
      <c r="I30" s="85" t="s">
        <v>20</v>
      </c>
      <c r="J30" s="98"/>
    </row>
    <row r="31" spans="1:10" s="39" customFormat="1" x14ac:dyDescent="0.25">
      <c r="A31" s="51">
        <v>45806</v>
      </c>
      <c r="B31" s="52">
        <v>30.5</v>
      </c>
      <c r="C31" s="52">
        <v>41</v>
      </c>
      <c r="D31" s="52" t="s">
        <v>48</v>
      </c>
      <c r="E31" s="52" t="s">
        <v>48</v>
      </c>
      <c r="F31" s="36">
        <v>286</v>
      </c>
      <c r="G31" s="36">
        <v>265</v>
      </c>
      <c r="H31" s="85" t="s">
        <v>20</v>
      </c>
      <c r="I31" s="85" t="s">
        <v>20</v>
      </c>
      <c r="J31" s="98"/>
    </row>
    <row r="32" spans="1:10" s="39" customFormat="1" x14ac:dyDescent="0.25">
      <c r="A32" s="51">
        <v>45807</v>
      </c>
      <c r="B32" s="52">
        <v>30.7</v>
      </c>
      <c r="C32" s="52">
        <v>41</v>
      </c>
      <c r="D32" s="52" t="s">
        <v>48</v>
      </c>
      <c r="E32" s="52" t="s">
        <v>48</v>
      </c>
      <c r="F32" s="36">
        <v>287</v>
      </c>
      <c r="G32" s="36">
        <v>277</v>
      </c>
      <c r="H32" s="85" t="s">
        <v>20</v>
      </c>
      <c r="I32" s="85" t="s">
        <v>20</v>
      </c>
      <c r="J32" s="98"/>
    </row>
    <row r="33" spans="1:10" s="39" customFormat="1" x14ac:dyDescent="0.25">
      <c r="A33" s="51">
        <v>45808</v>
      </c>
      <c r="B33" s="52">
        <v>31.2</v>
      </c>
      <c r="C33" s="52">
        <v>42.1</v>
      </c>
      <c r="D33" s="52" t="s">
        <v>48</v>
      </c>
      <c r="E33" s="52" t="s">
        <v>48</v>
      </c>
      <c r="F33" s="36">
        <v>280</v>
      </c>
      <c r="G33" s="36">
        <v>271</v>
      </c>
      <c r="H33" s="85" t="s">
        <v>20</v>
      </c>
      <c r="I33" s="85" t="s">
        <v>20</v>
      </c>
      <c r="J33" s="98"/>
    </row>
    <row r="34" spans="1:10" x14ac:dyDescent="0.25">
      <c r="A34" s="51">
        <v>45809</v>
      </c>
      <c r="B34" s="52"/>
      <c r="C34" s="52"/>
      <c r="D34" s="52"/>
      <c r="E34" s="52"/>
      <c r="F34" s="55"/>
      <c r="G34" s="36"/>
      <c r="H34" s="85"/>
      <c r="I34" s="85"/>
      <c r="J34" s="100"/>
    </row>
    <row r="35" spans="1:10" x14ac:dyDescent="0.25">
      <c r="A35" s="51">
        <v>45810</v>
      </c>
      <c r="B35" s="52"/>
      <c r="C35" s="52"/>
      <c r="D35" s="52"/>
      <c r="E35" s="52"/>
      <c r="F35" s="55"/>
      <c r="G35" s="36"/>
      <c r="H35" s="85"/>
      <c r="I35" s="85"/>
      <c r="J35" s="98"/>
    </row>
    <row r="36" spans="1:10" x14ac:dyDescent="0.25">
      <c r="A36" s="51">
        <v>45811</v>
      </c>
      <c r="B36" s="52">
        <v>31.3</v>
      </c>
      <c r="C36" s="52">
        <v>43.4</v>
      </c>
      <c r="D36" s="52" t="s">
        <v>48</v>
      </c>
      <c r="E36" s="52" t="s">
        <v>48</v>
      </c>
      <c r="F36" s="36">
        <v>275</v>
      </c>
      <c r="G36" s="36">
        <v>273</v>
      </c>
      <c r="H36" s="85" t="s">
        <v>21</v>
      </c>
      <c r="I36" s="85" t="s">
        <v>21</v>
      </c>
      <c r="J36" s="98"/>
    </row>
    <row r="37" spans="1:10" x14ac:dyDescent="0.25">
      <c r="A37" s="51">
        <v>45812</v>
      </c>
      <c r="B37" s="52">
        <v>31.4</v>
      </c>
      <c r="C37" s="52">
        <v>43.5</v>
      </c>
      <c r="D37" s="52" t="s">
        <v>48</v>
      </c>
      <c r="E37" s="52" t="s">
        <v>48</v>
      </c>
      <c r="F37" s="36">
        <v>282</v>
      </c>
      <c r="G37" s="36">
        <v>291</v>
      </c>
      <c r="H37" s="85" t="s">
        <v>20</v>
      </c>
      <c r="I37" s="85" t="s">
        <v>20</v>
      </c>
      <c r="J37" s="98"/>
    </row>
    <row r="38" spans="1:10" x14ac:dyDescent="0.25">
      <c r="A38" s="51">
        <v>45813</v>
      </c>
      <c r="B38" s="52">
        <v>31.4</v>
      </c>
      <c r="C38" s="52">
        <v>42.7</v>
      </c>
      <c r="D38" s="52" t="s">
        <v>48</v>
      </c>
      <c r="E38" s="52" t="s">
        <v>48</v>
      </c>
      <c r="F38" s="36">
        <v>298</v>
      </c>
      <c r="G38" s="36">
        <v>276</v>
      </c>
      <c r="H38" s="85" t="s">
        <v>20</v>
      </c>
      <c r="I38" s="85" t="s">
        <v>20</v>
      </c>
      <c r="J38" s="98"/>
    </row>
    <row r="39" spans="1:10" x14ac:dyDescent="0.25">
      <c r="A39" s="51">
        <v>45814</v>
      </c>
      <c r="B39" s="52">
        <v>31.2</v>
      </c>
      <c r="C39" s="52">
        <v>42.9</v>
      </c>
      <c r="D39" s="52" t="s">
        <v>48</v>
      </c>
      <c r="E39" s="52" t="s">
        <v>48</v>
      </c>
      <c r="F39" s="36">
        <v>305</v>
      </c>
      <c r="G39" s="36">
        <v>283</v>
      </c>
      <c r="H39" s="85" t="s">
        <v>21</v>
      </c>
      <c r="I39" s="85" t="s">
        <v>21</v>
      </c>
      <c r="J39" s="98" t="s">
        <v>64</v>
      </c>
    </row>
    <row r="40" spans="1:10" x14ac:dyDescent="0.25">
      <c r="A40" s="51">
        <v>45815</v>
      </c>
      <c r="B40" s="52">
        <v>30.4</v>
      </c>
      <c r="C40" s="52">
        <v>42.5</v>
      </c>
      <c r="D40" s="52" t="s">
        <v>48</v>
      </c>
      <c r="E40" s="52" t="s">
        <v>48</v>
      </c>
      <c r="F40" s="36">
        <v>253</v>
      </c>
      <c r="G40" s="36">
        <v>279</v>
      </c>
      <c r="H40" s="85" t="s">
        <v>20</v>
      </c>
      <c r="I40" s="85" t="s">
        <v>20</v>
      </c>
      <c r="J40" s="98"/>
    </row>
    <row r="41" spans="1:10" x14ac:dyDescent="0.25">
      <c r="A41" s="51">
        <v>45816</v>
      </c>
      <c r="B41" s="52"/>
      <c r="C41" s="52"/>
      <c r="D41" s="52"/>
      <c r="E41" s="54"/>
      <c r="F41" s="55"/>
      <c r="G41" s="55"/>
      <c r="H41" s="86"/>
      <c r="I41" s="85"/>
      <c r="J41" s="98"/>
    </row>
    <row r="42" spans="1:10" x14ac:dyDescent="0.25">
      <c r="A42" s="51">
        <v>45817</v>
      </c>
      <c r="B42" s="52">
        <v>31.3</v>
      </c>
      <c r="C42" s="52">
        <v>42.7</v>
      </c>
      <c r="D42" s="52" t="s">
        <v>48</v>
      </c>
      <c r="E42" s="52" t="s">
        <v>48</v>
      </c>
      <c r="F42" s="36">
        <v>300</v>
      </c>
      <c r="G42" s="36">
        <v>292</v>
      </c>
      <c r="H42" s="85" t="s">
        <v>20</v>
      </c>
      <c r="I42" s="85" t="s">
        <v>20</v>
      </c>
      <c r="J42" s="98"/>
    </row>
    <row r="43" spans="1:10" x14ac:dyDescent="0.25">
      <c r="A43" s="51">
        <v>45818</v>
      </c>
      <c r="B43" s="52">
        <v>31.1</v>
      </c>
      <c r="C43" s="52">
        <v>45</v>
      </c>
      <c r="D43" s="52" t="s">
        <v>48</v>
      </c>
      <c r="E43" s="52" t="s">
        <v>48</v>
      </c>
      <c r="F43" s="36">
        <v>278</v>
      </c>
      <c r="G43" s="36">
        <v>267</v>
      </c>
      <c r="H43" s="85" t="s">
        <v>21</v>
      </c>
      <c r="I43" s="85" t="s">
        <v>21</v>
      </c>
      <c r="J43" s="98"/>
    </row>
    <row r="44" spans="1:10" x14ac:dyDescent="0.25">
      <c r="A44" s="51">
        <v>45819</v>
      </c>
      <c r="B44" s="52">
        <v>31.2</v>
      </c>
      <c r="C44" s="52">
        <v>45.3</v>
      </c>
      <c r="D44" s="52" t="s">
        <v>48</v>
      </c>
      <c r="E44" s="52" t="s">
        <v>48</v>
      </c>
      <c r="F44" s="36">
        <v>284</v>
      </c>
      <c r="G44" s="36">
        <v>292</v>
      </c>
      <c r="H44" s="85" t="s">
        <v>21</v>
      </c>
      <c r="I44" s="85" t="s">
        <v>21</v>
      </c>
      <c r="J44" s="98" t="s">
        <v>65</v>
      </c>
    </row>
    <row r="45" spans="1:10" x14ac:dyDescent="0.25">
      <c r="A45" s="51">
        <v>45820</v>
      </c>
      <c r="B45" s="52">
        <v>31.2</v>
      </c>
      <c r="C45" s="52">
        <v>45.5</v>
      </c>
      <c r="D45" s="52" t="s">
        <v>48</v>
      </c>
      <c r="E45" s="52" t="s">
        <v>48</v>
      </c>
      <c r="F45" s="36">
        <v>285</v>
      </c>
      <c r="G45" s="36">
        <v>306</v>
      </c>
      <c r="H45" s="85" t="s">
        <v>20</v>
      </c>
      <c r="I45" s="85" t="s">
        <v>20</v>
      </c>
      <c r="J45" s="98"/>
    </row>
    <row r="46" spans="1:10" x14ac:dyDescent="0.25">
      <c r="A46" s="51">
        <v>45821</v>
      </c>
      <c r="B46" s="52">
        <v>33.799999999999997</v>
      </c>
      <c r="C46" s="52">
        <v>43.7</v>
      </c>
      <c r="D46" s="52" t="s">
        <v>49</v>
      </c>
      <c r="E46" s="52" t="s">
        <v>48</v>
      </c>
      <c r="F46" s="36">
        <v>344</v>
      </c>
      <c r="G46" s="36">
        <v>333</v>
      </c>
      <c r="H46" s="85" t="s">
        <v>20</v>
      </c>
      <c r="I46" s="85" t="s">
        <v>20</v>
      </c>
      <c r="J46" s="98"/>
    </row>
    <row r="47" spans="1:10" x14ac:dyDescent="0.25">
      <c r="A47" s="51">
        <v>45822</v>
      </c>
      <c r="B47" s="52">
        <v>33.299999999999997</v>
      </c>
      <c r="C47" s="52">
        <v>36.4</v>
      </c>
      <c r="D47" s="52" t="s">
        <v>49</v>
      </c>
      <c r="E47" s="52" t="s">
        <v>48</v>
      </c>
      <c r="F47" s="36">
        <v>365</v>
      </c>
      <c r="G47" s="36">
        <v>303</v>
      </c>
      <c r="H47" s="85" t="s">
        <v>20</v>
      </c>
      <c r="I47" s="85" t="s">
        <v>20</v>
      </c>
      <c r="J47" s="98"/>
    </row>
    <row r="48" spans="1:10" x14ac:dyDescent="0.25">
      <c r="A48" s="51">
        <v>45823</v>
      </c>
      <c r="B48" s="52"/>
      <c r="C48" s="52"/>
      <c r="D48" s="52"/>
      <c r="E48" s="52"/>
      <c r="F48" s="55"/>
      <c r="G48" s="36"/>
      <c r="H48" s="85"/>
      <c r="I48" s="85"/>
      <c r="J48" s="98"/>
    </row>
    <row r="49" spans="1:10" x14ac:dyDescent="0.25">
      <c r="A49" s="51">
        <v>45824</v>
      </c>
      <c r="B49" s="52">
        <v>32.4</v>
      </c>
      <c r="C49" s="52">
        <v>41.3</v>
      </c>
      <c r="D49" s="52" t="s">
        <v>49</v>
      </c>
      <c r="E49" s="52" t="s">
        <v>48</v>
      </c>
      <c r="F49" s="36">
        <v>361</v>
      </c>
      <c r="G49" s="36">
        <v>287</v>
      </c>
      <c r="H49" s="85" t="s">
        <v>20</v>
      </c>
      <c r="I49" s="85" t="s">
        <v>20</v>
      </c>
      <c r="J49" s="98"/>
    </row>
    <row r="50" spans="1:10" x14ac:dyDescent="0.25">
      <c r="A50" s="51">
        <v>45825</v>
      </c>
      <c r="B50" s="52">
        <v>31.3</v>
      </c>
      <c r="C50" s="52">
        <v>41.9</v>
      </c>
      <c r="D50" s="52" t="s">
        <v>48</v>
      </c>
      <c r="E50" s="52" t="s">
        <v>48</v>
      </c>
      <c r="F50" s="36">
        <v>327</v>
      </c>
      <c r="G50" s="36">
        <v>327</v>
      </c>
      <c r="H50" s="85" t="s">
        <v>20</v>
      </c>
      <c r="I50" s="85" t="s">
        <v>20</v>
      </c>
      <c r="J50" s="98"/>
    </row>
    <row r="51" spans="1:10" x14ac:dyDescent="0.25">
      <c r="A51" s="51">
        <v>45826</v>
      </c>
      <c r="B51" s="52">
        <v>30.5</v>
      </c>
      <c r="C51" s="52">
        <v>41.3</v>
      </c>
      <c r="D51" s="52" t="s">
        <v>49</v>
      </c>
      <c r="E51" s="52" t="s">
        <v>48</v>
      </c>
      <c r="F51" s="36">
        <v>351</v>
      </c>
      <c r="G51" s="36">
        <v>261</v>
      </c>
      <c r="H51" s="85" t="s">
        <v>20</v>
      </c>
      <c r="I51" s="85" t="s">
        <v>20</v>
      </c>
      <c r="J51" s="98"/>
    </row>
    <row r="52" spans="1:10" x14ac:dyDescent="0.25">
      <c r="A52" s="51">
        <v>45827</v>
      </c>
      <c r="B52" s="52">
        <v>30.4</v>
      </c>
      <c r="C52" s="52">
        <v>41.7</v>
      </c>
      <c r="D52" s="52" t="s">
        <v>49</v>
      </c>
      <c r="E52" s="52" t="s">
        <v>48</v>
      </c>
      <c r="F52" s="36">
        <v>343</v>
      </c>
      <c r="G52" s="36">
        <v>283</v>
      </c>
      <c r="H52" s="85" t="s">
        <v>20</v>
      </c>
      <c r="I52" s="85" t="s">
        <v>20</v>
      </c>
      <c r="J52" s="98"/>
    </row>
    <row r="53" spans="1:10" x14ac:dyDescent="0.25">
      <c r="A53" s="51">
        <v>45828</v>
      </c>
      <c r="B53" s="52">
        <v>30.7</v>
      </c>
      <c r="C53" s="52">
        <v>41.4</v>
      </c>
      <c r="D53" s="52" t="s">
        <v>49</v>
      </c>
      <c r="E53" s="52" t="s">
        <v>48</v>
      </c>
      <c r="F53" s="36">
        <v>378</v>
      </c>
      <c r="G53" s="36">
        <v>275</v>
      </c>
      <c r="H53" s="85" t="s">
        <v>20</v>
      </c>
      <c r="I53" s="85" t="s">
        <v>20</v>
      </c>
      <c r="J53" s="98"/>
    </row>
    <row r="54" spans="1:10" x14ac:dyDescent="0.25">
      <c r="A54" s="51">
        <v>45829</v>
      </c>
      <c r="B54" s="52">
        <v>31.1</v>
      </c>
      <c r="C54" s="52">
        <v>43.4</v>
      </c>
      <c r="D54" s="52" t="s">
        <v>49</v>
      </c>
      <c r="E54" s="52" t="s">
        <v>49</v>
      </c>
      <c r="F54" s="36">
        <v>384</v>
      </c>
      <c r="G54" s="36">
        <v>351</v>
      </c>
      <c r="H54" s="85" t="s">
        <v>20</v>
      </c>
      <c r="I54" s="85" t="s">
        <v>20</v>
      </c>
      <c r="J54" s="98"/>
    </row>
    <row r="55" spans="1:10" x14ac:dyDescent="0.25">
      <c r="A55" s="51">
        <v>45830</v>
      </c>
      <c r="B55" s="52"/>
      <c r="C55" s="52"/>
      <c r="D55" s="52"/>
      <c r="E55" s="54"/>
      <c r="F55" s="55"/>
      <c r="G55" s="55"/>
      <c r="H55" s="86"/>
      <c r="I55" s="86"/>
      <c r="J55" s="98"/>
    </row>
    <row r="56" spans="1:10" x14ac:dyDescent="0.25">
      <c r="A56" s="51">
        <v>45831</v>
      </c>
      <c r="B56" s="52"/>
      <c r="C56" s="52"/>
      <c r="D56" s="52"/>
      <c r="E56" s="54"/>
      <c r="F56" s="55"/>
      <c r="G56" s="55"/>
      <c r="H56" s="86"/>
      <c r="I56" s="86"/>
      <c r="J56" s="98"/>
    </row>
    <row r="57" spans="1:10" x14ac:dyDescent="0.25">
      <c r="A57" s="51">
        <v>45832</v>
      </c>
      <c r="B57" s="52">
        <v>30.2</v>
      </c>
      <c r="C57" s="52">
        <v>45.2</v>
      </c>
      <c r="D57" s="52" t="s">
        <v>49</v>
      </c>
      <c r="E57" s="52" t="s">
        <v>49</v>
      </c>
      <c r="F57" s="36">
        <v>410</v>
      </c>
      <c r="G57" s="36">
        <v>369</v>
      </c>
      <c r="H57" s="85" t="s">
        <v>20</v>
      </c>
      <c r="I57" s="85" t="s">
        <v>20</v>
      </c>
      <c r="J57" s="98"/>
    </row>
    <row r="58" spans="1:10" x14ac:dyDescent="0.25">
      <c r="A58" s="51">
        <v>45833</v>
      </c>
      <c r="B58" s="52">
        <v>32.4</v>
      </c>
      <c r="C58" s="52">
        <v>44.4</v>
      </c>
      <c r="D58" s="52" t="s">
        <v>49</v>
      </c>
      <c r="E58" s="52" t="s">
        <v>49</v>
      </c>
      <c r="F58" s="36">
        <v>380</v>
      </c>
      <c r="G58" s="36">
        <v>339</v>
      </c>
      <c r="H58" s="85" t="s">
        <v>21</v>
      </c>
      <c r="I58" s="85" t="s">
        <v>21</v>
      </c>
      <c r="J58" s="98" t="s">
        <v>66</v>
      </c>
    </row>
    <row r="59" spans="1:10" x14ac:dyDescent="0.25">
      <c r="A59" s="51">
        <v>45834</v>
      </c>
      <c r="B59" s="52">
        <v>32.299999999999997</v>
      </c>
      <c r="C59" s="52">
        <v>43.4</v>
      </c>
      <c r="D59" s="52" t="s">
        <v>49</v>
      </c>
      <c r="E59" s="52" t="s">
        <v>49</v>
      </c>
      <c r="F59" s="36">
        <v>386</v>
      </c>
      <c r="G59" s="36">
        <v>333</v>
      </c>
      <c r="H59" s="85" t="s">
        <v>21</v>
      </c>
      <c r="I59" s="85" t="s">
        <v>21</v>
      </c>
      <c r="J59" s="98" t="s">
        <v>67</v>
      </c>
    </row>
    <row r="60" spans="1:10" x14ac:dyDescent="0.25">
      <c r="A60" s="51">
        <v>45835</v>
      </c>
      <c r="B60" s="52">
        <v>25.4</v>
      </c>
      <c r="C60" s="52">
        <v>44.8</v>
      </c>
      <c r="D60" s="52" t="s">
        <v>49</v>
      </c>
      <c r="E60" s="52" t="s">
        <v>48</v>
      </c>
      <c r="F60" s="36">
        <v>335</v>
      </c>
      <c r="G60" s="36">
        <v>323</v>
      </c>
      <c r="H60" s="85" t="s">
        <v>20</v>
      </c>
      <c r="I60" s="85" t="s">
        <v>23</v>
      </c>
      <c r="J60" s="98" t="s">
        <v>24</v>
      </c>
    </row>
    <row r="61" spans="1:10" x14ac:dyDescent="0.25">
      <c r="A61" s="51">
        <v>45836</v>
      </c>
      <c r="B61" s="52">
        <v>32.6</v>
      </c>
      <c r="C61" s="52">
        <v>47.3</v>
      </c>
      <c r="D61" s="52" t="s">
        <v>49</v>
      </c>
      <c r="E61" s="52" t="s">
        <v>48</v>
      </c>
      <c r="F61" s="36">
        <v>346</v>
      </c>
      <c r="G61" s="36">
        <v>307</v>
      </c>
      <c r="H61" s="85" t="s">
        <v>20</v>
      </c>
      <c r="I61" s="85" t="s">
        <v>20</v>
      </c>
      <c r="J61" s="98"/>
    </row>
    <row r="62" spans="1:10" x14ac:dyDescent="0.25">
      <c r="A62" s="51">
        <v>45837</v>
      </c>
      <c r="B62" s="52"/>
      <c r="C62" s="52"/>
      <c r="D62" s="52"/>
      <c r="E62" s="54"/>
      <c r="F62" s="55"/>
      <c r="G62" s="55"/>
      <c r="H62" s="86"/>
      <c r="I62" s="87"/>
      <c r="J62" s="98"/>
    </row>
    <row r="63" spans="1:10" x14ac:dyDescent="0.25">
      <c r="A63" s="51">
        <v>45838</v>
      </c>
      <c r="B63" s="52"/>
      <c r="C63" s="52"/>
      <c r="D63" s="52"/>
      <c r="E63" s="54"/>
      <c r="F63" s="55"/>
      <c r="G63" s="55"/>
      <c r="H63" s="86"/>
      <c r="I63" s="88"/>
      <c r="J63" s="98"/>
    </row>
    <row r="64" spans="1:10" x14ac:dyDescent="0.25">
      <c r="A64" s="51">
        <v>45839</v>
      </c>
      <c r="B64" s="52">
        <v>25.8</v>
      </c>
      <c r="C64" s="52">
        <v>44.7</v>
      </c>
      <c r="D64" s="52" t="s">
        <v>49</v>
      </c>
      <c r="E64" s="52" t="s">
        <v>48</v>
      </c>
      <c r="F64" s="36">
        <v>338</v>
      </c>
      <c r="G64" s="36">
        <v>325</v>
      </c>
      <c r="H64" s="85" t="s">
        <v>20</v>
      </c>
      <c r="I64" s="89" t="s">
        <v>20</v>
      </c>
      <c r="J64" s="98"/>
    </row>
    <row r="65" spans="1:10" x14ac:dyDescent="0.25">
      <c r="A65" s="51">
        <v>45840</v>
      </c>
      <c r="B65" s="52">
        <v>25.4</v>
      </c>
      <c r="C65" s="52">
        <v>43.2</v>
      </c>
      <c r="D65" s="52" t="s">
        <v>49</v>
      </c>
      <c r="E65" s="52" t="s">
        <v>49</v>
      </c>
      <c r="F65" s="36">
        <v>329</v>
      </c>
      <c r="G65" s="36">
        <v>353</v>
      </c>
      <c r="H65" s="85" t="s">
        <v>21</v>
      </c>
      <c r="I65" s="90" t="s">
        <v>21</v>
      </c>
      <c r="J65" s="98" t="s">
        <v>68</v>
      </c>
    </row>
    <row r="66" spans="1:10" x14ac:dyDescent="0.25">
      <c r="A66" s="51">
        <v>45841</v>
      </c>
      <c r="B66" s="52">
        <v>26.3</v>
      </c>
      <c r="C66" s="52">
        <v>42.2</v>
      </c>
      <c r="D66" s="52" t="s">
        <v>49</v>
      </c>
      <c r="E66" s="52" t="s">
        <v>49</v>
      </c>
      <c r="F66" s="36">
        <v>350</v>
      </c>
      <c r="G66" s="36">
        <v>357</v>
      </c>
      <c r="H66" s="85" t="s">
        <v>21</v>
      </c>
      <c r="I66" s="90" t="s">
        <v>21</v>
      </c>
      <c r="J66" s="98" t="s">
        <v>45</v>
      </c>
    </row>
    <row r="67" spans="1:10" x14ac:dyDescent="0.25">
      <c r="A67" s="51">
        <v>45842</v>
      </c>
      <c r="B67" s="52">
        <v>25.3</v>
      </c>
      <c r="C67" s="52">
        <v>44.2</v>
      </c>
      <c r="D67" s="52" t="s">
        <v>49</v>
      </c>
      <c r="E67" s="52" t="s">
        <v>48</v>
      </c>
      <c r="F67" s="36">
        <v>340</v>
      </c>
      <c r="G67" s="36">
        <v>311</v>
      </c>
      <c r="H67" s="85" t="s">
        <v>20</v>
      </c>
      <c r="I67" s="89" t="s">
        <v>20</v>
      </c>
      <c r="J67" s="98"/>
    </row>
    <row r="68" spans="1:10" x14ac:dyDescent="0.25">
      <c r="A68" s="51">
        <v>45843</v>
      </c>
      <c r="B68" s="52">
        <v>22</v>
      </c>
      <c r="C68" s="52">
        <v>47.1</v>
      </c>
      <c r="D68" s="52" t="s">
        <v>48</v>
      </c>
      <c r="E68" s="52" t="s">
        <v>49</v>
      </c>
      <c r="F68" s="36">
        <v>299</v>
      </c>
      <c r="G68" s="36">
        <v>351</v>
      </c>
      <c r="H68" s="85" t="s">
        <v>20</v>
      </c>
      <c r="I68" s="91" t="s">
        <v>20</v>
      </c>
      <c r="J68" s="98"/>
    </row>
    <row r="69" spans="1:10" x14ac:dyDescent="0.25">
      <c r="A69" s="51">
        <v>45844</v>
      </c>
      <c r="B69" s="52"/>
      <c r="C69" s="52"/>
      <c r="D69" s="52"/>
      <c r="E69" s="54"/>
      <c r="F69" s="55"/>
      <c r="G69" s="55"/>
      <c r="H69" s="86"/>
      <c r="I69" s="86"/>
      <c r="J69" s="98"/>
    </row>
    <row r="70" spans="1:10" x14ac:dyDescent="0.25">
      <c r="A70" s="51">
        <v>45845</v>
      </c>
      <c r="B70" s="52">
        <v>28.3</v>
      </c>
      <c r="C70" s="52">
        <v>46.8</v>
      </c>
      <c r="D70" s="52" t="s">
        <v>49</v>
      </c>
      <c r="E70" s="52" t="s">
        <v>48</v>
      </c>
      <c r="F70" s="36">
        <v>382</v>
      </c>
      <c r="G70" s="36">
        <v>338</v>
      </c>
      <c r="H70" s="85" t="s">
        <v>20</v>
      </c>
      <c r="I70" s="85" t="s">
        <v>20</v>
      </c>
      <c r="J70" s="98" t="s">
        <v>46</v>
      </c>
    </row>
    <row r="71" spans="1:10" x14ac:dyDescent="0.25">
      <c r="A71" s="51">
        <v>45846</v>
      </c>
      <c r="B71" s="52">
        <v>22.4</v>
      </c>
      <c r="C71" s="52">
        <v>40.200000000000003</v>
      </c>
      <c r="D71" s="52" t="s">
        <v>49</v>
      </c>
      <c r="E71" s="52" t="s">
        <v>49</v>
      </c>
      <c r="F71" s="36">
        <v>410</v>
      </c>
      <c r="G71" s="36">
        <v>354</v>
      </c>
      <c r="H71" s="85" t="s">
        <v>21</v>
      </c>
      <c r="I71" s="85" t="s">
        <v>20</v>
      </c>
      <c r="J71" s="98" t="s">
        <v>24</v>
      </c>
    </row>
    <row r="72" spans="1:10" x14ac:dyDescent="0.25">
      <c r="A72" s="51">
        <v>45847</v>
      </c>
      <c r="B72" s="52">
        <v>0</v>
      </c>
      <c r="C72" s="52">
        <v>40.700000000000003</v>
      </c>
      <c r="D72" s="52" t="s">
        <v>47</v>
      </c>
      <c r="E72" s="52" t="s">
        <v>49</v>
      </c>
      <c r="F72" s="36">
        <v>265</v>
      </c>
      <c r="G72" s="36">
        <v>327</v>
      </c>
      <c r="H72" s="85" t="s">
        <v>21</v>
      </c>
      <c r="I72" s="85" t="s">
        <v>21</v>
      </c>
      <c r="J72" s="98" t="s">
        <v>69</v>
      </c>
    </row>
    <row r="73" spans="1:10" x14ac:dyDescent="0.25">
      <c r="A73" s="51">
        <v>45848</v>
      </c>
      <c r="B73" s="52">
        <v>0</v>
      </c>
      <c r="C73" s="52">
        <v>41.3</v>
      </c>
      <c r="D73" s="52" t="s">
        <v>47</v>
      </c>
      <c r="E73" s="52" t="s">
        <v>49</v>
      </c>
      <c r="F73" s="36">
        <v>245</v>
      </c>
      <c r="G73" s="36">
        <v>371</v>
      </c>
      <c r="H73" s="85" t="s">
        <v>20</v>
      </c>
      <c r="I73" s="85" t="s">
        <v>20</v>
      </c>
      <c r="J73" s="98"/>
    </row>
    <row r="74" spans="1:10" x14ac:dyDescent="0.25">
      <c r="A74" s="51">
        <v>45849</v>
      </c>
      <c r="B74" s="52">
        <v>0</v>
      </c>
      <c r="C74" s="52">
        <v>39.799999999999997</v>
      </c>
      <c r="D74" s="52" t="s">
        <v>47</v>
      </c>
      <c r="E74" s="52" t="s">
        <v>49</v>
      </c>
      <c r="F74" s="36">
        <v>221</v>
      </c>
      <c r="G74" s="36">
        <v>364</v>
      </c>
      <c r="H74" s="85" t="s">
        <v>20</v>
      </c>
      <c r="I74" s="85" t="s">
        <v>20</v>
      </c>
      <c r="J74" s="98"/>
    </row>
    <row r="75" spans="1:10" x14ac:dyDescent="0.25">
      <c r="A75" s="51">
        <v>45852</v>
      </c>
      <c r="B75" s="52">
        <v>35.9</v>
      </c>
      <c r="C75" s="52">
        <v>35.5</v>
      </c>
      <c r="D75" s="52" t="s">
        <v>48</v>
      </c>
      <c r="E75" s="52" t="s">
        <v>49</v>
      </c>
      <c r="F75" s="36">
        <v>259</v>
      </c>
      <c r="G75" s="36">
        <v>379</v>
      </c>
      <c r="H75" s="85" t="s">
        <v>20</v>
      </c>
      <c r="I75" s="85" t="s">
        <v>20</v>
      </c>
      <c r="J75" s="98" t="s">
        <v>37</v>
      </c>
    </row>
    <row r="76" spans="1:10" x14ac:dyDescent="0.25">
      <c r="A76" s="51">
        <v>45853</v>
      </c>
      <c r="B76" s="52">
        <v>28.2</v>
      </c>
      <c r="C76" s="52">
        <v>38.4</v>
      </c>
      <c r="D76" s="52" t="s">
        <v>49</v>
      </c>
      <c r="E76" s="52" t="s">
        <v>47</v>
      </c>
      <c r="F76" s="36">
        <v>328</v>
      </c>
      <c r="G76" s="36">
        <v>215</v>
      </c>
      <c r="H76" s="85" t="s">
        <v>20</v>
      </c>
      <c r="I76" s="85" t="s">
        <v>20</v>
      </c>
      <c r="J76" s="98" t="s">
        <v>70</v>
      </c>
    </row>
    <row r="77" spans="1:10" x14ac:dyDescent="0.25">
      <c r="A77" s="51">
        <v>45854</v>
      </c>
      <c r="B77" s="52">
        <v>23.9</v>
      </c>
      <c r="C77" s="52">
        <v>40.1</v>
      </c>
      <c r="D77" s="52" t="s">
        <v>48</v>
      </c>
      <c r="E77" s="52" t="s">
        <v>49</v>
      </c>
      <c r="F77" s="36">
        <v>228</v>
      </c>
      <c r="G77" s="36">
        <v>345</v>
      </c>
      <c r="H77" s="85" t="s">
        <v>20</v>
      </c>
      <c r="I77" s="85" t="s">
        <v>20</v>
      </c>
      <c r="J77" s="98" t="s">
        <v>71</v>
      </c>
    </row>
    <row r="78" spans="1:10" x14ac:dyDescent="0.25">
      <c r="A78" s="51">
        <v>45855</v>
      </c>
      <c r="B78" s="52">
        <v>21.7</v>
      </c>
      <c r="C78" s="52">
        <v>40.9</v>
      </c>
      <c r="D78" s="52" t="s">
        <v>49</v>
      </c>
      <c r="E78" s="52" t="s">
        <v>49</v>
      </c>
      <c r="F78" s="36">
        <v>213</v>
      </c>
      <c r="G78" s="36">
        <v>340</v>
      </c>
      <c r="H78" s="85" t="s">
        <v>20</v>
      </c>
      <c r="I78" s="85" t="s">
        <v>20</v>
      </c>
      <c r="J78" s="98"/>
    </row>
    <row r="79" spans="1:10" x14ac:dyDescent="0.25">
      <c r="A79" s="51">
        <v>45856</v>
      </c>
      <c r="B79" s="52">
        <v>22.4</v>
      </c>
      <c r="C79" s="52">
        <v>40.5</v>
      </c>
      <c r="D79" s="52" t="s">
        <v>49</v>
      </c>
      <c r="E79" s="52" t="s">
        <v>49</v>
      </c>
      <c r="F79" s="36">
        <v>322</v>
      </c>
      <c r="G79" s="36">
        <v>382</v>
      </c>
      <c r="H79" s="85" t="s">
        <v>20</v>
      </c>
      <c r="I79" s="85" t="s">
        <v>20</v>
      </c>
      <c r="J79" s="98"/>
    </row>
    <row r="80" spans="1:10" x14ac:dyDescent="0.25">
      <c r="A80" s="51">
        <v>45857</v>
      </c>
      <c r="B80" s="52"/>
      <c r="C80" s="52"/>
      <c r="D80" s="52"/>
      <c r="E80" s="52"/>
      <c r="F80" s="36"/>
      <c r="G80" s="36"/>
      <c r="H80" s="85" t="s">
        <v>20</v>
      </c>
      <c r="I80" s="85" t="s">
        <v>20</v>
      </c>
      <c r="J80" s="98"/>
    </row>
    <row r="81" spans="1:10" x14ac:dyDescent="0.25">
      <c r="A81" s="51">
        <v>45858</v>
      </c>
      <c r="B81" s="52"/>
      <c r="C81" s="52"/>
      <c r="D81" s="52"/>
      <c r="E81" s="52"/>
      <c r="F81" s="36"/>
      <c r="G81" s="36"/>
      <c r="H81" s="85" t="s">
        <v>20</v>
      </c>
      <c r="I81" s="85" t="s">
        <v>20</v>
      </c>
      <c r="J81" s="98" t="s">
        <v>38</v>
      </c>
    </row>
    <row r="82" spans="1:10" x14ac:dyDescent="0.25">
      <c r="A82" s="51">
        <v>45859</v>
      </c>
      <c r="B82" s="52">
        <v>23.5</v>
      </c>
      <c r="C82" s="52">
        <v>39.4</v>
      </c>
      <c r="D82" s="52" t="s">
        <v>48</v>
      </c>
      <c r="E82" s="52" t="s">
        <v>49</v>
      </c>
      <c r="F82" s="36">
        <v>257</v>
      </c>
      <c r="G82" s="36">
        <v>301</v>
      </c>
      <c r="H82" s="85" t="s">
        <v>20</v>
      </c>
      <c r="I82" s="85" t="s">
        <v>20</v>
      </c>
      <c r="J82" s="98"/>
    </row>
    <row r="83" spans="1:10" x14ac:dyDescent="0.25">
      <c r="A83" s="51">
        <v>45860</v>
      </c>
      <c r="B83" s="52">
        <v>24.6</v>
      </c>
      <c r="C83" s="52">
        <v>39</v>
      </c>
      <c r="D83" s="52" t="s">
        <v>48</v>
      </c>
      <c r="E83" s="52" t="s">
        <v>48</v>
      </c>
      <c r="F83" s="36">
        <v>249</v>
      </c>
      <c r="G83" s="36">
        <v>382</v>
      </c>
      <c r="H83" s="85" t="s">
        <v>21</v>
      </c>
      <c r="I83" s="85" t="s">
        <v>21</v>
      </c>
      <c r="J83" s="98" t="s">
        <v>39</v>
      </c>
    </row>
    <row r="84" spans="1:10" x14ac:dyDescent="0.25">
      <c r="A84" s="51">
        <v>45861</v>
      </c>
      <c r="B84" s="52">
        <v>25.1</v>
      </c>
      <c r="C84" s="52">
        <v>39.200000000000003</v>
      </c>
      <c r="D84" s="52" t="s">
        <v>48</v>
      </c>
      <c r="E84" s="52" t="s">
        <v>49</v>
      </c>
      <c r="F84" s="36">
        <v>287</v>
      </c>
      <c r="G84" s="36">
        <v>316</v>
      </c>
      <c r="H84" s="85" t="s">
        <v>20</v>
      </c>
      <c r="I84" s="85" t="s">
        <v>20</v>
      </c>
      <c r="J84" s="98"/>
    </row>
    <row r="85" spans="1:10" x14ac:dyDescent="0.25">
      <c r="A85" s="51">
        <v>45862</v>
      </c>
      <c r="B85" s="52">
        <v>24.8</v>
      </c>
      <c r="C85" s="52">
        <v>40.1</v>
      </c>
      <c r="D85" s="52" t="s">
        <v>47</v>
      </c>
      <c r="E85" s="52" t="s">
        <v>49</v>
      </c>
      <c r="F85" s="36">
        <v>215</v>
      </c>
      <c r="G85" s="36">
        <v>336</v>
      </c>
      <c r="H85" s="85" t="s">
        <v>20</v>
      </c>
      <c r="I85" s="85" t="s">
        <v>20</v>
      </c>
      <c r="J85" s="98"/>
    </row>
    <row r="86" spans="1:10" x14ac:dyDescent="0.25">
      <c r="A86" s="51">
        <v>45863</v>
      </c>
      <c r="B86" s="52">
        <v>23.8</v>
      </c>
      <c r="C86" s="52">
        <v>40.5</v>
      </c>
      <c r="D86" s="52" t="s">
        <v>48</v>
      </c>
      <c r="E86" s="52" t="s">
        <v>48</v>
      </c>
      <c r="F86" s="36">
        <v>298</v>
      </c>
      <c r="G86" s="36">
        <v>313</v>
      </c>
      <c r="H86" s="85" t="s">
        <v>23</v>
      </c>
      <c r="I86" s="85" t="s">
        <v>21</v>
      </c>
      <c r="J86" s="98" t="s">
        <v>41</v>
      </c>
    </row>
    <row r="87" spans="1:10" x14ac:dyDescent="0.25">
      <c r="A87" s="51">
        <v>45864</v>
      </c>
      <c r="B87" s="52">
        <v>24.5</v>
      </c>
      <c r="C87" s="52">
        <v>42.5</v>
      </c>
      <c r="D87" s="52" t="s">
        <v>48</v>
      </c>
      <c r="E87" s="52" t="s">
        <v>48</v>
      </c>
      <c r="F87" s="36">
        <v>284</v>
      </c>
      <c r="G87" s="36">
        <v>343</v>
      </c>
      <c r="H87" s="85" t="s">
        <v>20</v>
      </c>
      <c r="I87" s="85" t="s">
        <v>23</v>
      </c>
      <c r="J87" s="98" t="s">
        <v>43</v>
      </c>
    </row>
    <row r="88" spans="1:10" x14ac:dyDescent="0.25">
      <c r="A88" s="51">
        <v>45865</v>
      </c>
      <c r="B88" s="52"/>
      <c r="C88" s="52"/>
      <c r="D88" s="52"/>
      <c r="E88" s="52"/>
      <c r="F88" s="36"/>
      <c r="G88" s="36"/>
      <c r="H88" s="85" t="s">
        <v>21</v>
      </c>
      <c r="I88" s="85" t="s">
        <v>21</v>
      </c>
      <c r="J88" s="98" t="s">
        <v>40</v>
      </c>
    </row>
    <row r="89" spans="1:10" x14ac:dyDescent="0.25">
      <c r="A89" s="51">
        <v>45866</v>
      </c>
      <c r="B89" s="52">
        <v>25.3</v>
      </c>
      <c r="C89" s="52">
        <v>46.8</v>
      </c>
      <c r="D89" s="52" t="s">
        <v>49</v>
      </c>
      <c r="E89" s="52" t="s">
        <v>49</v>
      </c>
      <c r="F89" s="36">
        <v>328</v>
      </c>
      <c r="G89" s="36">
        <v>361</v>
      </c>
      <c r="H89" s="85" t="s">
        <v>20</v>
      </c>
      <c r="I89" s="85" t="s">
        <v>21</v>
      </c>
      <c r="J89" s="98" t="s">
        <v>44</v>
      </c>
    </row>
    <row r="90" spans="1:10" x14ac:dyDescent="0.25">
      <c r="A90" s="51">
        <v>45867</v>
      </c>
      <c r="B90" s="52"/>
      <c r="C90" s="52"/>
      <c r="D90" s="52"/>
      <c r="E90" s="52"/>
      <c r="F90" s="36"/>
      <c r="G90" s="36">
        <v>352</v>
      </c>
      <c r="H90" s="85"/>
      <c r="I90" s="85" t="s">
        <v>21</v>
      </c>
      <c r="J90" s="98" t="s">
        <v>42</v>
      </c>
    </row>
    <row r="91" spans="1:10" x14ac:dyDescent="0.25">
      <c r="A91" s="51">
        <v>45868</v>
      </c>
      <c r="B91" s="52"/>
      <c r="C91" s="52"/>
      <c r="D91" s="52"/>
      <c r="E91" s="52"/>
      <c r="F91" s="36"/>
      <c r="G91" s="36"/>
      <c r="H91" s="85"/>
      <c r="I91" s="85"/>
      <c r="J91" s="98"/>
    </row>
    <row r="92" spans="1:10" x14ac:dyDescent="0.25">
      <c r="A92" s="51">
        <v>45869</v>
      </c>
      <c r="B92" s="52">
        <v>29.1</v>
      </c>
      <c r="C92" s="52">
        <v>43.4</v>
      </c>
      <c r="D92" s="52" t="s">
        <v>48</v>
      </c>
      <c r="E92" s="52" t="s">
        <v>48</v>
      </c>
      <c r="F92" s="36">
        <v>228</v>
      </c>
      <c r="G92" s="36">
        <v>313</v>
      </c>
      <c r="H92" s="85" t="s">
        <v>20</v>
      </c>
      <c r="I92" s="85" t="s">
        <v>20</v>
      </c>
      <c r="J92" s="98"/>
    </row>
    <row r="93" spans="1:10" x14ac:dyDescent="0.25">
      <c r="A93" s="51">
        <v>45870</v>
      </c>
      <c r="B93" s="52"/>
      <c r="C93" s="52"/>
      <c r="D93" s="52"/>
      <c r="E93" s="52"/>
      <c r="F93" s="36"/>
      <c r="G93" s="36"/>
      <c r="H93" s="85" t="s">
        <v>20</v>
      </c>
      <c r="I93" s="85" t="s">
        <v>20</v>
      </c>
      <c r="J93" s="98"/>
    </row>
    <row r="94" spans="1:10" x14ac:dyDescent="0.25">
      <c r="A94" s="51">
        <v>45871</v>
      </c>
      <c r="B94" s="52"/>
      <c r="C94" s="52"/>
      <c r="D94" s="52"/>
      <c r="E94" s="52"/>
      <c r="F94" s="36"/>
      <c r="G94" s="36"/>
      <c r="H94" s="85" t="s">
        <v>20</v>
      </c>
      <c r="I94" s="85" t="s">
        <v>20</v>
      </c>
      <c r="J94" s="98"/>
    </row>
    <row r="95" spans="1:10" x14ac:dyDescent="0.25">
      <c r="A95" s="51">
        <v>45872</v>
      </c>
      <c r="B95" s="52"/>
      <c r="C95" s="52"/>
      <c r="D95" s="52"/>
      <c r="E95" s="52"/>
      <c r="F95" s="52"/>
      <c r="G95" s="52"/>
      <c r="H95" s="85" t="s">
        <v>20</v>
      </c>
      <c r="I95" s="85" t="s">
        <v>20</v>
      </c>
      <c r="J95" s="98"/>
    </row>
    <row r="96" spans="1:10" x14ac:dyDescent="0.25">
      <c r="A96" s="51">
        <v>45873</v>
      </c>
      <c r="B96" s="52">
        <v>28.8</v>
      </c>
      <c r="C96" s="52">
        <v>42.5</v>
      </c>
      <c r="D96" s="52" t="s">
        <v>47</v>
      </c>
      <c r="E96" s="52" t="s">
        <v>47</v>
      </c>
      <c r="F96" s="39">
        <v>206</v>
      </c>
      <c r="G96" s="39">
        <v>294</v>
      </c>
      <c r="H96" s="85" t="s">
        <v>20</v>
      </c>
      <c r="I96" s="85" t="s">
        <v>20</v>
      </c>
      <c r="J96" s="98"/>
    </row>
    <row r="97" spans="1:10" x14ac:dyDescent="0.25">
      <c r="A97" s="51">
        <v>45874</v>
      </c>
      <c r="B97" s="52">
        <v>29.6</v>
      </c>
      <c r="C97" s="52">
        <v>45.1</v>
      </c>
      <c r="D97" s="52" t="s">
        <v>48</v>
      </c>
      <c r="E97" s="52" t="s">
        <v>48</v>
      </c>
      <c r="F97" s="39">
        <v>230</v>
      </c>
      <c r="G97" s="39">
        <v>324</v>
      </c>
      <c r="H97" s="85" t="s">
        <v>20</v>
      </c>
      <c r="I97" s="85" t="s">
        <v>20</v>
      </c>
      <c r="J97" s="98" t="s">
        <v>51</v>
      </c>
    </row>
    <row r="98" spans="1:10" x14ac:dyDescent="0.25">
      <c r="A98" s="51">
        <v>45875</v>
      </c>
      <c r="B98" s="52"/>
      <c r="C98" s="52"/>
      <c r="D98" s="52"/>
      <c r="E98" s="52"/>
      <c r="F98" s="52"/>
      <c r="G98" s="52"/>
      <c r="H98" s="85" t="s">
        <v>20</v>
      </c>
      <c r="I98" s="85" t="s">
        <v>20</v>
      </c>
      <c r="J98" s="98" t="s">
        <v>52</v>
      </c>
    </row>
    <row r="99" spans="1:10" x14ac:dyDescent="0.25">
      <c r="A99" s="51">
        <v>45876</v>
      </c>
      <c r="B99" s="52"/>
      <c r="C99" s="52"/>
      <c r="D99" s="52"/>
      <c r="E99" s="52"/>
      <c r="F99" s="52"/>
      <c r="G99" s="52"/>
      <c r="H99" s="85" t="s">
        <v>20</v>
      </c>
      <c r="I99" s="85" t="s">
        <v>20</v>
      </c>
      <c r="J99" s="98" t="s">
        <v>50</v>
      </c>
    </row>
    <row r="100" spans="1:10" x14ac:dyDescent="0.25">
      <c r="A100" s="51">
        <v>45877</v>
      </c>
      <c r="B100" s="52"/>
      <c r="C100" s="52"/>
      <c r="D100" s="52"/>
      <c r="E100" s="52"/>
      <c r="F100" s="52"/>
      <c r="G100" s="52"/>
      <c r="H100" s="85" t="s">
        <v>20</v>
      </c>
      <c r="I100" s="85" t="s">
        <v>20</v>
      </c>
      <c r="J100" s="98" t="s">
        <v>53</v>
      </c>
    </row>
    <row r="101" spans="1:10" x14ac:dyDescent="0.25">
      <c r="A101" s="51">
        <v>45878</v>
      </c>
      <c r="B101" s="52"/>
      <c r="C101" s="52"/>
      <c r="D101" s="52"/>
      <c r="E101" s="52"/>
      <c r="F101" s="52"/>
      <c r="G101" s="52"/>
      <c r="H101" s="85" t="s">
        <v>20</v>
      </c>
      <c r="I101" s="85" t="s">
        <v>20</v>
      </c>
      <c r="J101" s="98"/>
    </row>
    <row r="102" spans="1:10" x14ac:dyDescent="0.25">
      <c r="A102" s="51">
        <v>45879</v>
      </c>
      <c r="B102" s="52"/>
      <c r="C102" s="52"/>
      <c r="D102" s="52"/>
      <c r="E102" s="52"/>
      <c r="F102" s="52"/>
      <c r="G102" s="52"/>
      <c r="H102" s="85" t="s">
        <v>20</v>
      </c>
      <c r="I102" s="85" t="s">
        <v>20</v>
      </c>
      <c r="J102" s="98"/>
    </row>
    <row r="103" spans="1:10" x14ac:dyDescent="0.25">
      <c r="A103" s="51">
        <v>45880</v>
      </c>
      <c r="B103" s="52">
        <v>29.1</v>
      </c>
      <c r="C103" s="52">
        <v>42.1</v>
      </c>
      <c r="D103" s="52" t="s">
        <v>49</v>
      </c>
      <c r="E103" s="52" t="s">
        <v>48</v>
      </c>
      <c r="F103" s="36">
        <v>345</v>
      </c>
      <c r="G103" s="52">
        <v>275</v>
      </c>
      <c r="H103" s="85" t="s">
        <v>20</v>
      </c>
      <c r="I103" s="85" t="s">
        <v>20</v>
      </c>
      <c r="J103" s="98"/>
    </row>
    <row r="104" spans="1:10" x14ac:dyDescent="0.25">
      <c r="A104" s="51">
        <v>45881</v>
      </c>
      <c r="B104" s="52">
        <v>28.4</v>
      </c>
      <c r="C104" s="52">
        <v>43.2</v>
      </c>
      <c r="D104" s="52" t="s">
        <v>47</v>
      </c>
      <c r="E104" s="52" t="s">
        <v>54</v>
      </c>
      <c r="F104" s="52">
        <v>198</v>
      </c>
      <c r="G104" s="39">
        <v>212</v>
      </c>
      <c r="H104" s="85" t="s">
        <v>20</v>
      </c>
      <c r="I104" s="85" t="s">
        <v>20</v>
      </c>
      <c r="J104" s="98" t="s">
        <v>55</v>
      </c>
    </row>
    <row r="105" spans="1:10" x14ac:dyDescent="0.25">
      <c r="A105" s="51">
        <v>45882</v>
      </c>
      <c r="B105" s="52">
        <v>28.9</v>
      </c>
      <c r="C105" s="52">
        <v>42.9</v>
      </c>
      <c r="D105" s="52" t="s">
        <v>56</v>
      </c>
      <c r="E105" s="52" t="s">
        <v>48</v>
      </c>
      <c r="F105" s="39">
        <v>275</v>
      </c>
      <c r="G105" s="39">
        <v>318</v>
      </c>
      <c r="H105" s="85" t="s">
        <v>20</v>
      </c>
      <c r="I105" s="85" t="s">
        <v>20</v>
      </c>
      <c r="J105" s="98"/>
    </row>
    <row r="106" spans="1:10" x14ac:dyDescent="0.25">
      <c r="A106" s="51">
        <v>45883</v>
      </c>
      <c r="B106" s="52">
        <v>29.1</v>
      </c>
      <c r="C106" s="52">
        <v>45.2</v>
      </c>
      <c r="D106" s="52" t="s">
        <v>56</v>
      </c>
      <c r="E106" s="52" t="s">
        <v>54</v>
      </c>
      <c r="F106" s="39">
        <v>294</v>
      </c>
      <c r="G106" s="39">
        <v>310</v>
      </c>
      <c r="H106" s="85" t="s">
        <v>20</v>
      </c>
      <c r="I106" s="85" t="s">
        <v>20</v>
      </c>
      <c r="J106" s="98"/>
    </row>
    <row r="107" spans="1:10" x14ac:dyDescent="0.25">
      <c r="A107" s="51">
        <v>45884</v>
      </c>
      <c r="B107" s="52">
        <v>28.6</v>
      </c>
      <c r="C107" s="52">
        <v>45.8</v>
      </c>
      <c r="D107" s="52" t="s">
        <v>56</v>
      </c>
      <c r="E107" s="52" t="s">
        <v>54</v>
      </c>
      <c r="F107" s="39">
        <v>297</v>
      </c>
      <c r="G107" s="39">
        <v>329</v>
      </c>
      <c r="H107" s="85" t="s">
        <v>20</v>
      </c>
      <c r="I107" s="85" t="s">
        <v>20</v>
      </c>
      <c r="J107" s="98"/>
    </row>
    <row r="108" spans="1:10" x14ac:dyDescent="0.25">
      <c r="A108" s="51">
        <v>45885</v>
      </c>
      <c r="B108" s="52">
        <v>28.7</v>
      </c>
      <c r="C108" s="52">
        <v>46.1</v>
      </c>
      <c r="D108" s="52" t="s">
        <v>56</v>
      </c>
      <c r="E108" s="52" t="s">
        <v>48</v>
      </c>
      <c r="F108" s="52">
        <v>302</v>
      </c>
      <c r="G108" s="39">
        <v>323</v>
      </c>
      <c r="H108" s="85" t="s">
        <v>21</v>
      </c>
      <c r="I108" s="85" t="s">
        <v>21</v>
      </c>
      <c r="J108" s="98" t="s">
        <v>72</v>
      </c>
    </row>
    <row r="109" spans="1:10" x14ac:dyDescent="0.25">
      <c r="A109" s="51">
        <v>45886</v>
      </c>
      <c r="B109" s="52">
        <v>28.1</v>
      </c>
      <c r="C109" s="52">
        <v>47.3</v>
      </c>
      <c r="D109" s="52" t="s">
        <v>56</v>
      </c>
      <c r="E109" s="52" t="s">
        <v>48</v>
      </c>
      <c r="F109" s="52">
        <v>265</v>
      </c>
      <c r="G109" s="52">
        <v>241</v>
      </c>
      <c r="H109" s="85" t="s">
        <v>20</v>
      </c>
      <c r="I109" s="85" t="s">
        <v>20</v>
      </c>
      <c r="J109" s="98"/>
    </row>
    <row r="110" spans="1:10" x14ac:dyDescent="0.25">
      <c r="A110" s="51">
        <v>45887</v>
      </c>
      <c r="B110" s="52"/>
      <c r="C110" s="52"/>
      <c r="D110" s="52"/>
      <c r="E110" s="52"/>
      <c r="F110" s="52"/>
      <c r="G110" s="52"/>
      <c r="H110" s="85"/>
      <c r="I110" s="85"/>
      <c r="J110" s="98"/>
    </row>
    <row r="111" spans="1:10" x14ac:dyDescent="0.25">
      <c r="A111" s="51">
        <v>45888</v>
      </c>
      <c r="B111" s="52">
        <v>27.6</v>
      </c>
      <c r="C111" s="52">
        <v>46.2</v>
      </c>
      <c r="D111" s="52" t="s">
        <v>48</v>
      </c>
      <c r="E111" s="52" t="s">
        <v>47</v>
      </c>
      <c r="F111" s="52">
        <v>258</v>
      </c>
      <c r="G111" s="52">
        <v>246</v>
      </c>
      <c r="H111" s="85" t="s">
        <v>21</v>
      </c>
      <c r="I111" s="85" t="s">
        <v>21</v>
      </c>
      <c r="J111" s="98" t="s">
        <v>73</v>
      </c>
    </row>
    <row r="112" spans="1:10" x14ac:dyDescent="0.25">
      <c r="A112" s="51">
        <v>45889</v>
      </c>
      <c r="B112" s="52">
        <v>28.7</v>
      </c>
      <c r="C112" s="52">
        <v>41.4</v>
      </c>
      <c r="D112" s="52" t="s">
        <v>48</v>
      </c>
      <c r="E112" s="52" t="s">
        <v>47</v>
      </c>
      <c r="F112" s="52">
        <v>246</v>
      </c>
      <c r="G112" s="39">
        <v>329</v>
      </c>
      <c r="H112" s="85" t="s">
        <v>20</v>
      </c>
      <c r="I112" s="85" t="s">
        <v>20</v>
      </c>
      <c r="J112" s="98"/>
    </row>
    <row r="113" spans="1:10" x14ac:dyDescent="0.25">
      <c r="A113" s="51">
        <v>45890</v>
      </c>
      <c r="B113" s="52">
        <v>29.4</v>
      </c>
      <c r="C113" s="52">
        <v>41.4</v>
      </c>
      <c r="D113" s="52" t="s">
        <v>48</v>
      </c>
      <c r="E113" s="52" t="s">
        <v>47</v>
      </c>
      <c r="F113" s="52">
        <v>238</v>
      </c>
      <c r="G113" s="39">
        <v>343</v>
      </c>
      <c r="H113" s="85" t="s">
        <v>20</v>
      </c>
      <c r="I113" s="85" t="s">
        <v>20</v>
      </c>
      <c r="J113" s="98"/>
    </row>
    <row r="114" spans="1:10" x14ac:dyDescent="0.25">
      <c r="A114" s="51">
        <v>45891</v>
      </c>
      <c r="B114" s="52">
        <v>28.6</v>
      </c>
      <c r="C114" s="52">
        <v>42.3</v>
      </c>
      <c r="D114" s="52" t="s">
        <v>48</v>
      </c>
      <c r="E114" s="52" t="s">
        <v>48</v>
      </c>
      <c r="F114" s="52">
        <v>284</v>
      </c>
      <c r="G114" s="39">
        <v>279</v>
      </c>
      <c r="H114" s="85" t="s">
        <v>20</v>
      </c>
      <c r="I114" s="85" t="s">
        <v>20</v>
      </c>
      <c r="J114" s="98"/>
    </row>
    <row r="115" spans="1:10" x14ac:dyDescent="0.25">
      <c r="A115" s="51">
        <v>45892</v>
      </c>
      <c r="B115" s="52"/>
      <c r="C115" s="52"/>
      <c r="D115" s="52"/>
      <c r="E115" s="52"/>
      <c r="F115" s="52"/>
      <c r="G115" s="52"/>
      <c r="H115" s="85"/>
      <c r="I115" s="85"/>
      <c r="J115" s="98"/>
    </row>
    <row r="116" spans="1:10" x14ac:dyDescent="0.25">
      <c r="A116" s="51">
        <v>45893</v>
      </c>
      <c r="B116" s="52"/>
      <c r="C116" s="52"/>
      <c r="D116" s="52"/>
      <c r="E116" s="52"/>
      <c r="F116" s="52"/>
      <c r="G116" s="52"/>
      <c r="H116" s="85"/>
      <c r="I116" s="85"/>
      <c r="J116" s="98"/>
    </row>
    <row r="117" spans="1:10" x14ac:dyDescent="0.25">
      <c r="A117" s="51">
        <v>45894</v>
      </c>
      <c r="B117" s="52"/>
      <c r="C117" s="52"/>
      <c r="D117" s="39"/>
      <c r="E117" s="52"/>
      <c r="F117" s="52"/>
      <c r="G117" s="52"/>
      <c r="H117" s="85"/>
      <c r="I117" s="85"/>
      <c r="J117" s="98"/>
    </row>
    <row r="118" spans="1:10" x14ac:dyDescent="0.25">
      <c r="A118" s="51">
        <v>45895</v>
      </c>
      <c r="B118" s="52"/>
      <c r="C118" s="52"/>
      <c r="D118" s="52"/>
      <c r="E118" s="52"/>
      <c r="F118" s="52"/>
      <c r="G118" s="52"/>
      <c r="H118" s="85"/>
      <c r="I118" s="85"/>
      <c r="J118" s="98"/>
    </row>
    <row r="119" spans="1:10" x14ac:dyDescent="0.25">
      <c r="A119" s="51">
        <v>45896</v>
      </c>
      <c r="B119" s="52">
        <v>30.3</v>
      </c>
      <c r="C119" s="52">
        <v>43.6</v>
      </c>
      <c r="D119" s="52" t="s">
        <v>47</v>
      </c>
      <c r="E119" s="52" t="s">
        <v>48</v>
      </c>
      <c r="F119" s="39">
        <v>204</v>
      </c>
      <c r="G119" s="39">
        <v>280</v>
      </c>
      <c r="H119" s="85" t="s">
        <v>21</v>
      </c>
      <c r="I119" s="85" t="s">
        <v>21</v>
      </c>
      <c r="J119" s="98" t="s">
        <v>74</v>
      </c>
    </row>
    <row r="120" spans="1:10" x14ac:dyDescent="0.25">
      <c r="A120" s="51">
        <v>45897</v>
      </c>
      <c r="B120" s="52"/>
      <c r="C120" s="52"/>
      <c r="D120" s="52"/>
      <c r="E120" s="52"/>
      <c r="F120" s="39"/>
      <c r="G120" s="39"/>
      <c r="H120" s="85"/>
      <c r="I120" s="85"/>
      <c r="J120" s="98"/>
    </row>
    <row r="121" spans="1:10" x14ac:dyDescent="0.25">
      <c r="A121" s="51">
        <v>45898</v>
      </c>
      <c r="B121" s="52">
        <v>30.9</v>
      </c>
      <c r="C121" s="52">
        <v>45.3</v>
      </c>
      <c r="D121" s="52" t="s">
        <v>48</v>
      </c>
      <c r="E121" s="52" t="s">
        <v>48</v>
      </c>
      <c r="F121" s="39">
        <v>248</v>
      </c>
      <c r="G121" s="39">
        <v>315</v>
      </c>
      <c r="H121" s="85" t="s">
        <v>20</v>
      </c>
      <c r="I121" s="85" t="s">
        <v>20</v>
      </c>
      <c r="J121" s="98"/>
    </row>
    <row r="122" spans="1:10" x14ac:dyDescent="0.25">
      <c r="A122" s="51">
        <v>45899</v>
      </c>
      <c r="B122" s="52"/>
      <c r="C122" s="52"/>
      <c r="D122" s="52"/>
      <c r="E122" s="52"/>
      <c r="F122" s="39"/>
      <c r="G122" s="39"/>
      <c r="H122" s="85" t="s">
        <v>20</v>
      </c>
      <c r="I122" s="85" t="s">
        <v>20</v>
      </c>
      <c r="J122" s="98"/>
    </row>
    <row r="123" spans="1:10" x14ac:dyDescent="0.25">
      <c r="A123" s="51">
        <v>45900</v>
      </c>
      <c r="B123" s="52"/>
      <c r="C123" s="52"/>
      <c r="D123" s="52"/>
      <c r="E123" s="52"/>
      <c r="F123" s="52"/>
      <c r="G123" s="52"/>
      <c r="H123" s="85" t="s">
        <v>20</v>
      </c>
      <c r="I123" s="85" t="s">
        <v>20</v>
      </c>
      <c r="J123" s="98"/>
    </row>
    <row r="124" spans="1:10" x14ac:dyDescent="0.25">
      <c r="A124" s="51">
        <v>45901</v>
      </c>
      <c r="B124" s="52">
        <v>31.5</v>
      </c>
      <c r="C124" s="52">
        <v>44.9</v>
      </c>
      <c r="D124" s="52" t="s">
        <v>47</v>
      </c>
      <c r="E124" s="52" t="s">
        <v>47</v>
      </c>
      <c r="F124" s="52">
        <v>226</v>
      </c>
      <c r="G124" s="52">
        <v>189</v>
      </c>
      <c r="H124" s="85" t="s">
        <v>20</v>
      </c>
      <c r="I124" s="85" t="s">
        <v>20</v>
      </c>
      <c r="J124" s="98"/>
    </row>
    <row r="125" spans="1:10" x14ac:dyDescent="0.25">
      <c r="A125" s="51">
        <v>45902</v>
      </c>
      <c r="B125" s="52">
        <v>29.1</v>
      </c>
      <c r="C125" s="52">
        <v>46.2</v>
      </c>
      <c r="D125" s="52" t="s">
        <v>48</v>
      </c>
      <c r="E125" s="52" t="s">
        <v>47</v>
      </c>
      <c r="F125" s="52">
        <v>249</v>
      </c>
      <c r="G125" s="52">
        <v>215</v>
      </c>
      <c r="H125" s="85" t="s">
        <v>20</v>
      </c>
      <c r="I125" s="85" t="s">
        <v>20</v>
      </c>
      <c r="J125" s="98"/>
    </row>
    <row r="126" spans="1:10" x14ac:dyDescent="0.25">
      <c r="A126" s="51">
        <v>45903</v>
      </c>
      <c r="B126" s="52">
        <v>28.7</v>
      </c>
      <c r="C126" s="52">
        <v>45.1</v>
      </c>
      <c r="D126" s="52" t="s">
        <v>49</v>
      </c>
      <c r="E126" s="52" t="s">
        <v>49</v>
      </c>
      <c r="F126" s="39">
        <v>278</v>
      </c>
      <c r="G126" s="39">
        <v>304</v>
      </c>
      <c r="H126" s="85" t="s">
        <v>20</v>
      </c>
      <c r="I126" s="85" t="s">
        <v>20</v>
      </c>
      <c r="J126" s="98"/>
    </row>
    <row r="127" spans="1:10" x14ac:dyDescent="0.25">
      <c r="A127" s="51">
        <v>45904</v>
      </c>
      <c r="B127" s="52">
        <v>29.4</v>
      </c>
      <c r="C127" s="52">
        <v>46.1</v>
      </c>
      <c r="D127" s="52" t="s">
        <v>48</v>
      </c>
      <c r="E127" s="52" t="s">
        <v>48</v>
      </c>
      <c r="F127" s="39">
        <v>246</v>
      </c>
      <c r="G127" s="39">
        <v>299</v>
      </c>
      <c r="H127" s="85" t="s">
        <v>21</v>
      </c>
      <c r="I127" s="85" t="s">
        <v>21</v>
      </c>
      <c r="J127" s="98" t="s">
        <v>75</v>
      </c>
    </row>
    <row r="128" spans="1:10" x14ac:dyDescent="0.25">
      <c r="A128" s="51">
        <v>45905</v>
      </c>
      <c r="B128" s="52">
        <v>28.4</v>
      </c>
      <c r="C128" s="52">
        <v>45.8</v>
      </c>
      <c r="D128" s="52" t="s">
        <v>49</v>
      </c>
      <c r="E128" s="52" t="s">
        <v>48</v>
      </c>
      <c r="F128" s="39">
        <v>276</v>
      </c>
      <c r="G128" s="39">
        <v>308</v>
      </c>
      <c r="H128" s="85" t="s">
        <v>20</v>
      </c>
      <c r="I128" s="85" t="s">
        <v>20</v>
      </c>
      <c r="J128" s="98"/>
    </row>
    <row r="129" spans="1:10" x14ac:dyDescent="0.25">
      <c r="A129" s="51">
        <v>45906</v>
      </c>
      <c r="B129" s="52"/>
      <c r="C129" s="52"/>
      <c r="D129" s="52"/>
      <c r="E129" s="52"/>
      <c r="F129" s="39"/>
      <c r="G129" s="39"/>
      <c r="H129" s="85" t="s">
        <v>20</v>
      </c>
      <c r="I129" s="85" t="s">
        <v>20</v>
      </c>
      <c r="J129" s="98"/>
    </row>
    <row r="130" spans="1:10" x14ac:dyDescent="0.25">
      <c r="A130" s="51">
        <v>45907</v>
      </c>
      <c r="B130" s="52"/>
      <c r="C130" s="52"/>
      <c r="D130" s="52"/>
      <c r="E130" s="52"/>
      <c r="F130" s="39"/>
      <c r="G130" s="39"/>
      <c r="H130" s="85" t="s">
        <v>20</v>
      </c>
      <c r="I130" s="85" t="s">
        <v>20</v>
      </c>
      <c r="J130" s="98"/>
    </row>
    <row r="131" spans="1:10" x14ac:dyDescent="0.25">
      <c r="A131" s="51">
        <v>45908</v>
      </c>
      <c r="B131" s="52"/>
      <c r="C131" s="52"/>
      <c r="D131" s="52"/>
      <c r="E131" s="52"/>
      <c r="F131" s="39"/>
      <c r="G131" s="39"/>
      <c r="H131" s="85" t="s">
        <v>20</v>
      </c>
      <c r="I131" s="85" t="s">
        <v>20</v>
      </c>
      <c r="J131" s="98"/>
    </row>
    <row r="132" spans="1:10" x14ac:dyDescent="0.25">
      <c r="A132" s="51">
        <v>45909</v>
      </c>
      <c r="B132" s="52">
        <v>29.7</v>
      </c>
      <c r="C132" s="52">
        <v>41.8</v>
      </c>
      <c r="D132" s="52" t="s">
        <v>48</v>
      </c>
      <c r="E132" s="52" t="s">
        <v>48</v>
      </c>
      <c r="F132" s="39">
        <v>217</v>
      </c>
      <c r="G132" s="39">
        <v>306</v>
      </c>
      <c r="H132" s="85" t="s">
        <v>20</v>
      </c>
      <c r="I132" s="85" t="s">
        <v>20</v>
      </c>
      <c r="J132" s="98"/>
    </row>
    <row r="133" spans="1:10" x14ac:dyDescent="0.25">
      <c r="A133" s="51">
        <v>45910</v>
      </c>
      <c r="B133" s="52">
        <v>24.6</v>
      </c>
      <c r="C133" s="52">
        <v>42.1</v>
      </c>
      <c r="D133" s="52" t="s">
        <v>49</v>
      </c>
      <c r="E133" s="52" t="s">
        <v>48</v>
      </c>
      <c r="F133" s="39">
        <v>284</v>
      </c>
      <c r="G133" s="39">
        <v>312</v>
      </c>
      <c r="H133" s="85" t="s">
        <v>21</v>
      </c>
      <c r="I133" s="85" t="s">
        <v>21</v>
      </c>
      <c r="J133" s="98" t="s">
        <v>77</v>
      </c>
    </row>
    <row r="134" spans="1:10" x14ac:dyDescent="0.25">
      <c r="A134" s="51">
        <v>45911</v>
      </c>
      <c r="B134" s="52">
        <v>29.7</v>
      </c>
      <c r="C134" s="52">
        <v>43.5</v>
      </c>
      <c r="D134" s="52" t="s">
        <v>49</v>
      </c>
      <c r="E134" s="52" t="s">
        <v>47</v>
      </c>
      <c r="F134" s="39">
        <v>263</v>
      </c>
      <c r="G134" s="39">
        <v>221</v>
      </c>
      <c r="H134" s="85" t="s">
        <v>20</v>
      </c>
      <c r="I134" s="85" t="s">
        <v>20</v>
      </c>
      <c r="J134" s="98"/>
    </row>
    <row r="135" spans="1:10" x14ac:dyDescent="0.25">
      <c r="A135" s="51">
        <v>45912</v>
      </c>
      <c r="B135" s="52">
        <v>29.7</v>
      </c>
      <c r="C135" s="52">
        <v>43.2</v>
      </c>
      <c r="D135" s="52" t="s">
        <v>48</v>
      </c>
      <c r="E135" s="52" t="s">
        <v>47</v>
      </c>
      <c r="F135" s="39">
        <v>253</v>
      </c>
      <c r="G135" s="39">
        <v>277</v>
      </c>
      <c r="H135" s="85" t="s">
        <v>20</v>
      </c>
      <c r="I135" s="85" t="s">
        <v>20</v>
      </c>
      <c r="J135" s="98"/>
    </row>
    <row r="136" spans="1:10" x14ac:dyDescent="0.25">
      <c r="A136" s="51">
        <v>45913</v>
      </c>
      <c r="B136" s="52">
        <v>29.8</v>
      </c>
      <c r="C136" s="52">
        <v>44.9</v>
      </c>
      <c r="D136" s="52" t="s">
        <v>48</v>
      </c>
      <c r="E136" s="52" t="s">
        <v>47</v>
      </c>
      <c r="F136" s="39">
        <v>278</v>
      </c>
      <c r="G136" s="52">
        <v>216</v>
      </c>
      <c r="H136" s="85" t="s">
        <v>20</v>
      </c>
      <c r="I136" s="85" t="s">
        <v>20</v>
      </c>
      <c r="J136" s="98"/>
    </row>
    <row r="137" spans="1:10" x14ac:dyDescent="0.25">
      <c r="A137" s="51">
        <v>45914</v>
      </c>
      <c r="B137" s="52"/>
      <c r="C137" s="52"/>
      <c r="D137" s="52"/>
      <c r="E137" s="52"/>
      <c r="F137" s="52"/>
      <c r="G137" s="52"/>
      <c r="H137" s="85" t="s">
        <v>20</v>
      </c>
      <c r="I137" s="85" t="s">
        <v>20</v>
      </c>
      <c r="J137" s="98"/>
    </row>
    <row r="138" spans="1:10" x14ac:dyDescent="0.25">
      <c r="A138" s="53">
        <v>45915</v>
      </c>
      <c r="B138" s="54"/>
      <c r="C138" s="54"/>
      <c r="D138" s="54"/>
      <c r="E138" s="54"/>
      <c r="F138" s="54"/>
      <c r="G138" s="54"/>
      <c r="H138" s="86" t="s">
        <v>20</v>
      </c>
      <c r="I138" s="86" t="s">
        <v>20</v>
      </c>
      <c r="J138" s="98"/>
    </row>
    <row r="139" spans="1:10" x14ac:dyDescent="0.25">
      <c r="A139" s="53">
        <v>45916</v>
      </c>
      <c r="B139" s="54"/>
      <c r="C139" s="54"/>
      <c r="D139" s="54"/>
      <c r="E139" s="54"/>
      <c r="F139" s="54"/>
      <c r="G139" s="54"/>
      <c r="H139" s="86" t="s">
        <v>20</v>
      </c>
      <c r="I139" s="86" t="s">
        <v>20</v>
      </c>
      <c r="J139" s="98"/>
    </row>
    <row r="140" spans="1:10" x14ac:dyDescent="0.25">
      <c r="A140" s="53">
        <v>45917</v>
      </c>
      <c r="B140" s="54">
        <v>29.3</v>
      </c>
      <c r="C140" s="54">
        <v>42</v>
      </c>
      <c r="D140" s="54" t="s">
        <v>49</v>
      </c>
      <c r="E140" s="54" t="s">
        <v>48</v>
      </c>
      <c r="F140" s="38">
        <v>191</v>
      </c>
      <c r="G140" s="38">
        <v>253</v>
      </c>
      <c r="H140" s="86" t="s">
        <v>20</v>
      </c>
      <c r="I140" s="86" t="s">
        <v>20</v>
      </c>
      <c r="J140" s="98"/>
    </row>
    <row r="141" spans="1:10" x14ac:dyDescent="0.25">
      <c r="A141" s="53">
        <v>45918</v>
      </c>
      <c r="B141" s="54"/>
      <c r="C141" s="54"/>
      <c r="D141" s="54"/>
      <c r="E141" s="54"/>
      <c r="F141" s="54"/>
      <c r="G141" s="54"/>
      <c r="H141" s="86"/>
      <c r="I141" s="86"/>
      <c r="J141" s="98"/>
    </row>
    <row r="142" spans="1:10" x14ac:dyDescent="0.25">
      <c r="A142" s="53">
        <v>45919</v>
      </c>
      <c r="B142" s="54">
        <v>29.3</v>
      </c>
      <c r="C142" s="54">
        <v>42.1</v>
      </c>
      <c r="D142" s="54" t="s">
        <v>48</v>
      </c>
      <c r="E142" s="54" t="s">
        <v>47</v>
      </c>
      <c r="F142" s="38">
        <v>274</v>
      </c>
      <c r="G142" s="38">
        <v>207</v>
      </c>
      <c r="H142" s="86" t="s">
        <v>21</v>
      </c>
      <c r="I142" s="86" t="s">
        <v>21</v>
      </c>
      <c r="J142" s="98" t="s">
        <v>76</v>
      </c>
    </row>
    <row r="143" spans="1:10" x14ac:dyDescent="0.25">
      <c r="A143" s="53">
        <v>45920</v>
      </c>
      <c r="B143" s="54"/>
      <c r="C143" s="54"/>
      <c r="D143" s="54"/>
      <c r="E143" s="54"/>
      <c r="F143" s="38"/>
      <c r="G143" s="38"/>
      <c r="H143" s="86"/>
      <c r="I143" s="86"/>
      <c r="J143" s="98"/>
    </row>
    <row r="144" spans="1:10" x14ac:dyDescent="0.25">
      <c r="A144" s="53">
        <v>45921</v>
      </c>
      <c r="B144" s="54">
        <v>28.4</v>
      </c>
      <c r="C144" s="54">
        <v>42.2</v>
      </c>
      <c r="D144" s="54" t="s">
        <v>48</v>
      </c>
      <c r="E144" s="54" t="s">
        <v>49</v>
      </c>
      <c r="F144" s="38">
        <v>245</v>
      </c>
      <c r="G144" s="38">
        <v>356</v>
      </c>
      <c r="H144" s="86" t="s">
        <v>20</v>
      </c>
      <c r="I144" s="86" t="s">
        <v>20</v>
      </c>
      <c r="J144" s="98"/>
    </row>
    <row r="145" spans="1:10" x14ac:dyDescent="0.25">
      <c r="A145" s="53">
        <v>45922</v>
      </c>
      <c r="B145" s="54"/>
      <c r="C145" s="54"/>
      <c r="D145" s="54"/>
      <c r="E145" s="54"/>
      <c r="F145" s="38"/>
      <c r="G145" s="38"/>
      <c r="H145" s="86" t="s">
        <v>20</v>
      </c>
      <c r="I145" s="86" t="s">
        <v>20</v>
      </c>
      <c r="J145" s="98"/>
    </row>
    <row r="146" spans="1:10" x14ac:dyDescent="0.25">
      <c r="A146" s="53">
        <v>45923</v>
      </c>
      <c r="B146" s="54"/>
      <c r="C146" s="54"/>
      <c r="D146" s="54"/>
      <c r="E146" s="54"/>
      <c r="F146" s="54"/>
      <c r="G146" s="54"/>
      <c r="H146" s="86" t="s">
        <v>20</v>
      </c>
      <c r="I146" s="86" t="s">
        <v>20</v>
      </c>
      <c r="J146" s="98"/>
    </row>
    <row r="147" spans="1:10" x14ac:dyDescent="0.25">
      <c r="A147" s="53">
        <v>45924</v>
      </c>
      <c r="B147" s="54">
        <v>28.9</v>
      </c>
      <c r="C147" s="54">
        <v>45.8</v>
      </c>
      <c r="D147" s="54" t="s">
        <v>47</v>
      </c>
      <c r="E147" s="54" t="s">
        <v>48</v>
      </c>
      <c r="F147" s="38">
        <v>215</v>
      </c>
      <c r="G147" s="38">
        <v>295</v>
      </c>
      <c r="H147" s="86" t="s">
        <v>20</v>
      </c>
      <c r="I147" s="86" t="s">
        <v>20</v>
      </c>
      <c r="J147" s="98"/>
    </row>
    <row r="148" spans="1:10" x14ac:dyDescent="0.25">
      <c r="A148" s="53">
        <v>45925</v>
      </c>
      <c r="B148" s="54">
        <v>28.4</v>
      </c>
      <c r="C148" s="54">
        <v>45.6</v>
      </c>
      <c r="D148" s="54" t="s">
        <v>48</v>
      </c>
      <c r="E148" s="54" t="s">
        <v>48</v>
      </c>
      <c r="F148" s="38">
        <v>297</v>
      </c>
      <c r="G148" s="38">
        <v>316</v>
      </c>
      <c r="H148" s="86" t="s">
        <v>20</v>
      </c>
      <c r="I148" s="86" t="s">
        <v>20</v>
      </c>
      <c r="J148" s="98"/>
    </row>
    <row r="149" spans="1:10" x14ac:dyDescent="0.25">
      <c r="A149" s="53">
        <v>45926</v>
      </c>
      <c r="B149" s="54">
        <v>27.6</v>
      </c>
      <c r="C149" s="54">
        <v>47.6</v>
      </c>
      <c r="D149" s="54" t="s">
        <v>47</v>
      </c>
      <c r="E149" s="54" t="s">
        <v>47</v>
      </c>
      <c r="F149" s="38">
        <v>241</v>
      </c>
      <c r="G149" s="38">
        <v>195</v>
      </c>
      <c r="H149" s="86" t="s">
        <v>20</v>
      </c>
      <c r="I149" s="86" t="s">
        <v>20</v>
      </c>
      <c r="J149" s="98"/>
    </row>
    <row r="150" spans="1:10" x14ac:dyDescent="0.25">
      <c r="A150" s="53">
        <v>45927</v>
      </c>
      <c r="B150" s="54"/>
      <c r="C150" s="54"/>
      <c r="D150" s="54"/>
      <c r="E150" s="54"/>
      <c r="F150" s="54"/>
      <c r="G150" s="54"/>
      <c r="H150" s="86" t="s">
        <v>20</v>
      </c>
      <c r="I150" s="86" t="s">
        <v>20</v>
      </c>
      <c r="J150" s="98"/>
    </row>
    <row r="151" spans="1:10" x14ac:dyDescent="0.25">
      <c r="A151" s="53">
        <v>45928</v>
      </c>
      <c r="B151" s="54"/>
      <c r="C151" s="54"/>
      <c r="D151" s="54"/>
      <c r="E151" s="54"/>
      <c r="F151" s="54"/>
      <c r="G151" s="54"/>
      <c r="H151" s="86" t="s">
        <v>20</v>
      </c>
      <c r="I151" s="86" t="s">
        <v>20</v>
      </c>
      <c r="J151" s="98"/>
    </row>
    <row r="152" spans="1:10" x14ac:dyDescent="0.25">
      <c r="A152" s="53">
        <v>45929</v>
      </c>
      <c r="B152" s="54">
        <v>29.2</v>
      </c>
      <c r="C152" s="54">
        <v>46.8</v>
      </c>
      <c r="D152" s="54" t="s">
        <v>48</v>
      </c>
      <c r="E152" s="54" t="s">
        <v>47</v>
      </c>
      <c r="F152" s="38">
        <v>229</v>
      </c>
      <c r="G152" s="38">
        <v>387</v>
      </c>
      <c r="H152" s="86" t="s">
        <v>20</v>
      </c>
      <c r="I152" s="86" t="s">
        <v>20</v>
      </c>
      <c r="J152" s="98"/>
    </row>
    <row r="153" spans="1:10" x14ac:dyDescent="0.25">
      <c r="A153" s="53">
        <v>45930</v>
      </c>
      <c r="B153" s="54">
        <v>27.4</v>
      </c>
      <c r="C153" s="54">
        <v>47.2</v>
      </c>
      <c r="D153" s="54" t="s">
        <v>49</v>
      </c>
      <c r="E153" s="54" t="s">
        <v>49</v>
      </c>
      <c r="F153" s="54">
        <v>302</v>
      </c>
      <c r="G153" s="38">
        <v>408</v>
      </c>
      <c r="H153" s="86" t="s">
        <v>20</v>
      </c>
      <c r="I153" s="86" t="s">
        <v>20</v>
      </c>
      <c r="J153" s="98"/>
    </row>
    <row r="154" spans="1:10" x14ac:dyDescent="0.25">
      <c r="A154" s="53">
        <v>45931</v>
      </c>
      <c r="B154" s="54">
        <v>27.6</v>
      </c>
      <c r="C154" s="54">
        <v>46.8</v>
      </c>
      <c r="D154" s="54" t="s">
        <v>48</v>
      </c>
      <c r="E154" s="54" t="s">
        <v>48</v>
      </c>
      <c r="F154" s="38">
        <v>215</v>
      </c>
      <c r="G154" s="54">
        <v>285</v>
      </c>
      <c r="H154" s="86" t="s">
        <v>21</v>
      </c>
      <c r="I154" s="92" t="s">
        <v>21</v>
      </c>
      <c r="J154" s="98" t="s">
        <v>78</v>
      </c>
    </row>
    <row r="155" spans="1:10" x14ac:dyDescent="0.25">
      <c r="A155" s="53">
        <v>45932</v>
      </c>
      <c r="B155" s="54">
        <v>28.2</v>
      </c>
      <c r="C155" s="54">
        <v>46.5</v>
      </c>
      <c r="D155" s="54" t="s">
        <v>48</v>
      </c>
      <c r="E155" s="54" t="s">
        <v>49</v>
      </c>
      <c r="F155" s="54">
        <v>278</v>
      </c>
      <c r="G155" s="38">
        <v>316</v>
      </c>
      <c r="H155" s="86" t="s">
        <v>20</v>
      </c>
      <c r="I155" s="86" t="s">
        <v>20</v>
      </c>
      <c r="J155" s="98"/>
    </row>
    <row r="156" spans="1:10" x14ac:dyDescent="0.25">
      <c r="A156" s="53">
        <v>45933</v>
      </c>
      <c r="B156" s="54">
        <v>29.1</v>
      </c>
      <c r="C156" s="54">
        <v>48.2</v>
      </c>
      <c r="D156" s="54" t="s">
        <v>47</v>
      </c>
      <c r="E156" s="54" t="s">
        <v>48</v>
      </c>
      <c r="F156" s="38">
        <v>196</v>
      </c>
      <c r="G156" s="38">
        <v>290</v>
      </c>
      <c r="H156" s="86" t="s">
        <v>20</v>
      </c>
      <c r="I156" s="86" t="s">
        <v>20</v>
      </c>
      <c r="J156" s="98"/>
    </row>
    <row r="157" spans="1:10" x14ac:dyDescent="0.25">
      <c r="A157" s="53">
        <v>45934</v>
      </c>
      <c r="B157" s="54"/>
      <c r="C157" s="54"/>
      <c r="D157" s="54"/>
      <c r="E157" s="54"/>
      <c r="F157" s="54"/>
      <c r="G157" s="54"/>
      <c r="H157" s="86" t="s">
        <v>20</v>
      </c>
      <c r="I157" s="86" t="s">
        <v>20</v>
      </c>
      <c r="J157" s="98"/>
    </row>
    <row r="158" spans="1:10" x14ac:dyDescent="0.25">
      <c r="A158" s="53">
        <v>45935</v>
      </c>
      <c r="B158" s="54">
        <v>30.6</v>
      </c>
      <c r="C158" s="54">
        <v>46.7</v>
      </c>
      <c r="D158" s="54" t="s">
        <v>47</v>
      </c>
      <c r="E158" s="54" t="s">
        <v>47</v>
      </c>
      <c r="F158" s="54">
        <v>236</v>
      </c>
      <c r="G158" s="54">
        <v>198</v>
      </c>
      <c r="H158" s="86" t="s">
        <v>20</v>
      </c>
      <c r="I158" s="86" t="s">
        <v>20</v>
      </c>
      <c r="J158" s="98"/>
    </row>
    <row r="159" spans="1:10" x14ac:dyDescent="0.25">
      <c r="A159" s="53">
        <v>45936</v>
      </c>
      <c r="B159" s="54">
        <v>29.8</v>
      </c>
      <c r="C159" s="54">
        <v>45.9</v>
      </c>
      <c r="D159" s="54" t="s">
        <v>47</v>
      </c>
      <c r="E159" s="54" t="s">
        <v>47</v>
      </c>
      <c r="F159" s="54">
        <v>210</v>
      </c>
      <c r="G159" s="54">
        <v>205</v>
      </c>
      <c r="H159" s="86" t="s">
        <v>20</v>
      </c>
      <c r="I159" s="86" t="s">
        <v>20</v>
      </c>
      <c r="J159" s="98"/>
    </row>
    <row r="160" spans="1:10" x14ac:dyDescent="0.25">
      <c r="A160" s="53">
        <v>45937</v>
      </c>
      <c r="B160" s="54">
        <v>31.5</v>
      </c>
      <c r="C160" s="54">
        <v>42.8</v>
      </c>
      <c r="D160" s="54" t="s">
        <v>47</v>
      </c>
      <c r="E160" s="54" t="s">
        <v>48</v>
      </c>
      <c r="F160" s="38">
        <v>235</v>
      </c>
      <c r="G160" s="38">
        <v>316</v>
      </c>
      <c r="H160" s="86" t="s">
        <v>20</v>
      </c>
      <c r="I160" s="86" t="s">
        <v>20</v>
      </c>
      <c r="J160" s="98"/>
    </row>
    <row r="161" spans="1:10" x14ac:dyDescent="0.25">
      <c r="A161" s="53">
        <v>45938</v>
      </c>
      <c r="B161" s="54">
        <v>33.200000000000003</v>
      </c>
      <c r="C161" s="54">
        <v>48.1</v>
      </c>
      <c r="D161" s="54" t="s">
        <v>48</v>
      </c>
      <c r="E161" s="54" t="s">
        <v>47</v>
      </c>
      <c r="F161" s="54">
        <v>267</v>
      </c>
      <c r="G161" s="54">
        <v>206</v>
      </c>
      <c r="H161" s="86" t="s">
        <v>20</v>
      </c>
      <c r="I161" s="86" t="s">
        <v>20</v>
      </c>
      <c r="J161" s="98"/>
    </row>
    <row r="162" spans="1:10" x14ac:dyDescent="0.25">
      <c r="A162" s="53">
        <v>45939</v>
      </c>
      <c r="B162" s="54">
        <v>28.4</v>
      </c>
      <c r="C162" s="54">
        <v>47.6</v>
      </c>
      <c r="D162" s="54" t="s">
        <v>48</v>
      </c>
      <c r="E162" s="54" t="s">
        <v>47</v>
      </c>
      <c r="F162" s="54">
        <v>284</v>
      </c>
      <c r="G162" s="54">
        <v>212</v>
      </c>
      <c r="H162" s="86" t="s">
        <v>20</v>
      </c>
      <c r="I162" s="86" t="s">
        <v>20</v>
      </c>
      <c r="J162" s="98"/>
    </row>
    <row r="163" spans="1:10" x14ac:dyDescent="0.25">
      <c r="A163" s="53">
        <v>45940</v>
      </c>
      <c r="B163" s="54">
        <v>27.6</v>
      </c>
      <c r="C163" s="54">
        <v>46.8</v>
      </c>
      <c r="D163" s="54" t="s">
        <v>49</v>
      </c>
      <c r="E163" s="54" t="s">
        <v>48</v>
      </c>
      <c r="F163" s="54">
        <v>364</v>
      </c>
      <c r="G163" s="54">
        <v>284</v>
      </c>
      <c r="H163" s="86" t="s">
        <v>20</v>
      </c>
      <c r="I163" s="86" t="s">
        <v>20</v>
      </c>
      <c r="J163" s="98"/>
    </row>
    <row r="164" spans="1:10" ht="15.75" thickBot="1" x14ac:dyDescent="0.3">
      <c r="A164" s="57">
        <v>45941</v>
      </c>
      <c r="B164" s="62"/>
      <c r="C164" s="62"/>
      <c r="D164" s="62"/>
      <c r="E164" s="62"/>
      <c r="F164" s="62"/>
      <c r="G164" s="62"/>
      <c r="H164" s="93" t="s">
        <v>20</v>
      </c>
      <c r="I164" s="93" t="s">
        <v>20</v>
      </c>
      <c r="J164" s="98" t="s">
        <v>79</v>
      </c>
    </row>
    <row r="165" spans="1:10" ht="15.75" thickBot="1" x14ac:dyDescent="0.3">
      <c r="A165" s="3">
        <v>45942</v>
      </c>
      <c r="B165" s="52"/>
      <c r="C165" s="52"/>
      <c r="D165" s="52"/>
      <c r="E165" s="52"/>
      <c r="F165" s="52"/>
      <c r="G165" s="52"/>
      <c r="H165" s="85" t="s">
        <v>20</v>
      </c>
      <c r="I165" s="85" t="s">
        <v>20</v>
      </c>
      <c r="J165" s="98"/>
    </row>
    <row r="166" spans="1:10" ht="15.75" thickBot="1" x14ac:dyDescent="0.3">
      <c r="A166" s="3">
        <v>45943</v>
      </c>
      <c r="B166" s="52">
        <v>29.4</v>
      </c>
      <c r="C166" s="52">
        <v>41.9</v>
      </c>
      <c r="D166" s="52" t="s">
        <v>47</v>
      </c>
      <c r="E166" s="52" t="s">
        <v>47</v>
      </c>
      <c r="F166" s="52">
        <v>212</v>
      </c>
      <c r="G166" s="52">
        <v>213</v>
      </c>
      <c r="H166" s="85" t="s">
        <v>20</v>
      </c>
      <c r="I166" s="85" t="s">
        <v>20</v>
      </c>
      <c r="J166" s="98"/>
    </row>
    <row r="167" spans="1:10" ht="15.75" thickBot="1" x14ac:dyDescent="0.3">
      <c r="A167" s="3">
        <v>45944</v>
      </c>
      <c r="B167" s="52">
        <v>29.7</v>
      </c>
      <c r="C167" s="52">
        <v>47.4</v>
      </c>
      <c r="D167" s="52" t="s">
        <v>48</v>
      </c>
      <c r="E167" s="52" t="s">
        <v>48</v>
      </c>
      <c r="F167" s="39">
        <v>215</v>
      </c>
      <c r="G167" s="39">
        <v>304</v>
      </c>
      <c r="H167" s="85" t="s">
        <v>20</v>
      </c>
      <c r="I167" s="85" t="s">
        <v>20</v>
      </c>
      <c r="J167" s="98"/>
    </row>
    <row r="168" spans="1:10" ht="15.75" thickBot="1" x14ac:dyDescent="0.3">
      <c r="A168" s="3">
        <v>45945</v>
      </c>
      <c r="B168" s="52">
        <v>29.1</v>
      </c>
      <c r="C168" s="52">
        <v>47.4</v>
      </c>
      <c r="D168" s="52" t="s">
        <v>48</v>
      </c>
      <c r="E168" s="52" t="s">
        <v>48</v>
      </c>
      <c r="F168" s="39">
        <v>215</v>
      </c>
      <c r="G168" s="39">
        <v>323</v>
      </c>
      <c r="H168" s="85" t="s">
        <v>20</v>
      </c>
      <c r="I168" s="85" t="s">
        <v>20</v>
      </c>
      <c r="J168" s="98"/>
    </row>
    <row r="169" spans="1:10" ht="15.75" thickBot="1" x14ac:dyDescent="0.3">
      <c r="A169" s="3">
        <v>45946</v>
      </c>
      <c r="B169" s="52">
        <v>29.4</v>
      </c>
      <c r="C169" s="52">
        <v>45.9</v>
      </c>
      <c r="D169" s="52" t="s">
        <v>48</v>
      </c>
      <c r="E169" s="52" t="s">
        <v>48</v>
      </c>
      <c r="F169" s="39">
        <v>208</v>
      </c>
      <c r="G169" s="39">
        <v>292</v>
      </c>
      <c r="H169" s="85" t="s">
        <v>20</v>
      </c>
      <c r="I169" s="85" t="s">
        <v>20</v>
      </c>
      <c r="J169" s="98" t="s">
        <v>80</v>
      </c>
    </row>
    <row r="170" spans="1:10" ht="15.75" thickBot="1" x14ac:dyDescent="0.3">
      <c r="A170" s="3">
        <v>45947</v>
      </c>
      <c r="B170" s="52">
        <v>29.2</v>
      </c>
      <c r="C170" s="52">
        <v>47.8</v>
      </c>
      <c r="D170" s="52" t="s">
        <v>48</v>
      </c>
      <c r="E170" s="52" t="s">
        <v>48</v>
      </c>
      <c r="F170" s="39">
        <v>285</v>
      </c>
      <c r="G170" s="39">
        <v>303</v>
      </c>
      <c r="H170" s="85" t="s">
        <v>20</v>
      </c>
      <c r="I170" s="85" t="s">
        <v>21</v>
      </c>
      <c r="J170" s="98" t="s">
        <v>81</v>
      </c>
    </row>
    <row r="171" spans="1:10" ht="15.75" thickBot="1" x14ac:dyDescent="0.3">
      <c r="A171" s="3">
        <v>45948</v>
      </c>
      <c r="B171" s="52">
        <v>29</v>
      </c>
      <c r="C171" s="52">
        <v>45.5</v>
      </c>
      <c r="D171" s="52" t="s">
        <v>47</v>
      </c>
      <c r="E171" s="52" t="s">
        <v>48</v>
      </c>
      <c r="F171" s="39">
        <v>198</v>
      </c>
      <c r="G171" s="39">
        <v>294</v>
      </c>
      <c r="H171" s="85" t="s">
        <v>20</v>
      </c>
      <c r="I171" s="85" t="s">
        <v>20</v>
      </c>
      <c r="J171" s="98"/>
    </row>
    <row r="172" spans="1:10" ht="15.75" thickBot="1" x14ac:dyDescent="0.3">
      <c r="A172" s="3">
        <v>45949</v>
      </c>
      <c r="B172" s="52">
        <v>30.5</v>
      </c>
      <c r="C172" s="52">
        <v>45.1</v>
      </c>
      <c r="D172" s="52" t="s">
        <v>47</v>
      </c>
      <c r="E172" s="52" t="s">
        <v>48</v>
      </c>
      <c r="F172" s="52">
        <v>215</v>
      </c>
      <c r="G172" s="52">
        <v>248</v>
      </c>
      <c r="H172" s="85" t="s">
        <v>20</v>
      </c>
      <c r="I172" s="85" t="s">
        <v>20</v>
      </c>
      <c r="J172" s="98"/>
    </row>
    <row r="173" spans="1:10" ht="15.75" thickBot="1" x14ac:dyDescent="0.3">
      <c r="A173" s="3">
        <v>45950</v>
      </c>
      <c r="B173" s="52">
        <v>29.8</v>
      </c>
      <c r="C173" s="52">
        <v>42.9</v>
      </c>
      <c r="D173" s="52" t="s">
        <v>47</v>
      </c>
      <c r="E173" s="52" t="s">
        <v>48</v>
      </c>
      <c r="F173" s="52">
        <v>219</v>
      </c>
      <c r="G173" s="52">
        <v>278</v>
      </c>
      <c r="H173" s="85" t="s">
        <v>20</v>
      </c>
      <c r="I173" s="85" t="s">
        <v>20</v>
      </c>
      <c r="J173" s="98"/>
    </row>
    <row r="174" spans="1:10" ht="15.75" thickBot="1" x14ac:dyDescent="0.3">
      <c r="A174" s="3">
        <v>45951</v>
      </c>
      <c r="B174" s="52">
        <v>27.6</v>
      </c>
      <c r="C174" s="52">
        <v>40.799999999999997</v>
      </c>
      <c r="D174" s="52" t="s">
        <v>49</v>
      </c>
      <c r="E174" s="52" t="s">
        <v>47</v>
      </c>
      <c r="F174" s="52">
        <v>195</v>
      </c>
      <c r="G174" s="52">
        <v>195</v>
      </c>
      <c r="H174" s="85" t="s">
        <v>20</v>
      </c>
      <c r="I174" s="85" t="s">
        <v>20</v>
      </c>
      <c r="J174" s="98"/>
    </row>
    <row r="175" spans="1:10" ht="15.75" thickBot="1" x14ac:dyDescent="0.3">
      <c r="A175" s="3">
        <v>45952</v>
      </c>
      <c r="B175" s="52">
        <v>29.4</v>
      </c>
      <c r="C175" s="52">
        <v>43.5</v>
      </c>
      <c r="D175" s="52" t="s">
        <v>49</v>
      </c>
      <c r="E175" s="52" t="s">
        <v>49</v>
      </c>
      <c r="F175" s="52">
        <v>376</v>
      </c>
      <c r="G175" s="52">
        <v>398</v>
      </c>
      <c r="H175" s="85" t="s">
        <v>20</v>
      </c>
      <c r="I175" s="85" t="s">
        <v>21</v>
      </c>
      <c r="J175" s="98" t="s">
        <v>82</v>
      </c>
    </row>
    <row r="176" spans="1:10" ht="15.75" thickBot="1" x14ac:dyDescent="0.3">
      <c r="A176" s="3">
        <v>45953</v>
      </c>
      <c r="B176" s="52">
        <v>28.7</v>
      </c>
      <c r="C176" s="52">
        <v>45.1</v>
      </c>
      <c r="D176" s="52" t="s">
        <v>49</v>
      </c>
      <c r="E176" s="52" t="s">
        <v>49</v>
      </c>
      <c r="F176" s="52">
        <v>359</v>
      </c>
      <c r="G176" s="52">
        <v>378</v>
      </c>
      <c r="H176" s="85" t="s">
        <v>20</v>
      </c>
      <c r="I176" s="85" t="s">
        <v>20</v>
      </c>
      <c r="J176" s="98"/>
    </row>
    <row r="177" spans="1:10" ht="15.75" thickBot="1" x14ac:dyDescent="0.3">
      <c r="A177" s="3">
        <v>45954</v>
      </c>
      <c r="B177" s="52">
        <v>30.8</v>
      </c>
      <c r="C177" s="52">
        <v>40.9</v>
      </c>
      <c r="D177" s="52" t="s">
        <v>49</v>
      </c>
      <c r="E177" s="52" t="s">
        <v>49</v>
      </c>
      <c r="F177" s="52">
        <v>374</v>
      </c>
      <c r="G177" s="52">
        <v>406</v>
      </c>
      <c r="H177" s="85" t="s">
        <v>20</v>
      </c>
      <c r="I177" s="85" t="s">
        <v>20</v>
      </c>
      <c r="J177" s="98"/>
    </row>
    <row r="178" spans="1:10" x14ac:dyDescent="0.25">
      <c r="A178" s="56">
        <v>45955</v>
      </c>
      <c r="B178" s="63">
        <v>32.799999999999997</v>
      </c>
      <c r="C178" s="63">
        <v>46.4</v>
      </c>
      <c r="D178" s="63" t="s">
        <v>47</v>
      </c>
      <c r="E178" s="63" t="s">
        <v>47</v>
      </c>
      <c r="F178" s="63">
        <v>198</v>
      </c>
      <c r="G178" s="63">
        <v>215</v>
      </c>
      <c r="H178" s="94" t="s">
        <v>20</v>
      </c>
      <c r="I178" s="85" t="s">
        <v>20</v>
      </c>
      <c r="J178" s="98"/>
    </row>
    <row r="179" spans="1:10" x14ac:dyDescent="0.25">
      <c r="A179" s="51">
        <v>45956</v>
      </c>
      <c r="B179" s="52">
        <v>31.9</v>
      </c>
      <c r="C179" s="52">
        <v>48.1</v>
      </c>
      <c r="D179" s="52" t="s">
        <v>48</v>
      </c>
      <c r="E179" s="52" t="s">
        <v>48</v>
      </c>
      <c r="F179" s="52">
        <v>264</v>
      </c>
      <c r="G179" s="52">
        <v>289</v>
      </c>
      <c r="H179" s="85" t="s">
        <v>20</v>
      </c>
      <c r="I179" s="95" t="s">
        <v>20</v>
      </c>
      <c r="J179" s="98"/>
    </row>
    <row r="180" spans="1:10" x14ac:dyDescent="0.25">
      <c r="A180" s="51">
        <v>45957</v>
      </c>
      <c r="B180" s="52">
        <v>33.1</v>
      </c>
      <c r="C180" s="52">
        <v>43.1</v>
      </c>
      <c r="D180" s="52" t="s">
        <v>48</v>
      </c>
      <c r="E180" s="52" t="s">
        <v>47</v>
      </c>
      <c r="F180" s="52">
        <v>274</v>
      </c>
      <c r="G180" s="52">
        <v>185</v>
      </c>
      <c r="H180" s="85" t="s">
        <v>20</v>
      </c>
      <c r="I180" s="95" t="s">
        <v>21</v>
      </c>
      <c r="J180" s="98" t="s">
        <v>83</v>
      </c>
    </row>
    <row r="181" spans="1:10" x14ac:dyDescent="0.25">
      <c r="A181" s="51">
        <v>45958</v>
      </c>
      <c r="B181" s="52">
        <v>32.799999999999997</v>
      </c>
      <c r="C181" s="52">
        <v>39.5</v>
      </c>
      <c r="D181" s="52" t="s">
        <v>47</v>
      </c>
      <c r="E181" s="52" t="s">
        <v>47</v>
      </c>
      <c r="F181" s="52">
        <v>234</v>
      </c>
      <c r="G181" s="52">
        <v>237</v>
      </c>
      <c r="H181" s="85" t="s">
        <v>20</v>
      </c>
      <c r="I181" s="95" t="s">
        <v>20</v>
      </c>
      <c r="J181" s="98"/>
    </row>
    <row r="182" spans="1:10" x14ac:dyDescent="0.25">
      <c r="A182" s="51">
        <v>45959</v>
      </c>
      <c r="B182" s="52">
        <v>33</v>
      </c>
      <c r="C182" s="52">
        <v>40</v>
      </c>
      <c r="D182" s="52" t="s">
        <v>48</v>
      </c>
      <c r="E182" s="52" t="s">
        <v>48</v>
      </c>
      <c r="F182" s="52">
        <v>249</v>
      </c>
      <c r="G182" s="52">
        <v>311</v>
      </c>
      <c r="H182" s="85" t="s">
        <v>20</v>
      </c>
      <c r="I182" s="95" t="s">
        <v>20</v>
      </c>
      <c r="J182" s="98"/>
    </row>
    <row r="183" spans="1:10" x14ac:dyDescent="0.25">
      <c r="A183" s="51">
        <v>45960</v>
      </c>
      <c r="B183" s="52">
        <v>33.9</v>
      </c>
      <c r="C183" s="52">
        <v>40.4</v>
      </c>
      <c r="D183" s="52" t="s">
        <v>47</v>
      </c>
      <c r="E183" s="52" t="s">
        <v>47</v>
      </c>
      <c r="F183" s="52">
        <v>161</v>
      </c>
      <c r="G183" s="52">
        <v>238</v>
      </c>
      <c r="H183" s="85" t="s">
        <v>20</v>
      </c>
      <c r="I183" s="89" t="s">
        <v>20</v>
      </c>
      <c r="J183" s="98"/>
    </row>
    <row r="184" spans="1:10" x14ac:dyDescent="0.25">
      <c r="A184" s="51">
        <v>45961</v>
      </c>
      <c r="B184" s="52"/>
      <c r="C184" s="52"/>
      <c r="D184" s="52"/>
      <c r="E184" s="52"/>
      <c r="F184" s="52"/>
      <c r="G184" s="52"/>
      <c r="H184" s="85"/>
      <c r="I184" s="91"/>
      <c r="J184" s="98" t="s">
        <v>85</v>
      </c>
    </row>
    <row r="185" spans="1:10" x14ac:dyDescent="0.25">
      <c r="A185" s="51">
        <v>45962</v>
      </c>
      <c r="B185" s="52"/>
      <c r="C185" s="52"/>
      <c r="D185" s="52"/>
      <c r="E185" s="52"/>
      <c r="F185" s="52"/>
      <c r="G185" s="52"/>
      <c r="H185" s="85"/>
      <c r="I185" s="95"/>
      <c r="J185" s="98" t="s">
        <v>85</v>
      </c>
    </row>
    <row r="186" spans="1:10" x14ac:dyDescent="0.25">
      <c r="A186" s="51">
        <v>45963</v>
      </c>
      <c r="B186" s="52"/>
      <c r="C186" s="52"/>
      <c r="D186" s="52"/>
      <c r="E186" s="52"/>
      <c r="F186" s="52"/>
      <c r="G186" s="52"/>
      <c r="H186" s="85"/>
      <c r="I186" s="95"/>
      <c r="J186" s="98"/>
    </row>
    <row r="187" spans="1:10" x14ac:dyDescent="0.25">
      <c r="A187" s="51">
        <v>45964</v>
      </c>
      <c r="B187" s="52"/>
      <c r="C187" s="52"/>
      <c r="D187" s="52"/>
      <c r="E187" s="52"/>
      <c r="F187" s="52"/>
      <c r="G187" s="52"/>
      <c r="H187" s="85"/>
      <c r="I187" s="95"/>
      <c r="J187" s="98"/>
    </row>
    <row r="188" spans="1:10" x14ac:dyDescent="0.25">
      <c r="A188" s="51">
        <v>45965</v>
      </c>
      <c r="B188" s="52">
        <v>25.4</v>
      </c>
      <c r="C188" s="52">
        <v>47.7</v>
      </c>
      <c r="D188" s="52" t="s">
        <v>48</v>
      </c>
      <c r="E188" s="52" t="s">
        <v>49</v>
      </c>
      <c r="F188" s="52">
        <v>240</v>
      </c>
      <c r="G188" s="52">
        <v>428</v>
      </c>
      <c r="H188" s="85" t="s">
        <v>20</v>
      </c>
      <c r="I188" s="95" t="s">
        <v>20</v>
      </c>
      <c r="J188" s="98"/>
    </row>
    <row r="189" spans="1:10" x14ac:dyDescent="0.25">
      <c r="A189" s="51">
        <v>45966</v>
      </c>
      <c r="B189" s="52">
        <v>26.1</v>
      </c>
      <c r="C189" s="52">
        <v>48.1</v>
      </c>
      <c r="D189" s="52" t="s">
        <v>49</v>
      </c>
      <c r="E189" s="52" t="s">
        <v>49</v>
      </c>
      <c r="F189" s="52">
        <v>309</v>
      </c>
      <c r="G189" s="52">
        <v>381</v>
      </c>
      <c r="H189" s="85" t="s">
        <v>20</v>
      </c>
      <c r="I189" s="95" t="s">
        <v>20</v>
      </c>
      <c r="J189" s="98"/>
    </row>
    <row r="190" spans="1:10" x14ac:dyDescent="0.25">
      <c r="A190" s="51">
        <v>45967</v>
      </c>
      <c r="B190" s="52">
        <v>27</v>
      </c>
      <c r="C190" s="52">
        <v>49.4</v>
      </c>
      <c r="D190" s="52" t="s">
        <v>48</v>
      </c>
      <c r="E190" s="52" t="s">
        <v>48</v>
      </c>
      <c r="F190" s="52">
        <v>245</v>
      </c>
      <c r="G190" s="52">
        <v>326</v>
      </c>
      <c r="H190" s="85" t="s">
        <v>21</v>
      </c>
      <c r="I190" s="95" t="s">
        <v>20</v>
      </c>
      <c r="J190" s="98" t="s">
        <v>84</v>
      </c>
    </row>
    <row r="191" spans="1:10" x14ac:dyDescent="0.25">
      <c r="A191" s="51">
        <v>45968</v>
      </c>
      <c r="B191" s="52">
        <v>26.8</v>
      </c>
      <c r="C191" s="52">
        <v>48.8</v>
      </c>
      <c r="D191" s="52" t="s">
        <v>48</v>
      </c>
      <c r="E191" s="52" t="s">
        <v>48</v>
      </c>
      <c r="F191" s="52">
        <v>242</v>
      </c>
      <c r="G191" s="52">
        <v>323</v>
      </c>
      <c r="H191" s="85" t="s">
        <v>20</v>
      </c>
      <c r="I191" s="95" t="s">
        <v>20</v>
      </c>
      <c r="J191" s="98"/>
    </row>
    <row r="192" spans="1:10" x14ac:dyDescent="0.25">
      <c r="A192" s="51">
        <v>45969</v>
      </c>
      <c r="B192" s="52">
        <v>26.5</v>
      </c>
      <c r="C192" s="52">
        <v>47.5</v>
      </c>
      <c r="D192" s="52" t="s">
        <v>48</v>
      </c>
      <c r="E192" s="52" t="s">
        <v>48</v>
      </c>
      <c r="F192" s="52">
        <v>221</v>
      </c>
      <c r="G192" s="52">
        <v>298</v>
      </c>
      <c r="H192" s="85" t="s">
        <v>20</v>
      </c>
      <c r="I192" s="95" t="s">
        <v>20</v>
      </c>
      <c r="J192" s="98"/>
    </row>
    <row r="193" spans="1:10" x14ac:dyDescent="0.25">
      <c r="A193" s="51">
        <v>45970</v>
      </c>
      <c r="B193" s="52">
        <v>27.1</v>
      </c>
      <c r="C193" s="52">
        <v>48.5</v>
      </c>
      <c r="D193" s="52" t="s">
        <v>48</v>
      </c>
      <c r="E193" s="52" t="s">
        <v>48</v>
      </c>
      <c r="F193" s="52">
        <v>380</v>
      </c>
      <c r="G193" s="52">
        <v>339</v>
      </c>
      <c r="H193" s="85" t="s">
        <v>21</v>
      </c>
      <c r="I193" s="95" t="s">
        <v>20</v>
      </c>
      <c r="J193" s="98" t="s">
        <v>86</v>
      </c>
    </row>
    <row r="194" spans="1:10" x14ac:dyDescent="0.25">
      <c r="A194" s="51">
        <v>45971</v>
      </c>
      <c r="B194" s="52">
        <v>26.4</v>
      </c>
      <c r="C194" s="52">
        <v>46.8</v>
      </c>
      <c r="D194" s="52" t="s">
        <v>48</v>
      </c>
      <c r="E194" s="52" t="s">
        <v>48</v>
      </c>
      <c r="F194" s="52">
        <v>245</v>
      </c>
      <c r="G194" s="52">
        <v>289</v>
      </c>
      <c r="H194" s="85" t="s">
        <v>20</v>
      </c>
      <c r="I194" s="95" t="s">
        <v>20</v>
      </c>
      <c r="J194" s="98"/>
    </row>
    <row r="195" spans="1:10" x14ac:dyDescent="0.25">
      <c r="A195" s="51">
        <v>45972</v>
      </c>
      <c r="B195" s="52">
        <v>27.5</v>
      </c>
      <c r="C195" s="52">
        <v>47.2</v>
      </c>
      <c r="D195" s="52" t="s">
        <v>47</v>
      </c>
      <c r="E195" s="52" t="s">
        <v>47</v>
      </c>
      <c r="F195" s="52">
        <v>210</v>
      </c>
      <c r="G195" s="52">
        <v>235</v>
      </c>
      <c r="H195" s="85"/>
      <c r="I195" s="95"/>
      <c r="J195" s="98"/>
    </row>
    <row r="196" spans="1:10" x14ac:dyDescent="0.25">
      <c r="A196" s="51">
        <v>45973</v>
      </c>
      <c r="B196" s="52">
        <v>26.4</v>
      </c>
      <c r="C196" s="52">
        <v>47.5</v>
      </c>
      <c r="D196" s="52" t="s">
        <v>48</v>
      </c>
      <c r="E196" s="52" t="s">
        <v>48</v>
      </c>
      <c r="F196" s="36">
        <v>380</v>
      </c>
      <c r="G196" s="36">
        <v>339</v>
      </c>
      <c r="H196" s="85"/>
      <c r="I196" s="95"/>
      <c r="J196" s="98"/>
    </row>
    <row r="197" spans="1:10" x14ac:dyDescent="0.25">
      <c r="A197" s="51">
        <v>45974</v>
      </c>
      <c r="B197" s="52">
        <v>26.8</v>
      </c>
      <c r="C197" s="52">
        <v>47.3</v>
      </c>
      <c r="D197" s="52" t="s">
        <v>48</v>
      </c>
      <c r="E197" s="52" t="s">
        <v>48</v>
      </c>
      <c r="F197" s="36">
        <v>386</v>
      </c>
      <c r="G197" s="36">
        <v>333</v>
      </c>
      <c r="H197" s="85" t="s">
        <v>20</v>
      </c>
      <c r="I197" s="95" t="s">
        <v>20</v>
      </c>
      <c r="J197" s="98" t="s">
        <v>87</v>
      </c>
    </row>
    <row r="198" spans="1:10" x14ac:dyDescent="0.25">
      <c r="A198" s="51">
        <v>45975</v>
      </c>
      <c r="B198" s="52"/>
      <c r="C198" s="52"/>
      <c r="D198" s="52"/>
      <c r="E198" s="52"/>
      <c r="F198" s="36"/>
      <c r="G198" s="36"/>
      <c r="H198" s="85"/>
      <c r="I198" s="95"/>
      <c r="J198" s="98" t="s">
        <v>85</v>
      </c>
    </row>
    <row r="199" spans="1:10" x14ac:dyDescent="0.25">
      <c r="A199" s="51">
        <v>45976</v>
      </c>
      <c r="B199" s="52">
        <v>26.9</v>
      </c>
      <c r="C199" s="52">
        <v>47.5</v>
      </c>
      <c r="D199" s="52" t="s">
        <v>48</v>
      </c>
      <c r="E199" s="52" t="s">
        <v>48</v>
      </c>
      <c r="F199" s="36">
        <v>346</v>
      </c>
      <c r="G199" s="36">
        <v>307</v>
      </c>
      <c r="H199" s="85"/>
      <c r="I199" s="95"/>
      <c r="J199" s="98"/>
    </row>
    <row r="200" spans="1:10" x14ac:dyDescent="0.25">
      <c r="A200" s="51">
        <v>45977</v>
      </c>
      <c r="B200" s="52">
        <v>26.8</v>
      </c>
      <c r="C200" s="52">
        <v>47.6</v>
      </c>
      <c r="D200" s="52" t="s">
        <v>47</v>
      </c>
      <c r="E200" s="52" t="s">
        <v>47</v>
      </c>
      <c r="F200" s="36">
        <v>298</v>
      </c>
      <c r="G200" s="36">
        <v>312</v>
      </c>
      <c r="H200" s="85"/>
      <c r="I200" s="95"/>
      <c r="J200" s="98"/>
    </row>
    <row r="201" spans="1:10" x14ac:dyDescent="0.25">
      <c r="A201" s="51">
        <v>45978</v>
      </c>
      <c r="B201" s="52">
        <v>27.2</v>
      </c>
      <c r="C201" s="52">
        <v>48.1</v>
      </c>
      <c r="D201" s="52" t="s">
        <v>47</v>
      </c>
      <c r="E201" s="52" t="s">
        <v>47</v>
      </c>
      <c r="F201" s="36">
        <v>254</v>
      </c>
      <c r="G201" s="36">
        <v>298</v>
      </c>
      <c r="H201" s="85"/>
      <c r="I201" s="95"/>
      <c r="J201" s="98"/>
    </row>
    <row r="202" spans="1:10" x14ac:dyDescent="0.25">
      <c r="A202" s="51">
        <v>45979</v>
      </c>
      <c r="B202" s="52">
        <v>27.6</v>
      </c>
      <c r="C202" s="52">
        <v>48.3</v>
      </c>
      <c r="D202" s="52" t="s">
        <v>48</v>
      </c>
      <c r="E202" s="52" t="s">
        <v>48</v>
      </c>
      <c r="F202" s="36">
        <v>338</v>
      </c>
      <c r="G202" s="36">
        <v>325</v>
      </c>
      <c r="H202" s="85"/>
      <c r="I202" s="95"/>
      <c r="J202" s="98"/>
    </row>
    <row r="203" spans="1:10" x14ac:dyDescent="0.25">
      <c r="A203" s="51">
        <v>45980</v>
      </c>
      <c r="B203" s="52">
        <v>28.6</v>
      </c>
      <c r="C203" s="52">
        <v>48.9</v>
      </c>
      <c r="D203" s="52" t="s">
        <v>48</v>
      </c>
      <c r="E203" s="52" t="s">
        <v>48</v>
      </c>
      <c r="F203" s="36">
        <v>329</v>
      </c>
      <c r="G203" s="36">
        <v>353</v>
      </c>
      <c r="H203" s="85"/>
      <c r="I203" s="85"/>
      <c r="J203" s="98"/>
    </row>
    <row r="204" spans="1:10" x14ac:dyDescent="0.25">
      <c r="A204" s="51">
        <v>45981</v>
      </c>
      <c r="B204" s="52">
        <v>26.4</v>
      </c>
      <c r="C204" s="52">
        <v>47.2</v>
      </c>
      <c r="D204" s="52" t="s">
        <v>49</v>
      </c>
      <c r="E204" s="52" t="s">
        <v>49</v>
      </c>
      <c r="F204" s="36">
        <v>350</v>
      </c>
      <c r="G204" s="36">
        <v>357</v>
      </c>
      <c r="H204" s="85"/>
      <c r="I204" s="85"/>
      <c r="J204" s="98"/>
    </row>
    <row r="205" spans="1:10" x14ac:dyDescent="0.25">
      <c r="A205" s="51">
        <v>45982</v>
      </c>
      <c r="B205" s="52"/>
      <c r="C205" s="52"/>
      <c r="D205" s="52"/>
      <c r="E205" s="52"/>
      <c r="F205" s="36"/>
      <c r="G205" s="36"/>
      <c r="H205" s="85"/>
      <c r="I205" s="85"/>
      <c r="J205" s="98" t="s">
        <v>85</v>
      </c>
    </row>
    <row r="206" spans="1:10" x14ac:dyDescent="0.25">
      <c r="A206" s="51">
        <v>45983</v>
      </c>
      <c r="B206" s="52">
        <v>27.2</v>
      </c>
      <c r="C206" s="52">
        <v>47.8</v>
      </c>
      <c r="D206" s="52" t="s">
        <v>48</v>
      </c>
      <c r="E206" s="52" t="s">
        <v>49</v>
      </c>
      <c r="F206" s="36">
        <v>299</v>
      </c>
      <c r="G206" s="36">
        <v>351</v>
      </c>
      <c r="H206" s="85"/>
      <c r="I206" s="85"/>
      <c r="J206" s="98"/>
    </row>
    <row r="207" spans="1:10" x14ac:dyDescent="0.25">
      <c r="A207" s="51">
        <v>45984</v>
      </c>
      <c r="B207" s="52">
        <v>28.3</v>
      </c>
      <c r="C207" s="52">
        <v>49.2</v>
      </c>
      <c r="D207" s="52" t="s">
        <v>48</v>
      </c>
      <c r="E207" s="52" t="s">
        <v>48</v>
      </c>
      <c r="F207" s="36">
        <v>315</v>
      </c>
      <c r="G207" s="36">
        <v>324</v>
      </c>
      <c r="H207" s="85"/>
      <c r="I207" s="85"/>
      <c r="J207" s="98"/>
    </row>
    <row r="208" spans="1:10" x14ac:dyDescent="0.25">
      <c r="A208" s="51">
        <v>45985</v>
      </c>
      <c r="B208" s="52">
        <v>26.4</v>
      </c>
      <c r="C208" s="52">
        <v>46.2</v>
      </c>
      <c r="D208" s="52" t="s">
        <v>49</v>
      </c>
      <c r="E208" s="52" t="s">
        <v>49</v>
      </c>
      <c r="F208" s="36">
        <v>382</v>
      </c>
      <c r="G208" s="36">
        <v>338</v>
      </c>
      <c r="H208" s="85"/>
      <c r="I208" s="85"/>
      <c r="J208" s="98"/>
    </row>
    <row r="209" spans="1:10" x14ac:dyDescent="0.25">
      <c r="A209" s="51">
        <v>45986</v>
      </c>
      <c r="B209" s="52">
        <v>26.8</v>
      </c>
      <c r="C209" s="52">
        <v>47.5</v>
      </c>
      <c r="D209" s="52" t="s">
        <v>49</v>
      </c>
      <c r="E209" s="52" t="s">
        <v>48</v>
      </c>
      <c r="F209" s="36">
        <v>410</v>
      </c>
      <c r="G209" s="36">
        <v>354</v>
      </c>
      <c r="H209" s="85"/>
      <c r="I209" s="85"/>
      <c r="J209" s="98"/>
    </row>
    <row r="210" spans="1:10" x14ac:dyDescent="0.25">
      <c r="A210" s="51">
        <v>45987</v>
      </c>
      <c r="B210" s="52">
        <v>28.5</v>
      </c>
      <c r="C210" s="52">
        <v>48.6</v>
      </c>
      <c r="D210" s="52" t="s">
        <v>47</v>
      </c>
      <c r="E210" s="52" t="s">
        <v>47</v>
      </c>
      <c r="F210" s="52">
        <v>198</v>
      </c>
      <c r="G210" s="52">
        <v>210</v>
      </c>
      <c r="H210" s="85"/>
      <c r="I210" s="85"/>
      <c r="J210" s="98"/>
    </row>
    <row r="211" spans="1:10" x14ac:dyDescent="0.25">
      <c r="A211" s="51">
        <v>45988</v>
      </c>
      <c r="B211" s="52">
        <v>27.6</v>
      </c>
      <c r="C211" s="52">
        <v>47.5</v>
      </c>
      <c r="D211" s="52" t="s">
        <v>47</v>
      </c>
      <c r="E211" s="52" t="s">
        <v>47</v>
      </c>
      <c r="F211" s="52">
        <v>189</v>
      </c>
      <c r="G211" s="52">
        <v>226</v>
      </c>
      <c r="H211" s="85"/>
      <c r="I211" s="85"/>
      <c r="J211" s="98"/>
    </row>
    <row r="212" spans="1:10" x14ac:dyDescent="0.25">
      <c r="A212" s="51">
        <v>45989</v>
      </c>
      <c r="B212" s="52"/>
      <c r="C212" s="52"/>
      <c r="D212" s="52"/>
      <c r="E212" s="52"/>
      <c r="F212" s="52"/>
      <c r="G212" s="52"/>
      <c r="H212" s="85"/>
      <c r="I212" s="85"/>
      <c r="J212" s="98" t="s">
        <v>85</v>
      </c>
    </row>
    <row r="213" spans="1:10" x14ac:dyDescent="0.25">
      <c r="A213" s="51">
        <v>45990</v>
      </c>
      <c r="B213" s="52">
        <v>29.6</v>
      </c>
      <c r="C213" s="52">
        <v>50.2</v>
      </c>
      <c r="D213" s="52" t="s">
        <v>49</v>
      </c>
      <c r="E213" s="52" t="s">
        <v>48</v>
      </c>
      <c r="F213" s="52">
        <v>348</v>
      </c>
      <c r="G213" s="52">
        <v>298</v>
      </c>
      <c r="H213" s="85"/>
      <c r="I213" s="85"/>
      <c r="J213" s="98"/>
    </row>
    <row r="214" spans="1:10" x14ac:dyDescent="0.25">
      <c r="A214" s="51">
        <v>45991</v>
      </c>
      <c r="B214" s="52">
        <v>26.4</v>
      </c>
      <c r="C214" s="52">
        <v>47.6</v>
      </c>
      <c r="D214" s="52" t="s">
        <v>47</v>
      </c>
      <c r="E214" s="52" t="s">
        <v>47</v>
      </c>
      <c r="F214" s="52">
        <v>198</v>
      </c>
      <c r="G214" s="52">
        <v>227</v>
      </c>
      <c r="H214" s="85"/>
      <c r="I214" s="85"/>
      <c r="J214" s="98"/>
    </row>
    <row r="215" spans="1:10" x14ac:dyDescent="0.25">
      <c r="A215" s="51">
        <v>45992</v>
      </c>
      <c r="B215" s="52">
        <v>28.1</v>
      </c>
      <c r="C215" s="52">
        <v>48.6</v>
      </c>
      <c r="D215" s="52" t="s">
        <v>47</v>
      </c>
      <c r="E215" s="52" t="s">
        <v>47</v>
      </c>
      <c r="F215" s="52">
        <v>200</v>
      </c>
      <c r="G215" s="52">
        <v>215</v>
      </c>
      <c r="H215" s="85"/>
      <c r="I215" s="85"/>
      <c r="J215" s="98"/>
    </row>
    <row r="216" spans="1:10" x14ac:dyDescent="0.25">
      <c r="A216" s="51">
        <v>45993</v>
      </c>
      <c r="B216" s="52">
        <v>29.5</v>
      </c>
      <c r="C216" s="52">
        <v>46.8</v>
      </c>
      <c r="D216" s="52" t="s">
        <v>47</v>
      </c>
      <c r="E216" s="52" t="s">
        <v>47</v>
      </c>
      <c r="F216" s="52">
        <v>214</v>
      </c>
      <c r="G216" s="52">
        <v>237</v>
      </c>
      <c r="H216" s="85"/>
      <c r="I216" s="85"/>
      <c r="J216" s="98"/>
    </row>
    <row r="217" spans="1:10" s="34" customFormat="1" x14ac:dyDescent="0.25">
      <c r="A217" s="60">
        <v>45994</v>
      </c>
      <c r="B217" s="61">
        <v>26.8</v>
      </c>
      <c r="C217" s="39"/>
      <c r="D217" s="52" t="s">
        <v>49</v>
      </c>
      <c r="E217" s="61" t="s">
        <v>47</v>
      </c>
      <c r="F217" s="61">
        <v>-317</v>
      </c>
      <c r="G217" s="65" t="s">
        <v>90</v>
      </c>
      <c r="H217" s="96" t="s">
        <v>20</v>
      </c>
      <c r="I217" s="96" t="s">
        <v>21</v>
      </c>
      <c r="J217" s="101" t="s">
        <v>99</v>
      </c>
    </row>
    <row r="218" spans="1:10" x14ac:dyDescent="0.25">
      <c r="A218" s="51">
        <v>45995</v>
      </c>
      <c r="B218" s="61">
        <v>26.8</v>
      </c>
      <c r="C218" s="39">
        <v>47</v>
      </c>
      <c r="D218" s="52" t="s">
        <v>49</v>
      </c>
      <c r="E218" s="52" t="s">
        <v>47</v>
      </c>
      <c r="F218" s="52">
        <v>-363</v>
      </c>
      <c r="G218" s="52">
        <v>-272</v>
      </c>
      <c r="H218" s="85"/>
      <c r="I218" s="96" t="s">
        <v>21</v>
      </c>
      <c r="J218" s="98"/>
    </row>
    <row r="219" spans="1:10" x14ac:dyDescent="0.25">
      <c r="A219" s="51">
        <v>45996</v>
      </c>
      <c r="B219" s="39">
        <v>25</v>
      </c>
      <c r="C219" s="39">
        <v>44</v>
      </c>
      <c r="D219" s="52" t="s">
        <v>49</v>
      </c>
      <c r="E219" s="52" t="s">
        <v>47</v>
      </c>
      <c r="F219" s="52">
        <v>-380</v>
      </c>
      <c r="G219" s="52">
        <v>-240</v>
      </c>
      <c r="H219" s="85"/>
      <c r="I219" s="96" t="s">
        <v>21</v>
      </c>
      <c r="J219" s="98"/>
    </row>
    <row r="220" spans="1:10" x14ac:dyDescent="0.25">
      <c r="A220" s="51">
        <v>45997</v>
      </c>
      <c r="B220" s="39"/>
      <c r="C220" s="39"/>
      <c r="D220" s="52" t="s">
        <v>47</v>
      </c>
      <c r="E220" s="52" t="s">
        <v>47</v>
      </c>
      <c r="F220" s="64" t="s">
        <v>90</v>
      </c>
      <c r="G220" s="64" t="s">
        <v>90</v>
      </c>
      <c r="H220" s="85"/>
      <c r="I220" s="96" t="s">
        <v>21</v>
      </c>
      <c r="J220" s="98" t="s">
        <v>85</v>
      </c>
    </row>
    <row r="221" spans="1:10" x14ac:dyDescent="0.25">
      <c r="A221" s="51">
        <v>45998</v>
      </c>
      <c r="B221" s="39"/>
      <c r="C221" s="39"/>
      <c r="D221" s="52" t="s">
        <v>47</v>
      </c>
      <c r="E221" s="52" t="s">
        <v>47</v>
      </c>
      <c r="F221" s="64" t="s">
        <v>90</v>
      </c>
      <c r="G221" s="64" t="s">
        <v>90</v>
      </c>
      <c r="H221" s="85"/>
      <c r="I221" s="85"/>
      <c r="J221" s="98" t="s">
        <v>85</v>
      </c>
    </row>
    <row r="222" spans="1:10" x14ac:dyDescent="0.25">
      <c r="A222" s="51">
        <v>45999</v>
      </c>
      <c r="B222" s="39"/>
      <c r="C222" s="39"/>
      <c r="D222" s="52" t="s">
        <v>47</v>
      </c>
      <c r="E222" s="52" t="s">
        <v>47</v>
      </c>
      <c r="F222" s="64" t="s">
        <v>90</v>
      </c>
      <c r="G222" s="64" t="s">
        <v>90</v>
      </c>
      <c r="H222" s="85"/>
      <c r="I222" s="85"/>
      <c r="J222" s="98"/>
    </row>
    <row r="223" spans="1:10" x14ac:dyDescent="0.25">
      <c r="A223" s="51">
        <v>46000</v>
      </c>
      <c r="B223" s="39">
        <v>23</v>
      </c>
      <c r="C223" s="39">
        <v>44</v>
      </c>
      <c r="D223" s="52" t="s">
        <v>47</v>
      </c>
      <c r="E223" s="52" t="s">
        <v>47</v>
      </c>
      <c r="F223" s="52">
        <v>-72</v>
      </c>
      <c r="G223" s="52">
        <v>-180</v>
      </c>
      <c r="H223" s="85"/>
      <c r="I223" s="85"/>
      <c r="J223" s="98"/>
    </row>
    <row r="224" spans="1:10" x14ac:dyDescent="0.25">
      <c r="A224" s="51">
        <v>46001</v>
      </c>
      <c r="B224" s="39">
        <v>23</v>
      </c>
      <c r="C224" s="39">
        <v>36.1</v>
      </c>
      <c r="D224" s="52" t="s">
        <v>47</v>
      </c>
      <c r="E224" s="52" t="s">
        <v>47</v>
      </c>
      <c r="F224" s="52">
        <v>-288</v>
      </c>
      <c r="G224" s="52">
        <v>-237</v>
      </c>
      <c r="H224" s="85"/>
      <c r="I224" s="85"/>
      <c r="J224" s="98"/>
    </row>
    <row r="225" spans="1:10" x14ac:dyDescent="0.25">
      <c r="A225" s="51">
        <v>46002</v>
      </c>
      <c r="B225" s="39">
        <v>36.200000000000003</v>
      </c>
      <c r="C225" s="39">
        <v>50.7</v>
      </c>
      <c r="D225" s="52" t="s">
        <v>47</v>
      </c>
      <c r="E225" s="52" t="s">
        <v>47</v>
      </c>
      <c r="F225" s="66">
        <v>-346</v>
      </c>
      <c r="G225" s="66">
        <v>-311</v>
      </c>
      <c r="H225" s="85"/>
      <c r="I225" s="85"/>
      <c r="J225" s="98"/>
    </row>
    <row r="226" spans="1:10" x14ac:dyDescent="0.25">
      <c r="A226" s="51">
        <v>46003</v>
      </c>
      <c r="B226" s="39">
        <v>39.799999999999997</v>
      </c>
      <c r="C226" s="39">
        <v>47.9</v>
      </c>
      <c r="D226" s="52" t="s">
        <v>49</v>
      </c>
      <c r="E226" s="52" t="s">
        <v>49</v>
      </c>
      <c r="F226" s="66">
        <v>-342</v>
      </c>
      <c r="G226" s="66">
        <v>-330</v>
      </c>
      <c r="H226" s="85"/>
      <c r="I226" s="85"/>
      <c r="J226" s="98"/>
    </row>
    <row r="227" spans="1:10" x14ac:dyDescent="0.25">
      <c r="A227" s="51">
        <v>46004</v>
      </c>
      <c r="B227" s="39">
        <v>25</v>
      </c>
      <c r="C227" s="39">
        <v>45</v>
      </c>
      <c r="D227" s="52" t="s">
        <v>47</v>
      </c>
      <c r="E227" s="52" t="s">
        <v>48</v>
      </c>
      <c r="F227" s="66">
        <v>-310</v>
      </c>
      <c r="G227" s="66">
        <v>-356</v>
      </c>
      <c r="H227" s="85"/>
      <c r="I227" s="85"/>
      <c r="J227" s="98" t="s">
        <v>100</v>
      </c>
    </row>
    <row r="228" spans="1:10" x14ac:dyDescent="0.25">
      <c r="A228" s="51">
        <v>46005</v>
      </c>
      <c r="B228" s="39"/>
      <c r="C228" s="39"/>
      <c r="D228" s="52" t="s">
        <v>48</v>
      </c>
      <c r="E228" s="52" t="s">
        <v>56</v>
      </c>
      <c r="F228" s="66" t="s">
        <v>90</v>
      </c>
      <c r="G228" s="66" t="s">
        <v>90</v>
      </c>
      <c r="H228" s="85"/>
      <c r="I228" s="85" t="s">
        <v>20</v>
      </c>
      <c r="J228" s="98" t="s">
        <v>85</v>
      </c>
    </row>
    <row r="229" spans="1:10" x14ac:dyDescent="0.25">
      <c r="A229" s="51">
        <v>46006</v>
      </c>
      <c r="B229" s="39">
        <v>23.2</v>
      </c>
      <c r="C229" s="39">
        <v>41.6</v>
      </c>
      <c r="D229" s="52" t="s">
        <v>48</v>
      </c>
      <c r="E229" s="52" t="s">
        <v>48</v>
      </c>
      <c r="F229" s="66">
        <v>-308</v>
      </c>
      <c r="G229" s="66">
        <v>-384</v>
      </c>
      <c r="H229" s="85"/>
      <c r="I229" s="85" t="s">
        <v>20</v>
      </c>
      <c r="J229" s="98" t="s">
        <v>101</v>
      </c>
    </row>
    <row r="230" spans="1:10" x14ac:dyDescent="0.25">
      <c r="A230" s="51">
        <v>46007</v>
      </c>
      <c r="B230" s="39">
        <v>23</v>
      </c>
      <c r="C230" s="39">
        <v>41</v>
      </c>
      <c r="D230" s="52" t="s">
        <v>49</v>
      </c>
      <c r="E230" s="52" t="s">
        <v>48</v>
      </c>
      <c r="F230" s="52">
        <v>-308</v>
      </c>
      <c r="G230" s="52">
        <v>-295</v>
      </c>
      <c r="H230" s="85"/>
      <c r="I230" s="85" t="s">
        <v>20</v>
      </c>
      <c r="J230" s="98"/>
    </row>
    <row r="231" spans="1:10" x14ac:dyDescent="0.25">
      <c r="A231" s="51">
        <v>46008</v>
      </c>
      <c r="B231" s="39">
        <v>24.4</v>
      </c>
      <c r="C231" s="39">
        <v>45.2</v>
      </c>
      <c r="D231" s="52" t="s">
        <v>49</v>
      </c>
      <c r="E231" s="52" t="s">
        <v>49</v>
      </c>
      <c r="F231" s="52">
        <v>-344</v>
      </c>
      <c r="G231" s="52">
        <v>-357</v>
      </c>
      <c r="H231" s="85" t="s">
        <v>21</v>
      </c>
      <c r="I231" s="85" t="s">
        <v>20</v>
      </c>
      <c r="J231" s="98" t="s">
        <v>106</v>
      </c>
    </row>
    <row r="232" spans="1:10" x14ac:dyDescent="0.25">
      <c r="A232" s="51">
        <v>46009</v>
      </c>
      <c r="B232" s="39">
        <v>25</v>
      </c>
      <c r="C232" s="39">
        <v>44</v>
      </c>
      <c r="D232" s="52" t="s">
        <v>49</v>
      </c>
      <c r="E232" s="52" t="s">
        <v>49</v>
      </c>
      <c r="F232" s="52">
        <v>-339</v>
      </c>
      <c r="G232" s="52">
        <v>-384</v>
      </c>
      <c r="H232" s="85" t="s">
        <v>21</v>
      </c>
      <c r="I232" s="85" t="s">
        <v>20</v>
      </c>
      <c r="J232" s="98" t="s">
        <v>102</v>
      </c>
    </row>
    <row r="233" spans="1:10" x14ac:dyDescent="0.25">
      <c r="A233" s="51">
        <v>46010</v>
      </c>
      <c r="B233" s="39">
        <v>24.8</v>
      </c>
      <c r="C233" s="39">
        <v>40.5</v>
      </c>
      <c r="D233" s="52" t="s">
        <v>48</v>
      </c>
      <c r="E233" s="52" t="s">
        <v>49</v>
      </c>
      <c r="F233" s="52">
        <v>-291</v>
      </c>
      <c r="G233" s="52">
        <v>-327</v>
      </c>
      <c r="H233" s="85"/>
      <c r="I233" s="85" t="s">
        <v>20</v>
      </c>
      <c r="J233" s="98"/>
    </row>
    <row r="234" spans="1:10" x14ac:dyDescent="0.25">
      <c r="A234" s="51">
        <v>46011</v>
      </c>
      <c r="B234" s="39"/>
      <c r="C234" s="39"/>
      <c r="D234" s="52" t="s">
        <v>48</v>
      </c>
      <c r="E234" s="52" t="s">
        <v>56</v>
      </c>
      <c r="F234" s="66" t="s">
        <v>90</v>
      </c>
      <c r="G234" s="66" t="s">
        <v>90</v>
      </c>
      <c r="H234" s="85"/>
      <c r="I234" s="85" t="s">
        <v>20</v>
      </c>
      <c r="J234" s="98"/>
    </row>
    <row r="235" spans="1:10" x14ac:dyDescent="0.25">
      <c r="A235" s="51">
        <v>46012</v>
      </c>
      <c r="B235" s="39"/>
      <c r="C235" s="39"/>
      <c r="D235" s="52" t="s">
        <v>48</v>
      </c>
      <c r="E235" s="52" t="s">
        <v>56</v>
      </c>
      <c r="F235" s="66" t="s">
        <v>90</v>
      </c>
      <c r="G235" s="66" t="s">
        <v>90</v>
      </c>
      <c r="H235" s="85" t="s">
        <v>21</v>
      </c>
      <c r="I235" s="85" t="s">
        <v>20</v>
      </c>
      <c r="J235" s="98" t="s">
        <v>103</v>
      </c>
    </row>
    <row r="236" spans="1:10" x14ac:dyDescent="0.25">
      <c r="A236" s="51">
        <v>46013</v>
      </c>
      <c r="B236" s="39">
        <v>40.700000000000003</v>
      </c>
      <c r="C236" s="39">
        <v>40.1</v>
      </c>
      <c r="D236" s="52" t="s">
        <v>48</v>
      </c>
      <c r="E236" s="52" t="s">
        <v>56</v>
      </c>
      <c r="F236" s="66">
        <v>-266</v>
      </c>
      <c r="G236" s="66">
        <v>-355</v>
      </c>
      <c r="H236" s="85"/>
      <c r="I236" s="85" t="s">
        <v>20</v>
      </c>
      <c r="J236" s="98" t="s">
        <v>104</v>
      </c>
    </row>
    <row r="237" spans="1:10" x14ac:dyDescent="0.25">
      <c r="A237" s="51">
        <v>46014</v>
      </c>
      <c r="B237" s="39">
        <v>39.5</v>
      </c>
      <c r="C237" s="39">
        <v>45.7</v>
      </c>
      <c r="D237" s="52" t="s">
        <v>48</v>
      </c>
      <c r="E237" s="52" t="s">
        <v>49</v>
      </c>
      <c r="F237" s="52">
        <v>-234</v>
      </c>
      <c r="G237" s="52">
        <v>-362</v>
      </c>
      <c r="H237" s="85"/>
      <c r="I237" s="85" t="s">
        <v>20</v>
      </c>
      <c r="J237" s="98"/>
    </row>
    <row r="238" spans="1:10" x14ac:dyDescent="0.25">
      <c r="A238" s="51">
        <v>46015</v>
      </c>
      <c r="B238" s="39"/>
      <c r="C238" s="39"/>
      <c r="D238" s="52" t="s">
        <v>48</v>
      </c>
      <c r="E238" s="52" t="s">
        <v>48</v>
      </c>
      <c r="F238" s="66" t="s">
        <v>90</v>
      </c>
      <c r="G238" s="66" t="s">
        <v>90</v>
      </c>
      <c r="H238" s="97" t="s">
        <v>20</v>
      </c>
      <c r="I238" s="85" t="s">
        <v>21</v>
      </c>
      <c r="J238" s="98" t="s">
        <v>92</v>
      </c>
    </row>
    <row r="239" spans="1:10" x14ac:dyDescent="0.25">
      <c r="A239" s="51">
        <v>46016</v>
      </c>
      <c r="B239" s="39"/>
      <c r="C239" s="39"/>
      <c r="D239" s="52" t="s">
        <v>48</v>
      </c>
      <c r="E239" s="52" t="s">
        <v>48</v>
      </c>
      <c r="F239" s="66" t="s">
        <v>90</v>
      </c>
      <c r="G239" s="66" t="s">
        <v>90</v>
      </c>
      <c r="H239" s="97" t="s">
        <v>20</v>
      </c>
      <c r="I239" s="85" t="s">
        <v>21</v>
      </c>
      <c r="J239" s="98" t="s">
        <v>93</v>
      </c>
    </row>
    <row r="240" spans="1:10" x14ac:dyDescent="0.25">
      <c r="A240" s="51">
        <v>46017</v>
      </c>
      <c r="B240" s="39"/>
      <c r="C240" s="39"/>
      <c r="D240" s="52" t="s">
        <v>48</v>
      </c>
      <c r="E240" s="52" t="s">
        <v>48</v>
      </c>
      <c r="F240" s="66" t="s">
        <v>90</v>
      </c>
      <c r="G240" s="66" t="s">
        <v>90</v>
      </c>
      <c r="H240" s="97" t="s">
        <v>20</v>
      </c>
      <c r="I240" s="85" t="s">
        <v>21</v>
      </c>
      <c r="J240" s="98" t="s">
        <v>94</v>
      </c>
    </row>
    <row r="241" spans="1:10" x14ac:dyDescent="0.25">
      <c r="A241" s="51">
        <v>46018</v>
      </c>
      <c r="B241" s="39"/>
      <c r="C241" s="39"/>
      <c r="D241" s="52" t="s">
        <v>48</v>
      </c>
      <c r="E241" s="52" t="s">
        <v>48</v>
      </c>
      <c r="F241" s="66" t="s">
        <v>90</v>
      </c>
      <c r="G241" s="66" t="s">
        <v>90</v>
      </c>
      <c r="H241" s="97" t="s">
        <v>20</v>
      </c>
      <c r="I241" s="85" t="s">
        <v>21</v>
      </c>
      <c r="J241" s="98" t="s">
        <v>94</v>
      </c>
    </row>
    <row r="242" spans="1:10" x14ac:dyDescent="0.25">
      <c r="A242" s="51">
        <v>46019</v>
      </c>
      <c r="B242" s="39"/>
      <c r="C242" s="39"/>
      <c r="D242" s="52" t="s">
        <v>48</v>
      </c>
      <c r="E242" s="52" t="s">
        <v>48</v>
      </c>
      <c r="F242" s="66" t="s">
        <v>90</v>
      </c>
      <c r="G242" s="66" t="s">
        <v>90</v>
      </c>
      <c r="H242" s="97" t="s">
        <v>20</v>
      </c>
      <c r="I242" s="85" t="s">
        <v>21</v>
      </c>
      <c r="J242" s="98" t="s">
        <v>95</v>
      </c>
    </row>
    <row r="243" spans="1:10" x14ac:dyDescent="0.25">
      <c r="A243" s="51">
        <v>46020</v>
      </c>
      <c r="B243" s="39">
        <v>24.8</v>
      </c>
      <c r="C243" s="39">
        <v>33.9</v>
      </c>
      <c r="D243" s="52" t="s">
        <v>48</v>
      </c>
      <c r="E243" s="52" t="s">
        <v>48</v>
      </c>
      <c r="F243" s="66">
        <v>-234</v>
      </c>
      <c r="G243" s="66">
        <v>-379</v>
      </c>
      <c r="H243" s="97" t="s">
        <v>20</v>
      </c>
      <c r="I243" s="85" t="s">
        <v>21</v>
      </c>
      <c r="J243" s="98" t="s">
        <v>96</v>
      </c>
    </row>
    <row r="244" spans="1:10" x14ac:dyDescent="0.25">
      <c r="A244" s="51">
        <v>46021</v>
      </c>
      <c r="B244" s="39">
        <v>36.1</v>
      </c>
      <c r="C244" s="39">
        <v>36.1</v>
      </c>
      <c r="D244" s="52" t="s">
        <v>48</v>
      </c>
      <c r="E244" s="52" t="s">
        <v>48</v>
      </c>
      <c r="F244" s="66">
        <v>-242</v>
      </c>
      <c r="G244" s="66">
        <v>-329</v>
      </c>
      <c r="H244" s="97" t="s">
        <v>20</v>
      </c>
      <c r="I244" s="85" t="s">
        <v>21</v>
      </c>
      <c r="J244" s="98" t="s">
        <v>105</v>
      </c>
    </row>
    <row r="245" spans="1:10" x14ac:dyDescent="0.25">
      <c r="A245" s="51">
        <v>46022</v>
      </c>
      <c r="B245" s="39"/>
      <c r="C245" s="39"/>
      <c r="D245" s="52" t="s">
        <v>48</v>
      </c>
      <c r="E245" s="52" t="s">
        <v>48</v>
      </c>
      <c r="F245" s="66" t="s">
        <v>90</v>
      </c>
      <c r="G245" s="66" t="s">
        <v>90</v>
      </c>
      <c r="H245" s="97" t="s">
        <v>20</v>
      </c>
      <c r="I245" s="85" t="s">
        <v>21</v>
      </c>
      <c r="J245" s="98" t="s">
        <v>91</v>
      </c>
    </row>
    <row r="246" spans="1:10" x14ac:dyDescent="0.25">
      <c r="J246"/>
    </row>
    <row r="247" spans="1:10" x14ac:dyDescent="0.25">
      <c r="J247"/>
    </row>
    <row r="248" spans="1:10" x14ac:dyDescent="0.25">
      <c r="J248"/>
    </row>
    <row r="249" spans="1:10" x14ac:dyDescent="0.25">
      <c r="J249"/>
    </row>
    <row r="250" spans="1:10" x14ac:dyDescent="0.25">
      <c r="J250"/>
    </row>
    <row r="251" spans="1:10" x14ac:dyDescent="0.25">
      <c r="J251"/>
    </row>
    <row r="252" spans="1:10" x14ac:dyDescent="0.25">
      <c r="J252"/>
    </row>
    <row r="253" spans="1:10" x14ac:dyDescent="0.25">
      <c r="J253"/>
    </row>
    <row r="254" spans="1:10" x14ac:dyDescent="0.25">
      <c r="J254"/>
    </row>
    <row r="255" spans="1:10" x14ac:dyDescent="0.25">
      <c r="J255"/>
    </row>
    <row r="256" spans="1:10" x14ac:dyDescent="0.25">
      <c r="J256"/>
    </row>
    <row r="257" spans="10:10" x14ac:dyDescent="0.25">
      <c r="J257"/>
    </row>
    <row r="258" spans="10:10" x14ac:dyDescent="0.25">
      <c r="J258"/>
    </row>
    <row r="259" spans="10:10" x14ac:dyDescent="0.25">
      <c r="J259"/>
    </row>
    <row r="260" spans="10:10" x14ac:dyDescent="0.25">
      <c r="J260"/>
    </row>
    <row r="261" spans="10:10" x14ac:dyDescent="0.25">
      <c r="J261"/>
    </row>
    <row r="262" spans="10:10" x14ac:dyDescent="0.25">
      <c r="J262"/>
    </row>
    <row r="263" spans="10:10" x14ac:dyDescent="0.25">
      <c r="J263"/>
    </row>
    <row r="264" spans="10:10" x14ac:dyDescent="0.25">
      <c r="J264"/>
    </row>
    <row r="265" spans="10:10" x14ac:dyDescent="0.25">
      <c r="J265"/>
    </row>
    <row r="266" spans="10:10" x14ac:dyDescent="0.25">
      <c r="J266"/>
    </row>
    <row r="267" spans="10:10" x14ac:dyDescent="0.25">
      <c r="J267"/>
    </row>
    <row r="268" spans="10:10" x14ac:dyDescent="0.25">
      <c r="J268"/>
    </row>
    <row r="269" spans="10:10" x14ac:dyDescent="0.25">
      <c r="J269"/>
    </row>
    <row r="270" spans="10:10" x14ac:dyDescent="0.25">
      <c r="J270"/>
    </row>
    <row r="271" spans="10:10" x14ac:dyDescent="0.25">
      <c r="J271"/>
    </row>
    <row r="272" spans="10:10" x14ac:dyDescent="0.25">
      <c r="J272"/>
    </row>
    <row r="273" spans="10:10" x14ac:dyDescent="0.25">
      <c r="J273"/>
    </row>
    <row r="274" spans="10:10" x14ac:dyDescent="0.25">
      <c r="J274"/>
    </row>
    <row r="275" spans="10:10" x14ac:dyDescent="0.25">
      <c r="J275"/>
    </row>
    <row r="276" spans="10:10" x14ac:dyDescent="0.25">
      <c r="J276"/>
    </row>
    <row r="277" spans="10:10" x14ac:dyDescent="0.25">
      <c r="J277"/>
    </row>
    <row r="278" spans="10:10" x14ac:dyDescent="0.25">
      <c r="J278"/>
    </row>
    <row r="279" spans="10:10" x14ac:dyDescent="0.25">
      <c r="J279"/>
    </row>
    <row r="280" spans="10:10" x14ac:dyDescent="0.25">
      <c r="J280"/>
    </row>
    <row r="281" spans="10:10" x14ac:dyDescent="0.25">
      <c r="J281"/>
    </row>
    <row r="282" spans="10:10" x14ac:dyDescent="0.25">
      <c r="J282"/>
    </row>
    <row r="283" spans="10:10" x14ac:dyDescent="0.25">
      <c r="J283"/>
    </row>
    <row r="284" spans="10:10" x14ac:dyDescent="0.25">
      <c r="J284"/>
    </row>
    <row r="285" spans="10:10" x14ac:dyDescent="0.25">
      <c r="J285"/>
    </row>
    <row r="286" spans="10:10" x14ac:dyDescent="0.25">
      <c r="J286"/>
    </row>
    <row r="287" spans="10:10" x14ac:dyDescent="0.25">
      <c r="J287"/>
    </row>
    <row r="288" spans="10:10" x14ac:dyDescent="0.25">
      <c r="J288"/>
    </row>
    <row r="289" spans="10:10" x14ac:dyDescent="0.25">
      <c r="J289"/>
    </row>
    <row r="290" spans="10:10" x14ac:dyDescent="0.25">
      <c r="J290"/>
    </row>
    <row r="291" spans="10:10" x14ac:dyDescent="0.25">
      <c r="J291"/>
    </row>
    <row r="292" spans="10:10" x14ac:dyDescent="0.25">
      <c r="J292"/>
    </row>
    <row r="293" spans="10:10" x14ac:dyDescent="0.25">
      <c r="J293"/>
    </row>
    <row r="294" spans="10:10" x14ac:dyDescent="0.25">
      <c r="J294"/>
    </row>
    <row r="295" spans="10:10" x14ac:dyDescent="0.25">
      <c r="J295"/>
    </row>
    <row r="296" spans="10:10" x14ac:dyDescent="0.25">
      <c r="J296"/>
    </row>
    <row r="297" spans="10:10" x14ac:dyDescent="0.25">
      <c r="J297"/>
    </row>
    <row r="298" spans="10:10" x14ac:dyDescent="0.25">
      <c r="J298"/>
    </row>
    <row r="299" spans="10:10" x14ac:dyDescent="0.25">
      <c r="J299"/>
    </row>
    <row r="300" spans="10:10" x14ac:dyDescent="0.25">
      <c r="J300"/>
    </row>
    <row r="301" spans="10:10" x14ac:dyDescent="0.25">
      <c r="J301"/>
    </row>
    <row r="302" spans="10:10" x14ac:dyDescent="0.25">
      <c r="J302"/>
    </row>
    <row r="303" spans="10:10" x14ac:dyDescent="0.25">
      <c r="J303"/>
    </row>
    <row r="304" spans="10:10" x14ac:dyDescent="0.25">
      <c r="J304"/>
    </row>
    <row r="305" spans="10:10" x14ac:dyDescent="0.25">
      <c r="J305"/>
    </row>
    <row r="306" spans="10:10" x14ac:dyDescent="0.25">
      <c r="J306"/>
    </row>
    <row r="307" spans="10:10" x14ac:dyDescent="0.25">
      <c r="J307"/>
    </row>
    <row r="308" spans="10:10" x14ac:dyDescent="0.25">
      <c r="J308"/>
    </row>
    <row r="309" spans="10:10" x14ac:dyDescent="0.25">
      <c r="J309"/>
    </row>
    <row r="310" spans="10:10" x14ac:dyDescent="0.25">
      <c r="J310"/>
    </row>
    <row r="311" spans="10:10" x14ac:dyDescent="0.25">
      <c r="J311"/>
    </row>
    <row r="312" spans="10:10" x14ac:dyDescent="0.25">
      <c r="J312"/>
    </row>
    <row r="313" spans="10:10" x14ac:dyDescent="0.25">
      <c r="J313"/>
    </row>
    <row r="314" spans="10:10" x14ac:dyDescent="0.25">
      <c r="J314"/>
    </row>
    <row r="315" spans="10:10" x14ac:dyDescent="0.25">
      <c r="J315"/>
    </row>
    <row r="316" spans="10:10" x14ac:dyDescent="0.25">
      <c r="J316"/>
    </row>
    <row r="317" spans="10:10" x14ac:dyDescent="0.25">
      <c r="J317"/>
    </row>
    <row r="318" spans="10:10" x14ac:dyDescent="0.25">
      <c r="J318"/>
    </row>
    <row r="319" spans="10:10" x14ac:dyDescent="0.25">
      <c r="J319"/>
    </row>
    <row r="320" spans="10:10" x14ac:dyDescent="0.25">
      <c r="J320"/>
    </row>
    <row r="321" spans="10:10" x14ac:dyDescent="0.25">
      <c r="J321"/>
    </row>
    <row r="322" spans="10:10" x14ac:dyDescent="0.25">
      <c r="J322"/>
    </row>
    <row r="323" spans="10:10" x14ac:dyDescent="0.25">
      <c r="J323"/>
    </row>
    <row r="324" spans="10:10" x14ac:dyDescent="0.25">
      <c r="J324"/>
    </row>
    <row r="325" spans="10:10" x14ac:dyDescent="0.25">
      <c r="J325"/>
    </row>
    <row r="326" spans="10:10" x14ac:dyDescent="0.25">
      <c r="J326"/>
    </row>
    <row r="327" spans="10:10" x14ac:dyDescent="0.25">
      <c r="J327"/>
    </row>
    <row r="328" spans="10:10" x14ac:dyDescent="0.25">
      <c r="J328"/>
    </row>
    <row r="329" spans="10:10" x14ac:dyDescent="0.25">
      <c r="J329"/>
    </row>
    <row r="330" spans="10:10" x14ac:dyDescent="0.25">
      <c r="J330"/>
    </row>
    <row r="331" spans="10:10" x14ac:dyDescent="0.25">
      <c r="J331"/>
    </row>
    <row r="332" spans="10:10" x14ac:dyDescent="0.25">
      <c r="J332"/>
    </row>
    <row r="333" spans="10:10" x14ac:dyDescent="0.25">
      <c r="J333"/>
    </row>
    <row r="334" spans="10:10" x14ac:dyDescent="0.25">
      <c r="J334"/>
    </row>
    <row r="335" spans="10:10" x14ac:dyDescent="0.25">
      <c r="J335"/>
    </row>
    <row r="336" spans="10:10" x14ac:dyDescent="0.25">
      <c r="J336"/>
    </row>
    <row r="337" spans="10:10" x14ac:dyDescent="0.25">
      <c r="J337"/>
    </row>
    <row r="338" spans="10:10" x14ac:dyDescent="0.25">
      <c r="J338"/>
    </row>
    <row r="339" spans="10:10" x14ac:dyDescent="0.25">
      <c r="J339"/>
    </row>
    <row r="340" spans="10:10" x14ac:dyDescent="0.25">
      <c r="J340"/>
    </row>
    <row r="341" spans="10:10" x14ac:dyDescent="0.25">
      <c r="J341"/>
    </row>
    <row r="342" spans="10:10" x14ac:dyDescent="0.25">
      <c r="J342"/>
    </row>
    <row r="343" spans="10:10" x14ac:dyDescent="0.25">
      <c r="J343"/>
    </row>
    <row r="344" spans="10:10" x14ac:dyDescent="0.25">
      <c r="J344"/>
    </row>
    <row r="345" spans="10:10" x14ac:dyDescent="0.25">
      <c r="J345"/>
    </row>
    <row r="346" spans="10:10" x14ac:dyDescent="0.25">
      <c r="J346"/>
    </row>
    <row r="347" spans="10:10" x14ac:dyDescent="0.25">
      <c r="J347"/>
    </row>
    <row r="348" spans="10:10" x14ac:dyDescent="0.25">
      <c r="J348"/>
    </row>
    <row r="349" spans="10:10" x14ac:dyDescent="0.25">
      <c r="J349"/>
    </row>
    <row r="350" spans="10:10" x14ac:dyDescent="0.25">
      <c r="J350"/>
    </row>
    <row r="351" spans="10:10" x14ac:dyDescent="0.25">
      <c r="J351"/>
    </row>
    <row r="352" spans="10:10" x14ac:dyDescent="0.25">
      <c r="J352"/>
    </row>
    <row r="353" spans="10:10" x14ac:dyDescent="0.25">
      <c r="J353"/>
    </row>
    <row r="354" spans="10:10" x14ac:dyDescent="0.25">
      <c r="J354"/>
    </row>
    <row r="355" spans="10:10" x14ac:dyDescent="0.25">
      <c r="J355"/>
    </row>
    <row r="356" spans="10:10" x14ac:dyDescent="0.25">
      <c r="J356"/>
    </row>
    <row r="357" spans="10:10" x14ac:dyDescent="0.25">
      <c r="J357"/>
    </row>
    <row r="358" spans="10:10" x14ac:dyDescent="0.25">
      <c r="J358"/>
    </row>
    <row r="359" spans="10:10" x14ac:dyDescent="0.25">
      <c r="J359"/>
    </row>
    <row r="360" spans="10:10" x14ac:dyDescent="0.25">
      <c r="J360"/>
    </row>
    <row r="361" spans="10:10" x14ac:dyDescent="0.25">
      <c r="J361"/>
    </row>
    <row r="362" spans="10:10" x14ac:dyDescent="0.25">
      <c r="J362"/>
    </row>
    <row r="363" spans="10:10" x14ac:dyDescent="0.25">
      <c r="J363"/>
    </row>
    <row r="364" spans="10:10" x14ac:dyDescent="0.25">
      <c r="J364"/>
    </row>
    <row r="365" spans="10:10" x14ac:dyDescent="0.25">
      <c r="J365"/>
    </row>
    <row r="366" spans="10:10" x14ac:dyDescent="0.25">
      <c r="J366"/>
    </row>
    <row r="367" spans="10:10" x14ac:dyDescent="0.25">
      <c r="J367"/>
    </row>
    <row r="368" spans="10:10" x14ac:dyDescent="0.25">
      <c r="J368"/>
    </row>
    <row r="369" spans="10:10" x14ac:dyDescent="0.25">
      <c r="J369"/>
    </row>
    <row r="370" spans="10:10" x14ac:dyDescent="0.25">
      <c r="J370"/>
    </row>
    <row r="371" spans="10:10" x14ac:dyDescent="0.25">
      <c r="J371"/>
    </row>
    <row r="372" spans="10:10" x14ac:dyDescent="0.25">
      <c r="J372"/>
    </row>
    <row r="373" spans="10:10" x14ac:dyDescent="0.25">
      <c r="J373"/>
    </row>
    <row r="374" spans="10:10" x14ac:dyDescent="0.25">
      <c r="J374"/>
    </row>
    <row r="375" spans="10:10" x14ac:dyDescent="0.25">
      <c r="J375"/>
    </row>
    <row r="376" spans="10:10" x14ac:dyDescent="0.25">
      <c r="J376"/>
    </row>
    <row r="377" spans="10:10" x14ac:dyDescent="0.25">
      <c r="J377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A7E0-B716-43EB-990C-20EF611BAAB0}">
  <dimension ref="A3:I74"/>
  <sheetViews>
    <sheetView topLeftCell="B10" zoomScaleNormal="100" workbookViewId="0">
      <selection activeCell="E28" sqref="E28"/>
    </sheetView>
  </sheetViews>
  <sheetFormatPr baseColWidth="10" defaultRowHeight="15" x14ac:dyDescent="0.25"/>
  <cols>
    <col min="1" max="1" width="17.5703125" bestFit="1" customWidth="1"/>
    <col min="2" max="2" width="14.7109375" bestFit="1" customWidth="1"/>
    <col min="3" max="4" width="11.42578125" bestFit="1" customWidth="1"/>
    <col min="5" max="5" width="19.140625" bestFit="1" customWidth="1"/>
    <col min="7" max="7" width="17.5703125" bestFit="1" customWidth="1"/>
    <col min="8" max="8" width="14.7109375" bestFit="1" customWidth="1"/>
  </cols>
  <sheetData>
    <row r="3" spans="1:3" x14ac:dyDescent="0.25">
      <c r="A3" s="30" t="s">
        <v>25</v>
      </c>
      <c r="B3" t="s">
        <v>33</v>
      </c>
      <c r="C3" t="s">
        <v>35</v>
      </c>
    </row>
    <row r="4" spans="1:3" x14ac:dyDescent="0.25">
      <c r="A4" s="32">
        <v>45811</v>
      </c>
      <c r="B4">
        <v>31.3</v>
      </c>
      <c r="C4">
        <v>275</v>
      </c>
    </row>
    <row r="5" spans="1:3" x14ac:dyDescent="0.25">
      <c r="A5" s="32">
        <v>45812</v>
      </c>
      <c r="B5">
        <v>31.4</v>
      </c>
      <c r="C5">
        <v>282</v>
      </c>
    </row>
    <row r="6" spans="1:3" x14ac:dyDescent="0.25">
      <c r="A6" s="32">
        <v>45813</v>
      </c>
      <c r="B6">
        <v>31.4</v>
      </c>
      <c r="C6">
        <v>298</v>
      </c>
    </row>
    <row r="7" spans="1:3" x14ac:dyDescent="0.25">
      <c r="A7" s="32">
        <v>45815</v>
      </c>
      <c r="B7">
        <v>30.4</v>
      </c>
      <c r="C7">
        <v>253</v>
      </c>
    </row>
    <row r="8" spans="1:3" x14ac:dyDescent="0.25">
      <c r="A8" s="32">
        <v>45817</v>
      </c>
      <c r="B8">
        <v>31.3</v>
      </c>
      <c r="C8">
        <v>300</v>
      </c>
    </row>
    <row r="9" spans="1:3" x14ac:dyDescent="0.25">
      <c r="A9" s="32">
        <v>45818</v>
      </c>
      <c r="B9">
        <v>31.1</v>
      </c>
      <c r="C9">
        <v>278</v>
      </c>
    </row>
    <row r="10" spans="1:3" x14ac:dyDescent="0.25">
      <c r="A10" s="32">
        <v>45819</v>
      </c>
      <c r="B10">
        <v>31.2</v>
      </c>
      <c r="C10">
        <v>284</v>
      </c>
    </row>
    <row r="11" spans="1:3" x14ac:dyDescent="0.25">
      <c r="A11" s="32">
        <v>45820</v>
      </c>
      <c r="B11">
        <v>31.2</v>
      </c>
      <c r="C11">
        <v>285</v>
      </c>
    </row>
    <row r="12" spans="1:3" x14ac:dyDescent="0.25">
      <c r="A12" s="32">
        <v>45821</v>
      </c>
      <c r="B12">
        <v>33.799999999999997</v>
      </c>
      <c r="C12">
        <v>344</v>
      </c>
    </row>
    <row r="13" spans="1:3" x14ac:dyDescent="0.25">
      <c r="A13" s="32">
        <v>45822</v>
      </c>
      <c r="B13">
        <v>33.299999999999997</v>
      </c>
      <c r="C13">
        <v>365</v>
      </c>
    </row>
    <row r="14" spans="1:3" x14ac:dyDescent="0.25">
      <c r="A14" s="32">
        <v>45824</v>
      </c>
      <c r="B14">
        <v>32.4</v>
      </c>
      <c r="C14">
        <v>361</v>
      </c>
    </row>
    <row r="15" spans="1:3" x14ac:dyDescent="0.25">
      <c r="A15" s="32">
        <v>45825</v>
      </c>
      <c r="B15">
        <v>31.3</v>
      </c>
      <c r="C15">
        <v>327</v>
      </c>
    </row>
    <row r="16" spans="1:3" x14ac:dyDescent="0.25">
      <c r="A16" s="32">
        <v>45826</v>
      </c>
      <c r="B16">
        <v>30.5</v>
      </c>
      <c r="C16">
        <v>351</v>
      </c>
    </row>
    <row r="17" spans="1:3" x14ac:dyDescent="0.25">
      <c r="A17" s="32">
        <v>45827</v>
      </c>
      <c r="B17">
        <v>30.4</v>
      </c>
      <c r="C17">
        <v>343</v>
      </c>
    </row>
    <row r="18" spans="1:3" x14ac:dyDescent="0.25">
      <c r="A18" s="32">
        <v>45828</v>
      </c>
      <c r="B18">
        <v>30.7</v>
      </c>
      <c r="C18">
        <v>378</v>
      </c>
    </row>
    <row r="19" spans="1:3" x14ac:dyDescent="0.25">
      <c r="A19" s="32">
        <v>45829</v>
      </c>
      <c r="B19">
        <v>31.1</v>
      </c>
      <c r="C19">
        <v>384</v>
      </c>
    </row>
    <row r="20" spans="1:3" x14ac:dyDescent="0.25">
      <c r="A20" s="32">
        <v>45832</v>
      </c>
      <c r="B20">
        <v>30.2</v>
      </c>
      <c r="C20">
        <v>410</v>
      </c>
    </row>
    <row r="21" spans="1:3" x14ac:dyDescent="0.25">
      <c r="A21" s="32">
        <v>45833</v>
      </c>
      <c r="B21">
        <v>32.4</v>
      </c>
      <c r="C21">
        <v>380</v>
      </c>
    </row>
    <row r="22" spans="1:3" x14ac:dyDescent="0.25">
      <c r="A22" s="32">
        <v>45834</v>
      </c>
      <c r="B22">
        <v>32.299999999999997</v>
      </c>
      <c r="C22">
        <v>386</v>
      </c>
    </row>
    <row r="23" spans="1:3" x14ac:dyDescent="0.25">
      <c r="A23" s="32">
        <v>45835</v>
      </c>
      <c r="B23">
        <v>25.4</v>
      </c>
      <c r="C23">
        <v>335</v>
      </c>
    </row>
    <row r="24" spans="1:3" x14ac:dyDescent="0.25">
      <c r="A24" s="32">
        <v>45836</v>
      </c>
      <c r="B24">
        <v>32.6</v>
      </c>
      <c r="C24">
        <v>346</v>
      </c>
    </row>
    <row r="25" spans="1:3" x14ac:dyDescent="0.25">
      <c r="A25" s="32">
        <v>45839</v>
      </c>
      <c r="B25">
        <v>25.8</v>
      </c>
      <c r="C25">
        <v>338</v>
      </c>
    </row>
    <row r="26" spans="1:3" x14ac:dyDescent="0.25">
      <c r="A26" s="32">
        <v>45840</v>
      </c>
      <c r="B26">
        <v>25.4</v>
      </c>
      <c r="C26">
        <v>329</v>
      </c>
    </row>
    <row r="27" spans="1:3" x14ac:dyDescent="0.25">
      <c r="A27" s="32">
        <v>45841</v>
      </c>
      <c r="B27">
        <v>26.3</v>
      </c>
      <c r="C27">
        <v>350</v>
      </c>
    </row>
    <row r="28" spans="1:3" x14ac:dyDescent="0.25">
      <c r="A28" s="32">
        <v>45842</v>
      </c>
      <c r="B28">
        <v>25.3</v>
      </c>
      <c r="C28">
        <v>340</v>
      </c>
    </row>
    <row r="29" spans="1:3" x14ac:dyDescent="0.25">
      <c r="A29" s="32">
        <v>45843</v>
      </c>
      <c r="B29">
        <v>22</v>
      </c>
      <c r="C29">
        <v>299</v>
      </c>
    </row>
    <row r="30" spans="1:3" x14ac:dyDescent="0.25">
      <c r="A30" s="32">
        <v>45845</v>
      </c>
      <c r="B30">
        <v>28.3</v>
      </c>
      <c r="C30">
        <v>382</v>
      </c>
    </row>
    <row r="31" spans="1:3" x14ac:dyDescent="0.25">
      <c r="A31" s="32">
        <v>45846</v>
      </c>
      <c r="B31">
        <v>22.4</v>
      </c>
      <c r="C31">
        <v>410</v>
      </c>
    </row>
    <row r="32" spans="1:3" x14ac:dyDescent="0.25">
      <c r="A32" s="32">
        <v>45847</v>
      </c>
      <c r="B32">
        <v>0</v>
      </c>
      <c r="C32">
        <v>265</v>
      </c>
    </row>
    <row r="33" spans="1:9" x14ac:dyDescent="0.25">
      <c r="A33" s="32">
        <v>45848</v>
      </c>
      <c r="B33">
        <v>0</v>
      </c>
      <c r="C33">
        <v>245</v>
      </c>
    </row>
    <row r="34" spans="1:9" x14ac:dyDescent="0.25">
      <c r="A34" s="32">
        <v>45849</v>
      </c>
      <c r="B34">
        <v>0</v>
      </c>
      <c r="C34">
        <v>221</v>
      </c>
    </row>
    <row r="35" spans="1:9" x14ac:dyDescent="0.25">
      <c r="A35" s="32">
        <v>45852</v>
      </c>
      <c r="B35">
        <v>35.9</v>
      </c>
      <c r="C35">
        <v>259</v>
      </c>
    </row>
    <row r="36" spans="1:9" x14ac:dyDescent="0.25">
      <c r="A36" s="31" t="s">
        <v>26</v>
      </c>
      <c r="B36">
        <v>867.09999999999968</v>
      </c>
      <c r="C36">
        <v>10403</v>
      </c>
    </row>
    <row r="41" spans="1:9" x14ac:dyDescent="0.25">
      <c r="G41" s="30" t="s">
        <v>25</v>
      </c>
      <c r="H41" t="s">
        <v>34</v>
      </c>
      <c r="I41" t="s">
        <v>36</v>
      </c>
    </row>
    <row r="42" spans="1:9" x14ac:dyDescent="0.25">
      <c r="G42" s="32">
        <v>45811</v>
      </c>
      <c r="H42">
        <v>43.4</v>
      </c>
      <c r="I42">
        <v>273</v>
      </c>
    </row>
    <row r="43" spans="1:9" x14ac:dyDescent="0.25">
      <c r="G43" s="32">
        <v>45812</v>
      </c>
      <c r="H43">
        <v>43.5</v>
      </c>
      <c r="I43">
        <v>291</v>
      </c>
    </row>
    <row r="44" spans="1:9" x14ac:dyDescent="0.25">
      <c r="G44" s="32">
        <v>45813</v>
      </c>
      <c r="H44">
        <v>42.7</v>
      </c>
      <c r="I44">
        <v>276</v>
      </c>
    </row>
    <row r="45" spans="1:9" x14ac:dyDescent="0.25">
      <c r="G45" s="32">
        <v>45815</v>
      </c>
      <c r="H45">
        <v>42.5</v>
      </c>
      <c r="I45">
        <v>279</v>
      </c>
    </row>
    <row r="46" spans="1:9" x14ac:dyDescent="0.25">
      <c r="G46" s="32">
        <v>45817</v>
      </c>
      <c r="H46">
        <v>42.7</v>
      </c>
      <c r="I46">
        <v>292</v>
      </c>
    </row>
    <row r="47" spans="1:9" x14ac:dyDescent="0.25">
      <c r="G47" s="32">
        <v>45818</v>
      </c>
      <c r="H47">
        <v>45</v>
      </c>
      <c r="I47">
        <v>267</v>
      </c>
    </row>
    <row r="48" spans="1:9" x14ac:dyDescent="0.25">
      <c r="G48" s="32">
        <v>45819</v>
      </c>
      <c r="H48">
        <v>45.3</v>
      </c>
      <c r="I48">
        <v>292</v>
      </c>
    </row>
    <row r="49" spans="7:9" x14ac:dyDescent="0.25">
      <c r="G49" s="32">
        <v>45820</v>
      </c>
      <c r="H49">
        <v>45.5</v>
      </c>
      <c r="I49">
        <v>306</v>
      </c>
    </row>
    <row r="50" spans="7:9" x14ac:dyDescent="0.25">
      <c r="G50" s="32">
        <v>45821</v>
      </c>
      <c r="H50">
        <v>43.7</v>
      </c>
      <c r="I50">
        <v>333</v>
      </c>
    </row>
    <row r="51" spans="7:9" x14ac:dyDescent="0.25">
      <c r="G51" s="32">
        <v>45822</v>
      </c>
      <c r="H51">
        <v>36.4</v>
      </c>
      <c r="I51">
        <v>303</v>
      </c>
    </row>
    <row r="52" spans="7:9" x14ac:dyDescent="0.25">
      <c r="G52" s="32">
        <v>45824</v>
      </c>
      <c r="H52">
        <v>41.3</v>
      </c>
      <c r="I52">
        <v>287</v>
      </c>
    </row>
    <row r="53" spans="7:9" x14ac:dyDescent="0.25">
      <c r="G53" s="32">
        <v>45825</v>
      </c>
      <c r="H53">
        <v>41.9</v>
      </c>
      <c r="I53">
        <v>327</v>
      </c>
    </row>
    <row r="54" spans="7:9" x14ac:dyDescent="0.25">
      <c r="G54" s="32">
        <v>45826</v>
      </c>
      <c r="H54">
        <v>41.3</v>
      </c>
      <c r="I54">
        <v>261</v>
      </c>
    </row>
    <row r="55" spans="7:9" x14ac:dyDescent="0.25">
      <c r="G55" s="32">
        <v>45827</v>
      </c>
      <c r="H55">
        <v>41.7</v>
      </c>
      <c r="I55">
        <v>283</v>
      </c>
    </row>
    <row r="56" spans="7:9" x14ac:dyDescent="0.25">
      <c r="G56" s="32">
        <v>45828</v>
      </c>
      <c r="H56">
        <v>41.4</v>
      </c>
      <c r="I56">
        <v>275</v>
      </c>
    </row>
    <row r="57" spans="7:9" x14ac:dyDescent="0.25">
      <c r="G57" s="32">
        <v>45829</v>
      </c>
      <c r="H57">
        <v>43.4</v>
      </c>
      <c r="I57">
        <v>351</v>
      </c>
    </row>
    <row r="58" spans="7:9" x14ac:dyDescent="0.25">
      <c r="G58" s="32">
        <v>45832</v>
      </c>
      <c r="H58">
        <v>45.2</v>
      </c>
      <c r="I58">
        <v>369</v>
      </c>
    </row>
    <row r="59" spans="7:9" x14ac:dyDescent="0.25">
      <c r="G59" s="32">
        <v>45833</v>
      </c>
      <c r="H59">
        <v>44.4</v>
      </c>
      <c r="I59">
        <v>339</v>
      </c>
    </row>
    <row r="60" spans="7:9" x14ac:dyDescent="0.25">
      <c r="G60" s="32">
        <v>45834</v>
      </c>
      <c r="H60">
        <v>43.4</v>
      </c>
      <c r="I60">
        <v>333</v>
      </c>
    </row>
    <row r="61" spans="7:9" x14ac:dyDescent="0.25">
      <c r="G61" s="32">
        <v>45835</v>
      </c>
      <c r="H61">
        <v>44.8</v>
      </c>
      <c r="I61">
        <v>323</v>
      </c>
    </row>
    <row r="62" spans="7:9" x14ac:dyDescent="0.25">
      <c r="G62" s="32">
        <v>45836</v>
      </c>
      <c r="H62">
        <v>47.3</v>
      </c>
      <c r="I62">
        <v>307</v>
      </c>
    </row>
    <row r="63" spans="7:9" x14ac:dyDescent="0.25">
      <c r="G63" s="32">
        <v>45839</v>
      </c>
      <c r="H63">
        <v>44.7</v>
      </c>
      <c r="I63">
        <v>325</v>
      </c>
    </row>
    <row r="64" spans="7:9" x14ac:dyDescent="0.25">
      <c r="G64" s="32">
        <v>45840</v>
      </c>
      <c r="H64">
        <v>43.2</v>
      </c>
      <c r="I64">
        <v>353</v>
      </c>
    </row>
    <row r="65" spans="7:9" x14ac:dyDescent="0.25">
      <c r="G65" s="32">
        <v>45841</v>
      </c>
      <c r="H65">
        <v>42.2</v>
      </c>
      <c r="I65">
        <v>357</v>
      </c>
    </row>
    <row r="66" spans="7:9" x14ac:dyDescent="0.25">
      <c r="G66" s="32">
        <v>45842</v>
      </c>
      <c r="H66">
        <v>44.2</v>
      </c>
      <c r="I66">
        <v>311</v>
      </c>
    </row>
    <row r="67" spans="7:9" x14ac:dyDescent="0.25">
      <c r="G67" s="32">
        <v>45843</v>
      </c>
      <c r="H67">
        <v>47.1</v>
      </c>
      <c r="I67">
        <v>351</v>
      </c>
    </row>
    <row r="68" spans="7:9" x14ac:dyDescent="0.25">
      <c r="G68" s="32">
        <v>45845</v>
      </c>
      <c r="H68">
        <v>46.8</v>
      </c>
      <c r="I68">
        <v>338</v>
      </c>
    </row>
    <row r="69" spans="7:9" x14ac:dyDescent="0.25">
      <c r="G69" s="32">
        <v>45846</v>
      </c>
      <c r="H69">
        <v>40.200000000000003</v>
      </c>
      <c r="I69">
        <v>354</v>
      </c>
    </row>
    <row r="70" spans="7:9" x14ac:dyDescent="0.25">
      <c r="G70" s="32">
        <v>45847</v>
      </c>
      <c r="H70">
        <v>40.700000000000003</v>
      </c>
      <c r="I70">
        <v>327</v>
      </c>
    </row>
    <row r="71" spans="7:9" x14ac:dyDescent="0.25">
      <c r="G71" s="32">
        <v>45848</v>
      </c>
      <c r="H71">
        <v>41.3</v>
      </c>
      <c r="I71">
        <v>371</v>
      </c>
    </row>
    <row r="72" spans="7:9" x14ac:dyDescent="0.25">
      <c r="G72" s="32">
        <v>45849</v>
      </c>
      <c r="H72">
        <v>39.799999999999997</v>
      </c>
      <c r="I72">
        <v>364</v>
      </c>
    </row>
    <row r="73" spans="7:9" x14ac:dyDescent="0.25">
      <c r="G73" s="32">
        <v>45852</v>
      </c>
      <c r="H73">
        <v>35.5</v>
      </c>
      <c r="I73">
        <v>379</v>
      </c>
    </row>
    <row r="74" spans="7:9" x14ac:dyDescent="0.25">
      <c r="G74" s="31" t="s">
        <v>26</v>
      </c>
      <c r="H74">
        <v>1372.4999999999998</v>
      </c>
      <c r="I74">
        <v>10197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D9AC-A01F-4718-9ED5-121FA1C625C4}">
  <dimension ref="A1:P267"/>
  <sheetViews>
    <sheetView tabSelected="1" zoomScale="90" zoomScaleNormal="90" workbookViewId="0">
      <pane ySplit="2" topLeftCell="A80" activePane="bottomLeft" state="frozen"/>
      <selection activeCell="A2" sqref="A2"/>
      <selection pane="bottomLeft" activeCell="J89" sqref="J89:M89"/>
    </sheetView>
  </sheetViews>
  <sheetFormatPr baseColWidth="10" defaultRowHeight="15" x14ac:dyDescent="0.25"/>
  <cols>
    <col min="6" max="6" width="17.42578125" customWidth="1"/>
    <col min="9" max="9" width="15.140625" bestFit="1" customWidth="1"/>
    <col min="10" max="10" width="14.42578125" style="39" customWidth="1"/>
    <col min="11" max="12" width="11.42578125" style="39"/>
    <col min="13" max="13" width="120" style="39" customWidth="1"/>
  </cols>
  <sheetData>
    <row r="1" spans="1:15" ht="31.5" customHeight="1" thickBot="1" x14ac:dyDescent="0.35">
      <c r="A1" s="147" t="s">
        <v>17</v>
      </c>
      <c r="B1" s="148"/>
      <c r="C1" s="148"/>
      <c r="D1" s="148"/>
      <c r="E1" s="148"/>
      <c r="F1" s="148"/>
      <c r="G1" s="148"/>
      <c r="H1" s="148"/>
      <c r="I1" s="149"/>
      <c r="J1" s="147" t="s">
        <v>107</v>
      </c>
      <c r="K1" s="148"/>
      <c r="L1" s="148"/>
      <c r="M1" s="148"/>
      <c r="N1" s="150"/>
    </row>
    <row r="2" spans="1:15" ht="31.5" customHeight="1" x14ac:dyDescent="0.25">
      <c r="A2" s="43" t="s">
        <v>0</v>
      </c>
      <c r="B2" s="43" t="s">
        <v>27</v>
      </c>
      <c r="C2" s="72" t="s">
        <v>28</v>
      </c>
      <c r="D2" s="43" t="s">
        <v>31</v>
      </c>
      <c r="E2" s="72" t="s">
        <v>32</v>
      </c>
      <c r="F2" s="43" t="s">
        <v>29</v>
      </c>
      <c r="G2" s="72" t="s">
        <v>30</v>
      </c>
      <c r="H2" s="43" t="s">
        <v>18</v>
      </c>
      <c r="I2" s="72" t="s">
        <v>19</v>
      </c>
      <c r="J2" s="151"/>
      <c r="K2" s="151"/>
      <c r="L2" s="151"/>
      <c r="M2" s="151"/>
    </row>
    <row r="3" spans="1:15" x14ac:dyDescent="0.25">
      <c r="A3" s="51">
        <v>46023</v>
      </c>
      <c r="B3" s="67" t="s">
        <v>90</v>
      </c>
      <c r="C3" s="67" t="s">
        <v>90</v>
      </c>
      <c r="D3" s="8"/>
      <c r="E3" s="8"/>
      <c r="F3" s="67" t="s">
        <v>90</v>
      </c>
      <c r="G3" s="67" t="s">
        <v>90</v>
      </c>
      <c r="H3" s="81" t="s">
        <v>20</v>
      </c>
      <c r="I3" s="81" t="s">
        <v>20</v>
      </c>
      <c r="J3" s="152" t="s">
        <v>93</v>
      </c>
      <c r="K3" s="153"/>
      <c r="L3" s="153"/>
      <c r="M3" s="154"/>
    </row>
    <row r="4" spans="1:15" x14ac:dyDescent="0.25">
      <c r="A4" s="51">
        <v>46024</v>
      </c>
      <c r="B4" s="67" t="s">
        <v>90</v>
      </c>
      <c r="C4" s="67" t="s">
        <v>90</v>
      </c>
      <c r="D4" s="8"/>
      <c r="E4" s="8"/>
      <c r="F4" s="67" t="s">
        <v>90</v>
      </c>
      <c r="G4" s="67" t="s">
        <v>90</v>
      </c>
      <c r="H4" s="81" t="s">
        <v>20</v>
      </c>
      <c r="I4" s="81" t="s">
        <v>20</v>
      </c>
      <c r="J4" s="127"/>
      <c r="K4" s="127"/>
      <c r="L4" s="127"/>
      <c r="M4" s="127"/>
    </row>
    <row r="5" spans="1:15" x14ac:dyDescent="0.25">
      <c r="A5" s="51">
        <v>46025</v>
      </c>
      <c r="B5" s="67" t="s">
        <v>90</v>
      </c>
      <c r="C5" s="67" t="s">
        <v>90</v>
      </c>
      <c r="D5" s="8"/>
      <c r="E5" s="8"/>
      <c r="F5" s="8">
        <v>-143</v>
      </c>
      <c r="G5" s="8">
        <v>-178</v>
      </c>
      <c r="H5" s="81" t="s">
        <v>20</v>
      </c>
      <c r="I5" s="81" t="s">
        <v>20</v>
      </c>
      <c r="J5" s="127"/>
      <c r="K5" s="127"/>
      <c r="L5" s="127"/>
      <c r="M5" s="127"/>
    </row>
    <row r="6" spans="1:15" x14ac:dyDescent="0.25">
      <c r="A6" s="51">
        <v>46026</v>
      </c>
      <c r="B6" s="67" t="s">
        <v>90</v>
      </c>
      <c r="C6" s="67" t="s">
        <v>90</v>
      </c>
      <c r="D6" s="8"/>
      <c r="E6" s="70"/>
      <c r="F6" s="67" t="s">
        <v>90</v>
      </c>
      <c r="G6" s="67" t="s">
        <v>90</v>
      </c>
      <c r="H6" s="81" t="s">
        <v>20</v>
      </c>
      <c r="I6" s="81" t="s">
        <v>20</v>
      </c>
      <c r="J6" s="146"/>
      <c r="K6" s="146"/>
      <c r="L6" s="146"/>
      <c r="M6" s="146"/>
    </row>
    <row r="7" spans="1:15" x14ac:dyDescent="0.25">
      <c r="A7" s="51">
        <v>46027</v>
      </c>
      <c r="B7" s="67" t="s">
        <v>90</v>
      </c>
      <c r="C7" s="67" t="s">
        <v>90</v>
      </c>
      <c r="D7" s="8"/>
      <c r="E7" s="8"/>
      <c r="F7" s="67" t="s">
        <v>90</v>
      </c>
      <c r="G7" s="67" t="s">
        <v>90</v>
      </c>
      <c r="H7" s="81" t="s">
        <v>20</v>
      </c>
      <c r="I7" s="81" t="s">
        <v>20</v>
      </c>
      <c r="J7" s="137"/>
      <c r="K7" s="138"/>
      <c r="L7" s="138"/>
      <c r="M7" s="139"/>
    </row>
    <row r="8" spans="1:15" x14ac:dyDescent="0.25">
      <c r="A8" s="51">
        <v>46028</v>
      </c>
      <c r="B8" s="8">
        <v>41.8</v>
      </c>
      <c r="C8" s="8">
        <v>25.9</v>
      </c>
      <c r="D8" s="8"/>
      <c r="E8" s="8"/>
      <c r="F8" s="8">
        <v>-308</v>
      </c>
      <c r="G8" s="8">
        <v>-316</v>
      </c>
      <c r="H8" s="82" t="s">
        <v>21</v>
      </c>
      <c r="I8" s="116"/>
      <c r="J8" s="102" t="s">
        <v>88</v>
      </c>
      <c r="K8" s="102"/>
      <c r="L8" s="102"/>
      <c r="M8" s="113"/>
    </row>
    <row r="9" spans="1:15" x14ac:dyDescent="0.25">
      <c r="A9" s="51">
        <v>46029</v>
      </c>
      <c r="B9" s="67" t="s">
        <v>90</v>
      </c>
      <c r="C9" s="67" t="s">
        <v>90</v>
      </c>
      <c r="D9" s="8"/>
      <c r="E9" s="8"/>
      <c r="F9" s="8">
        <v>-269</v>
      </c>
      <c r="G9" s="8">
        <v>-329</v>
      </c>
      <c r="H9" s="82" t="s">
        <v>23</v>
      </c>
      <c r="I9" s="116"/>
      <c r="J9" s="102" t="s">
        <v>89</v>
      </c>
      <c r="K9" s="102"/>
      <c r="L9" s="102"/>
      <c r="M9" s="113"/>
    </row>
    <row r="10" spans="1:15" x14ac:dyDescent="0.25">
      <c r="A10" s="51">
        <v>46030</v>
      </c>
      <c r="B10" s="67" t="s">
        <v>90</v>
      </c>
      <c r="C10" s="67" t="s">
        <v>90</v>
      </c>
      <c r="D10" s="8"/>
      <c r="E10" s="8"/>
      <c r="F10" s="8">
        <v>-337</v>
      </c>
      <c r="G10" s="8">
        <v>-278</v>
      </c>
      <c r="H10" s="81" t="s">
        <v>20</v>
      </c>
      <c r="I10" s="81" t="s">
        <v>20</v>
      </c>
      <c r="J10" s="131" t="s">
        <v>88</v>
      </c>
      <c r="K10" s="132"/>
      <c r="L10" s="132"/>
      <c r="M10" s="133"/>
    </row>
    <row r="11" spans="1:15" x14ac:dyDescent="0.25">
      <c r="A11" s="51">
        <v>46031</v>
      </c>
      <c r="B11" s="67" t="s">
        <v>90</v>
      </c>
      <c r="C11" s="67" t="s">
        <v>90</v>
      </c>
      <c r="D11" s="8"/>
      <c r="E11" s="8"/>
      <c r="F11" s="8">
        <v>-278</v>
      </c>
      <c r="G11" s="8">
        <v>-348</v>
      </c>
      <c r="H11" s="81" t="s">
        <v>20</v>
      </c>
      <c r="I11" s="81" t="s">
        <v>20</v>
      </c>
      <c r="J11" s="131" t="s">
        <v>88</v>
      </c>
      <c r="K11" s="132"/>
      <c r="L11" s="132"/>
      <c r="M11" s="133"/>
    </row>
    <row r="12" spans="1:15" x14ac:dyDescent="0.25">
      <c r="A12" s="51">
        <v>46032</v>
      </c>
      <c r="B12" s="67" t="s">
        <v>90</v>
      </c>
      <c r="C12" s="67" t="s">
        <v>90</v>
      </c>
      <c r="D12" s="8"/>
      <c r="E12" s="70"/>
      <c r="F12" s="67" t="s">
        <v>90</v>
      </c>
      <c r="G12" s="67" t="s">
        <v>90</v>
      </c>
      <c r="H12" s="82"/>
      <c r="I12" s="82"/>
      <c r="J12" s="143"/>
      <c r="K12" s="144"/>
      <c r="L12" s="144"/>
      <c r="M12" s="145"/>
    </row>
    <row r="13" spans="1:15" s="115" customFormat="1" ht="17.25" customHeight="1" x14ac:dyDescent="0.25">
      <c r="A13" s="114">
        <v>46033</v>
      </c>
      <c r="B13" s="67" t="s">
        <v>90</v>
      </c>
      <c r="C13" s="67" t="s">
        <v>90</v>
      </c>
      <c r="D13" s="70"/>
      <c r="E13" s="70"/>
      <c r="F13" s="67" t="s">
        <v>90</v>
      </c>
      <c r="G13" s="67" t="s">
        <v>90</v>
      </c>
      <c r="H13" s="84" t="s">
        <v>21</v>
      </c>
      <c r="I13" s="81" t="s">
        <v>20</v>
      </c>
      <c r="J13" s="103" t="s">
        <v>108</v>
      </c>
      <c r="K13" s="103"/>
      <c r="L13" s="103"/>
      <c r="M13" s="103"/>
      <c r="N13" s="70"/>
      <c r="O13" s="70"/>
    </row>
    <row r="14" spans="1:15" s="33" customFormat="1" x14ac:dyDescent="0.25">
      <c r="A14" s="51">
        <v>46034</v>
      </c>
      <c r="B14" s="67" t="s">
        <v>90</v>
      </c>
      <c r="C14" s="67" t="s">
        <v>90</v>
      </c>
      <c r="D14" s="70"/>
      <c r="E14" s="70"/>
      <c r="F14" s="67" t="s">
        <v>90</v>
      </c>
      <c r="G14" s="67" t="s">
        <v>90</v>
      </c>
      <c r="H14" s="81" t="s">
        <v>20</v>
      </c>
      <c r="I14" s="81" t="s">
        <v>20</v>
      </c>
      <c r="J14" s="140"/>
      <c r="K14" s="141"/>
      <c r="L14" s="141"/>
      <c r="M14" s="142"/>
    </row>
    <row r="15" spans="1:15" x14ac:dyDescent="0.25">
      <c r="A15" s="51">
        <v>46035</v>
      </c>
      <c r="B15" s="67" t="s">
        <v>90</v>
      </c>
      <c r="C15" s="67" t="s">
        <v>90</v>
      </c>
      <c r="D15" s="8"/>
      <c r="E15" s="8"/>
      <c r="F15" s="8">
        <v>-360</v>
      </c>
      <c r="G15" s="8">
        <v>-327</v>
      </c>
      <c r="H15" s="81" t="s">
        <v>20</v>
      </c>
      <c r="I15" s="81" t="s">
        <v>20</v>
      </c>
      <c r="J15" s="131" t="s">
        <v>109</v>
      </c>
      <c r="K15" s="132"/>
      <c r="L15" s="132"/>
      <c r="M15" s="133"/>
    </row>
    <row r="16" spans="1:15" x14ac:dyDescent="0.25">
      <c r="A16" s="51">
        <v>46036</v>
      </c>
      <c r="B16" s="67" t="s">
        <v>90</v>
      </c>
      <c r="C16" s="67" t="s">
        <v>90</v>
      </c>
      <c r="D16" s="8"/>
      <c r="E16" s="8"/>
      <c r="F16" s="8">
        <v>-332</v>
      </c>
      <c r="G16" s="8">
        <v>-295</v>
      </c>
      <c r="H16" s="81" t="s">
        <v>20</v>
      </c>
      <c r="I16" s="81" t="s">
        <v>20</v>
      </c>
      <c r="J16" s="131"/>
      <c r="K16" s="132"/>
      <c r="L16" s="132"/>
      <c r="M16" s="133"/>
    </row>
    <row r="17" spans="1:13" x14ac:dyDescent="0.25">
      <c r="A17" s="51">
        <v>46037</v>
      </c>
      <c r="B17" s="8">
        <v>12.2</v>
      </c>
      <c r="C17" s="8">
        <v>54.7</v>
      </c>
      <c r="D17" s="8"/>
      <c r="E17" s="8"/>
      <c r="F17" s="8">
        <v>-377</v>
      </c>
      <c r="G17" s="8">
        <v>-276</v>
      </c>
      <c r="H17" s="81" t="s">
        <v>20</v>
      </c>
      <c r="I17" s="81" t="s">
        <v>20</v>
      </c>
      <c r="J17" s="131"/>
      <c r="K17" s="132"/>
      <c r="L17" s="132"/>
      <c r="M17" s="133"/>
    </row>
    <row r="18" spans="1:13" x14ac:dyDescent="0.25">
      <c r="A18" s="51">
        <v>46038</v>
      </c>
      <c r="B18" s="67" t="s">
        <v>90</v>
      </c>
      <c r="C18" s="8">
        <v>49.1</v>
      </c>
      <c r="D18" s="8"/>
      <c r="E18" s="8"/>
      <c r="F18" s="67" t="s">
        <v>90</v>
      </c>
      <c r="G18" s="8">
        <v>-324</v>
      </c>
      <c r="H18" s="81" t="s">
        <v>20</v>
      </c>
      <c r="I18" s="81" t="s">
        <v>20</v>
      </c>
      <c r="J18" s="131" t="s">
        <v>110</v>
      </c>
      <c r="K18" s="132"/>
      <c r="L18" s="132"/>
      <c r="M18" s="133"/>
    </row>
    <row r="19" spans="1:13" s="33" customFormat="1" x14ac:dyDescent="0.25">
      <c r="A19" s="51">
        <v>46039</v>
      </c>
      <c r="B19" s="67" t="s">
        <v>90</v>
      </c>
      <c r="C19" s="67" t="s">
        <v>90</v>
      </c>
      <c r="D19" s="70"/>
      <c r="E19" s="70"/>
      <c r="F19" s="67" t="s">
        <v>90</v>
      </c>
      <c r="G19" s="70"/>
      <c r="H19" s="81" t="s">
        <v>20</v>
      </c>
      <c r="I19" s="81" t="s">
        <v>20</v>
      </c>
      <c r="J19" s="131" t="s">
        <v>98</v>
      </c>
      <c r="K19" s="132"/>
      <c r="L19" s="132"/>
      <c r="M19" s="133"/>
    </row>
    <row r="20" spans="1:13" s="33" customFormat="1" x14ac:dyDescent="0.25">
      <c r="A20" s="51">
        <v>46040</v>
      </c>
      <c r="B20" s="67" t="s">
        <v>90</v>
      </c>
      <c r="C20" s="67" t="s">
        <v>90</v>
      </c>
      <c r="D20" s="70"/>
      <c r="E20" s="70"/>
      <c r="F20" s="67" t="s">
        <v>90</v>
      </c>
      <c r="G20" s="70"/>
      <c r="H20" s="81" t="s">
        <v>20</v>
      </c>
      <c r="I20" s="81" t="s">
        <v>20</v>
      </c>
      <c r="J20" s="131" t="s">
        <v>111</v>
      </c>
      <c r="K20" s="132"/>
      <c r="L20" s="132"/>
      <c r="M20" s="133"/>
    </row>
    <row r="21" spans="1:13" s="33" customFormat="1" x14ac:dyDescent="0.25">
      <c r="A21" s="51">
        <v>46041</v>
      </c>
      <c r="B21" s="67" t="s">
        <v>90</v>
      </c>
      <c r="C21" s="70">
        <v>39.4</v>
      </c>
      <c r="D21" s="70"/>
      <c r="E21" s="70"/>
      <c r="F21" s="67" t="s">
        <v>90</v>
      </c>
      <c r="G21" s="70">
        <v>-308</v>
      </c>
      <c r="H21" s="81" t="s">
        <v>20</v>
      </c>
      <c r="I21" s="81" t="s">
        <v>20</v>
      </c>
      <c r="J21" s="131" t="s">
        <v>112</v>
      </c>
      <c r="K21" s="132"/>
      <c r="L21" s="132"/>
      <c r="M21" s="133"/>
    </row>
    <row r="22" spans="1:13" x14ac:dyDescent="0.25">
      <c r="A22" s="51">
        <v>46042</v>
      </c>
      <c r="B22" s="67">
        <v>31.7</v>
      </c>
      <c r="C22" s="8">
        <v>41.3</v>
      </c>
      <c r="D22" s="8"/>
      <c r="E22" s="8"/>
      <c r="F22" s="67">
        <v>-245</v>
      </c>
      <c r="G22" s="8">
        <v>-301</v>
      </c>
      <c r="H22" s="81" t="s">
        <v>20</v>
      </c>
      <c r="I22" s="81" t="s">
        <v>20</v>
      </c>
      <c r="J22" s="131" t="s">
        <v>113</v>
      </c>
      <c r="K22" s="132"/>
      <c r="L22" s="132"/>
      <c r="M22" s="133"/>
    </row>
    <row r="23" spans="1:13" x14ac:dyDescent="0.25">
      <c r="A23" s="51">
        <v>46043</v>
      </c>
      <c r="B23" s="67" t="s">
        <v>90</v>
      </c>
      <c r="C23" s="67" t="s">
        <v>90</v>
      </c>
      <c r="D23" s="8"/>
      <c r="E23" s="8"/>
      <c r="F23" s="67" t="s">
        <v>90</v>
      </c>
      <c r="G23" s="67" t="s">
        <v>90</v>
      </c>
      <c r="H23" s="82"/>
      <c r="I23" s="83"/>
      <c r="J23" s="131" t="s">
        <v>114</v>
      </c>
      <c r="K23" s="132"/>
      <c r="L23" s="132"/>
      <c r="M23" s="133"/>
    </row>
    <row r="24" spans="1:13" x14ac:dyDescent="0.25">
      <c r="A24" s="51">
        <v>46044</v>
      </c>
      <c r="B24" s="67" t="s">
        <v>90</v>
      </c>
      <c r="C24" s="67" t="s">
        <v>90</v>
      </c>
      <c r="D24" s="8"/>
      <c r="E24" s="8"/>
      <c r="F24" s="67" t="s">
        <v>90</v>
      </c>
      <c r="G24" s="67" t="s">
        <v>90</v>
      </c>
      <c r="H24" s="82"/>
      <c r="I24" s="82"/>
      <c r="J24" s="131"/>
      <c r="K24" s="132"/>
      <c r="L24" s="132"/>
      <c r="M24" s="133"/>
    </row>
    <row r="25" spans="1:13" x14ac:dyDescent="0.25">
      <c r="A25" s="51">
        <v>46045</v>
      </c>
      <c r="B25" s="67" t="s">
        <v>90</v>
      </c>
      <c r="C25" s="67" t="s">
        <v>90</v>
      </c>
      <c r="D25" s="8"/>
      <c r="E25" s="8"/>
      <c r="F25" s="67" t="s">
        <v>90</v>
      </c>
      <c r="G25" s="67" t="s">
        <v>90</v>
      </c>
      <c r="H25" s="81" t="s">
        <v>20</v>
      </c>
      <c r="I25" s="81" t="s">
        <v>20</v>
      </c>
      <c r="J25" s="131" t="s">
        <v>116</v>
      </c>
      <c r="K25" s="132"/>
      <c r="L25" s="132"/>
      <c r="M25" s="133"/>
    </row>
    <row r="26" spans="1:13" x14ac:dyDescent="0.25">
      <c r="A26" s="51">
        <v>46046</v>
      </c>
      <c r="B26" s="67" t="s">
        <v>90</v>
      </c>
      <c r="C26" s="67" t="s">
        <v>90</v>
      </c>
      <c r="D26" s="8"/>
      <c r="E26" s="8"/>
      <c r="F26" s="67" t="s">
        <v>90</v>
      </c>
      <c r="G26" s="67" t="s">
        <v>90</v>
      </c>
      <c r="H26" s="81" t="s">
        <v>20</v>
      </c>
      <c r="I26" s="81" t="s">
        <v>20</v>
      </c>
      <c r="J26" s="131" t="s">
        <v>116</v>
      </c>
      <c r="K26" s="132"/>
      <c r="L26" s="132"/>
      <c r="M26" s="133"/>
    </row>
    <row r="27" spans="1:13" x14ac:dyDescent="0.25">
      <c r="A27" s="51">
        <v>46047</v>
      </c>
      <c r="B27" s="67" t="s">
        <v>90</v>
      </c>
      <c r="C27" s="67" t="s">
        <v>90</v>
      </c>
      <c r="D27" s="8"/>
      <c r="E27" s="8"/>
      <c r="F27" s="67" t="s">
        <v>90</v>
      </c>
      <c r="G27" s="67" t="s">
        <v>90</v>
      </c>
      <c r="H27" s="82"/>
      <c r="I27" s="82"/>
      <c r="J27" s="131"/>
      <c r="K27" s="132"/>
      <c r="L27" s="132"/>
      <c r="M27" s="133"/>
    </row>
    <row r="28" spans="1:13" x14ac:dyDescent="0.25">
      <c r="A28" s="51">
        <v>46048</v>
      </c>
      <c r="B28" s="8">
        <v>33.1</v>
      </c>
      <c r="C28" s="8">
        <v>29.6</v>
      </c>
      <c r="D28" s="8"/>
      <c r="E28" s="8"/>
      <c r="F28" s="8">
        <v>-274</v>
      </c>
      <c r="G28" s="8">
        <v>-304</v>
      </c>
      <c r="H28" s="81" t="s">
        <v>20</v>
      </c>
      <c r="I28" s="81" t="s">
        <v>20</v>
      </c>
      <c r="J28" s="131" t="s">
        <v>115</v>
      </c>
      <c r="K28" s="132"/>
      <c r="L28" s="132"/>
      <c r="M28" s="133"/>
    </row>
    <row r="29" spans="1:13" x14ac:dyDescent="0.25">
      <c r="A29" s="51">
        <v>46049</v>
      </c>
      <c r="B29" s="67" t="s">
        <v>90</v>
      </c>
      <c r="C29" s="67" t="s">
        <v>90</v>
      </c>
      <c r="D29" s="8"/>
      <c r="F29" s="8">
        <v>-294</v>
      </c>
      <c r="G29" s="8">
        <v>-313</v>
      </c>
      <c r="H29" s="82" t="s">
        <v>21</v>
      </c>
      <c r="I29" s="82"/>
      <c r="J29" s="131" t="s">
        <v>117</v>
      </c>
      <c r="K29" s="132"/>
      <c r="L29" s="132"/>
      <c r="M29" s="133"/>
    </row>
    <row r="30" spans="1:13" x14ac:dyDescent="0.25">
      <c r="A30" s="51">
        <v>46050</v>
      </c>
      <c r="B30" s="67" t="s">
        <v>90</v>
      </c>
      <c r="C30" s="67" t="s">
        <v>90</v>
      </c>
      <c r="D30" s="39"/>
      <c r="E30" s="8"/>
      <c r="F30" s="8">
        <v>-308</v>
      </c>
      <c r="G30" s="8">
        <v>-324</v>
      </c>
      <c r="H30" s="39"/>
      <c r="I30" s="39"/>
      <c r="J30" s="134"/>
      <c r="K30" s="135"/>
      <c r="L30" s="135"/>
      <c r="M30" s="136"/>
    </row>
    <row r="31" spans="1:13" x14ac:dyDescent="0.25">
      <c r="A31" s="51">
        <v>46051</v>
      </c>
      <c r="B31" s="104">
        <v>35.1</v>
      </c>
      <c r="C31" s="8">
        <v>36.4</v>
      </c>
      <c r="D31" s="39"/>
      <c r="E31" s="39"/>
      <c r="F31" s="8">
        <v>-242</v>
      </c>
      <c r="G31" s="8">
        <v>-274</v>
      </c>
      <c r="H31" s="82" t="s">
        <v>21</v>
      </c>
      <c r="I31" s="39"/>
      <c r="J31" s="131" t="s">
        <v>118</v>
      </c>
      <c r="K31" s="132"/>
      <c r="L31" s="132"/>
      <c r="M31" s="133"/>
    </row>
    <row r="32" spans="1:13" x14ac:dyDescent="0.25">
      <c r="A32" s="51">
        <v>46052</v>
      </c>
      <c r="B32" s="8">
        <v>28.9</v>
      </c>
      <c r="C32" s="8">
        <v>33.4</v>
      </c>
      <c r="D32" s="39"/>
      <c r="E32" s="39"/>
      <c r="F32" s="8">
        <v>-268</v>
      </c>
      <c r="G32" s="8">
        <v>-299</v>
      </c>
      <c r="H32" s="82" t="s">
        <v>21</v>
      </c>
      <c r="I32" s="82" t="s">
        <v>20</v>
      </c>
      <c r="J32" s="128" t="s">
        <v>119</v>
      </c>
      <c r="K32" s="129"/>
      <c r="L32" s="129"/>
      <c r="M32" s="130"/>
    </row>
    <row r="33" spans="1:13" x14ac:dyDescent="0.25">
      <c r="A33" s="51">
        <v>46053</v>
      </c>
      <c r="B33" s="107" t="s">
        <v>90</v>
      </c>
      <c r="C33" s="107" t="s">
        <v>90</v>
      </c>
      <c r="D33" s="52"/>
      <c r="E33" s="52"/>
      <c r="F33" s="106" t="s">
        <v>90</v>
      </c>
      <c r="G33" s="106" t="s">
        <v>90</v>
      </c>
      <c r="H33" s="108" t="s">
        <v>122</v>
      </c>
      <c r="I33" s="108" t="s">
        <v>20</v>
      </c>
      <c r="J33" s="128" t="s">
        <v>116</v>
      </c>
      <c r="K33" s="129"/>
      <c r="L33" s="129"/>
      <c r="M33" s="130"/>
    </row>
    <row r="34" spans="1:13" ht="15.75" customHeight="1" x14ac:dyDescent="0.25">
      <c r="A34" s="51">
        <v>46054</v>
      </c>
      <c r="B34" s="107" t="s">
        <v>90</v>
      </c>
      <c r="C34" s="107" t="s">
        <v>90</v>
      </c>
      <c r="D34" s="52"/>
      <c r="E34" s="52"/>
      <c r="F34" s="105" t="s">
        <v>90</v>
      </c>
      <c r="G34" s="106" t="s">
        <v>90</v>
      </c>
      <c r="H34" s="108" t="s">
        <v>20</v>
      </c>
      <c r="I34" s="108" t="s">
        <v>20</v>
      </c>
      <c r="J34" s="120"/>
      <c r="K34" s="121"/>
      <c r="L34" s="121"/>
      <c r="M34" s="122"/>
    </row>
    <row r="35" spans="1:13" ht="15.75" customHeight="1" x14ac:dyDescent="0.25">
      <c r="A35" s="51">
        <v>46055</v>
      </c>
      <c r="B35" s="107">
        <v>31.6</v>
      </c>
      <c r="C35" s="107">
        <v>33.4</v>
      </c>
      <c r="D35" s="52"/>
      <c r="E35" s="52"/>
      <c r="F35" s="105">
        <v>-270</v>
      </c>
      <c r="G35" s="106">
        <v>-309</v>
      </c>
      <c r="H35" s="108" t="s">
        <v>20</v>
      </c>
      <c r="I35" s="108" t="s">
        <v>20</v>
      </c>
      <c r="J35" s="120"/>
      <c r="K35" s="121"/>
      <c r="L35" s="121"/>
      <c r="M35" s="122"/>
    </row>
    <row r="36" spans="1:13" x14ac:dyDescent="0.25">
      <c r="A36" s="51">
        <v>46056</v>
      </c>
      <c r="B36" s="107">
        <v>16.100000000000001</v>
      </c>
      <c r="C36" s="107">
        <v>47.7</v>
      </c>
      <c r="D36" s="52" t="s">
        <v>47</v>
      </c>
      <c r="E36" s="52" t="s">
        <v>47</v>
      </c>
      <c r="F36" s="106">
        <v>-335</v>
      </c>
      <c r="G36" s="106">
        <v>-361</v>
      </c>
      <c r="H36" s="108" t="s">
        <v>21</v>
      </c>
      <c r="I36" s="108" t="s">
        <v>20</v>
      </c>
      <c r="J36" s="128" t="s">
        <v>120</v>
      </c>
      <c r="K36" s="129"/>
      <c r="L36" s="129"/>
      <c r="M36" s="130"/>
    </row>
    <row r="37" spans="1:13" x14ac:dyDescent="0.25">
      <c r="A37" s="51">
        <v>46057</v>
      </c>
      <c r="B37" s="107">
        <v>11.1</v>
      </c>
      <c r="C37" s="107">
        <v>36.5</v>
      </c>
      <c r="D37" s="52" t="s">
        <v>47</v>
      </c>
      <c r="E37" s="52" t="s">
        <v>47</v>
      </c>
      <c r="F37" s="106">
        <v>-389</v>
      </c>
      <c r="G37" s="106">
        <v>-367</v>
      </c>
      <c r="H37" s="108" t="s">
        <v>21</v>
      </c>
      <c r="I37" s="108" t="s">
        <v>20</v>
      </c>
      <c r="J37" s="128" t="s">
        <v>121</v>
      </c>
      <c r="K37" s="129"/>
      <c r="L37" s="129"/>
      <c r="M37" s="130"/>
    </row>
    <row r="38" spans="1:13" x14ac:dyDescent="0.25">
      <c r="A38" s="51">
        <v>46058</v>
      </c>
      <c r="B38" s="107">
        <v>11.1</v>
      </c>
      <c r="C38" s="107">
        <v>33.5</v>
      </c>
      <c r="D38" s="52"/>
      <c r="E38" s="52"/>
      <c r="F38" s="106">
        <v>-273</v>
      </c>
      <c r="G38" s="106">
        <v>-330</v>
      </c>
      <c r="H38" s="108" t="s">
        <v>20</v>
      </c>
      <c r="I38" s="108" t="s">
        <v>20</v>
      </c>
      <c r="J38" s="128" t="s">
        <v>123</v>
      </c>
      <c r="K38" s="129"/>
      <c r="L38" s="129"/>
      <c r="M38" s="130"/>
    </row>
    <row r="39" spans="1:13" x14ac:dyDescent="0.25">
      <c r="A39" s="51">
        <v>46059</v>
      </c>
      <c r="B39" s="107">
        <v>11.5</v>
      </c>
      <c r="C39" s="107">
        <v>34.4</v>
      </c>
      <c r="D39" s="107"/>
      <c r="E39" s="52"/>
      <c r="F39" s="106">
        <v>-341</v>
      </c>
      <c r="G39" s="106">
        <v>-367</v>
      </c>
      <c r="H39" s="108" t="s">
        <v>20</v>
      </c>
      <c r="I39" s="108" t="s">
        <v>20</v>
      </c>
      <c r="J39" s="120"/>
      <c r="K39" s="121"/>
      <c r="L39" s="121"/>
      <c r="M39" s="122"/>
    </row>
    <row r="40" spans="1:13" x14ac:dyDescent="0.25">
      <c r="A40" s="51">
        <v>46060</v>
      </c>
      <c r="B40" s="106" t="s">
        <v>90</v>
      </c>
      <c r="C40" s="106" t="s">
        <v>90</v>
      </c>
      <c r="D40" s="52"/>
      <c r="E40" s="52"/>
      <c r="F40" s="106" t="s">
        <v>90</v>
      </c>
      <c r="G40" s="106" t="s">
        <v>90</v>
      </c>
      <c r="H40" s="109" t="s">
        <v>20</v>
      </c>
      <c r="I40" s="109" t="s">
        <v>20</v>
      </c>
      <c r="J40" s="128" t="s">
        <v>124</v>
      </c>
      <c r="K40" s="129"/>
      <c r="L40" s="129"/>
      <c r="M40" s="130"/>
    </row>
    <row r="41" spans="1:13" ht="15.75" customHeight="1" x14ac:dyDescent="0.25">
      <c r="A41" s="51">
        <v>46061</v>
      </c>
      <c r="B41" s="106" t="s">
        <v>90</v>
      </c>
      <c r="C41" s="106" t="s">
        <v>90</v>
      </c>
      <c r="D41" s="52"/>
      <c r="E41" s="52"/>
      <c r="F41" s="106" t="s">
        <v>90</v>
      </c>
      <c r="G41" s="106" t="s">
        <v>90</v>
      </c>
      <c r="H41" s="109" t="s">
        <v>20</v>
      </c>
      <c r="I41" s="109" t="s">
        <v>20</v>
      </c>
      <c r="J41" s="120"/>
      <c r="K41" s="121"/>
      <c r="L41" s="121"/>
      <c r="M41" s="122"/>
    </row>
    <row r="42" spans="1:13" x14ac:dyDescent="0.25">
      <c r="A42" s="51">
        <v>46062</v>
      </c>
      <c r="B42" s="106" t="s">
        <v>90</v>
      </c>
      <c r="C42" s="106" t="s">
        <v>90</v>
      </c>
      <c r="D42" s="52"/>
      <c r="E42" s="52"/>
      <c r="F42" s="106">
        <v>-320</v>
      </c>
      <c r="G42" s="106">
        <v>-338</v>
      </c>
      <c r="H42" s="109" t="s">
        <v>20</v>
      </c>
      <c r="I42" s="109" t="s">
        <v>20</v>
      </c>
      <c r="J42" s="128" t="s">
        <v>125</v>
      </c>
      <c r="K42" s="129"/>
      <c r="L42" s="129"/>
      <c r="M42" s="130"/>
    </row>
    <row r="43" spans="1:13" x14ac:dyDescent="0.25">
      <c r="A43" s="51">
        <v>46063</v>
      </c>
      <c r="B43" s="107">
        <v>39.700000000000003</v>
      </c>
      <c r="C43" s="107">
        <v>31.5</v>
      </c>
      <c r="D43" s="107"/>
      <c r="E43" s="107"/>
      <c r="F43" s="106">
        <v>-307</v>
      </c>
      <c r="G43" s="106">
        <v>-332</v>
      </c>
      <c r="H43" s="52"/>
      <c r="J43" s="128" t="s">
        <v>126</v>
      </c>
      <c r="K43" s="129"/>
      <c r="L43" s="129"/>
      <c r="M43" s="130"/>
    </row>
    <row r="44" spans="1:13" x14ac:dyDescent="0.25">
      <c r="A44" s="51">
        <v>46064</v>
      </c>
      <c r="B44" s="107">
        <v>40.4</v>
      </c>
      <c r="C44" s="107">
        <v>26.7</v>
      </c>
      <c r="D44" s="52"/>
      <c r="E44" s="52"/>
      <c r="F44" s="106">
        <v>-300</v>
      </c>
      <c r="G44" s="106">
        <v>-310</v>
      </c>
      <c r="H44" s="108" t="s">
        <v>23</v>
      </c>
      <c r="I44" s="108" t="s">
        <v>20</v>
      </c>
      <c r="J44" s="128" t="s">
        <v>127</v>
      </c>
      <c r="K44" s="129"/>
      <c r="L44" s="129"/>
      <c r="M44" s="130"/>
    </row>
    <row r="45" spans="1:13" x14ac:dyDescent="0.25">
      <c r="A45" s="51">
        <v>46065</v>
      </c>
      <c r="B45" s="107">
        <v>43.8</v>
      </c>
      <c r="C45" s="107">
        <v>26.5</v>
      </c>
      <c r="D45" s="52"/>
      <c r="E45" s="52"/>
      <c r="F45" s="106">
        <v>-333</v>
      </c>
      <c r="G45" s="106">
        <v>-328</v>
      </c>
      <c r="H45" s="108" t="s">
        <v>20</v>
      </c>
      <c r="I45" s="108" t="s">
        <v>20</v>
      </c>
      <c r="J45" s="128" t="s">
        <v>128</v>
      </c>
      <c r="K45" s="129"/>
      <c r="L45" s="129"/>
      <c r="M45" s="130"/>
    </row>
    <row r="46" spans="1:13" x14ac:dyDescent="0.25">
      <c r="A46" s="51">
        <v>46066</v>
      </c>
      <c r="B46" s="107">
        <v>34.700000000000003</v>
      </c>
      <c r="C46" s="107">
        <v>19.600000000000001</v>
      </c>
      <c r="D46" s="52"/>
      <c r="E46" s="52"/>
      <c r="F46" s="106">
        <v>-286</v>
      </c>
      <c r="G46" s="106">
        <v>-326</v>
      </c>
      <c r="H46" s="108" t="s">
        <v>21</v>
      </c>
      <c r="I46" s="85"/>
      <c r="J46" s="128" t="s">
        <v>129</v>
      </c>
      <c r="K46" s="129"/>
      <c r="L46" s="129"/>
      <c r="M46" s="130"/>
    </row>
    <row r="47" spans="1:13" hidden="1" x14ac:dyDescent="0.25">
      <c r="A47" s="51">
        <v>46067</v>
      </c>
      <c r="B47" s="107"/>
      <c r="C47" s="107"/>
      <c r="D47" s="52"/>
      <c r="E47" s="52"/>
      <c r="F47" s="36"/>
      <c r="G47" s="36"/>
      <c r="H47" s="52"/>
      <c r="I47" s="52"/>
      <c r="J47" s="120"/>
      <c r="K47" s="121"/>
      <c r="L47" s="121"/>
      <c r="M47" s="122"/>
    </row>
    <row r="48" spans="1:13" ht="15.75" hidden="1" customHeight="1" thickBot="1" x14ac:dyDescent="0.3">
      <c r="A48" s="73">
        <v>46068</v>
      </c>
      <c r="B48" s="35"/>
      <c r="C48" s="74"/>
      <c r="D48" s="75"/>
      <c r="E48" s="76"/>
      <c r="F48" s="77"/>
      <c r="G48" s="78"/>
      <c r="H48" s="41"/>
      <c r="I48" s="79"/>
      <c r="J48" s="123"/>
      <c r="K48" s="124"/>
      <c r="L48" s="124"/>
      <c r="M48" s="125"/>
    </row>
    <row r="49" spans="1:13" x14ac:dyDescent="0.25">
      <c r="A49" s="51">
        <v>46069</v>
      </c>
      <c r="B49" s="107" t="s">
        <v>90</v>
      </c>
      <c r="C49" s="107" t="s">
        <v>90</v>
      </c>
      <c r="D49" s="52"/>
      <c r="E49" s="52"/>
      <c r="F49" s="106">
        <v>-327</v>
      </c>
      <c r="G49" s="106">
        <v>-330</v>
      </c>
      <c r="H49" s="52"/>
      <c r="I49" s="52"/>
      <c r="J49" s="126"/>
      <c r="K49" s="126"/>
      <c r="L49" s="126"/>
      <c r="M49" s="126"/>
    </row>
    <row r="50" spans="1:13" x14ac:dyDescent="0.25">
      <c r="A50" s="51">
        <v>46070</v>
      </c>
      <c r="B50" s="107" t="s">
        <v>90</v>
      </c>
      <c r="C50" s="107" t="s">
        <v>90</v>
      </c>
      <c r="D50" s="52"/>
      <c r="E50" s="52"/>
      <c r="F50" s="107" t="s">
        <v>90</v>
      </c>
      <c r="G50" s="107" t="s">
        <v>90</v>
      </c>
      <c r="H50" s="52"/>
      <c r="I50" s="52"/>
      <c r="J50" s="126"/>
      <c r="K50" s="126"/>
      <c r="L50" s="126"/>
      <c r="M50" s="126"/>
    </row>
    <row r="51" spans="1:13" x14ac:dyDescent="0.25">
      <c r="A51" s="51">
        <v>46071</v>
      </c>
      <c r="B51" s="107" t="s">
        <v>90</v>
      </c>
      <c r="C51" s="107" t="s">
        <v>90</v>
      </c>
      <c r="D51" s="52"/>
      <c r="E51" s="52"/>
      <c r="F51" s="107" t="s">
        <v>90</v>
      </c>
      <c r="G51" s="107" t="s">
        <v>90</v>
      </c>
      <c r="H51" s="52"/>
      <c r="J51" s="127" t="s">
        <v>130</v>
      </c>
      <c r="K51" s="127"/>
      <c r="L51" s="127"/>
      <c r="M51" s="127"/>
    </row>
    <row r="52" spans="1:13" x14ac:dyDescent="0.25">
      <c r="A52" s="51">
        <v>46072</v>
      </c>
      <c r="B52" s="107" t="s">
        <v>90</v>
      </c>
      <c r="C52" s="107" t="s">
        <v>90</v>
      </c>
      <c r="D52" s="52"/>
      <c r="E52" s="52"/>
      <c r="F52" s="107" t="s">
        <v>90</v>
      </c>
      <c r="G52" s="107" t="s">
        <v>90</v>
      </c>
      <c r="H52" s="52"/>
      <c r="I52" s="52"/>
      <c r="J52" s="119"/>
      <c r="K52" s="119"/>
      <c r="L52" s="119"/>
      <c r="M52" s="119"/>
    </row>
    <row r="53" spans="1:13" x14ac:dyDescent="0.25">
      <c r="A53" s="51">
        <v>46073</v>
      </c>
      <c r="C53" s="52"/>
      <c r="D53" s="52"/>
      <c r="E53" s="52"/>
      <c r="F53" s="106">
        <v>-350</v>
      </c>
      <c r="G53" s="106">
        <v>-330</v>
      </c>
      <c r="H53" s="52"/>
      <c r="I53" s="52"/>
      <c r="J53" s="118" t="s">
        <v>131</v>
      </c>
      <c r="K53" s="118"/>
      <c r="L53" s="118"/>
      <c r="M53" s="118"/>
    </row>
    <row r="54" spans="1:13" x14ac:dyDescent="0.25">
      <c r="A54" s="51">
        <v>46074</v>
      </c>
      <c r="B54" s="107" t="s">
        <v>90</v>
      </c>
      <c r="C54" s="107" t="s">
        <v>90</v>
      </c>
      <c r="D54" s="52"/>
      <c r="E54" s="52"/>
      <c r="F54" s="107" t="s">
        <v>90</v>
      </c>
      <c r="G54" s="107" t="s">
        <v>90</v>
      </c>
      <c r="H54" s="52"/>
      <c r="I54" s="52"/>
      <c r="J54" s="119"/>
      <c r="K54" s="119"/>
      <c r="L54" s="119"/>
      <c r="M54" s="119"/>
    </row>
    <row r="55" spans="1:13" ht="15" customHeight="1" x14ac:dyDescent="0.25">
      <c r="A55" s="51">
        <v>46075</v>
      </c>
      <c r="B55" s="107" t="s">
        <v>90</v>
      </c>
      <c r="C55" s="107" t="s">
        <v>90</v>
      </c>
      <c r="D55" s="52"/>
      <c r="E55" s="52"/>
      <c r="F55" s="107" t="s">
        <v>90</v>
      </c>
      <c r="G55" s="107" t="s">
        <v>90</v>
      </c>
      <c r="H55" s="52"/>
      <c r="I55" s="52"/>
      <c r="J55" s="118" t="s">
        <v>131</v>
      </c>
      <c r="K55" s="118"/>
      <c r="L55" s="118"/>
      <c r="M55" s="118"/>
    </row>
    <row r="56" spans="1:13" ht="15" customHeight="1" x14ac:dyDescent="0.25">
      <c r="A56" s="51">
        <v>46076</v>
      </c>
      <c r="B56" s="52"/>
      <c r="C56" s="52"/>
      <c r="D56" s="52"/>
      <c r="E56" s="52"/>
      <c r="F56" s="55"/>
      <c r="G56" s="36"/>
      <c r="H56" s="52"/>
      <c r="I56" s="52"/>
      <c r="J56" s="119"/>
      <c r="K56" s="119"/>
      <c r="L56" s="119"/>
      <c r="M56" s="119"/>
    </row>
    <row r="57" spans="1:13" x14ac:dyDescent="0.25">
      <c r="A57" s="51">
        <v>46077</v>
      </c>
      <c r="B57" s="107">
        <v>33.6</v>
      </c>
      <c r="C57" s="107">
        <v>21.4</v>
      </c>
      <c r="D57" s="52"/>
      <c r="E57" s="52"/>
      <c r="F57" s="106">
        <v>-287</v>
      </c>
      <c r="G57" s="106">
        <v>-307</v>
      </c>
      <c r="H57" s="52"/>
      <c r="I57" s="52"/>
      <c r="J57" s="119"/>
      <c r="K57" s="119"/>
      <c r="L57" s="119"/>
      <c r="M57" s="119"/>
    </row>
    <row r="58" spans="1:13" x14ac:dyDescent="0.25">
      <c r="A58" s="51">
        <v>46078</v>
      </c>
      <c r="B58" s="107">
        <v>28.3</v>
      </c>
      <c r="C58" s="107">
        <v>12.9</v>
      </c>
      <c r="D58" s="52"/>
      <c r="E58" s="52"/>
      <c r="F58" s="106">
        <v>-305</v>
      </c>
      <c r="G58" s="106">
        <v>-305</v>
      </c>
      <c r="H58" s="52"/>
      <c r="I58" s="52"/>
      <c r="J58" s="119"/>
      <c r="K58" s="119"/>
      <c r="L58" s="119"/>
      <c r="M58" s="119"/>
    </row>
    <row r="59" spans="1:13" x14ac:dyDescent="0.25">
      <c r="A59" s="51">
        <v>46079</v>
      </c>
      <c r="B59" s="107" t="s">
        <v>90</v>
      </c>
      <c r="C59" s="107" t="s">
        <v>90</v>
      </c>
      <c r="D59" s="52"/>
      <c r="E59" s="52"/>
      <c r="F59" s="106">
        <v>-365</v>
      </c>
      <c r="G59" s="106">
        <v>-356</v>
      </c>
      <c r="H59" s="52"/>
      <c r="I59" s="52"/>
      <c r="J59" s="119"/>
      <c r="K59" s="119"/>
      <c r="L59" s="119"/>
      <c r="M59" s="119"/>
    </row>
    <row r="60" spans="1:13" x14ac:dyDescent="0.25">
      <c r="A60" s="51">
        <v>46080</v>
      </c>
      <c r="B60" s="107" t="s">
        <v>90</v>
      </c>
      <c r="C60" s="107" t="s">
        <v>90</v>
      </c>
      <c r="D60" s="52"/>
      <c r="E60" s="52"/>
      <c r="F60" s="107" t="s">
        <v>90</v>
      </c>
      <c r="G60" s="107" t="s">
        <v>90</v>
      </c>
      <c r="H60" s="52"/>
      <c r="I60" s="52"/>
      <c r="J60" s="119"/>
      <c r="K60" s="119"/>
      <c r="L60" s="119"/>
      <c r="M60" s="119"/>
    </row>
    <row r="61" spans="1:13" x14ac:dyDescent="0.25">
      <c r="A61" s="51">
        <v>46081</v>
      </c>
      <c r="B61" s="107" t="s">
        <v>90</v>
      </c>
      <c r="C61" s="107" t="s">
        <v>90</v>
      </c>
      <c r="D61" s="52"/>
      <c r="E61" s="52"/>
      <c r="F61" s="107" t="s">
        <v>90</v>
      </c>
      <c r="G61" s="107" t="s">
        <v>90</v>
      </c>
      <c r="H61" s="52"/>
      <c r="I61" s="52"/>
      <c r="J61" s="119"/>
      <c r="K61" s="119"/>
      <c r="L61" s="119"/>
      <c r="M61" s="119"/>
    </row>
    <row r="62" spans="1:13" ht="15" customHeight="1" x14ac:dyDescent="0.25">
      <c r="A62" s="51">
        <v>46082</v>
      </c>
      <c r="B62" s="107" t="s">
        <v>90</v>
      </c>
      <c r="C62" s="107" t="s">
        <v>90</v>
      </c>
      <c r="D62" s="52"/>
      <c r="E62" s="52"/>
      <c r="F62" s="107" t="s">
        <v>90</v>
      </c>
      <c r="G62" s="107" t="s">
        <v>90</v>
      </c>
      <c r="H62" s="52"/>
      <c r="I62" s="52"/>
      <c r="J62" s="119"/>
      <c r="K62" s="119"/>
      <c r="L62" s="119"/>
      <c r="M62" s="119"/>
    </row>
    <row r="63" spans="1:13" ht="15" customHeight="1" x14ac:dyDescent="0.25">
      <c r="A63" s="51">
        <v>46083</v>
      </c>
      <c r="B63" s="107">
        <v>23.5</v>
      </c>
      <c r="C63" s="107">
        <v>36.700000000000003</v>
      </c>
      <c r="D63" s="52"/>
      <c r="E63" s="52"/>
      <c r="F63" s="105">
        <v>-354</v>
      </c>
      <c r="G63" s="106">
        <v>-336</v>
      </c>
      <c r="H63" s="52"/>
      <c r="I63" s="52"/>
      <c r="J63" s="119"/>
      <c r="K63" s="119"/>
      <c r="L63" s="119"/>
      <c r="M63" s="119"/>
    </row>
    <row r="64" spans="1:13" x14ac:dyDescent="0.25">
      <c r="A64" s="51">
        <v>46084</v>
      </c>
      <c r="B64" s="107">
        <v>26</v>
      </c>
      <c r="C64" s="107">
        <v>27.7</v>
      </c>
      <c r="D64" s="52"/>
      <c r="E64" s="52"/>
      <c r="F64" s="105">
        <v>-305</v>
      </c>
      <c r="G64" s="106">
        <v>-242</v>
      </c>
      <c r="H64" s="52"/>
      <c r="I64" s="52"/>
      <c r="J64" s="118" t="s">
        <v>132</v>
      </c>
      <c r="K64" s="118"/>
      <c r="L64" s="118"/>
      <c r="M64" s="118"/>
    </row>
    <row r="65" spans="1:16" x14ac:dyDescent="0.25">
      <c r="A65" s="51">
        <v>46085</v>
      </c>
      <c r="B65" s="107" t="s">
        <v>90</v>
      </c>
      <c r="C65" s="107" t="s">
        <v>90</v>
      </c>
      <c r="D65" s="52"/>
      <c r="E65" s="52"/>
      <c r="F65" s="107" t="s">
        <v>90</v>
      </c>
      <c r="G65" s="107" t="s">
        <v>90</v>
      </c>
      <c r="H65" s="52"/>
      <c r="I65" s="52"/>
      <c r="J65" s="119"/>
      <c r="K65" s="119"/>
      <c r="L65" s="119"/>
      <c r="M65" s="119"/>
    </row>
    <row r="66" spans="1:16" x14ac:dyDescent="0.25">
      <c r="A66" s="51">
        <v>46086</v>
      </c>
      <c r="B66" s="107" t="s">
        <v>90</v>
      </c>
      <c r="C66" s="107" t="s">
        <v>90</v>
      </c>
      <c r="D66" s="52"/>
      <c r="E66" s="52"/>
      <c r="F66" s="107" t="s">
        <v>90</v>
      </c>
      <c r="G66" s="107" t="s">
        <v>90</v>
      </c>
      <c r="H66" s="52"/>
      <c r="I66" s="52"/>
      <c r="J66" s="119"/>
      <c r="K66" s="119"/>
      <c r="L66" s="119"/>
      <c r="M66" s="119"/>
    </row>
    <row r="67" spans="1:16" x14ac:dyDescent="0.25">
      <c r="A67" s="51">
        <v>46087</v>
      </c>
      <c r="B67" s="107" t="s">
        <v>90</v>
      </c>
      <c r="C67" s="107" t="s">
        <v>90</v>
      </c>
      <c r="D67" s="52"/>
      <c r="E67" s="52"/>
      <c r="F67" s="107" t="s">
        <v>90</v>
      </c>
      <c r="G67" s="107" t="s">
        <v>90</v>
      </c>
      <c r="H67" s="52"/>
      <c r="I67" s="52"/>
      <c r="J67" s="119"/>
      <c r="K67" s="119"/>
      <c r="L67" s="119"/>
      <c r="M67" s="119"/>
    </row>
    <row r="68" spans="1:16" x14ac:dyDescent="0.25">
      <c r="A68" s="51">
        <v>46088</v>
      </c>
      <c r="B68" s="107" t="s">
        <v>90</v>
      </c>
      <c r="C68" s="107" t="s">
        <v>90</v>
      </c>
      <c r="D68" s="52"/>
      <c r="E68" s="52"/>
      <c r="F68" s="107" t="s">
        <v>90</v>
      </c>
      <c r="G68" s="107" t="s">
        <v>90</v>
      </c>
      <c r="H68" s="52"/>
      <c r="I68" s="52"/>
      <c r="J68" s="119"/>
      <c r="K68" s="119"/>
      <c r="L68" s="119"/>
      <c r="M68" s="119"/>
    </row>
    <row r="69" spans="1:16" ht="15" hidden="1" customHeight="1" x14ac:dyDescent="0.25">
      <c r="A69" s="51">
        <v>46089</v>
      </c>
      <c r="B69" s="107" t="s">
        <v>90</v>
      </c>
      <c r="C69" s="107" t="s">
        <v>90</v>
      </c>
      <c r="D69" s="52"/>
      <c r="E69" s="52"/>
      <c r="F69" s="107" t="s">
        <v>90</v>
      </c>
      <c r="G69" s="107" t="s">
        <v>90</v>
      </c>
      <c r="H69" s="52"/>
      <c r="I69" s="52"/>
      <c r="J69" s="119"/>
      <c r="K69" s="119"/>
      <c r="L69" s="119"/>
      <c r="M69" s="119"/>
    </row>
    <row r="70" spans="1:16" x14ac:dyDescent="0.25">
      <c r="A70" s="51">
        <v>46090</v>
      </c>
      <c r="B70" s="107" t="s">
        <v>90</v>
      </c>
      <c r="C70" s="107" t="s">
        <v>90</v>
      </c>
      <c r="D70" s="52"/>
      <c r="E70" s="52"/>
      <c r="F70" s="107" t="s">
        <v>90</v>
      </c>
      <c r="G70" s="107" t="s">
        <v>90</v>
      </c>
      <c r="H70" s="52"/>
      <c r="I70" s="52"/>
      <c r="J70" s="119"/>
      <c r="K70" s="119"/>
      <c r="L70" s="119"/>
      <c r="M70" s="119"/>
    </row>
    <row r="71" spans="1:16" x14ac:dyDescent="0.25">
      <c r="A71" s="51">
        <v>46091</v>
      </c>
      <c r="B71" s="39"/>
      <c r="C71" s="39"/>
      <c r="D71" s="39"/>
      <c r="E71" s="39"/>
      <c r="F71" s="8">
        <v>-380</v>
      </c>
      <c r="G71" s="8">
        <v>-330</v>
      </c>
      <c r="H71" s="39"/>
      <c r="I71" s="39"/>
      <c r="J71" s="118" t="s">
        <v>132</v>
      </c>
      <c r="K71" s="118"/>
      <c r="L71" s="118"/>
      <c r="M71" s="118"/>
    </row>
    <row r="72" spans="1:16" x14ac:dyDescent="0.25">
      <c r="A72" s="51">
        <v>46092</v>
      </c>
      <c r="B72" s="39"/>
      <c r="C72" s="39"/>
      <c r="D72" s="39"/>
      <c r="E72" s="39"/>
      <c r="F72" s="8">
        <v>-284</v>
      </c>
      <c r="G72" s="8">
        <v>-261</v>
      </c>
      <c r="H72" s="39"/>
      <c r="I72" s="39"/>
      <c r="J72" s="118" t="s">
        <v>132</v>
      </c>
      <c r="K72" s="118"/>
      <c r="L72" s="118"/>
      <c r="M72" s="118"/>
    </row>
    <row r="73" spans="1:16" x14ac:dyDescent="0.25">
      <c r="A73" s="51">
        <v>46093</v>
      </c>
      <c r="B73" s="8">
        <v>22.5</v>
      </c>
      <c r="C73" s="8">
        <v>21.2</v>
      </c>
      <c r="D73" s="39"/>
      <c r="E73" s="39"/>
      <c r="F73" s="8">
        <v>-267</v>
      </c>
      <c r="G73" s="8">
        <v>-307</v>
      </c>
      <c r="H73" s="39"/>
      <c r="I73" s="39"/>
      <c r="J73" s="119"/>
      <c r="K73" s="119"/>
      <c r="L73" s="119"/>
      <c r="M73" s="119"/>
    </row>
    <row r="74" spans="1:16" x14ac:dyDescent="0.25">
      <c r="A74" s="51">
        <v>46094</v>
      </c>
      <c r="B74" s="107" t="s">
        <v>90</v>
      </c>
      <c r="C74" s="107" t="s">
        <v>90</v>
      </c>
      <c r="D74" s="39"/>
      <c r="E74" s="39"/>
      <c r="F74" s="8">
        <v>-364</v>
      </c>
      <c r="G74" s="8">
        <v>-359</v>
      </c>
      <c r="H74" s="39"/>
      <c r="I74" s="39"/>
      <c r="J74" s="118" t="s">
        <v>132</v>
      </c>
      <c r="K74" s="118"/>
      <c r="L74" s="118"/>
      <c r="M74" s="118"/>
    </row>
    <row r="75" spans="1:16" x14ac:dyDescent="0.25">
      <c r="A75" s="51">
        <v>46095</v>
      </c>
      <c r="B75" s="107" t="s">
        <v>90</v>
      </c>
      <c r="C75" s="107" t="s">
        <v>90</v>
      </c>
      <c r="D75" s="39"/>
      <c r="E75" s="39"/>
      <c r="F75" s="107" t="s">
        <v>90</v>
      </c>
      <c r="G75" s="107" t="s">
        <v>90</v>
      </c>
      <c r="H75" s="39"/>
      <c r="I75" s="39"/>
      <c r="J75" s="117"/>
      <c r="K75" s="117"/>
      <c r="L75" s="117"/>
      <c r="M75" s="117"/>
    </row>
    <row r="76" spans="1:16" x14ac:dyDescent="0.25">
      <c r="A76" s="51">
        <v>46096</v>
      </c>
      <c r="B76" s="107" t="s">
        <v>90</v>
      </c>
      <c r="C76" s="107" t="s">
        <v>90</v>
      </c>
      <c r="D76" s="39"/>
      <c r="E76" s="39"/>
      <c r="F76" s="107" t="s">
        <v>90</v>
      </c>
      <c r="G76" s="107" t="s">
        <v>90</v>
      </c>
      <c r="H76" s="39"/>
      <c r="I76" s="39"/>
      <c r="J76" s="117"/>
      <c r="K76" s="117"/>
      <c r="L76" s="117"/>
      <c r="M76" s="117"/>
    </row>
    <row r="77" spans="1:16" x14ac:dyDescent="0.25">
      <c r="A77" s="51">
        <v>46097</v>
      </c>
      <c r="B77" s="8">
        <v>29.3</v>
      </c>
      <c r="C77" s="8">
        <v>31.7</v>
      </c>
      <c r="D77" s="39"/>
      <c r="E77" s="39"/>
      <c r="F77" s="8">
        <v>-308</v>
      </c>
      <c r="G77" s="8">
        <v>-314</v>
      </c>
      <c r="H77" s="39"/>
      <c r="I77" s="39"/>
      <c r="J77" s="118" t="s">
        <v>132</v>
      </c>
      <c r="K77" s="118"/>
      <c r="L77" s="118"/>
      <c r="M77" s="118"/>
    </row>
    <row r="78" spans="1:16" x14ac:dyDescent="0.25">
      <c r="A78" s="51">
        <v>46098</v>
      </c>
      <c r="B78" s="8">
        <v>29.4</v>
      </c>
      <c r="C78" s="8">
        <v>29.2</v>
      </c>
      <c r="D78" s="39"/>
      <c r="E78" s="39"/>
      <c r="F78" s="8">
        <v>-247</v>
      </c>
      <c r="G78" s="8">
        <v>-232</v>
      </c>
      <c r="H78" s="39"/>
      <c r="I78" s="39"/>
      <c r="J78" s="118" t="s">
        <v>132</v>
      </c>
      <c r="K78" s="118"/>
      <c r="L78" s="118"/>
      <c r="M78" s="118"/>
      <c r="N78" s="102"/>
      <c r="O78" s="102"/>
      <c r="P78" s="102"/>
    </row>
    <row r="79" spans="1:16" x14ac:dyDescent="0.25">
      <c r="A79" s="51">
        <v>46099</v>
      </c>
      <c r="B79" s="8"/>
      <c r="C79" s="39"/>
      <c r="D79" s="39"/>
      <c r="E79" s="39"/>
      <c r="F79" s="39"/>
      <c r="G79" s="39"/>
      <c r="H79" s="39"/>
      <c r="I79" s="39"/>
      <c r="J79" s="117"/>
      <c r="K79" s="117"/>
      <c r="L79" s="117"/>
      <c r="M79" s="117"/>
    </row>
    <row r="80" spans="1:16" ht="15" customHeight="1" x14ac:dyDescent="0.25">
      <c r="A80" s="51">
        <v>46100</v>
      </c>
      <c r="B80" s="8">
        <v>25.4</v>
      </c>
      <c r="C80" s="8">
        <v>18.100000000000001</v>
      </c>
      <c r="D80" s="8"/>
      <c r="E80" s="39"/>
      <c r="F80" s="8">
        <v>-318</v>
      </c>
      <c r="G80" s="8">
        <v>-283</v>
      </c>
      <c r="H80" s="39"/>
      <c r="I80" s="39"/>
      <c r="J80" s="118" t="s">
        <v>133</v>
      </c>
      <c r="K80" s="118"/>
      <c r="L80" s="118"/>
      <c r="M80" s="118"/>
    </row>
    <row r="81" spans="1:16" ht="15" customHeight="1" x14ac:dyDescent="0.25">
      <c r="A81" s="51">
        <v>46101</v>
      </c>
      <c r="B81" s="107" t="s">
        <v>90</v>
      </c>
      <c r="C81" s="107" t="s">
        <v>90</v>
      </c>
      <c r="D81" s="8"/>
      <c r="E81" s="39"/>
      <c r="F81" s="107" t="s">
        <v>90</v>
      </c>
      <c r="G81" s="107" t="s">
        <v>90</v>
      </c>
      <c r="H81" s="39"/>
      <c r="I81" s="39"/>
      <c r="J81" s="118" t="s">
        <v>132</v>
      </c>
      <c r="K81" s="118"/>
      <c r="L81" s="118"/>
      <c r="M81" s="118"/>
    </row>
    <row r="82" spans="1:16" x14ac:dyDescent="0.25">
      <c r="A82" s="51">
        <v>46102</v>
      </c>
      <c r="B82" s="107" t="s">
        <v>90</v>
      </c>
      <c r="C82" s="107" t="s">
        <v>90</v>
      </c>
      <c r="D82" s="39"/>
      <c r="E82" s="39"/>
      <c r="F82" s="107" t="s">
        <v>90</v>
      </c>
      <c r="G82" s="107" t="s">
        <v>90</v>
      </c>
      <c r="H82" s="39"/>
      <c r="I82" s="39"/>
      <c r="J82" s="117"/>
      <c r="K82" s="117"/>
      <c r="L82" s="117"/>
      <c r="M82" s="117"/>
    </row>
    <row r="83" spans="1:16" x14ac:dyDescent="0.25">
      <c r="A83" s="51">
        <v>46103</v>
      </c>
      <c r="B83" s="107" t="s">
        <v>90</v>
      </c>
      <c r="C83" s="107" t="s">
        <v>90</v>
      </c>
      <c r="D83" s="39"/>
      <c r="E83" s="39"/>
      <c r="F83" s="107" t="s">
        <v>90</v>
      </c>
      <c r="G83" s="107" t="s">
        <v>90</v>
      </c>
      <c r="H83" s="39"/>
      <c r="I83" s="39"/>
      <c r="J83" s="117"/>
      <c r="K83" s="117"/>
      <c r="L83" s="117"/>
      <c r="M83" s="117"/>
    </row>
    <row r="84" spans="1:16" x14ac:dyDescent="0.25">
      <c r="A84" s="51">
        <v>46104</v>
      </c>
      <c r="B84" s="107" t="s">
        <v>90</v>
      </c>
      <c r="C84" s="107" t="s">
        <v>90</v>
      </c>
      <c r="D84" s="39"/>
      <c r="E84" s="39"/>
      <c r="F84" s="107" t="s">
        <v>90</v>
      </c>
      <c r="G84" s="107" t="s">
        <v>90</v>
      </c>
      <c r="H84" s="39"/>
      <c r="I84" s="39"/>
      <c r="J84" s="118"/>
      <c r="K84" s="118"/>
      <c r="L84" s="118"/>
      <c r="M84" s="118"/>
    </row>
    <row r="85" spans="1:16" x14ac:dyDescent="0.25">
      <c r="A85" s="51">
        <v>46105</v>
      </c>
      <c r="B85" s="39"/>
      <c r="C85" s="39"/>
      <c r="D85" s="39"/>
      <c r="E85" s="39"/>
      <c r="F85" s="39"/>
      <c r="G85" s="39"/>
      <c r="H85" s="39"/>
      <c r="I85" s="39"/>
      <c r="J85" s="118"/>
      <c r="K85" s="118"/>
      <c r="L85" s="118"/>
      <c r="M85" s="118"/>
    </row>
    <row r="86" spans="1:16" x14ac:dyDescent="0.25">
      <c r="A86" s="51">
        <v>46106</v>
      </c>
      <c r="B86" s="39"/>
      <c r="C86" s="39"/>
      <c r="D86" s="39"/>
      <c r="E86" s="39"/>
      <c r="F86" s="8">
        <v>-330</v>
      </c>
      <c r="G86" s="8">
        <v>-284</v>
      </c>
      <c r="H86" s="8"/>
      <c r="I86" s="39"/>
      <c r="J86" s="117"/>
      <c r="K86" s="117"/>
      <c r="L86" s="117"/>
      <c r="M86" s="117"/>
    </row>
    <row r="87" spans="1:16" x14ac:dyDescent="0.25">
      <c r="A87" s="51">
        <v>46107</v>
      </c>
      <c r="B87" s="107" t="s">
        <v>90</v>
      </c>
      <c r="C87" s="107" t="s">
        <v>90</v>
      </c>
      <c r="D87" s="52"/>
      <c r="E87" s="52"/>
      <c r="F87" s="107" t="s">
        <v>90</v>
      </c>
      <c r="G87" s="107" t="s">
        <v>90</v>
      </c>
      <c r="H87" s="52"/>
      <c r="I87" s="52"/>
      <c r="J87" s="117"/>
      <c r="K87" s="117"/>
      <c r="L87" s="117"/>
      <c r="M87" s="117"/>
    </row>
    <row r="88" spans="1:16" x14ac:dyDescent="0.25">
      <c r="A88" s="51">
        <v>46108</v>
      </c>
      <c r="B88" s="52"/>
      <c r="C88" s="52"/>
      <c r="D88" s="52"/>
      <c r="E88" s="52"/>
      <c r="F88" s="106">
        <v>-280</v>
      </c>
      <c r="G88" s="106">
        <v>-335</v>
      </c>
      <c r="H88" s="52"/>
      <c r="I88" s="52"/>
      <c r="J88" s="118"/>
      <c r="K88" s="118"/>
      <c r="L88" s="118"/>
      <c r="M88" s="118"/>
    </row>
    <row r="89" spans="1:16" x14ac:dyDescent="0.25">
      <c r="A89" s="51">
        <v>46109</v>
      </c>
      <c r="B89" s="52"/>
      <c r="C89" s="52"/>
      <c r="D89" s="52"/>
      <c r="E89" s="52"/>
      <c r="F89" s="106"/>
      <c r="G89" s="106"/>
      <c r="H89" s="52"/>
      <c r="I89" s="52"/>
      <c r="J89" s="118"/>
      <c r="K89" s="118"/>
      <c r="L89" s="118"/>
      <c r="M89" s="118"/>
    </row>
    <row r="90" spans="1:16" ht="15" customHeight="1" x14ac:dyDescent="0.25">
      <c r="A90" s="51">
        <v>46110</v>
      </c>
      <c r="B90" s="52"/>
      <c r="C90" s="52"/>
      <c r="D90" s="52"/>
      <c r="E90" s="52"/>
      <c r="F90" s="36"/>
      <c r="G90" s="36"/>
      <c r="H90" s="52"/>
      <c r="I90" s="52"/>
      <c r="J90" s="117"/>
      <c r="K90" s="117"/>
      <c r="L90" s="117"/>
      <c r="M90" s="117"/>
    </row>
    <row r="91" spans="1:16" ht="15" customHeight="1" x14ac:dyDescent="0.25">
      <c r="A91" s="51">
        <v>46111</v>
      </c>
      <c r="B91" s="52"/>
      <c r="C91" s="52"/>
      <c r="D91" s="52"/>
      <c r="E91" s="52"/>
      <c r="F91" s="36"/>
      <c r="G91" s="36"/>
      <c r="H91" s="52"/>
      <c r="I91" s="52"/>
      <c r="J91" s="110"/>
      <c r="K91"/>
      <c r="L91"/>
      <c r="M91" s="118" t="s">
        <v>132</v>
      </c>
      <c r="N91" s="118"/>
      <c r="O91" s="118"/>
      <c r="P91" s="118"/>
    </row>
    <row r="92" spans="1:16" x14ac:dyDescent="0.25">
      <c r="A92" s="51">
        <v>46112</v>
      </c>
      <c r="B92" s="52"/>
      <c r="C92" s="52"/>
      <c r="D92" s="52"/>
      <c r="E92" s="52"/>
      <c r="F92" s="36"/>
      <c r="G92" s="36"/>
      <c r="H92" s="52"/>
      <c r="I92" s="52"/>
      <c r="J92" s="117"/>
      <c r="K92" s="117"/>
      <c r="L92" s="117"/>
      <c r="M92" s="117"/>
    </row>
    <row r="93" spans="1:16" ht="15" customHeight="1" x14ac:dyDescent="0.25">
      <c r="A93" s="51">
        <v>46113</v>
      </c>
      <c r="B93" s="52"/>
      <c r="C93" s="52"/>
      <c r="D93" s="52"/>
      <c r="E93" s="52"/>
      <c r="F93" s="36"/>
      <c r="G93" s="36"/>
      <c r="H93" s="52"/>
      <c r="I93" s="52"/>
      <c r="J93" s="118"/>
      <c r="K93" s="118"/>
      <c r="L93" s="118"/>
      <c r="M93" s="118"/>
    </row>
    <row r="94" spans="1:16" ht="15" customHeight="1" x14ac:dyDescent="0.25">
      <c r="A94" s="51">
        <v>46114</v>
      </c>
      <c r="B94" s="52"/>
      <c r="C94" s="52"/>
      <c r="D94" s="52"/>
      <c r="E94" s="52"/>
      <c r="F94" s="36"/>
      <c r="G94" s="36"/>
      <c r="H94" s="52"/>
      <c r="I94" s="52"/>
      <c r="J94" s="118"/>
      <c r="K94" s="118"/>
      <c r="L94" s="118"/>
      <c r="M94" s="118"/>
    </row>
    <row r="95" spans="1:16" ht="15" customHeight="1" x14ac:dyDescent="0.25">
      <c r="A95" s="51">
        <v>46115</v>
      </c>
      <c r="B95" s="52"/>
      <c r="C95" s="52"/>
      <c r="D95" s="52"/>
      <c r="E95" s="52"/>
      <c r="F95" s="52"/>
      <c r="G95" s="52"/>
      <c r="H95" s="52"/>
      <c r="I95" s="52"/>
      <c r="J95" s="117"/>
      <c r="K95" s="117"/>
      <c r="L95" s="117"/>
      <c r="M95" s="117"/>
    </row>
    <row r="96" spans="1:16" x14ac:dyDescent="0.25">
      <c r="A96" s="51">
        <v>46116</v>
      </c>
      <c r="B96" s="52"/>
      <c r="C96" s="52"/>
      <c r="D96" s="52"/>
      <c r="E96" s="52"/>
      <c r="F96" s="39"/>
      <c r="G96" s="39"/>
      <c r="H96" s="52"/>
      <c r="I96" s="52"/>
      <c r="J96" s="117"/>
      <c r="K96" s="117"/>
      <c r="L96" s="117"/>
      <c r="M96" s="117"/>
    </row>
    <row r="97" spans="1:14" x14ac:dyDescent="0.25">
      <c r="A97" s="51">
        <v>46117</v>
      </c>
      <c r="B97" s="52"/>
      <c r="C97" s="52"/>
      <c r="D97" s="52"/>
      <c r="E97" s="52"/>
      <c r="F97" s="39"/>
      <c r="G97" s="39"/>
      <c r="H97" s="52"/>
      <c r="I97" s="52"/>
      <c r="J97" s="117"/>
      <c r="K97" s="117"/>
      <c r="L97" s="117"/>
      <c r="M97" s="117"/>
    </row>
    <row r="98" spans="1:14" ht="15" customHeight="1" x14ac:dyDescent="0.25">
      <c r="A98" s="51">
        <v>46118</v>
      </c>
      <c r="B98" s="52"/>
      <c r="C98" s="52"/>
      <c r="D98" s="52"/>
      <c r="E98" s="52"/>
      <c r="F98" s="52"/>
      <c r="G98" s="52"/>
      <c r="H98" s="52"/>
      <c r="I98" s="52"/>
      <c r="J98" s="118"/>
      <c r="K98" s="118"/>
      <c r="L98" s="118"/>
      <c r="M98" s="118"/>
    </row>
    <row r="99" spans="1:14" ht="15" customHeight="1" x14ac:dyDescent="0.25">
      <c r="A99" s="51">
        <v>46119</v>
      </c>
      <c r="B99" s="52"/>
      <c r="C99" s="52"/>
      <c r="D99" s="52"/>
      <c r="E99" s="52"/>
      <c r="F99" s="52"/>
      <c r="G99" s="52"/>
      <c r="H99" s="52"/>
      <c r="I99" s="52"/>
      <c r="J99" s="118"/>
      <c r="K99" s="118"/>
      <c r="L99" s="118"/>
      <c r="M99" s="118"/>
    </row>
    <row r="100" spans="1:14" ht="15" customHeight="1" x14ac:dyDescent="0.25">
      <c r="A100" s="51">
        <v>46120</v>
      </c>
      <c r="B100" s="52"/>
      <c r="C100" s="52"/>
      <c r="D100" s="52"/>
      <c r="E100" s="52"/>
      <c r="F100" s="52"/>
      <c r="G100" s="52"/>
      <c r="H100" s="52"/>
      <c r="I100" s="52"/>
      <c r="J100" s="117"/>
      <c r="K100" s="117"/>
      <c r="L100" s="117"/>
      <c r="M100" s="117"/>
    </row>
    <row r="101" spans="1:14" ht="15" customHeight="1" x14ac:dyDescent="0.25">
      <c r="A101" s="51">
        <v>46121</v>
      </c>
      <c r="B101" s="52"/>
      <c r="C101" s="52"/>
      <c r="D101" s="52"/>
      <c r="E101" s="52"/>
      <c r="F101" s="52"/>
      <c r="G101" s="52"/>
      <c r="H101" s="52"/>
      <c r="I101" s="52"/>
      <c r="J101" s="110"/>
      <c r="K101"/>
      <c r="L101"/>
      <c r="M101" s="111"/>
    </row>
    <row r="102" spans="1:14" ht="15" customHeight="1" x14ac:dyDescent="0.25">
      <c r="A102" s="51">
        <v>46122</v>
      </c>
      <c r="B102" s="52"/>
      <c r="C102" s="52"/>
      <c r="D102" s="52"/>
      <c r="E102" s="52"/>
      <c r="F102" s="52"/>
      <c r="G102" s="52"/>
      <c r="H102" s="52"/>
      <c r="I102" s="52"/>
      <c r="J102" s="110"/>
      <c r="K102"/>
      <c r="L102"/>
      <c r="M102" s="111"/>
    </row>
    <row r="103" spans="1:14" x14ac:dyDescent="0.25">
      <c r="A103" s="51">
        <v>46123</v>
      </c>
      <c r="B103" s="52"/>
      <c r="C103" s="52"/>
      <c r="D103" s="52"/>
      <c r="E103" s="52"/>
      <c r="F103" s="36"/>
      <c r="G103" s="52"/>
      <c r="H103" s="52"/>
      <c r="I103" s="52"/>
      <c r="J103" s="117"/>
      <c r="K103" s="117"/>
      <c r="L103" s="117"/>
      <c r="M103" s="117"/>
    </row>
    <row r="104" spans="1:14" x14ac:dyDescent="0.25">
      <c r="A104" s="51">
        <v>46124</v>
      </c>
      <c r="B104" s="52"/>
      <c r="C104" s="52"/>
      <c r="D104" s="52"/>
      <c r="E104" s="52"/>
      <c r="F104" s="52"/>
      <c r="G104" s="39"/>
      <c r="H104" s="52"/>
      <c r="I104" s="52"/>
      <c r="J104" s="118"/>
      <c r="K104" s="118"/>
      <c r="L104" s="118"/>
      <c r="M104" s="118"/>
    </row>
    <row r="105" spans="1:14" x14ac:dyDescent="0.25">
      <c r="A105" s="51">
        <v>46125</v>
      </c>
      <c r="B105" s="52"/>
      <c r="C105" s="52"/>
      <c r="D105" s="52"/>
      <c r="E105" s="52"/>
      <c r="F105" s="39"/>
      <c r="G105" s="39"/>
      <c r="H105" s="52"/>
      <c r="I105" s="52"/>
      <c r="J105" s="118"/>
      <c r="K105" s="118"/>
      <c r="L105" s="118"/>
      <c r="M105" s="118"/>
    </row>
    <row r="106" spans="1:14" x14ac:dyDescent="0.25">
      <c r="A106" s="51">
        <v>46126</v>
      </c>
      <c r="B106" s="52"/>
      <c r="C106" s="52"/>
      <c r="D106" s="52"/>
      <c r="E106" s="52"/>
      <c r="F106" s="39"/>
      <c r="G106" s="39"/>
      <c r="H106" s="52"/>
      <c r="I106" s="52"/>
      <c r="J106" s="117"/>
      <c r="K106" s="117"/>
      <c r="L106" s="117"/>
      <c r="M106" s="117"/>
    </row>
    <row r="107" spans="1:14" x14ac:dyDescent="0.25">
      <c r="A107" s="51">
        <v>46127</v>
      </c>
      <c r="B107" s="52"/>
      <c r="C107" s="52"/>
      <c r="D107" s="52"/>
      <c r="E107" s="52"/>
      <c r="F107" s="39"/>
      <c r="G107" s="39"/>
      <c r="H107" s="52"/>
      <c r="I107" s="52"/>
      <c r="J107" s="110"/>
      <c r="K107" s="117"/>
      <c r="L107" s="117"/>
      <c r="M107" s="117"/>
      <c r="N107" s="117"/>
    </row>
    <row r="108" spans="1:14" x14ac:dyDescent="0.25">
      <c r="A108" s="51">
        <v>46128</v>
      </c>
      <c r="B108" s="52"/>
      <c r="C108" s="52"/>
      <c r="D108" s="52"/>
      <c r="E108" s="52"/>
      <c r="F108" s="52"/>
      <c r="G108" s="39"/>
      <c r="H108" s="52"/>
      <c r="I108" s="52"/>
      <c r="J108" s="112"/>
      <c r="K108" s="118"/>
      <c r="L108" s="118"/>
      <c r="M108" s="118"/>
      <c r="N108" s="118"/>
    </row>
    <row r="109" spans="1:14" x14ac:dyDescent="0.25">
      <c r="A109" s="51">
        <v>46129</v>
      </c>
      <c r="B109" s="52"/>
      <c r="C109" s="52"/>
      <c r="D109" s="52"/>
      <c r="E109" s="52"/>
      <c r="F109" s="52"/>
      <c r="G109" s="52"/>
      <c r="H109" s="52"/>
      <c r="I109" s="52"/>
      <c r="K109" s="118"/>
      <c r="L109" s="118"/>
      <c r="M109" s="118"/>
      <c r="N109" s="118"/>
    </row>
    <row r="110" spans="1:14" hidden="1" x14ac:dyDescent="0.25">
      <c r="A110" s="51">
        <v>46130</v>
      </c>
      <c r="B110" s="52"/>
      <c r="C110" s="52"/>
      <c r="D110" s="52"/>
      <c r="E110" s="52"/>
      <c r="F110" s="52"/>
      <c r="G110" s="52"/>
      <c r="H110" s="52"/>
      <c r="I110" s="52"/>
      <c r="K110" s="117"/>
      <c r="L110" s="117"/>
      <c r="M110" s="117"/>
      <c r="N110" s="117"/>
    </row>
    <row r="111" spans="1:14" x14ac:dyDescent="0.25">
      <c r="A111" s="51">
        <v>46131</v>
      </c>
      <c r="B111" s="52"/>
      <c r="C111" s="52"/>
      <c r="D111" s="52"/>
      <c r="E111" s="52"/>
      <c r="F111" s="52"/>
      <c r="G111" s="52"/>
      <c r="H111" s="52"/>
      <c r="I111" s="52"/>
    </row>
    <row r="112" spans="1:14" x14ac:dyDescent="0.25">
      <c r="A112" s="51">
        <v>46132</v>
      </c>
      <c r="B112" s="52"/>
      <c r="C112" s="52"/>
      <c r="D112" s="52"/>
      <c r="E112" s="52"/>
      <c r="F112" s="52"/>
      <c r="G112" s="39"/>
      <c r="H112" s="52"/>
      <c r="I112" s="52"/>
    </row>
    <row r="113" spans="1:9" x14ac:dyDescent="0.25">
      <c r="A113" s="51">
        <v>46133</v>
      </c>
      <c r="B113" s="52"/>
      <c r="C113" s="52"/>
      <c r="D113" s="52"/>
      <c r="E113" s="52"/>
      <c r="F113" s="52"/>
      <c r="G113" s="39"/>
      <c r="H113" s="52"/>
      <c r="I113" s="52"/>
    </row>
    <row r="114" spans="1:9" x14ac:dyDescent="0.25">
      <c r="A114" s="51">
        <v>46134</v>
      </c>
      <c r="B114" s="52"/>
      <c r="C114" s="52"/>
      <c r="D114" s="52"/>
      <c r="E114" s="52"/>
      <c r="F114" s="52"/>
      <c r="G114" s="39"/>
      <c r="H114" s="52"/>
      <c r="I114" s="52"/>
    </row>
    <row r="115" spans="1:9" hidden="1" x14ac:dyDescent="0.25">
      <c r="A115" s="51">
        <v>46135</v>
      </c>
      <c r="B115" s="52"/>
      <c r="C115" s="52"/>
      <c r="D115" s="52"/>
      <c r="E115" s="52"/>
      <c r="F115" s="52"/>
      <c r="G115" s="52"/>
      <c r="H115" s="52"/>
      <c r="I115" s="52"/>
    </row>
    <row r="116" spans="1:9" hidden="1" x14ac:dyDescent="0.25">
      <c r="A116" s="51">
        <v>46136</v>
      </c>
      <c r="B116" s="52"/>
      <c r="C116" s="52"/>
      <c r="D116" s="52"/>
      <c r="E116" s="52"/>
      <c r="F116" s="52"/>
      <c r="G116" s="52"/>
      <c r="H116" s="52"/>
      <c r="I116" s="52"/>
    </row>
    <row r="117" spans="1:9" hidden="1" x14ac:dyDescent="0.25">
      <c r="A117" s="51">
        <v>46137</v>
      </c>
      <c r="B117" s="52"/>
      <c r="C117" s="52"/>
      <c r="D117" s="39"/>
      <c r="E117" s="52"/>
      <c r="F117" s="52"/>
      <c r="G117" s="52"/>
      <c r="H117" s="52"/>
      <c r="I117" s="52"/>
    </row>
    <row r="118" spans="1:9" hidden="1" x14ac:dyDescent="0.25">
      <c r="A118" s="51">
        <v>46138</v>
      </c>
      <c r="B118" s="52"/>
      <c r="C118" s="52"/>
      <c r="D118" s="52"/>
      <c r="E118" s="52"/>
      <c r="F118" s="52"/>
      <c r="G118" s="52"/>
      <c r="H118" s="52"/>
      <c r="I118" s="52"/>
    </row>
    <row r="119" spans="1:9" x14ac:dyDescent="0.25">
      <c r="A119" s="51">
        <v>46139</v>
      </c>
      <c r="B119" s="52"/>
      <c r="C119" s="52"/>
      <c r="D119" s="52"/>
      <c r="E119" s="52"/>
      <c r="F119" s="39"/>
      <c r="G119" s="39"/>
      <c r="H119" s="52"/>
      <c r="I119" s="52"/>
    </row>
    <row r="120" spans="1:9" hidden="1" x14ac:dyDescent="0.25">
      <c r="A120" s="51">
        <v>46140</v>
      </c>
      <c r="B120" s="52"/>
      <c r="C120" s="52"/>
      <c r="D120" s="52"/>
      <c r="E120" s="52"/>
      <c r="F120" s="39"/>
      <c r="G120" s="39"/>
      <c r="H120" s="52"/>
      <c r="I120" s="52"/>
    </row>
    <row r="121" spans="1:9" x14ac:dyDescent="0.25">
      <c r="A121" s="51">
        <v>46141</v>
      </c>
      <c r="B121" s="52"/>
      <c r="C121" s="52"/>
      <c r="D121" s="52"/>
      <c r="E121" s="52"/>
      <c r="F121" s="39"/>
      <c r="G121" s="39"/>
      <c r="H121" s="52"/>
      <c r="I121" s="52"/>
    </row>
    <row r="122" spans="1:9" hidden="1" x14ac:dyDescent="0.25">
      <c r="A122" s="51">
        <v>46142</v>
      </c>
      <c r="B122" s="52"/>
      <c r="C122" s="52"/>
      <c r="D122" s="52"/>
      <c r="E122" s="52"/>
      <c r="F122" s="39"/>
      <c r="G122" s="39"/>
      <c r="H122" s="52"/>
      <c r="I122" s="52"/>
    </row>
    <row r="123" spans="1:9" hidden="1" x14ac:dyDescent="0.25">
      <c r="A123" s="51">
        <v>46143</v>
      </c>
      <c r="B123" s="52"/>
      <c r="C123" s="52"/>
      <c r="D123" s="52"/>
      <c r="E123" s="52"/>
      <c r="F123" s="52"/>
      <c r="G123" s="52"/>
      <c r="H123" s="52"/>
      <c r="I123" s="52"/>
    </row>
    <row r="124" spans="1:9" x14ac:dyDescent="0.25">
      <c r="A124" s="51">
        <v>46144</v>
      </c>
      <c r="B124" s="52"/>
      <c r="C124" s="52"/>
      <c r="D124" s="52"/>
      <c r="E124" s="52"/>
      <c r="F124" s="52"/>
      <c r="G124" s="52"/>
      <c r="H124" s="52"/>
      <c r="I124" s="52"/>
    </row>
    <row r="125" spans="1:9" x14ac:dyDescent="0.25">
      <c r="A125" s="51">
        <v>46145</v>
      </c>
      <c r="B125" s="52"/>
      <c r="C125" s="52"/>
      <c r="D125" s="52"/>
      <c r="E125" s="52"/>
      <c r="F125" s="52"/>
      <c r="G125" s="52"/>
      <c r="H125" s="52"/>
      <c r="I125" s="52"/>
    </row>
    <row r="126" spans="1:9" x14ac:dyDescent="0.25">
      <c r="A126" s="51">
        <v>46146</v>
      </c>
      <c r="B126" s="52"/>
      <c r="C126" s="52"/>
      <c r="D126" s="52"/>
      <c r="E126" s="52"/>
      <c r="F126" s="39"/>
      <c r="G126" s="39"/>
      <c r="H126" s="52"/>
      <c r="I126" s="52"/>
    </row>
    <row r="127" spans="1:9" x14ac:dyDescent="0.25">
      <c r="A127" s="51">
        <v>46147</v>
      </c>
      <c r="B127" s="52"/>
      <c r="C127" s="52"/>
      <c r="D127" s="52"/>
      <c r="E127" s="52"/>
      <c r="F127" s="39"/>
      <c r="G127" s="39"/>
      <c r="H127" s="52"/>
      <c r="I127" s="52"/>
    </row>
    <row r="128" spans="1:9" x14ac:dyDescent="0.25">
      <c r="A128" s="51">
        <v>46148</v>
      </c>
      <c r="B128" s="52"/>
      <c r="C128" s="52"/>
      <c r="D128" s="52"/>
      <c r="E128" s="52"/>
      <c r="F128" s="39"/>
      <c r="G128" s="39"/>
      <c r="H128" s="52"/>
      <c r="I128" s="52"/>
    </row>
    <row r="129" spans="1:9" hidden="1" x14ac:dyDescent="0.25">
      <c r="A129" s="51">
        <v>46149</v>
      </c>
      <c r="B129" s="52"/>
      <c r="C129" s="52"/>
      <c r="D129" s="52"/>
      <c r="E129" s="52"/>
      <c r="F129" s="39"/>
      <c r="G129" s="39"/>
      <c r="H129" s="52"/>
      <c r="I129" s="52"/>
    </row>
    <row r="130" spans="1:9" hidden="1" x14ac:dyDescent="0.25">
      <c r="A130" s="51">
        <v>46150</v>
      </c>
      <c r="B130" s="52"/>
      <c r="C130" s="52"/>
      <c r="D130" s="52"/>
      <c r="E130" s="52"/>
      <c r="F130" s="39"/>
      <c r="G130" s="39"/>
      <c r="H130" s="52"/>
      <c r="I130" s="52"/>
    </row>
    <row r="131" spans="1:9" hidden="1" x14ac:dyDescent="0.25">
      <c r="A131" s="51">
        <v>46151</v>
      </c>
      <c r="B131" s="52"/>
      <c r="C131" s="52"/>
      <c r="D131" s="52"/>
      <c r="E131" s="52"/>
      <c r="F131" s="39"/>
      <c r="G131" s="39"/>
      <c r="H131" s="52"/>
      <c r="I131" s="52"/>
    </row>
    <row r="132" spans="1:9" x14ac:dyDescent="0.25">
      <c r="A132" s="51">
        <v>46152</v>
      </c>
      <c r="B132" s="52"/>
      <c r="C132" s="52"/>
      <c r="D132" s="52"/>
      <c r="E132" s="52"/>
      <c r="F132" s="39"/>
      <c r="G132" s="39"/>
      <c r="H132" s="52"/>
      <c r="I132" s="52"/>
    </row>
    <row r="133" spans="1:9" x14ac:dyDescent="0.25">
      <c r="A133" s="51">
        <v>46153</v>
      </c>
      <c r="B133" s="52"/>
      <c r="C133" s="52"/>
      <c r="D133" s="52"/>
      <c r="E133" s="52"/>
      <c r="F133" s="39"/>
      <c r="G133" s="39"/>
      <c r="H133" s="52"/>
      <c r="I133" s="52"/>
    </row>
    <row r="134" spans="1:9" x14ac:dyDescent="0.25">
      <c r="A134" s="51">
        <v>46154</v>
      </c>
      <c r="B134" s="52"/>
      <c r="C134" s="52"/>
      <c r="D134" s="52"/>
      <c r="E134" s="52"/>
      <c r="F134" s="39"/>
      <c r="G134" s="39"/>
      <c r="H134" s="52"/>
      <c r="I134" s="52"/>
    </row>
    <row r="135" spans="1:9" x14ac:dyDescent="0.25">
      <c r="A135" s="51">
        <v>46155</v>
      </c>
      <c r="B135" s="52"/>
      <c r="C135" s="52"/>
      <c r="D135" s="52"/>
      <c r="E135" s="52"/>
      <c r="F135" s="39"/>
      <c r="G135" s="39"/>
      <c r="H135" s="52"/>
      <c r="I135" s="52"/>
    </row>
    <row r="136" spans="1:9" x14ac:dyDescent="0.25">
      <c r="A136" s="51">
        <v>46156</v>
      </c>
      <c r="B136" s="52"/>
      <c r="C136" s="52"/>
      <c r="D136" s="52"/>
      <c r="E136" s="52"/>
      <c r="F136" s="39"/>
      <c r="G136" s="52"/>
      <c r="H136" s="52"/>
      <c r="I136" s="52"/>
    </row>
    <row r="137" spans="1:9" hidden="1" x14ac:dyDescent="0.25">
      <c r="A137" s="51">
        <v>46157</v>
      </c>
      <c r="B137" s="52"/>
      <c r="C137" s="52"/>
      <c r="D137" s="52"/>
      <c r="E137" s="52"/>
      <c r="F137" s="52"/>
      <c r="G137" s="52"/>
      <c r="H137" s="52"/>
      <c r="I137" s="52"/>
    </row>
    <row r="138" spans="1:9" hidden="1" x14ac:dyDescent="0.25">
      <c r="A138" s="51">
        <v>46158</v>
      </c>
      <c r="B138" s="52"/>
      <c r="C138" s="52"/>
      <c r="D138" s="52"/>
      <c r="E138" s="52"/>
      <c r="F138" s="52"/>
      <c r="G138" s="52"/>
      <c r="H138" s="52"/>
      <c r="I138" s="52"/>
    </row>
    <row r="139" spans="1:9" hidden="1" x14ac:dyDescent="0.25">
      <c r="A139" s="51">
        <v>46159</v>
      </c>
      <c r="B139" s="52"/>
      <c r="C139" s="52"/>
      <c r="D139" s="52"/>
      <c r="E139" s="52"/>
      <c r="F139" s="52"/>
      <c r="G139" s="52"/>
      <c r="H139" s="52"/>
      <c r="I139" s="52"/>
    </row>
    <row r="140" spans="1:9" x14ac:dyDescent="0.25">
      <c r="A140" s="51">
        <v>46160</v>
      </c>
      <c r="B140" s="52"/>
      <c r="C140" s="52"/>
      <c r="D140" s="52"/>
      <c r="E140" s="52"/>
      <c r="F140" s="39"/>
      <c r="G140" s="39"/>
      <c r="H140" s="52"/>
      <c r="I140" s="52"/>
    </row>
    <row r="141" spans="1:9" hidden="1" x14ac:dyDescent="0.25">
      <c r="A141" s="51">
        <v>46161</v>
      </c>
      <c r="B141" s="52"/>
      <c r="C141" s="52"/>
      <c r="D141" s="52"/>
      <c r="E141" s="52"/>
      <c r="F141" s="52"/>
      <c r="G141" s="52"/>
      <c r="H141" s="52"/>
      <c r="I141" s="52"/>
    </row>
    <row r="142" spans="1:9" x14ac:dyDescent="0.25">
      <c r="A142" s="51">
        <v>46162</v>
      </c>
      <c r="B142" s="52"/>
      <c r="C142" s="52"/>
      <c r="D142" s="52"/>
      <c r="E142" s="52"/>
      <c r="F142" s="39"/>
      <c r="G142" s="39"/>
      <c r="H142" s="52"/>
      <c r="I142" s="52"/>
    </row>
    <row r="143" spans="1:9" hidden="1" x14ac:dyDescent="0.25">
      <c r="A143" s="51">
        <v>46163</v>
      </c>
      <c r="B143" s="52"/>
      <c r="C143" s="52"/>
      <c r="D143" s="52"/>
      <c r="E143" s="52"/>
      <c r="F143" s="39"/>
      <c r="G143" s="39"/>
      <c r="H143" s="52"/>
      <c r="I143" s="52"/>
    </row>
    <row r="144" spans="1:9" x14ac:dyDescent="0.25">
      <c r="A144" s="51">
        <v>46164</v>
      </c>
      <c r="B144" s="52"/>
      <c r="C144" s="52"/>
      <c r="D144" s="52"/>
      <c r="E144" s="52"/>
      <c r="F144" s="39"/>
      <c r="G144" s="39"/>
      <c r="H144" s="52"/>
      <c r="I144" s="52"/>
    </row>
    <row r="145" spans="1:9" hidden="1" x14ac:dyDescent="0.25">
      <c r="A145" s="51">
        <v>46165</v>
      </c>
      <c r="B145" s="52"/>
      <c r="C145" s="52"/>
      <c r="D145" s="52"/>
      <c r="E145" s="52"/>
      <c r="F145" s="39"/>
      <c r="G145" s="39"/>
      <c r="H145" s="52"/>
      <c r="I145" s="52"/>
    </row>
    <row r="146" spans="1:9" hidden="1" x14ac:dyDescent="0.25">
      <c r="A146" s="51">
        <v>46166</v>
      </c>
      <c r="B146" s="52"/>
      <c r="C146" s="52"/>
      <c r="D146" s="52"/>
      <c r="E146" s="52"/>
      <c r="F146" s="52"/>
      <c r="G146" s="52"/>
      <c r="H146" s="52"/>
      <c r="I146" s="52"/>
    </row>
    <row r="147" spans="1:9" x14ac:dyDescent="0.25">
      <c r="A147" s="51">
        <v>46167</v>
      </c>
      <c r="B147" s="52"/>
      <c r="C147" s="52"/>
      <c r="D147" s="52"/>
      <c r="E147" s="52"/>
      <c r="F147" s="39"/>
      <c r="G147" s="39"/>
      <c r="H147" s="52"/>
      <c r="I147" s="52"/>
    </row>
    <row r="148" spans="1:9" x14ac:dyDescent="0.25">
      <c r="A148" s="51">
        <v>46168</v>
      </c>
      <c r="B148" s="52"/>
      <c r="C148" s="52"/>
      <c r="D148" s="52"/>
      <c r="E148" s="52"/>
      <c r="F148" s="39"/>
      <c r="G148" s="39"/>
      <c r="H148" s="52"/>
      <c r="I148" s="52"/>
    </row>
    <row r="149" spans="1:9" x14ac:dyDescent="0.25">
      <c r="A149" s="51">
        <v>46169</v>
      </c>
      <c r="B149" s="52"/>
      <c r="C149" s="52"/>
      <c r="D149" s="52"/>
      <c r="E149" s="52"/>
      <c r="F149" s="39"/>
      <c r="G149" s="39"/>
      <c r="H149" s="52"/>
      <c r="I149" s="52"/>
    </row>
    <row r="150" spans="1:9" hidden="1" x14ac:dyDescent="0.25">
      <c r="A150" s="51">
        <v>46170</v>
      </c>
      <c r="B150" s="52"/>
      <c r="C150" s="52"/>
      <c r="D150" s="52"/>
      <c r="E150" s="52"/>
      <c r="F150" s="52"/>
      <c r="G150" s="52"/>
      <c r="H150" s="52"/>
      <c r="I150" s="52"/>
    </row>
    <row r="151" spans="1:9" hidden="1" x14ac:dyDescent="0.25">
      <c r="A151" s="51">
        <v>46171</v>
      </c>
      <c r="B151" s="52"/>
      <c r="C151" s="52"/>
      <c r="D151" s="52"/>
      <c r="E151" s="52"/>
      <c r="F151" s="52"/>
      <c r="G151" s="52"/>
      <c r="H151" s="52"/>
      <c r="I151" s="52"/>
    </row>
    <row r="152" spans="1:9" x14ac:dyDescent="0.25">
      <c r="A152" s="51">
        <v>46172</v>
      </c>
      <c r="B152" s="52"/>
      <c r="C152" s="52"/>
      <c r="D152" s="52"/>
      <c r="E152" s="52"/>
      <c r="F152" s="39"/>
      <c r="G152" s="39"/>
      <c r="H152" s="52"/>
      <c r="I152" s="52"/>
    </row>
    <row r="153" spans="1:9" x14ac:dyDescent="0.25">
      <c r="A153" s="51">
        <v>46173</v>
      </c>
      <c r="B153" s="52"/>
      <c r="C153" s="52"/>
      <c r="D153" s="52"/>
      <c r="E153" s="52"/>
      <c r="F153" s="52"/>
      <c r="G153" s="39"/>
      <c r="H153" s="52"/>
      <c r="I153" s="52"/>
    </row>
    <row r="154" spans="1:9" x14ac:dyDescent="0.25">
      <c r="A154" s="51">
        <v>46174</v>
      </c>
      <c r="B154" s="52"/>
      <c r="C154" s="52"/>
      <c r="D154" s="52"/>
      <c r="E154" s="52"/>
      <c r="F154" s="39"/>
      <c r="G154" s="52"/>
      <c r="H154" s="52"/>
      <c r="I154" s="80"/>
    </row>
    <row r="155" spans="1:9" x14ac:dyDescent="0.25">
      <c r="A155" s="51">
        <v>46175</v>
      </c>
      <c r="B155" s="52"/>
      <c r="C155" s="52"/>
      <c r="D155" s="52"/>
      <c r="E155" s="52"/>
      <c r="F155" s="52"/>
      <c r="G155" s="39"/>
      <c r="H155" s="52"/>
      <c r="I155" s="52"/>
    </row>
    <row r="156" spans="1:9" x14ac:dyDescent="0.25">
      <c r="A156" s="51">
        <v>46176</v>
      </c>
      <c r="B156" s="52"/>
      <c r="C156" s="52"/>
      <c r="D156" s="52"/>
      <c r="E156" s="52"/>
      <c r="F156" s="39"/>
      <c r="G156" s="39"/>
      <c r="H156" s="52"/>
      <c r="I156" s="52"/>
    </row>
    <row r="157" spans="1:9" hidden="1" x14ac:dyDescent="0.25">
      <c r="A157" s="51">
        <v>46177</v>
      </c>
      <c r="B157" s="52"/>
      <c r="C157" s="52"/>
      <c r="D157" s="52"/>
      <c r="E157" s="52"/>
      <c r="F157" s="52"/>
      <c r="G157" s="52"/>
      <c r="H157" s="52"/>
      <c r="I157" s="52"/>
    </row>
    <row r="158" spans="1:9" x14ac:dyDescent="0.25">
      <c r="A158" s="51">
        <v>46178</v>
      </c>
      <c r="B158" s="52"/>
      <c r="C158" s="52"/>
      <c r="D158" s="52"/>
      <c r="E158" s="52"/>
      <c r="F158" s="52"/>
      <c r="G158" s="52"/>
      <c r="H158" s="52"/>
      <c r="I158" s="52"/>
    </row>
    <row r="159" spans="1:9" x14ac:dyDescent="0.25">
      <c r="A159" s="51">
        <v>46179</v>
      </c>
      <c r="B159" s="52"/>
      <c r="C159" s="52"/>
      <c r="D159" s="52"/>
      <c r="E159" s="52"/>
      <c r="F159" s="52"/>
      <c r="G159" s="52"/>
      <c r="H159" s="52"/>
      <c r="I159" s="52"/>
    </row>
    <row r="160" spans="1:9" x14ac:dyDescent="0.25">
      <c r="A160" s="51">
        <v>46180</v>
      </c>
      <c r="B160" s="52"/>
      <c r="C160" s="52"/>
      <c r="D160" s="52"/>
      <c r="E160" s="52"/>
      <c r="F160" s="39"/>
      <c r="G160" s="39"/>
      <c r="H160" s="52"/>
      <c r="I160" s="52"/>
    </row>
    <row r="161" spans="1:9" x14ac:dyDescent="0.25">
      <c r="A161" s="51">
        <v>46181</v>
      </c>
      <c r="B161" s="52"/>
      <c r="C161" s="52"/>
      <c r="D161" s="52"/>
      <c r="E161" s="52"/>
      <c r="F161" s="52"/>
      <c r="G161" s="52"/>
      <c r="H161" s="52"/>
      <c r="I161" s="52"/>
    </row>
    <row r="162" spans="1:9" x14ac:dyDescent="0.25">
      <c r="A162" s="51">
        <v>46182</v>
      </c>
      <c r="B162" s="52"/>
      <c r="C162" s="52"/>
      <c r="D162" s="52"/>
      <c r="E162" s="52"/>
      <c r="F162" s="52"/>
      <c r="G162" s="52"/>
      <c r="H162" s="52"/>
      <c r="I162" s="52"/>
    </row>
    <row r="163" spans="1:9" x14ac:dyDescent="0.25">
      <c r="A163" s="51">
        <v>46183</v>
      </c>
      <c r="B163" s="52"/>
      <c r="C163" s="52"/>
      <c r="D163" s="52"/>
      <c r="E163" s="52"/>
      <c r="F163" s="52"/>
      <c r="G163" s="52"/>
      <c r="H163" s="52"/>
      <c r="I163" s="52"/>
    </row>
    <row r="164" spans="1:9" hidden="1" x14ac:dyDescent="0.25">
      <c r="A164" s="51">
        <v>46184</v>
      </c>
      <c r="B164" s="52"/>
      <c r="C164" s="52"/>
      <c r="D164" s="52"/>
      <c r="E164" s="52"/>
      <c r="F164" s="52"/>
      <c r="G164" s="52"/>
      <c r="H164" s="52"/>
      <c r="I164" s="52"/>
    </row>
    <row r="165" spans="1:9" hidden="1" x14ac:dyDescent="0.25">
      <c r="A165" s="51">
        <v>46185</v>
      </c>
      <c r="B165" s="52"/>
      <c r="C165" s="52"/>
      <c r="D165" s="52"/>
      <c r="E165" s="52"/>
      <c r="F165" s="52"/>
      <c r="G165" s="52"/>
      <c r="H165" s="52"/>
      <c r="I165" s="52"/>
    </row>
    <row r="166" spans="1:9" x14ac:dyDescent="0.25">
      <c r="A166" s="51">
        <v>46186</v>
      </c>
      <c r="B166" s="52"/>
      <c r="C166" s="52"/>
      <c r="D166" s="52"/>
      <c r="E166" s="52"/>
      <c r="F166" s="52"/>
      <c r="G166" s="52"/>
      <c r="H166" s="52"/>
      <c r="I166" s="52"/>
    </row>
    <row r="167" spans="1:9" x14ac:dyDescent="0.25">
      <c r="A167" s="51">
        <v>46187</v>
      </c>
      <c r="B167" s="52"/>
      <c r="C167" s="52"/>
      <c r="D167" s="52"/>
      <c r="E167" s="52"/>
      <c r="F167" s="39"/>
      <c r="G167" s="39"/>
      <c r="H167" s="52"/>
      <c r="I167" s="52"/>
    </row>
    <row r="168" spans="1:9" x14ac:dyDescent="0.25">
      <c r="A168" s="51">
        <v>46188</v>
      </c>
      <c r="B168" s="52"/>
      <c r="C168" s="52"/>
      <c r="D168" s="52"/>
      <c r="E168" s="52"/>
      <c r="F168" s="39"/>
      <c r="G168" s="39"/>
      <c r="H168" s="52"/>
      <c r="I168" s="52"/>
    </row>
    <row r="169" spans="1:9" x14ac:dyDescent="0.25">
      <c r="A169" s="51">
        <v>46189</v>
      </c>
      <c r="B169" s="52"/>
      <c r="C169" s="52"/>
      <c r="D169" s="52"/>
      <c r="E169" s="52"/>
      <c r="F169" s="39"/>
      <c r="G169" s="39"/>
      <c r="H169" s="52"/>
      <c r="I169" s="52"/>
    </row>
    <row r="170" spans="1:9" x14ac:dyDescent="0.25">
      <c r="A170" s="51">
        <v>46190</v>
      </c>
      <c r="B170" s="52"/>
      <c r="C170" s="52"/>
      <c r="D170" s="52"/>
      <c r="E170" s="52"/>
      <c r="F170" s="39"/>
      <c r="G170" s="39"/>
      <c r="H170" s="52"/>
      <c r="I170" s="52"/>
    </row>
    <row r="171" spans="1:9" x14ac:dyDescent="0.25">
      <c r="A171" s="51">
        <v>46191</v>
      </c>
      <c r="B171" s="52"/>
      <c r="C171" s="52"/>
      <c r="D171" s="52"/>
      <c r="E171" s="52"/>
      <c r="F171" s="39"/>
      <c r="G171" s="39"/>
      <c r="H171" s="52"/>
      <c r="I171" s="52"/>
    </row>
    <row r="172" spans="1:9" x14ac:dyDescent="0.25">
      <c r="A172" s="51">
        <v>46192</v>
      </c>
      <c r="B172" s="52"/>
      <c r="C172" s="52"/>
      <c r="D172" s="52"/>
      <c r="E172" s="52"/>
      <c r="F172" s="52"/>
      <c r="G172" s="52"/>
      <c r="H172" s="52"/>
      <c r="I172" s="52"/>
    </row>
    <row r="173" spans="1:9" x14ac:dyDescent="0.25">
      <c r="A173" s="51">
        <v>46193</v>
      </c>
      <c r="B173" s="52"/>
      <c r="C173" s="52"/>
      <c r="D173" s="52"/>
      <c r="E173" s="52"/>
      <c r="F173" s="52"/>
      <c r="G173" s="52"/>
      <c r="H173" s="52"/>
      <c r="I173" s="52"/>
    </row>
    <row r="174" spans="1:9" x14ac:dyDescent="0.25">
      <c r="A174" s="51">
        <v>46194</v>
      </c>
      <c r="B174" s="52"/>
      <c r="C174" s="52"/>
      <c r="D174" s="52"/>
      <c r="E174" s="52"/>
      <c r="F174" s="52"/>
      <c r="G174" s="52"/>
      <c r="H174" s="52"/>
      <c r="I174" s="52"/>
    </row>
    <row r="175" spans="1:9" x14ac:dyDescent="0.25">
      <c r="A175" s="51">
        <v>46195</v>
      </c>
      <c r="B175" s="52"/>
      <c r="C175" s="52"/>
      <c r="D175" s="52"/>
      <c r="E175" s="52"/>
      <c r="F175" s="52"/>
      <c r="G175" s="52"/>
      <c r="H175" s="52"/>
      <c r="I175" s="52"/>
    </row>
    <row r="176" spans="1:9" x14ac:dyDescent="0.25">
      <c r="A176" s="51">
        <v>46196</v>
      </c>
      <c r="B176" s="52"/>
      <c r="C176" s="52"/>
      <c r="D176" s="52"/>
      <c r="E176" s="52"/>
      <c r="F176" s="52"/>
      <c r="G176" s="52"/>
      <c r="H176" s="52"/>
      <c r="I176" s="52"/>
    </row>
    <row r="177" spans="1:12" x14ac:dyDescent="0.25">
      <c r="A177" s="51">
        <v>46197</v>
      </c>
      <c r="B177" s="52"/>
      <c r="C177" s="52"/>
      <c r="D177" s="52"/>
      <c r="E177" s="52"/>
      <c r="F177" s="52"/>
      <c r="G177" s="52"/>
      <c r="H177" s="52"/>
      <c r="I177" s="52"/>
    </row>
    <row r="178" spans="1:12" x14ac:dyDescent="0.25">
      <c r="A178" s="51">
        <v>46198</v>
      </c>
      <c r="B178" s="52"/>
      <c r="C178" s="52"/>
      <c r="D178" s="52"/>
      <c r="E178" s="52"/>
      <c r="F178" s="52"/>
      <c r="G178" s="52"/>
      <c r="H178" s="52"/>
      <c r="I178" s="52"/>
    </row>
    <row r="179" spans="1:12" x14ac:dyDescent="0.25">
      <c r="A179" s="51">
        <v>46199</v>
      </c>
      <c r="B179" s="52"/>
      <c r="C179" s="52"/>
      <c r="D179" s="52"/>
      <c r="E179" s="52"/>
      <c r="F179" s="52"/>
      <c r="G179" s="52"/>
      <c r="H179" s="52"/>
      <c r="I179" s="52"/>
    </row>
    <row r="180" spans="1:12" x14ac:dyDescent="0.25">
      <c r="A180" s="51">
        <v>46200</v>
      </c>
      <c r="B180" s="52"/>
      <c r="C180" s="52"/>
      <c r="D180" s="52"/>
      <c r="E180" s="52"/>
      <c r="F180" s="52"/>
      <c r="G180" s="52"/>
      <c r="H180" s="52"/>
      <c r="I180" s="52"/>
    </row>
    <row r="181" spans="1:12" x14ac:dyDescent="0.25">
      <c r="A181" s="51">
        <v>46201</v>
      </c>
      <c r="B181" s="52"/>
      <c r="C181" s="52"/>
      <c r="D181" s="52"/>
      <c r="E181" s="52"/>
      <c r="F181" s="52"/>
      <c r="G181" s="52"/>
      <c r="H181" s="52"/>
      <c r="I181" s="52"/>
    </row>
    <row r="182" spans="1:12" x14ac:dyDescent="0.25">
      <c r="A182" s="51">
        <v>46202</v>
      </c>
      <c r="B182" s="52"/>
      <c r="C182" s="52"/>
      <c r="D182" s="52"/>
      <c r="E182" s="52"/>
      <c r="F182" s="52"/>
      <c r="G182" s="52"/>
      <c r="H182" s="52"/>
      <c r="I182" s="52"/>
    </row>
    <row r="183" spans="1:12" x14ac:dyDescent="0.25">
      <c r="A183" s="51">
        <v>46203</v>
      </c>
      <c r="B183" s="52"/>
      <c r="C183" s="52"/>
      <c r="D183" s="52"/>
      <c r="E183" s="52"/>
      <c r="F183" s="52"/>
      <c r="G183" s="52"/>
      <c r="H183" s="52"/>
      <c r="I183" s="52"/>
    </row>
    <row r="184" spans="1:12" x14ac:dyDescent="0.25">
      <c r="A184" s="51">
        <v>46204</v>
      </c>
      <c r="B184" s="52"/>
      <c r="C184" s="52"/>
      <c r="D184" s="52"/>
      <c r="E184" s="52"/>
      <c r="F184" s="52"/>
      <c r="G184" s="52"/>
      <c r="H184" s="52"/>
      <c r="I184" s="52"/>
    </row>
    <row r="185" spans="1:12" x14ac:dyDescent="0.25">
      <c r="A185" s="51">
        <v>46205</v>
      </c>
      <c r="B185" s="52"/>
      <c r="C185" s="52"/>
      <c r="D185" s="52"/>
      <c r="E185" s="52"/>
      <c r="F185" s="52"/>
      <c r="G185" s="52"/>
      <c r="H185" s="52"/>
      <c r="I185" s="52"/>
    </row>
    <row r="186" spans="1:12" x14ac:dyDescent="0.25">
      <c r="A186" s="51">
        <v>46206</v>
      </c>
      <c r="B186" s="52"/>
      <c r="C186" s="52"/>
      <c r="D186" s="52"/>
      <c r="E186" s="52"/>
      <c r="F186" s="52"/>
      <c r="G186" s="52"/>
      <c r="H186" s="52"/>
      <c r="I186" s="52"/>
    </row>
    <row r="187" spans="1:12" x14ac:dyDescent="0.25">
      <c r="A187" s="51">
        <v>46207</v>
      </c>
      <c r="B187" s="52"/>
      <c r="C187" s="52"/>
      <c r="D187" s="52"/>
      <c r="E187" s="52"/>
      <c r="F187" s="52"/>
      <c r="G187" s="52"/>
      <c r="H187" s="52"/>
      <c r="I187" s="52"/>
    </row>
    <row r="188" spans="1:12" x14ac:dyDescent="0.25">
      <c r="A188" s="51">
        <v>46208</v>
      </c>
      <c r="B188" s="52"/>
      <c r="C188" s="52"/>
      <c r="D188" s="52"/>
      <c r="E188" s="52"/>
      <c r="F188" s="52"/>
      <c r="G188" s="52"/>
      <c r="H188" s="52"/>
      <c r="I188" s="52"/>
    </row>
    <row r="189" spans="1:12" x14ac:dyDescent="0.25">
      <c r="A189" s="51">
        <v>46209</v>
      </c>
      <c r="B189" s="52"/>
      <c r="C189" s="52"/>
      <c r="D189" s="52"/>
      <c r="E189" s="52"/>
      <c r="F189" s="52"/>
      <c r="G189" s="52"/>
      <c r="H189" s="52"/>
      <c r="I189" s="52"/>
    </row>
    <row r="190" spans="1:12" x14ac:dyDescent="0.25">
      <c r="A190" s="51">
        <v>46210</v>
      </c>
      <c r="B190" s="52"/>
      <c r="C190" s="52"/>
      <c r="D190" s="52"/>
      <c r="E190" s="52"/>
      <c r="F190" s="52"/>
      <c r="G190" s="52"/>
      <c r="H190" s="52"/>
      <c r="I190" s="52"/>
    </row>
    <row r="191" spans="1:12" x14ac:dyDescent="0.25">
      <c r="A191" s="51">
        <v>46211</v>
      </c>
      <c r="B191" s="52"/>
      <c r="C191" s="52"/>
      <c r="D191" s="52"/>
      <c r="E191" s="52"/>
      <c r="F191" s="52"/>
      <c r="G191" s="52"/>
      <c r="H191" s="52"/>
      <c r="I191" s="52"/>
    </row>
    <row r="192" spans="1:12" ht="15.75" thickBot="1" x14ac:dyDescent="0.3">
      <c r="A192" s="57">
        <v>46212</v>
      </c>
      <c r="B192" s="58"/>
      <c r="C192" s="58"/>
      <c r="D192" s="58"/>
      <c r="E192" s="58"/>
      <c r="F192" s="58"/>
      <c r="G192" s="58"/>
      <c r="H192" s="58"/>
      <c r="I192" s="59"/>
      <c r="J192" s="71"/>
      <c r="K192" s="71"/>
      <c r="L192" s="71"/>
    </row>
    <row r="193" spans="1:9" ht="15.75" thickBot="1" x14ac:dyDescent="0.3">
      <c r="A193" s="3">
        <v>46213</v>
      </c>
      <c r="B193" s="6"/>
      <c r="C193" s="6"/>
      <c r="D193" s="35"/>
      <c r="E193" s="6"/>
      <c r="F193" s="6"/>
      <c r="G193" s="6"/>
      <c r="H193" s="6"/>
      <c r="I193" s="28"/>
    </row>
    <row r="194" spans="1:9" ht="15.75" thickBot="1" x14ac:dyDescent="0.3">
      <c r="A194" s="3">
        <v>46214</v>
      </c>
      <c r="B194" s="6"/>
      <c r="C194" s="6"/>
      <c r="D194" s="6"/>
      <c r="E194" s="6"/>
      <c r="F194" s="6"/>
      <c r="G194" s="6"/>
      <c r="H194" s="6"/>
      <c r="I194" s="28"/>
    </row>
    <row r="195" spans="1:9" ht="15.75" thickBot="1" x14ac:dyDescent="0.3">
      <c r="A195" s="3">
        <v>46215</v>
      </c>
      <c r="B195" s="6"/>
      <c r="C195" s="6"/>
      <c r="D195" s="6"/>
      <c r="E195" s="6"/>
      <c r="F195" s="6"/>
      <c r="G195" s="6"/>
      <c r="H195" s="6"/>
      <c r="I195" s="28"/>
    </row>
    <row r="196" spans="1:9" ht="15.75" thickBot="1" x14ac:dyDescent="0.3">
      <c r="A196" s="3">
        <v>46216</v>
      </c>
      <c r="B196" s="6"/>
      <c r="C196" s="6"/>
      <c r="D196" s="6"/>
      <c r="E196" s="6"/>
      <c r="F196" s="5"/>
      <c r="G196" s="4"/>
      <c r="H196" s="6"/>
      <c r="I196" s="28"/>
    </row>
    <row r="197" spans="1:9" ht="15.75" thickBot="1" x14ac:dyDescent="0.3">
      <c r="A197" s="3">
        <v>46217</v>
      </c>
      <c r="B197" s="6"/>
      <c r="C197" s="6"/>
      <c r="D197" s="6"/>
      <c r="E197" s="6"/>
      <c r="F197" s="5"/>
      <c r="G197" s="4"/>
      <c r="H197" s="6"/>
      <c r="I197" s="28"/>
    </row>
    <row r="198" spans="1:9" ht="15.75" thickBot="1" x14ac:dyDescent="0.3">
      <c r="A198" s="3">
        <v>46218</v>
      </c>
      <c r="B198" s="6"/>
      <c r="C198" s="6"/>
      <c r="D198" s="6"/>
      <c r="E198" s="6"/>
      <c r="F198" s="5"/>
      <c r="G198" s="4"/>
      <c r="H198" s="6"/>
      <c r="I198" s="28"/>
    </row>
    <row r="199" spans="1:9" ht="15.75" thickBot="1" x14ac:dyDescent="0.3">
      <c r="A199" s="3">
        <v>46219</v>
      </c>
      <c r="B199" s="6"/>
      <c r="C199" s="6"/>
      <c r="D199" s="6"/>
      <c r="E199" s="6"/>
      <c r="F199" s="5"/>
      <c r="G199" s="4"/>
      <c r="H199" s="6"/>
      <c r="I199" s="28"/>
    </row>
    <row r="200" spans="1:9" ht="15.75" thickBot="1" x14ac:dyDescent="0.3">
      <c r="A200" s="3">
        <v>46220</v>
      </c>
      <c r="B200" s="6"/>
      <c r="C200" s="6"/>
      <c r="D200" s="6"/>
      <c r="E200" s="6"/>
      <c r="F200" s="36"/>
      <c r="G200" s="36"/>
      <c r="H200" s="7"/>
      <c r="I200" s="28"/>
    </row>
    <row r="201" spans="1:9" ht="15.75" thickBot="1" x14ac:dyDescent="0.3">
      <c r="A201" s="3">
        <v>46221</v>
      </c>
      <c r="B201" s="6"/>
      <c r="C201" s="6"/>
      <c r="D201" s="6"/>
      <c r="E201" s="6"/>
      <c r="F201" s="36"/>
      <c r="G201" s="36"/>
      <c r="H201" s="7"/>
      <c r="I201" s="28"/>
    </row>
    <row r="202" spans="1:9" ht="15.75" thickBot="1" x14ac:dyDescent="0.3">
      <c r="A202" s="3">
        <v>46222</v>
      </c>
      <c r="B202" s="6"/>
      <c r="C202" s="6"/>
      <c r="D202" s="6"/>
      <c r="E202" s="6"/>
      <c r="F202" s="5"/>
      <c r="G202" s="4"/>
      <c r="H202" s="6"/>
      <c r="I202" s="28"/>
    </row>
    <row r="203" spans="1:9" ht="15.75" thickBot="1" x14ac:dyDescent="0.3">
      <c r="A203" s="3">
        <v>46223</v>
      </c>
      <c r="B203" s="6"/>
      <c r="C203" s="6"/>
      <c r="D203" s="6"/>
      <c r="E203" s="6"/>
      <c r="F203" s="5"/>
      <c r="G203" s="4"/>
      <c r="H203" s="6"/>
      <c r="I203" s="28"/>
    </row>
    <row r="204" spans="1:9" ht="15.75" thickBot="1" x14ac:dyDescent="0.3">
      <c r="A204" s="3">
        <v>46224</v>
      </c>
      <c r="B204" s="6"/>
      <c r="C204" s="6"/>
      <c r="D204" s="6"/>
      <c r="E204" s="6"/>
      <c r="F204" s="5"/>
      <c r="G204" s="4"/>
      <c r="H204" s="6"/>
      <c r="I204" s="28"/>
    </row>
    <row r="205" spans="1:9" ht="15.75" thickBot="1" x14ac:dyDescent="0.3">
      <c r="A205" s="3">
        <v>46225</v>
      </c>
      <c r="B205" s="6"/>
      <c r="C205" s="6"/>
      <c r="D205" s="6"/>
      <c r="E205" s="6"/>
      <c r="F205" s="5"/>
      <c r="G205" s="4"/>
      <c r="H205" s="6"/>
      <c r="I205" s="28"/>
    </row>
    <row r="206" spans="1:9" ht="15.75" thickBot="1" x14ac:dyDescent="0.3">
      <c r="A206" s="3">
        <v>46226</v>
      </c>
      <c r="B206" s="6"/>
      <c r="C206" s="6"/>
      <c r="D206" s="6"/>
      <c r="E206" s="6"/>
      <c r="F206" s="5"/>
      <c r="G206" s="4"/>
      <c r="H206" s="6"/>
      <c r="I206" s="28"/>
    </row>
    <row r="207" spans="1:9" ht="15.75" thickBot="1" x14ac:dyDescent="0.3">
      <c r="A207" s="3">
        <v>46227</v>
      </c>
      <c r="B207" s="6"/>
      <c r="C207" s="6"/>
      <c r="D207" s="6"/>
      <c r="E207" s="6"/>
      <c r="F207" s="36"/>
      <c r="G207" s="4"/>
      <c r="H207" s="6"/>
      <c r="I207" s="28"/>
    </row>
    <row r="208" spans="1:9" ht="15.75" thickBot="1" x14ac:dyDescent="0.3">
      <c r="A208" s="3">
        <v>46228</v>
      </c>
      <c r="B208" s="6"/>
      <c r="C208" s="6"/>
      <c r="D208" s="6"/>
      <c r="E208" s="6"/>
      <c r="F208" s="5"/>
      <c r="G208" s="4"/>
      <c r="H208" s="6"/>
      <c r="I208" s="28"/>
    </row>
    <row r="209" spans="1:13" ht="15.75" thickBot="1" x14ac:dyDescent="0.3">
      <c r="A209" s="3">
        <v>46229</v>
      </c>
      <c r="B209" s="6"/>
      <c r="C209" s="6"/>
      <c r="D209" s="6"/>
      <c r="E209" s="6"/>
      <c r="F209" s="5"/>
      <c r="G209" s="4"/>
      <c r="H209" s="6"/>
      <c r="I209" s="28"/>
    </row>
    <row r="210" spans="1:13" ht="15.75" thickBot="1" x14ac:dyDescent="0.3">
      <c r="A210" s="3">
        <v>46230</v>
      </c>
      <c r="B210" s="6"/>
      <c r="C210" s="6"/>
      <c r="D210" s="6"/>
      <c r="E210" s="6"/>
      <c r="F210" s="6"/>
      <c r="G210" s="6"/>
      <c r="H210" s="6"/>
      <c r="I210" s="28"/>
    </row>
    <row r="211" spans="1:13" ht="15.75" thickBot="1" x14ac:dyDescent="0.3">
      <c r="A211" s="3">
        <v>46231</v>
      </c>
      <c r="B211" s="6"/>
      <c r="C211" s="6"/>
      <c r="D211" s="6"/>
      <c r="E211" s="6"/>
      <c r="F211" s="6"/>
      <c r="G211" s="6"/>
      <c r="H211" s="6"/>
      <c r="I211" s="28"/>
    </row>
    <row r="212" spans="1:13" ht="15.75" thickBot="1" x14ac:dyDescent="0.3">
      <c r="A212" s="3">
        <v>46232</v>
      </c>
      <c r="B212" s="6"/>
      <c r="C212" s="6"/>
      <c r="D212" s="6"/>
      <c r="E212" s="6"/>
      <c r="F212" s="6"/>
      <c r="G212" s="6"/>
      <c r="H212" s="6"/>
      <c r="I212" s="28"/>
    </row>
    <row r="213" spans="1:13" ht="15.75" thickBot="1" x14ac:dyDescent="0.3">
      <c r="A213" s="3">
        <v>46233</v>
      </c>
      <c r="B213" s="6"/>
      <c r="C213" s="6"/>
      <c r="D213" s="6"/>
      <c r="E213" s="6"/>
      <c r="F213" s="6"/>
      <c r="G213" s="6"/>
      <c r="H213" s="6"/>
      <c r="I213" s="28"/>
    </row>
    <row r="214" spans="1:13" ht="15.75" thickBot="1" x14ac:dyDescent="0.3">
      <c r="A214" s="3">
        <v>46234</v>
      </c>
      <c r="B214" s="6"/>
      <c r="C214" s="6"/>
      <c r="D214" s="6"/>
      <c r="E214" s="6"/>
      <c r="F214" s="6"/>
      <c r="G214" s="6"/>
      <c r="H214" s="6"/>
      <c r="I214" s="28"/>
    </row>
    <row r="215" spans="1:13" ht="15.75" thickBot="1" x14ac:dyDescent="0.3">
      <c r="A215" s="3">
        <v>46235</v>
      </c>
      <c r="B215" s="6"/>
      <c r="C215" s="6"/>
      <c r="D215" s="6"/>
      <c r="E215" s="6"/>
      <c r="F215" s="6"/>
      <c r="G215" s="6"/>
      <c r="H215" s="6"/>
      <c r="I215" s="28"/>
    </row>
    <row r="216" spans="1:13" ht="15.75" thickBot="1" x14ac:dyDescent="0.3">
      <c r="A216" s="3">
        <v>46236</v>
      </c>
      <c r="B216" s="6"/>
      <c r="C216" s="6"/>
      <c r="D216" s="6"/>
      <c r="E216" s="6"/>
      <c r="F216" s="6"/>
      <c r="G216" s="6"/>
      <c r="H216" s="6"/>
      <c r="I216" s="28"/>
    </row>
    <row r="217" spans="1:13" s="34" customFormat="1" ht="15.75" thickBot="1" x14ac:dyDescent="0.3">
      <c r="A217" s="3">
        <v>46237</v>
      </c>
      <c r="B217" s="37"/>
      <c r="C217" s="37"/>
      <c r="D217" s="6"/>
      <c r="E217" s="37"/>
      <c r="F217" s="37"/>
      <c r="G217" s="37"/>
      <c r="H217" s="37"/>
      <c r="I217" s="40"/>
      <c r="J217" s="44"/>
      <c r="K217" s="69"/>
      <c r="L217" s="69"/>
      <c r="M217" s="69"/>
    </row>
    <row r="218" spans="1:13" ht="15.75" thickBot="1" x14ac:dyDescent="0.3">
      <c r="A218" s="3">
        <v>46238</v>
      </c>
      <c r="B218" s="6"/>
      <c r="C218" s="37"/>
      <c r="D218" s="6"/>
      <c r="E218" s="6"/>
      <c r="F218" s="6"/>
      <c r="G218" s="6"/>
      <c r="H218" s="6"/>
      <c r="I218" s="28"/>
    </row>
    <row r="219" spans="1:13" ht="15.75" thickBot="1" x14ac:dyDescent="0.3">
      <c r="A219" s="3">
        <v>46239</v>
      </c>
      <c r="B219" s="6"/>
      <c r="C219" s="37"/>
      <c r="D219" s="6"/>
      <c r="E219" s="6"/>
      <c r="F219" s="6"/>
      <c r="G219" s="6"/>
      <c r="H219" s="6"/>
      <c r="I219" s="28"/>
    </row>
    <row r="220" spans="1:13" ht="15.75" thickBot="1" x14ac:dyDescent="0.3">
      <c r="A220" s="3">
        <v>46240</v>
      </c>
      <c r="B220" s="6"/>
      <c r="C220" s="37"/>
      <c r="D220" s="6"/>
      <c r="E220" s="6"/>
      <c r="F220" s="6"/>
      <c r="G220" s="6"/>
      <c r="H220" s="6"/>
      <c r="I220" s="28"/>
    </row>
    <row r="221" spans="1:13" ht="15.75" thickBot="1" x14ac:dyDescent="0.3">
      <c r="A221" s="3">
        <v>46241</v>
      </c>
      <c r="B221" s="6"/>
      <c r="C221" s="37"/>
      <c r="D221" s="6"/>
      <c r="E221" s="6"/>
      <c r="F221" s="6"/>
      <c r="G221" s="6"/>
      <c r="H221" s="6"/>
      <c r="I221" s="28"/>
    </row>
    <row r="222" spans="1:13" ht="15.75" thickBot="1" x14ac:dyDescent="0.3">
      <c r="A222" s="3">
        <v>46242</v>
      </c>
      <c r="B222" s="6"/>
      <c r="C222" s="37"/>
      <c r="D222" s="6"/>
      <c r="E222" s="6"/>
      <c r="F222" s="6"/>
      <c r="G222" s="6"/>
      <c r="H222" s="6"/>
      <c r="I222" s="28"/>
    </row>
    <row r="223" spans="1:13" ht="15.75" thickBot="1" x14ac:dyDescent="0.3">
      <c r="A223" s="3">
        <v>46243</v>
      </c>
      <c r="B223" s="6"/>
      <c r="C223" s="37"/>
      <c r="D223" s="6"/>
      <c r="E223" s="6"/>
      <c r="F223" s="6"/>
      <c r="G223" s="6"/>
      <c r="H223" s="6"/>
      <c r="I223" s="28"/>
    </row>
    <row r="224" spans="1:13" ht="15.75" thickBot="1" x14ac:dyDescent="0.3">
      <c r="A224" s="3">
        <v>46244</v>
      </c>
      <c r="B224" s="6"/>
      <c r="C224" s="37"/>
      <c r="D224" s="6"/>
      <c r="E224" s="6"/>
      <c r="F224" s="6"/>
      <c r="G224" s="6"/>
      <c r="H224" s="6"/>
      <c r="I224" s="28"/>
    </row>
    <row r="225" spans="1:9" ht="15.75" thickBot="1" x14ac:dyDescent="0.3">
      <c r="A225" s="3">
        <v>46245</v>
      </c>
      <c r="B225" s="6"/>
      <c r="C225" s="37"/>
      <c r="D225" s="6"/>
      <c r="E225" s="6"/>
      <c r="F225" s="6"/>
      <c r="G225" s="6"/>
      <c r="H225" s="6"/>
      <c r="I225" s="28"/>
    </row>
    <row r="226" spans="1:9" ht="15.75" thickBot="1" x14ac:dyDescent="0.3">
      <c r="A226" s="3">
        <v>46246</v>
      </c>
      <c r="B226" s="6"/>
      <c r="C226" s="37"/>
      <c r="D226" s="6"/>
      <c r="E226" s="6"/>
      <c r="F226" s="6"/>
      <c r="G226" s="6"/>
      <c r="H226" s="6"/>
      <c r="I226" s="28"/>
    </row>
    <row r="227" spans="1:9" ht="15.75" thickBot="1" x14ac:dyDescent="0.3">
      <c r="A227" s="3">
        <v>46247</v>
      </c>
      <c r="B227" s="6"/>
      <c r="C227" s="37"/>
      <c r="D227" s="6"/>
      <c r="E227" s="6"/>
      <c r="F227" s="6"/>
      <c r="G227" s="6"/>
      <c r="H227" s="6"/>
      <c r="I227" s="28"/>
    </row>
    <row r="228" spans="1:9" ht="15.75" thickBot="1" x14ac:dyDescent="0.3">
      <c r="A228" s="3">
        <v>46248</v>
      </c>
      <c r="B228" s="6"/>
      <c r="C228" s="37"/>
      <c r="D228" s="6"/>
      <c r="E228" s="6"/>
      <c r="F228" s="6"/>
      <c r="G228" s="6"/>
      <c r="H228" s="6"/>
      <c r="I228" s="28"/>
    </row>
    <row r="229" spans="1:9" ht="15.75" thickBot="1" x14ac:dyDescent="0.3">
      <c r="A229" s="3">
        <v>46249</v>
      </c>
      <c r="B229" s="6"/>
      <c r="C229" s="37"/>
      <c r="D229" s="6"/>
      <c r="E229" s="6"/>
      <c r="F229" s="6"/>
      <c r="G229" s="6"/>
      <c r="H229" s="6"/>
      <c r="I229" s="28"/>
    </row>
    <row r="230" spans="1:9" ht="15.75" thickBot="1" x14ac:dyDescent="0.3">
      <c r="A230" s="3">
        <v>46250</v>
      </c>
      <c r="B230" s="6"/>
      <c r="C230" s="37"/>
      <c r="D230" s="6"/>
      <c r="E230" s="6"/>
      <c r="F230" s="6"/>
      <c r="G230" s="6"/>
      <c r="H230" s="6"/>
      <c r="I230" s="28"/>
    </row>
    <row r="231" spans="1:9" ht="15.75" thickBot="1" x14ac:dyDescent="0.3">
      <c r="A231" s="3">
        <v>46251</v>
      </c>
      <c r="B231" s="6"/>
      <c r="C231" s="37"/>
      <c r="D231" s="6"/>
      <c r="E231" s="6"/>
      <c r="F231" s="6"/>
      <c r="G231" s="6"/>
      <c r="H231" s="6"/>
      <c r="I231" s="28"/>
    </row>
    <row r="232" spans="1:9" ht="15.75" thickBot="1" x14ac:dyDescent="0.3">
      <c r="A232" s="3">
        <v>46252</v>
      </c>
      <c r="B232" s="6"/>
      <c r="C232" s="37"/>
      <c r="D232" s="6"/>
      <c r="E232" s="6"/>
      <c r="F232" s="6"/>
      <c r="G232" s="6"/>
      <c r="H232" s="6"/>
      <c r="I232" s="28"/>
    </row>
    <row r="233" spans="1:9" ht="15.75" thickBot="1" x14ac:dyDescent="0.3">
      <c r="A233" s="3">
        <v>46253</v>
      </c>
      <c r="B233" s="6"/>
      <c r="C233" s="37"/>
      <c r="D233" s="6"/>
      <c r="E233" s="6"/>
      <c r="F233" s="6"/>
      <c r="G233" s="6"/>
      <c r="H233" s="6"/>
      <c r="I233" s="28"/>
    </row>
    <row r="234" spans="1:9" ht="15.75" thickBot="1" x14ac:dyDescent="0.3">
      <c r="A234" s="3">
        <v>46254</v>
      </c>
      <c r="B234" s="6"/>
      <c r="C234" s="37"/>
      <c r="D234" s="6"/>
      <c r="E234" s="6"/>
      <c r="F234" s="6"/>
      <c r="G234" s="6"/>
      <c r="H234" s="6"/>
      <c r="I234" s="28"/>
    </row>
    <row r="235" spans="1:9" ht="15.75" thickBot="1" x14ac:dyDescent="0.3">
      <c r="A235" s="3">
        <v>46255</v>
      </c>
      <c r="B235" s="6"/>
      <c r="C235" s="37"/>
      <c r="D235" s="6"/>
      <c r="E235" s="6"/>
      <c r="F235" s="6"/>
      <c r="G235" s="6"/>
      <c r="H235" s="6"/>
      <c r="I235" s="28"/>
    </row>
    <row r="236" spans="1:9" ht="15.75" thickBot="1" x14ac:dyDescent="0.3">
      <c r="A236" s="3">
        <v>46256</v>
      </c>
      <c r="B236" s="6"/>
      <c r="C236" s="37"/>
      <c r="D236" s="6"/>
      <c r="E236" s="6"/>
      <c r="F236" s="6"/>
      <c r="G236" s="6"/>
      <c r="H236" s="6"/>
      <c r="I236" s="28"/>
    </row>
    <row r="237" spans="1:9" ht="15.75" thickBot="1" x14ac:dyDescent="0.3">
      <c r="A237" s="3">
        <v>46257</v>
      </c>
      <c r="B237" s="6"/>
      <c r="C237" s="37"/>
      <c r="D237" s="6"/>
      <c r="E237" s="6"/>
      <c r="F237" s="6"/>
      <c r="G237" s="6"/>
      <c r="H237" s="6"/>
      <c r="I237" s="28"/>
    </row>
    <row r="238" spans="1:9" ht="15.75" thickBot="1" x14ac:dyDescent="0.3">
      <c r="A238" s="3">
        <v>46258</v>
      </c>
      <c r="B238" s="6"/>
      <c r="C238" s="37"/>
      <c r="D238" s="6"/>
      <c r="E238" s="6"/>
      <c r="F238" s="6"/>
      <c r="G238" s="6"/>
      <c r="H238" s="6"/>
      <c r="I238" s="28"/>
    </row>
    <row r="239" spans="1:9" ht="15.75" thickBot="1" x14ac:dyDescent="0.3">
      <c r="A239" s="3">
        <v>46259</v>
      </c>
      <c r="B239" s="6"/>
      <c r="C239" s="37"/>
      <c r="D239" s="6"/>
      <c r="E239" s="6"/>
      <c r="F239" s="6"/>
      <c r="G239" s="6"/>
      <c r="H239" s="6"/>
      <c r="I239" s="28"/>
    </row>
    <row r="240" spans="1:9" ht="15.75" thickBot="1" x14ac:dyDescent="0.3">
      <c r="A240" s="3">
        <v>46260</v>
      </c>
      <c r="B240" s="6"/>
      <c r="C240" s="37"/>
      <c r="D240" s="6"/>
      <c r="E240" s="6"/>
      <c r="F240" s="6"/>
      <c r="G240" s="6"/>
      <c r="H240" s="6"/>
      <c r="I240" s="28"/>
    </row>
    <row r="241" spans="1:9" ht="15.75" thickBot="1" x14ac:dyDescent="0.3">
      <c r="A241" s="3">
        <v>46261</v>
      </c>
      <c r="B241" s="6"/>
      <c r="C241" s="37"/>
      <c r="D241" s="6"/>
      <c r="E241" s="6"/>
      <c r="F241" s="6"/>
      <c r="G241" s="6"/>
      <c r="H241" s="6"/>
      <c r="I241" s="28"/>
    </row>
    <row r="242" spans="1:9" ht="15.75" thickBot="1" x14ac:dyDescent="0.3">
      <c r="A242" s="3">
        <v>46262</v>
      </c>
      <c r="B242" s="6"/>
      <c r="C242" s="37"/>
      <c r="D242" s="6"/>
      <c r="E242" s="6"/>
      <c r="F242" s="6"/>
      <c r="G242" s="6"/>
      <c r="H242" s="6"/>
      <c r="I242" s="28"/>
    </row>
    <row r="243" spans="1:9" ht="15.75" thickBot="1" x14ac:dyDescent="0.3">
      <c r="A243" s="3">
        <v>46263</v>
      </c>
      <c r="B243" s="6"/>
      <c r="C243" s="37"/>
      <c r="D243" s="6"/>
      <c r="E243" s="6"/>
      <c r="F243" s="6"/>
      <c r="G243" s="6"/>
      <c r="H243" s="6"/>
      <c r="I243" s="28"/>
    </row>
    <row r="244" spans="1:9" ht="15.75" thickBot="1" x14ac:dyDescent="0.3">
      <c r="A244" s="3">
        <v>46264</v>
      </c>
      <c r="B244" s="6"/>
      <c r="C244" s="37"/>
      <c r="D244" s="6"/>
      <c r="E244" s="6"/>
      <c r="F244" s="6"/>
      <c r="G244" s="6"/>
      <c r="H244" s="6"/>
      <c r="I244" s="28"/>
    </row>
    <row r="245" spans="1:9" ht="15.75" thickBot="1" x14ac:dyDescent="0.3">
      <c r="A245" s="3">
        <v>46265</v>
      </c>
      <c r="B245" s="6"/>
      <c r="C245" s="37"/>
      <c r="D245" s="6"/>
      <c r="E245" s="6"/>
      <c r="F245" s="6"/>
      <c r="G245" s="6"/>
      <c r="H245" s="6"/>
      <c r="I245" s="28"/>
    </row>
    <row r="246" spans="1:9" ht="15.75" thickBot="1" x14ac:dyDescent="0.3">
      <c r="A246" s="3">
        <v>46266</v>
      </c>
      <c r="B246" s="6"/>
      <c r="C246" s="37"/>
      <c r="D246" s="6"/>
      <c r="E246" s="6"/>
      <c r="F246" s="6"/>
      <c r="G246" s="6"/>
      <c r="H246" s="6"/>
      <c r="I246" s="28"/>
    </row>
    <row r="247" spans="1:9" ht="15.75" thickBot="1" x14ac:dyDescent="0.3">
      <c r="A247" s="3"/>
      <c r="B247" s="6"/>
      <c r="C247" s="37"/>
      <c r="D247" s="6"/>
      <c r="E247" s="6"/>
      <c r="F247" s="6"/>
      <c r="G247" s="6"/>
      <c r="H247" s="6"/>
      <c r="I247" s="28"/>
    </row>
    <row r="248" spans="1:9" ht="15.75" thickBot="1" x14ac:dyDescent="0.3">
      <c r="A248" s="3"/>
      <c r="B248" s="6"/>
      <c r="C248" s="37"/>
      <c r="D248" s="6"/>
      <c r="E248" s="6"/>
      <c r="F248" s="6"/>
      <c r="G248" s="6"/>
      <c r="H248" s="6"/>
      <c r="I248" s="28"/>
    </row>
    <row r="249" spans="1:9" ht="15.75" thickBot="1" x14ac:dyDescent="0.3">
      <c r="A249" s="3"/>
      <c r="B249" s="6"/>
      <c r="C249" s="37"/>
      <c r="D249" s="6"/>
      <c r="E249" s="6"/>
      <c r="F249" s="6"/>
      <c r="G249" s="6"/>
      <c r="H249" s="6"/>
      <c r="I249" s="28"/>
    </row>
    <row r="250" spans="1:9" ht="15.75" thickBot="1" x14ac:dyDescent="0.3">
      <c r="A250" s="3"/>
      <c r="B250" s="6"/>
      <c r="C250" s="37"/>
      <c r="D250" s="6"/>
      <c r="E250" s="6"/>
      <c r="F250" s="6"/>
      <c r="G250" s="6"/>
      <c r="H250" s="6"/>
      <c r="I250" s="28"/>
    </row>
    <row r="251" spans="1:9" ht="15.75" thickBot="1" x14ac:dyDescent="0.3">
      <c r="A251" s="3"/>
      <c r="B251" s="6"/>
      <c r="C251" s="37"/>
      <c r="D251" s="6"/>
      <c r="E251" s="6"/>
      <c r="F251" s="6"/>
      <c r="G251" s="6"/>
      <c r="H251" s="6"/>
      <c r="I251" s="28"/>
    </row>
    <row r="252" spans="1:9" ht="15.75" thickBot="1" x14ac:dyDescent="0.3">
      <c r="A252" s="3"/>
      <c r="B252" s="6"/>
      <c r="C252" s="37"/>
      <c r="D252" s="6"/>
      <c r="E252" s="6"/>
      <c r="F252" s="6"/>
      <c r="G252" s="6"/>
      <c r="H252" s="6"/>
      <c r="I252" s="28"/>
    </row>
    <row r="253" spans="1:9" ht="15.75" thickBot="1" x14ac:dyDescent="0.3">
      <c r="A253" s="3"/>
      <c r="B253" s="6"/>
      <c r="C253" s="37"/>
      <c r="D253" s="6"/>
      <c r="E253" s="6"/>
      <c r="F253" s="6"/>
      <c r="G253" s="6"/>
      <c r="H253" s="6"/>
      <c r="I253" s="28"/>
    </row>
    <row r="254" spans="1:9" ht="15.75" thickBot="1" x14ac:dyDescent="0.3">
      <c r="A254" s="3"/>
      <c r="B254" s="6"/>
      <c r="C254" s="37"/>
      <c r="D254" s="6"/>
      <c r="E254" s="6"/>
      <c r="F254" s="6"/>
      <c r="G254" s="6"/>
      <c r="H254" s="6"/>
      <c r="I254" s="28"/>
    </row>
    <row r="255" spans="1:9" ht="15.75" thickBot="1" x14ac:dyDescent="0.3">
      <c r="A255" s="3"/>
      <c r="B255" s="6"/>
      <c r="C255" s="37"/>
      <c r="D255" s="6"/>
      <c r="E255" s="6"/>
      <c r="F255" s="6"/>
      <c r="G255" s="6"/>
      <c r="H255" s="6"/>
      <c r="I255" s="28"/>
    </row>
    <row r="256" spans="1:9" ht="15.75" thickBot="1" x14ac:dyDescent="0.3">
      <c r="A256" s="3"/>
      <c r="B256" s="6"/>
      <c r="C256" s="37"/>
      <c r="D256" s="6"/>
      <c r="E256" s="6"/>
      <c r="F256" s="6"/>
      <c r="G256" s="6"/>
      <c r="H256" s="6"/>
      <c r="I256" s="28"/>
    </row>
    <row r="257" spans="1:9" ht="15.75" thickBot="1" x14ac:dyDescent="0.3">
      <c r="A257" s="3"/>
      <c r="B257" s="6"/>
      <c r="C257" s="37"/>
      <c r="D257" s="6"/>
      <c r="E257" s="6"/>
      <c r="F257" s="6"/>
      <c r="G257" s="6"/>
      <c r="H257" s="6"/>
      <c r="I257" s="28"/>
    </row>
    <row r="258" spans="1:9" ht="15.75" thickBot="1" x14ac:dyDescent="0.3">
      <c r="A258" s="3"/>
      <c r="B258" s="6"/>
      <c r="C258" s="37"/>
      <c r="D258" s="6"/>
      <c r="E258" s="6"/>
      <c r="F258" s="6"/>
      <c r="G258" s="6"/>
      <c r="H258" s="6"/>
      <c r="I258" s="28"/>
    </row>
    <row r="259" spans="1:9" ht="15.75" thickBot="1" x14ac:dyDescent="0.3">
      <c r="A259" s="3"/>
      <c r="B259" s="6"/>
      <c r="C259" s="37"/>
      <c r="D259" s="6"/>
      <c r="E259" s="6"/>
      <c r="F259" s="6"/>
      <c r="G259" s="6"/>
      <c r="H259" s="6"/>
      <c r="I259" s="28"/>
    </row>
    <row r="260" spans="1:9" ht="15.75" thickBot="1" x14ac:dyDescent="0.3">
      <c r="A260" s="3"/>
      <c r="B260" s="6"/>
      <c r="C260" s="37"/>
      <c r="D260" s="39"/>
      <c r="E260" s="39"/>
      <c r="F260" s="39"/>
      <c r="G260" s="39"/>
      <c r="H260" s="39"/>
      <c r="I260" s="68"/>
    </row>
    <row r="261" spans="1:9" ht="15.75" thickBot="1" x14ac:dyDescent="0.3">
      <c r="A261" s="3"/>
      <c r="B261" s="6"/>
      <c r="C261" s="37"/>
      <c r="D261" s="39"/>
      <c r="E261" s="39"/>
      <c r="F261" s="39"/>
      <c r="G261" s="39"/>
      <c r="H261" s="39"/>
      <c r="I261" s="68"/>
    </row>
    <row r="262" spans="1:9" ht="15.75" thickBot="1" x14ac:dyDescent="0.3">
      <c r="A262" s="3"/>
      <c r="B262" s="6"/>
      <c r="C262" s="37"/>
      <c r="D262" s="39"/>
      <c r="E262" s="39"/>
      <c r="F262" s="39"/>
      <c r="G262" s="39"/>
      <c r="H262" s="39"/>
      <c r="I262" s="68"/>
    </row>
    <row r="263" spans="1:9" ht="15.75" thickBot="1" x14ac:dyDescent="0.3">
      <c r="A263" s="3"/>
      <c r="B263" s="6"/>
      <c r="C263" s="37"/>
      <c r="D263" s="39"/>
      <c r="E263" s="39"/>
      <c r="F263" s="39"/>
      <c r="G263" s="39"/>
      <c r="H263" s="39"/>
      <c r="I263" s="68"/>
    </row>
    <row r="264" spans="1:9" ht="15.75" thickBot="1" x14ac:dyDescent="0.3">
      <c r="A264" s="3"/>
      <c r="B264" s="6"/>
      <c r="C264" s="37"/>
      <c r="D264" s="39"/>
      <c r="E264" s="39"/>
      <c r="F264" s="39"/>
      <c r="G264" s="39"/>
      <c r="H264" s="39"/>
      <c r="I264" s="68"/>
    </row>
    <row r="265" spans="1:9" ht="15.75" thickBot="1" x14ac:dyDescent="0.3">
      <c r="A265" s="3"/>
      <c r="B265" s="6"/>
      <c r="C265" s="37"/>
      <c r="D265" s="39"/>
      <c r="E265" s="39"/>
      <c r="F265" s="39"/>
      <c r="G265" s="39"/>
      <c r="H265" s="39"/>
      <c r="I265" s="68"/>
    </row>
    <row r="266" spans="1:9" ht="15.75" thickBot="1" x14ac:dyDescent="0.3">
      <c r="A266" s="3"/>
      <c r="B266" s="6"/>
      <c r="C266" s="37"/>
      <c r="D266" s="39"/>
      <c r="E266" s="39"/>
      <c r="F266" s="39"/>
      <c r="G266" s="39"/>
      <c r="H266" s="39"/>
      <c r="I266" s="68"/>
    </row>
    <row r="267" spans="1:9" x14ac:dyDescent="0.25">
      <c r="A267" s="3"/>
      <c r="B267" s="6"/>
      <c r="C267" s="37"/>
      <c r="D267" s="39"/>
      <c r="E267" s="39"/>
      <c r="F267" s="39"/>
      <c r="G267" s="39"/>
      <c r="H267" s="39"/>
      <c r="I267" s="68"/>
    </row>
  </sheetData>
  <mergeCells count="106">
    <mergeCell ref="K108:N108"/>
    <mergeCell ref="K109:N109"/>
    <mergeCell ref="K110:N110"/>
    <mergeCell ref="M91:P91"/>
    <mergeCell ref="J103:M103"/>
    <mergeCell ref="J104:M104"/>
    <mergeCell ref="J105:M105"/>
    <mergeCell ref="J106:M106"/>
    <mergeCell ref="K107:N107"/>
    <mergeCell ref="J96:M96"/>
    <mergeCell ref="J97:M97"/>
    <mergeCell ref="J98:M98"/>
    <mergeCell ref="J99:M99"/>
    <mergeCell ref="J100:M100"/>
    <mergeCell ref="J90:M90"/>
    <mergeCell ref="J92:M92"/>
    <mergeCell ref="J93:M93"/>
    <mergeCell ref="J94:M94"/>
    <mergeCell ref="J95:M95"/>
    <mergeCell ref="J89:M89"/>
    <mergeCell ref="J82:M82"/>
    <mergeCell ref="J83:M83"/>
    <mergeCell ref="J81:M81"/>
    <mergeCell ref="J84:M84"/>
    <mergeCell ref="J85:M85"/>
    <mergeCell ref="J86:M86"/>
    <mergeCell ref="J87:M87"/>
    <mergeCell ref="J88:M88"/>
    <mergeCell ref="J74:M74"/>
    <mergeCell ref="J67:M67"/>
    <mergeCell ref="J68:M68"/>
    <mergeCell ref="J69:M69"/>
    <mergeCell ref="J70:M70"/>
    <mergeCell ref="J71:M71"/>
    <mergeCell ref="J5:M5"/>
    <mergeCell ref="J6:M6"/>
    <mergeCell ref="A1:I1"/>
    <mergeCell ref="J1:N1"/>
    <mergeCell ref="J2:M2"/>
    <mergeCell ref="J3:M3"/>
    <mergeCell ref="J4:M4"/>
    <mergeCell ref="J7:M7"/>
    <mergeCell ref="J14:M14"/>
    <mergeCell ref="J15:M15"/>
    <mergeCell ref="J16:M16"/>
    <mergeCell ref="J10:M10"/>
    <mergeCell ref="J11:M11"/>
    <mergeCell ref="J12:M12"/>
    <mergeCell ref="J17:M17"/>
    <mergeCell ref="J18:M18"/>
    <mergeCell ref="J19:M19"/>
    <mergeCell ref="J20:M20"/>
    <mergeCell ref="J21:M21"/>
    <mergeCell ref="J32:M32"/>
    <mergeCell ref="J33:M33"/>
    <mergeCell ref="J34:M34"/>
    <mergeCell ref="J35:M35"/>
    <mergeCell ref="J36:M36"/>
    <mergeCell ref="J27:M27"/>
    <mergeCell ref="J28:M28"/>
    <mergeCell ref="J29:M29"/>
    <mergeCell ref="J30:M30"/>
    <mergeCell ref="J31:M31"/>
    <mergeCell ref="J22:M22"/>
    <mergeCell ref="J23:M23"/>
    <mergeCell ref="J24:M24"/>
    <mergeCell ref="J25:M25"/>
    <mergeCell ref="J26:M2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77:M77"/>
    <mergeCell ref="J75:M75"/>
    <mergeCell ref="J76:M76"/>
    <mergeCell ref="J78:M78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72:M72"/>
    <mergeCell ref="J73:M73"/>
    <mergeCell ref="J79:M79"/>
    <mergeCell ref="J80:M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41F7-90E3-4F95-BF2B-4C9FFD3B8287}">
  <dimension ref="A3:I74"/>
  <sheetViews>
    <sheetView topLeftCell="B1" zoomScaleNormal="100" workbookViewId="0">
      <selection activeCell="A23" sqref="A23"/>
    </sheetView>
  </sheetViews>
  <sheetFormatPr baseColWidth="10" defaultRowHeight="15" x14ac:dyDescent="0.25"/>
  <cols>
    <col min="1" max="1" width="17.5703125" bestFit="1" customWidth="1"/>
    <col min="2" max="2" width="14.7109375" bestFit="1" customWidth="1"/>
    <col min="3" max="4" width="11.42578125" bestFit="1" customWidth="1"/>
    <col min="5" max="5" width="19.140625" bestFit="1" customWidth="1"/>
    <col min="7" max="7" width="17.5703125" bestFit="1" customWidth="1"/>
    <col min="8" max="8" width="14.7109375" bestFit="1" customWidth="1"/>
  </cols>
  <sheetData>
    <row r="3" spans="1:3" x14ac:dyDescent="0.25">
      <c r="A3" t="s">
        <v>25</v>
      </c>
      <c r="B3" t="s">
        <v>33</v>
      </c>
      <c r="C3" t="s">
        <v>35</v>
      </c>
    </row>
    <row r="4" spans="1:3" x14ac:dyDescent="0.25">
      <c r="A4" s="32">
        <v>45811</v>
      </c>
      <c r="B4">
        <v>31.3</v>
      </c>
      <c r="C4">
        <v>275</v>
      </c>
    </row>
    <row r="5" spans="1:3" x14ac:dyDescent="0.25">
      <c r="A5" s="32">
        <v>45812</v>
      </c>
      <c r="B5">
        <v>31.4</v>
      </c>
      <c r="C5">
        <v>282</v>
      </c>
    </row>
    <row r="6" spans="1:3" x14ac:dyDescent="0.25">
      <c r="A6" s="32">
        <v>45813</v>
      </c>
      <c r="B6">
        <v>31.4</v>
      </c>
      <c r="C6">
        <v>298</v>
      </c>
    </row>
    <row r="7" spans="1:3" x14ac:dyDescent="0.25">
      <c r="A7" s="32">
        <v>45815</v>
      </c>
      <c r="B7">
        <v>30.4</v>
      </c>
      <c r="C7">
        <v>253</v>
      </c>
    </row>
    <row r="8" spans="1:3" x14ac:dyDescent="0.25">
      <c r="A8" s="32">
        <v>45817</v>
      </c>
      <c r="B8">
        <v>31.3</v>
      </c>
      <c r="C8">
        <v>300</v>
      </c>
    </row>
    <row r="9" spans="1:3" x14ac:dyDescent="0.25">
      <c r="A9" s="32">
        <v>45818</v>
      </c>
      <c r="B9">
        <v>31.1</v>
      </c>
      <c r="C9">
        <v>278</v>
      </c>
    </row>
    <row r="10" spans="1:3" x14ac:dyDescent="0.25">
      <c r="A10" s="32">
        <v>45819</v>
      </c>
      <c r="B10">
        <v>31.2</v>
      </c>
      <c r="C10">
        <v>284</v>
      </c>
    </row>
    <row r="11" spans="1:3" x14ac:dyDescent="0.25">
      <c r="A11" s="32">
        <v>45820</v>
      </c>
      <c r="B11">
        <v>31.2</v>
      </c>
      <c r="C11">
        <v>285</v>
      </c>
    </row>
    <row r="12" spans="1:3" x14ac:dyDescent="0.25">
      <c r="A12" s="32">
        <v>45821</v>
      </c>
      <c r="B12">
        <v>33.799999999999997</v>
      </c>
      <c r="C12">
        <v>344</v>
      </c>
    </row>
    <row r="13" spans="1:3" x14ac:dyDescent="0.25">
      <c r="A13" s="32">
        <v>45822</v>
      </c>
      <c r="B13">
        <v>33.299999999999997</v>
      </c>
      <c r="C13">
        <v>365</v>
      </c>
    </row>
    <row r="14" spans="1:3" x14ac:dyDescent="0.25">
      <c r="A14" s="32">
        <v>45824</v>
      </c>
      <c r="B14">
        <v>32.4</v>
      </c>
      <c r="C14">
        <v>361</v>
      </c>
    </row>
    <row r="15" spans="1:3" x14ac:dyDescent="0.25">
      <c r="A15" s="32">
        <v>45825</v>
      </c>
      <c r="B15">
        <v>31.3</v>
      </c>
      <c r="C15">
        <v>327</v>
      </c>
    </row>
    <row r="16" spans="1:3" x14ac:dyDescent="0.25">
      <c r="A16" s="32">
        <v>45826</v>
      </c>
      <c r="B16">
        <v>30.5</v>
      </c>
      <c r="C16">
        <v>351</v>
      </c>
    </row>
    <row r="17" spans="1:3" x14ac:dyDescent="0.25">
      <c r="A17" s="32">
        <v>45827</v>
      </c>
      <c r="B17">
        <v>30.4</v>
      </c>
      <c r="C17">
        <v>343</v>
      </c>
    </row>
    <row r="18" spans="1:3" x14ac:dyDescent="0.25">
      <c r="A18" s="32">
        <v>45828</v>
      </c>
      <c r="B18">
        <v>30.7</v>
      </c>
      <c r="C18">
        <v>378</v>
      </c>
    </row>
    <row r="19" spans="1:3" x14ac:dyDescent="0.25">
      <c r="A19" s="32">
        <v>45829</v>
      </c>
      <c r="B19">
        <v>31.1</v>
      </c>
      <c r="C19">
        <v>384</v>
      </c>
    </row>
    <row r="20" spans="1:3" x14ac:dyDescent="0.25">
      <c r="A20" s="32">
        <v>45832</v>
      </c>
      <c r="B20">
        <v>30.2</v>
      </c>
      <c r="C20">
        <v>410</v>
      </c>
    </row>
    <row r="21" spans="1:3" x14ac:dyDescent="0.25">
      <c r="A21" s="32">
        <v>45833</v>
      </c>
      <c r="B21">
        <v>32.4</v>
      </c>
      <c r="C21">
        <v>380</v>
      </c>
    </row>
    <row r="22" spans="1:3" x14ac:dyDescent="0.25">
      <c r="A22" s="32">
        <v>45834</v>
      </c>
      <c r="B22">
        <v>32.299999999999997</v>
      </c>
      <c r="C22">
        <v>386</v>
      </c>
    </row>
    <row r="23" spans="1:3" x14ac:dyDescent="0.25">
      <c r="A23" s="32">
        <v>45835</v>
      </c>
      <c r="B23">
        <v>25.4</v>
      </c>
      <c r="C23">
        <v>335</v>
      </c>
    </row>
    <row r="24" spans="1:3" x14ac:dyDescent="0.25">
      <c r="A24" s="32">
        <v>45836</v>
      </c>
      <c r="B24">
        <v>32.6</v>
      </c>
      <c r="C24">
        <v>346</v>
      </c>
    </row>
    <row r="25" spans="1:3" x14ac:dyDescent="0.25">
      <c r="A25" s="32">
        <v>45839</v>
      </c>
      <c r="B25">
        <v>25.8</v>
      </c>
      <c r="C25">
        <v>338</v>
      </c>
    </row>
    <row r="26" spans="1:3" x14ac:dyDescent="0.25">
      <c r="A26" s="32">
        <v>45840</v>
      </c>
      <c r="B26">
        <v>25.4</v>
      </c>
      <c r="C26">
        <v>329</v>
      </c>
    </row>
    <row r="27" spans="1:3" x14ac:dyDescent="0.25">
      <c r="A27" s="32">
        <v>45841</v>
      </c>
      <c r="B27">
        <v>26.3</v>
      </c>
      <c r="C27">
        <v>350</v>
      </c>
    </row>
    <row r="28" spans="1:3" x14ac:dyDescent="0.25">
      <c r="A28" s="32">
        <v>45842</v>
      </c>
      <c r="B28">
        <v>25.3</v>
      </c>
      <c r="C28">
        <v>340</v>
      </c>
    </row>
    <row r="29" spans="1:3" x14ac:dyDescent="0.25">
      <c r="A29" s="32">
        <v>45843</v>
      </c>
      <c r="B29">
        <v>22</v>
      </c>
      <c r="C29">
        <v>299</v>
      </c>
    </row>
    <row r="30" spans="1:3" x14ac:dyDescent="0.25">
      <c r="A30" s="32">
        <v>45845</v>
      </c>
      <c r="B30">
        <v>28.3</v>
      </c>
      <c r="C30">
        <v>382</v>
      </c>
    </row>
    <row r="31" spans="1:3" x14ac:dyDescent="0.25">
      <c r="A31" s="32">
        <v>45846</v>
      </c>
      <c r="B31">
        <v>22.4</v>
      </c>
      <c r="C31">
        <v>410</v>
      </c>
    </row>
    <row r="32" spans="1:3" x14ac:dyDescent="0.25">
      <c r="A32" s="32">
        <v>45847</v>
      </c>
      <c r="B32">
        <v>0</v>
      </c>
      <c r="C32">
        <v>0</v>
      </c>
    </row>
    <row r="33" spans="1:9" x14ac:dyDescent="0.25">
      <c r="A33" s="32">
        <v>45848</v>
      </c>
      <c r="B33">
        <v>0</v>
      </c>
      <c r="C33">
        <v>0</v>
      </c>
    </row>
    <row r="34" spans="1:9" x14ac:dyDescent="0.25">
      <c r="A34" s="32">
        <v>45849</v>
      </c>
      <c r="B34">
        <v>0</v>
      </c>
      <c r="C34">
        <v>0</v>
      </c>
    </row>
    <row r="35" spans="1:9" x14ac:dyDescent="0.25">
      <c r="A35" s="32">
        <v>45852</v>
      </c>
      <c r="B35">
        <v>35.9</v>
      </c>
      <c r="C35">
        <v>259</v>
      </c>
    </row>
    <row r="36" spans="1:9" x14ac:dyDescent="0.25">
      <c r="A36" s="31" t="s">
        <v>26</v>
      </c>
      <c r="B36">
        <v>867.09999999999968</v>
      </c>
      <c r="C36">
        <v>9672</v>
      </c>
    </row>
    <row r="41" spans="1:9" x14ac:dyDescent="0.25">
      <c r="G41" t="s">
        <v>25</v>
      </c>
      <c r="H41" t="s">
        <v>34</v>
      </c>
      <c r="I41" t="s">
        <v>36</v>
      </c>
    </row>
    <row r="42" spans="1:9" x14ac:dyDescent="0.25">
      <c r="G42" s="32">
        <v>45811</v>
      </c>
      <c r="H42">
        <v>43.4</v>
      </c>
      <c r="I42">
        <v>273</v>
      </c>
    </row>
    <row r="43" spans="1:9" x14ac:dyDescent="0.25">
      <c r="G43" s="32">
        <v>45812</v>
      </c>
      <c r="H43">
        <v>43.5</v>
      </c>
      <c r="I43">
        <v>291</v>
      </c>
    </row>
    <row r="44" spans="1:9" x14ac:dyDescent="0.25">
      <c r="G44" s="32">
        <v>45813</v>
      </c>
      <c r="H44">
        <v>42.7</v>
      </c>
      <c r="I44">
        <v>276</v>
      </c>
    </row>
    <row r="45" spans="1:9" x14ac:dyDescent="0.25">
      <c r="G45" s="32">
        <v>45815</v>
      </c>
      <c r="H45">
        <v>42.5</v>
      </c>
      <c r="I45">
        <v>279</v>
      </c>
    </row>
    <row r="46" spans="1:9" x14ac:dyDescent="0.25">
      <c r="G46" s="32">
        <v>45817</v>
      </c>
      <c r="H46">
        <v>42.7</v>
      </c>
      <c r="I46">
        <v>292</v>
      </c>
    </row>
    <row r="47" spans="1:9" x14ac:dyDescent="0.25">
      <c r="G47" s="32">
        <v>45818</v>
      </c>
      <c r="H47">
        <v>45</v>
      </c>
      <c r="I47">
        <v>267</v>
      </c>
    </row>
    <row r="48" spans="1:9" x14ac:dyDescent="0.25">
      <c r="G48" s="32">
        <v>45819</v>
      </c>
      <c r="H48">
        <v>45.3</v>
      </c>
      <c r="I48">
        <v>292</v>
      </c>
    </row>
    <row r="49" spans="7:9" x14ac:dyDescent="0.25">
      <c r="G49" s="32">
        <v>45820</v>
      </c>
      <c r="H49">
        <v>45.5</v>
      </c>
      <c r="I49">
        <v>306</v>
      </c>
    </row>
    <row r="50" spans="7:9" x14ac:dyDescent="0.25">
      <c r="G50" s="32">
        <v>45821</v>
      </c>
      <c r="H50">
        <v>43.7</v>
      </c>
      <c r="I50">
        <v>333</v>
      </c>
    </row>
    <row r="51" spans="7:9" x14ac:dyDescent="0.25">
      <c r="G51" s="32">
        <v>45822</v>
      </c>
      <c r="H51">
        <v>36.4</v>
      </c>
      <c r="I51">
        <v>303</v>
      </c>
    </row>
    <row r="52" spans="7:9" x14ac:dyDescent="0.25">
      <c r="G52" s="32">
        <v>45824</v>
      </c>
      <c r="H52">
        <v>41.3</v>
      </c>
      <c r="I52">
        <v>287</v>
      </c>
    </row>
    <row r="53" spans="7:9" x14ac:dyDescent="0.25">
      <c r="G53" s="32">
        <v>45825</v>
      </c>
      <c r="H53">
        <v>41.9</v>
      </c>
      <c r="I53">
        <v>327</v>
      </c>
    </row>
    <row r="54" spans="7:9" x14ac:dyDescent="0.25">
      <c r="G54" s="32">
        <v>45826</v>
      </c>
      <c r="H54">
        <v>41.3</v>
      </c>
      <c r="I54">
        <v>261</v>
      </c>
    </row>
    <row r="55" spans="7:9" x14ac:dyDescent="0.25">
      <c r="G55" s="32">
        <v>45827</v>
      </c>
      <c r="H55">
        <v>41.7</v>
      </c>
      <c r="I55">
        <v>283</v>
      </c>
    </row>
    <row r="56" spans="7:9" x14ac:dyDescent="0.25">
      <c r="G56" s="32">
        <v>45828</v>
      </c>
      <c r="H56">
        <v>41.4</v>
      </c>
      <c r="I56">
        <v>275</v>
      </c>
    </row>
    <row r="57" spans="7:9" x14ac:dyDescent="0.25">
      <c r="G57" s="32">
        <v>45829</v>
      </c>
      <c r="H57">
        <v>43.4</v>
      </c>
      <c r="I57">
        <v>351</v>
      </c>
    </row>
    <row r="58" spans="7:9" x14ac:dyDescent="0.25">
      <c r="G58" s="32">
        <v>45832</v>
      </c>
      <c r="H58">
        <v>45.2</v>
      </c>
      <c r="I58">
        <v>369</v>
      </c>
    </row>
    <row r="59" spans="7:9" x14ac:dyDescent="0.25">
      <c r="G59" s="32">
        <v>45833</v>
      </c>
      <c r="H59">
        <v>44.4</v>
      </c>
      <c r="I59">
        <v>339</v>
      </c>
    </row>
    <row r="60" spans="7:9" x14ac:dyDescent="0.25">
      <c r="G60" s="32">
        <v>45834</v>
      </c>
      <c r="H60">
        <v>43.4</v>
      </c>
      <c r="I60">
        <v>333</v>
      </c>
    </row>
    <row r="61" spans="7:9" x14ac:dyDescent="0.25">
      <c r="G61" s="32">
        <v>45835</v>
      </c>
      <c r="H61">
        <v>44.8</v>
      </c>
      <c r="I61">
        <v>323</v>
      </c>
    </row>
    <row r="62" spans="7:9" x14ac:dyDescent="0.25">
      <c r="G62" s="32">
        <v>45836</v>
      </c>
      <c r="H62">
        <v>47.3</v>
      </c>
      <c r="I62">
        <v>307</v>
      </c>
    </row>
    <row r="63" spans="7:9" x14ac:dyDescent="0.25">
      <c r="G63" s="32">
        <v>45839</v>
      </c>
      <c r="H63">
        <v>44.7</v>
      </c>
      <c r="I63">
        <v>325</v>
      </c>
    </row>
    <row r="64" spans="7:9" x14ac:dyDescent="0.25">
      <c r="G64" s="32">
        <v>45840</v>
      </c>
      <c r="H64">
        <v>43.2</v>
      </c>
      <c r="I64">
        <v>353</v>
      </c>
    </row>
    <row r="65" spans="7:9" x14ac:dyDescent="0.25">
      <c r="G65" s="32">
        <v>45841</v>
      </c>
      <c r="H65">
        <v>42.2</v>
      </c>
      <c r="I65">
        <v>357</v>
      </c>
    </row>
    <row r="66" spans="7:9" x14ac:dyDescent="0.25">
      <c r="G66" s="32">
        <v>45842</v>
      </c>
      <c r="H66">
        <v>44.2</v>
      </c>
      <c r="I66">
        <v>311</v>
      </c>
    </row>
    <row r="67" spans="7:9" x14ac:dyDescent="0.25">
      <c r="G67" s="32">
        <v>45843</v>
      </c>
      <c r="H67">
        <v>47.1</v>
      </c>
      <c r="I67">
        <v>351</v>
      </c>
    </row>
    <row r="68" spans="7:9" x14ac:dyDescent="0.25">
      <c r="G68" s="32">
        <v>45845</v>
      </c>
      <c r="H68">
        <v>46.8</v>
      </c>
      <c r="I68">
        <v>338</v>
      </c>
    </row>
    <row r="69" spans="7:9" x14ac:dyDescent="0.25">
      <c r="G69" s="32">
        <v>45846</v>
      </c>
      <c r="H69">
        <v>40.200000000000003</v>
      </c>
      <c r="I69">
        <v>354</v>
      </c>
    </row>
    <row r="70" spans="7:9" x14ac:dyDescent="0.25">
      <c r="G70" s="32">
        <v>45847</v>
      </c>
      <c r="H70">
        <v>40.700000000000003</v>
      </c>
      <c r="I70">
        <v>327</v>
      </c>
    </row>
    <row r="71" spans="7:9" x14ac:dyDescent="0.25">
      <c r="G71" s="32">
        <v>45848</v>
      </c>
      <c r="H71">
        <v>41.3</v>
      </c>
      <c r="I71">
        <v>371</v>
      </c>
    </row>
    <row r="72" spans="7:9" x14ac:dyDescent="0.25">
      <c r="G72" s="32">
        <v>45849</v>
      </c>
      <c r="H72">
        <v>39.799999999999997</v>
      </c>
      <c r="I72">
        <v>364</v>
      </c>
    </row>
    <row r="73" spans="7:9" x14ac:dyDescent="0.25">
      <c r="G73" s="32">
        <v>45852</v>
      </c>
      <c r="H73">
        <v>35.5</v>
      </c>
      <c r="I73">
        <v>379</v>
      </c>
    </row>
    <row r="74" spans="7:9" x14ac:dyDescent="0.25">
      <c r="G74" s="31" t="s">
        <v>26</v>
      </c>
      <c r="H74">
        <v>1372.4999999999998</v>
      </c>
      <c r="I74">
        <v>10197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D8ACE-B448-4E0A-A213-4DAD83A8FC29}">
  <dimension ref="A1:H64"/>
  <sheetViews>
    <sheetView workbookViewId="0">
      <pane ySplit="1" topLeftCell="A18" activePane="bottomLeft" state="frozen"/>
      <selection pane="bottomLeft" activeCell="E24" sqref="E24"/>
    </sheetView>
  </sheetViews>
  <sheetFormatPr baseColWidth="10" defaultRowHeight="15" x14ac:dyDescent="0.25"/>
  <cols>
    <col min="2" max="2" width="22.28515625" customWidth="1"/>
    <col min="3" max="3" width="12.42578125" customWidth="1"/>
  </cols>
  <sheetData>
    <row r="1" spans="1:8" ht="30.75" thickBot="1" x14ac:dyDescent="0.3">
      <c r="A1" s="11" t="s">
        <v>0</v>
      </c>
      <c r="B1" s="12" t="s">
        <v>16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15</v>
      </c>
    </row>
    <row r="2" spans="1:8" x14ac:dyDescent="0.25">
      <c r="A2" s="22">
        <v>45482</v>
      </c>
      <c r="B2" s="14" t="s">
        <v>3</v>
      </c>
      <c r="C2" s="15">
        <v>17.999999999981735</v>
      </c>
      <c r="D2" s="15">
        <v>379.99999999996703</v>
      </c>
      <c r="E2" s="15">
        <v>1014.9999999999438</v>
      </c>
      <c r="F2" s="15">
        <v>9799.9999999998981</v>
      </c>
      <c r="G2" s="15">
        <v>4279.9999999999727</v>
      </c>
      <c r="H2" s="16">
        <v>30.000000000285354</v>
      </c>
    </row>
    <row r="3" spans="1:8" x14ac:dyDescent="0.25">
      <c r="A3" s="26">
        <v>45482</v>
      </c>
      <c r="B3" s="10" t="s">
        <v>4</v>
      </c>
      <c r="C3" s="9"/>
      <c r="D3" s="9"/>
      <c r="E3" s="9"/>
      <c r="F3" s="9"/>
      <c r="G3" s="9"/>
      <c r="H3" s="17"/>
    </row>
    <row r="4" spans="1:8" x14ac:dyDescent="0.25">
      <c r="A4" s="26">
        <v>45482</v>
      </c>
      <c r="B4" s="10" t="s">
        <v>5</v>
      </c>
      <c r="C4" s="9"/>
      <c r="D4" s="9"/>
      <c r="E4" s="9"/>
      <c r="F4" s="9"/>
      <c r="G4" s="9"/>
      <c r="H4" s="17"/>
    </row>
    <row r="5" spans="1:8" x14ac:dyDescent="0.25">
      <c r="A5" s="26">
        <v>45482</v>
      </c>
      <c r="B5" s="10" t="s">
        <v>1</v>
      </c>
      <c r="C5" s="8">
        <v>888</v>
      </c>
      <c r="D5" s="8">
        <v>369</v>
      </c>
      <c r="E5" s="8">
        <v>377</v>
      </c>
      <c r="F5" s="8">
        <v>179</v>
      </c>
      <c r="G5" s="8">
        <v>119</v>
      </c>
      <c r="H5" s="1">
        <v>111</v>
      </c>
    </row>
    <row r="6" spans="1:8" x14ac:dyDescent="0.25">
      <c r="A6" s="26">
        <v>45482</v>
      </c>
      <c r="B6" s="10" t="s">
        <v>6</v>
      </c>
      <c r="C6" s="8">
        <v>51</v>
      </c>
      <c r="D6" s="8">
        <v>14</v>
      </c>
      <c r="E6" s="8"/>
      <c r="F6" s="8"/>
      <c r="G6" s="8"/>
      <c r="H6" s="1"/>
    </row>
    <row r="7" spans="1:8" x14ac:dyDescent="0.25">
      <c r="A7" s="26">
        <v>45482</v>
      </c>
      <c r="B7" s="10" t="s">
        <v>7</v>
      </c>
      <c r="C7" s="8"/>
      <c r="D7" s="8"/>
      <c r="E7" s="8"/>
      <c r="F7" s="8"/>
      <c r="G7" s="8"/>
      <c r="H7" s="1"/>
    </row>
    <row r="8" spans="1:8" x14ac:dyDescent="0.25">
      <c r="A8" s="26">
        <v>45482</v>
      </c>
      <c r="B8" s="10" t="s">
        <v>8</v>
      </c>
      <c r="C8" s="8">
        <f>C5*(5/100)</f>
        <v>44.400000000000006</v>
      </c>
      <c r="D8" s="8">
        <f>D5*(5/100)</f>
        <v>18.45</v>
      </c>
      <c r="E8" s="8"/>
      <c r="F8" s="8"/>
      <c r="G8" s="8"/>
      <c r="H8" s="1"/>
    </row>
    <row r="9" spans="1:8" x14ac:dyDescent="0.25">
      <c r="A9" s="26">
        <v>45482</v>
      </c>
      <c r="B9" s="10" t="s">
        <v>9</v>
      </c>
      <c r="C9" s="8">
        <f>C5*(1/100)</f>
        <v>8.8800000000000008</v>
      </c>
      <c r="D9" s="8">
        <f>D5*(1/100)</f>
        <v>3.69</v>
      </c>
      <c r="E9" s="8"/>
      <c r="F9" s="8"/>
      <c r="G9" s="8"/>
      <c r="H9" s="1"/>
    </row>
    <row r="10" spans="1:8" ht="15.75" thickBot="1" x14ac:dyDescent="0.3">
      <c r="A10" s="27">
        <v>45482</v>
      </c>
      <c r="B10" s="18" t="s">
        <v>2</v>
      </c>
      <c r="C10" s="19">
        <f>C5*0.6</f>
        <v>532.79999999999995</v>
      </c>
      <c r="D10" s="19">
        <f t="shared" ref="D10:H10" si="0">D5*0.6</f>
        <v>221.4</v>
      </c>
      <c r="E10" s="19">
        <f t="shared" si="0"/>
        <v>226.2</v>
      </c>
      <c r="F10" s="19">
        <f t="shared" si="0"/>
        <v>107.39999999999999</v>
      </c>
      <c r="G10" s="19">
        <f t="shared" si="0"/>
        <v>71.399999999999991</v>
      </c>
      <c r="H10" s="2">
        <f t="shared" si="0"/>
        <v>66.599999999999994</v>
      </c>
    </row>
    <row r="11" spans="1:8" x14ac:dyDescent="0.25">
      <c r="A11" s="161">
        <v>45483</v>
      </c>
      <c r="B11" s="23" t="s">
        <v>3</v>
      </c>
      <c r="C11" s="24">
        <v>56</v>
      </c>
      <c r="D11" s="24">
        <v>1860</v>
      </c>
      <c r="E11" s="24">
        <v>1930</v>
      </c>
      <c r="F11" s="24">
        <v>6350</v>
      </c>
      <c r="G11" s="24">
        <v>3710</v>
      </c>
      <c r="H11" s="25"/>
    </row>
    <row r="12" spans="1:8" x14ac:dyDescent="0.25">
      <c r="A12" s="159"/>
      <c r="B12" s="10" t="s">
        <v>4</v>
      </c>
      <c r="C12" s="9">
        <v>0</v>
      </c>
      <c r="D12" s="9">
        <v>380</v>
      </c>
      <c r="E12" s="9">
        <v>480</v>
      </c>
      <c r="F12" s="9">
        <v>2350</v>
      </c>
      <c r="G12" s="9">
        <v>1070</v>
      </c>
      <c r="H12" s="17"/>
    </row>
    <row r="13" spans="1:8" x14ac:dyDescent="0.25">
      <c r="A13" s="159"/>
      <c r="B13" s="10" t="s">
        <v>5</v>
      </c>
      <c r="C13" s="9">
        <v>56</v>
      </c>
      <c r="D13" s="9">
        <v>1480</v>
      </c>
      <c r="E13" s="9">
        <v>1450</v>
      </c>
      <c r="F13" s="9">
        <v>4000</v>
      </c>
      <c r="G13" s="9">
        <v>2640</v>
      </c>
      <c r="H13" s="17"/>
    </row>
    <row r="14" spans="1:8" x14ac:dyDescent="0.25">
      <c r="A14" s="159"/>
      <c r="B14" s="10" t="s">
        <v>1</v>
      </c>
      <c r="C14" s="8">
        <v>806</v>
      </c>
      <c r="D14" s="8">
        <v>157</v>
      </c>
      <c r="E14" s="8">
        <v>184</v>
      </c>
      <c r="F14" s="8">
        <v>120</v>
      </c>
      <c r="G14" s="8">
        <v>232</v>
      </c>
      <c r="H14" s="1"/>
    </row>
    <row r="15" spans="1:8" x14ac:dyDescent="0.25">
      <c r="A15" s="159"/>
      <c r="B15" s="10" t="s">
        <v>6</v>
      </c>
      <c r="C15" s="8">
        <v>37</v>
      </c>
      <c r="D15" s="8">
        <v>18</v>
      </c>
      <c r="E15" s="8">
        <v>40</v>
      </c>
      <c r="F15" s="8">
        <v>46</v>
      </c>
      <c r="G15" s="8">
        <v>40</v>
      </c>
      <c r="H15" s="1"/>
    </row>
    <row r="16" spans="1:8" x14ac:dyDescent="0.25">
      <c r="A16" s="159"/>
      <c r="B16" s="10" t="s">
        <v>7</v>
      </c>
      <c r="C16" s="8"/>
      <c r="D16" s="8">
        <v>1.9</v>
      </c>
      <c r="E16" s="8"/>
      <c r="F16" s="8"/>
      <c r="G16" s="8"/>
      <c r="H16" s="1"/>
    </row>
    <row r="17" spans="1:8" x14ac:dyDescent="0.25">
      <c r="A17" s="159"/>
      <c r="B17" s="10" t="s">
        <v>8</v>
      </c>
      <c r="C17" s="8">
        <v>40.299999999999997</v>
      </c>
      <c r="D17" s="8">
        <v>7.85</v>
      </c>
      <c r="E17" s="8">
        <v>9.1999999999999993</v>
      </c>
      <c r="F17" s="8">
        <v>6</v>
      </c>
      <c r="G17" s="8">
        <v>11.6</v>
      </c>
      <c r="H17" s="1"/>
    </row>
    <row r="18" spans="1:8" x14ac:dyDescent="0.25">
      <c r="A18" s="159"/>
      <c r="B18" s="10" t="s">
        <v>9</v>
      </c>
      <c r="C18" s="8">
        <v>8.06</v>
      </c>
      <c r="D18" s="8">
        <v>1.57</v>
      </c>
      <c r="E18" s="8">
        <v>1.84</v>
      </c>
      <c r="F18" s="8">
        <v>1.2</v>
      </c>
      <c r="G18" s="8">
        <v>2.3199999999999998</v>
      </c>
      <c r="H18" s="1"/>
    </row>
    <row r="19" spans="1:8" ht="15.75" thickBot="1" x14ac:dyDescent="0.3">
      <c r="A19" s="160"/>
      <c r="B19" s="18" t="s">
        <v>2</v>
      </c>
      <c r="C19" s="19">
        <v>483.6</v>
      </c>
      <c r="D19" s="19">
        <v>94.2</v>
      </c>
      <c r="E19" s="19">
        <f>E14*0.6</f>
        <v>110.39999999999999</v>
      </c>
      <c r="F19" s="19">
        <f>F14*0.6</f>
        <v>72</v>
      </c>
      <c r="G19" s="19">
        <v>139.6</v>
      </c>
      <c r="H19" s="2"/>
    </row>
    <row r="20" spans="1:8" x14ac:dyDescent="0.25">
      <c r="A20" s="158">
        <v>45484</v>
      </c>
      <c r="B20" s="14" t="s">
        <v>3</v>
      </c>
      <c r="C20" s="15">
        <v>45</v>
      </c>
      <c r="D20" s="15"/>
      <c r="E20" s="15"/>
      <c r="F20" s="15"/>
      <c r="G20" s="15"/>
      <c r="H20" s="16">
        <v>17.3</v>
      </c>
    </row>
    <row r="21" spans="1:8" x14ac:dyDescent="0.25">
      <c r="A21" s="159"/>
      <c r="B21" s="10" t="s">
        <v>4</v>
      </c>
      <c r="C21" s="9"/>
      <c r="D21" s="9"/>
      <c r="E21" s="9"/>
      <c r="F21" s="9"/>
      <c r="G21" s="9"/>
      <c r="H21" s="17"/>
    </row>
    <row r="22" spans="1:8" x14ac:dyDescent="0.25">
      <c r="A22" s="159"/>
      <c r="B22" s="10" t="s">
        <v>5</v>
      </c>
      <c r="C22" s="9"/>
      <c r="D22" s="9"/>
      <c r="E22" s="9"/>
      <c r="F22" s="9"/>
      <c r="G22" s="9"/>
      <c r="H22" s="17"/>
    </row>
    <row r="23" spans="1:8" x14ac:dyDescent="0.25">
      <c r="A23" s="159"/>
      <c r="B23" s="10" t="s">
        <v>1</v>
      </c>
      <c r="C23" s="8">
        <v>795</v>
      </c>
      <c r="D23" s="8"/>
      <c r="E23" s="8"/>
      <c r="F23" s="8"/>
      <c r="G23" s="8"/>
      <c r="H23" s="20">
        <v>82</v>
      </c>
    </row>
    <row r="24" spans="1:8" x14ac:dyDescent="0.25">
      <c r="A24" s="159"/>
      <c r="B24" s="10" t="s">
        <v>6</v>
      </c>
      <c r="C24" s="8">
        <v>46</v>
      </c>
      <c r="D24" s="8"/>
      <c r="E24" s="8"/>
      <c r="F24" s="8"/>
      <c r="G24" s="8"/>
      <c r="H24" s="20">
        <v>6</v>
      </c>
    </row>
    <row r="25" spans="1:8" x14ac:dyDescent="0.25">
      <c r="A25" s="159"/>
      <c r="B25" s="10" t="s">
        <v>7</v>
      </c>
      <c r="C25" s="8">
        <v>6</v>
      </c>
      <c r="D25" s="8"/>
      <c r="E25" s="8"/>
      <c r="F25" s="8"/>
      <c r="G25" s="8"/>
      <c r="H25" s="20">
        <v>1.1000000000000001</v>
      </c>
    </row>
    <row r="26" spans="1:8" x14ac:dyDescent="0.25">
      <c r="A26" s="159"/>
      <c r="B26" s="10" t="s">
        <v>8</v>
      </c>
      <c r="C26" s="8"/>
      <c r="D26" s="8"/>
      <c r="E26" s="8"/>
      <c r="F26" s="8"/>
      <c r="G26" s="8"/>
      <c r="H26" s="20"/>
    </row>
    <row r="27" spans="1:8" x14ac:dyDescent="0.25">
      <c r="A27" s="159"/>
      <c r="B27" s="10" t="s">
        <v>9</v>
      </c>
      <c r="C27" s="8"/>
      <c r="D27" s="8"/>
      <c r="E27" s="8"/>
      <c r="F27" s="8"/>
      <c r="G27" s="8"/>
      <c r="H27" s="20"/>
    </row>
    <row r="28" spans="1:8" ht="15.75" thickBot="1" x14ac:dyDescent="0.3">
      <c r="A28" s="160"/>
      <c r="B28" s="18" t="s">
        <v>2</v>
      </c>
      <c r="C28" s="19">
        <f>C23*0.6</f>
        <v>477</v>
      </c>
      <c r="D28" s="19"/>
      <c r="E28" s="19"/>
      <c r="F28" s="19"/>
      <c r="G28" s="19"/>
      <c r="H28" s="21">
        <f>H23*0.6</f>
        <v>49.199999999999996</v>
      </c>
    </row>
    <row r="29" spans="1:8" x14ac:dyDescent="0.25">
      <c r="A29" s="158">
        <v>45497</v>
      </c>
      <c r="B29" s="14" t="s">
        <v>3</v>
      </c>
      <c r="C29" s="15"/>
      <c r="D29" s="15">
        <v>155</v>
      </c>
      <c r="E29" s="15">
        <v>812</v>
      </c>
      <c r="F29" s="15">
        <v>19470</v>
      </c>
      <c r="G29" s="15">
        <v>1460</v>
      </c>
      <c r="H29" s="16">
        <v>5</v>
      </c>
    </row>
    <row r="30" spans="1:8" x14ac:dyDescent="0.25">
      <c r="A30" s="159"/>
      <c r="B30" s="10" t="s">
        <v>4</v>
      </c>
      <c r="C30" s="9"/>
      <c r="D30" s="9"/>
      <c r="E30" s="9"/>
      <c r="F30" s="9"/>
      <c r="G30" s="9"/>
      <c r="H30" s="17"/>
    </row>
    <row r="31" spans="1:8" x14ac:dyDescent="0.25">
      <c r="A31" s="159"/>
      <c r="B31" s="10" t="s">
        <v>5</v>
      </c>
      <c r="C31" s="9"/>
      <c r="D31" s="9"/>
      <c r="E31" s="9"/>
      <c r="F31" s="9"/>
      <c r="G31" s="9"/>
      <c r="H31" s="17"/>
    </row>
    <row r="32" spans="1:8" x14ac:dyDescent="0.25">
      <c r="A32" s="159"/>
      <c r="B32" s="10" t="s">
        <v>1</v>
      </c>
      <c r="C32" s="8"/>
      <c r="D32" s="8"/>
      <c r="E32" s="8"/>
      <c r="F32" s="8"/>
      <c r="G32" s="8"/>
      <c r="H32" s="20"/>
    </row>
    <row r="33" spans="1:8" x14ac:dyDescent="0.25">
      <c r="A33" s="159"/>
      <c r="B33" s="10" t="s">
        <v>6</v>
      </c>
      <c r="C33" s="8"/>
      <c r="D33" s="8"/>
      <c r="E33" s="8"/>
      <c r="F33" s="8"/>
      <c r="G33" s="8"/>
      <c r="H33" s="20"/>
    </row>
    <row r="34" spans="1:8" x14ac:dyDescent="0.25">
      <c r="A34" s="159"/>
      <c r="B34" s="10" t="s">
        <v>7</v>
      </c>
      <c r="C34" s="8"/>
      <c r="D34" s="8"/>
      <c r="E34" s="8"/>
      <c r="F34" s="8"/>
      <c r="G34" s="8"/>
      <c r="H34" s="20"/>
    </row>
    <row r="35" spans="1:8" x14ac:dyDescent="0.25">
      <c r="A35" s="159"/>
      <c r="B35" s="10" t="s">
        <v>8</v>
      </c>
      <c r="C35" s="8"/>
      <c r="D35" s="8"/>
      <c r="E35" s="8"/>
      <c r="F35" s="8"/>
      <c r="G35" s="8"/>
      <c r="H35" s="20"/>
    </row>
    <row r="36" spans="1:8" x14ac:dyDescent="0.25">
      <c r="A36" s="159"/>
      <c r="B36" s="10" t="s">
        <v>9</v>
      </c>
      <c r="C36" s="8"/>
      <c r="D36" s="8"/>
      <c r="E36" s="8"/>
      <c r="F36" s="8"/>
      <c r="G36" s="8"/>
      <c r="H36" s="20"/>
    </row>
    <row r="37" spans="1:8" ht="15.75" thickBot="1" x14ac:dyDescent="0.3">
      <c r="A37" s="160"/>
      <c r="B37" s="18" t="s">
        <v>2</v>
      </c>
      <c r="C37" s="19"/>
      <c r="D37" s="19"/>
      <c r="E37" s="19"/>
      <c r="F37" s="19"/>
      <c r="G37" s="19"/>
      <c r="H37" s="21"/>
    </row>
    <row r="38" spans="1:8" x14ac:dyDescent="0.25">
      <c r="A38" s="158">
        <v>45498</v>
      </c>
      <c r="B38" s="14" t="s">
        <v>3</v>
      </c>
      <c r="C38" s="15"/>
      <c r="D38" s="15">
        <v>1946</v>
      </c>
      <c r="E38" s="15">
        <v>2370</v>
      </c>
      <c r="F38" s="15">
        <v>17035</v>
      </c>
      <c r="G38" s="15">
        <v>1390</v>
      </c>
      <c r="H38" s="16">
        <v>2</v>
      </c>
    </row>
    <row r="39" spans="1:8" x14ac:dyDescent="0.25">
      <c r="A39" s="159"/>
      <c r="B39" s="10" t="s">
        <v>4</v>
      </c>
      <c r="C39" s="9"/>
      <c r="D39" s="9"/>
      <c r="E39" s="9"/>
      <c r="F39" s="9"/>
      <c r="G39" s="9"/>
      <c r="H39" s="17"/>
    </row>
    <row r="40" spans="1:8" x14ac:dyDescent="0.25">
      <c r="A40" s="159"/>
      <c r="B40" s="10" t="s">
        <v>5</v>
      </c>
      <c r="C40" s="9"/>
      <c r="D40" s="9"/>
      <c r="E40" s="9"/>
      <c r="F40" s="9"/>
      <c r="G40" s="9"/>
      <c r="H40" s="17"/>
    </row>
    <row r="41" spans="1:8" x14ac:dyDescent="0.25">
      <c r="A41" s="159"/>
      <c r="B41" s="10" t="s">
        <v>1</v>
      </c>
      <c r="C41" s="8"/>
      <c r="D41" s="8"/>
      <c r="E41" s="8"/>
      <c r="F41" s="8"/>
      <c r="G41" s="8"/>
      <c r="H41" s="20"/>
    </row>
    <row r="42" spans="1:8" x14ac:dyDescent="0.25">
      <c r="A42" s="159"/>
      <c r="B42" s="10" t="s">
        <v>6</v>
      </c>
      <c r="C42" s="8"/>
      <c r="D42" s="8"/>
      <c r="E42" s="8"/>
      <c r="F42" s="8"/>
      <c r="G42" s="8"/>
      <c r="H42" s="20"/>
    </row>
    <row r="43" spans="1:8" x14ac:dyDescent="0.25">
      <c r="A43" s="159"/>
      <c r="B43" s="10" t="s">
        <v>7</v>
      </c>
      <c r="C43" s="8"/>
      <c r="D43" s="8"/>
      <c r="E43" s="8"/>
      <c r="F43" s="8"/>
      <c r="G43" s="8"/>
      <c r="H43" s="20"/>
    </row>
    <row r="44" spans="1:8" x14ac:dyDescent="0.25">
      <c r="A44" s="159"/>
      <c r="B44" s="10" t="s">
        <v>8</v>
      </c>
      <c r="C44" s="8"/>
      <c r="D44" s="8"/>
      <c r="E44" s="8"/>
      <c r="F44" s="8"/>
      <c r="G44" s="8"/>
      <c r="H44" s="20"/>
    </row>
    <row r="45" spans="1:8" x14ac:dyDescent="0.25">
      <c r="A45" s="159"/>
      <c r="B45" s="10" t="s">
        <v>9</v>
      </c>
      <c r="C45" s="8"/>
      <c r="D45" s="8"/>
      <c r="E45" s="8"/>
      <c r="F45" s="8"/>
      <c r="G45" s="8"/>
      <c r="H45" s="20"/>
    </row>
    <row r="46" spans="1:8" ht="15.75" thickBot="1" x14ac:dyDescent="0.3">
      <c r="A46" s="160"/>
      <c r="B46" s="18" t="s">
        <v>2</v>
      </c>
      <c r="C46" s="19"/>
      <c r="D46" s="19"/>
      <c r="E46" s="19"/>
      <c r="F46" s="19"/>
      <c r="G46" s="19"/>
      <c r="H46" s="21"/>
    </row>
    <row r="47" spans="1:8" x14ac:dyDescent="0.25">
      <c r="A47" s="158">
        <v>45499</v>
      </c>
      <c r="B47" s="14" t="s">
        <v>3</v>
      </c>
      <c r="C47" s="15"/>
      <c r="D47" s="15">
        <v>846</v>
      </c>
      <c r="E47" s="15">
        <v>1394</v>
      </c>
      <c r="F47" s="29">
        <v>19.68</v>
      </c>
      <c r="G47" s="15">
        <v>1394</v>
      </c>
      <c r="H47" s="16">
        <v>3.5</v>
      </c>
    </row>
    <row r="48" spans="1:8" x14ac:dyDescent="0.25">
      <c r="A48" s="159"/>
      <c r="B48" s="10" t="s">
        <v>4</v>
      </c>
      <c r="C48" s="9"/>
      <c r="D48" s="9"/>
      <c r="E48" s="9"/>
      <c r="F48" s="9"/>
      <c r="G48" s="9"/>
      <c r="H48" s="17"/>
    </row>
    <row r="49" spans="1:8" x14ac:dyDescent="0.25">
      <c r="A49" s="159"/>
      <c r="B49" s="10" t="s">
        <v>5</v>
      </c>
      <c r="C49" s="9"/>
      <c r="D49" s="9"/>
      <c r="E49" s="9"/>
      <c r="F49" s="9"/>
      <c r="G49" s="9"/>
      <c r="H49" s="17"/>
    </row>
    <row r="50" spans="1:8" x14ac:dyDescent="0.25">
      <c r="A50" s="159"/>
      <c r="B50" s="10" t="s">
        <v>1</v>
      </c>
      <c r="C50" s="8"/>
      <c r="D50" s="8"/>
      <c r="E50" s="8"/>
      <c r="F50" s="8"/>
      <c r="G50" s="8"/>
      <c r="H50" s="20"/>
    </row>
    <row r="51" spans="1:8" x14ac:dyDescent="0.25">
      <c r="A51" s="159"/>
      <c r="B51" s="10" t="s">
        <v>6</v>
      </c>
      <c r="C51" s="8"/>
      <c r="D51" s="8"/>
      <c r="E51" s="8"/>
      <c r="F51" s="8"/>
      <c r="G51" s="8"/>
      <c r="H51" s="20"/>
    </row>
    <row r="52" spans="1:8" x14ac:dyDescent="0.25">
      <c r="A52" s="159"/>
      <c r="B52" s="10" t="s">
        <v>7</v>
      </c>
      <c r="C52" s="8"/>
      <c r="D52" s="8"/>
      <c r="E52" s="8"/>
      <c r="F52" s="8"/>
      <c r="G52" s="8"/>
      <c r="H52" s="20"/>
    </row>
    <row r="53" spans="1:8" x14ac:dyDescent="0.25">
      <c r="A53" s="159"/>
      <c r="B53" s="10" t="s">
        <v>8</v>
      </c>
      <c r="C53" s="8"/>
      <c r="D53" s="8"/>
      <c r="E53" s="8"/>
      <c r="F53" s="8"/>
      <c r="G53" s="8"/>
      <c r="H53" s="20"/>
    </row>
    <row r="54" spans="1:8" x14ac:dyDescent="0.25">
      <c r="A54" s="159"/>
      <c r="B54" s="10" t="s">
        <v>9</v>
      </c>
      <c r="C54" s="8"/>
      <c r="D54" s="8"/>
      <c r="E54" s="8"/>
      <c r="F54" s="8"/>
      <c r="G54" s="8"/>
      <c r="H54" s="20"/>
    </row>
    <row r="55" spans="1:8" ht="15.75" thickBot="1" x14ac:dyDescent="0.3">
      <c r="A55" s="160"/>
      <c r="B55" s="18" t="s">
        <v>2</v>
      </c>
      <c r="C55" s="19"/>
      <c r="D55" s="19"/>
      <c r="E55" s="19"/>
      <c r="F55" s="19"/>
      <c r="G55" s="19"/>
      <c r="H55" s="21"/>
    </row>
    <row r="56" spans="1:8" x14ac:dyDescent="0.25">
      <c r="A56" s="158">
        <v>45500</v>
      </c>
      <c r="B56" s="14" t="s">
        <v>3</v>
      </c>
      <c r="C56" s="15"/>
      <c r="D56" s="15">
        <v>490</v>
      </c>
      <c r="E56" s="15">
        <v>1216</v>
      </c>
      <c r="F56" s="29">
        <v>23080</v>
      </c>
      <c r="G56" s="15">
        <v>940</v>
      </c>
      <c r="H56" s="16">
        <v>3</v>
      </c>
    </row>
    <row r="57" spans="1:8" x14ac:dyDescent="0.25">
      <c r="A57" s="159"/>
      <c r="B57" s="10" t="s">
        <v>4</v>
      </c>
      <c r="C57" s="9"/>
      <c r="D57" s="9"/>
      <c r="E57" s="9"/>
      <c r="F57" s="9"/>
      <c r="G57" s="9"/>
      <c r="H57" s="17"/>
    </row>
    <row r="58" spans="1:8" x14ac:dyDescent="0.25">
      <c r="A58" s="159"/>
      <c r="B58" s="10" t="s">
        <v>5</v>
      </c>
      <c r="C58" s="9"/>
      <c r="D58" s="9"/>
      <c r="E58" s="9"/>
      <c r="F58" s="9"/>
      <c r="G58" s="9"/>
      <c r="H58" s="17"/>
    </row>
    <row r="59" spans="1:8" x14ac:dyDescent="0.25">
      <c r="A59" s="159"/>
      <c r="B59" s="10" t="s">
        <v>1</v>
      </c>
      <c r="C59" s="8"/>
      <c r="D59" s="8"/>
      <c r="E59" s="8"/>
      <c r="F59" s="8"/>
      <c r="G59" s="8"/>
      <c r="H59" s="20"/>
    </row>
    <row r="60" spans="1:8" x14ac:dyDescent="0.25">
      <c r="A60" s="159"/>
      <c r="B60" s="10" t="s">
        <v>6</v>
      </c>
      <c r="C60" s="8"/>
      <c r="D60" s="8"/>
      <c r="E60" s="8"/>
      <c r="F60" s="8"/>
      <c r="G60" s="8"/>
      <c r="H60" s="20"/>
    </row>
    <row r="61" spans="1:8" x14ac:dyDescent="0.25">
      <c r="A61" s="159"/>
      <c r="B61" s="10" t="s">
        <v>7</v>
      </c>
      <c r="C61" s="8"/>
      <c r="D61" s="8"/>
      <c r="E61" s="8"/>
      <c r="F61" s="8"/>
      <c r="G61" s="8"/>
      <c r="H61" s="20"/>
    </row>
    <row r="62" spans="1:8" x14ac:dyDescent="0.25">
      <c r="A62" s="159"/>
      <c r="B62" s="10" t="s">
        <v>8</v>
      </c>
      <c r="C62" s="8"/>
      <c r="D62" s="8"/>
      <c r="E62" s="8"/>
      <c r="F62" s="8"/>
      <c r="G62" s="8"/>
      <c r="H62" s="20"/>
    </row>
    <row r="63" spans="1:8" x14ac:dyDescent="0.25">
      <c r="A63" s="159"/>
      <c r="B63" s="10" t="s">
        <v>9</v>
      </c>
      <c r="C63" s="8"/>
      <c r="D63" s="8"/>
      <c r="E63" s="8"/>
      <c r="F63" s="8"/>
      <c r="G63" s="8"/>
      <c r="H63" s="20"/>
    </row>
    <row r="64" spans="1:8" ht="15.75" thickBot="1" x14ac:dyDescent="0.3">
      <c r="A64" s="160"/>
      <c r="B64" s="18" t="s">
        <v>2</v>
      </c>
      <c r="C64" s="19"/>
      <c r="D64" s="19"/>
      <c r="E64" s="19"/>
      <c r="F64" s="19"/>
      <c r="G64" s="19"/>
      <c r="H64" s="21"/>
    </row>
  </sheetData>
  <mergeCells count="6">
    <mergeCell ref="A56:A64"/>
    <mergeCell ref="A11:A19"/>
    <mergeCell ref="A20:A28"/>
    <mergeCell ref="A29:A37"/>
    <mergeCell ref="A38:A46"/>
    <mergeCell ref="A47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OPERACIONAL 2025</vt:lpstr>
      <vt:lpstr>GRAFICOS 2025</vt:lpstr>
      <vt:lpstr>OPERACIONAL 2026</vt:lpstr>
      <vt:lpstr>GRAFICOS 2026</vt:lpstr>
      <vt:lpstr>Biologico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Erbin Dario Galvis Rodriguez</dc:creator>
  <cp:lastModifiedBy>Luna Sofia Osorio Parra</cp:lastModifiedBy>
  <dcterms:created xsi:type="dcterms:W3CDTF">2024-04-16T13:26:29Z</dcterms:created>
  <dcterms:modified xsi:type="dcterms:W3CDTF">2026-03-31T13:21:05Z</dcterms:modified>
</cp:coreProperties>
</file>